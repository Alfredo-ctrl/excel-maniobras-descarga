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nuevoacnt\Entrega\"/>
    </mc:Choice>
  </mc:AlternateContent>
  <xr:revisionPtr revIDLastSave="0" documentId="13_ncr:1_{D7C9D374-1C89-4B25-8530-73CFC93ED61F}" xr6:coauthVersionLast="47" xr6:coauthVersionMax="47" xr10:uidLastSave="{00000000-0000-0000-0000-000000000000}"/>
  <bookViews>
    <workbookView xWindow="1464" yWindow="1464" windowWidth="17280" windowHeight="8880" activeTab="1" xr2:uid="{00000000-000D-0000-FFFF-FFFF00000000}"/>
  </bookViews>
  <sheets>
    <sheet name="Inicio" sheetId="1" r:id="rId1"/>
    <sheet name="Criterios" sheetId="2" r:id="rId2"/>
    <sheet name="Trabajadores" sheetId="3" r:id="rId3"/>
    <sheet name="Maniobras" sheetId="4" r:id="rId4"/>
    <sheet name="Detalle_Pagos" sheetId="5" r:id="rId5"/>
    <sheet name="Pendientes" sheetId="6" r:id="rId6"/>
    <sheet name="Resumen" sheetId="7" r:id="rId7"/>
    <sheet name="Ficha" sheetId="8" r:id="rId8"/>
    <sheet name="EJEMPLO" sheetId="9" r:id="rId9"/>
  </sheets>
  <definedNames>
    <definedName name="_xlnm.Print_Area" localSheetId="7">Ficha!$A$1:$E$35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3" i="9" l="1"/>
  <c r="B45" i="9" s="1"/>
  <c r="B14" i="9"/>
  <c r="B16" i="9" s="1"/>
  <c r="B8" i="8"/>
  <c r="B7" i="8"/>
  <c r="B5" i="8"/>
  <c r="B4" i="8"/>
  <c r="H207" i="7"/>
  <c r="A207" i="7"/>
  <c r="I207" i="7" s="1"/>
  <c r="A206" i="7"/>
  <c r="A205" i="7"/>
  <c r="I205" i="7" s="1"/>
  <c r="A204" i="7"/>
  <c r="A203" i="7"/>
  <c r="I203" i="7" s="1"/>
  <c r="E202" i="7"/>
  <c r="D202" i="7"/>
  <c r="A202" i="7"/>
  <c r="F202" i="7" s="1"/>
  <c r="A201" i="7"/>
  <c r="G201" i="7" s="1"/>
  <c r="A200" i="7"/>
  <c r="I200" i="7" s="1"/>
  <c r="A199" i="7"/>
  <c r="G199" i="7" s="1"/>
  <c r="H198" i="7"/>
  <c r="G198" i="7"/>
  <c r="A198" i="7"/>
  <c r="I198" i="7" s="1"/>
  <c r="A197" i="7"/>
  <c r="A196" i="7"/>
  <c r="C196" i="7" s="1"/>
  <c r="A195" i="7"/>
  <c r="H194" i="7"/>
  <c r="A194" i="7"/>
  <c r="I194" i="7" s="1"/>
  <c r="A193" i="7"/>
  <c r="I193" i="7" s="1"/>
  <c r="E192" i="7"/>
  <c r="D192" i="7"/>
  <c r="C192" i="7"/>
  <c r="A192" i="7"/>
  <c r="I192" i="7" s="1"/>
  <c r="A191" i="7"/>
  <c r="I191" i="7" s="1"/>
  <c r="A190" i="7"/>
  <c r="G190" i="7" s="1"/>
  <c r="H189" i="7"/>
  <c r="F189" i="7"/>
  <c r="A189" i="7"/>
  <c r="I189" i="7" s="1"/>
  <c r="A188" i="7"/>
  <c r="A187" i="7"/>
  <c r="I187" i="7" s="1"/>
  <c r="A186" i="7"/>
  <c r="I186" i="7" s="1"/>
  <c r="A185" i="7"/>
  <c r="A184" i="7"/>
  <c r="G183" i="7"/>
  <c r="A183" i="7"/>
  <c r="I183" i="7" s="1"/>
  <c r="A182" i="7"/>
  <c r="I182" i="7" s="1"/>
  <c r="A181" i="7"/>
  <c r="H181" i="7" s="1"/>
  <c r="A180" i="7"/>
  <c r="I180" i="7" s="1"/>
  <c r="H179" i="7"/>
  <c r="E179" i="7"/>
  <c r="A179" i="7"/>
  <c r="I179" i="7" s="1"/>
  <c r="A178" i="7"/>
  <c r="E178" i="7" s="1"/>
  <c r="A177" i="7"/>
  <c r="A176" i="7"/>
  <c r="I176" i="7" s="1"/>
  <c r="A175" i="7"/>
  <c r="A174" i="7"/>
  <c r="I174" i="7" s="1"/>
  <c r="A173" i="7"/>
  <c r="F173" i="7" s="1"/>
  <c r="A172" i="7"/>
  <c r="C172" i="7" s="1"/>
  <c r="H171" i="7"/>
  <c r="E171" i="7"/>
  <c r="D171" i="7"/>
  <c r="A171" i="7"/>
  <c r="I171" i="7" s="1"/>
  <c r="A170" i="7"/>
  <c r="A169" i="7"/>
  <c r="E169" i="7" s="1"/>
  <c r="A168" i="7"/>
  <c r="A167" i="7"/>
  <c r="D167" i="7" s="1"/>
  <c r="A166" i="7"/>
  <c r="I166" i="7" s="1"/>
  <c r="A165" i="7"/>
  <c r="I165" i="7" s="1"/>
  <c r="A164" i="7"/>
  <c r="F164" i="7" s="1"/>
  <c r="G163" i="7"/>
  <c r="E163" i="7"/>
  <c r="A163" i="7"/>
  <c r="I163" i="7" s="1"/>
  <c r="A162" i="7"/>
  <c r="I162" i="7" s="1"/>
  <c r="A161" i="7"/>
  <c r="G160" i="7"/>
  <c r="F160" i="7"/>
  <c r="E160" i="7"/>
  <c r="D160" i="7"/>
  <c r="A160" i="7"/>
  <c r="I160" i="7" s="1"/>
  <c r="F159" i="7"/>
  <c r="D159" i="7"/>
  <c r="C159" i="7"/>
  <c r="A159" i="7"/>
  <c r="I159" i="7" s="1"/>
  <c r="A158" i="7"/>
  <c r="D158" i="7" s="1"/>
  <c r="A157" i="7"/>
  <c r="I157" i="7" s="1"/>
  <c r="A156" i="7"/>
  <c r="I156" i="7" s="1"/>
  <c r="H155" i="7"/>
  <c r="E155" i="7"/>
  <c r="A155" i="7"/>
  <c r="I155" i="7" s="1"/>
  <c r="A154" i="7"/>
  <c r="G153" i="7"/>
  <c r="A153" i="7"/>
  <c r="I153" i="7" s="1"/>
  <c r="H152" i="7"/>
  <c r="G152" i="7"/>
  <c r="F152" i="7"/>
  <c r="E152" i="7"/>
  <c r="D152" i="7"/>
  <c r="A152" i="7"/>
  <c r="I152" i="7" s="1"/>
  <c r="A151" i="7"/>
  <c r="A150" i="7"/>
  <c r="I150" i="7" s="1"/>
  <c r="A149" i="7"/>
  <c r="G148" i="7"/>
  <c r="A148" i="7"/>
  <c r="I148" i="7" s="1"/>
  <c r="A147" i="7"/>
  <c r="I147" i="7" s="1"/>
  <c r="A146" i="7"/>
  <c r="A145" i="7"/>
  <c r="G145" i="7" s="1"/>
  <c r="H144" i="7"/>
  <c r="A144" i="7"/>
  <c r="I144" i="7" s="1"/>
  <c r="A143" i="7"/>
  <c r="I143" i="7" s="1"/>
  <c r="A142" i="7"/>
  <c r="A141" i="7"/>
  <c r="C141" i="7" s="1"/>
  <c r="G140" i="7"/>
  <c r="C140" i="7"/>
  <c r="B140" i="7"/>
  <c r="A140" i="7"/>
  <c r="I140" i="7" s="1"/>
  <c r="A139" i="7"/>
  <c r="I139" i="7" s="1"/>
  <c r="A138" i="7"/>
  <c r="I138" i="7" s="1"/>
  <c r="A137" i="7"/>
  <c r="A136" i="7"/>
  <c r="I136" i="7" s="1"/>
  <c r="I135" i="7"/>
  <c r="H135" i="7"/>
  <c r="A135" i="7"/>
  <c r="F135" i="7" s="1"/>
  <c r="A134" i="7"/>
  <c r="I134" i="7" s="1"/>
  <c r="A133" i="7"/>
  <c r="A132" i="7"/>
  <c r="F132" i="7" s="1"/>
  <c r="A131" i="7"/>
  <c r="E131" i="7" s="1"/>
  <c r="F130" i="7"/>
  <c r="A130" i="7"/>
  <c r="I130" i="7" s="1"/>
  <c r="A129" i="7"/>
  <c r="I129" i="7" s="1"/>
  <c r="A128" i="7"/>
  <c r="B128" i="7" s="1"/>
  <c r="A127" i="7"/>
  <c r="I127" i="7" s="1"/>
  <c r="I126" i="7"/>
  <c r="A126" i="7"/>
  <c r="F126" i="7" s="1"/>
  <c r="B125" i="7"/>
  <c r="A125" i="7"/>
  <c r="E125" i="7" s="1"/>
  <c r="A124" i="7"/>
  <c r="I124" i="7" s="1"/>
  <c r="A123" i="7"/>
  <c r="A122" i="7"/>
  <c r="A121" i="7"/>
  <c r="H120" i="7"/>
  <c r="C120" i="7"/>
  <c r="A120" i="7"/>
  <c r="B120" i="7" s="1"/>
  <c r="H119" i="7"/>
  <c r="D119" i="7"/>
  <c r="A119" i="7"/>
  <c r="E119" i="7" s="1"/>
  <c r="A118" i="7"/>
  <c r="I118" i="7" s="1"/>
  <c r="A117" i="7"/>
  <c r="E117" i="7" s="1"/>
  <c r="H116" i="7"/>
  <c r="G116" i="7"/>
  <c r="E116" i="7"/>
  <c r="A116" i="7"/>
  <c r="I116" i="7" s="1"/>
  <c r="A115" i="7"/>
  <c r="D115" i="7" s="1"/>
  <c r="A114" i="7"/>
  <c r="I114" i="7" s="1"/>
  <c r="H113" i="7"/>
  <c r="A113" i="7"/>
  <c r="I113" i="7" s="1"/>
  <c r="H112" i="7"/>
  <c r="G112" i="7"/>
  <c r="D112" i="7"/>
  <c r="A112" i="7"/>
  <c r="B112" i="7" s="1"/>
  <c r="A111" i="7"/>
  <c r="I111" i="7" s="1"/>
  <c r="A110" i="7"/>
  <c r="F110" i="7" s="1"/>
  <c r="G109" i="7"/>
  <c r="D109" i="7"/>
  <c r="A109" i="7"/>
  <c r="E109" i="7" s="1"/>
  <c r="A108" i="7"/>
  <c r="A107" i="7"/>
  <c r="I107" i="7" s="1"/>
  <c r="A106" i="7"/>
  <c r="A105" i="7"/>
  <c r="I104" i="7"/>
  <c r="A104" i="7"/>
  <c r="G104" i="7" s="1"/>
  <c r="A103" i="7"/>
  <c r="I103" i="7" s="1"/>
  <c r="E102" i="7"/>
  <c r="A102" i="7"/>
  <c r="I102" i="7" s="1"/>
  <c r="A101" i="7"/>
  <c r="D101" i="7" s="1"/>
  <c r="E100" i="7"/>
  <c r="A100" i="7"/>
  <c r="I100" i="7" s="1"/>
  <c r="A99" i="7"/>
  <c r="G98" i="7"/>
  <c r="F98" i="7"/>
  <c r="D98" i="7"/>
  <c r="A98" i="7"/>
  <c r="I98" i="7" s="1"/>
  <c r="A97" i="7"/>
  <c r="I97" i="7" s="1"/>
  <c r="H96" i="7"/>
  <c r="G96" i="7"/>
  <c r="A96" i="7"/>
  <c r="E96" i="7" s="1"/>
  <c r="D95" i="7"/>
  <c r="C95" i="7"/>
  <c r="A95" i="7"/>
  <c r="H95" i="7" s="1"/>
  <c r="A94" i="7"/>
  <c r="D93" i="7"/>
  <c r="A93" i="7"/>
  <c r="B93" i="7" s="1"/>
  <c r="E92" i="7"/>
  <c r="A92" i="7"/>
  <c r="G92" i="7" s="1"/>
  <c r="E91" i="7"/>
  <c r="D91" i="7"/>
  <c r="A91" i="7"/>
  <c r="G91" i="7" s="1"/>
  <c r="A90" i="7"/>
  <c r="C90" i="7" s="1"/>
  <c r="H89" i="7"/>
  <c r="G89" i="7"/>
  <c r="A89" i="7"/>
  <c r="E89" i="7" s="1"/>
  <c r="A88" i="7"/>
  <c r="F88" i="7" s="1"/>
  <c r="H87" i="7"/>
  <c r="E87" i="7"/>
  <c r="A87" i="7"/>
  <c r="F87" i="7" s="1"/>
  <c r="A86" i="7"/>
  <c r="H86" i="7" s="1"/>
  <c r="G85" i="7"/>
  <c r="F85" i="7"/>
  <c r="A85" i="7"/>
  <c r="H85" i="7" s="1"/>
  <c r="H84" i="7"/>
  <c r="G84" i="7"/>
  <c r="F84" i="7"/>
  <c r="A84" i="7"/>
  <c r="I84" i="7" s="1"/>
  <c r="A83" i="7"/>
  <c r="H83" i="7" s="1"/>
  <c r="G82" i="7"/>
  <c r="A82" i="7"/>
  <c r="A81" i="7"/>
  <c r="D81" i="7" s="1"/>
  <c r="A80" i="7"/>
  <c r="H80" i="7" s="1"/>
  <c r="G79" i="7"/>
  <c r="B79" i="7"/>
  <c r="A79" i="7"/>
  <c r="E79" i="7" s="1"/>
  <c r="A78" i="7"/>
  <c r="A77" i="7"/>
  <c r="H77" i="7" s="1"/>
  <c r="A76" i="7"/>
  <c r="G76" i="7" s="1"/>
  <c r="A75" i="7"/>
  <c r="H75" i="7" s="1"/>
  <c r="A74" i="7"/>
  <c r="E73" i="7"/>
  <c r="B73" i="7"/>
  <c r="A73" i="7"/>
  <c r="D73" i="7" s="1"/>
  <c r="A72" i="7"/>
  <c r="E72" i="7" s="1"/>
  <c r="A71" i="7"/>
  <c r="G71" i="7" s="1"/>
  <c r="A70" i="7"/>
  <c r="G70" i="7" s="1"/>
  <c r="A69" i="7"/>
  <c r="H69" i="7" s="1"/>
  <c r="A68" i="7"/>
  <c r="H68" i="7" s="1"/>
  <c r="F67" i="7"/>
  <c r="C67" i="7"/>
  <c r="A67" i="7"/>
  <c r="A66" i="7"/>
  <c r="C66" i="7" s="1"/>
  <c r="A65" i="7"/>
  <c r="H65" i="7" s="1"/>
  <c r="A64" i="7"/>
  <c r="E64" i="7" s="1"/>
  <c r="E63" i="7"/>
  <c r="A63" i="7"/>
  <c r="F63" i="7" s="1"/>
  <c r="A62" i="7"/>
  <c r="H62" i="7" s="1"/>
  <c r="A61" i="7"/>
  <c r="H61" i="7" s="1"/>
  <c r="F60" i="7"/>
  <c r="A60" i="7"/>
  <c r="B60" i="7" s="1"/>
  <c r="A59" i="7"/>
  <c r="C59" i="7" s="1"/>
  <c r="A58" i="7"/>
  <c r="H57" i="7"/>
  <c r="E57" i="7"/>
  <c r="A57" i="7"/>
  <c r="D57" i="7" s="1"/>
  <c r="A56" i="7"/>
  <c r="E56" i="7" s="1"/>
  <c r="F55" i="7"/>
  <c r="E55" i="7"/>
  <c r="A55" i="7"/>
  <c r="A54" i="7"/>
  <c r="G54" i="7" s="1"/>
  <c r="A53" i="7"/>
  <c r="H53" i="7" s="1"/>
  <c r="A52" i="7"/>
  <c r="H52" i="7" s="1"/>
  <c r="A51" i="7"/>
  <c r="H51" i="7" s="1"/>
  <c r="D50" i="7"/>
  <c r="A50" i="7"/>
  <c r="C50" i="7" s="1"/>
  <c r="B49" i="7"/>
  <c r="A49" i="7"/>
  <c r="D49" i="7" s="1"/>
  <c r="A48" i="7"/>
  <c r="E48" i="7" s="1"/>
  <c r="D47" i="7"/>
  <c r="B47" i="7"/>
  <c r="A47" i="7"/>
  <c r="G47" i="7" s="1"/>
  <c r="A46" i="7"/>
  <c r="H46" i="7" s="1"/>
  <c r="A45" i="7"/>
  <c r="H45" i="7" s="1"/>
  <c r="A44" i="7"/>
  <c r="H44" i="7" s="1"/>
  <c r="H43" i="7"/>
  <c r="G43" i="7"/>
  <c r="A43" i="7"/>
  <c r="B43" i="7" s="1"/>
  <c r="A42" i="7"/>
  <c r="C42" i="7" s="1"/>
  <c r="B41" i="7"/>
  <c r="A41" i="7"/>
  <c r="D41" i="7" s="1"/>
  <c r="C40" i="7"/>
  <c r="B40" i="7"/>
  <c r="A40" i="7"/>
  <c r="E40" i="7" s="1"/>
  <c r="B39" i="7"/>
  <c r="A39" i="7"/>
  <c r="D39" i="7" s="1"/>
  <c r="C38" i="7"/>
  <c r="B38" i="7"/>
  <c r="A38" i="7"/>
  <c r="F38" i="7" s="1"/>
  <c r="A37" i="7"/>
  <c r="H37" i="7" s="1"/>
  <c r="A36" i="7"/>
  <c r="G36" i="7" s="1"/>
  <c r="H35" i="7"/>
  <c r="A35" i="7"/>
  <c r="A34" i="7"/>
  <c r="C34" i="7" s="1"/>
  <c r="A33" i="7"/>
  <c r="D33" i="7" s="1"/>
  <c r="A32" i="7"/>
  <c r="A31" i="7"/>
  <c r="G31" i="7" s="1"/>
  <c r="A30" i="7"/>
  <c r="H30" i="7" s="1"/>
  <c r="A29" i="7"/>
  <c r="H29" i="7" s="1"/>
  <c r="E28" i="7"/>
  <c r="B28" i="7"/>
  <c r="A28" i="7"/>
  <c r="I28" i="7" s="1"/>
  <c r="A27" i="7"/>
  <c r="B27" i="7" s="1"/>
  <c r="A26" i="7"/>
  <c r="C26" i="7" s="1"/>
  <c r="A25" i="7"/>
  <c r="A24" i="7"/>
  <c r="A23" i="7"/>
  <c r="G23" i="7" s="1"/>
  <c r="A22" i="7"/>
  <c r="I22" i="7" s="1"/>
  <c r="A21" i="7"/>
  <c r="H21" i="7" s="1"/>
  <c r="A20" i="7"/>
  <c r="B20" i="7" s="1"/>
  <c r="A19" i="7"/>
  <c r="B19" i="7" s="1"/>
  <c r="A18" i="7"/>
  <c r="A17" i="7"/>
  <c r="A16" i="7"/>
  <c r="F16" i="7" s="1"/>
  <c r="A15" i="7"/>
  <c r="A14" i="7"/>
  <c r="F14" i="7" s="1"/>
  <c r="A13" i="7"/>
  <c r="C13" i="7" s="1"/>
  <c r="A12" i="7"/>
  <c r="A11" i="7"/>
  <c r="C10" i="7"/>
  <c r="A10" i="7"/>
  <c r="A9" i="7"/>
  <c r="A8" i="7"/>
  <c r="H3" i="7"/>
  <c r="E3" i="7"/>
  <c r="A207" i="6"/>
  <c r="E206" i="6"/>
  <c r="D206" i="6"/>
  <c r="A206" i="6"/>
  <c r="G206" i="6" s="1"/>
  <c r="A205" i="6"/>
  <c r="A204" i="6"/>
  <c r="A203" i="6"/>
  <c r="H203" i="6" s="1"/>
  <c r="A202" i="6"/>
  <c r="A201" i="6"/>
  <c r="A200" i="6"/>
  <c r="G199" i="6"/>
  <c r="A199" i="6"/>
  <c r="E199" i="6" s="1"/>
  <c r="A198" i="6"/>
  <c r="A197" i="6"/>
  <c r="D197" i="6" s="1"/>
  <c r="A196" i="6"/>
  <c r="G196" i="6" s="1"/>
  <c r="F195" i="6"/>
  <c r="E195" i="6"/>
  <c r="A195" i="6"/>
  <c r="A194" i="6"/>
  <c r="D194" i="6" s="1"/>
  <c r="H193" i="6"/>
  <c r="A193" i="6"/>
  <c r="F193" i="6" s="1"/>
  <c r="A192" i="6"/>
  <c r="F192" i="6" s="1"/>
  <c r="A191" i="6"/>
  <c r="A190" i="6"/>
  <c r="A189" i="6"/>
  <c r="G189" i="6" s="1"/>
  <c r="A188" i="6"/>
  <c r="D188" i="6" s="1"/>
  <c r="A187" i="6"/>
  <c r="A186" i="6"/>
  <c r="H186" i="6" s="1"/>
  <c r="A185" i="6"/>
  <c r="A184" i="6"/>
  <c r="A183" i="6"/>
  <c r="A182" i="6"/>
  <c r="A181" i="6"/>
  <c r="H181" i="6" s="1"/>
  <c r="A180" i="6"/>
  <c r="F180" i="6" s="1"/>
  <c r="F179" i="6"/>
  <c r="A179" i="6"/>
  <c r="H179" i="6" s="1"/>
  <c r="A178" i="6"/>
  <c r="D178" i="6" s="1"/>
  <c r="A177" i="6"/>
  <c r="H176" i="6"/>
  <c r="G176" i="6"/>
  <c r="F176" i="6"/>
  <c r="B176" i="6"/>
  <c r="A176" i="6"/>
  <c r="A175" i="6"/>
  <c r="A174" i="6"/>
  <c r="E174" i="6" s="1"/>
  <c r="A173" i="6"/>
  <c r="A172" i="6"/>
  <c r="G172" i="6" s="1"/>
  <c r="A171" i="6"/>
  <c r="G170" i="6"/>
  <c r="D170" i="6"/>
  <c r="B170" i="6"/>
  <c r="A170" i="6"/>
  <c r="E170" i="6" s="1"/>
  <c r="A169" i="6"/>
  <c r="D169" i="6" s="1"/>
  <c r="A168" i="6"/>
  <c r="A167" i="6"/>
  <c r="G167" i="6" s="1"/>
  <c r="H166" i="6"/>
  <c r="G166" i="6"/>
  <c r="E166" i="6"/>
  <c r="A166" i="6"/>
  <c r="A165" i="6"/>
  <c r="C165" i="6" s="1"/>
  <c r="A164" i="6"/>
  <c r="B164" i="6" s="1"/>
  <c r="A163" i="6"/>
  <c r="G162" i="6"/>
  <c r="A162" i="6"/>
  <c r="E162" i="6" s="1"/>
  <c r="A161" i="6"/>
  <c r="H161" i="6" s="1"/>
  <c r="F160" i="6"/>
  <c r="E160" i="6"/>
  <c r="B160" i="6"/>
  <c r="A160" i="6"/>
  <c r="A159" i="6"/>
  <c r="H159" i="6" s="1"/>
  <c r="A158" i="6"/>
  <c r="A157" i="6"/>
  <c r="F156" i="6"/>
  <c r="D156" i="6"/>
  <c r="B156" i="6"/>
  <c r="A156" i="6"/>
  <c r="G156" i="6" s="1"/>
  <c r="A155" i="6"/>
  <c r="E155" i="6" s="1"/>
  <c r="A154" i="6"/>
  <c r="G153" i="6"/>
  <c r="F153" i="6"/>
  <c r="A153" i="6"/>
  <c r="H153" i="6" s="1"/>
  <c r="A152" i="6"/>
  <c r="A151" i="6"/>
  <c r="A150" i="6"/>
  <c r="G150" i="6" s="1"/>
  <c r="A149" i="6"/>
  <c r="F148" i="6"/>
  <c r="A148" i="6"/>
  <c r="E148" i="6" s="1"/>
  <c r="H147" i="6"/>
  <c r="A147" i="6"/>
  <c r="A146" i="6"/>
  <c r="D145" i="6"/>
  <c r="A145" i="6"/>
  <c r="A144" i="6"/>
  <c r="H143" i="6"/>
  <c r="A143" i="6"/>
  <c r="F143" i="6" s="1"/>
  <c r="H142" i="6"/>
  <c r="G142" i="6"/>
  <c r="E142" i="6"/>
  <c r="A142" i="6"/>
  <c r="A141" i="6"/>
  <c r="F141" i="6" s="1"/>
  <c r="D140" i="6"/>
  <c r="A140" i="6"/>
  <c r="B140" i="6" s="1"/>
  <c r="H139" i="6"/>
  <c r="E139" i="6"/>
  <c r="A139" i="6"/>
  <c r="F139" i="6" s="1"/>
  <c r="H138" i="6"/>
  <c r="E138" i="6"/>
  <c r="D138" i="6"/>
  <c r="A138" i="6"/>
  <c r="G138" i="6" s="1"/>
  <c r="A137" i="6"/>
  <c r="A136" i="6"/>
  <c r="F136" i="6" s="1"/>
  <c r="A135" i="6"/>
  <c r="H135" i="6" s="1"/>
  <c r="G134" i="6"/>
  <c r="F134" i="6"/>
  <c r="A134" i="6"/>
  <c r="C134" i="6" s="1"/>
  <c r="H133" i="6"/>
  <c r="A133" i="6"/>
  <c r="C133" i="6" s="1"/>
  <c r="C132" i="6"/>
  <c r="A132" i="6"/>
  <c r="H132" i="6" s="1"/>
  <c r="A131" i="6"/>
  <c r="D131" i="6" s="1"/>
  <c r="D130" i="6"/>
  <c r="A130" i="6"/>
  <c r="C130" i="6" s="1"/>
  <c r="A129" i="6"/>
  <c r="E128" i="6"/>
  <c r="B128" i="6"/>
  <c r="A128" i="6"/>
  <c r="G127" i="6"/>
  <c r="F127" i="6"/>
  <c r="A127" i="6"/>
  <c r="E127" i="6" s="1"/>
  <c r="G126" i="6"/>
  <c r="F126" i="6"/>
  <c r="D126" i="6"/>
  <c r="C126" i="6"/>
  <c r="A126" i="6"/>
  <c r="E126" i="6" s="1"/>
  <c r="D125" i="6"/>
  <c r="B125" i="6"/>
  <c r="A125" i="6"/>
  <c r="A124" i="6"/>
  <c r="B124" i="6" s="1"/>
  <c r="A123" i="6"/>
  <c r="C123" i="6" s="1"/>
  <c r="A122" i="6"/>
  <c r="G122" i="6" s="1"/>
  <c r="A121" i="6"/>
  <c r="D121" i="6" s="1"/>
  <c r="A120" i="6"/>
  <c r="B120" i="6" s="1"/>
  <c r="A119" i="6"/>
  <c r="D119" i="6" s="1"/>
  <c r="G118" i="6"/>
  <c r="A118" i="6"/>
  <c r="F117" i="6"/>
  <c r="C117" i="6"/>
  <c r="B117" i="6"/>
  <c r="A117" i="6"/>
  <c r="H117" i="6" s="1"/>
  <c r="A116" i="6"/>
  <c r="B116" i="6" s="1"/>
  <c r="A115" i="6"/>
  <c r="D115" i="6" s="1"/>
  <c r="A114" i="6"/>
  <c r="D114" i="6" s="1"/>
  <c r="A113" i="6"/>
  <c r="G113" i="6" s="1"/>
  <c r="F112" i="6"/>
  <c r="A112" i="6"/>
  <c r="D112" i="6" s="1"/>
  <c r="H111" i="6"/>
  <c r="F111" i="6"/>
  <c r="C111" i="6"/>
  <c r="B111" i="6"/>
  <c r="A111" i="6"/>
  <c r="E111" i="6" s="1"/>
  <c r="G110" i="6"/>
  <c r="F110" i="6"/>
  <c r="C110" i="6"/>
  <c r="B110" i="6"/>
  <c r="A110" i="6"/>
  <c r="E110" i="6" s="1"/>
  <c r="D109" i="6"/>
  <c r="B109" i="6"/>
  <c r="A109" i="6"/>
  <c r="A108" i="6"/>
  <c r="C108" i="6" s="1"/>
  <c r="H107" i="6"/>
  <c r="A107" i="6"/>
  <c r="E107" i="6" s="1"/>
  <c r="A106" i="6"/>
  <c r="A105" i="6"/>
  <c r="G105" i="6" s="1"/>
  <c r="D104" i="6"/>
  <c r="C104" i="6"/>
  <c r="A104" i="6"/>
  <c r="E104" i="6" s="1"/>
  <c r="H103" i="6"/>
  <c r="D103" i="6"/>
  <c r="A103" i="6"/>
  <c r="F103" i="6" s="1"/>
  <c r="A102" i="6"/>
  <c r="F102" i="6" s="1"/>
  <c r="A101" i="6"/>
  <c r="B101" i="6" s="1"/>
  <c r="A100" i="6"/>
  <c r="G99" i="6"/>
  <c r="A99" i="6"/>
  <c r="E99" i="6" s="1"/>
  <c r="G98" i="6"/>
  <c r="A98" i="6"/>
  <c r="G97" i="6"/>
  <c r="F97" i="6"/>
  <c r="A97" i="6"/>
  <c r="E97" i="6" s="1"/>
  <c r="A96" i="6"/>
  <c r="H96" i="6" s="1"/>
  <c r="A95" i="6"/>
  <c r="H95" i="6" s="1"/>
  <c r="A94" i="6"/>
  <c r="A93" i="6"/>
  <c r="D93" i="6" s="1"/>
  <c r="A92" i="6"/>
  <c r="H91" i="6"/>
  <c r="G91" i="6"/>
  <c r="A91" i="6"/>
  <c r="B91" i="6" s="1"/>
  <c r="A90" i="6"/>
  <c r="A89" i="6"/>
  <c r="E89" i="6" s="1"/>
  <c r="H88" i="6"/>
  <c r="D88" i="6"/>
  <c r="C88" i="6"/>
  <c r="A88" i="6"/>
  <c r="E88" i="6" s="1"/>
  <c r="F87" i="6"/>
  <c r="D87" i="6"/>
  <c r="A87" i="6"/>
  <c r="C86" i="6"/>
  <c r="A86" i="6"/>
  <c r="F86" i="6" s="1"/>
  <c r="E85" i="6"/>
  <c r="C85" i="6"/>
  <c r="A85" i="6"/>
  <c r="E84" i="6"/>
  <c r="A84" i="6"/>
  <c r="F84" i="6" s="1"/>
  <c r="C83" i="6"/>
  <c r="B83" i="6"/>
  <c r="A83" i="6"/>
  <c r="F83" i="6" s="1"/>
  <c r="F82" i="6"/>
  <c r="E82" i="6"/>
  <c r="C82" i="6"/>
  <c r="B82" i="6"/>
  <c r="A82" i="6"/>
  <c r="H82" i="6" s="1"/>
  <c r="A81" i="6"/>
  <c r="A80" i="6"/>
  <c r="A79" i="6"/>
  <c r="F79" i="6" s="1"/>
  <c r="A78" i="6"/>
  <c r="A77" i="6"/>
  <c r="E77" i="6" s="1"/>
  <c r="A76" i="6"/>
  <c r="F76" i="6" s="1"/>
  <c r="A75" i="6"/>
  <c r="F75" i="6" s="1"/>
  <c r="A74" i="6"/>
  <c r="A73" i="6"/>
  <c r="C73" i="6" s="1"/>
  <c r="A72" i="6"/>
  <c r="F71" i="6"/>
  <c r="A71" i="6"/>
  <c r="A70" i="6"/>
  <c r="C70" i="6" s="1"/>
  <c r="A69" i="6"/>
  <c r="F69" i="6" s="1"/>
  <c r="A68" i="6"/>
  <c r="E68" i="6" s="1"/>
  <c r="A67" i="6"/>
  <c r="B67" i="6" s="1"/>
  <c r="A66" i="6"/>
  <c r="A65" i="6"/>
  <c r="F65" i="6" s="1"/>
  <c r="A64" i="6"/>
  <c r="A63" i="6"/>
  <c r="F63" i="6" s="1"/>
  <c r="A62" i="6"/>
  <c r="E62" i="6" s="1"/>
  <c r="A61" i="6"/>
  <c r="C61" i="6" s="1"/>
  <c r="A60" i="6"/>
  <c r="F60" i="6" s="1"/>
  <c r="A59" i="6"/>
  <c r="B59" i="6" s="1"/>
  <c r="A58" i="6"/>
  <c r="A57" i="6"/>
  <c r="F57" i="6" s="1"/>
  <c r="A56" i="6"/>
  <c r="F55" i="6"/>
  <c r="C55" i="6"/>
  <c r="A55" i="6"/>
  <c r="F54" i="6"/>
  <c r="C54" i="6"/>
  <c r="A54" i="6"/>
  <c r="B54" i="6" s="1"/>
  <c r="A53" i="6"/>
  <c r="A52" i="6"/>
  <c r="G52" i="6" s="1"/>
  <c r="F51" i="6"/>
  <c r="A51" i="6"/>
  <c r="G51" i="6" s="1"/>
  <c r="F50" i="6"/>
  <c r="A50" i="6"/>
  <c r="C50" i="6" s="1"/>
  <c r="A49" i="6"/>
  <c r="A48" i="6"/>
  <c r="G48" i="6" s="1"/>
  <c r="A47" i="6"/>
  <c r="E47" i="6" s="1"/>
  <c r="F46" i="6"/>
  <c r="C46" i="6"/>
  <c r="B46" i="6"/>
  <c r="A46" i="6"/>
  <c r="G46" i="6" s="1"/>
  <c r="A45" i="6"/>
  <c r="G44" i="6"/>
  <c r="A44" i="6"/>
  <c r="F43" i="6"/>
  <c r="B43" i="6"/>
  <c r="A43" i="6"/>
  <c r="G43" i="6" s="1"/>
  <c r="A42" i="6"/>
  <c r="F42" i="6" s="1"/>
  <c r="A41" i="6"/>
  <c r="A40" i="6"/>
  <c r="G40" i="6" s="1"/>
  <c r="B39" i="6"/>
  <c r="A39" i="6"/>
  <c r="A38" i="6"/>
  <c r="B38" i="6" s="1"/>
  <c r="A37" i="6"/>
  <c r="A36" i="6"/>
  <c r="G36" i="6" s="1"/>
  <c r="F35" i="6"/>
  <c r="E35" i="6"/>
  <c r="B35" i="6"/>
  <c r="A35" i="6"/>
  <c r="G35" i="6" s="1"/>
  <c r="A34" i="6"/>
  <c r="H34" i="6" s="1"/>
  <c r="F33" i="6"/>
  <c r="C33" i="6"/>
  <c r="B33" i="6"/>
  <c r="A33" i="6"/>
  <c r="G33" i="6" s="1"/>
  <c r="B32" i="6"/>
  <c r="A32" i="6"/>
  <c r="H32" i="6" s="1"/>
  <c r="A31" i="6"/>
  <c r="A30" i="6"/>
  <c r="G29" i="6"/>
  <c r="F29" i="6"/>
  <c r="A29" i="6"/>
  <c r="H29" i="6" s="1"/>
  <c r="A28" i="6"/>
  <c r="E28" i="6" s="1"/>
  <c r="G27" i="6"/>
  <c r="E27" i="6"/>
  <c r="D27" i="6"/>
  <c r="B27" i="6"/>
  <c r="A27" i="6"/>
  <c r="H27" i="6" s="1"/>
  <c r="A26" i="6"/>
  <c r="H26" i="6" s="1"/>
  <c r="G25" i="6"/>
  <c r="C25" i="6"/>
  <c r="A25" i="6"/>
  <c r="F25" i="6" s="1"/>
  <c r="A24" i="6"/>
  <c r="H24" i="6" s="1"/>
  <c r="A23" i="6"/>
  <c r="C22" i="6"/>
  <c r="A22" i="6"/>
  <c r="G22" i="6" s="1"/>
  <c r="A21" i="6"/>
  <c r="H21" i="6" s="1"/>
  <c r="C20" i="6"/>
  <c r="A20" i="6"/>
  <c r="H20" i="6" s="1"/>
  <c r="G19" i="6"/>
  <c r="B19" i="6"/>
  <c r="D19" i="6" s="1"/>
  <c r="A19" i="6"/>
  <c r="H19" i="6" s="1"/>
  <c r="A18" i="6"/>
  <c r="H18" i="6" s="1"/>
  <c r="A17" i="6"/>
  <c r="H17" i="6" s="1"/>
  <c r="A16" i="6"/>
  <c r="H16" i="6" s="1"/>
  <c r="A15" i="6"/>
  <c r="A14" i="6"/>
  <c r="A13" i="6"/>
  <c r="H13" i="6" s="1"/>
  <c r="A12" i="6"/>
  <c r="H12" i="6" s="1"/>
  <c r="G11" i="6"/>
  <c r="B11" i="6"/>
  <c r="A11" i="6"/>
  <c r="H11" i="6" s="1"/>
  <c r="A10" i="6"/>
  <c r="H10" i="6" s="1"/>
  <c r="G9" i="6"/>
  <c r="A9" i="6"/>
  <c r="B9" i="6" s="1"/>
  <c r="A8" i="6"/>
  <c r="B8" i="6" s="1"/>
  <c r="M2004" i="5"/>
  <c r="I2004" i="5"/>
  <c r="F2004" i="5"/>
  <c r="D2004" i="5"/>
  <c r="B2004" i="5"/>
  <c r="C2004" i="5" s="1"/>
  <c r="M2003" i="5"/>
  <c r="I2003" i="5"/>
  <c r="F2003" i="5"/>
  <c r="D2003" i="5"/>
  <c r="B2003" i="5"/>
  <c r="C2003" i="5" s="1"/>
  <c r="M2002" i="5"/>
  <c r="I2002" i="5"/>
  <c r="F2002" i="5"/>
  <c r="D2002" i="5"/>
  <c r="B2002" i="5"/>
  <c r="C2002" i="5" s="1"/>
  <c r="M2001" i="5"/>
  <c r="I2001" i="5"/>
  <c r="F2001" i="5"/>
  <c r="D2001" i="5"/>
  <c r="B2001" i="5"/>
  <c r="C2001" i="5" s="1"/>
  <c r="M2000" i="5"/>
  <c r="I2000" i="5"/>
  <c r="F2000" i="5"/>
  <c r="D2000" i="5"/>
  <c r="B2000" i="5"/>
  <c r="C2000" i="5" s="1"/>
  <c r="M1999" i="5"/>
  <c r="I1999" i="5"/>
  <c r="F1999" i="5"/>
  <c r="D1999" i="5"/>
  <c r="B1999" i="5"/>
  <c r="C1999" i="5" s="1"/>
  <c r="M1998" i="5"/>
  <c r="I1998" i="5"/>
  <c r="F1998" i="5"/>
  <c r="D1998" i="5"/>
  <c r="B1998" i="5"/>
  <c r="C1998" i="5" s="1"/>
  <c r="M1997" i="5"/>
  <c r="I1997" i="5"/>
  <c r="F1997" i="5"/>
  <c r="D1997" i="5"/>
  <c r="B1997" i="5"/>
  <c r="C1997" i="5" s="1"/>
  <c r="M1996" i="5"/>
  <c r="I1996" i="5"/>
  <c r="F1996" i="5"/>
  <c r="D1996" i="5"/>
  <c r="B1996" i="5"/>
  <c r="C1996" i="5" s="1"/>
  <c r="M1995" i="5"/>
  <c r="I1995" i="5"/>
  <c r="F1995" i="5"/>
  <c r="D1995" i="5"/>
  <c r="B1995" i="5"/>
  <c r="C1995" i="5" s="1"/>
  <c r="M1994" i="5"/>
  <c r="I1994" i="5"/>
  <c r="F1994" i="5"/>
  <c r="D1994" i="5"/>
  <c r="B1994" i="5"/>
  <c r="C1994" i="5" s="1"/>
  <c r="M1993" i="5"/>
  <c r="I1993" i="5"/>
  <c r="F1993" i="5"/>
  <c r="D1993" i="5"/>
  <c r="B1993" i="5"/>
  <c r="C1993" i="5" s="1"/>
  <c r="M1992" i="5"/>
  <c r="I1992" i="5"/>
  <c r="F1992" i="5"/>
  <c r="D1992" i="5"/>
  <c r="B1992" i="5"/>
  <c r="C1992" i="5" s="1"/>
  <c r="M1991" i="5"/>
  <c r="I1991" i="5"/>
  <c r="F1991" i="5"/>
  <c r="D1991" i="5"/>
  <c r="B1991" i="5"/>
  <c r="C1991" i="5" s="1"/>
  <c r="M1990" i="5"/>
  <c r="I1990" i="5"/>
  <c r="F1990" i="5"/>
  <c r="D1990" i="5"/>
  <c r="B1990" i="5"/>
  <c r="C1990" i="5" s="1"/>
  <c r="M1989" i="5"/>
  <c r="I1989" i="5"/>
  <c r="F1989" i="5"/>
  <c r="D1989" i="5"/>
  <c r="B1989" i="5"/>
  <c r="C1989" i="5" s="1"/>
  <c r="M1988" i="5"/>
  <c r="I1988" i="5"/>
  <c r="F1988" i="5"/>
  <c r="D1988" i="5"/>
  <c r="B1988" i="5"/>
  <c r="C1988" i="5" s="1"/>
  <c r="M1987" i="5"/>
  <c r="I1987" i="5"/>
  <c r="F1987" i="5"/>
  <c r="D1987" i="5"/>
  <c r="B1987" i="5"/>
  <c r="C1987" i="5" s="1"/>
  <c r="M1986" i="5"/>
  <c r="I1986" i="5"/>
  <c r="F1986" i="5"/>
  <c r="D1986" i="5"/>
  <c r="B1986" i="5"/>
  <c r="C1986" i="5" s="1"/>
  <c r="M1985" i="5"/>
  <c r="I1985" i="5"/>
  <c r="F1985" i="5"/>
  <c r="D1985" i="5"/>
  <c r="B1985" i="5"/>
  <c r="C1985" i="5" s="1"/>
  <c r="M1984" i="5"/>
  <c r="I1984" i="5"/>
  <c r="F1984" i="5"/>
  <c r="D1984" i="5"/>
  <c r="B1984" i="5"/>
  <c r="C1984" i="5" s="1"/>
  <c r="M1983" i="5"/>
  <c r="I1983" i="5"/>
  <c r="F1983" i="5"/>
  <c r="D1983" i="5"/>
  <c r="C1983" i="5"/>
  <c r="B1983" i="5"/>
  <c r="M1982" i="5"/>
  <c r="I1982" i="5"/>
  <c r="F1982" i="5"/>
  <c r="D1982" i="5"/>
  <c r="B1982" i="5"/>
  <c r="C1982" i="5" s="1"/>
  <c r="M1981" i="5"/>
  <c r="I1981" i="5"/>
  <c r="F1981" i="5"/>
  <c r="D1981" i="5"/>
  <c r="B1981" i="5"/>
  <c r="C1981" i="5" s="1"/>
  <c r="M1980" i="5"/>
  <c r="I1980" i="5"/>
  <c r="F1980" i="5"/>
  <c r="D1980" i="5"/>
  <c r="C1980" i="5"/>
  <c r="B1980" i="5"/>
  <c r="M1979" i="5"/>
  <c r="I1979" i="5"/>
  <c r="F1979" i="5"/>
  <c r="D1979" i="5"/>
  <c r="B1979" i="5"/>
  <c r="C1979" i="5" s="1"/>
  <c r="M1978" i="5"/>
  <c r="I1978" i="5"/>
  <c r="F1978" i="5"/>
  <c r="D1978" i="5"/>
  <c r="B1978" i="5"/>
  <c r="C1978" i="5" s="1"/>
  <c r="M1977" i="5"/>
  <c r="I1977" i="5"/>
  <c r="F1977" i="5"/>
  <c r="D1977" i="5"/>
  <c r="B1977" i="5"/>
  <c r="C1977" i="5" s="1"/>
  <c r="M1976" i="5"/>
  <c r="I1976" i="5"/>
  <c r="F1976" i="5"/>
  <c r="D1976" i="5"/>
  <c r="B1976" i="5"/>
  <c r="C1976" i="5" s="1"/>
  <c r="M1975" i="5"/>
  <c r="I1975" i="5"/>
  <c r="F1975" i="5"/>
  <c r="D1975" i="5"/>
  <c r="B1975" i="5"/>
  <c r="C1975" i="5" s="1"/>
  <c r="M1974" i="5"/>
  <c r="I1974" i="5"/>
  <c r="F1974" i="5"/>
  <c r="D1974" i="5"/>
  <c r="B1974" i="5"/>
  <c r="C1974" i="5" s="1"/>
  <c r="M1973" i="5"/>
  <c r="I1973" i="5"/>
  <c r="F1973" i="5"/>
  <c r="D1973" i="5"/>
  <c r="B1973" i="5"/>
  <c r="C1973" i="5" s="1"/>
  <c r="M1972" i="5"/>
  <c r="I1972" i="5"/>
  <c r="F1972" i="5"/>
  <c r="D1972" i="5"/>
  <c r="B1972" i="5"/>
  <c r="C1972" i="5" s="1"/>
  <c r="M1971" i="5"/>
  <c r="I1971" i="5"/>
  <c r="F1971" i="5"/>
  <c r="D1971" i="5"/>
  <c r="B1971" i="5"/>
  <c r="C1971" i="5" s="1"/>
  <c r="M1970" i="5"/>
  <c r="I1970" i="5"/>
  <c r="F1970" i="5"/>
  <c r="D1970" i="5"/>
  <c r="B1970" i="5"/>
  <c r="C1970" i="5" s="1"/>
  <c r="M1969" i="5"/>
  <c r="I1969" i="5"/>
  <c r="F1969" i="5"/>
  <c r="D1969" i="5"/>
  <c r="B1969" i="5"/>
  <c r="C1969" i="5" s="1"/>
  <c r="M1968" i="5"/>
  <c r="I1968" i="5"/>
  <c r="F1968" i="5"/>
  <c r="D1968" i="5"/>
  <c r="B1968" i="5"/>
  <c r="C1968" i="5" s="1"/>
  <c r="M1967" i="5"/>
  <c r="I1967" i="5"/>
  <c r="F1967" i="5"/>
  <c r="D1967" i="5"/>
  <c r="B1967" i="5"/>
  <c r="C1967" i="5" s="1"/>
  <c r="M1966" i="5"/>
  <c r="I1966" i="5"/>
  <c r="F1966" i="5"/>
  <c r="D1966" i="5"/>
  <c r="B1966" i="5"/>
  <c r="C1966" i="5" s="1"/>
  <c r="M1965" i="5"/>
  <c r="I1965" i="5"/>
  <c r="F1965" i="5"/>
  <c r="D1965" i="5"/>
  <c r="B1965" i="5"/>
  <c r="C1965" i="5" s="1"/>
  <c r="M1964" i="5"/>
  <c r="I1964" i="5"/>
  <c r="F1964" i="5"/>
  <c r="D1964" i="5"/>
  <c r="B1964" i="5"/>
  <c r="C1964" i="5" s="1"/>
  <c r="M1963" i="5"/>
  <c r="I1963" i="5"/>
  <c r="F1963" i="5"/>
  <c r="D1963" i="5"/>
  <c r="B1963" i="5"/>
  <c r="C1963" i="5" s="1"/>
  <c r="M1962" i="5"/>
  <c r="I1962" i="5"/>
  <c r="F1962" i="5"/>
  <c r="D1962" i="5"/>
  <c r="B1962" i="5"/>
  <c r="C1962" i="5" s="1"/>
  <c r="M1961" i="5"/>
  <c r="I1961" i="5"/>
  <c r="F1961" i="5"/>
  <c r="D1961" i="5"/>
  <c r="B1961" i="5"/>
  <c r="C1961" i="5" s="1"/>
  <c r="M1960" i="5"/>
  <c r="I1960" i="5"/>
  <c r="F1960" i="5"/>
  <c r="D1960" i="5"/>
  <c r="B1960" i="5"/>
  <c r="C1960" i="5" s="1"/>
  <c r="M1959" i="5"/>
  <c r="I1959" i="5"/>
  <c r="F1959" i="5"/>
  <c r="D1959" i="5"/>
  <c r="B1959" i="5"/>
  <c r="C1959" i="5" s="1"/>
  <c r="M1958" i="5"/>
  <c r="I1958" i="5"/>
  <c r="F1958" i="5"/>
  <c r="D1958" i="5"/>
  <c r="B1958" i="5"/>
  <c r="C1958" i="5" s="1"/>
  <c r="M1957" i="5"/>
  <c r="I1957" i="5"/>
  <c r="F1957" i="5"/>
  <c r="D1957" i="5"/>
  <c r="B1957" i="5"/>
  <c r="C1957" i="5" s="1"/>
  <c r="M1956" i="5"/>
  <c r="I1956" i="5"/>
  <c r="F1956" i="5"/>
  <c r="D1956" i="5"/>
  <c r="B1956" i="5"/>
  <c r="C1956" i="5" s="1"/>
  <c r="M1955" i="5"/>
  <c r="I1955" i="5"/>
  <c r="F1955" i="5"/>
  <c r="D1955" i="5"/>
  <c r="B1955" i="5"/>
  <c r="C1955" i="5" s="1"/>
  <c r="M1954" i="5"/>
  <c r="I1954" i="5"/>
  <c r="F1954" i="5"/>
  <c r="D1954" i="5"/>
  <c r="B1954" i="5"/>
  <c r="C1954" i="5" s="1"/>
  <c r="M1953" i="5"/>
  <c r="I1953" i="5"/>
  <c r="F1953" i="5"/>
  <c r="D1953" i="5"/>
  <c r="B1953" i="5"/>
  <c r="C1953" i="5" s="1"/>
  <c r="M1952" i="5"/>
  <c r="I1952" i="5"/>
  <c r="F1952" i="5"/>
  <c r="D1952" i="5"/>
  <c r="B1952" i="5"/>
  <c r="C1952" i="5" s="1"/>
  <c r="M1951" i="5"/>
  <c r="I1951" i="5"/>
  <c r="F1951" i="5"/>
  <c r="D1951" i="5"/>
  <c r="B1951" i="5"/>
  <c r="C1951" i="5" s="1"/>
  <c r="M1950" i="5"/>
  <c r="I1950" i="5"/>
  <c r="F1950" i="5"/>
  <c r="D1950" i="5"/>
  <c r="B1950" i="5"/>
  <c r="C1950" i="5" s="1"/>
  <c r="M1949" i="5"/>
  <c r="I1949" i="5"/>
  <c r="F1949" i="5"/>
  <c r="D1949" i="5"/>
  <c r="B1949" i="5"/>
  <c r="C1949" i="5" s="1"/>
  <c r="M1948" i="5"/>
  <c r="I1948" i="5"/>
  <c r="F1948" i="5"/>
  <c r="D1948" i="5"/>
  <c r="B1948" i="5"/>
  <c r="C1948" i="5" s="1"/>
  <c r="M1947" i="5"/>
  <c r="I1947" i="5"/>
  <c r="F1947" i="5"/>
  <c r="D1947" i="5"/>
  <c r="B1947" i="5"/>
  <c r="C1947" i="5" s="1"/>
  <c r="M1946" i="5"/>
  <c r="I1946" i="5"/>
  <c r="F1946" i="5"/>
  <c r="D1946" i="5"/>
  <c r="B1946" i="5"/>
  <c r="C1946" i="5" s="1"/>
  <c r="M1945" i="5"/>
  <c r="I1945" i="5"/>
  <c r="F1945" i="5"/>
  <c r="D1945" i="5"/>
  <c r="B1945" i="5"/>
  <c r="C1945" i="5" s="1"/>
  <c r="M1944" i="5"/>
  <c r="I1944" i="5"/>
  <c r="F1944" i="5"/>
  <c r="D1944" i="5"/>
  <c r="B1944" i="5"/>
  <c r="C1944" i="5" s="1"/>
  <c r="M1943" i="5"/>
  <c r="I1943" i="5"/>
  <c r="F1943" i="5"/>
  <c r="D1943" i="5"/>
  <c r="C1943" i="5"/>
  <c r="B1943" i="5"/>
  <c r="M1942" i="5"/>
  <c r="I1942" i="5"/>
  <c r="F1942" i="5"/>
  <c r="D1942" i="5"/>
  <c r="B1942" i="5"/>
  <c r="C1942" i="5" s="1"/>
  <c r="M1941" i="5"/>
  <c r="I1941" i="5"/>
  <c r="F1941" i="5"/>
  <c r="D1941" i="5"/>
  <c r="B1941" i="5"/>
  <c r="C1941" i="5" s="1"/>
  <c r="M1940" i="5"/>
  <c r="I1940" i="5"/>
  <c r="F1940" i="5"/>
  <c r="D1940" i="5"/>
  <c r="B1940" i="5"/>
  <c r="C1940" i="5" s="1"/>
  <c r="M1939" i="5"/>
  <c r="I1939" i="5"/>
  <c r="F1939" i="5"/>
  <c r="D1939" i="5"/>
  <c r="B1939" i="5"/>
  <c r="C1939" i="5" s="1"/>
  <c r="M1938" i="5"/>
  <c r="I1938" i="5"/>
  <c r="F1938" i="5"/>
  <c r="D1938" i="5"/>
  <c r="B1938" i="5"/>
  <c r="C1938" i="5" s="1"/>
  <c r="M1937" i="5"/>
  <c r="I1937" i="5"/>
  <c r="F1937" i="5"/>
  <c r="D1937" i="5"/>
  <c r="B1937" i="5"/>
  <c r="C1937" i="5" s="1"/>
  <c r="M1936" i="5"/>
  <c r="I1936" i="5"/>
  <c r="F1936" i="5"/>
  <c r="D1936" i="5"/>
  <c r="B1936" i="5"/>
  <c r="C1936" i="5" s="1"/>
  <c r="M1935" i="5"/>
  <c r="I1935" i="5"/>
  <c r="F1935" i="5"/>
  <c r="D1935" i="5"/>
  <c r="B1935" i="5"/>
  <c r="C1935" i="5" s="1"/>
  <c r="M1934" i="5"/>
  <c r="I1934" i="5"/>
  <c r="F1934" i="5"/>
  <c r="D1934" i="5"/>
  <c r="B1934" i="5"/>
  <c r="C1934" i="5" s="1"/>
  <c r="M1933" i="5"/>
  <c r="I1933" i="5"/>
  <c r="F1933" i="5"/>
  <c r="D1933" i="5"/>
  <c r="B1933" i="5"/>
  <c r="C1933" i="5" s="1"/>
  <c r="M1932" i="5"/>
  <c r="I1932" i="5"/>
  <c r="F1932" i="5"/>
  <c r="D1932" i="5"/>
  <c r="B1932" i="5"/>
  <c r="C1932" i="5" s="1"/>
  <c r="M1931" i="5"/>
  <c r="I1931" i="5"/>
  <c r="F1931" i="5"/>
  <c r="D1931" i="5"/>
  <c r="B1931" i="5"/>
  <c r="C1931" i="5" s="1"/>
  <c r="M1930" i="5"/>
  <c r="I1930" i="5"/>
  <c r="F1930" i="5"/>
  <c r="D1930" i="5"/>
  <c r="B1930" i="5"/>
  <c r="C1930" i="5" s="1"/>
  <c r="M1929" i="5"/>
  <c r="I1929" i="5"/>
  <c r="F1929" i="5"/>
  <c r="D1929" i="5"/>
  <c r="B1929" i="5"/>
  <c r="C1929" i="5" s="1"/>
  <c r="M1928" i="5"/>
  <c r="I1928" i="5"/>
  <c r="F1928" i="5"/>
  <c r="D1928" i="5"/>
  <c r="B1928" i="5"/>
  <c r="C1928" i="5" s="1"/>
  <c r="M1927" i="5"/>
  <c r="I1927" i="5"/>
  <c r="F1927" i="5"/>
  <c r="D1927" i="5"/>
  <c r="B1927" i="5"/>
  <c r="C1927" i="5" s="1"/>
  <c r="M1926" i="5"/>
  <c r="I1926" i="5"/>
  <c r="F1926" i="5"/>
  <c r="D1926" i="5"/>
  <c r="B1926" i="5"/>
  <c r="C1926" i="5" s="1"/>
  <c r="M1925" i="5"/>
  <c r="I1925" i="5"/>
  <c r="F1925" i="5"/>
  <c r="D1925" i="5"/>
  <c r="B1925" i="5"/>
  <c r="C1925" i="5" s="1"/>
  <c r="M1924" i="5"/>
  <c r="I1924" i="5"/>
  <c r="F1924" i="5"/>
  <c r="D1924" i="5"/>
  <c r="B1924" i="5"/>
  <c r="C1924" i="5" s="1"/>
  <c r="M1923" i="5"/>
  <c r="I1923" i="5"/>
  <c r="F1923" i="5"/>
  <c r="D1923" i="5"/>
  <c r="C1923" i="5"/>
  <c r="B1923" i="5"/>
  <c r="M1922" i="5"/>
  <c r="I1922" i="5"/>
  <c r="F1922" i="5"/>
  <c r="D1922" i="5"/>
  <c r="B1922" i="5"/>
  <c r="C1922" i="5" s="1"/>
  <c r="M1921" i="5"/>
  <c r="I1921" i="5"/>
  <c r="F1921" i="5"/>
  <c r="D1921" i="5"/>
  <c r="B1921" i="5"/>
  <c r="C1921" i="5" s="1"/>
  <c r="M1920" i="5"/>
  <c r="I1920" i="5"/>
  <c r="F1920" i="5"/>
  <c r="D1920" i="5"/>
  <c r="B1920" i="5"/>
  <c r="C1920" i="5" s="1"/>
  <c r="M1919" i="5"/>
  <c r="I1919" i="5"/>
  <c r="F1919" i="5"/>
  <c r="D1919" i="5"/>
  <c r="C1919" i="5"/>
  <c r="B1919" i="5"/>
  <c r="M1918" i="5"/>
  <c r="I1918" i="5"/>
  <c r="F1918" i="5"/>
  <c r="D1918" i="5"/>
  <c r="B1918" i="5"/>
  <c r="C1918" i="5" s="1"/>
  <c r="M1917" i="5"/>
  <c r="I1917" i="5"/>
  <c r="F1917" i="5"/>
  <c r="D1917" i="5"/>
  <c r="B1917" i="5"/>
  <c r="C1917" i="5" s="1"/>
  <c r="M1916" i="5"/>
  <c r="I1916" i="5"/>
  <c r="F1916" i="5"/>
  <c r="D1916" i="5"/>
  <c r="C1916" i="5"/>
  <c r="B1916" i="5"/>
  <c r="M1915" i="5"/>
  <c r="I1915" i="5"/>
  <c r="F1915" i="5"/>
  <c r="D1915" i="5"/>
  <c r="B1915" i="5"/>
  <c r="C1915" i="5" s="1"/>
  <c r="M1914" i="5"/>
  <c r="I1914" i="5"/>
  <c r="F1914" i="5"/>
  <c r="D1914" i="5"/>
  <c r="B1914" i="5"/>
  <c r="C1914" i="5" s="1"/>
  <c r="M1913" i="5"/>
  <c r="I1913" i="5"/>
  <c r="F1913" i="5"/>
  <c r="D1913" i="5"/>
  <c r="B1913" i="5"/>
  <c r="C1913" i="5" s="1"/>
  <c r="M1912" i="5"/>
  <c r="I1912" i="5"/>
  <c r="F1912" i="5"/>
  <c r="D1912" i="5"/>
  <c r="B1912" i="5"/>
  <c r="C1912" i="5" s="1"/>
  <c r="M1911" i="5"/>
  <c r="I1911" i="5"/>
  <c r="F1911" i="5"/>
  <c r="D1911" i="5"/>
  <c r="B1911" i="5"/>
  <c r="C1911" i="5" s="1"/>
  <c r="M1910" i="5"/>
  <c r="I1910" i="5"/>
  <c r="F1910" i="5"/>
  <c r="D1910" i="5"/>
  <c r="B1910" i="5"/>
  <c r="C1910" i="5" s="1"/>
  <c r="M1909" i="5"/>
  <c r="I1909" i="5"/>
  <c r="F1909" i="5"/>
  <c r="D1909" i="5"/>
  <c r="B1909" i="5"/>
  <c r="C1909" i="5" s="1"/>
  <c r="M1908" i="5"/>
  <c r="I1908" i="5"/>
  <c r="F1908" i="5"/>
  <c r="D1908" i="5"/>
  <c r="B1908" i="5"/>
  <c r="C1908" i="5" s="1"/>
  <c r="M1907" i="5"/>
  <c r="I1907" i="5"/>
  <c r="F1907" i="5"/>
  <c r="D1907" i="5"/>
  <c r="B1907" i="5"/>
  <c r="C1907" i="5" s="1"/>
  <c r="M1906" i="5"/>
  <c r="I1906" i="5"/>
  <c r="F1906" i="5"/>
  <c r="D1906" i="5"/>
  <c r="B1906" i="5"/>
  <c r="C1906" i="5" s="1"/>
  <c r="M1905" i="5"/>
  <c r="I1905" i="5"/>
  <c r="F1905" i="5"/>
  <c r="D1905" i="5"/>
  <c r="B1905" i="5"/>
  <c r="C1905" i="5" s="1"/>
  <c r="M1904" i="5"/>
  <c r="I1904" i="5"/>
  <c r="F1904" i="5"/>
  <c r="D1904" i="5"/>
  <c r="B1904" i="5"/>
  <c r="C1904" i="5" s="1"/>
  <c r="M1903" i="5"/>
  <c r="I1903" i="5"/>
  <c r="F1903" i="5"/>
  <c r="D1903" i="5"/>
  <c r="B1903" i="5"/>
  <c r="C1903" i="5" s="1"/>
  <c r="M1902" i="5"/>
  <c r="I1902" i="5"/>
  <c r="F1902" i="5"/>
  <c r="D1902" i="5"/>
  <c r="B1902" i="5"/>
  <c r="C1902" i="5" s="1"/>
  <c r="M1901" i="5"/>
  <c r="I1901" i="5"/>
  <c r="F1901" i="5"/>
  <c r="D1901" i="5"/>
  <c r="B1901" i="5"/>
  <c r="C1901" i="5" s="1"/>
  <c r="M1900" i="5"/>
  <c r="I1900" i="5"/>
  <c r="F1900" i="5"/>
  <c r="D1900" i="5"/>
  <c r="B1900" i="5"/>
  <c r="C1900" i="5" s="1"/>
  <c r="M1899" i="5"/>
  <c r="I1899" i="5"/>
  <c r="F1899" i="5"/>
  <c r="D1899" i="5"/>
  <c r="B1899" i="5"/>
  <c r="C1899" i="5" s="1"/>
  <c r="M1898" i="5"/>
  <c r="I1898" i="5"/>
  <c r="F1898" i="5"/>
  <c r="D1898" i="5"/>
  <c r="B1898" i="5"/>
  <c r="C1898" i="5" s="1"/>
  <c r="M1897" i="5"/>
  <c r="I1897" i="5"/>
  <c r="F1897" i="5"/>
  <c r="D1897" i="5"/>
  <c r="B1897" i="5"/>
  <c r="C1897" i="5" s="1"/>
  <c r="M1896" i="5"/>
  <c r="I1896" i="5"/>
  <c r="F1896" i="5"/>
  <c r="D1896" i="5"/>
  <c r="B1896" i="5"/>
  <c r="C1896" i="5" s="1"/>
  <c r="M1895" i="5"/>
  <c r="I1895" i="5"/>
  <c r="F1895" i="5"/>
  <c r="D1895" i="5"/>
  <c r="B1895" i="5"/>
  <c r="C1895" i="5" s="1"/>
  <c r="M1894" i="5"/>
  <c r="I1894" i="5"/>
  <c r="F1894" i="5"/>
  <c r="D1894" i="5"/>
  <c r="B1894" i="5"/>
  <c r="C1894" i="5" s="1"/>
  <c r="M1893" i="5"/>
  <c r="I1893" i="5"/>
  <c r="F1893" i="5"/>
  <c r="D1893" i="5"/>
  <c r="B1893" i="5"/>
  <c r="C1893" i="5" s="1"/>
  <c r="M1892" i="5"/>
  <c r="I1892" i="5"/>
  <c r="F1892" i="5"/>
  <c r="D1892" i="5"/>
  <c r="B1892" i="5"/>
  <c r="C1892" i="5" s="1"/>
  <c r="M1891" i="5"/>
  <c r="I1891" i="5"/>
  <c r="F1891" i="5"/>
  <c r="D1891" i="5"/>
  <c r="B1891" i="5"/>
  <c r="C1891" i="5" s="1"/>
  <c r="M1890" i="5"/>
  <c r="I1890" i="5"/>
  <c r="F1890" i="5"/>
  <c r="D1890" i="5"/>
  <c r="B1890" i="5"/>
  <c r="C1890" i="5" s="1"/>
  <c r="M1889" i="5"/>
  <c r="I1889" i="5"/>
  <c r="F1889" i="5"/>
  <c r="D1889" i="5"/>
  <c r="B1889" i="5"/>
  <c r="C1889" i="5" s="1"/>
  <c r="M1888" i="5"/>
  <c r="I1888" i="5"/>
  <c r="F1888" i="5"/>
  <c r="D1888" i="5"/>
  <c r="B1888" i="5"/>
  <c r="C1888" i="5" s="1"/>
  <c r="M1887" i="5"/>
  <c r="I1887" i="5"/>
  <c r="F1887" i="5"/>
  <c r="D1887" i="5"/>
  <c r="B1887" i="5"/>
  <c r="C1887" i="5" s="1"/>
  <c r="M1886" i="5"/>
  <c r="I1886" i="5"/>
  <c r="F1886" i="5"/>
  <c r="D1886" i="5"/>
  <c r="B1886" i="5"/>
  <c r="C1886" i="5" s="1"/>
  <c r="M1885" i="5"/>
  <c r="I1885" i="5"/>
  <c r="F1885" i="5"/>
  <c r="D1885" i="5"/>
  <c r="B1885" i="5"/>
  <c r="C1885" i="5" s="1"/>
  <c r="M1884" i="5"/>
  <c r="I1884" i="5"/>
  <c r="F1884" i="5"/>
  <c r="D1884" i="5"/>
  <c r="B1884" i="5"/>
  <c r="C1884" i="5" s="1"/>
  <c r="M1883" i="5"/>
  <c r="I1883" i="5"/>
  <c r="F1883" i="5"/>
  <c r="D1883" i="5"/>
  <c r="B1883" i="5"/>
  <c r="C1883" i="5" s="1"/>
  <c r="M1882" i="5"/>
  <c r="I1882" i="5"/>
  <c r="F1882" i="5"/>
  <c r="D1882" i="5"/>
  <c r="B1882" i="5"/>
  <c r="C1882" i="5" s="1"/>
  <c r="M1881" i="5"/>
  <c r="I1881" i="5"/>
  <c r="F1881" i="5"/>
  <c r="D1881" i="5"/>
  <c r="B1881" i="5"/>
  <c r="C1881" i="5" s="1"/>
  <c r="M1880" i="5"/>
  <c r="I1880" i="5"/>
  <c r="F1880" i="5"/>
  <c r="D1880" i="5"/>
  <c r="B1880" i="5"/>
  <c r="C1880" i="5" s="1"/>
  <c r="M1879" i="5"/>
  <c r="I1879" i="5"/>
  <c r="F1879" i="5"/>
  <c r="D1879" i="5"/>
  <c r="C1879" i="5"/>
  <c r="B1879" i="5"/>
  <c r="M1878" i="5"/>
  <c r="I1878" i="5"/>
  <c r="F1878" i="5"/>
  <c r="D1878" i="5"/>
  <c r="B1878" i="5"/>
  <c r="C1878" i="5" s="1"/>
  <c r="M1877" i="5"/>
  <c r="I1877" i="5"/>
  <c r="F1877" i="5"/>
  <c r="D1877" i="5"/>
  <c r="B1877" i="5"/>
  <c r="C1877" i="5" s="1"/>
  <c r="M1876" i="5"/>
  <c r="I1876" i="5"/>
  <c r="F1876" i="5"/>
  <c r="D1876" i="5"/>
  <c r="B1876" i="5"/>
  <c r="C1876" i="5" s="1"/>
  <c r="M1875" i="5"/>
  <c r="I1875" i="5"/>
  <c r="F1875" i="5"/>
  <c r="D1875" i="5"/>
  <c r="C1875" i="5"/>
  <c r="B1875" i="5"/>
  <c r="M1874" i="5"/>
  <c r="I1874" i="5"/>
  <c r="F1874" i="5"/>
  <c r="D1874" i="5"/>
  <c r="B1874" i="5"/>
  <c r="C1874" i="5" s="1"/>
  <c r="M1873" i="5"/>
  <c r="I1873" i="5"/>
  <c r="F1873" i="5"/>
  <c r="D1873" i="5"/>
  <c r="B1873" i="5"/>
  <c r="C1873" i="5" s="1"/>
  <c r="M1872" i="5"/>
  <c r="I1872" i="5"/>
  <c r="F1872" i="5"/>
  <c r="D1872" i="5"/>
  <c r="B1872" i="5"/>
  <c r="C1872" i="5" s="1"/>
  <c r="M1871" i="5"/>
  <c r="I1871" i="5"/>
  <c r="F1871" i="5"/>
  <c r="D1871" i="5"/>
  <c r="C1871" i="5"/>
  <c r="B1871" i="5"/>
  <c r="M1870" i="5"/>
  <c r="I1870" i="5"/>
  <c r="F1870" i="5"/>
  <c r="D1870" i="5"/>
  <c r="B1870" i="5"/>
  <c r="C1870" i="5" s="1"/>
  <c r="M1869" i="5"/>
  <c r="I1869" i="5"/>
  <c r="F1869" i="5"/>
  <c r="D1869" i="5"/>
  <c r="B1869" i="5"/>
  <c r="C1869" i="5" s="1"/>
  <c r="M1868" i="5"/>
  <c r="I1868" i="5"/>
  <c r="F1868" i="5"/>
  <c r="D1868" i="5"/>
  <c r="B1868" i="5"/>
  <c r="C1868" i="5" s="1"/>
  <c r="M1867" i="5"/>
  <c r="I1867" i="5"/>
  <c r="F1867" i="5"/>
  <c r="D1867" i="5"/>
  <c r="B1867" i="5"/>
  <c r="C1867" i="5" s="1"/>
  <c r="M1866" i="5"/>
  <c r="I1866" i="5"/>
  <c r="F1866" i="5"/>
  <c r="D1866" i="5"/>
  <c r="B1866" i="5"/>
  <c r="C1866" i="5" s="1"/>
  <c r="M1865" i="5"/>
  <c r="I1865" i="5"/>
  <c r="F1865" i="5"/>
  <c r="D1865" i="5"/>
  <c r="B1865" i="5"/>
  <c r="C1865" i="5" s="1"/>
  <c r="M1864" i="5"/>
  <c r="I1864" i="5"/>
  <c r="F1864" i="5"/>
  <c r="D1864" i="5"/>
  <c r="B1864" i="5"/>
  <c r="C1864" i="5" s="1"/>
  <c r="M1863" i="5"/>
  <c r="I1863" i="5"/>
  <c r="F1863" i="5"/>
  <c r="D1863" i="5"/>
  <c r="B1863" i="5"/>
  <c r="C1863" i="5" s="1"/>
  <c r="M1862" i="5"/>
  <c r="I1862" i="5"/>
  <c r="F1862" i="5"/>
  <c r="D1862" i="5"/>
  <c r="B1862" i="5"/>
  <c r="C1862" i="5" s="1"/>
  <c r="M1861" i="5"/>
  <c r="I1861" i="5"/>
  <c r="F1861" i="5"/>
  <c r="D1861" i="5"/>
  <c r="B1861" i="5"/>
  <c r="C1861" i="5" s="1"/>
  <c r="M1860" i="5"/>
  <c r="I1860" i="5"/>
  <c r="F1860" i="5"/>
  <c r="D1860" i="5"/>
  <c r="B1860" i="5"/>
  <c r="C1860" i="5" s="1"/>
  <c r="M1859" i="5"/>
  <c r="I1859" i="5"/>
  <c r="F1859" i="5"/>
  <c r="D1859" i="5"/>
  <c r="B1859" i="5"/>
  <c r="C1859" i="5" s="1"/>
  <c r="M1858" i="5"/>
  <c r="I1858" i="5"/>
  <c r="F1858" i="5"/>
  <c r="D1858" i="5"/>
  <c r="B1858" i="5"/>
  <c r="C1858" i="5" s="1"/>
  <c r="M1857" i="5"/>
  <c r="I1857" i="5"/>
  <c r="F1857" i="5"/>
  <c r="D1857" i="5"/>
  <c r="B1857" i="5"/>
  <c r="C1857" i="5" s="1"/>
  <c r="M1856" i="5"/>
  <c r="I1856" i="5"/>
  <c r="F1856" i="5"/>
  <c r="D1856" i="5"/>
  <c r="B1856" i="5"/>
  <c r="C1856" i="5" s="1"/>
  <c r="M1855" i="5"/>
  <c r="I1855" i="5"/>
  <c r="F1855" i="5"/>
  <c r="D1855" i="5"/>
  <c r="B1855" i="5"/>
  <c r="C1855" i="5" s="1"/>
  <c r="M1854" i="5"/>
  <c r="I1854" i="5"/>
  <c r="F1854" i="5"/>
  <c r="D1854" i="5"/>
  <c r="B1854" i="5"/>
  <c r="C1854" i="5" s="1"/>
  <c r="M1853" i="5"/>
  <c r="I1853" i="5"/>
  <c r="F1853" i="5"/>
  <c r="D1853" i="5"/>
  <c r="B1853" i="5"/>
  <c r="C1853" i="5" s="1"/>
  <c r="M1852" i="5"/>
  <c r="I1852" i="5"/>
  <c r="F1852" i="5"/>
  <c r="D1852" i="5"/>
  <c r="B1852" i="5"/>
  <c r="C1852" i="5" s="1"/>
  <c r="M1851" i="5"/>
  <c r="I1851" i="5"/>
  <c r="F1851" i="5"/>
  <c r="D1851" i="5"/>
  <c r="C1851" i="5"/>
  <c r="B1851" i="5"/>
  <c r="M1850" i="5"/>
  <c r="I1850" i="5"/>
  <c r="F1850" i="5"/>
  <c r="D1850" i="5"/>
  <c r="B1850" i="5"/>
  <c r="C1850" i="5" s="1"/>
  <c r="M1849" i="5"/>
  <c r="I1849" i="5"/>
  <c r="F1849" i="5"/>
  <c r="D1849" i="5"/>
  <c r="B1849" i="5"/>
  <c r="C1849" i="5" s="1"/>
  <c r="M1848" i="5"/>
  <c r="I1848" i="5"/>
  <c r="F1848" i="5"/>
  <c r="D1848" i="5"/>
  <c r="B1848" i="5"/>
  <c r="C1848" i="5" s="1"/>
  <c r="M1847" i="5"/>
  <c r="I1847" i="5"/>
  <c r="F1847" i="5"/>
  <c r="D1847" i="5"/>
  <c r="B1847" i="5"/>
  <c r="C1847" i="5" s="1"/>
  <c r="M1846" i="5"/>
  <c r="I1846" i="5"/>
  <c r="F1846" i="5"/>
  <c r="D1846" i="5"/>
  <c r="B1846" i="5"/>
  <c r="C1846" i="5" s="1"/>
  <c r="M1845" i="5"/>
  <c r="I1845" i="5"/>
  <c r="F1845" i="5"/>
  <c r="D1845" i="5"/>
  <c r="B1845" i="5"/>
  <c r="C1845" i="5" s="1"/>
  <c r="M1844" i="5"/>
  <c r="I1844" i="5"/>
  <c r="F1844" i="5"/>
  <c r="D1844" i="5"/>
  <c r="B1844" i="5"/>
  <c r="C1844" i="5" s="1"/>
  <c r="M1843" i="5"/>
  <c r="I1843" i="5"/>
  <c r="F1843" i="5"/>
  <c r="D1843" i="5"/>
  <c r="B1843" i="5"/>
  <c r="C1843" i="5" s="1"/>
  <c r="M1842" i="5"/>
  <c r="I1842" i="5"/>
  <c r="F1842" i="5"/>
  <c r="D1842" i="5"/>
  <c r="B1842" i="5"/>
  <c r="C1842" i="5" s="1"/>
  <c r="M1841" i="5"/>
  <c r="I1841" i="5"/>
  <c r="F1841" i="5"/>
  <c r="D1841" i="5"/>
  <c r="B1841" i="5"/>
  <c r="C1841" i="5" s="1"/>
  <c r="M1840" i="5"/>
  <c r="I1840" i="5"/>
  <c r="F1840" i="5"/>
  <c r="D1840" i="5"/>
  <c r="B1840" i="5"/>
  <c r="C1840" i="5" s="1"/>
  <c r="M1839" i="5"/>
  <c r="I1839" i="5"/>
  <c r="F1839" i="5"/>
  <c r="D1839" i="5"/>
  <c r="B1839" i="5"/>
  <c r="C1839" i="5" s="1"/>
  <c r="M1838" i="5"/>
  <c r="I1838" i="5"/>
  <c r="F1838" i="5"/>
  <c r="D1838" i="5"/>
  <c r="B1838" i="5"/>
  <c r="C1838" i="5" s="1"/>
  <c r="M1837" i="5"/>
  <c r="I1837" i="5"/>
  <c r="F1837" i="5"/>
  <c r="D1837" i="5"/>
  <c r="B1837" i="5"/>
  <c r="C1837" i="5" s="1"/>
  <c r="M1836" i="5"/>
  <c r="I1836" i="5"/>
  <c r="F1836" i="5"/>
  <c r="D1836" i="5"/>
  <c r="B1836" i="5"/>
  <c r="C1836" i="5" s="1"/>
  <c r="M1835" i="5"/>
  <c r="I1835" i="5"/>
  <c r="F1835" i="5"/>
  <c r="D1835" i="5"/>
  <c r="B1835" i="5"/>
  <c r="C1835" i="5" s="1"/>
  <c r="M1834" i="5"/>
  <c r="I1834" i="5"/>
  <c r="F1834" i="5"/>
  <c r="D1834" i="5"/>
  <c r="B1834" i="5"/>
  <c r="C1834" i="5" s="1"/>
  <c r="M1833" i="5"/>
  <c r="I1833" i="5"/>
  <c r="F1833" i="5"/>
  <c r="D1833" i="5"/>
  <c r="B1833" i="5"/>
  <c r="C1833" i="5" s="1"/>
  <c r="M1832" i="5"/>
  <c r="I1832" i="5"/>
  <c r="F1832" i="5"/>
  <c r="D1832" i="5"/>
  <c r="B1832" i="5"/>
  <c r="C1832" i="5" s="1"/>
  <c r="M1831" i="5"/>
  <c r="I1831" i="5"/>
  <c r="F1831" i="5"/>
  <c r="D1831" i="5"/>
  <c r="B1831" i="5"/>
  <c r="C1831" i="5" s="1"/>
  <c r="M1830" i="5"/>
  <c r="I1830" i="5"/>
  <c r="F1830" i="5"/>
  <c r="D1830" i="5"/>
  <c r="B1830" i="5"/>
  <c r="C1830" i="5" s="1"/>
  <c r="M1829" i="5"/>
  <c r="I1829" i="5"/>
  <c r="F1829" i="5"/>
  <c r="D1829" i="5"/>
  <c r="B1829" i="5"/>
  <c r="C1829" i="5" s="1"/>
  <c r="M1828" i="5"/>
  <c r="I1828" i="5"/>
  <c r="F1828" i="5"/>
  <c r="D1828" i="5"/>
  <c r="B1828" i="5"/>
  <c r="C1828" i="5" s="1"/>
  <c r="M1827" i="5"/>
  <c r="I1827" i="5"/>
  <c r="F1827" i="5"/>
  <c r="D1827" i="5"/>
  <c r="B1827" i="5"/>
  <c r="C1827" i="5" s="1"/>
  <c r="M1826" i="5"/>
  <c r="I1826" i="5"/>
  <c r="F1826" i="5"/>
  <c r="D1826" i="5"/>
  <c r="B1826" i="5"/>
  <c r="C1826" i="5" s="1"/>
  <c r="M1825" i="5"/>
  <c r="I1825" i="5"/>
  <c r="F1825" i="5"/>
  <c r="D1825" i="5"/>
  <c r="B1825" i="5"/>
  <c r="C1825" i="5" s="1"/>
  <c r="M1824" i="5"/>
  <c r="I1824" i="5"/>
  <c r="F1824" i="5"/>
  <c r="D1824" i="5"/>
  <c r="B1824" i="5"/>
  <c r="C1824" i="5" s="1"/>
  <c r="M1823" i="5"/>
  <c r="I1823" i="5"/>
  <c r="F1823" i="5"/>
  <c r="D1823" i="5"/>
  <c r="B1823" i="5"/>
  <c r="C1823" i="5" s="1"/>
  <c r="M1822" i="5"/>
  <c r="I1822" i="5"/>
  <c r="F1822" i="5"/>
  <c r="D1822" i="5"/>
  <c r="B1822" i="5"/>
  <c r="C1822" i="5" s="1"/>
  <c r="M1821" i="5"/>
  <c r="I1821" i="5"/>
  <c r="F1821" i="5"/>
  <c r="D1821" i="5"/>
  <c r="B1821" i="5"/>
  <c r="C1821" i="5" s="1"/>
  <c r="M1820" i="5"/>
  <c r="I1820" i="5"/>
  <c r="F1820" i="5"/>
  <c r="D1820" i="5"/>
  <c r="B1820" i="5"/>
  <c r="C1820" i="5" s="1"/>
  <c r="M1819" i="5"/>
  <c r="I1819" i="5"/>
  <c r="F1819" i="5"/>
  <c r="D1819" i="5"/>
  <c r="B1819" i="5"/>
  <c r="C1819" i="5" s="1"/>
  <c r="M1818" i="5"/>
  <c r="I1818" i="5"/>
  <c r="F1818" i="5"/>
  <c r="D1818" i="5"/>
  <c r="B1818" i="5"/>
  <c r="C1818" i="5" s="1"/>
  <c r="M1817" i="5"/>
  <c r="I1817" i="5"/>
  <c r="F1817" i="5"/>
  <c r="D1817" i="5"/>
  <c r="B1817" i="5"/>
  <c r="C1817" i="5" s="1"/>
  <c r="M1816" i="5"/>
  <c r="I1816" i="5"/>
  <c r="F1816" i="5"/>
  <c r="D1816" i="5"/>
  <c r="B1816" i="5"/>
  <c r="C1816" i="5" s="1"/>
  <c r="M1815" i="5"/>
  <c r="I1815" i="5"/>
  <c r="F1815" i="5"/>
  <c r="D1815" i="5"/>
  <c r="B1815" i="5"/>
  <c r="C1815" i="5" s="1"/>
  <c r="M1814" i="5"/>
  <c r="I1814" i="5"/>
  <c r="F1814" i="5"/>
  <c r="D1814" i="5"/>
  <c r="B1814" i="5"/>
  <c r="C1814" i="5" s="1"/>
  <c r="M1813" i="5"/>
  <c r="I1813" i="5"/>
  <c r="F1813" i="5"/>
  <c r="D1813" i="5"/>
  <c r="B1813" i="5"/>
  <c r="C1813" i="5" s="1"/>
  <c r="M1812" i="5"/>
  <c r="I1812" i="5"/>
  <c r="F1812" i="5"/>
  <c r="D1812" i="5"/>
  <c r="B1812" i="5"/>
  <c r="C1812" i="5" s="1"/>
  <c r="M1811" i="5"/>
  <c r="I1811" i="5"/>
  <c r="F1811" i="5"/>
  <c r="D1811" i="5"/>
  <c r="B1811" i="5"/>
  <c r="C1811" i="5" s="1"/>
  <c r="M1810" i="5"/>
  <c r="I1810" i="5"/>
  <c r="F1810" i="5"/>
  <c r="D1810" i="5"/>
  <c r="B1810" i="5"/>
  <c r="C1810" i="5" s="1"/>
  <c r="M1809" i="5"/>
  <c r="I1809" i="5"/>
  <c r="F1809" i="5"/>
  <c r="D1809" i="5"/>
  <c r="B1809" i="5"/>
  <c r="C1809" i="5" s="1"/>
  <c r="M1808" i="5"/>
  <c r="I1808" i="5"/>
  <c r="F1808" i="5"/>
  <c r="D1808" i="5"/>
  <c r="B1808" i="5"/>
  <c r="C1808" i="5" s="1"/>
  <c r="M1807" i="5"/>
  <c r="I1807" i="5"/>
  <c r="F1807" i="5"/>
  <c r="D1807" i="5"/>
  <c r="B1807" i="5"/>
  <c r="C1807" i="5" s="1"/>
  <c r="M1806" i="5"/>
  <c r="I1806" i="5"/>
  <c r="F1806" i="5"/>
  <c r="D1806" i="5"/>
  <c r="B1806" i="5"/>
  <c r="C1806" i="5" s="1"/>
  <c r="M1805" i="5"/>
  <c r="I1805" i="5"/>
  <c r="F1805" i="5"/>
  <c r="D1805" i="5"/>
  <c r="B1805" i="5"/>
  <c r="C1805" i="5" s="1"/>
  <c r="M1804" i="5"/>
  <c r="I1804" i="5"/>
  <c r="F1804" i="5"/>
  <c r="D1804" i="5"/>
  <c r="B1804" i="5"/>
  <c r="C1804" i="5" s="1"/>
  <c r="M1803" i="5"/>
  <c r="I1803" i="5"/>
  <c r="F1803" i="5"/>
  <c r="D1803" i="5"/>
  <c r="B1803" i="5"/>
  <c r="C1803" i="5" s="1"/>
  <c r="M1802" i="5"/>
  <c r="I1802" i="5"/>
  <c r="F1802" i="5"/>
  <c r="D1802" i="5"/>
  <c r="B1802" i="5"/>
  <c r="C1802" i="5" s="1"/>
  <c r="M1801" i="5"/>
  <c r="I1801" i="5"/>
  <c r="F1801" i="5"/>
  <c r="D1801" i="5"/>
  <c r="B1801" i="5"/>
  <c r="C1801" i="5" s="1"/>
  <c r="M1800" i="5"/>
  <c r="I1800" i="5"/>
  <c r="F1800" i="5"/>
  <c r="D1800" i="5"/>
  <c r="B1800" i="5"/>
  <c r="C1800" i="5" s="1"/>
  <c r="M1799" i="5"/>
  <c r="I1799" i="5"/>
  <c r="F1799" i="5"/>
  <c r="D1799" i="5"/>
  <c r="B1799" i="5"/>
  <c r="C1799" i="5" s="1"/>
  <c r="M1798" i="5"/>
  <c r="I1798" i="5"/>
  <c r="F1798" i="5"/>
  <c r="D1798" i="5"/>
  <c r="B1798" i="5"/>
  <c r="C1798" i="5" s="1"/>
  <c r="M1797" i="5"/>
  <c r="I1797" i="5"/>
  <c r="F1797" i="5"/>
  <c r="D1797" i="5"/>
  <c r="B1797" i="5"/>
  <c r="C1797" i="5" s="1"/>
  <c r="M1796" i="5"/>
  <c r="I1796" i="5"/>
  <c r="F1796" i="5"/>
  <c r="D1796" i="5"/>
  <c r="C1796" i="5"/>
  <c r="B1796" i="5"/>
  <c r="M1795" i="5"/>
  <c r="I1795" i="5"/>
  <c r="F1795" i="5"/>
  <c r="D1795" i="5"/>
  <c r="C1795" i="5"/>
  <c r="B1795" i="5"/>
  <c r="M1794" i="5"/>
  <c r="I1794" i="5"/>
  <c r="F1794" i="5"/>
  <c r="D1794" i="5"/>
  <c r="B1794" i="5"/>
  <c r="C1794" i="5" s="1"/>
  <c r="M1793" i="5"/>
  <c r="I1793" i="5"/>
  <c r="F1793" i="5"/>
  <c r="D1793" i="5"/>
  <c r="B1793" i="5"/>
  <c r="C1793" i="5" s="1"/>
  <c r="M1792" i="5"/>
  <c r="I1792" i="5"/>
  <c r="F1792" i="5"/>
  <c r="D1792" i="5"/>
  <c r="B1792" i="5"/>
  <c r="C1792" i="5" s="1"/>
  <c r="M1791" i="5"/>
  <c r="I1791" i="5"/>
  <c r="F1791" i="5"/>
  <c r="D1791" i="5"/>
  <c r="C1791" i="5"/>
  <c r="B1791" i="5"/>
  <c r="M1790" i="5"/>
  <c r="I1790" i="5"/>
  <c r="F1790" i="5"/>
  <c r="D1790" i="5"/>
  <c r="B1790" i="5"/>
  <c r="C1790" i="5" s="1"/>
  <c r="M1789" i="5"/>
  <c r="I1789" i="5"/>
  <c r="F1789" i="5"/>
  <c r="D1789" i="5"/>
  <c r="B1789" i="5"/>
  <c r="C1789" i="5" s="1"/>
  <c r="M1788" i="5"/>
  <c r="I1788" i="5"/>
  <c r="F1788" i="5"/>
  <c r="D1788" i="5"/>
  <c r="C1788" i="5"/>
  <c r="B1788" i="5"/>
  <c r="M1787" i="5"/>
  <c r="I1787" i="5"/>
  <c r="F1787" i="5"/>
  <c r="D1787" i="5"/>
  <c r="B1787" i="5"/>
  <c r="C1787" i="5" s="1"/>
  <c r="M1786" i="5"/>
  <c r="I1786" i="5"/>
  <c r="F1786" i="5"/>
  <c r="D1786" i="5"/>
  <c r="B1786" i="5"/>
  <c r="C1786" i="5" s="1"/>
  <c r="M1785" i="5"/>
  <c r="I1785" i="5"/>
  <c r="F1785" i="5"/>
  <c r="D1785" i="5"/>
  <c r="B1785" i="5"/>
  <c r="C1785" i="5" s="1"/>
  <c r="M1784" i="5"/>
  <c r="I1784" i="5"/>
  <c r="F1784" i="5"/>
  <c r="D1784" i="5"/>
  <c r="B1784" i="5"/>
  <c r="C1784" i="5" s="1"/>
  <c r="M1783" i="5"/>
  <c r="I1783" i="5"/>
  <c r="F1783" i="5"/>
  <c r="D1783" i="5"/>
  <c r="B1783" i="5"/>
  <c r="C1783" i="5" s="1"/>
  <c r="M1782" i="5"/>
  <c r="I1782" i="5"/>
  <c r="F1782" i="5"/>
  <c r="D1782" i="5"/>
  <c r="B1782" i="5"/>
  <c r="C1782" i="5" s="1"/>
  <c r="M1781" i="5"/>
  <c r="I1781" i="5"/>
  <c r="F1781" i="5"/>
  <c r="D1781" i="5"/>
  <c r="B1781" i="5"/>
  <c r="C1781" i="5" s="1"/>
  <c r="M1780" i="5"/>
  <c r="I1780" i="5"/>
  <c r="F1780" i="5"/>
  <c r="D1780" i="5"/>
  <c r="B1780" i="5"/>
  <c r="C1780" i="5" s="1"/>
  <c r="M1779" i="5"/>
  <c r="I1779" i="5"/>
  <c r="F1779" i="5"/>
  <c r="D1779" i="5"/>
  <c r="B1779" i="5"/>
  <c r="C1779" i="5" s="1"/>
  <c r="M1778" i="5"/>
  <c r="I1778" i="5"/>
  <c r="F1778" i="5"/>
  <c r="D1778" i="5"/>
  <c r="C1778" i="5"/>
  <c r="B1778" i="5"/>
  <c r="M1777" i="5"/>
  <c r="I1777" i="5"/>
  <c r="F1777" i="5"/>
  <c r="D1777" i="5"/>
  <c r="B1777" i="5"/>
  <c r="C1777" i="5" s="1"/>
  <c r="M1776" i="5"/>
  <c r="I1776" i="5"/>
  <c r="F1776" i="5"/>
  <c r="D1776" i="5"/>
  <c r="B1776" i="5"/>
  <c r="C1776" i="5" s="1"/>
  <c r="M1775" i="5"/>
  <c r="I1775" i="5"/>
  <c r="F1775" i="5"/>
  <c r="D1775" i="5"/>
  <c r="C1775" i="5"/>
  <c r="B1775" i="5"/>
  <c r="M1774" i="5"/>
  <c r="I1774" i="5"/>
  <c r="F1774" i="5"/>
  <c r="D1774" i="5"/>
  <c r="B1774" i="5"/>
  <c r="C1774" i="5" s="1"/>
  <c r="M1773" i="5"/>
  <c r="I1773" i="5"/>
  <c r="F1773" i="5"/>
  <c r="D1773" i="5"/>
  <c r="B1773" i="5"/>
  <c r="C1773" i="5" s="1"/>
  <c r="M1772" i="5"/>
  <c r="I1772" i="5"/>
  <c r="F1772" i="5"/>
  <c r="D1772" i="5"/>
  <c r="B1772" i="5"/>
  <c r="C1772" i="5" s="1"/>
  <c r="M1771" i="5"/>
  <c r="I1771" i="5"/>
  <c r="F1771" i="5"/>
  <c r="D1771" i="5"/>
  <c r="B1771" i="5"/>
  <c r="C1771" i="5" s="1"/>
  <c r="M1770" i="5"/>
  <c r="I1770" i="5"/>
  <c r="F1770" i="5"/>
  <c r="D1770" i="5"/>
  <c r="B1770" i="5"/>
  <c r="C1770" i="5" s="1"/>
  <c r="M1769" i="5"/>
  <c r="I1769" i="5"/>
  <c r="F1769" i="5"/>
  <c r="D1769" i="5"/>
  <c r="B1769" i="5"/>
  <c r="C1769" i="5" s="1"/>
  <c r="M1768" i="5"/>
  <c r="I1768" i="5"/>
  <c r="F1768" i="5"/>
  <c r="D1768" i="5"/>
  <c r="B1768" i="5"/>
  <c r="C1768" i="5" s="1"/>
  <c r="M1767" i="5"/>
  <c r="I1767" i="5"/>
  <c r="F1767" i="5"/>
  <c r="D1767" i="5"/>
  <c r="B1767" i="5"/>
  <c r="C1767" i="5" s="1"/>
  <c r="M1766" i="5"/>
  <c r="I1766" i="5"/>
  <c r="F1766" i="5"/>
  <c r="D1766" i="5"/>
  <c r="B1766" i="5"/>
  <c r="C1766" i="5" s="1"/>
  <c r="M1765" i="5"/>
  <c r="I1765" i="5"/>
  <c r="F1765" i="5"/>
  <c r="D1765" i="5"/>
  <c r="B1765" i="5"/>
  <c r="C1765" i="5" s="1"/>
  <c r="M1764" i="5"/>
  <c r="I1764" i="5"/>
  <c r="F1764" i="5"/>
  <c r="D1764" i="5"/>
  <c r="B1764" i="5"/>
  <c r="C1764" i="5" s="1"/>
  <c r="M1763" i="5"/>
  <c r="I1763" i="5"/>
  <c r="F1763" i="5"/>
  <c r="D1763" i="5"/>
  <c r="B1763" i="5"/>
  <c r="C1763" i="5" s="1"/>
  <c r="M1762" i="5"/>
  <c r="I1762" i="5"/>
  <c r="F1762" i="5"/>
  <c r="D1762" i="5"/>
  <c r="B1762" i="5"/>
  <c r="C1762" i="5" s="1"/>
  <c r="M1761" i="5"/>
  <c r="I1761" i="5"/>
  <c r="F1761" i="5"/>
  <c r="D1761" i="5"/>
  <c r="B1761" i="5"/>
  <c r="C1761" i="5" s="1"/>
  <c r="M1760" i="5"/>
  <c r="I1760" i="5"/>
  <c r="F1760" i="5"/>
  <c r="D1760" i="5"/>
  <c r="B1760" i="5"/>
  <c r="C1760" i="5" s="1"/>
  <c r="M1759" i="5"/>
  <c r="I1759" i="5"/>
  <c r="F1759" i="5"/>
  <c r="D1759" i="5"/>
  <c r="B1759" i="5"/>
  <c r="C1759" i="5" s="1"/>
  <c r="M1758" i="5"/>
  <c r="I1758" i="5"/>
  <c r="F1758" i="5"/>
  <c r="D1758" i="5"/>
  <c r="B1758" i="5"/>
  <c r="C1758" i="5" s="1"/>
  <c r="M1757" i="5"/>
  <c r="I1757" i="5"/>
  <c r="F1757" i="5"/>
  <c r="D1757" i="5"/>
  <c r="B1757" i="5"/>
  <c r="C1757" i="5" s="1"/>
  <c r="M1756" i="5"/>
  <c r="I1756" i="5"/>
  <c r="F1756" i="5"/>
  <c r="D1756" i="5"/>
  <c r="B1756" i="5"/>
  <c r="C1756" i="5" s="1"/>
  <c r="M1755" i="5"/>
  <c r="I1755" i="5"/>
  <c r="F1755" i="5"/>
  <c r="D1755" i="5"/>
  <c r="B1755" i="5"/>
  <c r="C1755" i="5" s="1"/>
  <c r="M1754" i="5"/>
  <c r="I1754" i="5"/>
  <c r="F1754" i="5"/>
  <c r="D1754" i="5"/>
  <c r="B1754" i="5"/>
  <c r="C1754" i="5" s="1"/>
  <c r="M1753" i="5"/>
  <c r="I1753" i="5"/>
  <c r="F1753" i="5"/>
  <c r="D1753" i="5"/>
  <c r="B1753" i="5"/>
  <c r="C1753" i="5" s="1"/>
  <c r="M1752" i="5"/>
  <c r="I1752" i="5"/>
  <c r="F1752" i="5"/>
  <c r="D1752" i="5"/>
  <c r="B1752" i="5"/>
  <c r="C1752" i="5" s="1"/>
  <c r="M1751" i="5"/>
  <c r="I1751" i="5"/>
  <c r="F1751" i="5"/>
  <c r="D1751" i="5"/>
  <c r="B1751" i="5"/>
  <c r="C1751" i="5" s="1"/>
  <c r="M1750" i="5"/>
  <c r="I1750" i="5"/>
  <c r="F1750" i="5"/>
  <c r="D1750" i="5"/>
  <c r="B1750" i="5"/>
  <c r="C1750" i="5" s="1"/>
  <c r="M1749" i="5"/>
  <c r="I1749" i="5"/>
  <c r="F1749" i="5"/>
  <c r="D1749" i="5"/>
  <c r="B1749" i="5"/>
  <c r="C1749" i="5" s="1"/>
  <c r="M1748" i="5"/>
  <c r="I1748" i="5"/>
  <c r="F1748" i="5"/>
  <c r="D1748" i="5"/>
  <c r="B1748" i="5"/>
  <c r="C1748" i="5" s="1"/>
  <c r="M1747" i="5"/>
  <c r="I1747" i="5"/>
  <c r="F1747" i="5"/>
  <c r="D1747" i="5"/>
  <c r="B1747" i="5"/>
  <c r="C1747" i="5" s="1"/>
  <c r="M1746" i="5"/>
  <c r="I1746" i="5"/>
  <c r="F1746" i="5"/>
  <c r="D1746" i="5"/>
  <c r="B1746" i="5"/>
  <c r="C1746" i="5" s="1"/>
  <c r="M1745" i="5"/>
  <c r="I1745" i="5"/>
  <c r="F1745" i="5"/>
  <c r="D1745" i="5"/>
  <c r="B1745" i="5"/>
  <c r="C1745" i="5" s="1"/>
  <c r="M1744" i="5"/>
  <c r="I1744" i="5"/>
  <c r="F1744" i="5"/>
  <c r="D1744" i="5"/>
  <c r="B1744" i="5"/>
  <c r="C1744" i="5" s="1"/>
  <c r="M1743" i="5"/>
  <c r="I1743" i="5"/>
  <c r="F1743" i="5"/>
  <c r="D1743" i="5"/>
  <c r="B1743" i="5"/>
  <c r="C1743" i="5" s="1"/>
  <c r="M1742" i="5"/>
  <c r="I1742" i="5"/>
  <c r="F1742" i="5"/>
  <c r="D1742" i="5"/>
  <c r="B1742" i="5"/>
  <c r="C1742" i="5" s="1"/>
  <c r="M1741" i="5"/>
  <c r="I1741" i="5"/>
  <c r="F1741" i="5"/>
  <c r="D1741" i="5"/>
  <c r="B1741" i="5"/>
  <c r="C1741" i="5" s="1"/>
  <c r="M1740" i="5"/>
  <c r="I1740" i="5"/>
  <c r="F1740" i="5"/>
  <c r="D1740" i="5"/>
  <c r="B1740" i="5"/>
  <c r="C1740" i="5" s="1"/>
  <c r="M1739" i="5"/>
  <c r="I1739" i="5"/>
  <c r="F1739" i="5"/>
  <c r="D1739" i="5"/>
  <c r="C1739" i="5"/>
  <c r="B1739" i="5"/>
  <c r="M1738" i="5"/>
  <c r="I1738" i="5"/>
  <c r="F1738" i="5"/>
  <c r="D1738" i="5"/>
  <c r="B1738" i="5"/>
  <c r="C1738" i="5" s="1"/>
  <c r="M1737" i="5"/>
  <c r="I1737" i="5"/>
  <c r="F1737" i="5"/>
  <c r="D1737" i="5"/>
  <c r="B1737" i="5"/>
  <c r="C1737" i="5" s="1"/>
  <c r="M1736" i="5"/>
  <c r="I1736" i="5"/>
  <c r="F1736" i="5"/>
  <c r="D1736" i="5"/>
  <c r="B1736" i="5"/>
  <c r="C1736" i="5" s="1"/>
  <c r="M1735" i="5"/>
  <c r="I1735" i="5"/>
  <c r="F1735" i="5"/>
  <c r="D1735" i="5"/>
  <c r="B1735" i="5"/>
  <c r="C1735" i="5" s="1"/>
  <c r="M1734" i="5"/>
  <c r="I1734" i="5"/>
  <c r="F1734" i="5"/>
  <c r="D1734" i="5"/>
  <c r="B1734" i="5"/>
  <c r="C1734" i="5" s="1"/>
  <c r="M1733" i="5"/>
  <c r="I1733" i="5"/>
  <c r="F1733" i="5"/>
  <c r="D1733" i="5"/>
  <c r="B1733" i="5"/>
  <c r="C1733" i="5" s="1"/>
  <c r="M1732" i="5"/>
  <c r="I1732" i="5"/>
  <c r="F1732" i="5"/>
  <c r="D1732" i="5"/>
  <c r="B1732" i="5"/>
  <c r="C1732" i="5" s="1"/>
  <c r="M1731" i="5"/>
  <c r="I1731" i="5"/>
  <c r="F1731" i="5"/>
  <c r="D1731" i="5"/>
  <c r="B1731" i="5"/>
  <c r="C1731" i="5" s="1"/>
  <c r="M1730" i="5"/>
  <c r="I1730" i="5"/>
  <c r="F1730" i="5"/>
  <c r="D1730" i="5"/>
  <c r="B1730" i="5"/>
  <c r="C1730" i="5" s="1"/>
  <c r="M1729" i="5"/>
  <c r="I1729" i="5"/>
  <c r="F1729" i="5"/>
  <c r="D1729" i="5"/>
  <c r="B1729" i="5"/>
  <c r="C1729" i="5" s="1"/>
  <c r="M1728" i="5"/>
  <c r="I1728" i="5"/>
  <c r="F1728" i="5"/>
  <c r="D1728" i="5"/>
  <c r="B1728" i="5"/>
  <c r="C1728" i="5" s="1"/>
  <c r="M1727" i="5"/>
  <c r="I1727" i="5"/>
  <c r="F1727" i="5"/>
  <c r="D1727" i="5"/>
  <c r="B1727" i="5"/>
  <c r="C1727" i="5" s="1"/>
  <c r="M1726" i="5"/>
  <c r="I1726" i="5"/>
  <c r="F1726" i="5"/>
  <c r="D1726" i="5"/>
  <c r="B1726" i="5"/>
  <c r="C1726" i="5" s="1"/>
  <c r="M1725" i="5"/>
  <c r="I1725" i="5"/>
  <c r="F1725" i="5"/>
  <c r="D1725" i="5"/>
  <c r="B1725" i="5"/>
  <c r="C1725" i="5" s="1"/>
  <c r="M1724" i="5"/>
  <c r="I1724" i="5"/>
  <c r="F1724" i="5"/>
  <c r="D1724" i="5"/>
  <c r="B1724" i="5"/>
  <c r="C1724" i="5" s="1"/>
  <c r="M1723" i="5"/>
  <c r="I1723" i="5"/>
  <c r="F1723" i="5"/>
  <c r="D1723" i="5"/>
  <c r="B1723" i="5"/>
  <c r="C1723" i="5" s="1"/>
  <c r="M1722" i="5"/>
  <c r="I1722" i="5"/>
  <c r="F1722" i="5"/>
  <c r="D1722" i="5"/>
  <c r="B1722" i="5"/>
  <c r="C1722" i="5" s="1"/>
  <c r="M1721" i="5"/>
  <c r="I1721" i="5"/>
  <c r="F1721" i="5"/>
  <c r="D1721" i="5"/>
  <c r="B1721" i="5"/>
  <c r="C1721" i="5" s="1"/>
  <c r="M1720" i="5"/>
  <c r="I1720" i="5"/>
  <c r="F1720" i="5"/>
  <c r="D1720" i="5"/>
  <c r="B1720" i="5"/>
  <c r="C1720" i="5" s="1"/>
  <c r="M1719" i="5"/>
  <c r="I1719" i="5"/>
  <c r="F1719" i="5"/>
  <c r="D1719" i="5"/>
  <c r="B1719" i="5"/>
  <c r="C1719" i="5" s="1"/>
  <c r="M1718" i="5"/>
  <c r="I1718" i="5"/>
  <c r="F1718" i="5"/>
  <c r="D1718" i="5"/>
  <c r="B1718" i="5"/>
  <c r="C1718" i="5" s="1"/>
  <c r="M1717" i="5"/>
  <c r="I1717" i="5"/>
  <c r="F1717" i="5"/>
  <c r="D1717" i="5"/>
  <c r="B1717" i="5"/>
  <c r="C1717" i="5" s="1"/>
  <c r="M1716" i="5"/>
  <c r="I1716" i="5"/>
  <c r="F1716" i="5"/>
  <c r="D1716" i="5"/>
  <c r="B1716" i="5"/>
  <c r="C1716" i="5" s="1"/>
  <c r="M1715" i="5"/>
  <c r="I1715" i="5"/>
  <c r="F1715" i="5"/>
  <c r="D1715" i="5"/>
  <c r="B1715" i="5"/>
  <c r="C1715" i="5" s="1"/>
  <c r="M1714" i="5"/>
  <c r="I1714" i="5"/>
  <c r="F1714" i="5"/>
  <c r="D1714" i="5"/>
  <c r="B1714" i="5"/>
  <c r="C1714" i="5" s="1"/>
  <c r="M1713" i="5"/>
  <c r="I1713" i="5"/>
  <c r="F1713" i="5"/>
  <c r="D1713" i="5"/>
  <c r="B1713" i="5"/>
  <c r="C1713" i="5" s="1"/>
  <c r="M1712" i="5"/>
  <c r="I1712" i="5"/>
  <c r="F1712" i="5"/>
  <c r="D1712" i="5"/>
  <c r="B1712" i="5"/>
  <c r="C1712" i="5" s="1"/>
  <c r="M1711" i="5"/>
  <c r="I1711" i="5"/>
  <c r="F1711" i="5"/>
  <c r="D1711" i="5"/>
  <c r="B1711" i="5"/>
  <c r="C1711" i="5" s="1"/>
  <c r="M1710" i="5"/>
  <c r="I1710" i="5"/>
  <c r="F1710" i="5"/>
  <c r="D1710" i="5"/>
  <c r="B1710" i="5"/>
  <c r="C1710" i="5" s="1"/>
  <c r="M1709" i="5"/>
  <c r="I1709" i="5"/>
  <c r="F1709" i="5"/>
  <c r="D1709" i="5"/>
  <c r="B1709" i="5"/>
  <c r="C1709" i="5" s="1"/>
  <c r="M1708" i="5"/>
  <c r="I1708" i="5"/>
  <c r="F1708" i="5"/>
  <c r="D1708" i="5"/>
  <c r="B1708" i="5"/>
  <c r="C1708" i="5" s="1"/>
  <c r="M1707" i="5"/>
  <c r="I1707" i="5"/>
  <c r="F1707" i="5"/>
  <c r="D1707" i="5"/>
  <c r="C1707" i="5"/>
  <c r="B1707" i="5"/>
  <c r="M1706" i="5"/>
  <c r="I1706" i="5"/>
  <c r="F1706" i="5"/>
  <c r="D1706" i="5"/>
  <c r="B1706" i="5"/>
  <c r="C1706" i="5" s="1"/>
  <c r="M1705" i="5"/>
  <c r="I1705" i="5"/>
  <c r="F1705" i="5"/>
  <c r="D1705" i="5"/>
  <c r="B1705" i="5"/>
  <c r="C1705" i="5" s="1"/>
  <c r="M1704" i="5"/>
  <c r="I1704" i="5"/>
  <c r="F1704" i="5"/>
  <c r="D1704" i="5"/>
  <c r="B1704" i="5"/>
  <c r="C1704" i="5" s="1"/>
  <c r="M1703" i="5"/>
  <c r="I1703" i="5"/>
  <c r="F1703" i="5"/>
  <c r="D1703" i="5"/>
  <c r="B1703" i="5"/>
  <c r="C1703" i="5" s="1"/>
  <c r="M1702" i="5"/>
  <c r="I1702" i="5"/>
  <c r="F1702" i="5"/>
  <c r="D1702" i="5"/>
  <c r="B1702" i="5"/>
  <c r="C1702" i="5" s="1"/>
  <c r="M1701" i="5"/>
  <c r="I1701" i="5"/>
  <c r="F1701" i="5"/>
  <c r="D1701" i="5"/>
  <c r="B1701" i="5"/>
  <c r="C1701" i="5" s="1"/>
  <c r="M1700" i="5"/>
  <c r="I1700" i="5"/>
  <c r="F1700" i="5"/>
  <c r="D1700" i="5"/>
  <c r="B1700" i="5"/>
  <c r="C1700" i="5" s="1"/>
  <c r="M1699" i="5"/>
  <c r="I1699" i="5"/>
  <c r="F1699" i="5"/>
  <c r="D1699" i="5"/>
  <c r="C1699" i="5"/>
  <c r="B1699" i="5"/>
  <c r="M1698" i="5"/>
  <c r="I1698" i="5"/>
  <c r="F1698" i="5"/>
  <c r="D1698" i="5"/>
  <c r="B1698" i="5"/>
  <c r="C1698" i="5" s="1"/>
  <c r="M1697" i="5"/>
  <c r="I1697" i="5"/>
  <c r="F1697" i="5"/>
  <c r="D1697" i="5"/>
  <c r="B1697" i="5"/>
  <c r="C1697" i="5" s="1"/>
  <c r="M1696" i="5"/>
  <c r="I1696" i="5"/>
  <c r="F1696" i="5"/>
  <c r="D1696" i="5"/>
  <c r="C1696" i="5"/>
  <c r="B1696" i="5"/>
  <c r="M1695" i="5"/>
  <c r="I1695" i="5"/>
  <c r="F1695" i="5"/>
  <c r="D1695" i="5"/>
  <c r="C1695" i="5"/>
  <c r="B1695" i="5"/>
  <c r="M1694" i="5"/>
  <c r="I1694" i="5"/>
  <c r="F1694" i="5"/>
  <c r="D1694" i="5"/>
  <c r="B1694" i="5"/>
  <c r="C1694" i="5" s="1"/>
  <c r="M1693" i="5"/>
  <c r="I1693" i="5"/>
  <c r="F1693" i="5"/>
  <c r="D1693" i="5"/>
  <c r="B1693" i="5"/>
  <c r="C1693" i="5" s="1"/>
  <c r="M1692" i="5"/>
  <c r="I1692" i="5"/>
  <c r="F1692" i="5"/>
  <c r="D1692" i="5"/>
  <c r="C1692" i="5"/>
  <c r="B1692" i="5"/>
  <c r="M1691" i="5"/>
  <c r="I1691" i="5"/>
  <c r="F1691" i="5"/>
  <c r="D1691" i="5"/>
  <c r="B1691" i="5"/>
  <c r="C1691" i="5" s="1"/>
  <c r="M1690" i="5"/>
  <c r="I1690" i="5"/>
  <c r="F1690" i="5"/>
  <c r="D1690" i="5"/>
  <c r="B1690" i="5"/>
  <c r="C1690" i="5" s="1"/>
  <c r="M1689" i="5"/>
  <c r="I1689" i="5"/>
  <c r="F1689" i="5"/>
  <c r="D1689" i="5"/>
  <c r="B1689" i="5"/>
  <c r="C1689" i="5" s="1"/>
  <c r="M1688" i="5"/>
  <c r="I1688" i="5"/>
  <c r="F1688" i="5"/>
  <c r="D1688" i="5"/>
  <c r="B1688" i="5"/>
  <c r="C1688" i="5" s="1"/>
  <c r="M1687" i="5"/>
  <c r="I1687" i="5"/>
  <c r="F1687" i="5"/>
  <c r="D1687" i="5"/>
  <c r="B1687" i="5"/>
  <c r="C1687" i="5" s="1"/>
  <c r="M1686" i="5"/>
  <c r="I1686" i="5"/>
  <c r="F1686" i="5"/>
  <c r="D1686" i="5"/>
  <c r="B1686" i="5"/>
  <c r="C1686" i="5" s="1"/>
  <c r="M1685" i="5"/>
  <c r="I1685" i="5"/>
  <c r="F1685" i="5"/>
  <c r="D1685" i="5"/>
  <c r="B1685" i="5"/>
  <c r="C1685" i="5" s="1"/>
  <c r="M1684" i="5"/>
  <c r="I1684" i="5"/>
  <c r="F1684" i="5"/>
  <c r="D1684" i="5"/>
  <c r="B1684" i="5"/>
  <c r="C1684" i="5" s="1"/>
  <c r="M1683" i="5"/>
  <c r="I1683" i="5"/>
  <c r="F1683" i="5"/>
  <c r="D1683" i="5"/>
  <c r="B1683" i="5"/>
  <c r="C1683" i="5" s="1"/>
  <c r="M1682" i="5"/>
  <c r="I1682" i="5"/>
  <c r="F1682" i="5"/>
  <c r="D1682" i="5"/>
  <c r="B1682" i="5"/>
  <c r="C1682" i="5" s="1"/>
  <c r="M1681" i="5"/>
  <c r="I1681" i="5"/>
  <c r="F1681" i="5"/>
  <c r="D1681" i="5"/>
  <c r="B1681" i="5"/>
  <c r="C1681" i="5" s="1"/>
  <c r="M1680" i="5"/>
  <c r="I1680" i="5"/>
  <c r="F1680" i="5"/>
  <c r="D1680" i="5"/>
  <c r="B1680" i="5"/>
  <c r="C1680" i="5" s="1"/>
  <c r="M1679" i="5"/>
  <c r="I1679" i="5"/>
  <c r="F1679" i="5"/>
  <c r="D1679" i="5"/>
  <c r="B1679" i="5"/>
  <c r="C1679" i="5" s="1"/>
  <c r="M1678" i="5"/>
  <c r="I1678" i="5"/>
  <c r="F1678" i="5"/>
  <c r="D1678" i="5"/>
  <c r="B1678" i="5"/>
  <c r="C1678" i="5" s="1"/>
  <c r="M1677" i="5"/>
  <c r="I1677" i="5"/>
  <c r="F1677" i="5"/>
  <c r="D1677" i="5"/>
  <c r="B1677" i="5"/>
  <c r="C1677" i="5" s="1"/>
  <c r="M1676" i="5"/>
  <c r="I1676" i="5"/>
  <c r="F1676" i="5"/>
  <c r="D1676" i="5"/>
  <c r="B1676" i="5"/>
  <c r="C1676" i="5" s="1"/>
  <c r="M1675" i="5"/>
  <c r="I1675" i="5"/>
  <c r="F1675" i="5"/>
  <c r="D1675" i="5"/>
  <c r="B1675" i="5"/>
  <c r="C1675" i="5" s="1"/>
  <c r="M1674" i="5"/>
  <c r="I1674" i="5"/>
  <c r="F1674" i="5"/>
  <c r="D1674" i="5"/>
  <c r="B1674" i="5"/>
  <c r="C1674" i="5" s="1"/>
  <c r="M1673" i="5"/>
  <c r="I1673" i="5"/>
  <c r="F1673" i="5"/>
  <c r="D1673" i="5"/>
  <c r="B1673" i="5"/>
  <c r="C1673" i="5" s="1"/>
  <c r="M1672" i="5"/>
  <c r="I1672" i="5"/>
  <c r="F1672" i="5"/>
  <c r="D1672" i="5"/>
  <c r="B1672" i="5"/>
  <c r="C1672" i="5" s="1"/>
  <c r="M1671" i="5"/>
  <c r="I1671" i="5"/>
  <c r="F1671" i="5"/>
  <c r="D1671" i="5"/>
  <c r="B1671" i="5"/>
  <c r="C1671" i="5" s="1"/>
  <c r="M1670" i="5"/>
  <c r="I1670" i="5"/>
  <c r="F1670" i="5"/>
  <c r="D1670" i="5"/>
  <c r="B1670" i="5"/>
  <c r="C1670" i="5" s="1"/>
  <c r="M1669" i="5"/>
  <c r="I1669" i="5"/>
  <c r="F1669" i="5"/>
  <c r="D1669" i="5"/>
  <c r="B1669" i="5"/>
  <c r="C1669" i="5" s="1"/>
  <c r="M1668" i="5"/>
  <c r="I1668" i="5"/>
  <c r="F1668" i="5"/>
  <c r="D1668" i="5"/>
  <c r="B1668" i="5"/>
  <c r="C1668" i="5" s="1"/>
  <c r="M1667" i="5"/>
  <c r="I1667" i="5"/>
  <c r="F1667" i="5"/>
  <c r="D1667" i="5"/>
  <c r="C1667" i="5"/>
  <c r="B1667" i="5"/>
  <c r="M1666" i="5"/>
  <c r="I1666" i="5"/>
  <c r="F1666" i="5"/>
  <c r="D1666" i="5"/>
  <c r="B1666" i="5"/>
  <c r="C1666" i="5" s="1"/>
  <c r="M1665" i="5"/>
  <c r="I1665" i="5"/>
  <c r="F1665" i="5"/>
  <c r="D1665" i="5"/>
  <c r="B1665" i="5"/>
  <c r="C1665" i="5" s="1"/>
  <c r="M1664" i="5"/>
  <c r="I1664" i="5"/>
  <c r="F1664" i="5"/>
  <c r="D1664" i="5"/>
  <c r="C1664" i="5"/>
  <c r="B1664" i="5"/>
  <c r="M1663" i="5"/>
  <c r="I1663" i="5"/>
  <c r="F1663" i="5"/>
  <c r="D1663" i="5"/>
  <c r="C1663" i="5"/>
  <c r="B1663" i="5"/>
  <c r="M1662" i="5"/>
  <c r="I1662" i="5"/>
  <c r="F1662" i="5"/>
  <c r="D1662" i="5"/>
  <c r="B1662" i="5"/>
  <c r="C1662" i="5" s="1"/>
  <c r="M1661" i="5"/>
  <c r="I1661" i="5"/>
  <c r="F1661" i="5"/>
  <c r="D1661" i="5"/>
  <c r="B1661" i="5"/>
  <c r="C1661" i="5" s="1"/>
  <c r="M1660" i="5"/>
  <c r="I1660" i="5"/>
  <c r="F1660" i="5"/>
  <c r="D1660" i="5"/>
  <c r="C1660" i="5"/>
  <c r="B1660" i="5"/>
  <c r="M1659" i="5"/>
  <c r="I1659" i="5"/>
  <c r="F1659" i="5"/>
  <c r="D1659" i="5"/>
  <c r="B1659" i="5"/>
  <c r="C1659" i="5" s="1"/>
  <c r="M1658" i="5"/>
  <c r="I1658" i="5"/>
  <c r="F1658" i="5"/>
  <c r="D1658" i="5"/>
  <c r="B1658" i="5"/>
  <c r="C1658" i="5" s="1"/>
  <c r="M1657" i="5"/>
  <c r="I1657" i="5"/>
  <c r="F1657" i="5"/>
  <c r="D1657" i="5"/>
  <c r="B1657" i="5"/>
  <c r="C1657" i="5" s="1"/>
  <c r="M1656" i="5"/>
  <c r="I1656" i="5"/>
  <c r="F1656" i="5"/>
  <c r="D1656" i="5"/>
  <c r="C1656" i="5"/>
  <c r="B1656" i="5"/>
  <c r="M1655" i="5"/>
  <c r="I1655" i="5"/>
  <c r="F1655" i="5"/>
  <c r="D1655" i="5"/>
  <c r="B1655" i="5"/>
  <c r="C1655" i="5" s="1"/>
  <c r="M1654" i="5"/>
  <c r="I1654" i="5"/>
  <c r="F1654" i="5"/>
  <c r="D1654" i="5"/>
  <c r="B1654" i="5"/>
  <c r="C1654" i="5" s="1"/>
  <c r="M1653" i="5"/>
  <c r="I1653" i="5"/>
  <c r="F1653" i="5"/>
  <c r="D1653" i="5"/>
  <c r="B1653" i="5"/>
  <c r="C1653" i="5" s="1"/>
  <c r="M1652" i="5"/>
  <c r="I1652" i="5"/>
  <c r="F1652" i="5"/>
  <c r="D1652" i="5"/>
  <c r="B1652" i="5"/>
  <c r="C1652" i="5" s="1"/>
  <c r="M1651" i="5"/>
  <c r="I1651" i="5"/>
  <c r="F1651" i="5"/>
  <c r="D1651" i="5"/>
  <c r="B1651" i="5"/>
  <c r="C1651" i="5" s="1"/>
  <c r="M1650" i="5"/>
  <c r="I1650" i="5"/>
  <c r="F1650" i="5"/>
  <c r="D1650" i="5"/>
  <c r="B1650" i="5"/>
  <c r="C1650" i="5" s="1"/>
  <c r="M1649" i="5"/>
  <c r="I1649" i="5"/>
  <c r="F1649" i="5"/>
  <c r="D1649" i="5"/>
  <c r="B1649" i="5"/>
  <c r="C1649" i="5" s="1"/>
  <c r="M1648" i="5"/>
  <c r="I1648" i="5"/>
  <c r="F1648" i="5"/>
  <c r="D1648" i="5"/>
  <c r="B1648" i="5"/>
  <c r="C1648" i="5" s="1"/>
  <c r="M1647" i="5"/>
  <c r="I1647" i="5"/>
  <c r="F1647" i="5"/>
  <c r="D1647" i="5"/>
  <c r="C1647" i="5"/>
  <c r="B1647" i="5"/>
  <c r="M1646" i="5"/>
  <c r="I1646" i="5"/>
  <c r="F1646" i="5"/>
  <c r="D1646" i="5"/>
  <c r="B1646" i="5"/>
  <c r="C1646" i="5" s="1"/>
  <c r="M1645" i="5"/>
  <c r="I1645" i="5"/>
  <c r="F1645" i="5"/>
  <c r="D1645" i="5"/>
  <c r="B1645" i="5"/>
  <c r="C1645" i="5" s="1"/>
  <c r="M1644" i="5"/>
  <c r="I1644" i="5"/>
  <c r="F1644" i="5"/>
  <c r="D1644" i="5"/>
  <c r="B1644" i="5"/>
  <c r="C1644" i="5" s="1"/>
  <c r="M1643" i="5"/>
  <c r="I1643" i="5"/>
  <c r="F1643" i="5"/>
  <c r="D1643" i="5"/>
  <c r="B1643" i="5"/>
  <c r="C1643" i="5" s="1"/>
  <c r="M1642" i="5"/>
  <c r="I1642" i="5"/>
  <c r="F1642" i="5"/>
  <c r="D1642" i="5"/>
  <c r="B1642" i="5"/>
  <c r="C1642" i="5" s="1"/>
  <c r="M1641" i="5"/>
  <c r="I1641" i="5"/>
  <c r="F1641" i="5"/>
  <c r="D1641" i="5"/>
  <c r="C1641" i="5"/>
  <c r="B1641" i="5"/>
  <c r="M1640" i="5"/>
  <c r="I1640" i="5"/>
  <c r="F1640" i="5"/>
  <c r="D1640" i="5"/>
  <c r="C1640" i="5"/>
  <c r="B1640" i="5"/>
  <c r="M1639" i="5"/>
  <c r="I1639" i="5"/>
  <c r="F1639" i="5"/>
  <c r="D1639" i="5"/>
  <c r="B1639" i="5"/>
  <c r="C1639" i="5" s="1"/>
  <c r="M1638" i="5"/>
  <c r="I1638" i="5"/>
  <c r="F1638" i="5"/>
  <c r="D1638" i="5"/>
  <c r="B1638" i="5"/>
  <c r="C1638" i="5" s="1"/>
  <c r="M1637" i="5"/>
  <c r="I1637" i="5"/>
  <c r="F1637" i="5"/>
  <c r="D1637" i="5"/>
  <c r="B1637" i="5"/>
  <c r="C1637" i="5" s="1"/>
  <c r="M1636" i="5"/>
  <c r="I1636" i="5"/>
  <c r="F1636" i="5"/>
  <c r="D1636" i="5"/>
  <c r="C1636" i="5"/>
  <c r="B1636" i="5"/>
  <c r="M1635" i="5"/>
  <c r="I1635" i="5"/>
  <c r="F1635" i="5"/>
  <c r="D1635" i="5"/>
  <c r="B1635" i="5"/>
  <c r="C1635" i="5" s="1"/>
  <c r="M1634" i="5"/>
  <c r="I1634" i="5"/>
  <c r="F1634" i="5"/>
  <c r="D1634" i="5"/>
  <c r="B1634" i="5"/>
  <c r="C1634" i="5" s="1"/>
  <c r="M1633" i="5"/>
  <c r="I1633" i="5"/>
  <c r="F1633" i="5"/>
  <c r="D1633" i="5"/>
  <c r="B1633" i="5"/>
  <c r="C1633" i="5" s="1"/>
  <c r="M1632" i="5"/>
  <c r="I1632" i="5"/>
  <c r="F1632" i="5"/>
  <c r="D1632" i="5"/>
  <c r="B1632" i="5"/>
  <c r="C1632" i="5" s="1"/>
  <c r="M1631" i="5"/>
  <c r="I1631" i="5"/>
  <c r="F1631" i="5"/>
  <c r="D1631" i="5"/>
  <c r="C1631" i="5"/>
  <c r="B1631" i="5"/>
  <c r="M1630" i="5"/>
  <c r="I1630" i="5"/>
  <c r="F1630" i="5"/>
  <c r="D1630" i="5"/>
  <c r="B1630" i="5"/>
  <c r="C1630" i="5" s="1"/>
  <c r="M1629" i="5"/>
  <c r="I1629" i="5"/>
  <c r="F1629" i="5"/>
  <c r="D1629" i="5"/>
  <c r="B1629" i="5"/>
  <c r="C1629" i="5" s="1"/>
  <c r="M1628" i="5"/>
  <c r="I1628" i="5"/>
  <c r="F1628" i="5"/>
  <c r="D1628" i="5"/>
  <c r="C1628" i="5"/>
  <c r="B1628" i="5"/>
  <c r="M1627" i="5"/>
  <c r="I1627" i="5"/>
  <c r="F1627" i="5"/>
  <c r="D1627" i="5"/>
  <c r="B1627" i="5"/>
  <c r="C1627" i="5" s="1"/>
  <c r="M1626" i="5"/>
  <c r="I1626" i="5"/>
  <c r="F1626" i="5"/>
  <c r="D1626" i="5"/>
  <c r="B1626" i="5"/>
  <c r="C1626" i="5" s="1"/>
  <c r="M1625" i="5"/>
  <c r="I1625" i="5"/>
  <c r="F1625" i="5"/>
  <c r="D1625" i="5"/>
  <c r="B1625" i="5"/>
  <c r="C1625" i="5" s="1"/>
  <c r="M1624" i="5"/>
  <c r="I1624" i="5"/>
  <c r="F1624" i="5"/>
  <c r="D1624" i="5"/>
  <c r="B1624" i="5"/>
  <c r="C1624" i="5" s="1"/>
  <c r="M1623" i="5"/>
  <c r="I1623" i="5"/>
  <c r="F1623" i="5"/>
  <c r="D1623" i="5"/>
  <c r="C1623" i="5"/>
  <c r="B1623" i="5"/>
  <c r="M1622" i="5"/>
  <c r="I1622" i="5"/>
  <c r="F1622" i="5"/>
  <c r="D1622" i="5"/>
  <c r="B1622" i="5"/>
  <c r="C1622" i="5" s="1"/>
  <c r="M1621" i="5"/>
  <c r="I1621" i="5"/>
  <c r="F1621" i="5"/>
  <c r="D1621" i="5"/>
  <c r="B1621" i="5"/>
  <c r="C1621" i="5" s="1"/>
  <c r="M1620" i="5"/>
  <c r="I1620" i="5"/>
  <c r="F1620" i="5"/>
  <c r="D1620" i="5"/>
  <c r="B1620" i="5"/>
  <c r="C1620" i="5" s="1"/>
  <c r="M1619" i="5"/>
  <c r="I1619" i="5"/>
  <c r="F1619" i="5"/>
  <c r="D1619" i="5"/>
  <c r="B1619" i="5"/>
  <c r="C1619" i="5" s="1"/>
  <c r="M1618" i="5"/>
  <c r="I1618" i="5"/>
  <c r="F1618" i="5"/>
  <c r="D1618" i="5"/>
  <c r="B1618" i="5"/>
  <c r="C1618" i="5" s="1"/>
  <c r="M1617" i="5"/>
  <c r="I1617" i="5"/>
  <c r="F1617" i="5"/>
  <c r="D1617" i="5"/>
  <c r="C1617" i="5"/>
  <c r="B1617" i="5"/>
  <c r="M1616" i="5"/>
  <c r="I1616" i="5"/>
  <c r="F1616" i="5"/>
  <c r="D1616" i="5"/>
  <c r="C1616" i="5"/>
  <c r="B1616" i="5"/>
  <c r="M1615" i="5"/>
  <c r="I1615" i="5"/>
  <c r="F1615" i="5"/>
  <c r="D1615" i="5"/>
  <c r="C1615" i="5"/>
  <c r="B1615" i="5"/>
  <c r="M1614" i="5"/>
  <c r="I1614" i="5"/>
  <c r="F1614" i="5"/>
  <c r="D1614" i="5"/>
  <c r="B1614" i="5"/>
  <c r="C1614" i="5" s="1"/>
  <c r="M1613" i="5"/>
  <c r="I1613" i="5"/>
  <c r="F1613" i="5"/>
  <c r="D1613" i="5"/>
  <c r="B1613" i="5"/>
  <c r="C1613" i="5" s="1"/>
  <c r="M1612" i="5"/>
  <c r="I1612" i="5"/>
  <c r="F1612" i="5"/>
  <c r="D1612" i="5"/>
  <c r="B1612" i="5"/>
  <c r="C1612" i="5" s="1"/>
  <c r="M1611" i="5"/>
  <c r="I1611" i="5"/>
  <c r="F1611" i="5"/>
  <c r="D1611" i="5"/>
  <c r="B1611" i="5"/>
  <c r="C1611" i="5" s="1"/>
  <c r="M1610" i="5"/>
  <c r="I1610" i="5"/>
  <c r="F1610" i="5"/>
  <c r="D1610" i="5"/>
  <c r="B1610" i="5"/>
  <c r="C1610" i="5" s="1"/>
  <c r="M1609" i="5"/>
  <c r="I1609" i="5"/>
  <c r="F1609" i="5"/>
  <c r="D1609" i="5"/>
  <c r="C1609" i="5"/>
  <c r="B1609" i="5"/>
  <c r="M1608" i="5"/>
  <c r="I1608" i="5"/>
  <c r="F1608" i="5"/>
  <c r="D1608" i="5"/>
  <c r="B1608" i="5"/>
  <c r="C1608" i="5" s="1"/>
  <c r="M1607" i="5"/>
  <c r="I1607" i="5"/>
  <c r="F1607" i="5"/>
  <c r="D1607" i="5"/>
  <c r="B1607" i="5"/>
  <c r="C1607" i="5" s="1"/>
  <c r="M1606" i="5"/>
  <c r="I1606" i="5"/>
  <c r="F1606" i="5"/>
  <c r="D1606" i="5"/>
  <c r="B1606" i="5"/>
  <c r="C1606" i="5" s="1"/>
  <c r="M1605" i="5"/>
  <c r="I1605" i="5"/>
  <c r="F1605" i="5"/>
  <c r="D1605" i="5"/>
  <c r="B1605" i="5"/>
  <c r="C1605" i="5" s="1"/>
  <c r="M1604" i="5"/>
  <c r="I1604" i="5"/>
  <c r="F1604" i="5"/>
  <c r="D1604" i="5"/>
  <c r="B1604" i="5"/>
  <c r="C1604" i="5" s="1"/>
  <c r="M1603" i="5"/>
  <c r="I1603" i="5"/>
  <c r="F1603" i="5"/>
  <c r="D1603" i="5"/>
  <c r="C1603" i="5"/>
  <c r="B1603" i="5"/>
  <c r="M1602" i="5"/>
  <c r="I1602" i="5"/>
  <c r="F1602" i="5"/>
  <c r="D1602" i="5"/>
  <c r="B1602" i="5"/>
  <c r="C1602" i="5" s="1"/>
  <c r="M1601" i="5"/>
  <c r="I1601" i="5"/>
  <c r="F1601" i="5"/>
  <c r="D1601" i="5"/>
  <c r="C1601" i="5"/>
  <c r="B1601" i="5"/>
  <c r="M1600" i="5"/>
  <c r="I1600" i="5"/>
  <c r="F1600" i="5"/>
  <c r="D1600" i="5"/>
  <c r="B1600" i="5"/>
  <c r="C1600" i="5" s="1"/>
  <c r="M1599" i="5"/>
  <c r="I1599" i="5"/>
  <c r="F1599" i="5"/>
  <c r="D1599" i="5"/>
  <c r="B1599" i="5"/>
  <c r="C1599" i="5" s="1"/>
  <c r="M1598" i="5"/>
  <c r="I1598" i="5"/>
  <c r="F1598" i="5"/>
  <c r="D1598" i="5"/>
  <c r="B1598" i="5"/>
  <c r="C1598" i="5" s="1"/>
  <c r="M1597" i="5"/>
  <c r="I1597" i="5"/>
  <c r="F1597" i="5"/>
  <c r="D1597" i="5"/>
  <c r="C1597" i="5"/>
  <c r="B1597" i="5"/>
  <c r="M1596" i="5"/>
  <c r="I1596" i="5"/>
  <c r="F1596" i="5"/>
  <c r="D1596" i="5"/>
  <c r="C1596" i="5"/>
  <c r="B1596" i="5"/>
  <c r="M1595" i="5"/>
  <c r="I1595" i="5"/>
  <c r="F1595" i="5"/>
  <c r="D1595" i="5"/>
  <c r="B1595" i="5"/>
  <c r="C1595" i="5" s="1"/>
  <c r="M1594" i="5"/>
  <c r="I1594" i="5"/>
  <c r="F1594" i="5"/>
  <c r="D1594" i="5"/>
  <c r="B1594" i="5"/>
  <c r="C1594" i="5" s="1"/>
  <c r="M1593" i="5"/>
  <c r="I1593" i="5"/>
  <c r="F1593" i="5"/>
  <c r="D1593" i="5"/>
  <c r="B1593" i="5"/>
  <c r="C1593" i="5" s="1"/>
  <c r="M1592" i="5"/>
  <c r="I1592" i="5"/>
  <c r="F1592" i="5"/>
  <c r="D1592" i="5"/>
  <c r="B1592" i="5"/>
  <c r="C1592" i="5" s="1"/>
  <c r="M1591" i="5"/>
  <c r="I1591" i="5"/>
  <c r="F1591" i="5"/>
  <c r="D1591" i="5"/>
  <c r="B1591" i="5"/>
  <c r="C1591" i="5" s="1"/>
  <c r="M1590" i="5"/>
  <c r="I1590" i="5"/>
  <c r="F1590" i="5"/>
  <c r="D1590" i="5"/>
  <c r="B1590" i="5"/>
  <c r="C1590" i="5" s="1"/>
  <c r="M1589" i="5"/>
  <c r="I1589" i="5"/>
  <c r="F1589" i="5"/>
  <c r="D1589" i="5"/>
  <c r="B1589" i="5"/>
  <c r="C1589" i="5" s="1"/>
  <c r="M1588" i="5"/>
  <c r="I1588" i="5"/>
  <c r="F1588" i="5"/>
  <c r="D1588" i="5"/>
  <c r="B1588" i="5"/>
  <c r="C1588" i="5" s="1"/>
  <c r="M1587" i="5"/>
  <c r="I1587" i="5"/>
  <c r="F1587" i="5"/>
  <c r="D1587" i="5"/>
  <c r="B1587" i="5"/>
  <c r="C1587" i="5" s="1"/>
  <c r="M1586" i="5"/>
  <c r="I1586" i="5"/>
  <c r="F1586" i="5"/>
  <c r="D1586" i="5"/>
  <c r="B1586" i="5"/>
  <c r="C1586" i="5" s="1"/>
  <c r="M1585" i="5"/>
  <c r="I1585" i="5"/>
  <c r="F1585" i="5"/>
  <c r="D1585" i="5"/>
  <c r="B1585" i="5"/>
  <c r="C1585" i="5" s="1"/>
  <c r="M1584" i="5"/>
  <c r="I1584" i="5"/>
  <c r="F1584" i="5"/>
  <c r="D1584" i="5"/>
  <c r="C1584" i="5"/>
  <c r="B1584" i="5"/>
  <c r="M1583" i="5"/>
  <c r="I1583" i="5"/>
  <c r="F1583" i="5"/>
  <c r="D1583" i="5"/>
  <c r="B1583" i="5"/>
  <c r="C1583" i="5" s="1"/>
  <c r="M1582" i="5"/>
  <c r="I1582" i="5"/>
  <c r="F1582" i="5"/>
  <c r="D1582" i="5"/>
  <c r="B1582" i="5"/>
  <c r="C1582" i="5" s="1"/>
  <c r="M1581" i="5"/>
  <c r="I1581" i="5"/>
  <c r="F1581" i="5"/>
  <c r="D1581" i="5"/>
  <c r="B1581" i="5"/>
  <c r="C1581" i="5" s="1"/>
  <c r="M1580" i="5"/>
  <c r="I1580" i="5"/>
  <c r="F1580" i="5"/>
  <c r="D1580" i="5"/>
  <c r="B1580" i="5"/>
  <c r="C1580" i="5" s="1"/>
  <c r="M1579" i="5"/>
  <c r="I1579" i="5"/>
  <c r="F1579" i="5"/>
  <c r="D1579" i="5"/>
  <c r="C1579" i="5"/>
  <c r="B1579" i="5"/>
  <c r="M1578" i="5"/>
  <c r="I1578" i="5"/>
  <c r="F1578" i="5"/>
  <c r="D1578" i="5"/>
  <c r="B1578" i="5"/>
  <c r="C1578" i="5" s="1"/>
  <c r="M1577" i="5"/>
  <c r="I1577" i="5"/>
  <c r="F1577" i="5"/>
  <c r="D1577" i="5"/>
  <c r="B1577" i="5"/>
  <c r="C1577" i="5" s="1"/>
  <c r="M1576" i="5"/>
  <c r="I1576" i="5"/>
  <c r="F1576" i="5"/>
  <c r="D1576" i="5"/>
  <c r="B1576" i="5"/>
  <c r="C1576" i="5" s="1"/>
  <c r="M1575" i="5"/>
  <c r="I1575" i="5"/>
  <c r="F1575" i="5"/>
  <c r="D1575" i="5"/>
  <c r="B1575" i="5"/>
  <c r="C1575" i="5" s="1"/>
  <c r="M1574" i="5"/>
  <c r="I1574" i="5"/>
  <c r="F1574" i="5"/>
  <c r="D1574" i="5"/>
  <c r="B1574" i="5"/>
  <c r="C1574" i="5" s="1"/>
  <c r="M1573" i="5"/>
  <c r="I1573" i="5"/>
  <c r="F1573" i="5"/>
  <c r="D1573" i="5"/>
  <c r="B1573" i="5"/>
  <c r="C1573" i="5" s="1"/>
  <c r="M1572" i="5"/>
  <c r="I1572" i="5"/>
  <c r="F1572" i="5"/>
  <c r="D1572" i="5"/>
  <c r="C1572" i="5"/>
  <c r="B1572" i="5"/>
  <c r="M1571" i="5"/>
  <c r="I1571" i="5"/>
  <c r="F1571" i="5"/>
  <c r="D1571" i="5"/>
  <c r="C1571" i="5"/>
  <c r="B1571" i="5"/>
  <c r="M1570" i="5"/>
  <c r="I1570" i="5"/>
  <c r="F1570" i="5"/>
  <c r="D1570" i="5"/>
  <c r="B1570" i="5"/>
  <c r="C1570" i="5" s="1"/>
  <c r="M1569" i="5"/>
  <c r="I1569" i="5"/>
  <c r="F1569" i="5"/>
  <c r="D1569" i="5"/>
  <c r="B1569" i="5"/>
  <c r="C1569" i="5" s="1"/>
  <c r="M1568" i="5"/>
  <c r="I1568" i="5"/>
  <c r="F1568" i="5"/>
  <c r="D1568" i="5"/>
  <c r="B1568" i="5"/>
  <c r="C1568" i="5" s="1"/>
  <c r="M1567" i="5"/>
  <c r="I1567" i="5"/>
  <c r="F1567" i="5"/>
  <c r="D1567" i="5"/>
  <c r="B1567" i="5"/>
  <c r="C1567" i="5" s="1"/>
  <c r="M1566" i="5"/>
  <c r="I1566" i="5"/>
  <c r="F1566" i="5"/>
  <c r="D1566" i="5"/>
  <c r="B1566" i="5"/>
  <c r="C1566" i="5" s="1"/>
  <c r="M1565" i="5"/>
  <c r="I1565" i="5"/>
  <c r="F1565" i="5"/>
  <c r="D1565" i="5"/>
  <c r="C1565" i="5"/>
  <c r="B1565" i="5"/>
  <c r="M1564" i="5"/>
  <c r="I1564" i="5"/>
  <c r="F1564" i="5"/>
  <c r="D1564" i="5"/>
  <c r="B1564" i="5"/>
  <c r="C1564" i="5" s="1"/>
  <c r="M1563" i="5"/>
  <c r="I1563" i="5"/>
  <c r="F1563" i="5"/>
  <c r="D1563" i="5"/>
  <c r="B1563" i="5"/>
  <c r="C1563" i="5" s="1"/>
  <c r="M1562" i="5"/>
  <c r="I1562" i="5"/>
  <c r="F1562" i="5"/>
  <c r="D1562" i="5"/>
  <c r="B1562" i="5"/>
  <c r="C1562" i="5" s="1"/>
  <c r="M1561" i="5"/>
  <c r="I1561" i="5"/>
  <c r="F1561" i="5"/>
  <c r="D1561" i="5"/>
  <c r="B1561" i="5"/>
  <c r="C1561" i="5" s="1"/>
  <c r="M1560" i="5"/>
  <c r="I1560" i="5"/>
  <c r="F1560" i="5"/>
  <c r="D1560" i="5"/>
  <c r="C1560" i="5"/>
  <c r="B1560" i="5"/>
  <c r="M1559" i="5"/>
  <c r="I1559" i="5"/>
  <c r="F1559" i="5"/>
  <c r="D1559" i="5"/>
  <c r="C1559" i="5"/>
  <c r="B1559" i="5"/>
  <c r="M1558" i="5"/>
  <c r="I1558" i="5"/>
  <c r="F1558" i="5"/>
  <c r="D1558" i="5"/>
  <c r="B1558" i="5"/>
  <c r="C1558" i="5" s="1"/>
  <c r="M1557" i="5"/>
  <c r="I1557" i="5"/>
  <c r="F1557" i="5"/>
  <c r="D1557" i="5"/>
  <c r="B1557" i="5"/>
  <c r="C1557" i="5" s="1"/>
  <c r="M1556" i="5"/>
  <c r="I1556" i="5"/>
  <c r="F1556" i="5"/>
  <c r="D1556" i="5"/>
  <c r="B1556" i="5"/>
  <c r="C1556" i="5" s="1"/>
  <c r="M1555" i="5"/>
  <c r="I1555" i="5"/>
  <c r="F1555" i="5"/>
  <c r="D1555" i="5"/>
  <c r="B1555" i="5"/>
  <c r="C1555" i="5" s="1"/>
  <c r="M1554" i="5"/>
  <c r="I1554" i="5"/>
  <c r="F1554" i="5"/>
  <c r="D1554" i="5"/>
  <c r="B1554" i="5"/>
  <c r="C1554" i="5" s="1"/>
  <c r="M1553" i="5"/>
  <c r="I1553" i="5"/>
  <c r="F1553" i="5"/>
  <c r="D1553" i="5"/>
  <c r="C1553" i="5"/>
  <c r="B1553" i="5"/>
  <c r="M1552" i="5"/>
  <c r="I1552" i="5"/>
  <c r="F1552" i="5"/>
  <c r="D1552" i="5"/>
  <c r="C1552" i="5"/>
  <c r="B1552" i="5"/>
  <c r="M1551" i="5"/>
  <c r="I1551" i="5"/>
  <c r="F1551" i="5"/>
  <c r="D1551" i="5"/>
  <c r="B1551" i="5"/>
  <c r="C1551" i="5" s="1"/>
  <c r="M1550" i="5"/>
  <c r="I1550" i="5"/>
  <c r="F1550" i="5"/>
  <c r="D1550" i="5"/>
  <c r="B1550" i="5"/>
  <c r="C1550" i="5" s="1"/>
  <c r="M1549" i="5"/>
  <c r="I1549" i="5"/>
  <c r="F1549" i="5"/>
  <c r="D1549" i="5"/>
  <c r="B1549" i="5"/>
  <c r="C1549" i="5" s="1"/>
  <c r="M1548" i="5"/>
  <c r="I1548" i="5"/>
  <c r="F1548" i="5"/>
  <c r="D1548" i="5"/>
  <c r="B1548" i="5"/>
  <c r="C1548" i="5" s="1"/>
  <c r="M1547" i="5"/>
  <c r="I1547" i="5"/>
  <c r="F1547" i="5"/>
  <c r="D1547" i="5"/>
  <c r="B1547" i="5"/>
  <c r="C1547" i="5" s="1"/>
  <c r="M1546" i="5"/>
  <c r="I1546" i="5"/>
  <c r="F1546" i="5"/>
  <c r="D1546" i="5"/>
  <c r="B1546" i="5"/>
  <c r="C1546" i="5" s="1"/>
  <c r="M1545" i="5"/>
  <c r="I1545" i="5"/>
  <c r="F1545" i="5"/>
  <c r="D1545" i="5"/>
  <c r="B1545" i="5"/>
  <c r="C1545" i="5" s="1"/>
  <c r="M1544" i="5"/>
  <c r="I1544" i="5"/>
  <c r="F1544" i="5"/>
  <c r="D1544" i="5"/>
  <c r="C1544" i="5"/>
  <c r="B1544" i="5"/>
  <c r="M1543" i="5"/>
  <c r="I1543" i="5"/>
  <c r="F1543" i="5"/>
  <c r="D1543" i="5"/>
  <c r="B1543" i="5"/>
  <c r="C1543" i="5" s="1"/>
  <c r="M1542" i="5"/>
  <c r="I1542" i="5"/>
  <c r="F1542" i="5"/>
  <c r="D1542" i="5"/>
  <c r="B1542" i="5"/>
  <c r="C1542" i="5" s="1"/>
  <c r="M1541" i="5"/>
  <c r="I1541" i="5"/>
  <c r="F1541" i="5"/>
  <c r="D1541" i="5"/>
  <c r="B1541" i="5"/>
  <c r="C1541" i="5" s="1"/>
  <c r="M1540" i="5"/>
  <c r="I1540" i="5"/>
  <c r="F1540" i="5"/>
  <c r="D1540" i="5"/>
  <c r="C1540" i="5"/>
  <c r="B1540" i="5"/>
  <c r="M1539" i="5"/>
  <c r="I1539" i="5"/>
  <c r="F1539" i="5"/>
  <c r="D1539" i="5"/>
  <c r="B1539" i="5"/>
  <c r="C1539" i="5" s="1"/>
  <c r="M1538" i="5"/>
  <c r="I1538" i="5"/>
  <c r="F1538" i="5"/>
  <c r="D1538" i="5"/>
  <c r="B1538" i="5"/>
  <c r="C1538" i="5" s="1"/>
  <c r="M1537" i="5"/>
  <c r="I1537" i="5"/>
  <c r="F1537" i="5"/>
  <c r="D1537" i="5"/>
  <c r="C1537" i="5"/>
  <c r="B1537" i="5"/>
  <c r="M1536" i="5"/>
  <c r="I1536" i="5"/>
  <c r="F1536" i="5"/>
  <c r="D1536" i="5"/>
  <c r="B1536" i="5"/>
  <c r="C1536" i="5" s="1"/>
  <c r="M1535" i="5"/>
  <c r="I1535" i="5"/>
  <c r="F1535" i="5"/>
  <c r="D1535" i="5"/>
  <c r="B1535" i="5"/>
  <c r="C1535" i="5" s="1"/>
  <c r="M1534" i="5"/>
  <c r="I1534" i="5"/>
  <c r="F1534" i="5"/>
  <c r="D1534" i="5"/>
  <c r="B1534" i="5"/>
  <c r="C1534" i="5" s="1"/>
  <c r="M1533" i="5"/>
  <c r="I1533" i="5"/>
  <c r="F1533" i="5"/>
  <c r="D1533" i="5"/>
  <c r="C1533" i="5"/>
  <c r="B1533" i="5"/>
  <c r="M1532" i="5"/>
  <c r="I1532" i="5"/>
  <c r="F1532" i="5"/>
  <c r="D1532" i="5"/>
  <c r="B1532" i="5"/>
  <c r="C1532" i="5" s="1"/>
  <c r="M1531" i="5"/>
  <c r="I1531" i="5"/>
  <c r="F1531" i="5"/>
  <c r="D1531" i="5"/>
  <c r="B1531" i="5"/>
  <c r="C1531" i="5" s="1"/>
  <c r="M1530" i="5"/>
  <c r="I1530" i="5"/>
  <c r="F1530" i="5"/>
  <c r="D1530" i="5"/>
  <c r="B1530" i="5"/>
  <c r="C1530" i="5" s="1"/>
  <c r="M1529" i="5"/>
  <c r="I1529" i="5"/>
  <c r="F1529" i="5"/>
  <c r="D1529" i="5"/>
  <c r="B1529" i="5"/>
  <c r="C1529" i="5" s="1"/>
  <c r="M1528" i="5"/>
  <c r="I1528" i="5"/>
  <c r="F1528" i="5"/>
  <c r="D1528" i="5"/>
  <c r="B1528" i="5"/>
  <c r="C1528" i="5" s="1"/>
  <c r="M1527" i="5"/>
  <c r="I1527" i="5"/>
  <c r="F1527" i="5"/>
  <c r="D1527" i="5"/>
  <c r="C1527" i="5"/>
  <c r="B1527" i="5"/>
  <c r="M1526" i="5"/>
  <c r="I1526" i="5"/>
  <c r="F1526" i="5"/>
  <c r="D1526" i="5"/>
  <c r="B1526" i="5"/>
  <c r="C1526" i="5" s="1"/>
  <c r="M1525" i="5"/>
  <c r="I1525" i="5"/>
  <c r="F1525" i="5"/>
  <c r="D1525" i="5"/>
  <c r="C1525" i="5"/>
  <c r="B1525" i="5"/>
  <c r="M1524" i="5"/>
  <c r="I1524" i="5"/>
  <c r="F1524" i="5"/>
  <c r="D1524" i="5"/>
  <c r="B1524" i="5"/>
  <c r="C1524" i="5" s="1"/>
  <c r="M1523" i="5"/>
  <c r="I1523" i="5"/>
  <c r="F1523" i="5"/>
  <c r="D1523" i="5"/>
  <c r="B1523" i="5"/>
  <c r="C1523" i="5" s="1"/>
  <c r="M1522" i="5"/>
  <c r="I1522" i="5"/>
  <c r="F1522" i="5"/>
  <c r="D1522" i="5"/>
  <c r="B1522" i="5"/>
  <c r="C1522" i="5" s="1"/>
  <c r="M1521" i="5"/>
  <c r="I1521" i="5"/>
  <c r="F1521" i="5"/>
  <c r="D1521" i="5"/>
  <c r="C1521" i="5"/>
  <c r="B1521" i="5"/>
  <c r="M1520" i="5"/>
  <c r="I1520" i="5"/>
  <c r="F1520" i="5"/>
  <c r="D1520" i="5"/>
  <c r="B1520" i="5"/>
  <c r="C1520" i="5" s="1"/>
  <c r="M1519" i="5"/>
  <c r="I1519" i="5"/>
  <c r="F1519" i="5"/>
  <c r="D1519" i="5"/>
  <c r="B1519" i="5"/>
  <c r="C1519" i="5" s="1"/>
  <c r="M1518" i="5"/>
  <c r="I1518" i="5"/>
  <c r="F1518" i="5"/>
  <c r="D1518" i="5"/>
  <c r="B1518" i="5"/>
  <c r="C1518" i="5" s="1"/>
  <c r="M1517" i="5"/>
  <c r="I1517" i="5"/>
  <c r="F1517" i="5"/>
  <c r="D1517" i="5"/>
  <c r="B1517" i="5"/>
  <c r="C1517" i="5" s="1"/>
  <c r="M1516" i="5"/>
  <c r="I1516" i="5"/>
  <c r="F1516" i="5"/>
  <c r="D1516" i="5"/>
  <c r="B1516" i="5"/>
  <c r="C1516" i="5" s="1"/>
  <c r="M1515" i="5"/>
  <c r="I1515" i="5"/>
  <c r="F1515" i="5"/>
  <c r="D1515" i="5"/>
  <c r="C1515" i="5"/>
  <c r="B1515" i="5"/>
  <c r="M1514" i="5"/>
  <c r="I1514" i="5"/>
  <c r="F1514" i="5"/>
  <c r="D1514" i="5"/>
  <c r="B1514" i="5"/>
  <c r="C1514" i="5" s="1"/>
  <c r="M1513" i="5"/>
  <c r="I1513" i="5"/>
  <c r="F1513" i="5"/>
  <c r="D1513" i="5"/>
  <c r="B1513" i="5"/>
  <c r="C1513" i="5" s="1"/>
  <c r="M1512" i="5"/>
  <c r="I1512" i="5"/>
  <c r="F1512" i="5"/>
  <c r="D1512" i="5"/>
  <c r="B1512" i="5"/>
  <c r="C1512" i="5" s="1"/>
  <c r="M1511" i="5"/>
  <c r="I1511" i="5"/>
  <c r="F1511" i="5"/>
  <c r="D1511" i="5"/>
  <c r="B1511" i="5"/>
  <c r="C1511" i="5" s="1"/>
  <c r="M1510" i="5"/>
  <c r="I1510" i="5"/>
  <c r="F1510" i="5"/>
  <c r="D1510" i="5"/>
  <c r="B1510" i="5"/>
  <c r="C1510" i="5" s="1"/>
  <c r="M1509" i="5"/>
  <c r="I1509" i="5"/>
  <c r="F1509" i="5"/>
  <c r="D1509" i="5"/>
  <c r="B1509" i="5"/>
  <c r="C1509" i="5" s="1"/>
  <c r="M1508" i="5"/>
  <c r="I1508" i="5"/>
  <c r="F1508" i="5"/>
  <c r="D1508" i="5"/>
  <c r="C1508" i="5"/>
  <c r="B1508" i="5"/>
  <c r="M1507" i="5"/>
  <c r="I1507" i="5"/>
  <c r="F1507" i="5"/>
  <c r="D1507" i="5"/>
  <c r="B1507" i="5"/>
  <c r="C1507" i="5" s="1"/>
  <c r="M1506" i="5"/>
  <c r="I1506" i="5"/>
  <c r="F1506" i="5"/>
  <c r="D1506" i="5"/>
  <c r="B1506" i="5"/>
  <c r="C1506" i="5" s="1"/>
  <c r="M1505" i="5"/>
  <c r="I1505" i="5"/>
  <c r="F1505" i="5"/>
  <c r="D1505" i="5"/>
  <c r="C1505" i="5"/>
  <c r="B1505" i="5"/>
  <c r="M1504" i="5"/>
  <c r="I1504" i="5"/>
  <c r="F1504" i="5"/>
  <c r="D1504" i="5"/>
  <c r="B1504" i="5"/>
  <c r="C1504" i="5" s="1"/>
  <c r="M1503" i="5"/>
  <c r="I1503" i="5"/>
  <c r="F1503" i="5"/>
  <c r="D1503" i="5"/>
  <c r="C1503" i="5"/>
  <c r="B1503" i="5"/>
  <c r="M1502" i="5"/>
  <c r="I1502" i="5"/>
  <c r="F1502" i="5"/>
  <c r="D1502" i="5"/>
  <c r="B1502" i="5"/>
  <c r="C1502" i="5" s="1"/>
  <c r="M1501" i="5"/>
  <c r="I1501" i="5"/>
  <c r="F1501" i="5"/>
  <c r="D1501" i="5"/>
  <c r="B1501" i="5"/>
  <c r="C1501" i="5" s="1"/>
  <c r="M1500" i="5"/>
  <c r="I1500" i="5"/>
  <c r="F1500" i="5"/>
  <c r="D1500" i="5"/>
  <c r="B1500" i="5"/>
  <c r="C1500" i="5" s="1"/>
  <c r="M1499" i="5"/>
  <c r="I1499" i="5"/>
  <c r="F1499" i="5"/>
  <c r="D1499" i="5"/>
  <c r="B1499" i="5"/>
  <c r="C1499" i="5" s="1"/>
  <c r="M1498" i="5"/>
  <c r="I1498" i="5"/>
  <c r="F1498" i="5"/>
  <c r="D1498" i="5"/>
  <c r="B1498" i="5"/>
  <c r="C1498" i="5" s="1"/>
  <c r="M1497" i="5"/>
  <c r="I1497" i="5"/>
  <c r="F1497" i="5"/>
  <c r="D1497" i="5"/>
  <c r="B1497" i="5"/>
  <c r="C1497" i="5" s="1"/>
  <c r="M1496" i="5"/>
  <c r="I1496" i="5"/>
  <c r="F1496" i="5"/>
  <c r="D1496" i="5"/>
  <c r="C1496" i="5"/>
  <c r="B1496" i="5"/>
  <c r="M1495" i="5"/>
  <c r="I1495" i="5"/>
  <c r="F1495" i="5"/>
  <c r="D1495" i="5"/>
  <c r="C1495" i="5"/>
  <c r="B1495" i="5"/>
  <c r="M1494" i="5"/>
  <c r="I1494" i="5"/>
  <c r="F1494" i="5"/>
  <c r="D1494" i="5"/>
  <c r="B1494" i="5"/>
  <c r="C1494" i="5" s="1"/>
  <c r="M1493" i="5"/>
  <c r="I1493" i="5"/>
  <c r="F1493" i="5"/>
  <c r="D1493" i="5"/>
  <c r="B1493" i="5"/>
  <c r="C1493" i="5" s="1"/>
  <c r="M1492" i="5"/>
  <c r="I1492" i="5"/>
  <c r="F1492" i="5"/>
  <c r="D1492" i="5"/>
  <c r="B1492" i="5"/>
  <c r="C1492" i="5" s="1"/>
  <c r="M1491" i="5"/>
  <c r="I1491" i="5"/>
  <c r="F1491" i="5"/>
  <c r="D1491" i="5"/>
  <c r="B1491" i="5"/>
  <c r="C1491" i="5" s="1"/>
  <c r="M1490" i="5"/>
  <c r="I1490" i="5"/>
  <c r="F1490" i="5"/>
  <c r="D1490" i="5"/>
  <c r="B1490" i="5"/>
  <c r="C1490" i="5" s="1"/>
  <c r="M1489" i="5"/>
  <c r="I1489" i="5"/>
  <c r="F1489" i="5"/>
  <c r="D1489" i="5"/>
  <c r="C1489" i="5"/>
  <c r="B1489" i="5"/>
  <c r="M1488" i="5"/>
  <c r="I1488" i="5"/>
  <c r="F1488" i="5"/>
  <c r="D1488" i="5"/>
  <c r="B1488" i="5"/>
  <c r="C1488" i="5" s="1"/>
  <c r="M1487" i="5"/>
  <c r="I1487" i="5"/>
  <c r="F1487" i="5"/>
  <c r="D1487" i="5"/>
  <c r="C1487" i="5"/>
  <c r="B1487" i="5"/>
  <c r="M1486" i="5"/>
  <c r="I1486" i="5"/>
  <c r="F1486" i="5"/>
  <c r="D1486" i="5"/>
  <c r="B1486" i="5"/>
  <c r="C1486" i="5" s="1"/>
  <c r="M1485" i="5"/>
  <c r="I1485" i="5"/>
  <c r="F1485" i="5"/>
  <c r="D1485" i="5"/>
  <c r="B1485" i="5"/>
  <c r="C1485" i="5" s="1"/>
  <c r="M1484" i="5"/>
  <c r="I1484" i="5"/>
  <c r="F1484" i="5"/>
  <c r="D1484" i="5"/>
  <c r="B1484" i="5"/>
  <c r="C1484" i="5" s="1"/>
  <c r="M1483" i="5"/>
  <c r="I1483" i="5"/>
  <c r="F1483" i="5"/>
  <c r="D1483" i="5"/>
  <c r="C1483" i="5"/>
  <c r="B1483" i="5"/>
  <c r="M1482" i="5"/>
  <c r="I1482" i="5"/>
  <c r="F1482" i="5"/>
  <c r="D1482" i="5"/>
  <c r="B1482" i="5"/>
  <c r="C1482" i="5" s="1"/>
  <c r="M1481" i="5"/>
  <c r="I1481" i="5"/>
  <c r="F1481" i="5"/>
  <c r="D1481" i="5"/>
  <c r="C1481" i="5"/>
  <c r="B1481" i="5"/>
  <c r="M1480" i="5"/>
  <c r="I1480" i="5"/>
  <c r="F1480" i="5"/>
  <c r="D1480" i="5"/>
  <c r="C1480" i="5"/>
  <c r="B1480" i="5"/>
  <c r="M1479" i="5"/>
  <c r="I1479" i="5"/>
  <c r="F1479" i="5"/>
  <c r="D1479" i="5"/>
  <c r="B1479" i="5"/>
  <c r="C1479" i="5" s="1"/>
  <c r="M1478" i="5"/>
  <c r="I1478" i="5"/>
  <c r="F1478" i="5"/>
  <c r="D1478" i="5"/>
  <c r="B1478" i="5"/>
  <c r="C1478" i="5" s="1"/>
  <c r="M1477" i="5"/>
  <c r="I1477" i="5"/>
  <c r="F1477" i="5"/>
  <c r="D1477" i="5"/>
  <c r="B1477" i="5"/>
  <c r="C1477" i="5" s="1"/>
  <c r="M1476" i="5"/>
  <c r="I1476" i="5"/>
  <c r="F1476" i="5"/>
  <c r="D1476" i="5"/>
  <c r="B1476" i="5"/>
  <c r="C1476" i="5" s="1"/>
  <c r="M1475" i="5"/>
  <c r="I1475" i="5"/>
  <c r="F1475" i="5"/>
  <c r="D1475" i="5"/>
  <c r="B1475" i="5"/>
  <c r="C1475" i="5" s="1"/>
  <c r="M1474" i="5"/>
  <c r="I1474" i="5"/>
  <c r="F1474" i="5"/>
  <c r="D1474" i="5"/>
  <c r="B1474" i="5"/>
  <c r="C1474" i="5" s="1"/>
  <c r="M1473" i="5"/>
  <c r="I1473" i="5"/>
  <c r="F1473" i="5"/>
  <c r="D1473" i="5"/>
  <c r="C1473" i="5"/>
  <c r="B1473" i="5"/>
  <c r="M1472" i="5"/>
  <c r="I1472" i="5"/>
  <c r="F1472" i="5"/>
  <c r="D1472" i="5"/>
  <c r="B1472" i="5"/>
  <c r="C1472" i="5" s="1"/>
  <c r="M1471" i="5"/>
  <c r="I1471" i="5"/>
  <c r="F1471" i="5"/>
  <c r="D1471" i="5"/>
  <c r="B1471" i="5"/>
  <c r="C1471" i="5" s="1"/>
  <c r="M1470" i="5"/>
  <c r="I1470" i="5"/>
  <c r="F1470" i="5"/>
  <c r="D1470" i="5"/>
  <c r="B1470" i="5"/>
  <c r="C1470" i="5" s="1"/>
  <c r="M1469" i="5"/>
  <c r="I1469" i="5"/>
  <c r="F1469" i="5"/>
  <c r="D1469" i="5"/>
  <c r="B1469" i="5"/>
  <c r="C1469" i="5" s="1"/>
  <c r="M1468" i="5"/>
  <c r="I1468" i="5"/>
  <c r="F1468" i="5"/>
  <c r="D1468" i="5"/>
  <c r="C1468" i="5"/>
  <c r="B1468" i="5"/>
  <c r="M1467" i="5"/>
  <c r="I1467" i="5"/>
  <c r="F1467" i="5"/>
  <c r="D1467" i="5"/>
  <c r="B1467" i="5"/>
  <c r="C1467" i="5" s="1"/>
  <c r="M1466" i="5"/>
  <c r="I1466" i="5"/>
  <c r="F1466" i="5"/>
  <c r="D1466" i="5"/>
  <c r="B1466" i="5"/>
  <c r="C1466" i="5" s="1"/>
  <c r="M1465" i="5"/>
  <c r="I1465" i="5"/>
  <c r="F1465" i="5"/>
  <c r="D1465" i="5"/>
  <c r="B1465" i="5"/>
  <c r="C1465" i="5" s="1"/>
  <c r="M1464" i="5"/>
  <c r="I1464" i="5"/>
  <c r="F1464" i="5"/>
  <c r="D1464" i="5"/>
  <c r="C1464" i="5"/>
  <c r="B1464" i="5"/>
  <c r="M1463" i="5"/>
  <c r="I1463" i="5"/>
  <c r="F1463" i="5"/>
  <c r="D1463" i="5"/>
  <c r="B1463" i="5"/>
  <c r="C1463" i="5" s="1"/>
  <c r="M1462" i="5"/>
  <c r="I1462" i="5"/>
  <c r="F1462" i="5"/>
  <c r="D1462" i="5"/>
  <c r="B1462" i="5"/>
  <c r="C1462" i="5" s="1"/>
  <c r="M1461" i="5"/>
  <c r="I1461" i="5"/>
  <c r="F1461" i="5"/>
  <c r="D1461" i="5"/>
  <c r="C1461" i="5"/>
  <c r="B1461" i="5"/>
  <c r="M1460" i="5"/>
  <c r="I1460" i="5"/>
  <c r="F1460" i="5"/>
  <c r="D1460" i="5"/>
  <c r="B1460" i="5"/>
  <c r="C1460" i="5" s="1"/>
  <c r="M1459" i="5"/>
  <c r="I1459" i="5"/>
  <c r="F1459" i="5"/>
  <c r="D1459" i="5"/>
  <c r="B1459" i="5"/>
  <c r="C1459" i="5" s="1"/>
  <c r="M1458" i="5"/>
  <c r="I1458" i="5"/>
  <c r="F1458" i="5"/>
  <c r="D1458" i="5"/>
  <c r="B1458" i="5"/>
  <c r="C1458" i="5" s="1"/>
  <c r="M1457" i="5"/>
  <c r="I1457" i="5"/>
  <c r="F1457" i="5"/>
  <c r="D1457" i="5"/>
  <c r="B1457" i="5"/>
  <c r="C1457" i="5" s="1"/>
  <c r="M1456" i="5"/>
  <c r="I1456" i="5"/>
  <c r="F1456" i="5"/>
  <c r="D1456" i="5"/>
  <c r="B1456" i="5"/>
  <c r="C1456" i="5" s="1"/>
  <c r="M1455" i="5"/>
  <c r="I1455" i="5"/>
  <c r="F1455" i="5"/>
  <c r="D1455" i="5"/>
  <c r="B1455" i="5"/>
  <c r="C1455" i="5" s="1"/>
  <c r="M1454" i="5"/>
  <c r="I1454" i="5"/>
  <c r="F1454" i="5"/>
  <c r="D1454" i="5"/>
  <c r="B1454" i="5"/>
  <c r="C1454" i="5" s="1"/>
  <c r="M1453" i="5"/>
  <c r="I1453" i="5"/>
  <c r="F1453" i="5"/>
  <c r="D1453" i="5"/>
  <c r="B1453" i="5"/>
  <c r="C1453" i="5" s="1"/>
  <c r="M1452" i="5"/>
  <c r="I1452" i="5"/>
  <c r="F1452" i="5"/>
  <c r="D1452" i="5"/>
  <c r="B1452" i="5"/>
  <c r="C1452" i="5" s="1"/>
  <c r="M1451" i="5"/>
  <c r="I1451" i="5"/>
  <c r="F1451" i="5"/>
  <c r="D1451" i="5"/>
  <c r="C1451" i="5"/>
  <c r="B1451" i="5"/>
  <c r="M1450" i="5"/>
  <c r="I1450" i="5"/>
  <c r="F1450" i="5"/>
  <c r="D1450" i="5"/>
  <c r="B1450" i="5"/>
  <c r="C1450" i="5" s="1"/>
  <c r="M1449" i="5"/>
  <c r="I1449" i="5"/>
  <c r="F1449" i="5"/>
  <c r="D1449" i="5"/>
  <c r="B1449" i="5"/>
  <c r="C1449" i="5" s="1"/>
  <c r="M1448" i="5"/>
  <c r="I1448" i="5"/>
  <c r="F1448" i="5"/>
  <c r="D1448" i="5"/>
  <c r="C1448" i="5"/>
  <c r="B1448" i="5"/>
  <c r="M1447" i="5"/>
  <c r="I1447" i="5"/>
  <c r="F1447" i="5"/>
  <c r="D1447" i="5"/>
  <c r="B1447" i="5"/>
  <c r="C1447" i="5" s="1"/>
  <c r="M1446" i="5"/>
  <c r="I1446" i="5"/>
  <c r="F1446" i="5"/>
  <c r="D1446" i="5"/>
  <c r="B1446" i="5"/>
  <c r="C1446" i="5" s="1"/>
  <c r="M1445" i="5"/>
  <c r="I1445" i="5"/>
  <c r="F1445" i="5"/>
  <c r="D1445" i="5"/>
  <c r="B1445" i="5"/>
  <c r="C1445" i="5" s="1"/>
  <c r="M1444" i="5"/>
  <c r="I1444" i="5"/>
  <c r="F1444" i="5"/>
  <c r="D1444" i="5"/>
  <c r="B1444" i="5"/>
  <c r="C1444" i="5" s="1"/>
  <c r="M1443" i="5"/>
  <c r="I1443" i="5"/>
  <c r="F1443" i="5"/>
  <c r="D1443" i="5"/>
  <c r="C1443" i="5"/>
  <c r="B1443" i="5"/>
  <c r="M1442" i="5"/>
  <c r="I1442" i="5"/>
  <c r="F1442" i="5"/>
  <c r="D1442" i="5"/>
  <c r="B1442" i="5"/>
  <c r="C1442" i="5" s="1"/>
  <c r="M1441" i="5"/>
  <c r="I1441" i="5"/>
  <c r="F1441" i="5"/>
  <c r="D1441" i="5"/>
  <c r="B1441" i="5"/>
  <c r="C1441" i="5" s="1"/>
  <c r="M1440" i="5"/>
  <c r="I1440" i="5"/>
  <c r="F1440" i="5"/>
  <c r="D1440" i="5"/>
  <c r="B1440" i="5"/>
  <c r="C1440" i="5" s="1"/>
  <c r="M1439" i="5"/>
  <c r="I1439" i="5"/>
  <c r="F1439" i="5"/>
  <c r="D1439" i="5"/>
  <c r="C1439" i="5"/>
  <c r="B1439" i="5"/>
  <c r="M1438" i="5"/>
  <c r="I1438" i="5"/>
  <c r="F1438" i="5"/>
  <c r="D1438" i="5"/>
  <c r="B1438" i="5"/>
  <c r="C1438" i="5" s="1"/>
  <c r="M1437" i="5"/>
  <c r="I1437" i="5"/>
  <c r="F1437" i="5"/>
  <c r="D1437" i="5"/>
  <c r="B1437" i="5"/>
  <c r="C1437" i="5" s="1"/>
  <c r="M1436" i="5"/>
  <c r="I1436" i="5"/>
  <c r="F1436" i="5"/>
  <c r="D1436" i="5"/>
  <c r="B1436" i="5"/>
  <c r="C1436" i="5" s="1"/>
  <c r="M1435" i="5"/>
  <c r="I1435" i="5"/>
  <c r="F1435" i="5"/>
  <c r="D1435" i="5"/>
  <c r="B1435" i="5"/>
  <c r="C1435" i="5" s="1"/>
  <c r="M1434" i="5"/>
  <c r="I1434" i="5"/>
  <c r="F1434" i="5"/>
  <c r="D1434" i="5"/>
  <c r="B1434" i="5"/>
  <c r="C1434" i="5" s="1"/>
  <c r="M1433" i="5"/>
  <c r="I1433" i="5"/>
  <c r="F1433" i="5"/>
  <c r="D1433" i="5"/>
  <c r="B1433" i="5"/>
  <c r="C1433" i="5" s="1"/>
  <c r="M1432" i="5"/>
  <c r="I1432" i="5"/>
  <c r="F1432" i="5"/>
  <c r="D1432" i="5"/>
  <c r="C1432" i="5"/>
  <c r="B1432" i="5"/>
  <c r="M1431" i="5"/>
  <c r="I1431" i="5"/>
  <c r="F1431" i="5"/>
  <c r="D1431" i="5"/>
  <c r="B1431" i="5"/>
  <c r="C1431" i="5" s="1"/>
  <c r="M1430" i="5"/>
  <c r="I1430" i="5"/>
  <c r="F1430" i="5"/>
  <c r="D1430" i="5"/>
  <c r="B1430" i="5"/>
  <c r="C1430" i="5" s="1"/>
  <c r="M1429" i="5"/>
  <c r="I1429" i="5"/>
  <c r="F1429" i="5"/>
  <c r="D1429" i="5"/>
  <c r="C1429" i="5"/>
  <c r="B1429" i="5"/>
  <c r="M1428" i="5"/>
  <c r="I1428" i="5"/>
  <c r="F1428" i="5"/>
  <c r="D1428" i="5"/>
  <c r="B1428" i="5"/>
  <c r="C1428" i="5" s="1"/>
  <c r="M1427" i="5"/>
  <c r="I1427" i="5"/>
  <c r="F1427" i="5"/>
  <c r="D1427" i="5"/>
  <c r="B1427" i="5"/>
  <c r="C1427" i="5" s="1"/>
  <c r="M1426" i="5"/>
  <c r="I1426" i="5"/>
  <c r="F1426" i="5"/>
  <c r="D1426" i="5"/>
  <c r="B1426" i="5"/>
  <c r="C1426" i="5" s="1"/>
  <c r="M1425" i="5"/>
  <c r="I1425" i="5"/>
  <c r="F1425" i="5"/>
  <c r="D1425" i="5"/>
  <c r="B1425" i="5"/>
  <c r="C1425" i="5" s="1"/>
  <c r="M1424" i="5"/>
  <c r="I1424" i="5"/>
  <c r="F1424" i="5"/>
  <c r="D1424" i="5"/>
  <c r="C1424" i="5"/>
  <c r="B1424" i="5"/>
  <c r="M1423" i="5"/>
  <c r="I1423" i="5"/>
  <c r="F1423" i="5"/>
  <c r="D1423" i="5"/>
  <c r="C1423" i="5"/>
  <c r="B1423" i="5"/>
  <c r="M1422" i="5"/>
  <c r="I1422" i="5"/>
  <c r="F1422" i="5"/>
  <c r="D1422" i="5"/>
  <c r="B1422" i="5"/>
  <c r="C1422" i="5" s="1"/>
  <c r="M1421" i="5"/>
  <c r="I1421" i="5"/>
  <c r="F1421" i="5"/>
  <c r="D1421" i="5"/>
  <c r="B1421" i="5"/>
  <c r="C1421" i="5" s="1"/>
  <c r="M1420" i="5"/>
  <c r="I1420" i="5"/>
  <c r="F1420" i="5"/>
  <c r="D1420" i="5"/>
  <c r="B1420" i="5"/>
  <c r="C1420" i="5" s="1"/>
  <c r="M1419" i="5"/>
  <c r="I1419" i="5"/>
  <c r="F1419" i="5"/>
  <c r="D1419" i="5"/>
  <c r="B1419" i="5"/>
  <c r="C1419" i="5" s="1"/>
  <c r="M1418" i="5"/>
  <c r="I1418" i="5"/>
  <c r="F1418" i="5"/>
  <c r="D1418" i="5"/>
  <c r="B1418" i="5"/>
  <c r="C1418" i="5" s="1"/>
  <c r="M1417" i="5"/>
  <c r="I1417" i="5"/>
  <c r="F1417" i="5"/>
  <c r="D1417" i="5"/>
  <c r="C1417" i="5"/>
  <c r="B1417" i="5"/>
  <c r="M1416" i="5"/>
  <c r="I1416" i="5"/>
  <c r="F1416" i="5"/>
  <c r="D1416" i="5"/>
  <c r="C1416" i="5"/>
  <c r="B1416" i="5"/>
  <c r="M1415" i="5"/>
  <c r="I1415" i="5"/>
  <c r="F1415" i="5"/>
  <c r="D1415" i="5"/>
  <c r="B1415" i="5"/>
  <c r="C1415" i="5" s="1"/>
  <c r="M1414" i="5"/>
  <c r="I1414" i="5"/>
  <c r="F1414" i="5"/>
  <c r="D1414" i="5"/>
  <c r="B1414" i="5"/>
  <c r="C1414" i="5" s="1"/>
  <c r="M1413" i="5"/>
  <c r="I1413" i="5"/>
  <c r="F1413" i="5"/>
  <c r="D1413" i="5"/>
  <c r="B1413" i="5"/>
  <c r="C1413" i="5" s="1"/>
  <c r="M1412" i="5"/>
  <c r="I1412" i="5"/>
  <c r="F1412" i="5"/>
  <c r="D1412" i="5"/>
  <c r="B1412" i="5"/>
  <c r="C1412" i="5" s="1"/>
  <c r="M1411" i="5"/>
  <c r="I1411" i="5"/>
  <c r="F1411" i="5"/>
  <c r="D1411" i="5"/>
  <c r="B1411" i="5"/>
  <c r="C1411" i="5" s="1"/>
  <c r="M1410" i="5"/>
  <c r="I1410" i="5"/>
  <c r="F1410" i="5"/>
  <c r="D1410" i="5"/>
  <c r="B1410" i="5"/>
  <c r="C1410" i="5" s="1"/>
  <c r="M1409" i="5"/>
  <c r="I1409" i="5"/>
  <c r="F1409" i="5"/>
  <c r="D1409" i="5"/>
  <c r="B1409" i="5"/>
  <c r="C1409" i="5" s="1"/>
  <c r="M1408" i="5"/>
  <c r="I1408" i="5"/>
  <c r="F1408" i="5"/>
  <c r="D1408" i="5"/>
  <c r="B1408" i="5"/>
  <c r="C1408" i="5" s="1"/>
  <c r="M1407" i="5"/>
  <c r="I1407" i="5"/>
  <c r="F1407" i="5"/>
  <c r="D1407" i="5"/>
  <c r="C1407" i="5"/>
  <c r="B1407" i="5"/>
  <c r="M1406" i="5"/>
  <c r="I1406" i="5"/>
  <c r="F1406" i="5"/>
  <c r="D1406" i="5"/>
  <c r="B1406" i="5"/>
  <c r="C1406" i="5" s="1"/>
  <c r="M1405" i="5"/>
  <c r="I1405" i="5"/>
  <c r="F1405" i="5"/>
  <c r="D1405" i="5"/>
  <c r="C1405" i="5"/>
  <c r="B1405" i="5"/>
  <c r="M1404" i="5"/>
  <c r="I1404" i="5"/>
  <c r="F1404" i="5"/>
  <c r="D1404" i="5"/>
  <c r="C1404" i="5"/>
  <c r="B1404" i="5"/>
  <c r="M1403" i="5"/>
  <c r="I1403" i="5"/>
  <c r="F1403" i="5"/>
  <c r="D1403" i="5"/>
  <c r="B1403" i="5"/>
  <c r="C1403" i="5" s="1"/>
  <c r="M1402" i="5"/>
  <c r="I1402" i="5"/>
  <c r="F1402" i="5"/>
  <c r="D1402" i="5"/>
  <c r="B1402" i="5"/>
  <c r="C1402" i="5" s="1"/>
  <c r="M1401" i="5"/>
  <c r="I1401" i="5"/>
  <c r="F1401" i="5"/>
  <c r="D1401" i="5"/>
  <c r="B1401" i="5"/>
  <c r="C1401" i="5" s="1"/>
  <c r="M1400" i="5"/>
  <c r="I1400" i="5"/>
  <c r="F1400" i="5"/>
  <c r="D1400" i="5"/>
  <c r="B1400" i="5"/>
  <c r="C1400" i="5" s="1"/>
  <c r="M1399" i="5"/>
  <c r="I1399" i="5"/>
  <c r="F1399" i="5"/>
  <c r="D1399" i="5"/>
  <c r="B1399" i="5"/>
  <c r="C1399" i="5" s="1"/>
  <c r="M1398" i="5"/>
  <c r="I1398" i="5"/>
  <c r="F1398" i="5"/>
  <c r="D1398" i="5"/>
  <c r="B1398" i="5"/>
  <c r="C1398" i="5" s="1"/>
  <c r="M1397" i="5"/>
  <c r="I1397" i="5"/>
  <c r="F1397" i="5"/>
  <c r="D1397" i="5"/>
  <c r="C1397" i="5"/>
  <c r="B1397" i="5"/>
  <c r="M1396" i="5"/>
  <c r="I1396" i="5"/>
  <c r="F1396" i="5"/>
  <c r="D1396" i="5"/>
  <c r="B1396" i="5"/>
  <c r="C1396" i="5" s="1"/>
  <c r="M1395" i="5"/>
  <c r="I1395" i="5"/>
  <c r="F1395" i="5"/>
  <c r="D1395" i="5"/>
  <c r="B1395" i="5"/>
  <c r="C1395" i="5" s="1"/>
  <c r="M1394" i="5"/>
  <c r="I1394" i="5"/>
  <c r="F1394" i="5"/>
  <c r="D1394" i="5"/>
  <c r="B1394" i="5"/>
  <c r="C1394" i="5" s="1"/>
  <c r="M1393" i="5"/>
  <c r="I1393" i="5"/>
  <c r="F1393" i="5"/>
  <c r="D1393" i="5"/>
  <c r="B1393" i="5"/>
  <c r="C1393" i="5" s="1"/>
  <c r="M1392" i="5"/>
  <c r="I1392" i="5"/>
  <c r="F1392" i="5"/>
  <c r="D1392" i="5"/>
  <c r="B1392" i="5"/>
  <c r="C1392" i="5" s="1"/>
  <c r="M1391" i="5"/>
  <c r="I1391" i="5"/>
  <c r="F1391" i="5"/>
  <c r="D1391" i="5"/>
  <c r="C1391" i="5"/>
  <c r="B1391" i="5"/>
  <c r="M1390" i="5"/>
  <c r="I1390" i="5"/>
  <c r="F1390" i="5"/>
  <c r="D1390" i="5"/>
  <c r="B1390" i="5"/>
  <c r="C1390" i="5" s="1"/>
  <c r="M1389" i="5"/>
  <c r="I1389" i="5"/>
  <c r="F1389" i="5"/>
  <c r="D1389" i="5"/>
  <c r="B1389" i="5"/>
  <c r="C1389" i="5" s="1"/>
  <c r="M1388" i="5"/>
  <c r="I1388" i="5"/>
  <c r="F1388" i="5"/>
  <c r="D1388" i="5"/>
  <c r="B1388" i="5"/>
  <c r="C1388" i="5" s="1"/>
  <c r="M1387" i="5"/>
  <c r="I1387" i="5"/>
  <c r="F1387" i="5"/>
  <c r="D1387" i="5"/>
  <c r="B1387" i="5"/>
  <c r="C1387" i="5" s="1"/>
  <c r="M1386" i="5"/>
  <c r="I1386" i="5"/>
  <c r="F1386" i="5"/>
  <c r="D1386" i="5"/>
  <c r="B1386" i="5"/>
  <c r="C1386" i="5" s="1"/>
  <c r="M1385" i="5"/>
  <c r="I1385" i="5"/>
  <c r="F1385" i="5"/>
  <c r="D1385" i="5"/>
  <c r="C1385" i="5"/>
  <c r="B1385" i="5"/>
  <c r="M1384" i="5"/>
  <c r="I1384" i="5"/>
  <c r="F1384" i="5"/>
  <c r="D1384" i="5"/>
  <c r="B1384" i="5"/>
  <c r="C1384" i="5" s="1"/>
  <c r="M1383" i="5"/>
  <c r="I1383" i="5"/>
  <c r="F1383" i="5"/>
  <c r="D1383" i="5"/>
  <c r="B1383" i="5"/>
  <c r="C1383" i="5" s="1"/>
  <c r="M1382" i="5"/>
  <c r="I1382" i="5"/>
  <c r="F1382" i="5"/>
  <c r="D1382" i="5"/>
  <c r="B1382" i="5"/>
  <c r="C1382" i="5" s="1"/>
  <c r="M1381" i="5"/>
  <c r="I1381" i="5"/>
  <c r="F1381" i="5"/>
  <c r="D1381" i="5"/>
  <c r="B1381" i="5"/>
  <c r="C1381" i="5" s="1"/>
  <c r="M1380" i="5"/>
  <c r="I1380" i="5"/>
  <c r="F1380" i="5"/>
  <c r="D1380" i="5"/>
  <c r="C1380" i="5"/>
  <c r="B1380" i="5"/>
  <c r="M1379" i="5"/>
  <c r="I1379" i="5"/>
  <c r="F1379" i="5"/>
  <c r="D1379" i="5"/>
  <c r="C1379" i="5"/>
  <c r="B1379" i="5"/>
  <c r="M1378" i="5"/>
  <c r="I1378" i="5"/>
  <c r="F1378" i="5"/>
  <c r="D1378" i="5"/>
  <c r="B1378" i="5"/>
  <c r="C1378" i="5" s="1"/>
  <c r="M1377" i="5"/>
  <c r="I1377" i="5"/>
  <c r="F1377" i="5"/>
  <c r="D1377" i="5"/>
  <c r="B1377" i="5"/>
  <c r="C1377" i="5" s="1"/>
  <c r="M1376" i="5"/>
  <c r="I1376" i="5"/>
  <c r="F1376" i="5"/>
  <c r="D1376" i="5"/>
  <c r="B1376" i="5"/>
  <c r="C1376" i="5" s="1"/>
  <c r="M1375" i="5"/>
  <c r="I1375" i="5"/>
  <c r="F1375" i="5"/>
  <c r="D1375" i="5"/>
  <c r="C1375" i="5"/>
  <c r="B1375" i="5"/>
  <c r="M1374" i="5"/>
  <c r="I1374" i="5"/>
  <c r="F1374" i="5"/>
  <c r="D1374" i="5"/>
  <c r="B1374" i="5"/>
  <c r="C1374" i="5" s="1"/>
  <c r="M1373" i="5"/>
  <c r="I1373" i="5"/>
  <c r="F1373" i="5"/>
  <c r="D1373" i="5"/>
  <c r="B1373" i="5"/>
  <c r="C1373" i="5" s="1"/>
  <c r="M1372" i="5"/>
  <c r="I1372" i="5"/>
  <c r="F1372" i="5"/>
  <c r="D1372" i="5"/>
  <c r="C1372" i="5"/>
  <c r="B1372" i="5"/>
  <c r="M1371" i="5"/>
  <c r="I1371" i="5"/>
  <c r="F1371" i="5"/>
  <c r="D1371" i="5"/>
  <c r="B1371" i="5"/>
  <c r="C1371" i="5" s="1"/>
  <c r="M1370" i="5"/>
  <c r="I1370" i="5"/>
  <c r="F1370" i="5"/>
  <c r="D1370" i="5"/>
  <c r="B1370" i="5"/>
  <c r="C1370" i="5" s="1"/>
  <c r="M1369" i="5"/>
  <c r="I1369" i="5"/>
  <c r="F1369" i="5"/>
  <c r="D1369" i="5"/>
  <c r="B1369" i="5"/>
  <c r="C1369" i="5" s="1"/>
  <c r="M1368" i="5"/>
  <c r="I1368" i="5"/>
  <c r="F1368" i="5"/>
  <c r="D1368" i="5"/>
  <c r="C1368" i="5"/>
  <c r="B1368" i="5"/>
  <c r="M1367" i="5"/>
  <c r="I1367" i="5"/>
  <c r="F1367" i="5"/>
  <c r="D1367" i="5"/>
  <c r="C1367" i="5"/>
  <c r="B1367" i="5"/>
  <c r="M1366" i="5"/>
  <c r="I1366" i="5"/>
  <c r="F1366" i="5"/>
  <c r="D1366" i="5"/>
  <c r="B1366" i="5"/>
  <c r="C1366" i="5" s="1"/>
  <c r="M1365" i="5"/>
  <c r="I1365" i="5"/>
  <c r="F1365" i="5"/>
  <c r="D1365" i="5"/>
  <c r="B1365" i="5"/>
  <c r="C1365" i="5" s="1"/>
  <c r="M1364" i="5"/>
  <c r="I1364" i="5"/>
  <c r="F1364" i="5"/>
  <c r="D1364" i="5"/>
  <c r="B1364" i="5"/>
  <c r="C1364" i="5" s="1"/>
  <c r="M1363" i="5"/>
  <c r="I1363" i="5"/>
  <c r="F1363" i="5"/>
  <c r="D1363" i="5"/>
  <c r="B1363" i="5"/>
  <c r="C1363" i="5" s="1"/>
  <c r="M1362" i="5"/>
  <c r="I1362" i="5"/>
  <c r="F1362" i="5"/>
  <c r="D1362" i="5"/>
  <c r="B1362" i="5"/>
  <c r="C1362" i="5" s="1"/>
  <c r="M1361" i="5"/>
  <c r="I1361" i="5"/>
  <c r="F1361" i="5"/>
  <c r="D1361" i="5"/>
  <c r="C1361" i="5"/>
  <c r="B1361" i="5"/>
  <c r="M1360" i="5"/>
  <c r="I1360" i="5"/>
  <c r="F1360" i="5"/>
  <c r="D1360" i="5"/>
  <c r="C1360" i="5"/>
  <c r="B1360" i="5"/>
  <c r="M1359" i="5"/>
  <c r="I1359" i="5"/>
  <c r="F1359" i="5"/>
  <c r="D1359" i="5"/>
  <c r="C1359" i="5"/>
  <c r="B1359" i="5"/>
  <c r="M1358" i="5"/>
  <c r="I1358" i="5"/>
  <c r="F1358" i="5"/>
  <c r="D1358" i="5"/>
  <c r="B1358" i="5"/>
  <c r="C1358" i="5" s="1"/>
  <c r="M1357" i="5"/>
  <c r="I1357" i="5"/>
  <c r="F1357" i="5"/>
  <c r="D1357" i="5"/>
  <c r="B1357" i="5"/>
  <c r="C1357" i="5" s="1"/>
  <c r="M1356" i="5"/>
  <c r="I1356" i="5"/>
  <c r="F1356" i="5"/>
  <c r="D1356" i="5"/>
  <c r="B1356" i="5"/>
  <c r="C1356" i="5" s="1"/>
  <c r="M1355" i="5"/>
  <c r="I1355" i="5"/>
  <c r="F1355" i="5"/>
  <c r="D1355" i="5"/>
  <c r="B1355" i="5"/>
  <c r="C1355" i="5" s="1"/>
  <c r="M1354" i="5"/>
  <c r="I1354" i="5"/>
  <c r="F1354" i="5"/>
  <c r="D1354" i="5"/>
  <c r="B1354" i="5"/>
  <c r="C1354" i="5" s="1"/>
  <c r="M1353" i="5"/>
  <c r="I1353" i="5"/>
  <c r="F1353" i="5"/>
  <c r="D1353" i="5"/>
  <c r="C1353" i="5"/>
  <c r="B1353" i="5"/>
  <c r="M1352" i="5"/>
  <c r="I1352" i="5"/>
  <c r="F1352" i="5"/>
  <c r="D1352" i="5"/>
  <c r="C1352" i="5"/>
  <c r="B1352" i="5"/>
  <c r="M1351" i="5"/>
  <c r="I1351" i="5"/>
  <c r="F1351" i="5"/>
  <c r="D1351" i="5"/>
  <c r="B1351" i="5"/>
  <c r="C1351" i="5" s="1"/>
  <c r="M1350" i="5"/>
  <c r="I1350" i="5"/>
  <c r="F1350" i="5"/>
  <c r="D1350" i="5"/>
  <c r="B1350" i="5"/>
  <c r="C1350" i="5" s="1"/>
  <c r="M1349" i="5"/>
  <c r="I1349" i="5"/>
  <c r="F1349" i="5"/>
  <c r="D1349" i="5"/>
  <c r="B1349" i="5"/>
  <c r="C1349" i="5" s="1"/>
  <c r="M1348" i="5"/>
  <c r="I1348" i="5"/>
  <c r="F1348" i="5"/>
  <c r="D1348" i="5"/>
  <c r="B1348" i="5"/>
  <c r="C1348" i="5" s="1"/>
  <c r="M1347" i="5"/>
  <c r="I1347" i="5"/>
  <c r="F1347" i="5"/>
  <c r="D1347" i="5"/>
  <c r="C1347" i="5"/>
  <c r="B1347" i="5"/>
  <c r="M1346" i="5"/>
  <c r="I1346" i="5"/>
  <c r="F1346" i="5"/>
  <c r="D1346" i="5"/>
  <c r="B1346" i="5"/>
  <c r="C1346" i="5" s="1"/>
  <c r="M1345" i="5"/>
  <c r="I1345" i="5"/>
  <c r="F1345" i="5"/>
  <c r="D1345" i="5"/>
  <c r="C1345" i="5"/>
  <c r="B1345" i="5"/>
  <c r="M1344" i="5"/>
  <c r="I1344" i="5"/>
  <c r="F1344" i="5"/>
  <c r="D1344" i="5"/>
  <c r="B1344" i="5"/>
  <c r="C1344" i="5" s="1"/>
  <c r="M1343" i="5"/>
  <c r="I1343" i="5"/>
  <c r="F1343" i="5"/>
  <c r="D1343" i="5"/>
  <c r="B1343" i="5"/>
  <c r="C1343" i="5" s="1"/>
  <c r="M1342" i="5"/>
  <c r="I1342" i="5"/>
  <c r="F1342" i="5"/>
  <c r="D1342" i="5"/>
  <c r="B1342" i="5"/>
  <c r="C1342" i="5" s="1"/>
  <c r="M1341" i="5"/>
  <c r="I1341" i="5"/>
  <c r="F1341" i="5"/>
  <c r="D1341" i="5"/>
  <c r="C1341" i="5"/>
  <c r="B1341" i="5"/>
  <c r="M1340" i="5"/>
  <c r="I1340" i="5"/>
  <c r="F1340" i="5"/>
  <c r="D1340" i="5"/>
  <c r="C1340" i="5"/>
  <c r="B1340" i="5"/>
  <c r="M1339" i="5"/>
  <c r="I1339" i="5"/>
  <c r="F1339" i="5"/>
  <c r="D1339" i="5"/>
  <c r="B1339" i="5"/>
  <c r="C1339" i="5" s="1"/>
  <c r="M1338" i="5"/>
  <c r="I1338" i="5"/>
  <c r="F1338" i="5"/>
  <c r="D1338" i="5"/>
  <c r="B1338" i="5"/>
  <c r="C1338" i="5" s="1"/>
  <c r="M1337" i="5"/>
  <c r="I1337" i="5"/>
  <c r="F1337" i="5"/>
  <c r="D1337" i="5"/>
  <c r="B1337" i="5"/>
  <c r="C1337" i="5" s="1"/>
  <c r="M1336" i="5"/>
  <c r="I1336" i="5"/>
  <c r="F1336" i="5"/>
  <c r="D1336" i="5"/>
  <c r="B1336" i="5"/>
  <c r="C1336" i="5" s="1"/>
  <c r="M1335" i="5"/>
  <c r="I1335" i="5"/>
  <c r="F1335" i="5"/>
  <c r="D1335" i="5"/>
  <c r="C1335" i="5"/>
  <c r="B1335" i="5"/>
  <c r="M1334" i="5"/>
  <c r="I1334" i="5"/>
  <c r="F1334" i="5"/>
  <c r="D1334" i="5"/>
  <c r="B1334" i="5"/>
  <c r="C1334" i="5" s="1"/>
  <c r="M1333" i="5"/>
  <c r="I1333" i="5"/>
  <c r="F1333" i="5"/>
  <c r="D1333" i="5"/>
  <c r="B1333" i="5"/>
  <c r="C1333" i="5" s="1"/>
  <c r="M1332" i="5"/>
  <c r="I1332" i="5"/>
  <c r="F1332" i="5"/>
  <c r="D1332" i="5"/>
  <c r="B1332" i="5"/>
  <c r="C1332" i="5" s="1"/>
  <c r="M1331" i="5"/>
  <c r="I1331" i="5"/>
  <c r="F1331" i="5"/>
  <c r="D1331" i="5"/>
  <c r="B1331" i="5"/>
  <c r="C1331" i="5" s="1"/>
  <c r="M1330" i="5"/>
  <c r="I1330" i="5"/>
  <c r="F1330" i="5"/>
  <c r="D1330" i="5"/>
  <c r="B1330" i="5"/>
  <c r="C1330" i="5" s="1"/>
  <c r="M1329" i="5"/>
  <c r="I1329" i="5"/>
  <c r="F1329" i="5"/>
  <c r="D1329" i="5"/>
  <c r="B1329" i="5"/>
  <c r="C1329" i="5" s="1"/>
  <c r="M1328" i="5"/>
  <c r="I1328" i="5"/>
  <c r="F1328" i="5"/>
  <c r="D1328" i="5"/>
  <c r="B1328" i="5"/>
  <c r="C1328" i="5" s="1"/>
  <c r="M1327" i="5"/>
  <c r="I1327" i="5"/>
  <c r="F1327" i="5"/>
  <c r="D1327" i="5"/>
  <c r="B1327" i="5"/>
  <c r="C1327" i="5" s="1"/>
  <c r="M1326" i="5"/>
  <c r="I1326" i="5"/>
  <c r="F1326" i="5"/>
  <c r="D1326" i="5"/>
  <c r="B1326" i="5"/>
  <c r="C1326" i="5" s="1"/>
  <c r="M1325" i="5"/>
  <c r="I1325" i="5"/>
  <c r="F1325" i="5"/>
  <c r="D1325" i="5"/>
  <c r="B1325" i="5"/>
  <c r="C1325" i="5" s="1"/>
  <c r="M1324" i="5"/>
  <c r="I1324" i="5"/>
  <c r="F1324" i="5"/>
  <c r="D1324" i="5"/>
  <c r="B1324" i="5"/>
  <c r="C1324" i="5" s="1"/>
  <c r="M1323" i="5"/>
  <c r="I1323" i="5"/>
  <c r="F1323" i="5"/>
  <c r="D1323" i="5"/>
  <c r="C1323" i="5"/>
  <c r="B1323" i="5"/>
  <c r="M1322" i="5"/>
  <c r="I1322" i="5"/>
  <c r="F1322" i="5"/>
  <c r="D1322" i="5"/>
  <c r="B1322" i="5"/>
  <c r="C1322" i="5" s="1"/>
  <c r="M1321" i="5"/>
  <c r="I1321" i="5"/>
  <c r="F1321" i="5"/>
  <c r="D1321" i="5"/>
  <c r="B1321" i="5"/>
  <c r="C1321" i="5" s="1"/>
  <c r="M1320" i="5"/>
  <c r="I1320" i="5"/>
  <c r="F1320" i="5"/>
  <c r="D1320" i="5"/>
  <c r="B1320" i="5"/>
  <c r="C1320" i="5" s="1"/>
  <c r="M1319" i="5"/>
  <c r="I1319" i="5"/>
  <c r="F1319" i="5"/>
  <c r="D1319" i="5"/>
  <c r="B1319" i="5"/>
  <c r="C1319" i="5" s="1"/>
  <c r="M1318" i="5"/>
  <c r="I1318" i="5"/>
  <c r="F1318" i="5"/>
  <c r="D1318" i="5"/>
  <c r="B1318" i="5"/>
  <c r="C1318" i="5" s="1"/>
  <c r="M1317" i="5"/>
  <c r="I1317" i="5"/>
  <c r="F1317" i="5"/>
  <c r="D1317" i="5"/>
  <c r="B1317" i="5"/>
  <c r="C1317" i="5" s="1"/>
  <c r="M1316" i="5"/>
  <c r="I1316" i="5"/>
  <c r="F1316" i="5"/>
  <c r="D1316" i="5"/>
  <c r="C1316" i="5"/>
  <c r="B1316" i="5"/>
  <c r="M1315" i="5"/>
  <c r="I1315" i="5"/>
  <c r="F1315" i="5"/>
  <c r="D1315" i="5"/>
  <c r="C1315" i="5"/>
  <c r="B1315" i="5"/>
  <c r="M1314" i="5"/>
  <c r="I1314" i="5"/>
  <c r="F1314" i="5"/>
  <c r="D1314" i="5"/>
  <c r="B1314" i="5"/>
  <c r="C1314" i="5" s="1"/>
  <c r="M1313" i="5"/>
  <c r="I1313" i="5"/>
  <c r="F1313" i="5"/>
  <c r="D1313" i="5"/>
  <c r="C1313" i="5"/>
  <c r="B1313" i="5"/>
  <c r="M1312" i="5"/>
  <c r="I1312" i="5"/>
  <c r="F1312" i="5"/>
  <c r="D1312" i="5"/>
  <c r="B1312" i="5"/>
  <c r="C1312" i="5" s="1"/>
  <c r="M1311" i="5"/>
  <c r="I1311" i="5"/>
  <c r="F1311" i="5"/>
  <c r="D1311" i="5"/>
  <c r="C1311" i="5"/>
  <c r="B1311" i="5"/>
  <c r="M1310" i="5"/>
  <c r="I1310" i="5"/>
  <c r="F1310" i="5"/>
  <c r="D1310" i="5"/>
  <c r="B1310" i="5"/>
  <c r="C1310" i="5" s="1"/>
  <c r="M1309" i="5"/>
  <c r="I1309" i="5"/>
  <c r="F1309" i="5"/>
  <c r="D1309" i="5"/>
  <c r="B1309" i="5"/>
  <c r="C1309" i="5" s="1"/>
  <c r="M1308" i="5"/>
  <c r="I1308" i="5"/>
  <c r="F1308" i="5"/>
  <c r="D1308" i="5"/>
  <c r="B1308" i="5"/>
  <c r="C1308" i="5" s="1"/>
  <c r="M1307" i="5"/>
  <c r="I1307" i="5"/>
  <c r="F1307" i="5"/>
  <c r="D1307" i="5"/>
  <c r="B1307" i="5"/>
  <c r="C1307" i="5" s="1"/>
  <c r="M1306" i="5"/>
  <c r="I1306" i="5"/>
  <c r="F1306" i="5"/>
  <c r="D1306" i="5"/>
  <c r="B1306" i="5"/>
  <c r="C1306" i="5" s="1"/>
  <c r="M1305" i="5"/>
  <c r="I1305" i="5"/>
  <c r="F1305" i="5"/>
  <c r="D1305" i="5"/>
  <c r="B1305" i="5"/>
  <c r="C1305" i="5" s="1"/>
  <c r="M1304" i="5"/>
  <c r="I1304" i="5"/>
  <c r="F1304" i="5"/>
  <c r="D1304" i="5"/>
  <c r="C1304" i="5"/>
  <c r="B1304" i="5"/>
  <c r="M1303" i="5"/>
  <c r="I1303" i="5"/>
  <c r="F1303" i="5"/>
  <c r="D1303" i="5"/>
  <c r="C1303" i="5"/>
  <c r="B1303" i="5"/>
  <c r="M1302" i="5"/>
  <c r="I1302" i="5"/>
  <c r="F1302" i="5"/>
  <c r="D1302" i="5"/>
  <c r="B1302" i="5"/>
  <c r="C1302" i="5" s="1"/>
  <c r="M1301" i="5"/>
  <c r="I1301" i="5"/>
  <c r="F1301" i="5"/>
  <c r="D1301" i="5"/>
  <c r="B1301" i="5"/>
  <c r="C1301" i="5" s="1"/>
  <c r="M1300" i="5"/>
  <c r="I1300" i="5"/>
  <c r="F1300" i="5"/>
  <c r="D1300" i="5"/>
  <c r="B1300" i="5"/>
  <c r="C1300" i="5" s="1"/>
  <c r="M1299" i="5"/>
  <c r="I1299" i="5"/>
  <c r="F1299" i="5"/>
  <c r="D1299" i="5"/>
  <c r="B1299" i="5"/>
  <c r="C1299" i="5" s="1"/>
  <c r="M1298" i="5"/>
  <c r="I1298" i="5"/>
  <c r="F1298" i="5"/>
  <c r="D1298" i="5"/>
  <c r="B1298" i="5"/>
  <c r="C1298" i="5" s="1"/>
  <c r="M1297" i="5"/>
  <c r="I1297" i="5"/>
  <c r="F1297" i="5"/>
  <c r="D1297" i="5"/>
  <c r="C1297" i="5"/>
  <c r="B1297" i="5"/>
  <c r="M1296" i="5"/>
  <c r="I1296" i="5"/>
  <c r="F1296" i="5"/>
  <c r="D1296" i="5"/>
  <c r="C1296" i="5"/>
  <c r="B1296" i="5"/>
  <c r="M1295" i="5"/>
  <c r="I1295" i="5"/>
  <c r="F1295" i="5"/>
  <c r="D1295" i="5"/>
  <c r="C1295" i="5"/>
  <c r="B1295" i="5"/>
  <c r="M1294" i="5"/>
  <c r="I1294" i="5"/>
  <c r="F1294" i="5"/>
  <c r="D1294" i="5"/>
  <c r="B1294" i="5"/>
  <c r="C1294" i="5" s="1"/>
  <c r="M1293" i="5"/>
  <c r="I1293" i="5"/>
  <c r="F1293" i="5"/>
  <c r="D1293" i="5"/>
  <c r="B1293" i="5"/>
  <c r="C1293" i="5" s="1"/>
  <c r="M1292" i="5"/>
  <c r="I1292" i="5"/>
  <c r="F1292" i="5"/>
  <c r="D1292" i="5"/>
  <c r="B1292" i="5"/>
  <c r="C1292" i="5" s="1"/>
  <c r="M1291" i="5"/>
  <c r="I1291" i="5"/>
  <c r="F1291" i="5"/>
  <c r="D1291" i="5"/>
  <c r="C1291" i="5"/>
  <c r="B1291" i="5"/>
  <c r="M1290" i="5"/>
  <c r="I1290" i="5"/>
  <c r="F1290" i="5"/>
  <c r="D1290" i="5"/>
  <c r="B1290" i="5"/>
  <c r="C1290" i="5" s="1"/>
  <c r="M1289" i="5"/>
  <c r="I1289" i="5"/>
  <c r="F1289" i="5"/>
  <c r="D1289" i="5"/>
  <c r="C1289" i="5"/>
  <c r="B1289" i="5"/>
  <c r="M1288" i="5"/>
  <c r="I1288" i="5"/>
  <c r="F1288" i="5"/>
  <c r="D1288" i="5"/>
  <c r="C1288" i="5"/>
  <c r="B1288" i="5"/>
  <c r="M1287" i="5"/>
  <c r="I1287" i="5"/>
  <c r="F1287" i="5"/>
  <c r="D1287" i="5"/>
  <c r="B1287" i="5"/>
  <c r="C1287" i="5" s="1"/>
  <c r="M1286" i="5"/>
  <c r="I1286" i="5"/>
  <c r="F1286" i="5"/>
  <c r="D1286" i="5"/>
  <c r="B1286" i="5"/>
  <c r="C1286" i="5" s="1"/>
  <c r="M1285" i="5"/>
  <c r="I1285" i="5"/>
  <c r="F1285" i="5"/>
  <c r="D1285" i="5"/>
  <c r="B1285" i="5"/>
  <c r="C1285" i="5" s="1"/>
  <c r="M1284" i="5"/>
  <c r="I1284" i="5"/>
  <c r="F1284" i="5"/>
  <c r="D1284" i="5"/>
  <c r="B1284" i="5"/>
  <c r="C1284" i="5" s="1"/>
  <c r="M1283" i="5"/>
  <c r="I1283" i="5"/>
  <c r="F1283" i="5"/>
  <c r="D1283" i="5"/>
  <c r="B1283" i="5"/>
  <c r="C1283" i="5" s="1"/>
  <c r="M1282" i="5"/>
  <c r="I1282" i="5"/>
  <c r="F1282" i="5"/>
  <c r="D1282" i="5"/>
  <c r="B1282" i="5"/>
  <c r="C1282" i="5" s="1"/>
  <c r="M1281" i="5"/>
  <c r="I1281" i="5"/>
  <c r="F1281" i="5"/>
  <c r="D1281" i="5"/>
  <c r="C1281" i="5"/>
  <c r="B1281" i="5"/>
  <c r="M1280" i="5"/>
  <c r="I1280" i="5"/>
  <c r="F1280" i="5"/>
  <c r="D1280" i="5"/>
  <c r="B1280" i="5"/>
  <c r="C1280" i="5" s="1"/>
  <c r="M1279" i="5"/>
  <c r="I1279" i="5"/>
  <c r="F1279" i="5"/>
  <c r="D1279" i="5"/>
  <c r="B1279" i="5"/>
  <c r="C1279" i="5" s="1"/>
  <c r="M1278" i="5"/>
  <c r="I1278" i="5"/>
  <c r="F1278" i="5"/>
  <c r="D1278" i="5"/>
  <c r="B1278" i="5"/>
  <c r="C1278" i="5" s="1"/>
  <c r="M1277" i="5"/>
  <c r="I1277" i="5"/>
  <c r="F1277" i="5"/>
  <c r="D1277" i="5"/>
  <c r="B1277" i="5"/>
  <c r="C1277" i="5" s="1"/>
  <c r="M1276" i="5"/>
  <c r="I1276" i="5"/>
  <c r="F1276" i="5"/>
  <c r="D1276" i="5"/>
  <c r="B1276" i="5"/>
  <c r="C1276" i="5" s="1"/>
  <c r="M1275" i="5"/>
  <c r="I1275" i="5"/>
  <c r="F1275" i="5"/>
  <c r="D1275" i="5"/>
  <c r="B1275" i="5"/>
  <c r="C1275" i="5" s="1"/>
  <c r="M1274" i="5"/>
  <c r="I1274" i="5"/>
  <c r="F1274" i="5"/>
  <c r="D1274" i="5"/>
  <c r="B1274" i="5"/>
  <c r="C1274" i="5" s="1"/>
  <c r="M1273" i="5"/>
  <c r="I1273" i="5"/>
  <c r="F1273" i="5"/>
  <c r="D1273" i="5"/>
  <c r="B1273" i="5"/>
  <c r="C1273" i="5" s="1"/>
  <c r="M1272" i="5"/>
  <c r="I1272" i="5"/>
  <c r="F1272" i="5"/>
  <c r="D1272" i="5"/>
  <c r="B1272" i="5"/>
  <c r="C1272" i="5" s="1"/>
  <c r="M1271" i="5"/>
  <c r="I1271" i="5"/>
  <c r="F1271" i="5"/>
  <c r="D1271" i="5"/>
  <c r="B1271" i="5"/>
  <c r="C1271" i="5" s="1"/>
  <c r="M1270" i="5"/>
  <c r="I1270" i="5"/>
  <c r="F1270" i="5"/>
  <c r="D1270" i="5"/>
  <c r="B1270" i="5"/>
  <c r="C1270" i="5" s="1"/>
  <c r="M1269" i="5"/>
  <c r="I1269" i="5"/>
  <c r="F1269" i="5"/>
  <c r="D1269" i="5"/>
  <c r="C1269" i="5"/>
  <c r="B1269" i="5"/>
  <c r="M1268" i="5"/>
  <c r="I1268" i="5"/>
  <c r="F1268" i="5"/>
  <c r="D1268" i="5"/>
  <c r="B1268" i="5"/>
  <c r="C1268" i="5" s="1"/>
  <c r="M1267" i="5"/>
  <c r="I1267" i="5"/>
  <c r="F1267" i="5"/>
  <c r="D1267" i="5"/>
  <c r="B1267" i="5"/>
  <c r="C1267" i="5" s="1"/>
  <c r="M1266" i="5"/>
  <c r="I1266" i="5"/>
  <c r="F1266" i="5"/>
  <c r="D1266" i="5"/>
  <c r="B1266" i="5"/>
  <c r="C1266" i="5" s="1"/>
  <c r="M1265" i="5"/>
  <c r="I1265" i="5"/>
  <c r="F1265" i="5"/>
  <c r="D1265" i="5"/>
  <c r="B1265" i="5"/>
  <c r="C1265" i="5" s="1"/>
  <c r="M1264" i="5"/>
  <c r="I1264" i="5"/>
  <c r="F1264" i="5"/>
  <c r="D1264" i="5"/>
  <c r="B1264" i="5"/>
  <c r="C1264" i="5" s="1"/>
  <c r="M1263" i="5"/>
  <c r="I1263" i="5"/>
  <c r="F1263" i="5"/>
  <c r="D1263" i="5"/>
  <c r="C1263" i="5"/>
  <c r="B1263" i="5"/>
  <c r="M1262" i="5"/>
  <c r="I1262" i="5"/>
  <c r="F1262" i="5"/>
  <c r="D1262" i="5"/>
  <c r="B1262" i="5"/>
  <c r="C1262" i="5" s="1"/>
  <c r="M1261" i="5"/>
  <c r="I1261" i="5"/>
  <c r="F1261" i="5"/>
  <c r="D1261" i="5"/>
  <c r="B1261" i="5"/>
  <c r="C1261" i="5" s="1"/>
  <c r="M1260" i="5"/>
  <c r="I1260" i="5"/>
  <c r="F1260" i="5"/>
  <c r="D1260" i="5"/>
  <c r="B1260" i="5"/>
  <c r="C1260" i="5" s="1"/>
  <c r="M1259" i="5"/>
  <c r="I1259" i="5"/>
  <c r="F1259" i="5"/>
  <c r="D1259" i="5"/>
  <c r="B1259" i="5"/>
  <c r="C1259" i="5" s="1"/>
  <c r="M1258" i="5"/>
  <c r="I1258" i="5"/>
  <c r="F1258" i="5"/>
  <c r="D1258" i="5"/>
  <c r="B1258" i="5"/>
  <c r="C1258" i="5" s="1"/>
  <c r="M1257" i="5"/>
  <c r="I1257" i="5"/>
  <c r="F1257" i="5"/>
  <c r="D1257" i="5"/>
  <c r="C1257" i="5"/>
  <c r="B1257" i="5"/>
  <c r="M1256" i="5"/>
  <c r="I1256" i="5"/>
  <c r="F1256" i="5"/>
  <c r="D1256" i="5"/>
  <c r="C1256" i="5"/>
  <c r="B1256" i="5"/>
  <c r="M1255" i="5"/>
  <c r="I1255" i="5"/>
  <c r="F1255" i="5"/>
  <c r="D1255" i="5"/>
  <c r="B1255" i="5"/>
  <c r="C1255" i="5" s="1"/>
  <c r="M1254" i="5"/>
  <c r="I1254" i="5"/>
  <c r="F1254" i="5"/>
  <c r="D1254" i="5"/>
  <c r="B1254" i="5"/>
  <c r="C1254" i="5" s="1"/>
  <c r="M1253" i="5"/>
  <c r="I1253" i="5"/>
  <c r="F1253" i="5"/>
  <c r="D1253" i="5"/>
  <c r="B1253" i="5"/>
  <c r="C1253" i="5" s="1"/>
  <c r="M1252" i="5"/>
  <c r="I1252" i="5"/>
  <c r="F1252" i="5"/>
  <c r="D1252" i="5"/>
  <c r="C1252" i="5"/>
  <c r="B1252" i="5"/>
  <c r="M1251" i="5"/>
  <c r="I1251" i="5"/>
  <c r="F1251" i="5"/>
  <c r="D1251" i="5"/>
  <c r="C1251" i="5"/>
  <c r="B1251" i="5"/>
  <c r="M1250" i="5"/>
  <c r="I1250" i="5"/>
  <c r="F1250" i="5"/>
  <c r="D1250" i="5"/>
  <c r="B1250" i="5"/>
  <c r="C1250" i="5" s="1"/>
  <c r="M1249" i="5"/>
  <c r="I1249" i="5"/>
  <c r="F1249" i="5"/>
  <c r="D1249" i="5"/>
  <c r="C1249" i="5"/>
  <c r="B1249" i="5"/>
  <c r="M1248" i="5"/>
  <c r="I1248" i="5"/>
  <c r="F1248" i="5"/>
  <c r="D1248" i="5"/>
  <c r="B1248" i="5"/>
  <c r="C1248" i="5" s="1"/>
  <c r="M1247" i="5"/>
  <c r="I1247" i="5"/>
  <c r="F1247" i="5"/>
  <c r="D1247" i="5"/>
  <c r="B1247" i="5"/>
  <c r="C1247" i="5" s="1"/>
  <c r="M1246" i="5"/>
  <c r="I1246" i="5"/>
  <c r="F1246" i="5"/>
  <c r="D1246" i="5"/>
  <c r="B1246" i="5"/>
  <c r="C1246" i="5" s="1"/>
  <c r="M1245" i="5"/>
  <c r="I1245" i="5"/>
  <c r="F1245" i="5"/>
  <c r="D1245" i="5"/>
  <c r="B1245" i="5"/>
  <c r="C1245" i="5" s="1"/>
  <c r="M1244" i="5"/>
  <c r="I1244" i="5"/>
  <c r="F1244" i="5"/>
  <c r="D1244" i="5"/>
  <c r="C1244" i="5"/>
  <c r="B1244" i="5"/>
  <c r="M1243" i="5"/>
  <c r="I1243" i="5"/>
  <c r="F1243" i="5"/>
  <c r="D1243" i="5"/>
  <c r="B1243" i="5"/>
  <c r="C1243" i="5" s="1"/>
  <c r="M1242" i="5"/>
  <c r="I1242" i="5"/>
  <c r="F1242" i="5"/>
  <c r="D1242" i="5"/>
  <c r="B1242" i="5"/>
  <c r="C1242" i="5" s="1"/>
  <c r="M1241" i="5"/>
  <c r="I1241" i="5"/>
  <c r="F1241" i="5"/>
  <c r="D1241" i="5"/>
  <c r="B1241" i="5"/>
  <c r="C1241" i="5" s="1"/>
  <c r="M1240" i="5"/>
  <c r="I1240" i="5"/>
  <c r="F1240" i="5"/>
  <c r="D1240" i="5"/>
  <c r="B1240" i="5"/>
  <c r="C1240" i="5" s="1"/>
  <c r="M1239" i="5"/>
  <c r="I1239" i="5"/>
  <c r="F1239" i="5"/>
  <c r="D1239" i="5"/>
  <c r="C1239" i="5"/>
  <c r="B1239" i="5"/>
  <c r="M1238" i="5"/>
  <c r="I1238" i="5"/>
  <c r="F1238" i="5"/>
  <c r="D1238" i="5"/>
  <c r="B1238" i="5"/>
  <c r="C1238" i="5" s="1"/>
  <c r="M1237" i="5"/>
  <c r="I1237" i="5"/>
  <c r="F1237" i="5"/>
  <c r="D1237" i="5"/>
  <c r="C1237" i="5"/>
  <c r="B1237" i="5"/>
  <c r="M1236" i="5"/>
  <c r="I1236" i="5"/>
  <c r="F1236" i="5"/>
  <c r="D1236" i="5"/>
  <c r="B1236" i="5"/>
  <c r="C1236" i="5" s="1"/>
  <c r="M1235" i="5"/>
  <c r="I1235" i="5"/>
  <c r="F1235" i="5"/>
  <c r="D1235" i="5"/>
  <c r="B1235" i="5"/>
  <c r="C1235" i="5" s="1"/>
  <c r="M1234" i="5"/>
  <c r="I1234" i="5"/>
  <c r="F1234" i="5"/>
  <c r="D1234" i="5"/>
  <c r="B1234" i="5"/>
  <c r="C1234" i="5" s="1"/>
  <c r="M1233" i="5"/>
  <c r="I1233" i="5"/>
  <c r="F1233" i="5"/>
  <c r="D1233" i="5"/>
  <c r="B1233" i="5"/>
  <c r="C1233" i="5" s="1"/>
  <c r="M1232" i="5"/>
  <c r="I1232" i="5"/>
  <c r="F1232" i="5"/>
  <c r="D1232" i="5"/>
  <c r="C1232" i="5"/>
  <c r="B1232" i="5"/>
  <c r="M1231" i="5"/>
  <c r="I1231" i="5"/>
  <c r="F1231" i="5"/>
  <c r="D1231" i="5"/>
  <c r="C1231" i="5"/>
  <c r="B1231" i="5"/>
  <c r="M1230" i="5"/>
  <c r="I1230" i="5"/>
  <c r="F1230" i="5"/>
  <c r="D1230" i="5"/>
  <c r="B1230" i="5"/>
  <c r="C1230" i="5" s="1"/>
  <c r="M1229" i="5"/>
  <c r="I1229" i="5"/>
  <c r="F1229" i="5"/>
  <c r="D1229" i="5"/>
  <c r="B1229" i="5"/>
  <c r="C1229" i="5" s="1"/>
  <c r="M1228" i="5"/>
  <c r="I1228" i="5"/>
  <c r="F1228" i="5"/>
  <c r="D1228" i="5"/>
  <c r="B1228" i="5"/>
  <c r="C1228" i="5" s="1"/>
  <c r="M1227" i="5"/>
  <c r="I1227" i="5"/>
  <c r="F1227" i="5"/>
  <c r="D1227" i="5"/>
  <c r="C1227" i="5"/>
  <c r="B1227" i="5"/>
  <c r="M1226" i="5"/>
  <c r="I1226" i="5"/>
  <c r="F1226" i="5"/>
  <c r="D1226" i="5"/>
  <c r="B1226" i="5"/>
  <c r="C1226" i="5" s="1"/>
  <c r="M1225" i="5"/>
  <c r="I1225" i="5"/>
  <c r="F1225" i="5"/>
  <c r="D1225" i="5"/>
  <c r="C1225" i="5"/>
  <c r="B1225" i="5"/>
  <c r="M1224" i="5"/>
  <c r="I1224" i="5"/>
  <c r="F1224" i="5"/>
  <c r="D1224" i="5"/>
  <c r="C1224" i="5"/>
  <c r="B1224" i="5"/>
  <c r="M1223" i="5"/>
  <c r="I1223" i="5"/>
  <c r="F1223" i="5"/>
  <c r="D1223" i="5"/>
  <c r="B1223" i="5"/>
  <c r="C1223" i="5" s="1"/>
  <c r="M1222" i="5"/>
  <c r="I1222" i="5"/>
  <c r="F1222" i="5"/>
  <c r="D1222" i="5"/>
  <c r="B1222" i="5"/>
  <c r="C1222" i="5" s="1"/>
  <c r="M1221" i="5"/>
  <c r="I1221" i="5"/>
  <c r="F1221" i="5"/>
  <c r="D1221" i="5"/>
  <c r="B1221" i="5"/>
  <c r="C1221" i="5" s="1"/>
  <c r="M1220" i="5"/>
  <c r="I1220" i="5"/>
  <c r="F1220" i="5"/>
  <c r="D1220" i="5"/>
  <c r="C1220" i="5"/>
  <c r="B1220" i="5"/>
  <c r="M1219" i="5"/>
  <c r="I1219" i="5"/>
  <c r="F1219" i="5"/>
  <c r="D1219" i="5"/>
  <c r="B1219" i="5"/>
  <c r="C1219" i="5" s="1"/>
  <c r="M1218" i="5"/>
  <c r="I1218" i="5"/>
  <c r="F1218" i="5"/>
  <c r="D1218" i="5"/>
  <c r="B1218" i="5"/>
  <c r="C1218" i="5" s="1"/>
  <c r="M1217" i="5"/>
  <c r="I1217" i="5"/>
  <c r="F1217" i="5"/>
  <c r="D1217" i="5"/>
  <c r="B1217" i="5"/>
  <c r="C1217" i="5" s="1"/>
  <c r="M1216" i="5"/>
  <c r="I1216" i="5"/>
  <c r="F1216" i="5"/>
  <c r="D1216" i="5"/>
  <c r="B1216" i="5"/>
  <c r="C1216" i="5" s="1"/>
  <c r="M1215" i="5"/>
  <c r="I1215" i="5"/>
  <c r="F1215" i="5"/>
  <c r="D1215" i="5"/>
  <c r="B1215" i="5"/>
  <c r="C1215" i="5" s="1"/>
  <c r="M1214" i="5"/>
  <c r="I1214" i="5"/>
  <c r="F1214" i="5"/>
  <c r="D1214" i="5"/>
  <c r="B1214" i="5"/>
  <c r="C1214" i="5" s="1"/>
  <c r="M1213" i="5"/>
  <c r="I1213" i="5"/>
  <c r="F1213" i="5"/>
  <c r="D1213" i="5"/>
  <c r="B1213" i="5"/>
  <c r="C1213" i="5" s="1"/>
  <c r="M1212" i="5"/>
  <c r="I1212" i="5"/>
  <c r="F1212" i="5"/>
  <c r="D1212" i="5"/>
  <c r="B1212" i="5"/>
  <c r="C1212" i="5" s="1"/>
  <c r="M1211" i="5"/>
  <c r="I1211" i="5"/>
  <c r="F1211" i="5"/>
  <c r="D1211" i="5"/>
  <c r="B1211" i="5"/>
  <c r="C1211" i="5" s="1"/>
  <c r="M1210" i="5"/>
  <c r="I1210" i="5"/>
  <c r="F1210" i="5"/>
  <c r="D1210" i="5"/>
  <c r="B1210" i="5"/>
  <c r="C1210" i="5" s="1"/>
  <c r="M1209" i="5"/>
  <c r="I1209" i="5"/>
  <c r="F1209" i="5"/>
  <c r="D1209" i="5"/>
  <c r="B1209" i="5"/>
  <c r="C1209" i="5" s="1"/>
  <c r="M1208" i="5"/>
  <c r="I1208" i="5"/>
  <c r="F1208" i="5"/>
  <c r="D1208" i="5"/>
  <c r="B1208" i="5"/>
  <c r="C1208" i="5" s="1"/>
  <c r="M1207" i="5"/>
  <c r="I1207" i="5"/>
  <c r="F1207" i="5"/>
  <c r="D1207" i="5"/>
  <c r="B1207" i="5"/>
  <c r="C1207" i="5" s="1"/>
  <c r="M1206" i="5"/>
  <c r="I1206" i="5"/>
  <c r="F1206" i="5"/>
  <c r="D1206" i="5"/>
  <c r="B1206" i="5"/>
  <c r="C1206" i="5" s="1"/>
  <c r="M1205" i="5"/>
  <c r="I1205" i="5"/>
  <c r="F1205" i="5"/>
  <c r="D1205" i="5"/>
  <c r="B1205" i="5"/>
  <c r="C1205" i="5" s="1"/>
  <c r="M1204" i="5"/>
  <c r="I1204" i="5"/>
  <c r="F1204" i="5"/>
  <c r="D1204" i="5"/>
  <c r="B1204" i="5"/>
  <c r="C1204" i="5" s="1"/>
  <c r="M1203" i="5"/>
  <c r="I1203" i="5"/>
  <c r="F1203" i="5"/>
  <c r="D1203" i="5"/>
  <c r="B1203" i="5"/>
  <c r="C1203" i="5" s="1"/>
  <c r="M1202" i="5"/>
  <c r="I1202" i="5"/>
  <c r="F1202" i="5"/>
  <c r="D1202" i="5"/>
  <c r="B1202" i="5"/>
  <c r="C1202" i="5" s="1"/>
  <c r="M1201" i="5"/>
  <c r="I1201" i="5"/>
  <c r="F1201" i="5"/>
  <c r="D1201" i="5"/>
  <c r="B1201" i="5"/>
  <c r="C1201" i="5" s="1"/>
  <c r="M1200" i="5"/>
  <c r="I1200" i="5"/>
  <c r="F1200" i="5"/>
  <c r="D1200" i="5"/>
  <c r="B1200" i="5"/>
  <c r="C1200" i="5" s="1"/>
  <c r="M1199" i="5"/>
  <c r="I1199" i="5"/>
  <c r="F1199" i="5"/>
  <c r="D1199" i="5"/>
  <c r="C1199" i="5"/>
  <c r="B1199" i="5"/>
  <c r="M1198" i="5"/>
  <c r="I1198" i="5"/>
  <c r="F1198" i="5"/>
  <c r="D1198" i="5"/>
  <c r="B1198" i="5"/>
  <c r="C1198" i="5" s="1"/>
  <c r="M1197" i="5"/>
  <c r="I1197" i="5"/>
  <c r="F1197" i="5"/>
  <c r="D1197" i="5"/>
  <c r="B1197" i="5"/>
  <c r="C1197" i="5" s="1"/>
  <c r="M1196" i="5"/>
  <c r="I1196" i="5"/>
  <c r="F1196" i="5"/>
  <c r="D1196" i="5"/>
  <c r="B1196" i="5"/>
  <c r="C1196" i="5" s="1"/>
  <c r="M1195" i="5"/>
  <c r="I1195" i="5"/>
  <c r="F1195" i="5"/>
  <c r="D1195" i="5"/>
  <c r="C1195" i="5"/>
  <c r="B1195" i="5"/>
  <c r="M1194" i="5"/>
  <c r="I1194" i="5"/>
  <c r="F1194" i="5"/>
  <c r="D1194" i="5"/>
  <c r="B1194" i="5"/>
  <c r="C1194" i="5" s="1"/>
  <c r="M1193" i="5"/>
  <c r="I1193" i="5"/>
  <c r="F1193" i="5"/>
  <c r="D1193" i="5"/>
  <c r="C1193" i="5"/>
  <c r="B1193" i="5"/>
  <c r="M1192" i="5"/>
  <c r="I1192" i="5"/>
  <c r="F1192" i="5"/>
  <c r="D1192" i="5"/>
  <c r="C1192" i="5"/>
  <c r="B1192" i="5"/>
  <c r="M1191" i="5"/>
  <c r="I1191" i="5"/>
  <c r="F1191" i="5"/>
  <c r="D1191" i="5"/>
  <c r="B1191" i="5"/>
  <c r="C1191" i="5" s="1"/>
  <c r="M1190" i="5"/>
  <c r="I1190" i="5"/>
  <c r="F1190" i="5"/>
  <c r="D1190" i="5"/>
  <c r="B1190" i="5"/>
  <c r="C1190" i="5" s="1"/>
  <c r="M1189" i="5"/>
  <c r="I1189" i="5"/>
  <c r="F1189" i="5"/>
  <c r="D1189" i="5"/>
  <c r="B1189" i="5"/>
  <c r="C1189" i="5" s="1"/>
  <c r="M1188" i="5"/>
  <c r="I1188" i="5"/>
  <c r="F1188" i="5"/>
  <c r="D1188" i="5"/>
  <c r="C1188" i="5"/>
  <c r="B1188" i="5"/>
  <c r="M1187" i="5"/>
  <c r="I1187" i="5"/>
  <c r="F1187" i="5"/>
  <c r="D1187" i="5"/>
  <c r="C1187" i="5"/>
  <c r="B1187" i="5"/>
  <c r="M1186" i="5"/>
  <c r="I1186" i="5"/>
  <c r="F1186" i="5"/>
  <c r="D1186" i="5"/>
  <c r="B1186" i="5"/>
  <c r="C1186" i="5" s="1"/>
  <c r="M1185" i="5"/>
  <c r="I1185" i="5"/>
  <c r="F1185" i="5"/>
  <c r="D1185" i="5"/>
  <c r="B1185" i="5"/>
  <c r="C1185" i="5" s="1"/>
  <c r="M1184" i="5"/>
  <c r="I1184" i="5"/>
  <c r="F1184" i="5"/>
  <c r="D1184" i="5"/>
  <c r="B1184" i="5"/>
  <c r="C1184" i="5" s="1"/>
  <c r="M1183" i="5"/>
  <c r="I1183" i="5"/>
  <c r="F1183" i="5"/>
  <c r="D1183" i="5"/>
  <c r="B1183" i="5"/>
  <c r="C1183" i="5" s="1"/>
  <c r="M1182" i="5"/>
  <c r="I1182" i="5"/>
  <c r="F1182" i="5"/>
  <c r="D1182" i="5"/>
  <c r="B1182" i="5"/>
  <c r="C1182" i="5" s="1"/>
  <c r="M1181" i="5"/>
  <c r="I1181" i="5"/>
  <c r="F1181" i="5"/>
  <c r="D1181" i="5"/>
  <c r="B1181" i="5"/>
  <c r="C1181" i="5" s="1"/>
  <c r="M1180" i="5"/>
  <c r="I1180" i="5"/>
  <c r="F1180" i="5"/>
  <c r="D1180" i="5"/>
  <c r="C1180" i="5"/>
  <c r="B1180" i="5"/>
  <c r="M1179" i="5"/>
  <c r="I1179" i="5"/>
  <c r="F1179" i="5"/>
  <c r="D1179" i="5"/>
  <c r="B1179" i="5"/>
  <c r="C1179" i="5" s="1"/>
  <c r="M1178" i="5"/>
  <c r="I1178" i="5"/>
  <c r="F1178" i="5"/>
  <c r="D1178" i="5"/>
  <c r="B1178" i="5"/>
  <c r="C1178" i="5" s="1"/>
  <c r="M1177" i="5"/>
  <c r="I1177" i="5"/>
  <c r="F1177" i="5"/>
  <c r="D1177" i="5"/>
  <c r="B1177" i="5"/>
  <c r="C1177" i="5" s="1"/>
  <c r="M1176" i="5"/>
  <c r="I1176" i="5"/>
  <c r="F1176" i="5"/>
  <c r="D1176" i="5"/>
  <c r="B1176" i="5"/>
  <c r="C1176" i="5" s="1"/>
  <c r="M1175" i="5"/>
  <c r="I1175" i="5"/>
  <c r="F1175" i="5"/>
  <c r="D1175" i="5"/>
  <c r="B1175" i="5"/>
  <c r="C1175" i="5" s="1"/>
  <c r="M1174" i="5"/>
  <c r="I1174" i="5"/>
  <c r="F1174" i="5"/>
  <c r="D1174" i="5"/>
  <c r="B1174" i="5"/>
  <c r="C1174" i="5" s="1"/>
  <c r="M1173" i="5"/>
  <c r="I1173" i="5"/>
  <c r="F1173" i="5"/>
  <c r="D1173" i="5"/>
  <c r="C1173" i="5"/>
  <c r="B1173" i="5"/>
  <c r="M1172" i="5"/>
  <c r="I1172" i="5"/>
  <c r="F1172" i="5"/>
  <c r="D1172" i="5"/>
  <c r="B1172" i="5"/>
  <c r="C1172" i="5" s="1"/>
  <c r="M1171" i="5"/>
  <c r="I1171" i="5"/>
  <c r="F1171" i="5"/>
  <c r="D1171" i="5"/>
  <c r="B1171" i="5"/>
  <c r="C1171" i="5" s="1"/>
  <c r="M1170" i="5"/>
  <c r="I1170" i="5"/>
  <c r="F1170" i="5"/>
  <c r="D1170" i="5"/>
  <c r="B1170" i="5"/>
  <c r="C1170" i="5" s="1"/>
  <c r="M1169" i="5"/>
  <c r="I1169" i="5"/>
  <c r="F1169" i="5"/>
  <c r="D1169" i="5"/>
  <c r="B1169" i="5"/>
  <c r="C1169" i="5" s="1"/>
  <c r="M1168" i="5"/>
  <c r="I1168" i="5"/>
  <c r="F1168" i="5"/>
  <c r="D1168" i="5"/>
  <c r="C1168" i="5"/>
  <c r="B1168" i="5"/>
  <c r="M1167" i="5"/>
  <c r="I1167" i="5"/>
  <c r="F1167" i="5"/>
  <c r="D1167" i="5"/>
  <c r="C1167" i="5"/>
  <c r="B1167" i="5"/>
  <c r="M1166" i="5"/>
  <c r="I1166" i="5"/>
  <c r="F1166" i="5"/>
  <c r="D1166" i="5"/>
  <c r="B1166" i="5"/>
  <c r="C1166" i="5" s="1"/>
  <c r="M1165" i="5"/>
  <c r="I1165" i="5"/>
  <c r="F1165" i="5"/>
  <c r="D1165" i="5"/>
  <c r="B1165" i="5"/>
  <c r="C1165" i="5" s="1"/>
  <c r="M1164" i="5"/>
  <c r="I1164" i="5"/>
  <c r="F1164" i="5"/>
  <c r="D1164" i="5"/>
  <c r="B1164" i="5"/>
  <c r="C1164" i="5" s="1"/>
  <c r="M1163" i="5"/>
  <c r="I1163" i="5"/>
  <c r="F1163" i="5"/>
  <c r="D1163" i="5"/>
  <c r="B1163" i="5"/>
  <c r="C1163" i="5" s="1"/>
  <c r="M1162" i="5"/>
  <c r="I1162" i="5"/>
  <c r="F1162" i="5"/>
  <c r="D1162" i="5"/>
  <c r="B1162" i="5"/>
  <c r="C1162" i="5" s="1"/>
  <c r="M1161" i="5"/>
  <c r="I1161" i="5"/>
  <c r="F1161" i="5"/>
  <c r="D1161" i="5"/>
  <c r="C1161" i="5"/>
  <c r="B1161" i="5"/>
  <c r="M1160" i="5"/>
  <c r="I1160" i="5"/>
  <c r="F1160" i="5"/>
  <c r="D1160" i="5"/>
  <c r="B1160" i="5"/>
  <c r="C1160" i="5" s="1"/>
  <c r="M1159" i="5"/>
  <c r="I1159" i="5"/>
  <c r="F1159" i="5"/>
  <c r="D1159" i="5"/>
  <c r="B1159" i="5"/>
  <c r="C1159" i="5" s="1"/>
  <c r="M1158" i="5"/>
  <c r="I1158" i="5"/>
  <c r="F1158" i="5"/>
  <c r="D1158" i="5"/>
  <c r="B1158" i="5"/>
  <c r="C1158" i="5" s="1"/>
  <c r="M1157" i="5"/>
  <c r="I1157" i="5"/>
  <c r="F1157" i="5"/>
  <c r="D1157" i="5"/>
  <c r="B1157" i="5"/>
  <c r="C1157" i="5" s="1"/>
  <c r="M1156" i="5"/>
  <c r="I1156" i="5"/>
  <c r="F1156" i="5"/>
  <c r="D1156" i="5"/>
  <c r="B1156" i="5"/>
  <c r="C1156" i="5" s="1"/>
  <c r="M1155" i="5"/>
  <c r="I1155" i="5"/>
  <c r="F1155" i="5"/>
  <c r="D1155" i="5"/>
  <c r="C1155" i="5"/>
  <c r="B1155" i="5"/>
  <c r="M1154" i="5"/>
  <c r="I1154" i="5"/>
  <c r="F1154" i="5"/>
  <c r="D1154" i="5"/>
  <c r="B1154" i="5"/>
  <c r="C1154" i="5" s="1"/>
  <c r="M1153" i="5"/>
  <c r="I1153" i="5"/>
  <c r="F1153" i="5"/>
  <c r="D1153" i="5"/>
  <c r="C1153" i="5"/>
  <c r="B1153" i="5"/>
  <c r="M1152" i="5"/>
  <c r="I1152" i="5"/>
  <c r="F1152" i="5"/>
  <c r="D1152" i="5"/>
  <c r="B1152" i="5"/>
  <c r="C1152" i="5" s="1"/>
  <c r="M1151" i="5"/>
  <c r="I1151" i="5"/>
  <c r="F1151" i="5"/>
  <c r="D1151" i="5"/>
  <c r="B1151" i="5"/>
  <c r="C1151" i="5" s="1"/>
  <c r="M1150" i="5"/>
  <c r="I1150" i="5"/>
  <c r="F1150" i="5"/>
  <c r="D1150" i="5"/>
  <c r="B1150" i="5"/>
  <c r="C1150" i="5" s="1"/>
  <c r="M1149" i="5"/>
  <c r="I1149" i="5"/>
  <c r="F1149" i="5"/>
  <c r="D1149" i="5"/>
  <c r="C1149" i="5"/>
  <c r="B1149" i="5"/>
  <c r="M1148" i="5"/>
  <c r="I1148" i="5"/>
  <c r="F1148" i="5"/>
  <c r="D1148" i="5"/>
  <c r="B1148" i="5"/>
  <c r="C1148" i="5" s="1"/>
  <c r="M1147" i="5"/>
  <c r="I1147" i="5"/>
  <c r="F1147" i="5"/>
  <c r="D1147" i="5"/>
  <c r="B1147" i="5"/>
  <c r="C1147" i="5" s="1"/>
  <c r="M1146" i="5"/>
  <c r="I1146" i="5"/>
  <c r="F1146" i="5"/>
  <c r="D1146" i="5"/>
  <c r="B1146" i="5"/>
  <c r="C1146" i="5" s="1"/>
  <c r="M1145" i="5"/>
  <c r="I1145" i="5"/>
  <c r="F1145" i="5"/>
  <c r="D1145" i="5"/>
  <c r="B1145" i="5"/>
  <c r="C1145" i="5" s="1"/>
  <c r="M1144" i="5"/>
  <c r="I1144" i="5"/>
  <c r="F1144" i="5"/>
  <c r="D1144" i="5"/>
  <c r="C1144" i="5"/>
  <c r="B1144" i="5"/>
  <c r="M1143" i="5"/>
  <c r="I1143" i="5"/>
  <c r="F1143" i="5"/>
  <c r="D1143" i="5"/>
  <c r="B1143" i="5"/>
  <c r="C1143" i="5" s="1"/>
  <c r="M1142" i="5"/>
  <c r="I1142" i="5"/>
  <c r="F1142" i="5"/>
  <c r="D1142" i="5"/>
  <c r="B1142" i="5"/>
  <c r="C1142" i="5" s="1"/>
  <c r="M1141" i="5"/>
  <c r="I1141" i="5"/>
  <c r="F1141" i="5"/>
  <c r="D1141" i="5"/>
  <c r="C1141" i="5"/>
  <c r="B1141" i="5"/>
  <c r="M1140" i="5"/>
  <c r="I1140" i="5"/>
  <c r="F1140" i="5"/>
  <c r="D1140" i="5"/>
  <c r="B1140" i="5"/>
  <c r="C1140" i="5" s="1"/>
  <c r="M1139" i="5"/>
  <c r="I1139" i="5"/>
  <c r="F1139" i="5"/>
  <c r="D1139" i="5"/>
  <c r="B1139" i="5"/>
  <c r="C1139" i="5" s="1"/>
  <c r="M1138" i="5"/>
  <c r="I1138" i="5"/>
  <c r="F1138" i="5"/>
  <c r="D1138" i="5"/>
  <c r="B1138" i="5"/>
  <c r="C1138" i="5" s="1"/>
  <c r="M1137" i="5"/>
  <c r="I1137" i="5"/>
  <c r="F1137" i="5"/>
  <c r="D1137" i="5"/>
  <c r="B1137" i="5"/>
  <c r="C1137" i="5" s="1"/>
  <c r="M1136" i="5"/>
  <c r="I1136" i="5"/>
  <c r="F1136" i="5"/>
  <c r="D1136" i="5"/>
  <c r="B1136" i="5"/>
  <c r="C1136" i="5" s="1"/>
  <c r="M1135" i="5"/>
  <c r="I1135" i="5"/>
  <c r="F1135" i="5"/>
  <c r="D1135" i="5"/>
  <c r="B1135" i="5"/>
  <c r="C1135" i="5" s="1"/>
  <c r="M1134" i="5"/>
  <c r="I1134" i="5"/>
  <c r="F1134" i="5"/>
  <c r="D1134" i="5"/>
  <c r="B1134" i="5"/>
  <c r="C1134" i="5" s="1"/>
  <c r="M1133" i="5"/>
  <c r="I1133" i="5"/>
  <c r="F1133" i="5"/>
  <c r="D1133" i="5"/>
  <c r="B1133" i="5"/>
  <c r="C1133" i="5" s="1"/>
  <c r="M1132" i="5"/>
  <c r="I1132" i="5"/>
  <c r="F1132" i="5"/>
  <c r="D1132" i="5"/>
  <c r="B1132" i="5"/>
  <c r="C1132" i="5" s="1"/>
  <c r="M1131" i="5"/>
  <c r="I1131" i="5"/>
  <c r="F1131" i="5"/>
  <c r="D1131" i="5"/>
  <c r="B1131" i="5"/>
  <c r="C1131" i="5" s="1"/>
  <c r="M1130" i="5"/>
  <c r="I1130" i="5"/>
  <c r="F1130" i="5"/>
  <c r="D1130" i="5"/>
  <c r="B1130" i="5"/>
  <c r="C1130" i="5" s="1"/>
  <c r="M1129" i="5"/>
  <c r="I1129" i="5"/>
  <c r="F1129" i="5"/>
  <c r="D1129" i="5"/>
  <c r="C1129" i="5"/>
  <c r="B1129" i="5"/>
  <c r="M1128" i="5"/>
  <c r="I1128" i="5"/>
  <c r="F1128" i="5"/>
  <c r="D1128" i="5"/>
  <c r="C1128" i="5"/>
  <c r="B1128" i="5"/>
  <c r="M1127" i="5"/>
  <c r="I1127" i="5"/>
  <c r="F1127" i="5"/>
  <c r="D1127" i="5"/>
  <c r="B1127" i="5"/>
  <c r="C1127" i="5" s="1"/>
  <c r="M1126" i="5"/>
  <c r="I1126" i="5"/>
  <c r="F1126" i="5"/>
  <c r="D1126" i="5"/>
  <c r="B1126" i="5"/>
  <c r="C1126" i="5" s="1"/>
  <c r="M1125" i="5"/>
  <c r="I1125" i="5"/>
  <c r="F1125" i="5"/>
  <c r="D1125" i="5"/>
  <c r="B1125" i="5"/>
  <c r="C1125" i="5" s="1"/>
  <c r="M1124" i="5"/>
  <c r="I1124" i="5"/>
  <c r="F1124" i="5"/>
  <c r="D1124" i="5"/>
  <c r="B1124" i="5"/>
  <c r="C1124" i="5" s="1"/>
  <c r="M1123" i="5"/>
  <c r="I1123" i="5"/>
  <c r="F1123" i="5"/>
  <c r="D1123" i="5"/>
  <c r="C1123" i="5"/>
  <c r="B1123" i="5"/>
  <c r="M1122" i="5"/>
  <c r="I1122" i="5"/>
  <c r="F1122" i="5"/>
  <c r="D1122" i="5"/>
  <c r="B1122" i="5"/>
  <c r="C1122" i="5" s="1"/>
  <c r="M1121" i="5"/>
  <c r="I1121" i="5"/>
  <c r="F1121" i="5"/>
  <c r="D1121" i="5"/>
  <c r="C1121" i="5"/>
  <c r="B1121" i="5"/>
  <c r="M1120" i="5"/>
  <c r="I1120" i="5"/>
  <c r="F1120" i="5"/>
  <c r="D1120" i="5"/>
  <c r="B1120" i="5"/>
  <c r="C1120" i="5" s="1"/>
  <c r="M1119" i="5"/>
  <c r="I1119" i="5"/>
  <c r="F1119" i="5"/>
  <c r="D1119" i="5"/>
  <c r="B1119" i="5"/>
  <c r="C1119" i="5" s="1"/>
  <c r="M1118" i="5"/>
  <c r="I1118" i="5"/>
  <c r="F1118" i="5"/>
  <c r="D1118" i="5"/>
  <c r="B1118" i="5"/>
  <c r="C1118" i="5" s="1"/>
  <c r="M1117" i="5"/>
  <c r="I1117" i="5"/>
  <c r="F1117" i="5"/>
  <c r="D1117" i="5"/>
  <c r="C1117" i="5"/>
  <c r="B1117" i="5"/>
  <c r="M1116" i="5"/>
  <c r="I1116" i="5"/>
  <c r="F1116" i="5"/>
  <c r="D1116" i="5"/>
  <c r="C1116" i="5"/>
  <c r="B1116" i="5"/>
  <c r="M1115" i="5"/>
  <c r="I1115" i="5"/>
  <c r="F1115" i="5"/>
  <c r="D1115" i="5"/>
  <c r="B1115" i="5"/>
  <c r="C1115" i="5" s="1"/>
  <c r="M1114" i="5"/>
  <c r="I1114" i="5"/>
  <c r="F1114" i="5"/>
  <c r="D1114" i="5"/>
  <c r="B1114" i="5"/>
  <c r="C1114" i="5" s="1"/>
  <c r="M1113" i="5"/>
  <c r="I1113" i="5"/>
  <c r="F1113" i="5"/>
  <c r="D1113" i="5"/>
  <c r="B1113" i="5"/>
  <c r="C1113" i="5" s="1"/>
  <c r="M1112" i="5"/>
  <c r="I1112" i="5"/>
  <c r="F1112" i="5"/>
  <c r="D1112" i="5"/>
  <c r="B1112" i="5"/>
  <c r="C1112" i="5" s="1"/>
  <c r="M1111" i="5"/>
  <c r="I1111" i="5"/>
  <c r="F1111" i="5"/>
  <c r="D1111" i="5"/>
  <c r="C1111" i="5"/>
  <c r="B1111" i="5"/>
  <c r="M1110" i="5"/>
  <c r="I1110" i="5"/>
  <c r="F1110" i="5"/>
  <c r="D1110" i="5"/>
  <c r="B1110" i="5"/>
  <c r="C1110" i="5" s="1"/>
  <c r="M1109" i="5"/>
  <c r="I1109" i="5"/>
  <c r="F1109" i="5"/>
  <c r="D1109" i="5"/>
  <c r="C1109" i="5"/>
  <c r="B1109" i="5"/>
  <c r="M1108" i="5"/>
  <c r="I1108" i="5"/>
  <c r="F1108" i="5"/>
  <c r="D1108" i="5"/>
  <c r="B1108" i="5"/>
  <c r="C1108" i="5" s="1"/>
  <c r="M1107" i="5"/>
  <c r="I1107" i="5"/>
  <c r="F1107" i="5"/>
  <c r="D1107" i="5"/>
  <c r="B1107" i="5"/>
  <c r="C1107" i="5" s="1"/>
  <c r="M1106" i="5"/>
  <c r="I1106" i="5"/>
  <c r="F1106" i="5"/>
  <c r="D1106" i="5"/>
  <c r="B1106" i="5"/>
  <c r="C1106" i="5" s="1"/>
  <c r="M1105" i="5"/>
  <c r="I1105" i="5"/>
  <c r="F1105" i="5"/>
  <c r="D1105" i="5"/>
  <c r="B1105" i="5"/>
  <c r="C1105" i="5" s="1"/>
  <c r="M1104" i="5"/>
  <c r="I1104" i="5"/>
  <c r="F1104" i="5"/>
  <c r="D1104" i="5"/>
  <c r="B1104" i="5"/>
  <c r="C1104" i="5" s="1"/>
  <c r="M1103" i="5"/>
  <c r="I1103" i="5"/>
  <c r="F1103" i="5"/>
  <c r="D1103" i="5"/>
  <c r="C1103" i="5"/>
  <c r="B1103" i="5"/>
  <c r="M1102" i="5"/>
  <c r="I1102" i="5"/>
  <c r="F1102" i="5"/>
  <c r="D1102" i="5"/>
  <c r="B1102" i="5"/>
  <c r="C1102" i="5" s="1"/>
  <c r="M1101" i="5"/>
  <c r="I1101" i="5"/>
  <c r="F1101" i="5"/>
  <c r="D1101" i="5"/>
  <c r="C1101" i="5"/>
  <c r="B1101" i="5"/>
  <c r="M1100" i="5"/>
  <c r="I1100" i="5"/>
  <c r="F1100" i="5"/>
  <c r="D1100" i="5"/>
  <c r="B1100" i="5"/>
  <c r="C1100" i="5" s="1"/>
  <c r="M1099" i="5"/>
  <c r="I1099" i="5"/>
  <c r="F1099" i="5"/>
  <c r="D1099" i="5"/>
  <c r="B1099" i="5"/>
  <c r="C1099" i="5" s="1"/>
  <c r="M1098" i="5"/>
  <c r="I1098" i="5"/>
  <c r="F1098" i="5"/>
  <c r="D1098" i="5"/>
  <c r="B1098" i="5"/>
  <c r="C1098" i="5" s="1"/>
  <c r="M1097" i="5"/>
  <c r="I1097" i="5"/>
  <c r="F1097" i="5"/>
  <c r="D1097" i="5"/>
  <c r="C1097" i="5"/>
  <c r="B1097" i="5"/>
  <c r="M1096" i="5"/>
  <c r="I1096" i="5"/>
  <c r="F1096" i="5"/>
  <c r="D1096" i="5"/>
  <c r="B1096" i="5"/>
  <c r="C1096" i="5" s="1"/>
  <c r="M1095" i="5"/>
  <c r="I1095" i="5"/>
  <c r="F1095" i="5"/>
  <c r="D1095" i="5"/>
  <c r="C1095" i="5"/>
  <c r="B1095" i="5"/>
  <c r="M1094" i="5"/>
  <c r="I1094" i="5"/>
  <c r="F1094" i="5"/>
  <c r="D1094" i="5"/>
  <c r="B1094" i="5"/>
  <c r="C1094" i="5" s="1"/>
  <c r="M1093" i="5"/>
  <c r="I1093" i="5"/>
  <c r="F1093" i="5"/>
  <c r="D1093" i="5"/>
  <c r="B1093" i="5"/>
  <c r="C1093" i="5" s="1"/>
  <c r="M1092" i="5"/>
  <c r="I1092" i="5"/>
  <c r="F1092" i="5"/>
  <c r="D1092" i="5"/>
  <c r="B1092" i="5"/>
  <c r="C1092" i="5" s="1"/>
  <c r="M1091" i="5"/>
  <c r="I1091" i="5"/>
  <c r="F1091" i="5"/>
  <c r="D1091" i="5"/>
  <c r="B1091" i="5"/>
  <c r="C1091" i="5" s="1"/>
  <c r="M1090" i="5"/>
  <c r="I1090" i="5"/>
  <c r="F1090" i="5"/>
  <c r="D1090" i="5"/>
  <c r="B1090" i="5"/>
  <c r="C1090" i="5" s="1"/>
  <c r="M1089" i="5"/>
  <c r="I1089" i="5"/>
  <c r="F1089" i="5"/>
  <c r="D1089" i="5"/>
  <c r="B1089" i="5"/>
  <c r="C1089" i="5" s="1"/>
  <c r="M1088" i="5"/>
  <c r="I1088" i="5"/>
  <c r="F1088" i="5"/>
  <c r="D1088" i="5"/>
  <c r="B1088" i="5"/>
  <c r="C1088" i="5" s="1"/>
  <c r="M1087" i="5"/>
  <c r="I1087" i="5"/>
  <c r="F1087" i="5"/>
  <c r="D1087" i="5"/>
  <c r="B1087" i="5"/>
  <c r="C1087" i="5" s="1"/>
  <c r="M1086" i="5"/>
  <c r="I1086" i="5"/>
  <c r="F1086" i="5"/>
  <c r="D1086" i="5"/>
  <c r="B1086" i="5"/>
  <c r="C1086" i="5" s="1"/>
  <c r="M1085" i="5"/>
  <c r="I1085" i="5"/>
  <c r="F1085" i="5"/>
  <c r="D1085" i="5"/>
  <c r="C1085" i="5"/>
  <c r="B1085" i="5"/>
  <c r="M1084" i="5"/>
  <c r="I1084" i="5"/>
  <c r="F1084" i="5"/>
  <c r="D1084" i="5"/>
  <c r="B1084" i="5"/>
  <c r="C1084" i="5" s="1"/>
  <c r="M1083" i="5"/>
  <c r="I1083" i="5"/>
  <c r="F1083" i="5"/>
  <c r="D1083" i="5"/>
  <c r="B1083" i="5"/>
  <c r="C1083" i="5" s="1"/>
  <c r="M1082" i="5"/>
  <c r="I1082" i="5"/>
  <c r="F1082" i="5"/>
  <c r="D1082" i="5"/>
  <c r="B1082" i="5"/>
  <c r="C1082" i="5" s="1"/>
  <c r="M1081" i="5"/>
  <c r="I1081" i="5"/>
  <c r="F1081" i="5"/>
  <c r="D1081" i="5"/>
  <c r="B1081" i="5"/>
  <c r="C1081" i="5" s="1"/>
  <c r="M1080" i="5"/>
  <c r="I1080" i="5"/>
  <c r="F1080" i="5"/>
  <c r="D1080" i="5"/>
  <c r="B1080" i="5"/>
  <c r="C1080" i="5" s="1"/>
  <c r="M1079" i="5"/>
  <c r="I1079" i="5"/>
  <c r="F1079" i="5"/>
  <c r="D1079" i="5"/>
  <c r="B1079" i="5"/>
  <c r="C1079" i="5" s="1"/>
  <c r="M1078" i="5"/>
  <c r="I1078" i="5"/>
  <c r="F1078" i="5"/>
  <c r="D1078" i="5"/>
  <c r="B1078" i="5"/>
  <c r="C1078" i="5" s="1"/>
  <c r="M1077" i="5"/>
  <c r="I1077" i="5"/>
  <c r="F1077" i="5"/>
  <c r="D1077" i="5"/>
  <c r="B1077" i="5"/>
  <c r="C1077" i="5" s="1"/>
  <c r="M1076" i="5"/>
  <c r="I1076" i="5"/>
  <c r="F1076" i="5"/>
  <c r="D1076" i="5"/>
  <c r="B1076" i="5"/>
  <c r="C1076" i="5" s="1"/>
  <c r="M1075" i="5"/>
  <c r="I1075" i="5"/>
  <c r="F1075" i="5"/>
  <c r="D1075" i="5"/>
  <c r="B1075" i="5"/>
  <c r="C1075" i="5" s="1"/>
  <c r="M1074" i="5"/>
  <c r="I1074" i="5"/>
  <c r="F1074" i="5"/>
  <c r="D1074" i="5"/>
  <c r="B1074" i="5"/>
  <c r="C1074" i="5" s="1"/>
  <c r="M1073" i="5"/>
  <c r="I1073" i="5"/>
  <c r="F1073" i="5"/>
  <c r="D1073" i="5"/>
  <c r="B1073" i="5"/>
  <c r="C1073" i="5" s="1"/>
  <c r="M1072" i="5"/>
  <c r="I1072" i="5"/>
  <c r="F1072" i="5"/>
  <c r="D1072" i="5"/>
  <c r="B1072" i="5"/>
  <c r="C1072" i="5" s="1"/>
  <c r="M1071" i="5"/>
  <c r="I1071" i="5"/>
  <c r="F1071" i="5"/>
  <c r="D1071" i="5"/>
  <c r="C1071" i="5"/>
  <c r="B1071" i="5"/>
  <c r="M1070" i="5"/>
  <c r="I1070" i="5"/>
  <c r="F1070" i="5"/>
  <c r="D1070" i="5"/>
  <c r="B1070" i="5"/>
  <c r="C1070" i="5" s="1"/>
  <c r="M1069" i="5"/>
  <c r="I1069" i="5"/>
  <c r="F1069" i="5"/>
  <c r="D1069" i="5"/>
  <c r="B1069" i="5"/>
  <c r="C1069" i="5" s="1"/>
  <c r="M1068" i="5"/>
  <c r="I1068" i="5"/>
  <c r="F1068" i="5"/>
  <c r="D1068" i="5"/>
  <c r="B1068" i="5"/>
  <c r="C1068" i="5" s="1"/>
  <c r="M1067" i="5"/>
  <c r="I1067" i="5"/>
  <c r="F1067" i="5"/>
  <c r="D1067" i="5"/>
  <c r="B1067" i="5"/>
  <c r="C1067" i="5" s="1"/>
  <c r="M1066" i="5"/>
  <c r="I1066" i="5"/>
  <c r="F1066" i="5"/>
  <c r="D1066" i="5"/>
  <c r="B1066" i="5"/>
  <c r="C1066" i="5" s="1"/>
  <c r="M1065" i="5"/>
  <c r="I1065" i="5"/>
  <c r="F1065" i="5"/>
  <c r="D1065" i="5"/>
  <c r="B1065" i="5"/>
  <c r="C1065" i="5" s="1"/>
  <c r="M1064" i="5"/>
  <c r="I1064" i="5"/>
  <c r="F1064" i="5"/>
  <c r="D1064" i="5"/>
  <c r="B1064" i="5"/>
  <c r="C1064" i="5" s="1"/>
  <c r="M1063" i="5"/>
  <c r="I1063" i="5"/>
  <c r="F1063" i="5"/>
  <c r="D1063" i="5"/>
  <c r="B1063" i="5"/>
  <c r="C1063" i="5" s="1"/>
  <c r="M1062" i="5"/>
  <c r="I1062" i="5"/>
  <c r="F1062" i="5"/>
  <c r="D1062" i="5"/>
  <c r="B1062" i="5"/>
  <c r="C1062" i="5" s="1"/>
  <c r="M1061" i="5"/>
  <c r="I1061" i="5"/>
  <c r="F1061" i="5"/>
  <c r="D1061" i="5"/>
  <c r="B1061" i="5"/>
  <c r="C1061" i="5" s="1"/>
  <c r="M1060" i="5"/>
  <c r="I1060" i="5"/>
  <c r="F1060" i="5"/>
  <c r="D1060" i="5"/>
  <c r="B1060" i="5"/>
  <c r="C1060" i="5" s="1"/>
  <c r="M1059" i="5"/>
  <c r="I1059" i="5"/>
  <c r="F1059" i="5"/>
  <c r="D1059" i="5"/>
  <c r="C1059" i="5"/>
  <c r="B1059" i="5"/>
  <c r="M1058" i="5"/>
  <c r="I1058" i="5"/>
  <c r="F1058" i="5"/>
  <c r="D1058" i="5"/>
  <c r="B1058" i="5"/>
  <c r="C1058" i="5" s="1"/>
  <c r="M1057" i="5"/>
  <c r="I1057" i="5"/>
  <c r="F1057" i="5"/>
  <c r="D1057" i="5"/>
  <c r="B1057" i="5"/>
  <c r="C1057" i="5" s="1"/>
  <c r="M1056" i="5"/>
  <c r="I1056" i="5"/>
  <c r="F1056" i="5"/>
  <c r="D1056" i="5"/>
  <c r="B1056" i="5"/>
  <c r="C1056" i="5" s="1"/>
  <c r="M1055" i="5"/>
  <c r="I1055" i="5"/>
  <c r="F1055" i="5"/>
  <c r="D1055" i="5"/>
  <c r="B1055" i="5"/>
  <c r="C1055" i="5" s="1"/>
  <c r="M1054" i="5"/>
  <c r="I1054" i="5"/>
  <c r="F1054" i="5"/>
  <c r="D1054" i="5"/>
  <c r="B1054" i="5"/>
  <c r="C1054" i="5" s="1"/>
  <c r="M1053" i="5"/>
  <c r="I1053" i="5"/>
  <c r="F1053" i="5"/>
  <c r="D1053" i="5"/>
  <c r="C1053" i="5"/>
  <c r="B1053" i="5"/>
  <c r="M1052" i="5"/>
  <c r="I1052" i="5"/>
  <c r="F1052" i="5"/>
  <c r="D1052" i="5"/>
  <c r="B1052" i="5"/>
  <c r="C1052" i="5" s="1"/>
  <c r="M1051" i="5"/>
  <c r="I1051" i="5"/>
  <c r="F1051" i="5"/>
  <c r="D1051" i="5"/>
  <c r="B1051" i="5"/>
  <c r="C1051" i="5" s="1"/>
  <c r="M1050" i="5"/>
  <c r="I1050" i="5"/>
  <c r="F1050" i="5"/>
  <c r="D1050" i="5"/>
  <c r="C1050" i="5"/>
  <c r="B1050" i="5"/>
  <c r="M1049" i="5"/>
  <c r="I1049" i="5"/>
  <c r="F1049" i="5"/>
  <c r="D1049" i="5"/>
  <c r="B1049" i="5"/>
  <c r="C1049" i="5" s="1"/>
  <c r="M1048" i="5"/>
  <c r="I1048" i="5"/>
  <c r="F1048" i="5"/>
  <c r="D1048" i="5"/>
  <c r="B1048" i="5"/>
  <c r="C1048" i="5" s="1"/>
  <c r="M1047" i="5"/>
  <c r="I1047" i="5"/>
  <c r="F1047" i="5"/>
  <c r="D1047" i="5"/>
  <c r="B1047" i="5"/>
  <c r="C1047" i="5" s="1"/>
  <c r="M1046" i="5"/>
  <c r="I1046" i="5"/>
  <c r="F1046" i="5"/>
  <c r="D1046" i="5"/>
  <c r="B1046" i="5"/>
  <c r="C1046" i="5" s="1"/>
  <c r="M1045" i="5"/>
  <c r="I1045" i="5"/>
  <c r="F1045" i="5"/>
  <c r="D1045" i="5"/>
  <c r="B1045" i="5"/>
  <c r="C1045" i="5" s="1"/>
  <c r="M1044" i="5"/>
  <c r="I1044" i="5"/>
  <c r="F1044" i="5"/>
  <c r="D1044" i="5"/>
  <c r="B1044" i="5"/>
  <c r="C1044" i="5" s="1"/>
  <c r="M1043" i="5"/>
  <c r="I1043" i="5"/>
  <c r="F1043" i="5"/>
  <c r="D1043" i="5"/>
  <c r="B1043" i="5"/>
  <c r="C1043" i="5" s="1"/>
  <c r="M1042" i="5"/>
  <c r="I1042" i="5"/>
  <c r="F1042" i="5"/>
  <c r="D1042" i="5"/>
  <c r="B1042" i="5"/>
  <c r="C1042" i="5" s="1"/>
  <c r="M1041" i="5"/>
  <c r="I1041" i="5"/>
  <c r="F1041" i="5"/>
  <c r="D1041" i="5"/>
  <c r="B1041" i="5"/>
  <c r="C1041" i="5" s="1"/>
  <c r="M1040" i="5"/>
  <c r="I1040" i="5"/>
  <c r="F1040" i="5"/>
  <c r="D1040" i="5"/>
  <c r="B1040" i="5"/>
  <c r="C1040" i="5" s="1"/>
  <c r="M1039" i="5"/>
  <c r="I1039" i="5"/>
  <c r="F1039" i="5"/>
  <c r="D1039" i="5"/>
  <c r="B1039" i="5"/>
  <c r="C1039" i="5" s="1"/>
  <c r="M1038" i="5"/>
  <c r="I1038" i="5"/>
  <c r="F1038" i="5"/>
  <c r="D1038" i="5"/>
  <c r="B1038" i="5"/>
  <c r="C1038" i="5" s="1"/>
  <c r="M1037" i="5"/>
  <c r="I1037" i="5"/>
  <c r="F1037" i="5"/>
  <c r="D1037" i="5"/>
  <c r="B1037" i="5"/>
  <c r="C1037" i="5" s="1"/>
  <c r="M1036" i="5"/>
  <c r="I1036" i="5"/>
  <c r="F1036" i="5"/>
  <c r="D1036" i="5"/>
  <c r="B1036" i="5"/>
  <c r="C1036" i="5" s="1"/>
  <c r="M1035" i="5"/>
  <c r="I1035" i="5"/>
  <c r="F1035" i="5"/>
  <c r="D1035" i="5"/>
  <c r="B1035" i="5"/>
  <c r="C1035" i="5" s="1"/>
  <c r="M1034" i="5"/>
  <c r="I1034" i="5"/>
  <c r="F1034" i="5"/>
  <c r="D1034" i="5"/>
  <c r="B1034" i="5"/>
  <c r="C1034" i="5" s="1"/>
  <c r="M1033" i="5"/>
  <c r="I1033" i="5"/>
  <c r="F1033" i="5"/>
  <c r="D1033" i="5"/>
  <c r="C1033" i="5"/>
  <c r="B1033" i="5"/>
  <c r="M1032" i="5"/>
  <c r="I1032" i="5"/>
  <c r="F1032" i="5"/>
  <c r="D1032" i="5"/>
  <c r="B1032" i="5"/>
  <c r="C1032" i="5" s="1"/>
  <c r="M1031" i="5"/>
  <c r="I1031" i="5"/>
  <c r="F1031" i="5"/>
  <c r="D1031" i="5"/>
  <c r="B1031" i="5"/>
  <c r="C1031" i="5" s="1"/>
  <c r="M1030" i="5"/>
  <c r="I1030" i="5"/>
  <c r="F1030" i="5"/>
  <c r="D1030" i="5"/>
  <c r="C1030" i="5"/>
  <c r="B1030" i="5"/>
  <c r="M1029" i="5"/>
  <c r="I1029" i="5"/>
  <c r="F1029" i="5"/>
  <c r="D1029" i="5"/>
  <c r="B1029" i="5"/>
  <c r="C1029" i="5" s="1"/>
  <c r="M1028" i="5"/>
  <c r="I1028" i="5"/>
  <c r="F1028" i="5"/>
  <c r="D1028" i="5"/>
  <c r="B1028" i="5"/>
  <c r="C1028" i="5" s="1"/>
  <c r="M1027" i="5"/>
  <c r="I1027" i="5"/>
  <c r="F1027" i="5"/>
  <c r="D1027" i="5"/>
  <c r="B1027" i="5"/>
  <c r="C1027" i="5" s="1"/>
  <c r="M1026" i="5"/>
  <c r="I1026" i="5"/>
  <c r="F1026" i="5"/>
  <c r="D1026" i="5"/>
  <c r="B1026" i="5"/>
  <c r="C1026" i="5" s="1"/>
  <c r="M1025" i="5"/>
  <c r="I1025" i="5"/>
  <c r="F1025" i="5"/>
  <c r="D1025" i="5"/>
  <c r="B1025" i="5"/>
  <c r="C1025" i="5" s="1"/>
  <c r="M1024" i="5"/>
  <c r="I1024" i="5"/>
  <c r="F1024" i="5"/>
  <c r="D1024" i="5"/>
  <c r="B1024" i="5"/>
  <c r="C1024" i="5" s="1"/>
  <c r="M1023" i="5"/>
  <c r="I1023" i="5"/>
  <c r="F1023" i="5"/>
  <c r="D1023" i="5"/>
  <c r="B1023" i="5"/>
  <c r="C1023" i="5" s="1"/>
  <c r="M1022" i="5"/>
  <c r="I1022" i="5"/>
  <c r="F1022" i="5"/>
  <c r="D1022" i="5"/>
  <c r="B1022" i="5"/>
  <c r="C1022" i="5" s="1"/>
  <c r="M1021" i="5"/>
  <c r="I1021" i="5"/>
  <c r="F1021" i="5"/>
  <c r="D1021" i="5"/>
  <c r="B1021" i="5"/>
  <c r="C1021" i="5" s="1"/>
  <c r="M1020" i="5"/>
  <c r="I1020" i="5"/>
  <c r="F1020" i="5"/>
  <c r="D1020" i="5"/>
  <c r="B1020" i="5"/>
  <c r="C1020" i="5" s="1"/>
  <c r="M1019" i="5"/>
  <c r="I1019" i="5"/>
  <c r="F1019" i="5"/>
  <c r="D1019" i="5"/>
  <c r="B1019" i="5"/>
  <c r="C1019" i="5" s="1"/>
  <c r="M1018" i="5"/>
  <c r="I1018" i="5"/>
  <c r="F1018" i="5"/>
  <c r="D1018" i="5"/>
  <c r="B1018" i="5"/>
  <c r="C1018" i="5" s="1"/>
  <c r="M1017" i="5"/>
  <c r="I1017" i="5"/>
  <c r="F1017" i="5"/>
  <c r="D1017" i="5"/>
  <c r="B1017" i="5"/>
  <c r="C1017" i="5" s="1"/>
  <c r="M1016" i="5"/>
  <c r="I1016" i="5"/>
  <c r="F1016" i="5"/>
  <c r="D1016" i="5"/>
  <c r="B1016" i="5"/>
  <c r="C1016" i="5" s="1"/>
  <c r="M1015" i="5"/>
  <c r="I1015" i="5"/>
  <c r="F1015" i="5"/>
  <c r="D1015" i="5"/>
  <c r="B1015" i="5"/>
  <c r="C1015" i="5" s="1"/>
  <c r="M1014" i="5"/>
  <c r="I1014" i="5"/>
  <c r="F1014" i="5"/>
  <c r="D1014" i="5"/>
  <c r="B1014" i="5"/>
  <c r="C1014" i="5" s="1"/>
  <c r="M1013" i="5"/>
  <c r="I1013" i="5"/>
  <c r="F1013" i="5"/>
  <c r="D1013" i="5"/>
  <c r="B1013" i="5"/>
  <c r="C1013" i="5" s="1"/>
  <c r="M1012" i="5"/>
  <c r="I1012" i="5"/>
  <c r="F1012" i="5"/>
  <c r="D1012" i="5"/>
  <c r="B1012" i="5"/>
  <c r="C1012" i="5" s="1"/>
  <c r="M1011" i="5"/>
  <c r="I1011" i="5"/>
  <c r="F1011" i="5"/>
  <c r="D1011" i="5"/>
  <c r="B1011" i="5"/>
  <c r="C1011" i="5" s="1"/>
  <c r="M1010" i="5"/>
  <c r="I1010" i="5"/>
  <c r="F1010" i="5"/>
  <c r="D1010" i="5"/>
  <c r="B1010" i="5"/>
  <c r="C1010" i="5" s="1"/>
  <c r="M1009" i="5"/>
  <c r="I1009" i="5"/>
  <c r="F1009" i="5"/>
  <c r="D1009" i="5"/>
  <c r="C1009" i="5"/>
  <c r="B1009" i="5"/>
  <c r="M1008" i="5"/>
  <c r="I1008" i="5"/>
  <c r="F1008" i="5"/>
  <c r="D1008" i="5"/>
  <c r="B1008" i="5"/>
  <c r="C1008" i="5" s="1"/>
  <c r="M1007" i="5"/>
  <c r="I1007" i="5"/>
  <c r="F1007" i="5"/>
  <c r="D1007" i="5"/>
  <c r="B1007" i="5"/>
  <c r="C1007" i="5" s="1"/>
  <c r="M1006" i="5"/>
  <c r="I1006" i="5"/>
  <c r="F1006" i="5"/>
  <c r="D1006" i="5"/>
  <c r="C1006" i="5"/>
  <c r="B1006" i="5"/>
  <c r="M1005" i="5"/>
  <c r="I1005" i="5"/>
  <c r="F1005" i="5"/>
  <c r="D1005" i="5"/>
  <c r="B1005" i="5"/>
  <c r="C1005" i="5" s="1"/>
  <c r="M1004" i="5"/>
  <c r="I1004" i="5"/>
  <c r="F1004" i="5"/>
  <c r="D1004" i="5"/>
  <c r="B1004" i="5"/>
  <c r="C1004" i="5" s="1"/>
  <c r="M1003" i="5"/>
  <c r="I1003" i="5"/>
  <c r="F1003" i="5"/>
  <c r="D1003" i="5"/>
  <c r="B1003" i="5"/>
  <c r="C1003" i="5" s="1"/>
  <c r="M1002" i="5"/>
  <c r="I1002" i="5"/>
  <c r="F1002" i="5"/>
  <c r="D1002" i="5"/>
  <c r="B1002" i="5"/>
  <c r="C1002" i="5" s="1"/>
  <c r="M1001" i="5"/>
  <c r="I1001" i="5"/>
  <c r="F1001" i="5"/>
  <c r="D1001" i="5"/>
  <c r="B1001" i="5"/>
  <c r="C1001" i="5" s="1"/>
  <c r="M1000" i="5"/>
  <c r="I1000" i="5"/>
  <c r="F1000" i="5"/>
  <c r="D1000" i="5"/>
  <c r="B1000" i="5"/>
  <c r="C1000" i="5" s="1"/>
  <c r="M999" i="5"/>
  <c r="I999" i="5"/>
  <c r="F999" i="5"/>
  <c r="D999" i="5"/>
  <c r="B999" i="5"/>
  <c r="C999" i="5" s="1"/>
  <c r="M998" i="5"/>
  <c r="I998" i="5"/>
  <c r="F998" i="5"/>
  <c r="D998" i="5"/>
  <c r="B998" i="5"/>
  <c r="C998" i="5" s="1"/>
  <c r="M997" i="5"/>
  <c r="I997" i="5"/>
  <c r="F997" i="5"/>
  <c r="D997" i="5"/>
  <c r="B997" i="5"/>
  <c r="C997" i="5" s="1"/>
  <c r="M996" i="5"/>
  <c r="I996" i="5"/>
  <c r="F996" i="5"/>
  <c r="D996" i="5"/>
  <c r="B996" i="5"/>
  <c r="C996" i="5" s="1"/>
  <c r="M995" i="5"/>
  <c r="I995" i="5"/>
  <c r="F995" i="5"/>
  <c r="D995" i="5"/>
  <c r="B995" i="5"/>
  <c r="C995" i="5" s="1"/>
  <c r="M994" i="5"/>
  <c r="I994" i="5"/>
  <c r="F994" i="5"/>
  <c r="D994" i="5"/>
  <c r="B994" i="5"/>
  <c r="C994" i="5" s="1"/>
  <c r="M993" i="5"/>
  <c r="I993" i="5"/>
  <c r="F993" i="5"/>
  <c r="D993" i="5"/>
  <c r="B993" i="5"/>
  <c r="C993" i="5" s="1"/>
  <c r="M992" i="5"/>
  <c r="I992" i="5"/>
  <c r="F992" i="5"/>
  <c r="D992" i="5"/>
  <c r="B992" i="5"/>
  <c r="C992" i="5" s="1"/>
  <c r="M991" i="5"/>
  <c r="I991" i="5"/>
  <c r="F991" i="5"/>
  <c r="D991" i="5"/>
  <c r="B991" i="5"/>
  <c r="C991" i="5" s="1"/>
  <c r="M990" i="5"/>
  <c r="I990" i="5"/>
  <c r="F990" i="5"/>
  <c r="D990" i="5"/>
  <c r="B990" i="5"/>
  <c r="C990" i="5" s="1"/>
  <c r="M989" i="5"/>
  <c r="I989" i="5"/>
  <c r="F989" i="5"/>
  <c r="D989" i="5"/>
  <c r="B989" i="5"/>
  <c r="C989" i="5" s="1"/>
  <c r="M988" i="5"/>
  <c r="I988" i="5"/>
  <c r="F988" i="5"/>
  <c r="D988" i="5"/>
  <c r="B988" i="5"/>
  <c r="C988" i="5" s="1"/>
  <c r="M987" i="5"/>
  <c r="I987" i="5"/>
  <c r="F987" i="5"/>
  <c r="D987" i="5"/>
  <c r="B987" i="5"/>
  <c r="C987" i="5" s="1"/>
  <c r="M986" i="5"/>
  <c r="I986" i="5"/>
  <c r="F986" i="5"/>
  <c r="D986" i="5"/>
  <c r="B986" i="5"/>
  <c r="C986" i="5" s="1"/>
  <c r="M985" i="5"/>
  <c r="I985" i="5"/>
  <c r="F985" i="5"/>
  <c r="D985" i="5"/>
  <c r="B985" i="5"/>
  <c r="C985" i="5" s="1"/>
  <c r="M984" i="5"/>
  <c r="I984" i="5"/>
  <c r="F984" i="5"/>
  <c r="D984" i="5"/>
  <c r="B984" i="5"/>
  <c r="C984" i="5" s="1"/>
  <c r="M983" i="5"/>
  <c r="I983" i="5"/>
  <c r="F983" i="5"/>
  <c r="D983" i="5"/>
  <c r="B983" i="5"/>
  <c r="C983" i="5" s="1"/>
  <c r="M982" i="5"/>
  <c r="I982" i="5"/>
  <c r="F982" i="5"/>
  <c r="D982" i="5"/>
  <c r="B982" i="5"/>
  <c r="C982" i="5" s="1"/>
  <c r="M981" i="5"/>
  <c r="I981" i="5"/>
  <c r="F981" i="5"/>
  <c r="D981" i="5"/>
  <c r="B981" i="5"/>
  <c r="C981" i="5" s="1"/>
  <c r="M980" i="5"/>
  <c r="I980" i="5"/>
  <c r="F980" i="5"/>
  <c r="D980" i="5"/>
  <c r="B980" i="5"/>
  <c r="C980" i="5" s="1"/>
  <c r="M979" i="5"/>
  <c r="I979" i="5"/>
  <c r="F979" i="5"/>
  <c r="D979" i="5"/>
  <c r="B979" i="5"/>
  <c r="C979" i="5" s="1"/>
  <c r="M978" i="5"/>
  <c r="I978" i="5"/>
  <c r="F978" i="5"/>
  <c r="D978" i="5"/>
  <c r="B978" i="5"/>
  <c r="C978" i="5" s="1"/>
  <c r="M977" i="5"/>
  <c r="I977" i="5"/>
  <c r="F977" i="5"/>
  <c r="D977" i="5"/>
  <c r="B977" i="5"/>
  <c r="C977" i="5" s="1"/>
  <c r="M976" i="5"/>
  <c r="I976" i="5"/>
  <c r="F976" i="5"/>
  <c r="D976" i="5"/>
  <c r="B976" i="5"/>
  <c r="C976" i="5" s="1"/>
  <c r="M975" i="5"/>
  <c r="I975" i="5"/>
  <c r="F975" i="5"/>
  <c r="D975" i="5"/>
  <c r="B975" i="5"/>
  <c r="C975" i="5" s="1"/>
  <c r="M974" i="5"/>
  <c r="I974" i="5"/>
  <c r="F974" i="5"/>
  <c r="D974" i="5"/>
  <c r="B974" i="5"/>
  <c r="C974" i="5" s="1"/>
  <c r="M973" i="5"/>
  <c r="I973" i="5"/>
  <c r="F973" i="5"/>
  <c r="D973" i="5"/>
  <c r="B973" i="5"/>
  <c r="C973" i="5" s="1"/>
  <c r="M972" i="5"/>
  <c r="I972" i="5"/>
  <c r="F972" i="5"/>
  <c r="D972" i="5"/>
  <c r="B972" i="5"/>
  <c r="C972" i="5" s="1"/>
  <c r="M971" i="5"/>
  <c r="I971" i="5"/>
  <c r="F971" i="5"/>
  <c r="D971" i="5"/>
  <c r="B971" i="5"/>
  <c r="C971" i="5" s="1"/>
  <c r="M970" i="5"/>
  <c r="I970" i="5"/>
  <c r="F970" i="5"/>
  <c r="D970" i="5"/>
  <c r="B970" i="5"/>
  <c r="C970" i="5" s="1"/>
  <c r="M969" i="5"/>
  <c r="I969" i="5"/>
  <c r="F969" i="5"/>
  <c r="D969" i="5"/>
  <c r="B969" i="5"/>
  <c r="C969" i="5" s="1"/>
  <c r="M968" i="5"/>
  <c r="I968" i="5"/>
  <c r="F968" i="5"/>
  <c r="D968" i="5"/>
  <c r="B968" i="5"/>
  <c r="C968" i="5" s="1"/>
  <c r="M967" i="5"/>
  <c r="I967" i="5"/>
  <c r="F967" i="5"/>
  <c r="D967" i="5"/>
  <c r="B967" i="5"/>
  <c r="C967" i="5" s="1"/>
  <c r="M966" i="5"/>
  <c r="I966" i="5"/>
  <c r="F966" i="5"/>
  <c r="D966" i="5"/>
  <c r="B966" i="5"/>
  <c r="C966" i="5" s="1"/>
  <c r="M965" i="5"/>
  <c r="I965" i="5"/>
  <c r="F965" i="5"/>
  <c r="D965" i="5"/>
  <c r="B965" i="5"/>
  <c r="C965" i="5" s="1"/>
  <c r="M964" i="5"/>
  <c r="I964" i="5"/>
  <c r="F964" i="5"/>
  <c r="D964" i="5"/>
  <c r="B964" i="5"/>
  <c r="C964" i="5" s="1"/>
  <c r="M963" i="5"/>
  <c r="I963" i="5"/>
  <c r="F963" i="5"/>
  <c r="D963" i="5"/>
  <c r="B963" i="5"/>
  <c r="C963" i="5" s="1"/>
  <c r="M962" i="5"/>
  <c r="I962" i="5"/>
  <c r="F962" i="5"/>
  <c r="D962" i="5"/>
  <c r="B962" i="5"/>
  <c r="C962" i="5" s="1"/>
  <c r="M961" i="5"/>
  <c r="I961" i="5"/>
  <c r="F961" i="5"/>
  <c r="D961" i="5"/>
  <c r="C961" i="5"/>
  <c r="B961" i="5"/>
  <c r="M960" i="5"/>
  <c r="I960" i="5"/>
  <c r="F960" i="5"/>
  <c r="D960" i="5"/>
  <c r="B960" i="5"/>
  <c r="C960" i="5" s="1"/>
  <c r="M959" i="5"/>
  <c r="I959" i="5"/>
  <c r="F959" i="5"/>
  <c r="D959" i="5"/>
  <c r="B959" i="5"/>
  <c r="C959" i="5" s="1"/>
  <c r="M958" i="5"/>
  <c r="I958" i="5"/>
  <c r="F958" i="5"/>
  <c r="D958" i="5"/>
  <c r="C958" i="5"/>
  <c r="B958" i="5"/>
  <c r="M957" i="5"/>
  <c r="I957" i="5"/>
  <c r="F957" i="5"/>
  <c r="D957" i="5"/>
  <c r="B957" i="5"/>
  <c r="C957" i="5" s="1"/>
  <c r="M956" i="5"/>
  <c r="I956" i="5"/>
  <c r="F956" i="5"/>
  <c r="D956" i="5"/>
  <c r="B956" i="5"/>
  <c r="C956" i="5" s="1"/>
  <c r="M955" i="5"/>
  <c r="I955" i="5"/>
  <c r="F955" i="5"/>
  <c r="D955" i="5"/>
  <c r="B955" i="5"/>
  <c r="C955" i="5" s="1"/>
  <c r="M954" i="5"/>
  <c r="I954" i="5"/>
  <c r="F954" i="5"/>
  <c r="D954" i="5"/>
  <c r="B954" i="5"/>
  <c r="C954" i="5" s="1"/>
  <c r="M953" i="5"/>
  <c r="I953" i="5"/>
  <c r="F953" i="5"/>
  <c r="D953" i="5"/>
  <c r="B953" i="5"/>
  <c r="C953" i="5" s="1"/>
  <c r="M952" i="5"/>
  <c r="I952" i="5"/>
  <c r="F952" i="5"/>
  <c r="D952" i="5"/>
  <c r="B952" i="5"/>
  <c r="C952" i="5" s="1"/>
  <c r="M951" i="5"/>
  <c r="I951" i="5"/>
  <c r="F951" i="5"/>
  <c r="D951" i="5"/>
  <c r="B951" i="5"/>
  <c r="C951" i="5" s="1"/>
  <c r="M950" i="5"/>
  <c r="I950" i="5"/>
  <c r="F950" i="5"/>
  <c r="D950" i="5"/>
  <c r="B950" i="5"/>
  <c r="C950" i="5" s="1"/>
  <c r="M949" i="5"/>
  <c r="I949" i="5"/>
  <c r="F949" i="5"/>
  <c r="D949" i="5"/>
  <c r="C949" i="5"/>
  <c r="B949" i="5"/>
  <c r="M948" i="5"/>
  <c r="I948" i="5"/>
  <c r="F948" i="5"/>
  <c r="D948" i="5"/>
  <c r="B948" i="5"/>
  <c r="C948" i="5" s="1"/>
  <c r="M947" i="5"/>
  <c r="I947" i="5"/>
  <c r="F947" i="5"/>
  <c r="D947" i="5"/>
  <c r="B947" i="5"/>
  <c r="C947" i="5" s="1"/>
  <c r="M946" i="5"/>
  <c r="I946" i="5"/>
  <c r="F946" i="5"/>
  <c r="D946" i="5"/>
  <c r="C946" i="5"/>
  <c r="B946" i="5"/>
  <c r="M945" i="5"/>
  <c r="I945" i="5"/>
  <c r="F945" i="5"/>
  <c r="D945" i="5"/>
  <c r="C945" i="5"/>
  <c r="B945" i="5"/>
  <c r="M944" i="5"/>
  <c r="I944" i="5"/>
  <c r="F944" i="5"/>
  <c r="D944" i="5"/>
  <c r="B944" i="5"/>
  <c r="C944" i="5" s="1"/>
  <c r="M943" i="5"/>
  <c r="I943" i="5"/>
  <c r="F943" i="5"/>
  <c r="D943" i="5"/>
  <c r="B943" i="5"/>
  <c r="C943" i="5" s="1"/>
  <c r="M942" i="5"/>
  <c r="I942" i="5"/>
  <c r="F942" i="5"/>
  <c r="D942" i="5"/>
  <c r="C942" i="5"/>
  <c r="B942" i="5"/>
  <c r="M941" i="5"/>
  <c r="I941" i="5"/>
  <c r="F941" i="5"/>
  <c r="D941" i="5"/>
  <c r="B941" i="5"/>
  <c r="C941" i="5" s="1"/>
  <c r="M940" i="5"/>
  <c r="I940" i="5"/>
  <c r="F940" i="5"/>
  <c r="D940" i="5"/>
  <c r="B940" i="5"/>
  <c r="C940" i="5" s="1"/>
  <c r="M939" i="5"/>
  <c r="I939" i="5"/>
  <c r="F939" i="5"/>
  <c r="D939" i="5"/>
  <c r="B939" i="5"/>
  <c r="C939" i="5" s="1"/>
  <c r="M938" i="5"/>
  <c r="I938" i="5"/>
  <c r="F938" i="5"/>
  <c r="D938" i="5"/>
  <c r="B938" i="5"/>
  <c r="C938" i="5" s="1"/>
  <c r="M937" i="5"/>
  <c r="I937" i="5"/>
  <c r="F937" i="5"/>
  <c r="D937" i="5"/>
  <c r="B937" i="5"/>
  <c r="C937" i="5" s="1"/>
  <c r="M936" i="5"/>
  <c r="I936" i="5"/>
  <c r="F936" i="5"/>
  <c r="D936" i="5"/>
  <c r="B936" i="5"/>
  <c r="C936" i="5" s="1"/>
  <c r="M935" i="5"/>
  <c r="I935" i="5"/>
  <c r="F935" i="5"/>
  <c r="D935" i="5"/>
  <c r="B935" i="5"/>
  <c r="C935" i="5" s="1"/>
  <c r="M934" i="5"/>
  <c r="I934" i="5"/>
  <c r="F934" i="5"/>
  <c r="D934" i="5"/>
  <c r="B934" i="5"/>
  <c r="C934" i="5" s="1"/>
  <c r="M933" i="5"/>
  <c r="I933" i="5"/>
  <c r="F933" i="5"/>
  <c r="D933" i="5"/>
  <c r="C933" i="5"/>
  <c r="B933" i="5"/>
  <c r="M932" i="5"/>
  <c r="I932" i="5"/>
  <c r="F932" i="5"/>
  <c r="D932" i="5"/>
  <c r="B932" i="5"/>
  <c r="C932" i="5" s="1"/>
  <c r="M931" i="5"/>
  <c r="I931" i="5"/>
  <c r="F931" i="5"/>
  <c r="D931" i="5"/>
  <c r="B931" i="5"/>
  <c r="C931" i="5" s="1"/>
  <c r="M930" i="5"/>
  <c r="I930" i="5"/>
  <c r="F930" i="5"/>
  <c r="D930" i="5"/>
  <c r="C930" i="5"/>
  <c r="B930" i="5"/>
  <c r="M929" i="5"/>
  <c r="I929" i="5"/>
  <c r="F929" i="5"/>
  <c r="D929" i="5"/>
  <c r="B929" i="5"/>
  <c r="C929" i="5" s="1"/>
  <c r="M928" i="5"/>
  <c r="I928" i="5"/>
  <c r="F928" i="5"/>
  <c r="D928" i="5"/>
  <c r="B928" i="5"/>
  <c r="C928" i="5" s="1"/>
  <c r="M927" i="5"/>
  <c r="I927" i="5"/>
  <c r="F927" i="5"/>
  <c r="D927" i="5"/>
  <c r="B927" i="5"/>
  <c r="C927" i="5" s="1"/>
  <c r="M926" i="5"/>
  <c r="I926" i="5"/>
  <c r="F926" i="5"/>
  <c r="D926" i="5"/>
  <c r="B926" i="5"/>
  <c r="C926" i="5" s="1"/>
  <c r="M925" i="5"/>
  <c r="I925" i="5"/>
  <c r="F925" i="5"/>
  <c r="D925" i="5"/>
  <c r="B925" i="5"/>
  <c r="C925" i="5" s="1"/>
  <c r="M924" i="5"/>
  <c r="I924" i="5"/>
  <c r="F924" i="5"/>
  <c r="D924" i="5"/>
  <c r="B924" i="5"/>
  <c r="C924" i="5" s="1"/>
  <c r="M923" i="5"/>
  <c r="I923" i="5"/>
  <c r="F923" i="5"/>
  <c r="D923" i="5"/>
  <c r="B923" i="5"/>
  <c r="C923" i="5" s="1"/>
  <c r="M922" i="5"/>
  <c r="I922" i="5"/>
  <c r="F922" i="5"/>
  <c r="D922" i="5"/>
  <c r="B922" i="5"/>
  <c r="C922" i="5" s="1"/>
  <c r="M921" i="5"/>
  <c r="I921" i="5"/>
  <c r="F921" i="5"/>
  <c r="D921" i="5"/>
  <c r="C921" i="5"/>
  <c r="B921" i="5"/>
  <c r="M920" i="5"/>
  <c r="I920" i="5"/>
  <c r="F920" i="5"/>
  <c r="D920" i="5"/>
  <c r="B920" i="5"/>
  <c r="C920" i="5" s="1"/>
  <c r="M919" i="5"/>
  <c r="I919" i="5"/>
  <c r="F919" i="5"/>
  <c r="D919" i="5"/>
  <c r="B919" i="5"/>
  <c r="C919" i="5" s="1"/>
  <c r="M918" i="5"/>
  <c r="I918" i="5"/>
  <c r="F918" i="5"/>
  <c r="D918" i="5"/>
  <c r="C918" i="5"/>
  <c r="B918" i="5"/>
  <c r="M917" i="5"/>
  <c r="I917" i="5"/>
  <c r="F917" i="5"/>
  <c r="D917" i="5"/>
  <c r="C917" i="5"/>
  <c r="B917" i="5"/>
  <c r="M916" i="5"/>
  <c r="I916" i="5"/>
  <c r="F916" i="5"/>
  <c r="D916" i="5"/>
  <c r="B916" i="5"/>
  <c r="C916" i="5" s="1"/>
  <c r="M915" i="5"/>
  <c r="I915" i="5"/>
  <c r="F915" i="5"/>
  <c r="D915" i="5"/>
  <c r="B915" i="5"/>
  <c r="C915" i="5" s="1"/>
  <c r="M914" i="5"/>
  <c r="I914" i="5"/>
  <c r="F914" i="5"/>
  <c r="D914" i="5"/>
  <c r="C914" i="5"/>
  <c r="B914" i="5"/>
  <c r="M913" i="5"/>
  <c r="I913" i="5"/>
  <c r="F913" i="5"/>
  <c r="D913" i="5"/>
  <c r="B913" i="5"/>
  <c r="C913" i="5" s="1"/>
  <c r="M912" i="5"/>
  <c r="I912" i="5"/>
  <c r="F912" i="5"/>
  <c r="D912" i="5"/>
  <c r="B912" i="5"/>
  <c r="C912" i="5" s="1"/>
  <c r="M911" i="5"/>
  <c r="I911" i="5"/>
  <c r="F911" i="5"/>
  <c r="D911" i="5"/>
  <c r="B911" i="5"/>
  <c r="C911" i="5" s="1"/>
  <c r="M910" i="5"/>
  <c r="I910" i="5"/>
  <c r="F910" i="5"/>
  <c r="D910" i="5"/>
  <c r="B910" i="5"/>
  <c r="C910" i="5" s="1"/>
  <c r="M909" i="5"/>
  <c r="I909" i="5"/>
  <c r="F909" i="5"/>
  <c r="D909" i="5"/>
  <c r="B909" i="5"/>
  <c r="C909" i="5" s="1"/>
  <c r="M908" i="5"/>
  <c r="I908" i="5"/>
  <c r="F908" i="5"/>
  <c r="D908" i="5"/>
  <c r="B908" i="5"/>
  <c r="C908" i="5" s="1"/>
  <c r="M907" i="5"/>
  <c r="I907" i="5"/>
  <c r="F907" i="5"/>
  <c r="D907" i="5"/>
  <c r="B907" i="5"/>
  <c r="C907" i="5" s="1"/>
  <c r="M906" i="5"/>
  <c r="I906" i="5"/>
  <c r="F906" i="5"/>
  <c r="D906" i="5"/>
  <c r="B906" i="5"/>
  <c r="C906" i="5" s="1"/>
  <c r="M905" i="5"/>
  <c r="I905" i="5"/>
  <c r="F905" i="5"/>
  <c r="D905" i="5"/>
  <c r="C905" i="5"/>
  <c r="B905" i="5"/>
  <c r="M904" i="5"/>
  <c r="I904" i="5"/>
  <c r="F904" i="5"/>
  <c r="D904" i="5"/>
  <c r="B904" i="5"/>
  <c r="C904" i="5" s="1"/>
  <c r="M903" i="5"/>
  <c r="I903" i="5"/>
  <c r="F903" i="5"/>
  <c r="D903" i="5"/>
  <c r="B903" i="5"/>
  <c r="C903" i="5" s="1"/>
  <c r="M902" i="5"/>
  <c r="I902" i="5"/>
  <c r="F902" i="5"/>
  <c r="D902" i="5"/>
  <c r="C902" i="5"/>
  <c r="B902" i="5"/>
  <c r="M901" i="5"/>
  <c r="I901" i="5"/>
  <c r="F901" i="5"/>
  <c r="D901" i="5"/>
  <c r="C901" i="5"/>
  <c r="B901" i="5"/>
  <c r="M900" i="5"/>
  <c r="I900" i="5"/>
  <c r="F900" i="5"/>
  <c r="D900" i="5"/>
  <c r="B900" i="5"/>
  <c r="C900" i="5" s="1"/>
  <c r="M899" i="5"/>
  <c r="I899" i="5"/>
  <c r="F899" i="5"/>
  <c r="D899" i="5"/>
  <c r="B899" i="5"/>
  <c r="C899" i="5" s="1"/>
  <c r="M898" i="5"/>
  <c r="I898" i="5"/>
  <c r="F898" i="5"/>
  <c r="D898" i="5"/>
  <c r="C898" i="5"/>
  <c r="B898" i="5"/>
  <c r="M897" i="5"/>
  <c r="I897" i="5"/>
  <c r="F897" i="5"/>
  <c r="D897" i="5"/>
  <c r="B897" i="5"/>
  <c r="C897" i="5" s="1"/>
  <c r="M896" i="5"/>
  <c r="I896" i="5"/>
  <c r="F896" i="5"/>
  <c r="D896" i="5"/>
  <c r="B896" i="5"/>
  <c r="C896" i="5" s="1"/>
  <c r="M895" i="5"/>
  <c r="I895" i="5"/>
  <c r="F895" i="5"/>
  <c r="D895" i="5"/>
  <c r="B895" i="5"/>
  <c r="C895" i="5" s="1"/>
  <c r="M894" i="5"/>
  <c r="I894" i="5"/>
  <c r="F894" i="5"/>
  <c r="D894" i="5"/>
  <c r="B894" i="5"/>
  <c r="C894" i="5" s="1"/>
  <c r="M893" i="5"/>
  <c r="I893" i="5"/>
  <c r="F893" i="5"/>
  <c r="D893" i="5"/>
  <c r="B893" i="5"/>
  <c r="C893" i="5" s="1"/>
  <c r="M892" i="5"/>
  <c r="I892" i="5"/>
  <c r="F892" i="5"/>
  <c r="D892" i="5"/>
  <c r="B892" i="5"/>
  <c r="C892" i="5" s="1"/>
  <c r="M891" i="5"/>
  <c r="I891" i="5"/>
  <c r="F891" i="5"/>
  <c r="D891" i="5"/>
  <c r="B891" i="5"/>
  <c r="C891" i="5" s="1"/>
  <c r="M890" i="5"/>
  <c r="I890" i="5"/>
  <c r="F890" i="5"/>
  <c r="D890" i="5"/>
  <c r="B890" i="5"/>
  <c r="C890" i="5" s="1"/>
  <c r="M889" i="5"/>
  <c r="I889" i="5"/>
  <c r="F889" i="5"/>
  <c r="D889" i="5"/>
  <c r="B889" i="5"/>
  <c r="C889" i="5" s="1"/>
  <c r="M888" i="5"/>
  <c r="I888" i="5"/>
  <c r="F888" i="5"/>
  <c r="D888" i="5"/>
  <c r="B888" i="5"/>
  <c r="C888" i="5" s="1"/>
  <c r="M887" i="5"/>
  <c r="I887" i="5"/>
  <c r="F887" i="5"/>
  <c r="D887" i="5"/>
  <c r="B887" i="5"/>
  <c r="C887" i="5" s="1"/>
  <c r="M886" i="5"/>
  <c r="I886" i="5"/>
  <c r="F886" i="5"/>
  <c r="D886" i="5"/>
  <c r="B886" i="5"/>
  <c r="C886" i="5" s="1"/>
  <c r="M885" i="5"/>
  <c r="I885" i="5"/>
  <c r="F885" i="5"/>
  <c r="D885" i="5"/>
  <c r="B885" i="5"/>
  <c r="C885" i="5" s="1"/>
  <c r="M884" i="5"/>
  <c r="I884" i="5"/>
  <c r="F884" i="5"/>
  <c r="D884" i="5"/>
  <c r="B884" i="5"/>
  <c r="C884" i="5" s="1"/>
  <c r="M883" i="5"/>
  <c r="I883" i="5"/>
  <c r="F883" i="5"/>
  <c r="D883" i="5"/>
  <c r="B883" i="5"/>
  <c r="C883" i="5" s="1"/>
  <c r="M882" i="5"/>
  <c r="I882" i="5"/>
  <c r="F882" i="5"/>
  <c r="D882" i="5"/>
  <c r="B882" i="5"/>
  <c r="C882" i="5" s="1"/>
  <c r="M881" i="5"/>
  <c r="I881" i="5"/>
  <c r="F881" i="5"/>
  <c r="D881" i="5"/>
  <c r="C881" i="5"/>
  <c r="B881" i="5"/>
  <c r="M880" i="5"/>
  <c r="I880" i="5"/>
  <c r="F880" i="5"/>
  <c r="D880" i="5"/>
  <c r="B880" i="5"/>
  <c r="C880" i="5" s="1"/>
  <c r="M879" i="5"/>
  <c r="I879" i="5"/>
  <c r="F879" i="5"/>
  <c r="D879" i="5"/>
  <c r="B879" i="5"/>
  <c r="C879" i="5" s="1"/>
  <c r="M878" i="5"/>
  <c r="I878" i="5"/>
  <c r="F878" i="5"/>
  <c r="D878" i="5"/>
  <c r="C878" i="5"/>
  <c r="B878" i="5"/>
  <c r="M877" i="5"/>
  <c r="I877" i="5"/>
  <c r="F877" i="5"/>
  <c r="D877" i="5"/>
  <c r="B877" i="5"/>
  <c r="C877" i="5" s="1"/>
  <c r="M876" i="5"/>
  <c r="I876" i="5"/>
  <c r="F876" i="5"/>
  <c r="D876" i="5"/>
  <c r="B876" i="5"/>
  <c r="C876" i="5" s="1"/>
  <c r="M875" i="5"/>
  <c r="I875" i="5"/>
  <c r="F875" i="5"/>
  <c r="D875" i="5"/>
  <c r="B875" i="5"/>
  <c r="C875" i="5" s="1"/>
  <c r="M874" i="5"/>
  <c r="I874" i="5"/>
  <c r="F874" i="5"/>
  <c r="D874" i="5"/>
  <c r="B874" i="5"/>
  <c r="C874" i="5" s="1"/>
  <c r="M873" i="5"/>
  <c r="I873" i="5"/>
  <c r="F873" i="5"/>
  <c r="D873" i="5"/>
  <c r="B873" i="5"/>
  <c r="C873" i="5" s="1"/>
  <c r="M872" i="5"/>
  <c r="I872" i="5"/>
  <c r="F872" i="5"/>
  <c r="D872" i="5"/>
  <c r="B872" i="5"/>
  <c r="C872" i="5" s="1"/>
  <c r="M871" i="5"/>
  <c r="I871" i="5"/>
  <c r="F871" i="5"/>
  <c r="D871" i="5"/>
  <c r="B871" i="5"/>
  <c r="C871" i="5" s="1"/>
  <c r="M870" i="5"/>
  <c r="I870" i="5"/>
  <c r="F870" i="5"/>
  <c r="D870" i="5"/>
  <c r="B870" i="5"/>
  <c r="C870" i="5" s="1"/>
  <c r="M869" i="5"/>
  <c r="I869" i="5"/>
  <c r="F869" i="5"/>
  <c r="D869" i="5"/>
  <c r="C869" i="5"/>
  <c r="B869" i="5"/>
  <c r="M868" i="5"/>
  <c r="I868" i="5"/>
  <c r="F868" i="5"/>
  <c r="D868" i="5"/>
  <c r="B868" i="5"/>
  <c r="C868" i="5" s="1"/>
  <c r="M867" i="5"/>
  <c r="I867" i="5"/>
  <c r="F867" i="5"/>
  <c r="D867" i="5"/>
  <c r="B867" i="5"/>
  <c r="C867" i="5" s="1"/>
  <c r="M866" i="5"/>
  <c r="I866" i="5"/>
  <c r="F866" i="5"/>
  <c r="D866" i="5"/>
  <c r="C866" i="5"/>
  <c r="B866" i="5"/>
  <c r="M865" i="5"/>
  <c r="I865" i="5"/>
  <c r="F865" i="5"/>
  <c r="D865" i="5"/>
  <c r="C865" i="5"/>
  <c r="B865" i="5"/>
  <c r="M864" i="5"/>
  <c r="I864" i="5"/>
  <c r="F864" i="5"/>
  <c r="D864" i="5"/>
  <c r="B864" i="5"/>
  <c r="C864" i="5" s="1"/>
  <c r="M863" i="5"/>
  <c r="I863" i="5"/>
  <c r="F863" i="5"/>
  <c r="D863" i="5"/>
  <c r="B863" i="5"/>
  <c r="C863" i="5" s="1"/>
  <c r="M862" i="5"/>
  <c r="I862" i="5"/>
  <c r="F862" i="5"/>
  <c r="D862" i="5"/>
  <c r="C862" i="5"/>
  <c r="B862" i="5"/>
  <c r="M861" i="5"/>
  <c r="I861" i="5"/>
  <c r="F861" i="5"/>
  <c r="D861" i="5"/>
  <c r="B861" i="5"/>
  <c r="C861" i="5" s="1"/>
  <c r="M860" i="5"/>
  <c r="I860" i="5"/>
  <c r="F860" i="5"/>
  <c r="D860" i="5"/>
  <c r="B860" i="5"/>
  <c r="C860" i="5" s="1"/>
  <c r="M859" i="5"/>
  <c r="I859" i="5"/>
  <c r="F859" i="5"/>
  <c r="D859" i="5"/>
  <c r="B859" i="5"/>
  <c r="C859" i="5" s="1"/>
  <c r="M858" i="5"/>
  <c r="I858" i="5"/>
  <c r="F858" i="5"/>
  <c r="D858" i="5"/>
  <c r="B858" i="5"/>
  <c r="C858" i="5" s="1"/>
  <c r="M857" i="5"/>
  <c r="I857" i="5"/>
  <c r="F857" i="5"/>
  <c r="D857" i="5"/>
  <c r="C857" i="5"/>
  <c r="B857" i="5"/>
  <c r="M856" i="5"/>
  <c r="I856" i="5"/>
  <c r="F856" i="5"/>
  <c r="D856" i="5"/>
  <c r="B856" i="5"/>
  <c r="C856" i="5" s="1"/>
  <c r="M855" i="5"/>
  <c r="I855" i="5"/>
  <c r="F855" i="5"/>
  <c r="D855" i="5"/>
  <c r="B855" i="5"/>
  <c r="C855" i="5" s="1"/>
  <c r="M854" i="5"/>
  <c r="I854" i="5"/>
  <c r="F854" i="5"/>
  <c r="D854" i="5"/>
  <c r="C854" i="5"/>
  <c r="B854" i="5"/>
  <c r="M853" i="5"/>
  <c r="I853" i="5"/>
  <c r="F853" i="5"/>
  <c r="D853" i="5"/>
  <c r="C853" i="5"/>
  <c r="B853" i="5"/>
  <c r="M852" i="5"/>
  <c r="I852" i="5"/>
  <c r="F852" i="5"/>
  <c r="D852" i="5"/>
  <c r="B852" i="5"/>
  <c r="C852" i="5" s="1"/>
  <c r="M851" i="5"/>
  <c r="I851" i="5"/>
  <c r="F851" i="5"/>
  <c r="D851" i="5"/>
  <c r="B851" i="5"/>
  <c r="C851" i="5" s="1"/>
  <c r="M850" i="5"/>
  <c r="I850" i="5"/>
  <c r="F850" i="5"/>
  <c r="D850" i="5"/>
  <c r="C850" i="5"/>
  <c r="B850" i="5"/>
  <c r="M849" i="5"/>
  <c r="I849" i="5"/>
  <c r="F849" i="5"/>
  <c r="D849" i="5"/>
  <c r="C849" i="5"/>
  <c r="B849" i="5"/>
  <c r="M848" i="5"/>
  <c r="I848" i="5"/>
  <c r="F848" i="5"/>
  <c r="D848" i="5"/>
  <c r="B848" i="5"/>
  <c r="C848" i="5" s="1"/>
  <c r="M847" i="5"/>
  <c r="I847" i="5"/>
  <c r="F847" i="5"/>
  <c r="D847" i="5"/>
  <c r="B847" i="5"/>
  <c r="C847" i="5" s="1"/>
  <c r="M846" i="5"/>
  <c r="I846" i="5"/>
  <c r="F846" i="5"/>
  <c r="D846" i="5"/>
  <c r="B846" i="5"/>
  <c r="C846" i="5" s="1"/>
  <c r="M845" i="5"/>
  <c r="I845" i="5"/>
  <c r="F845" i="5"/>
  <c r="D845" i="5"/>
  <c r="B845" i="5"/>
  <c r="C845" i="5" s="1"/>
  <c r="M844" i="5"/>
  <c r="I844" i="5"/>
  <c r="F844" i="5"/>
  <c r="D844" i="5"/>
  <c r="B844" i="5"/>
  <c r="C844" i="5" s="1"/>
  <c r="M843" i="5"/>
  <c r="I843" i="5"/>
  <c r="F843" i="5"/>
  <c r="D843" i="5"/>
  <c r="B843" i="5"/>
  <c r="C843" i="5" s="1"/>
  <c r="M842" i="5"/>
  <c r="I842" i="5"/>
  <c r="F842" i="5"/>
  <c r="D842" i="5"/>
  <c r="B842" i="5"/>
  <c r="C842" i="5" s="1"/>
  <c r="M841" i="5"/>
  <c r="I841" i="5"/>
  <c r="F841" i="5"/>
  <c r="D841" i="5"/>
  <c r="C841" i="5"/>
  <c r="B841" i="5"/>
  <c r="M840" i="5"/>
  <c r="I840" i="5"/>
  <c r="F840" i="5"/>
  <c r="D840" i="5"/>
  <c r="B840" i="5"/>
  <c r="C840" i="5" s="1"/>
  <c r="M839" i="5"/>
  <c r="I839" i="5"/>
  <c r="F839" i="5"/>
  <c r="D839" i="5"/>
  <c r="B839" i="5"/>
  <c r="C839" i="5" s="1"/>
  <c r="M838" i="5"/>
  <c r="I838" i="5"/>
  <c r="F838" i="5"/>
  <c r="D838" i="5"/>
  <c r="C838" i="5"/>
  <c r="B838" i="5"/>
  <c r="M837" i="5"/>
  <c r="I837" i="5"/>
  <c r="F837" i="5"/>
  <c r="D837" i="5"/>
  <c r="C837" i="5"/>
  <c r="B837" i="5"/>
  <c r="M836" i="5"/>
  <c r="I836" i="5"/>
  <c r="F836" i="5"/>
  <c r="D836" i="5"/>
  <c r="B836" i="5"/>
  <c r="C836" i="5" s="1"/>
  <c r="M835" i="5"/>
  <c r="I835" i="5"/>
  <c r="F835" i="5"/>
  <c r="D835" i="5"/>
  <c r="B835" i="5"/>
  <c r="C835" i="5" s="1"/>
  <c r="M834" i="5"/>
  <c r="I834" i="5"/>
  <c r="F834" i="5"/>
  <c r="D834" i="5"/>
  <c r="C834" i="5"/>
  <c r="B834" i="5"/>
  <c r="M833" i="5"/>
  <c r="I833" i="5"/>
  <c r="F833" i="5"/>
  <c r="D833" i="5"/>
  <c r="B833" i="5"/>
  <c r="C833" i="5" s="1"/>
  <c r="M832" i="5"/>
  <c r="I832" i="5"/>
  <c r="F832" i="5"/>
  <c r="D832" i="5"/>
  <c r="B832" i="5"/>
  <c r="C832" i="5" s="1"/>
  <c r="M831" i="5"/>
  <c r="I831" i="5"/>
  <c r="F831" i="5"/>
  <c r="D831" i="5"/>
  <c r="B831" i="5"/>
  <c r="C831" i="5" s="1"/>
  <c r="M830" i="5"/>
  <c r="I830" i="5"/>
  <c r="F830" i="5"/>
  <c r="D830" i="5"/>
  <c r="B830" i="5"/>
  <c r="C830" i="5" s="1"/>
  <c r="M829" i="5"/>
  <c r="I829" i="5"/>
  <c r="F829" i="5"/>
  <c r="D829" i="5"/>
  <c r="B829" i="5"/>
  <c r="C829" i="5" s="1"/>
  <c r="M828" i="5"/>
  <c r="I828" i="5"/>
  <c r="F828" i="5"/>
  <c r="D828" i="5"/>
  <c r="B828" i="5"/>
  <c r="C828" i="5" s="1"/>
  <c r="M827" i="5"/>
  <c r="I827" i="5"/>
  <c r="F827" i="5"/>
  <c r="D827" i="5"/>
  <c r="B827" i="5"/>
  <c r="C827" i="5" s="1"/>
  <c r="M826" i="5"/>
  <c r="I826" i="5"/>
  <c r="F826" i="5"/>
  <c r="D826" i="5"/>
  <c r="B826" i="5"/>
  <c r="C826" i="5" s="1"/>
  <c r="M825" i="5"/>
  <c r="I825" i="5"/>
  <c r="F825" i="5"/>
  <c r="D825" i="5"/>
  <c r="C825" i="5"/>
  <c r="B825" i="5"/>
  <c r="M824" i="5"/>
  <c r="I824" i="5"/>
  <c r="F824" i="5"/>
  <c r="D824" i="5"/>
  <c r="B824" i="5"/>
  <c r="C824" i="5" s="1"/>
  <c r="M823" i="5"/>
  <c r="I823" i="5"/>
  <c r="F823" i="5"/>
  <c r="D823" i="5"/>
  <c r="B823" i="5"/>
  <c r="C823" i="5" s="1"/>
  <c r="M822" i="5"/>
  <c r="I822" i="5"/>
  <c r="F822" i="5"/>
  <c r="D822" i="5"/>
  <c r="C822" i="5"/>
  <c r="B822" i="5"/>
  <c r="M821" i="5"/>
  <c r="I821" i="5"/>
  <c r="F821" i="5"/>
  <c r="D821" i="5"/>
  <c r="B821" i="5"/>
  <c r="C821" i="5" s="1"/>
  <c r="M820" i="5"/>
  <c r="I820" i="5"/>
  <c r="F820" i="5"/>
  <c r="D820" i="5"/>
  <c r="B820" i="5"/>
  <c r="C820" i="5" s="1"/>
  <c r="M819" i="5"/>
  <c r="I819" i="5"/>
  <c r="F819" i="5"/>
  <c r="D819" i="5"/>
  <c r="B819" i="5"/>
  <c r="C819" i="5" s="1"/>
  <c r="M818" i="5"/>
  <c r="I818" i="5"/>
  <c r="F818" i="5"/>
  <c r="D818" i="5"/>
  <c r="B818" i="5"/>
  <c r="C818" i="5" s="1"/>
  <c r="M817" i="5"/>
  <c r="I817" i="5"/>
  <c r="F817" i="5"/>
  <c r="D817" i="5"/>
  <c r="C817" i="5"/>
  <c r="B817" i="5"/>
  <c r="M816" i="5"/>
  <c r="I816" i="5"/>
  <c r="F816" i="5"/>
  <c r="D816" i="5"/>
  <c r="B816" i="5"/>
  <c r="C816" i="5" s="1"/>
  <c r="M815" i="5"/>
  <c r="I815" i="5"/>
  <c r="F815" i="5"/>
  <c r="D815" i="5"/>
  <c r="B815" i="5"/>
  <c r="C815" i="5" s="1"/>
  <c r="M814" i="5"/>
  <c r="I814" i="5"/>
  <c r="F814" i="5"/>
  <c r="D814" i="5"/>
  <c r="C814" i="5"/>
  <c r="B814" i="5"/>
  <c r="M813" i="5"/>
  <c r="I813" i="5"/>
  <c r="F813" i="5"/>
  <c r="D813" i="5"/>
  <c r="B813" i="5"/>
  <c r="C813" i="5" s="1"/>
  <c r="M812" i="5"/>
  <c r="I812" i="5"/>
  <c r="F812" i="5"/>
  <c r="D812" i="5"/>
  <c r="B812" i="5"/>
  <c r="C812" i="5" s="1"/>
  <c r="M811" i="5"/>
  <c r="I811" i="5"/>
  <c r="F811" i="5"/>
  <c r="D811" i="5"/>
  <c r="B811" i="5"/>
  <c r="C811" i="5" s="1"/>
  <c r="M810" i="5"/>
  <c r="I810" i="5"/>
  <c r="F810" i="5"/>
  <c r="D810" i="5"/>
  <c r="B810" i="5"/>
  <c r="C810" i="5" s="1"/>
  <c r="M809" i="5"/>
  <c r="I809" i="5"/>
  <c r="F809" i="5"/>
  <c r="D809" i="5"/>
  <c r="B809" i="5"/>
  <c r="C809" i="5" s="1"/>
  <c r="M808" i="5"/>
  <c r="I808" i="5"/>
  <c r="F808" i="5"/>
  <c r="D808" i="5"/>
  <c r="B808" i="5"/>
  <c r="C808" i="5" s="1"/>
  <c r="M807" i="5"/>
  <c r="I807" i="5"/>
  <c r="F807" i="5"/>
  <c r="D807" i="5"/>
  <c r="B807" i="5"/>
  <c r="C807" i="5" s="1"/>
  <c r="M806" i="5"/>
  <c r="I806" i="5"/>
  <c r="F806" i="5"/>
  <c r="D806" i="5"/>
  <c r="B806" i="5"/>
  <c r="C806" i="5" s="1"/>
  <c r="M805" i="5"/>
  <c r="I805" i="5"/>
  <c r="F805" i="5"/>
  <c r="D805" i="5"/>
  <c r="C805" i="5"/>
  <c r="B805" i="5"/>
  <c r="M804" i="5"/>
  <c r="I804" i="5"/>
  <c r="F804" i="5"/>
  <c r="D804" i="5"/>
  <c r="B804" i="5"/>
  <c r="C804" i="5" s="1"/>
  <c r="M803" i="5"/>
  <c r="I803" i="5"/>
  <c r="F803" i="5"/>
  <c r="D803" i="5"/>
  <c r="B803" i="5"/>
  <c r="C803" i="5" s="1"/>
  <c r="M802" i="5"/>
  <c r="I802" i="5"/>
  <c r="F802" i="5"/>
  <c r="D802" i="5"/>
  <c r="C802" i="5"/>
  <c r="B802" i="5"/>
  <c r="M801" i="5"/>
  <c r="I801" i="5"/>
  <c r="F801" i="5"/>
  <c r="D801" i="5"/>
  <c r="C801" i="5"/>
  <c r="B801" i="5"/>
  <c r="M800" i="5"/>
  <c r="I800" i="5"/>
  <c r="F800" i="5"/>
  <c r="D800" i="5"/>
  <c r="B800" i="5"/>
  <c r="C800" i="5" s="1"/>
  <c r="M799" i="5"/>
  <c r="I799" i="5"/>
  <c r="F799" i="5"/>
  <c r="D799" i="5"/>
  <c r="B799" i="5"/>
  <c r="C799" i="5" s="1"/>
  <c r="M798" i="5"/>
  <c r="I798" i="5"/>
  <c r="F798" i="5"/>
  <c r="D798" i="5"/>
  <c r="C798" i="5"/>
  <c r="B798" i="5"/>
  <c r="M797" i="5"/>
  <c r="I797" i="5"/>
  <c r="F797" i="5"/>
  <c r="D797" i="5"/>
  <c r="B797" i="5"/>
  <c r="C797" i="5" s="1"/>
  <c r="M796" i="5"/>
  <c r="I796" i="5"/>
  <c r="F796" i="5"/>
  <c r="D796" i="5"/>
  <c r="B796" i="5"/>
  <c r="C796" i="5" s="1"/>
  <c r="M795" i="5"/>
  <c r="I795" i="5"/>
  <c r="F795" i="5"/>
  <c r="D795" i="5"/>
  <c r="B795" i="5"/>
  <c r="C795" i="5" s="1"/>
  <c r="M794" i="5"/>
  <c r="I794" i="5"/>
  <c r="F794" i="5"/>
  <c r="D794" i="5"/>
  <c r="B794" i="5"/>
  <c r="C794" i="5" s="1"/>
  <c r="M793" i="5"/>
  <c r="I793" i="5"/>
  <c r="F793" i="5"/>
  <c r="D793" i="5"/>
  <c r="C793" i="5"/>
  <c r="B793" i="5"/>
  <c r="M792" i="5"/>
  <c r="I792" i="5"/>
  <c r="F792" i="5"/>
  <c r="D792" i="5"/>
  <c r="B792" i="5"/>
  <c r="C792" i="5" s="1"/>
  <c r="M791" i="5"/>
  <c r="I791" i="5"/>
  <c r="F791" i="5"/>
  <c r="D791" i="5"/>
  <c r="B791" i="5"/>
  <c r="C791" i="5" s="1"/>
  <c r="M790" i="5"/>
  <c r="I790" i="5"/>
  <c r="F790" i="5"/>
  <c r="D790" i="5"/>
  <c r="C790" i="5"/>
  <c r="B790" i="5"/>
  <c r="M789" i="5"/>
  <c r="I789" i="5"/>
  <c r="F789" i="5"/>
  <c r="D789" i="5"/>
  <c r="C789" i="5"/>
  <c r="B789" i="5"/>
  <c r="M788" i="5"/>
  <c r="I788" i="5"/>
  <c r="F788" i="5"/>
  <c r="D788" i="5"/>
  <c r="B788" i="5"/>
  <c r="C788" i="5" s="1"/>
  <c r="M787" i="5"/>
  <c r="I787" i="5"/>
  <c r="F787" i="5"/>
  <c r="D787" i="5"/>
  <c r="B787" i="5"/>
  <c r="C787" i="5" s="1"/>
  <c r="M786" i="5"/>
  <c r="I786" i="5"/>
  <c r="F786" i="5"/>
  <c r="D786" i="5"/>
  <c r="C786" i="5"/>
  <c r="B786" i="5"/>
  <c r="M785" i="5"/>
  <c r="I785" i="5"/>
  <c r="F785" i="5"/>
  <c r="D785" i="5"/>
  <c r="C785" i="5"/>
  <c r="B785" i="5"/>
  <c r="M784" i="5"/>
  <c r="I784" i="5"/>
  <c r="F784" i="5"/>
  <c r="D784" i="5"/>
  <c r="B784" i="5"/>
  <c r="C784" i="5" s="1"/>
  <c r="M783" i="5"/>
  <c r="I783" i="5"/>
  <c r="F783" i="5"/>
  <c r="D783" i="5"/>
  <c r="B783" i="5"/>
  <c r="C783" i="5" s="1"/>
  <c r="M782" i="5"/>
  <c r="I782" i="5"/>
  <c r="F782" i="5"/>
  <c r="D782" i="5"/>
  <c r="C782" i="5"/>
  <c r="B782" i="5"/>
  <c r="M781" i="5"/>
  <c r="I781" i="5"/>
  <c r="F781" i="5"/>
  <c r="D781" i="5"/>
  <c r="B781" i="5"/>
  <c r="C781" i="5" s="1"/>
  <c r="M780" i="5"/>
  <c r="I780" i="5"/>
  <c r="F780" i="5"/>
  <c r="D780" i="5"/>
  <c r="B780" i="5"/>
  <c r="C780" i="5" s="1"/>
  <c r="M779" i="5"/>
  <c r="I779" i="5"/>
  <c r="F779" i="5"/>
  <c r="D779" i="5"/>
  <c r="B779" i="5"/>
  <c r="C779" i="5" s="1"/>
  <c r="M778" i="5"/>
  <c r="I778" i="5"/>
  <c r="F778" i="5"/>
  <c r="D778" i="5"/>
  <c r="B778" i="5"/>
  <c r="C778" i="5" s="1"/>
  <c r="M777" i="5"/>
  <c r="I777" i="5"/>
  <c r="F777" i="5"/>
  <c r="D777" i="5"/>
  <c r="C777" i="5"/>
  <c r="B777" i="5"/>
  <c r="M776" i="5"/>
  <c r="I776" i="5"/>
  <c r="F776" i="5"/>
  <c r="D776" i="5"/>
  <c r="B776" i="5"/>
  <c r="C776" i="5" s="1"/>
  <c r="M775" i="5"/>
  <c r="I775" i="5"/>
  <c r="F775" i="5"/>
  <c r="D775" i="5"/>
  <c r="B775" i="5"/>
  <c r="C775" i="5" s="1"/>
  <c r="M774" i="5"/>
  <c r="I774" i="5"/>
  <c r="F774" i="5"/>
  <c r="D774" i="5"/>
  <c r="C774" i="5"/>
  <c r="B774" i="5"/>
  <c r="M773" i="5"/>
  <c r="I773" i="5"/>
  <c r="F773" i="5"/>
  <c r="D773" i="5"/>
  <c r="C773" i="5"/>
  <c r="B773" i="5"/>
  <c r="M772" i="5"/>
  <c r="I772" i="5"/>
  <c r="F772" i="5"/>
  <c r="D772" i="5"/>
  <c r="B772" i="5"/>
  <c r="C772" i="5" s="1"/>
  <c r="M771" i="5"/>
  <c r="I771" i="5"/>
  <c r="F771" i="5"/>
  <c r="D771" i="5"/>
  <c r="B771" i="5"/>
  <c r="C771" i="5" s="1"/>
  <c r="M770" i="5"/>
  <c r="I770" i="5"/>
  <c r="F770" i="5"/>
  <c r="D770" i="5"/>
  <c r="C770" i="5"/>
  <c r="B770" i="5"/>
  <c r="M769" i="5"/>
  <c r="I769" i="5"/>
  <c r="F769" i="5"/>
  <c r="D769" i="5"/>
  <c r="B769" i="5"/>
  <c r="C769" i="5" s="1"/>
  <c r="M768" i="5"/>
  <c r="I768" i="5"/>
  <c r="F768" i="5"/>
  <c r="D768" i="5"/>
  <c r="B768" i="5"/>
  <c r="C768" i="5" s="1"/>
  <c r="M767" i="5"/>
  <c r="I767" i="5"/>
  <c r="F767" i="5"/>
  <c r="D767" i="5"/>
  <c r="B767" i="5"/>
  <c r="C767" i="5" s="1"/>
  <c r="M766" i="5"/>
  <c r="I766" i="5"/>
  <c r="F766" i="5"/>
  <c r="D766" i="5"/>
  <c r="B766" i="5"/>
  <c r="C766" i="5" s="1"/>
  <c r="M765" i="5"/>
  <c r="I765" i="5"/>
  <c r="F765" i="5"/>
  <c r="D765" i="5"/>
  <c r="B765" i="5"/>
  <c r="C765" i="5" s="1"/>
  <c r="M764" i="5"/>
  <c r="I764" i="5"/>
  <c r="F764" i="5"/>
  <c r="D764" i="5"/>
  <c r="B764" i="5"/>
  <c r="C764" i="5" s="1"/>
  <c r="M763" i="5"/>
  <c r="I763" i="5"/>
  <c r="F763" i="5"/>
  <c r="D763" i="5"/>
  <c r="B763" i="5"/>
  <c r="C763" i="5" s="1"/>
  <c r="M762" i="5"/>
  <c r="I762" i="5"/>
  <c r="F762" i="5"/>
  <c r="D762" i="5"/>
  <c r="B762" i="5"/>
  <c r="C762" i="5" s="1"/>
  <c r="M761" i="5"/>
  <c r="I761" i="5"/>
  <c r="F761" i="5"/>
  <c r="D761" i="5"/>
  <c r="C761" i="5"/>
  <c r="B761" i="5"/>
  <c r="M760" i="5"/>
  <c r="I760" i="5"/>
  <c r="F760" i="5"/>
  <c r="D760" i="5"/>
  <c r="B760" i="5"/>
  <c r="C760" i="5" s="1"/>
  <c r="M759" i="5"/>
  <c r="I759" i="5"/>
  <c r="F759" i="5"/>
  <c r="D759" i="5"/>
  <c r="B759" i="5"/>
  <c r="C759" i="5" s="1"/>
  <c r="M758" i="5"/>
  <c r="I758" i="5"/>
  <c r="F758" i="5"/>
  <c r="D758" i="5"/>
  <c r="C758" i="5"/>
  <c r="B758" i="5"/>
  <c r="M757" i="5"/>
  <c r="I757" i="5"/>
  <c r="F757" i="5"/>
  <c r="D757" i="5"/>
  <c r="B757" i="5"/>
  <c r="C757" i="5" s="1"/>
  <c r="M756" i="5"/>
  <c r="I756" i="5"/>
  <c r="F756" i="5"/>
  <c r="D756" i="5"/>
  <c r="B756" i="5"/>
  <c r="C756" i="5" s="1"/>
  <c r="M755" i="5"/>
  <c r="I755" i="5"/>
  <c r="F755" i="5"/>
  <c r="D755" i="5"/>
  <c r="B755" i="5"/>
  <c r="C755" i="5" s="1"/>
  <c r="M754" i="5"/>
  <c r="I754" i="5"/>
  <c r="F754" i="5"/>
  <c r="D754" i="5"/>
  <c r="B754" i="5"/>
  <c r="C754" i="5" s="1"/>
  <c r="M753" i="5"/>
  <c r="I753" i="5"/>
  <c r="F753" i="5"/>
  <c r="D753" i="5"/>
  <c r="C753" i="5"/>
  <c r="B753" i="5"/>
  <c r="M752" i="5"/>
  <c r="I752" i="5"/>
  <c r="F752" i="5"/>
  <c r="D752" i="5"/>
  <c r="B752" i="5"/>
  <c r="C752" i="5" s="1"/>
  <c r="M751" i="5"/>
  <c r="I751" i="5"/>
  <c r="F751" i="5"/>
  <c r="D751" i="5"/>
  <c r="B751" i="5"/>
  <c r="C751" i="5" s="1"/>
  <c r="M750" i="5"/>
  <c r="I750" i="5"/>
  <c r="F750" i="5"/>
  <c r="D750" i="5"/>
  <c r="C750" i="5"/>
  <c r="B750" i="5"/>
  <c r="M749" i="5"/>
  <c r="I749" i="5"/>
  <c r="F749" i="5"/>
  <c r="D749" i="5"/>
  <c r="B749" i="5"/>
  <c r="C749" i="5" s="1"/>
  <c r="M748" i="5"/>
  <c r="I748" i="5"/>
  <c r="F748" i="5"/>
  <c r="D748" i="5"/>
  <c r="B748" i="5"/>
  <c r="C748" i="5" s="1"/>
  <c r="M747" i="5"/>
  <c r="I747" i="5"/>
  <c r="F747" i="5"/>
  <c r="D747" i="5"/>
  <c r="B747" i="5"/>
  <c r="C747" i="5" s="1"/>
  <c r="M746" i="5"/>
  <c r="I746" i="5"/>
  <c r="F746" i="5"/>
  <c r="D746" i="5"/>
  <c r="B746" i="5"/>
  <c r="C746" i="5" s="1"/>
  <c r="M745" i="5"/>
  <c r="I745" i="5"/>
  <c r="F745" i="5"/>
  <c r="D745" i="5"/>
  <c r="B745" i="5"/>
  <c r="C745" i="5" s="1"/>
  <c r="M744" i="5"/>
  <c r="I744" i="5"/>
  <c r="F744" i="5"/>
  <c r="D744" i="5"/>
  <c r="B744" i="5"/>
  <c r="C744" i="5" s="1"/>
  <c r="M743" i="5"/>
  <c r="I743" i="5"/>
  <c r="F743" i="5"/>
  <c r="D743" i="5"/>
  <c r="B743" i="5"/>
  <c r="C743" i="5" s="1"/>
  <c r="M742" i="5"/>
  <c r="I742" i="5"/>
  <c r="F742" i="5"/>
  <c r="D742" i="5"/>
  <c r="B742" i="5"/>
  <c r="C742" i="5" s="1"/>
  <c r="M741" i="5"/>
  <c r="I741" i="5"/>
  <c r="F741" i="5"/>
  <c r="D741" i="5"/>
  <c r="C741" i="5"/>
  <c r="B741" i="5"/>
  <c r="M740" i="5"/>
  <c r="I740" i="5"/>
  <c r="F740" i="5"/>
  <c r="D740" i="5"/>
  <c r="B740" i="5"/>
  <c r="C740" i="5" s="1"/>
  <c r="M739" i="5"/>
  <c r="I739" i="5"/>
  <c r="F739" i="5"/>
  <c r="D739" i="5"/>
  <c r="B739" i="5"/>
  <c r="C739" i="5" s="1"/>
  <c r="M738" i="5"/>
  <c r="I738" i="5"/>
  <c r="F738" i="5"/>
  <c r="D738" i="5"/>
  <c r="C738" i="5"/>
  <c r="B738" i="5"/>
  <c r="M737" i="5"/>
  <c r="I737" i="5"/>
  <c r="F737" i="5"/>
  <c r="D737" i="5"/>
  <c r="C737" i="5"/>
  <c r="B737" i="5"/>
  <c r="M736" i="5"/>
  <c r="I736" i="5"/>
  <c r="F736" i="5"/>
  <c r="D736" i="5"/>
  <c r="B736" i="5"/>
  <c r="C736" i="5" s="1"/>
  <c r="M735" i="5"/>
  <c r="I735" i="5"/>
  <c r="F735" i="5"/>
  <c r="D735" i="5"/>
  <c r="B735" i="5"/>
  <c r="C735" i="5" s="1"/>
  <c r="M734" i="5"/>
  <c r="I734" i="5"/>
  <c r="F734" i="5"/>
  <c r="D734" i="5"/>
  <c r="C734" i="5"/>
  <c r="B734" i="5"/>
  <c r="M733" i="5"/>
  <c r="I733" i="5"/>
  <c r="F733" i="5"/>
  <c r="D733" i="5"/>
  <c r="B733" i="5"/>
  <c r="C733" i="5" s="1"/>
  <c r="M732" i="5"/>
  <c r="I732" i="5"/>
  <c r="F732" i="5"/>
  <c r="D732" i="5"/>
  <c r="B732" i="5"/>
  <c r="C732" i="5" s="1"/>
  <c r="M731" i="5"/>
  <c r="I731" i="5"/>
  <c r="F731" i="5"/>
  <c r="D731" i="5"/>
  <c r="B731" i="5"/>
  <c r="C731" i="5" s="1"/>
  <c r="M730" i="5"/>
  <c r="I730" i="5"/>
  <c r="F730" i="5"/>
  <c r="D730" i="5"/>
  <c r="B730" i="5"/>
  <c r="C730" i="5" s="1"/>
  <c r="M729" i="5"/>
  <c r="I729" i="5"/>
  <c r="F729" i="5"/>
  <c r="D729" i="5"/>
  <c r="C729" i="5"/>
  <c r="B729" i="5"/>
  <c r="M728" i="5"/>
  <c r="I728" i="5"/>
  <c r="F728" i="5"/>
  <c r="D728" i="5"/>
  <c r="B728" i="5"/>
  <c r="C728" i="5" s="1"/>
  <c r="M727" i="5"/>
  <c r="I727" i="5"/>
  <c r="F727" i="5"/>
  <c r="D727" i="5"/>
  <c r="B727" i="5"/>
  <c r="C727" i="5" s="1"/>
  <c r="M726" i="5"/>
  <c r="I726" i="5"/>
  <c r="F726" i="5"/>
  <c r="D726" i="5"/>
  <c r="C726" i="5"/>
  <c r="B726" i="5"/>
  <c r="M725" i="5"/>
  <c r="I725" i="5"/>
  <c r="F725" i="5"/>
  <c r="D725" i="5"/>
  <c r="C725" i="5"/>
  <c r="B725" i="5"/>
  <c r="M724" i="5"/>
  <c r="I724" i="5"/>
  <c r="F724" i="5"/>
  <c r="D724" i="5"/>
  <c r="B724" i="5"/>
  <c r="C724" i="5" s="1"/>
  <c r="M723" i="5"/>
  <c r="I723" i="5"/>
  <c r="F723" i="5"/>
  <c r="D723" i="5"/>
  <c r="B723" i="5"/>
  <c r="C723" i="5" s="1"/>
  <c r="M722" i="5"/>
  <c r="I722" i="5"/>
  <c r="F722" i="5"/>
  <c r="D722" i="5"/>
  <c r="C722" i="5"/>
  <c r="B722" i="5"/>
  <c r="M721" i="5"/>
  <c r="I721" i="5"/>
  <c r="F721" i="5"/>
  <c r="D721" i="5"/>
  <c r="C721" i="5"/>
  <c r="B721" i="5"/>
  <c r="M720" i="5"/>
  <c r="I720" i="5"/>
  <c r="F720" i="5"/>
  <c r="D720" i="5"/>
  <c r="B720" i="5"/>
  <c r="C720" i="5" s="1"/>
  <c r="M719" i="5"/>
  <c r="I719" i="5"/>
  <c r="F719" i="5"/>
  <c r="D719" i="5"/>
  <c r="B719" i="5"/>
  <c r="C719" i="5" s="1"/>
  <c r="M718" i="5"/>
  <c r="I718" i="5"/>
  <c r="F718" i="5"/>
  <c r="D718" i="5"/>
  <c r="C718" i="5"/>
  <c r="B718" i="5"/>
  <c r="M717" i="5"/>
  <c r="I717" i="5"/>
  <c r="F717" i="5"/>
  <c r="D717" i="5"/>
  <c r="B717" i="5"/>
  <c r="C717" i="5" s="1"/>
  <c r="M716" i="5"/>
  <c r="I716" i="5"/>
  <c r="F716" i="5"/>
  <c r="D716" i="5"/>
  <c r="B716" i="5"/>
  <c r="C716" i="5" s="1"/>
  <c r="M715" i="5"/>
  <c r="I715" i="5"/>
  <c r="F715" i="5"/>
  <c r="D715" i="5"/>
  <c r="B715" i="5"/>
  <c r="C715" i="5" s="1"/>
  <c r="M714" i="5"/>
  <c r="I714" i="5"/>
  <c r="F714" i="5"/>
  <c r="D714" i="5"/>
  <c r="B714" i="5"/>
  <c r="C714" i="5" s="1"/>
  <c r="M713" i="5"/>
  <c r="I713" i="5"/>
  <c r="F713" i="5"/>
  <c r="D713" i="5"/>
  <c r="C713" i="5"/>
  <c r="B713" i="5"/>
  <c r="M712" i="5"/>
  <c r="I712" i="5"/>
  <c r="F712" i="5"/>
  <c r="D712" i="5"/>
  <c r="B712" i="5"/>
  <c r="C712" i="5" s="1"/>
  <c r="M711" i="5"/>
  <c r="I711" i="5"/>
  <c r="F711" i="5"/>
  <c r="D711" i="5"/>
  <c r="B711" i="5"/>
  <c r="C711" i="5" s="1"/>
  <c r="M710" i="5"/>
  <c r="I710" i="5"/>
  <c r="F710" i="5"/>
  <c r="D710" i="5"/>
  <c r="C710" i="5"/>
  <c r="B710" i="5"/>
  <c r="M709" i="5"/>
  <c r="I709" i="5"/>
  <c r="F709" i="5"/>
  <c r="D709" i="5"/>
  <c r="C709" i="5"/>
  <c r="B709" i="5"/>
  <c r="M708" i="5"/>
  <c r="I708" i="5"/>
  <c r="F708" i="5"/>
  <c r="D708" i="5"/>
  <c r="B708" i="5"/>
  <c r="C708" i="5" s="1"/>
  <c r="M707" i="5"/>
  <c r="I707" i="5"/>
  <c r="F707" i="5"/>
  <c r="D707" i="5"/>
  <c r="B707" i="5"/>
  <c r="C707" i="5" s="1"/>
  <c r="M706" i="5"/>
  <c r="I706" i="5"/>
  <c r="F706" i="5"/>
  <c r="D706" i="5"/>
  <c r="C706" i="5"/>
  <c r="B706" i="5"/>
  <c r="M705" i="5"/>
  <c r="I705" i="5"/>
  <c r="F705" i="5"/>
  <c r="D705" i="5"/>
  <c r="B705" i="5"/>
  <c r="C705" i="5" s="1"/>
  <c r="M704" i="5"/>
  <c r="I704" i="5"/>
  <c r="F704" i="5"/>
  <c r="D704" i="5"/>
  <c r="B704" i="5"/>
  <c r="C704" i="5" s="1"/>
  <c r="M703" i="5"/>
  <c r="I703" i="5"/>
  <c r="F703" i="5"/>
  <c r="D703" i="5"/>
  <c r="B703" i="5"/>
  <c r="C703" i="5" s="1"/>
  <c r="M702" i="5"/>
  <c r="I702" i="5"/>
  <c r="F702" i="5"/>
  <c r="D702" i="5"/>
  <c r="B702" i="5"/>
  <c r="C702" i="5" s="1"/>
  <c r="M701" i="5"/>
  <c r="I701" i="5"/>
  <c r="F701" i="5"/>
  <c r="D701" i="5"/>
  <c r="B701" i="5"/>
  <c r="C701" i="5" s="1"/>
  <c r="M700" i="5"/>
  <c r="I700" i="5"/>
  <c r="F700" i="5"/>
  <c r="D700" i="5"/>
  <c r="B700" i="5"/>
  <c r="C700" i="5" s="1"/>
  <c r="M699" i="5"/>
  <c r="I699" i="5"/>
  <c r="F699" i="5"/>
  <c r="D699" i="5"/>
  <c r="B699" i="5"/>
  <c r="C699" i="5" s="1"/>
  <c r="M698" i="5"/>
  <c r="I698" i="5"/>
  <c r="F698" i="5"/>
  <c r="D698" i="5"/>
  <c r="B698" i="5"/>
  <c r="C698" i="5" s="1"/>
  <c r="M697" i="5"/>
  <c r="I697" i="5"/>
  <c r="F697" i="5"/>
  <c r="D697" i="5"/>
  <c r="C697" i="5"/>
  <c r="B697" i="5"/>
  <c r="M696" i="5"/>
  <c r="I696" i="5"/>
  <c r="F696" i="5"/>
  <c r="D696" i="5"/>
  <c r="B696" i="5"/>
  <c r="C696" i="5" s="1"/>
  <c r="M695" i="5"/>
  <c r="I695" i="5"/>
  <c r="F695" i="5"/>
  <c r="D695" i="5"/>
  <c r="B695" i="5"/>
  <c r="C695" i="5" s="1"/>
  <c r="M694" i="5"/>
  <c r="I694" i="5"/>
  <c r="F694" i="5"/>
  <c r="D694" i="5"/>
  <c r="C694" i="5"/>
  <c r="B694" i="5"/>
  <c r="M693" i="5"/>
  <c r="I693" i="5"/>
  <c r="F693" i="5"/>
  <c r="D693" i="5"/>
  <c r="B693" i="5"/>
  <c r="C693" i="5" s="1"/>
  <c r="M692" i="5"/>
  <c r="I692" i="5"/>
  <c r="F692" i="5"/>
  <c r="D692" i="5"/>
  <c r="B692" i="5"/>
  <c r="C692" i="5" s="1"/>
  <c r="M691" i="5"/>
  <c r="I691" i="5"/>
  <c r="F691" i="5"/>
  <c r="D691" i="5"/>
  <c r="B691" i="5"/>
  <c r="C691" i="5" s="1"/>
  <c r="M690" i="5"/>
  <c r="I690" i="5"/>
  <c r="F690" i="5"/>
  <c r="D690" i="5"/>
  <c r="B690" i="5"/>
  <c r="C690" i="5" s="1"/>
  <c r="M689" i="5"/>
  <c r="I689" i="5"/>
  <c r="F689" i="5"/>
  <c r="D689" i="5"/>
  <c r="C689" i="5"/>
  <c r="B689" i="5"/>
  <c r="M688" i="5"/>
  <c r="I688" i="5"/>
  <c r="F688" i="5"/>
  <c r="D688" i="5"/>
  <c r="B688" i="5"/>
  <c r="C688" i="5" s="1"/>
  <c r="M687" i="5"/>
  <c r="I687" i="5"/>
  <c r="F687" i="5"/>
  <c r="D687" i="5"/>
  <c r="B687" i="5"/>
  <c r="C687" i="5" s="1"/>
  <c r="M686" i="5"/>
  <c r="I686" i="5"/>
  <c r="F686" i="5"/>
  <c r="D686" i="5"/>
  <c r="C686" i="5"/>
  <c r="B686" i="5"/>
  <c r="M685" i="5"/>
  <c r="I685" i="5"/>
  <c r="F685" i="5"/>
  <c r="D685" i="5"/>
  <c r="B685" i="5"/>
  <c r="C685" i="5" s="1"/>
  <c r="M684" i="5"/>
  <c r="I684" i="5"/>
  <c r="F684" i="5"/>
  <c r="D684" i="5"/>
  <c r="B684" i="5"/>
  <c r="C684" i="5" s="1"/>
  <c r="M683" i="5"/>
  <c r="I683" i="5"/>
  <c r="F683" i="5"/>
  <c r="D683" i="5"/>
  <c r="B683" i="5"/>
  <c r="C683" i="5" s="1"/>
  <c r="M682" i="5"/>
  <c r="I682" i="5"/>
  <c r="F682" i="5"/>
  <c r="D682" i="5"/>
  <c r="B682" i="5"/>
  <c r="C682" i="5" s="1"/>
  <c r="M681" i="5"/>
  <c r="I681" i="5"/>
  <c r="F681" i="5"/>
  <c r="D681" i="5"/>
  <c r="B681" i="5"/>
  <c r="C681" i="5" s="1"/>
  <c r="M680" i="5"/>
  <c r="I680" i="5"/>
  <c r="F680" i="5"/>
  <c r="D680" i="5"/>
  <c r="B680" i="5"/>
  <c r="C680" i="5" s="1"/>
  <c r="M679" i="5"/>
  <c r="I679" i="5"/>
  <c r="F679" i="5"/>
  <c r="D679" i="5"/>
  <c r="B679" i="5"/>
  <c r="C679" i="5" s="1"/>
  <c r="M678" i="5"/>
  <c r="I678" i="5"/>
  <c r="F678" i="5"/>
  <c r="D678" i="5"/>
  <c r="B678" i="5"/>
  <c r="C678" i="5" s="1"/>
  <c r="M677" i="5"/>
  <c r="I677" i="5"/>
  <c r="F677" i="5"/>
  <c r="D677" i="5"/>
  <c r="C677" i="5"/>
  <c r="B677" i="5"/>
  <c r="M676" i="5"/>
  <c r="I676" i="5"/>
  <c r="F676" i="5"/>
  <c r="D676" i="5"/>
  <c r="B676" i="5"/>
  <c r="C676" i="5" s="1"/>
  <c r="M675" i="5"/>
  <c r="I675" i="5"/>
  <c r="F675" i="5"/>
  <c r="D675" i="5"/>
  <c r="B675" i="5"/>
  <c r="C675" i="5" s="1"/>
  <c r="M674" i="5"/>
  <c r="I674" i="5"/>
  <c r="F674" i="5"/>
  <c r="D674" i="5"/>
  <c r="C674" i="5"/>
  <c r="B674" i="5"/>
  <c r="M673" i="5"/>
  <c r="I673" i="5"/>
  <c r="F673" i="5"/>
  <c r="D673" i="5"/>
  <c r="C673" i="5"/>
  <c r="B673" i="5"/>
  <c r="M672" i="5"/>
  <c r="I672" i="5"/>
  <c r="F672" i="5"/>
  <c r="D672" i="5"/>
  <c r="B672" i="5"/>
  <c r="C672" i="5" s="1"/>
  <c r="M671" i="5"/>
  <c r="I671" i="5"/>
  <c r="F671" i="5"/>
  <c r="D671" i="5"/>
  <c r="B671" i="5"/>
  <c r="C671" i="5" s="1"/>
  <c r="M670" i="5"/>
  <c r="I670" i="5"/>
  <c r="F670" i="5"/>
  <c r="D670" i="5"/>
  <c r="C670" i="5"/>
  <c r="B670" i="5"/>
  <c r="M669" i="5"/>
  <c r="I669" i="5"/>
  <c r="F669" i="5"/>
  <c r="D669" i="5"/>
  <c r="B669" i="5"/>
  <c r="C669" i="5" s="1"/>
  <c r="M668" i="5"/>
  <c r="I668" i="5"/>
  <c r="F668" i="5"/>
  <c r="D668" i="5"/>
  <c r="B668" i="5"/>
  <c r="C668" i="5" s="1"/>
  <c r="M667" i="5"/>
  <c r="I667" i="5"/>
  <c r="F667" i="5"/>
  <c r="D667" i="5"/>
  <c r="B667" i="5"/>
  <c r="C667" i="5" s="1"/>
  <c r="M666" i="5"/>
  <c r="I666" i="5"/>
  <c r="F666" i="5"/>
  <c r="D666" i="5"/>
  <c r="B666" i="5"/>
  <c r="C666" i="5" s="1"/>
  <c r="M665" i="5"/>
  <c r="I665" i="5"/>
  <c r="F665" i="5"/>
  <c r="D665" i="5"/>
  <c r="C665" i="5"/>
  <c r="B665" i="5"/>
  <c r="M664" i="5"/>
  <c r="I664" i="5"/>
  <c r="F664" i="5"/>
  <c r="D664" i="5"/>
  <c r="B664" i="5"/>
  <c r="C664" i="5" s="1"/>
  <c r="M663" i="5"/>
  <c r="I663" i="5"/>
  <c r="F663" i="5"/>
  <c r="D663" i="5"/>
  <c r="B663" i="5"/>
  <c r="C663" i="5" s="1"/>
  <c r="M662" i="5"/>
  <c r="I662" i="5"/>
  <c r="F662" i="5"/>
  <c r="D662" i="5"/>
  <c r="C662" i="5"/>
  <c r="B662" i="5"/>
  <c r="M661" i="5"/>
  <c r="I661" i="5"/>
  <c r="F661" i="5"/>
  <c r="D661" i="5"/>
  <c r="C661" i="5"/>
  <c r="B661" i="5"/>
  <c r="M660" i="5"/>
  <c r="I660" i="5"/>
  <c r="F660" i="5"/>
  <c r="D660" i="5"/>
  <c r="B660" i="5"/>
  <c r="C660" i="5" s="1"/>
  <c r="M659" i="5"/>
  <c r="I659" i="5"/>
  <c r="F659" i="5"/>
  <c r="D659" i="5"/>
  <c r="B659" i="5"/>
  <c r="C659" i="5" s="1"/>
  <c r="M658" i="5"/>
  <c r="I658" i="5"/>
  <c r="F658" i="5"/>
  <c r="D658" i="5"/>
  <c r="C658" i="5"/>
  <c r="B658" i="5"/>
  <c r="M657" i="5"/>
  <c r="I657" i="5"/>
  <c r="F657" i="5"/>
  <c r="D657" i="5"/>
  <c r="C657" i="5"/>
  <c r="B657" i="5"/>
  <c r="M656" i="5"/>
  <c r="I656" i="5"/>
  <c r="F656" i="5"/>
  <c r="D656" i="5"/>
  <c r="B656" i="5"/>
  <c r="C656" i="5" s="1"/>
  <c r="M655" i="5"/>
  <c r="I655" i="5"/>
  <c r="F655" i="5"/>
  <c r="D655" i="5"/>
  <c r="B655" i="5"/>
  <c r="C655" i="5" s="1"/>
  <c r="M654" i="5"/>
  <c r="I654" i="5"/>
  <c r="F654" i="5"/>
  <c r="D654" i="5"/>
  <c r="C654" i="5"/>
  <c r="B654" i="5"/>
  <c r="M653" i="5"/>
  <c r="I653" i="5"/>
  <c r="F653" i="5"/>
  <c r="D653" i="5"/>
  <c r="B653" i="5"/>
  <c r="C653" i="5" s="1"/>
  <c r="M652" i="5"/>
  <c r="I652" i="5"/>
  <c r="F652" i="5"/>
  <c r="D652" i="5"/>
  <c r="B652" i="5"/>
  <c r="C652" i="5" s="1"/>
  <c r="M651" i="5"/>
  <c r="I651" i="5"/>
  <c r="F651" i="5"/>
  <c r="D651" i="5"/>
  <c r="B651" i="5"/>
  <c r="C651" i="5" s="1"/>
  <c r="M650" i="5"/>
  <c r="I650" i="5"/>
  <c r="F650" i="5"/>
  <c r="D650" i="5"/>
  <c r="B650" i="5"/>
  <c r="C650" i="5" s="1"/>
  <c r="M649" i="5"/>
  <c r="I649" i="5"/>
  <c r="F649" i="5"/>
  <c r="D649" i="5"/>
  <c r="C649" i="5"/>
  <c r="B649" i="5"/>
  <c r="M648" i="5"/>
  <c r="I648" i="5"/>
  <c r="F648" i="5"/>
  <c r="D648" i="5"/>
  <c r="B648" i="5"/>
  <c r="C648" i="5" s="1"/>
  <c r="M647" i="5"/>
  <c r="I647" i="5"/>
  <c r="F647" i="5"/>
  <c r="D647" i="5"/>
  <c r="B647" i="5"/>
  <c r="C647" i="5" s="1"/>
  <c r="M646" i="5"/>
  <c r="I646" i="5"/>
  <c r="F646" i="5"/>
  <c r="D646" i="5"/>
  <c r="C646" i="5"/>
  <c r="B646" i="5"/>
  <c r="M645" i="5"/>
  <c r="I645" i="5"/>
  <c r="F645" i="5"/>
  <c r="D645" i="5"/>
  <c r="C645" i="5"/>
  <c r="B645" i="5"/>
  <c r="M644" i="5"/>
  <c r="I644" i="5"/>
  <c r="F644" i="5"/>
  <c r="D644" i="5"/>
  <c r="B644" i="5"/>
  <c r="C644" i="5" s="1"/>
  <c r="M643" i="5"/>
  <c r="I643" i="5"/>
  <c r="F643" i="5"/>
  <c r="D643" i="5"/>
  <c r="B643" i="5"/>
  <c r="C643" i="5" s="1"/>
  <c r="M642" i="5"/>
  <c r="I642" i="5"/>
  <c r="F642" i="5"/>
  <c r="D642" i="5"/>
  <c r="C642" i="5"/>
  <c r="B642" i="5"/>
  <c r="M641" i="5"/>
  <c r="I641" i="5"/>
  <c r="F641" i="5"/>
  <c r="D641" i="5"/>
  <c r="B641" i="5"/>
  <c r="C641" i="5" s="1"/>
  <c r="M640" i="5"/>
  <c r="I640" i="5"/>
  <c r="F640" i="5"/>
  <c r="D640" i="5"/>
  <c r="B640" i="5"/>
  <c r="C640" i="5" s="1"/>
  <c r="M639" i="5"/>
  <c r="I639" i="5"/>
  <c r="F639" i="5"/>
  <c r="D639" i="5"/>
  <c r="B639" i="5"/>
  <c r="C639" i="5" s="1"/>
  <c r="M638" i="5"/>
  <c r="I638" i="5"/>
  <c r="F638" i="5"/>
  <c r="D638" i="5"/>
  <c r="B638" i="5"/>
  <c r="C638" i="5" s="1"/>
  <c r="M637" i="5"/>
  <c r="I637" i="5"/>
  <c r="F637" i="5"/>
  <c r="D637" i="5"/>
  <c r="B637" i="5"/>
  <c r="C637" i="5" s="1"/>
  <c r="M636" i="5"/>
  <c r="I636" i="5"/>
  <c r="F636" i="5"/>
  <c r="D636" i="5"/>
  <c r="B636" i="5"/>
  <c r="C636" i="5" s="1"/>
  <c r="M635" i="5"/>
  <c r="I635" i="5"/>
  <c r="F635" i="5"/>
  <c r="D635" i="5"/>
  <c r="B635" i="5"/>
  <c r="C635" i="5" s="1"/>
  <c r="M634" i="5"/>
  <c r="I634" i="5"/>
  <c r="F634" i="5"/>
  <c r="D634" i="5"/>
  <c r="B634" i="5"/>
  <c r="C634" i="5" s="1"/>
  <c r="M633" i="5"/>
  <c r="I633" i="5"/>
  <c r="F633" i="5"/>
  <c r="D633" i="5"/>
  <c r="C633" i="5"/>
  <c r="B633" i="5"/>
  <c r="M632" i="5"/>
  <c r="I632" i="5"/>
  <c r="F632" i="5"/>
  <c r="D632" i="5"/>
  <c r="B632" i="5"/>
  <c r="C632" i="5" s="1"/>
  <c r="M631" i="5"/>
  <c r="I631" i="5"/>
  <c r="F631" i="5"/>
  <c r="D631" i="5"/>
  <c r="B631" i="5"/>
  <c r="C631" i="5" s="1"/>
  <c r="M630" i="5"/>
  <c r="I630" i="5"/>
  <c r="F630" i="5"/>
  <c r="D630" i="5"/>
  <c r="C630" i="5"/>
  <c r="B630" i="5"/>
  <c r="M629" i="5"/>
  <c r="I629" i="5"/>
  <c r="F629" i="5"/>
  <c r="D629" i="5"/>
  <c r="B629" i="5"/>
  <c r="C629" i="5" s="1"/>
  <c r="M628" i="5"/>
  <c r="I628" i="5"/>
  <c r="F628" i="5"/>
  <c r="D628" i="5"/>
  <c r="B628" i="5"/>
  <c r="C628" i="5" s="1"/>
  <c r="M627" i="5"/>
  <c r="I627" i="5"/>
  <c r="F627" i="5"/>
  <c r="D627" i="5"/>
  <c r="B627" i="5"/>
  <c r="C627" i="5" s="1"/>
  <c r="M626" i="5"/>
  <c r="I626" i="5"/>
  <c r="F626" i="5"/>
  <c r="D626" i="5"/>
  <c r="B626" i="5"/>
  <c r="C626" i="5" s="1"/>
  <c r="M625" i="5"/>
  <c r="I625" i="5"/>
  <c r="F625" i="5"/>
  <c r="D625" i="5"/>
  <c r="C625" i="5"/>
  <c r="B625" i="5"/>
  <c r="M624" i="5"/>
  <c r="I624" i="5"/>
  <c r="F624" i="5"/>
  <c r="D624" i="5"/>
  <c r="B624" i="5"/>
  <c r="C624" i="5" s="1"/>
  <c r="M623" i="5"/>
  <c r="I623" i="5"/>
  <c r="F623" i="5"/>
  <c r="D623" i="5"/>
  <c r="B623" i="5"/>
  <c r="C623" i="5" s="1"/>
  <c r="M622" i="5"/>
  <c r="I622" i="5"/>
  <c r="F622" i="5"/>
  <c r="D622" i="5"/>
  <c r="C622" i="5"/>
  <c r="B622" i="5"/>
  <c r="M621" i="5"/>
  <c r="I621" i="5"/>
  <c r="F621" i="5"/>
  <c r="D621" i="5"/>
  <c r="B621" i="5"/>
  <c r="C621" i="5" s="1"/>
  <c r="M620" i="5"/>
  <c r="I620" i="5"/>
  <c r="F620" i="5"/>
  <c r="D620" i="5"/>
  <c r="B620" i="5"/>
  <c r="C620" i="5" s="1"/>
  <c r="M619" i="5"/>
  <c r="I619" i="5"/>
  <c r="F619" i="5"/>
  <c r="D619" i="5"/>
  <c r="B619" i="5"/>
  <c r="C619" i="5" s="1"/>
  <c r="M618" i="5"/>
  <c r="I618" i="5"/>
  <c r="F618" i="5"/>
  <c r="D618" i="5"/>
  <c r="B618" i="5"/>
  <c r="C618" i="5" s="1"/>
  <c r="M617" i="5"/>
  <c r="I617" i="5"/>
  <c r="F617" i="5"/>
  <c r="D617" i="5"/>
  <c r="B617" i="5"/>
  <c r="C617" i="5" s="1"/>
  <c r="M616" i="5"/>
  <c r="I616" i="5"/>
  <c r="F616" i="5"/>
  <c r="D616" i="5"/>
  <c r="B616" i="5"/>
  <c r="C616" i="5" s="1"/>
  <c r="M615" i="5"/>
  <c r="I615" i="5"/>
  <c r="F615" i="5"/>
  <c r="D615" i="5"/>
  <c r="B615" i="5"/>
  <c r="C615" i="5" s="1"/>
  <c r="M614" i="5"/>
  <c r="I614" i="5"/>
  <c r="F614" i="5"/>
  <c r="D614" i="5"/>
  <c r="B614" i="5"/>
  <c r="C614" i="5" s="1"/>
  <c r="M613" i="5"/>
  <c r="I613" i="5"/>
  <c r="F613" i="5"/>
  <c r="D613" i="5"/>
  <c r="C613" i="5"/>
  <c r="B613" i="5"/>
  <c r="M612" i="5"/>
  <c r="I612" i="5"/>
  <c r="F612" i="5"/>
  <c r="D612" i="5"/>
  <c r="B612" i="5"/>
  <c r="C612" i="5" s="1"/>
  <c r="M611" i="5"/>
  <c r="I611" i="5"/>
  <c r="F611" i="5"/>
  <c r="D611" i="5"/>
  <c r="B611" i="5"/>
  <c r="C611" i="5" s="1"/>
  <c r="M610" i="5"/>
  <c r="I610" i="5"/>
  <c r="F610" i="5"/>
  <c r="D610" i="5"/>
  <c r="C610" i="5"/>
  <c r="B610" i="5"/>
  <c r="M609" i="5"/>
  <c r="I609" i="5"/>
  <c r="F609" i="5"/>
  <c r="D609" i="5"/>
  <c r="C609" i="5"/>
  <c r="B609" i="5"/>
  <c r="M608" i="5"/>
  <c r="I608" i="5"/>
  <c r="F608" i="5"/>
  <c r="D608" i="5"/>
  <c r="B608" i="5"/>
  <c r="C608" i="5" s="1"/>
  <c r="M607" i="5"/>
  <c r="I607" i="5"/>
  <c r="F607" i="5"/>
  <c r="D607" i="5"/>
  <c r="B607" i="5"/>
  <c r="C607" i="5" s="1"/>
  <c r="M606" i="5"/>
  <c r="I606" i="5"/>
  <c r="F606" i="5"/>
  <c r="D606" i="5"/>
  <c r="C606" i="5"/>
  <c r="B606" i="5"/>
  <c r="M605" i="5"/>
  <c r="I605" i="5"/>
  <c r="F605" i="5"/>
  <c r="D605" i="5"/>
  <c r="B605" i="5"/>
  <c r="C605" i="5" s="1"/>
  <c r="M604" i="5"/>
  <c r="I604" i="5"/>
  <c r="F604" i="5"/>
  <c r="D604" i="5"/>
  <c r="B604" i="5"/>
  <c r="C604" i="5" s="1"/>
  <c r="M603" i="5"/>
  <c r="I603" i="5"/>
  <c r="F603" i="5"/>
  <c r="D603" i="5"/>
  <c r="B603" i="5"/>
  <c r="C603" i="5" s="1"/>
  <c r="M602" i="5"/>
  <c r="I602" i="5"/>
  <c r="F602" i="5"/>
  <c r="D602" i="5"/>
  <c r="B602" i="5"/>
  <c r="C602" i="5" s="1"/>
  <c r="M601" i="5"/>
  <c r="I601" i="5"/>
  <c r="F601" i="5"/>
  <c r="D601" i="5"/>
  <c r="C601" i="5"/>
  <c r="B601" i="5"/>
  <c r="M600" i="5"/>
  <c r="I600" i="5"/>
  <c r="F600" i="5"/>
  <c r="D600" i="5"/>
  <c r="B600" i="5"/>
  <c r="C600" i="5" s="1"/>
  <c r="M599" i="5"/>
  <c r="I599" i="5"/>
  <c r="F599" i="5"/>
  <c r="D599" i="5"/>
  <c r="B599" i="5"/>
  <c r="C599" i="5" s="1"/>
  <c r="M598" i="5"/>
  <c r="I598" i="5"/>
  <c r="F598" i="5"/>
  <c r="D598" i="5"/>
  <c r="C598" i="5"/>
  <c r="B598" i="5"/>
  <c r="M597" i="5"/>
  <c r="I597" i="5"/>
  <c r="F597" i="5"/>
  <c r="D597" i="5"/>
  <c r="C597" i="5"/>
  <c r="B597" i="5"/>
  <c r="M596" i="5"/>
  <c r="I596" i="5"/>
  <c r="F596" i="5"/>
  <c r="D596" i="5"/>
  <c r="B596" i="5"/>
  <c r="C596" i="5" s="1"/>
  <c r="M595" i="5"/>
  <c r="I595" i="5"/>
  <c r="F595" i="5"/>
  <c r="D595" i="5"/>
  <c r="B595" i="5"/>
  <c r="C595" i="5" s="1"/>
  <c r="M594" i="5"/>
  <c r="I594" i="5"/>
  <c r="F594" i="5"/>
  <c r="D594" i="5"/>
  <c r="C594" i="5"/>
  <c r="B594" i="5"/>
  <c r="M593" i="5"/>
  <c r="I593" i="5"/>
  <c r="F593" i="5"/>
  <c r="D593" i="5"/>
  <c r="C593" i="5"/>
  <c r="B593" i="5"/>
  <c r="M592" i="5"/>
  <c r="I592" i="5"/>
  <c r="F592" i="5"/>
  <c r="D592" i="5"/>
  <c r="B592" i="5"/>
  <c r="C592" i="5" s="1"/>
  <c r="M591" i="5"/>
  <c r="I591" i="5"/>
  <c r="F591" i="5"/>
  <c r="D591" i="5"/>
  <c r="B591" i="5"/>
  <c r="C591" i="5" s="1"/>
  <c r="M590" i="5"/>
  <c r="I590" i="5"/>
  <c r="F590" i="5"/>
  <c r="D590" i="5"/>
  <c r="C590" i="5"/>
  <c r="B590" i="5"/>
  <c r="M589" i="5"/>
  <c r="I589" i="5"/>
  <c r="F589" i="5"/>
  <c r="D589" i="5"/>
  <c r="B589" i="5"/>
  <c r="C589" i="5" s="1"/>
  <c r="M588" i="5"/>
  <c r="I588" i="5"/>
  <c r="F588" i="5"/>
  <c r="D588" i="5"/>
  <c r="B588" i="5"/>
  <c r="C588" i="5" s="1"/>
  <c r="M587" i="5"/>
  <c r="I587" i="5"/>
  <c r="F587" i="5"/>
  <c r="D587" i="5"/>
  <c r="B587" i="5"/>
  <c r="C587" i="5" s="1"/>
  <c r="M586" i="5"/>
  <c r="I586" i="5"/>
  <c r="F586" i="5"/>
  <c r="D586" i="5"/>
  <c r="B586" i="5"/>
  <c r="C586" i="5" s="1"/>
  <c r="M585" i="5"/>
  <c r="I585" i="5"/>
  <c r="F585" i="5"/>
  <c r="D585" i="5"/>
  <c r="C585" i="5"/>
  <c r="B585" i="5"/>
  <c r="M584" i="5"/>
  <c r="I584" i="5"/>
  <c r="F584" i="5"/>
  <c r="D584" i="5"/>
  <c r="B584" i="5"/>
  <c r="C584" i="5" s="1"/>
  <c r="M583" i="5"/>
  <c r="I583" i="5"/>
  <c r="F583" i="5"/>
  <c r="D583" i="5"/>
  <c r="B583" i="5"/>
  <c r="C583" i="5" s="1"/>
  <c r="M582" i="5"/>
  <c r="I582" i="5"/>
  <c r="F582" i="5"/>
  <c r="D582" i="5"/>
  <c r="C582" i="5"/>
  <c r="B582" i="5"/>
  <c r="M581" i="5"/>
  <c r="I581" i="5"/>
  <c r="F581" i="5"/>
  <c r="D581" i="5"/>
  <c r="C581" i="5"/>
  <c r="B581" i="5"/>
  <c r="M580" i="5"/>
  <c r="I580" i="5"/>
  <c r="F580" i="5"/>
  <c r="D580" i="5"/>
  <c r="B580" i="5"/>
  <c r="C580" i="5" s="1"/>
  <c r="M579" i="5"/>
  <c r="I579" i="5"/>
  <c r="F579" i="5"/>
  <c r="D579" i="5"/>
  <c r="B579" i="5"/>
  <c r="C579" i="5" s="1"/>
  <c r="M578" i="5"/>
  <c r="I578" i="5"/>
  <c r="F578" i="5"/>
  <c r="D578" i="5"/>
  <c r="C578" i="5"/>
  <c r="B578" i="5"/>
  <c r="M577" i="5"/>
  <c r="I577" i="5"/>
  <c r="F577" i="5"/>
  <c r="D577" i="5"/>
  <c r="B577" i="5"/>
  <c r="C577" i="5" s="1"/>
  <c r="M576" i="5"/>
  <c r="I576" i="5"/>
  <c r="F576" i="5"/>
  <c r="D576" i="5"/>
  <c r="B576" i="5"/>
  <c r="C576" i="5" s="1"/>
  <c r="M575" i="5"/>
  <c r="I575" i="5"/>
  <c r="F575" i="5"/>
  <c r="D575" i="5"/>
  <c r="B575" i="5"/>
  <c r="C575" i="5" s="1"/>
  <c r="M574" i="5"/>
  <c r="I574" i="5"/>
  <c r="F574" i="5"/>
  <c r="D574" i="5"/>
  <c r="B574" i="5"/>
  <c r="C574" i="5" s="1"/>
  <c r="M573" i="5"/>
  <c r="I573" i="5"/>
  <c r="F573" i="5"/>
  <c r="D573" i="5"/>
  <c r="B573" i="5"/>
  <c r="C573" i="5" s="1"/>
  <c r="M572" i="5"/>
  <c r="I572" i="5"/>
  <c r="F572" i="5"/>
  <c r="D572" i="5"/>
  <c r="B572" i="5"/>
  <c r="C572" i="5" s="1"/>
  <c r="M571" i="5"/>
  <c r="I571" i="5"/>
  <c r="F571" i="5"/>
  <c r="D571" i="5"/>
  <c r="B571" i="5"/>
  <c r="C571" i="5" s="1"/>
  <c r="M570" i="5"/>
  <c r="I570" i="5"/>
  <c r="F570" i="5"/>
  <c r="D570" i="5"/>
  <c r="B570" i="5"/>
  <c r="C570" i="5" s="1"/>
  <c r="M569" i="5"/>
  <c r="I569" i="5"/>
  <c r="F569" i="5"/>
  <c r="D569" i="5"/>
  <c r="C569" i="5"/>
  <c r="B569" i="5"/>
  <c r="M568" i="5"/>
  <c r="I568" i="5"/>
  <c r="F568" i="5"/>
  <c r="D568" i="5"/>
  <c r="B568" i="5"/>
  <c r="C568" i="5" s="1"/>
  <c r="M567" i="5"/>
  <c r="I567" i="5"/>
  <c r="F567" i="5"/>
  <c r="D567" i="5"/>
  <c r="B567" i="5"/>
  <c r="C567" i="5" s="1"/>
  <c r="M566" i="5"/>
  <c r="I566" i="5"/>
  <c r="F566" i="5"/>
  <c r="D566" i="5"/>
  <c r="C566" i="5"/>
  <c r="B566" i="5"/>
  <c r="M565" i="5"/>
  <c r="I565" i="5"/>
  <c r="F565" i="5"/>
  <c r="D565" i="5"/>
  <c r="B565" i="5"/>
  <c r="C565" i="5" s="1"/>
  <c r="M564" i="5"/>
  <c r="I564" i="5"/>
  <c r="F564" i="5"/>
  <c r="D564" i="5"/>
  <c r="B564" i="5"/>
  <c r="C564" i="5" s="1"/>
  <c r="M563" i="5"/>
  <c r="I563" i="5"/>
  <c r="F563" i="5"/>
  <c r="D563" i="5"/>
  <c r="B563" i="5"/>
  <c r="C563" i="5" s="1"/>
  <c r="M562" i="5"/>
  <c r="I562" i="5"/>
  <c r="F562" i="5"/>
  <c r="D562" i="5"/>
  <c r="B562" i="5"/>
  <c r="C562" i="5" s="1"/>
  <c r="M561" i="5"/>
  <c r="I561" i="5"/>
  <c r="F561" i="5"/>
  <c r="D561" i="5"/>
  <c r="C561" i="5"/>
  <c r="B561" i="5"/>
  <c r="M560" i="5"/>
  <c r="I560" i="5"/>
  <c r="F560" i="5"/>
  <c r="D560" i="5"/>
  <c r="B560" i="5"/>
  <c r="C560" i="5" s="1"/>
  <c r="M559" i="5"/>
  <c r="I559" i="5"/>
  <c r="F559" i="5"/>
  <c r="D559" i="5"/>
  <c r="B559" i="5"/>
  <c r="C559" i="5" s="1"/>
  <c r="M558" i="5"/>
  <c r="I558" i="5"/>
  <c r="F558" i="5"/>
  <c r="D558" i="5"/>
  <c r="C558" i="5"/>
  <c r="B558" i="5"/>
  <c r="M557" i="5"/>
  <c r="I557" i="5"/>
  <c r="F557" i="5"/>
  <c r="D557" i="5"/>
  <c r="B557" i="5"/>
  <c r="C557" i="5" s="1"/>
  <c r="M556" i="5"/>
  <c r="I556" i="5"/>
  <c r="F556" i="5"/>
  <c r="D556" i="5"/>
  <c r="B556" i="5"/>
  <c r="C556" i="5" s="1"/>
  <c r="M555" i="5"/>
  <c r="I555" i="5"/>
  <c r="F555" i="5"/>
  <c r="D555" i="5"/>
  <c r="B555" i="5"/>
  <c r="C555" i="5" s="1"/>
  <c r="M554" i="5"/>
  <c r="I554" i="5"/>
  <c r="F554" i="5"/>
  <c r="D554" i="5"/>
  <c r="B554" i="5"/>
  <c r="C554" i="5" s="1"/>
  <c r="M553" i="5"/>
  <c r="I553" i="5"/>
  <c r="F553" i="5"/>
  <c r="D553" i="5"/>
  <c r="B553" i="5"/>
  <c r="C553" i="5" s="1"/>
  <c r="M552" i="5"/>
  <c r="I552" i="5"/>
  <c r="F552" i="5"/>
  <c r="D552" i="5"/>
  <c r="B552" i="5"/>
  <c r="C552" i="5" s="1"/>
  <c r="M551" i="5"/>
  <c r="I551" i="5"/>
  <c r="F551" i="5"/>
  <c r="D551" i="5"/>
  <c r="B551" i="5"/>
  <c r="C551" i="5" s="1"/>
  <c r="M550" i="5"/>
  <c r="I550" i="5"/>
  <c r="F550" i="5"/>
  <c r="D550" i="5"/>
  <c r="B550" i="5"/>
  <c r="C550" i="5" s="1"/>
  <c r="M549" i="5"/>
  <c r="I549" i="5"/>
  <c r="F549" i="5"/>
  <c r="D549" i="5"/>
  <c r="C549" i="5"/>
  <c r="B549" i="5"/>
  <c r="M548" i="5"/>
  <c r="I548" i="5"/>
  <c r="F548" i="5"/>
  <c r="D548" i="5"/>
  <c r="B548" i="5"/>
  <c r="C548" i="5" s="1"/>
  <c r="M547" i="5"/>
  <c r="I547" i="5"/>
  <c r="F547" i="5"/>
  <c r="D547" i="5"/>
  <c r="B547" i="5"/>
  <c r="C547" i="5" s="1"/>
  <c r="M546" i="5"/>
  <c r="I546" i="5"/>
  <c r="F546" i="5"/>
  <c r="D546" i="5"/>
  <c r="C546" i="5"/>
  <c r="B546" i="5"/>
  <c r="M545" i="5"/>
  <c r="I545" i="5"/>
  <c r="F545" i="5"/>
  <c r="D545" i="5"/>
  <c r="C545" i="5"/>
  <c r="B545" i="5"/>
  <c r="M544" i="5"/>
  <c r="I544" i="5"/>
  <c r="F544" i="5"/>
  <c r="D544" i="5"/>
  <c r="B544" i="5"/>
  <c r="C544" i="5" s="1"/>
  <c r="M543" i="5"/>
  <c r="I543" i="5"/>
  <c r="F543" i="5"/>
  <c r="D543" i="5"/>
  <c r="B543" i="5"/>
  <c r="C543" i="5" s="1"/>
  <c r="M542" i="5"/>
  <c r="I542" i="5"/>
  <c r="F542" i="5"/>
  <c r="D542" i="5"/>
  <c r="C542" i="5"/>
  <c r="B542" i="5"/>
  <c r="M541" i="5"/>
  <c r="I541" i="5"/>
  <c r="F541" i="5"/>
  <c r="D541" i="5"/>
  <c r="B541" i="5"/>
  <c r="C541" i="5" s="1"/>
  <c r="M540" i="5"/>
  <c r="I540" i="5"/>
  <c r="F540" i="5"/>
  <c r="D540" i="5"/>
  <c r="B540" i="5"/>
  <c r="C540" i="5" s="1"/>
  <c r="M539" i="5"/>
  <c r="I539" i="5"/>
  <c r="F539" i="5"/>
  <c r="D539" i="5"/>
  <c r="B539" i="5"/>
  <c r="C539" i="5" s="1"/>
  <c r="M538" i="5"/>
  <c r="I538" i="5"/>
  <c r="F538" i="5"/>
  <c r="D538" i="5"/>
  <c r="B538" i="5"/>
  <c r="C538" i="5" s="1"/>
  <c r="M537" i="5"/>
  <c r="I537" i="5"/>
  <c r="F537" i="5"/>
  <c r="D537" i="5"/>
  <c r="C537" i="5"/>
  <c r="B537" i="5"/>
  <c r="M536" i="5"/>
  <c r="I536" i="5"/>
  <c r="F536" i="5"/>
  <c r="D536" i="5"/>
  <c r="B536" i="5"/>
  <c r="C536" i="5" s="1"/>
  <c r="M535" i="5"/>
  <c r="I535" i="5"/>
  <c r="F535" i="5"/>
  <c r="D535" i="5"/>
  <c r="B535" i="5"/>
  <c r="C535" i="5" s="1"/>
  <c r="M534" i="5"/>
  <c r="I534" i="5"/>
  <c r="F534" i="5"/>
  <c r="D534" i="5"/>
  <c r="C534" i="5"/>
  <c r="B534" i="5"/>
  <c r="M533" i="5"/>
  <c r="I533" i="5"/>
  <c r="F533" i="5"/>
  <c r="D533" i="5"/>
  <c r="C533" i="5"/>
  <c r="B533" i="5"/>
  <c r="M532" i="5"/>
  <c r="I532" i="5"/>
  <c r="F532" i="5"/>
  <c r="D532" i="5"/>
  <c r="B532" i="5"/>
  <c r="C532" i="5" s="1"/>
  <c r="M531" i="5"/>
  <c r="I531" i="5"/>
  <c r="F531" i="5"/>
  <c r="D531" i="5"/>
  <c r="B531" i="5"/>
  <c r="C531" i="5" s="1"/>
  <c r="M530" i="5"/>
  <c r="I530" i="5"/>
  <c r="F530" i="5"/>
  <c r="D530" i="5"/>
  <c r="C530" i="5"/>
  <c r="B530" i="5"/>
  <c r="M529" i="5"/>
  <c r="I529" i="5"/>
  <c r="F529" i="5"/>
  <c r="D529" i="5"/>
  <c r="C529" i="5"/>
  <c r="B529" i="5"/>
  <c r="M528" i="5"/>
  <c r="I528" i="5"/>
  <c r="F528" i="5"/>
  <c r="D528" i="5"/>
  <c r="B528" i="5"/>
  <c r="C528" i="5" s="1"/>
  <c r="M527" i="5"/>
  <c r="I527" i="5"/>
  <c r="F527" i="5"/>
  <c r="D527" i="5"/>
  <c r="B527" i="5"/>
  <c r="C527" i="5" s="1"/>
  <c r="M526" i="5"/>
  <c r="I526" i="5"/>
  <c r="F526" i="5"/>
  <c r="D526" i="5"/>
  <c r="C526" i="5"/>
  <c r="B526" i="5"/>
  <c r="M525" i="5"/>
  <c r="I525" i="5"/>
  <c r="F525" i="5"/>
  <c r="D525" i="5"/>
  <c r="B525" i="5"/>
  <c r="C525" i="5" s="1"/>
  <c r="M524" i="5"/>
  <c r="I524" i="5"/>
  <c r="F524" i="5"/>
  <c r="D524" i="5"/>
  <c r="B524" i="5"/>
  <c r="C524" i="5" s="1"/>
  <c r="M523" i="5"/>
  <c r="I523" i="5"/>
  <c r="F523" i="5"/>
  <c r="D523" i="5"/>
  <c r="B523" i="5"/>
  <c r="C523" i="5" s="1"/>
  <c r="M522" i="5"/>
  <c r="I522" i="5"/>
  <c r="F522" i="5"/>
  <c r="D522" i="5"/>
  <c r="B522" i="5"/>
  <c r="C522" i="5" s="1"/>
  <c r="M521" i="5"/>
  <c r="I521" i="5"/>
  <c r="F521" i="5"/>
  <c r="D521" i="5"/>
  <c r="C521" i="5"/>
  <c r="B521" i="5"/>
  <c r="M520" i="5"/>
  <c r="I520" i="5"/>
  <c r="F520" i="5"/>
  <c r="D520" i="5"/>
  <c r="B520" i="5"/>
  <c r="C520" i="5" s="1"/>
  <c r="M519" i="5"/>
  <c r="I519" i="5"/>
  <c r="F519" i="5"/>
  <c r="D519" i="5"/>
  <c r="B519" i="5"/>
  <c r="C519" i="5" s="1"/>
  <c r="M518" i="5"/>
  <c r="I518" i="5"/>
  <c r="F518" i="5"/>
  <c r="D518" i="5"/>
  <c r="C518" i="5"/>
  <c r="B518" i="5"/>
  <c r="M517" i="5"/>
  <c r="I517" i="5"/>
  <c r="F517" i="5"/>
  <c r="D517" i="5"/>
  <c r="C517" i="5"/>
  <c r="B517" i="5"/>
  <c r="M516" i="5"/>
  <c r="I516" i="5"/>
  <c r="F516" i="5"/>
  <c r="D516" i="5"/>
  <c r="B516" i="5"/>
  <c r="C516" i="5" s="1"/>
  <c r="M515" i="5"/>
  <c r="I515" i="5"/>
  <c r="F515" i="5"/>
  <c r="D515" i="5"/>
  <c r="B515" i="5"/>
  <c r="C515" i="5" s="1"/>
  <c r="M514" i="5"/>
  <c r="I514" i="5"/>
  <c r="F514" i="5"/>
  <c r="D514" i="5"/>
  <c r="C514" i="5"/>
  <c r="B514" i="5"/>
  <c r="M513" i="5"/>
  <c r="I513" i="5"/>
  <c r="F513" i="5"/>
  <c r="D513" i="5"/>
  <c r="B513" i="5"/>
  <c r="C513" i="5" s="1"/>
  <c r="M512" i="5"/>
  <c r="I512" i="5"/>
  <c r="F512" i="5"/>
  <c r="D512" i="5"/>
  <c r="B512" i="5"/>
  <c r="C512" i="5" s="1"/>
  <c r="M511" i="5"/>
  <c r="I511" i="5"/>
  <c r="F511" i="5"/>
  <c r="D511" i="5"/>
  <c r="B511" i="5"/>
  <c r="C511" i="5" s="1"/>
  <c r="M510" i="5"/>
  <c r="I510" i="5"/>
  <c r="F510" i="5"/>
  <c r="D510" i="5"/>
  <c r="B510" i="5"/>
  <c r="C510" i="5" s="1"/>
  <c r="M509" i="5"/>
  <c r="I509" i="5"/>
  <c r="F509" i="5"/>
  <c r="D509" i="5"/>
  <c r="B509" i="5"/>
  <c r="C509" i="5" s="1"/>
  <c r="M508" i="5"/>
  <c r="I508" i="5"/>
  <c r="F508" i="5"/>
  <c r="D508" i="5"/>
  <c r="B508" i="5"/>
  <c r="C508" i="5" s="1"/>
  <c r="M507" i="5"/>
  <c r="I507" i="5"/>
  <c r="F507" i="5"/>
  <c r="D507" i="5"/>
  <c r="B507" i="5"/>
  <c r="C507" i="5" s="1"/>
  <c r="M506" i="5"/>
  <c r="I506" i="5"/>
  <c r="F506" i="5"/>
  <c r="D506" i="5"/>
  <c r="B506" i="5"/>
  <c r="C506" i="5" s="1"/>
  <c r="M505" i="5"/>
  <c r="I505" i="5"/>
  <c r="F505" i="5"/>
  <c r="D505" i="5"/>
  <c r="C505" i="5"/>
  <c r="B505" i="5"/>
  <c r="M504" i="5"/>
  <c r="I504" i="5"/>
  <c r="F504" i="5"/>
  <c r="D504" i="5"/>
  <c r="B504" i="5"/>
  <c r="C504" i="5" s="1"/>
  <c r="M503" i="5"/>
  <c r="I503" i="5"/>
  <c r="F503" i="5"/>
  <c r="D503" i="5"/>
  <c r="B503" i="5"/>
  <c r="C503" i="5" s="1"/>
  <c r="M502" i="5"/>
  <c r="I502" i="5"/>
  <c r="F502" i="5"/>
  <c r="D502" i="5"/>
  <c r="C502" i="5"/>
  <c r="B502" i="5"/>
  <c r="M501" i="5"/>
  <c r="I501" i="5"/>
  <c r="F501" i="5"/>
  <c r="D501" i="5"/>
  <c r="B501" i="5"/>
  <c r="C501" i="5" s="1"/>
  <c r="M500" i="5"/>
  <c r="I500" i="5"/>
  <c r="F500" i="5"/>
  <c r="D500" i="5"/>
  <c r="B500" i="5"/>
  <c r="C500" i="5" s="1"/>
  <c r="M499" i="5"/>
  <c r="I499" i="5"/>
  <c r="F499" i="5"/>
  <c r="D499" i="5"/>
  <c r="B499" i="5"/>
  <c r="C499" i="5" s="1"/>
  <c r="M498" i="5"/>
  <c r="I498" i="5"/>
  <c r="F498" i="5"/>
  <c r="D498" i="5"/>
  <c r="B498" i="5"/>
  <c r="C498" i="5" s="1"/>
  <c r="M497" i="5"/>
  <c r="I497" i="5"/>
  <c r="F497" i="5"/>
  <c r="D497" i="5"/>
  <c r="C497" i="5"/>
  <c r="B497" i="5"/>
  <c r="M496" i="5"/>
  <c r="I496" i="5"/>
  <c r="F496" i="5"/>
  <c r="D496" i="5"/>
  <c r="B496" i="5"/>
  <c r="C496" i="5" s="1"/>
  <c r="M495" i="5"/>
  <c r="I495" i="5"/>
  <c r="F495" i="5"/>
  <c r="D495" i="5"/>
  <c r="B495" i="5"/>
  <c r="C495" i="5" s="1"/>
  <c r="M494" i="5"/>
  <c r="I494" i="5"/>
  <c r="F494" i="5"/>
  <c r="D494" i="5"/>
  <c r="C494" i="5"/>
  <c r="B494" i="5"/>
  <c r="M493" i="5"/>
  <c r="I493" i="5"/>
  <c r="F493" i="5"/>
  <c r="D493" i="5"/>
  <c r="B493" i="5"/>
  <c r="C493" i="5" s="1"/>
  <c r="M492" i="5"/>
  <c r="I492" i="5"/>
  <c r="F492" i="5"/>
  <c r="D492" i="5"/>
  <c r="B492" i="5"/>
  <c r="C492" i="5" s="1"/>
  <c r="M491" i="5"/>
  <c r="I491" i="5"/>
  <c r="F491" i="5"/>
  <c r="D491" i="5"/>
  <c r="B491" i="5"/>
  <c r="C491" i="5" s="1"/>
  <c r="M490" i="5"/>
  <c r="I490" i="5"/>
  <c r="F490" i="5"/>
  <c r="D490" i="5"/>
  <c r="B490" i="5"/>
  <c r="C490" i="5" s="1"/>
  <c r="M489" i="5"/>
  <c r="I489" i="5"/>
  <c r="F489" i="5"/>
  <c r="D489" i="5"/>
  <c r="B489" i="5"/>
  <c r="C489" i="5" s="1"/>
  <c r="M488" i="5"/>
  <c r="I488" i="5"/>
  <c r="F488" i="5"/>
  <c r="D488" i="5"/>
  <c r="B488" i="5"/>
  <c r="C488" i="5" s="1"/>
  <c r="M487" i="5"/>
  <c r="I487" i="5"/>
  <c r="F487" i="5"/>
  <c r="D487" i="5"/>
  <c r="B487" i="5"/>
  <c r="C487" i="5" s="1"/>
  <c r="M486" i="5"/>
  <c r="I486" i="5"/>
  <c r="F486" i="5"/>
  <c r="D486" i="5"/>
  <c r="B486" i="5"/>
  <c r="C486" i="5" s="1"/>
  <c r="M485" i="5"/>
  <c r="I485" i="5"/>
  <c r="F485" i="5"/>
  <c r="D485" i="5"/>
  <c r="C485" i="5"/>
  <c r="B485" i="5"/>
  <c r="M484" i="5"/>
  <c r="I484" i="5"/>
  <c r="F484" i="5"/>
  <c r="D484" i="5"/>
  <c r="B484" i="5"/>
  <c r="C484" i="5" s="1"/>
  <c r="M483" i="5"/>
  <c r="I483" i="5"/>
  <c r="F483" i="5"/>
  <c r="D483" i="5"/>
  <c r="B483" i="5"/>
  <c r="C483" i="5" s="1"/>
  <c r="M482" i="5"/>
  <c r="I482" i="5"/>
  <c r="F482" i="5"/>
  <c r="D482" i="5"/>
  <c r="C482" i="5"/>
  <c r="B482" i="5"/>
  <c r="M481" i="5"/>
  <c r="I481" i="5"/>
  <c r="F481" i="5"/>
  <c r="D481" i="5"/>
  <c r="C481" i="5"/>
  <c r="B481" i="5"/>
  <c r="M480" i="5"/>
  <c r="I480" i="5"/>
  <c r="F480" i="5"/>
  <c r="D480" i="5"/>
  <c r="B480" i="5"/>
  <c r="C480" i="5" s="1"/>
  <c r="M479" i="5"/>
  <c r="I479" i="5"/>
  <c r="F479" i="5"/>
  <c r="D479" i="5"/>
  <c r="B479" i="5"/>
  <c r="C479" i="5" s="1"/>
  <c r="M478" i="5"/>
  <c r="I478" i="5"/>
  <c r="F478" i="5"/>
  <c r="D478" i="5"/>
  <c r="C478" i="5"/>
  <c r="B478" i="5"/>
  <c r="M477" i="5"/>
  <c r="I477" i="5"/>
  <c r="F477" i="5"/>
  <c r="D477" i="5"/>
  <c r="B477" i="5"/>
  <c r="C477" i="5" s="1"/>
  <c r="M476" i="5"/>
  <c r="I476" i="5"/>
  <c r="F476" i="5"/>
  <c r="D476" i="5"/>
  <c r="B476" i="5"/>
  <c r="C476" i="5" s="1"/>
  <c r="M475" i="5"/>
  <c r="I475" i="5"/>
  <c r="F475" i="5"/>
  <c r="D475" i="5"/>
  <c r="B475" i="5"/>
  <c r="C475" i="5" s="1"/>
  <c r="M474" i="5"/>
  <c r="I474" i="5"/>
  <c r="F474" i="5"/>
  <c r="D474" i="5"/>
  <c r="B474" i="5"/>
  <c r="C474" i="5" s="1"/>
  <c r="M473" i="5"/>
  <c r="I473" i="5"/>
  <c r="F473" i="5"/>
  <c r="D473" i="5"/>
  <c r="C473" i="5"/>
  <c r="B473" i="5"/>
  <c r="M472" i="5"/>
  <c r="I472" i="5"/>
  <c r="F472" i="5"/>
  <c r="D472" i="5"/>
  <c r="B472" i="5"/>
  <c r="C472" i="5" s="1"/>
  <c r="M471" i="5"/>
  <c r="I471" i="5"/>
  <c r="F471" i="5"/>
  <c r="D471" i="5"/>
  <c r="B471" i="5"/>
  <c r="C471" i="5" s="1"/>
  <c r="M470" i="5"/>
  <c r="I470" i="5"/>
  <c r="F470" i="5"/>
  <c r="D470" i="5"/>
  <c r="C470" i="5"/>
  <c r="B470" i="5"/>
  <c r="M469" i="5"/>
  <c r="I469" i="5"/>
  <c r="F469" i="5"/>
  <c r="D469" i="5"/>
  <c r="C469" i="5"/>
  <c r="B469" i="5"/>
  <c r="M468" i="5"/>
  <c r="I468" i="5"/>
  <c r="F468" i="5"/>
  <c r="D468" i="5"/>
  <c r="B468" i="5"/>
  <c r="C468" i="5" s="1"/>
  <c r="M467" i="5"/>
  <c r="I467" i="5"/>
  <c r="F467" i="5"/>
  <c r="D467" i="5"/>
  <c r="B467" i="5"/>
  <c r="C467" i="5" s="1"/>
  <c r="M466" i="5"/>
  <c r="I466" i="5"/>
  <c r="F466" i="5"/>
  <c r="D466" i="5"/>
  <c r="C466" i="5"/>
  <c r="B466" i="5"/>
  <c r="M465" i="5"/>
  <c r="I465" i="5"/>
  <c r="F465" i="5"/>
  <c r="D465" i="5"/>
  <c r="C465" i="5"/>
  <c r="B465" i="5"/>
  <c r="M464" i="5"/>
  <c r="I464" i="5"/>
  <c r="F464" i="5"/>
  <c r="D464" i="5"/>
  <c r="B464" i="5"/>
  <c r="C464" i="5" s="1"/>
  <c r="M463" i="5"/>
  <c r="I463" i="5"/>
  <c r="F463" i="5"/>
  <c r="D463" i="5"/>
  <c r="B463" i="5"/>
  <c r="C463" i="5" s="1"/>
  <c r="M462" i="5"/>
  <c r="I462" i="5"/>
  <c r="F462" i="5"/>
  <c r="D462" i="5"/>
  <c r="C462" i="5"/>
  <c r="B462" i="5"/>
  <c r="M461" i="5"/>
  <c r="I461" i="5"/>
  <c r="F461" i="5"/>
  <c r="D461" i="5"/>
  <c r="B461" i="5"/>
  <c r="C461" i="5" s="1"/>
  <c r="M460" i="5"/>
  <c r="I460" i="5"/>
  <c r="F460" i="5"/>
  <c r="D460" i="5"/>
  <c r="B460" i="5"/>
  <c r="C460" i="5" s="1"/>
  <c r="M459" i="5"/>
  <c r="I459" i="5"/>
  <c r="F459" i="5"/>
  <c r="D459" i="5"/>
  <c r="B459" i="5"/>
  <c r="C459" i="5" s="1"/>
  <c r="M458" i="5"/>
  <c r="I458" i="5"/>
  <c r="F458" i="5"/>
  <c r="D458" i="5"/>
  <c r="B458" i="5"/>
  <c r="C458" i="5" s="1"/>
  <c r="M457" i="5"/>
  <c r="I457" i="5"/>
  <c r="F457" i="5"/>
  <c r="D457" i="5"/>
  <c r="C457" i="5"/>
  <c r="B457" i="5"/>
  <c r="M456" i="5"/>
  <c r="I456" i="5"/>
  <c r="F456" i="5"/>
  <c r="D456" i="5"/>
  <c r="B456" i="5"/>
  <c r="C456" i="5" s="1"/>
  <c r="M455" i="5"/>
  <c r="I455" i="5"/>
  <c r="F455" i="5"/>
  <c r="D455" i="5"/>
  <c r="B455" i="5"/>
  <c r="C455" i="5" s="1"/>
  <c r="M454" i="5"/>
  <c r="I454" i="5"/>
  <c r="F454" i="5"/>
  <c r="D454" i="5"/>
  <c r="C454" i="5"/>
  <c r="B454" i="5"/>
  <c r="M453" i="5"/>
  <c r="I453" i="5"/>
  <c r="F453" i="5"/>
  <c r="D453" i="5"/>
  <c r="C453" i="5"/>
  <c r="B453" i="5"/>
  <c r="M452" i="5"/>
  <c r="I452" i="5"/>
  <c r="F452" i="5"/>
  <c r="D452" i="5"/>
  <c r="B452" i="5"/>
  <c r="C452" i="5" s="1"/>
  <c r="M451" i="5"/>
  <c r="I451" i="5"/>
  <c r="F451" i="5"/>
  <c r="D451" i="5"/>
  <c r="B451" i="5"/>
  <c r="C451" i="5" s="1"/>
  <c r="M450" i="5"/>
  <c r="I450" i="5"/>
  <c r="F450" i="5"/>
  <c r="D450" i="5"/>
  <c r="C450" i="5"/>
  <c r="B450" i="5"/>
  <c r="M449" i="5"/>
  <c r="I449" i="5"/>
  <c r="F449" i="5"/>
  <c r="D449" i="5"/>
  <c r="C449" i="5"/>
  <c r="B449" i="5"/>
  <c r="M448" i="5"/>
  <c r="I448" i="5"/>
  <c r="F448" i="5"/>
  <c r="D448" i="5"/>
  <c r="B448" i="5"/>
  <c r="C448" i="5" s="1"/>
  <c r="M447" i="5"/>
  <c r="I447" i="5"/>
  <c r="F447" i="5"/>
  <c r="D447" i="5"/>
  <c r="B447" i="5"/>
  <c r="C447" i="5" s="1"/>
  <c r="M446" i="5"/>
  <c r="I446" i="5"/>
  <c r="F446" i="5"/>
  <c r="D446" i="5"/>
  <c r="C446" i="5"/>
  <c r="B446" i="5"/>
  <c r="M445" i="5"/>
  <c r="I445" i="5"/>
  <c r="F445" i="5"/>
  <c r="D445" i="5"/>
  <c r="B445" i="5"/>
  <c r="C445" i="5" s="1"/>
  <c r="M444" i="5"/>
  <c r="I444" i="5"/>
  <c r="F444" i="5"/>
  <c r="D444" i="5"/>
  <c r="B444" i="5"/>
  <c r="C444" i="5" s="1"/>
  <c r="M443" i="5"/>
  <c r="I443" i="5"/>
  <c r="F443" i="5"/>
  <c r="D443" i="5"/>
  <c r="B443" i="5"/>
  <c r="C443" i="5" s="1"/>
  <c r="M442" i="5"/>
  <c r="I442" i="5"/>
  <c r="F442" i="5"/>
  <c r="D442" i="5"/>
  <c r="B442" i="5"/>
  <c r="C442" i="5" s="1"/>
  <c r="M441" i="5"/>
  <c r="I441" i="5"/>
  <c r="F441" i="5"/>
  <c r="D441" i="5"/>
  <c r="C441" i="5"/>
  <c r="B441" i="5"/>
  <c r="M440" i="5"/>
  <c r="I440" i="5"/>
  <c r="F440" i="5"/>
  <c r="D440" i="5"/>
  <c r="B440" i="5"/>
  <c r="C440" i="5" s="1"/>
  <c r="M439" i="5"/>
  <c r="I439" i="5"/>
  <c r="F439" i="5"/>
  <c r="D439" i="5"/>
  <c r="B439" i="5"/>
  <c r="C439" i="5" s="1"/>
  <c r="M438" i="5"/>
  <c r="I438" i="5"/>
  <c r="F438" i="5"/>
  <c r="D438" i="5"/>
  <c r="C438" i="5"/>
  <c r="B438" i="5"/>
  <c r="M437" i="5"/>
  <c r="I437" i="5"/>
  <c r="F437" i="5"/>
  <c r="D437" i="5"/>
  <c r="C437" i="5"/>
  <c r="B437" i="5"/>
  <c r="M436" i="5"/>
  <c r="I436" i="5"/>
  <c r="F436" i="5"/>
  <c r="D436" i="5"/>
  <c r="B436" i="5"/>
  <c r="C436" i="5" s="1"/>
  <c r="M435" i="5"/>
  <c r="I435" i="5"/>
  <c r="F435" i="5"/>
  <c r="D435" i="5"/>
  <c r="B435" i="5"/>
  <c r="C435" i="5" s="1"/>
  <c r="M434" i="5"/>
  <c r="I434" i="5"/>
  <c r="F434" i="5"/>
  <c r="D434" i="5"/>
  <c r="C434" i="5"/>
  <c r="B434" i="5"/>
  <c r="M433" i="5"/>
  <c r="I433" i="5"/>
  <c r="F433" i="5"/>
  <c r="D433" i="5"/>
  <c r="C433" i="5"/>
  <c r="B433" i="5"/>
  <c r="M432" i="5"/>
  <c r="I432" i="5"/>
  <c r="F432" i="5"/>
  <c r="D432" i="5"/>
  <c r="B432" i="5"/>
  <c r="C432" i="5" s="1"/>
  <c r="M431" i="5"/>
  <c r="I431" i="5"/>
  <c r="F431" i="5"/>
  <c r="D431" i="5"/>
  <c r="B431" i="5"/>
  <c r="C431" i="5" s="1"/>
  <c r="M430" i="5"/>
  <c r="I430" i="5"/>
  <c r="F430" i="5"/>
  <c r="D430" i="5"/>
  <c r="C430" i="5"/>
  <c r="B430" i="5"/>
  <c r="M429" i="5"/>
  <c r="I429" i="5"/>
  <c r="F429" i="5"/>
  <c r="D429" i="5"/>
  <c r="B429" i="5"/>
  <c r="C429" i="5" s="1"/>
  <c r="M428" i="5"/>
  <c r="I428" i="5"/>
  <c r="F428" i="5"/>
  <c r="D428" i="5"/>
  <c r="B428" i="5"/>
  <c r="C428" i="5" s="1"/>
  <c r="M427" i="5"/>
  <c r="I427" i="5"/>
  <c r="F427" i="5"/>
  <c r="D427" i="5"/>
  <c r="B427" i="5"/>
  <c r="C427" i="5" s="1"/>
  <c r="M426" i="5"/>
  <c r="I426" i="5"/>
  <c r="F426" i="5"/>
  <c r="D426" i="5"/>
  <c r="B426" i="5"/>
  <c r="C426" i="5" s="1"/>
  <c r="M425" i="5"/>
  <c r="I425" i="5"/>
  <c r="F425" i="5"/>
  <c r="D425" i="5"/>
  <c r="B425" i="5"/>
  <c r="C425" i="5" s="1"/>
  <c r="M424" i="5"/>
  <c r="I424" i="5"/>
  <c r="F424" i="5"/>
  <c r="D424" i="5"/>
  <c r="B424" i="5"/>
  <c r="C424" i="5" s="1"/>
  <c r="M423" i="5"/>
  <c r="I423" i="5"/>
  <c r="F423" i="5"/>
  <c r="D423" i="5"/>
  <c r="B423" i="5"/>
  <c r="C423" i="5" s="1"/>
  <c r="M422" i="5"/>
  <c r="I422" i="5"/>
  <c r="F422" i="5"/>
  <c r="D422" i="5"/>
  <c r="B422" i="5"/>
  <c r="C422" i="5" s="1"/>
  <c r="M421" i="5"/>
  <c r="I421" i="5"/>
  <c r="F421" i="5"/>
  <c r="D421" i="5"/>
  <c r="C421" i="5"/>
  <c r="B421" i="5"/>
  <c r="M420" i="5"/>
  <c r="I420" i="5"/>
  <c r="F420" i="5"/>
  <c r="D420" i="5"/>
  <c r="B420" i="5"/>
  <c r="C420" i="5" s="1"/>
  <c r="M419" i="5"/>
  <c r="I419" i="5"/>
  <c r="F419" i="5"/>
  <c r="D419" i="5"/>
  <c r="B419" i="5"/>
  <c r="C419" i="5" s="1"/>
  <c r="M418" i="5"/>
  <c r="I418" i="5"/>
  <c r="F418" i="5"/>
  <c r="D418" i="5"/>
  <c r="C418" i="5"/>
  <c r="B418" i="5"/>
  <c r="M417" i="5"/>
  <c r="I417" i="5"/>
  <c r="F417" i="5"/>
  <c r="D417" i="5"/>
  <c r="C417" i="5"/>
  <c r="B417" i="5"/>
  <c r="M416" i="5"/>
  <c r="I416" i="5"/>
  <c r="F416" i="5"/>
  <c r="D416" i="5"/>
  <c r="B416" i="5"/>
  <c r="C416" i="5" s="1"/>
  <c r="M415" i="5"/>
  <c r="I415" i="5"/>
  <c r="F415" i="5"/>
  <c r="D415" i="5"/>
  <c r="B415" i="5"/>
  <c r="C415" i="5" s="1"/>
  <c r="M414" i="5"/>
  <c r="I414" i="5"/>
  <c r="F414" i="5"/>
  <c r="D414" i="5"/>
  <c r="C414" i="5"/>
  <c r="B414" i="5"/>
  <c r="M413" i="5"/>
  <c r="I413" i="5"/>
  <c r="F413" i="5"/>
  <c r="D413" i="5"/>
  <c r="B413" i="5"/>
  <c r="C413" i="5" s="1"/>
  <c r="M412" i="5"/>
  <c r="I412" i="5"/>
  <c r="F412" i="5"/>
  <c r="D412" i="5"/>
  <c r="B412" i="5"/>
  <c r="C412" i="5" s="1"/>
  <c r="M411" i="5"/>
  <c r="I411" i="5"/>
  <c r="F411" i="5"/>
  <c r="D411" i="5"/>
  <c r="B411" i="5"/>
  <c r="C411" i="5" s="1"/>
  <c r="M410" i="5"/>
  <c r="I410" i="5"/>
  <c r="F410" i="5"/>
  <c r="D410" i="5"/>
  <c r="B410" i="5"/>
  <c r="C410" i="5" s="1"/>
  <c r="M409" i="5"/>
  <c r="I409" i="5"/>
  <c r="F409" i="5"/>
  <c r="D409" i="5"/>
  <c r="C409" i="5"/>
  <c r="B409" i="5"/>
  <c r="M408" i="5"/>
  <c r="I408" i="5"/>
  <c r="F408" i="5"/>
  <c r="D408" i="5"/>
  <c r="B408" i="5"/>
  <c r="C408" i="5" s="1"/>
  <c r="M407" i="5"/>
  <c r="I407" i="5"/>
  <c r="F407" i="5"/>
  <c r="D407" i="5"/>
  <c r="B407" i="5"/>
  <c r="C407" i="5" s="1"/>
  <c r="M406" i="5"/>
  <c r="I406" i="5"/>
  <c r="F406" i="5"/>
  <c r="D406" i="5"/>
  <c r="C406" i="5"/>
  <c r="B406" i="5"/>
  <c r="M405" i="5"/>
  <c r="I405" i="5"/>
  <c r="F405" i="5"/>
  <c r="D405" i="5"/>
  <c r="C405" i="5"/>
  <c r="B405" i="5"/>
  <c r="M404" i="5"/>
  <c r="I404" i="5"/>
  <c r="F404" i="5"/>
  <c r="D404" i="5"/>
  <c r="B404" i="5"/>
  <c r="C404" i="5" s="1"/>
  <c r="M403" i="5"/>
  <c r="I403" i="5"/>
  <c r="F403" i="5"/>
  <c r="D403" i="5"/>
  <c r="B403" i="5"/>
  <c r="C403" i="5" s="1"/>
  <c r="M402" i="5"/>
  <c r="I402" i="5"/>
  <c r="F402" i="5"/>
  <c r="D402" i="5"/>
  <c r="C402" i="5"/>
  <c r="B402" i="5"/>
  <c r="M401" i="5"/>
  <c r="I401" i="5"/>
  <c r="F401" i="5"/>
  <c r="D401" i="5"/>
  <c r="C401" i="5"/>
  <c r="B401" i="5"/>
  <c r="M400" i="5"/>
  <c r="I400" i="5"/>
  <c r="F400" i="5"/>
  <c r="D400" i="5"/>
  <c r="B400" i="5"/>
  <c r="C400" i="5" s="1"/>
  <c r="M399" i="5"/>
  <c r="I399" i="5"/>
  <c r="F399" i="5"/>
  <c r="D399" i="5"/>
  <c r="B399" i="5"/>
  <c r="C399" i="5" s="1"/>
  <c r="M398" i="5"/>
  <c r="I398" i="5"/>
  <c r="F398" i="5"/>
  <c r="D398" i="5"/>
  <c r="C398" i="5"/>
  <c r="B398" i="5"/>
  <c r="M397" i="5"/>
  <c r="I397" i="5"/>
  <c r="F397" i="5"/>
  <c r="D397" i="5"/>
  <c r="B397" i="5"/>
  <c r="C397" i="5" s="1"/>
  <c r="M396" i="5"/>
  <c r="I396" i="5"/>
  <c r="F396" i="5"/>
  <c r="D396" i="5"/>
  <c r="B396" i="5"/>
  <c r="C396" i="5" s="1"/>
  <c r="M395" i="5"/>
  <c r="I395" i="5"/>
  <c r="F395" i="5"/>
  <c r="D395" i="5"/>
  <c r="B395" i="5"/>
  <c r="C395" i="5" s="1"/>
  <c r="M394" i="5"/>
  <c r="I394" i="5"/>
  <c r="F394" i="5"/>
  <c r="D394" i="5"/>
  <c r="B394" i="5"/>
  <c r="C394" i="5" s="1"/>
  <c r="M393" i="5"/>
  <c r="I393" i="5"/>
  <c r="F393" i="5"/>
  <c r="D393" i="5"/>
  <c r="C393" i="5"/>
  <c r="B393" i="5"/>
  <c r="M392" i="5"/>
  <c r="I392" i="5"/>
  <c r="F392" i="5"/>
  <c r="D392" i="5"/>
  <c r="B392" i="5"/>
  <c r="C392" i="5" s="1"/>
  <c r="M391" i="5"/>
  <c r="I391" i="5"/>
  <c r="F391" i="5"/>
  <c r="D391" i="5"/>
  <c r="B391" i="5"/>
  <c r="C391" i="5" s="1"/>
  <c r="M390" i="5"/>
  <c r="I390" i="5"/>
  <c r="F390" i="5"/>
  <c r="D390" i="5"/>
  <c r="C390" i="5"/>
  <c r="B390" i="5"/>
  <c r="M389" i="5"/>
  <c r="I389" i="5"/>
  <c r="F389" i="5"/>
  <c r="D389" i="5"/>
  <c r="C389" i="5"/>
  <c r="B389" i="5"/>
  <c r="M388" i="5"/>
  <c r="I388" i="5"/>
  <c r="F388" i="5"/>
  <c r="D388" i="5"/>
  <c r="B388" i="5"/>
  <c r="C388" i="5" s="1"/>
  <c r="M387" i="5"/>
  <c r="I387" i="5"/>
  <c r="F387" i="5"/>
  <c r="D387" i="5"/>
  <c r="B387" i="5"/>
  <c r="C387" i="5" s="1"/>
  <c r="M386" i="5"/>
  <c r="I386" i="5"/>
  <c r="F386" i="5"/>
  <c r="D386" i="5"/>
  <c r="B386" i="5"/>
  <c r="C386" i="5" s="1"/>
  <c r="M385" i="5"/>
  <c r="I385" i="5"/>
  <c r="F385" i="5"/>
  <c r="D385" i="5"/>
  <c r="B385" i="5"/>
  <c r="C385" i="5" s="1"/>
  <c r="M384" i="5"/>
  <c r="I384" i="5"/>
  <c r="F384" i="5"/>
  <c r="D384" i="5"/>
  <c r="B384" i="5"/>
  <c r="C384" i="5" s="1"/>
  <c r="M383" i="5"/>
  <c r="I383" i="5"/>
  <c r="F383" i="5"/>
  <c r="D383" i="5"/>
  <c r="B383" i="5"/>
  <c r="C383" i="5" s="1"/>
  <c r="M382" i="5"/>
  <c r="I382" i="5"/>
  <c r="F382" i="5"/>
  <c r="D382" i="5"/>
  <c r="B382" i="5"/>
  <c r="C382" i="5" s="1"/>
  <c r="M381" i="5"/>
  <c r="I381" i="5"/>
  <c r="F381" i="5"/>
  <c r="D381" i="5"/>
  <c r="B381" i="5"/>
  <c r="C381" i="5" s="1"/>
  <c r="M380" i="5"/>
  <c r="I380" i="5"/>
  <c r="F380" i="5"/>
  <c r="D380" i="5"/>
  <c r="B380" i="5"/>
  <c r="C380" i="5" s="1"/>
  <c r="M379" i="5"/>
  <c r="I379" i="5"/>
  <c r="F379" i="5"/>
  <c r="D379" i="5"/>
  <c r="B379" i="5"/>
  <c r="C379" i="5" s="1"/>
  <c r="M378" i="5"/>
  <c r="I378" i="5"/>
  <c r="F378" i="5"/>
  <c r="D378" i="5"/>
  <c r="C378" i="5"/>
  <c r="B378" i="5"/>
  <c r="M377" i="5"/>
  <c r="I377" i="5"/>
  <c r="F377" i="5"/>
  <c r="D377" i="5"/>
  <c r="B377" i="5"/>
  <c r="C377" i="5" s="1"/>
  <c r="M376" i="5"/>
  <c r="I376" i="5"/>
  <c r="F376" i="5"/>
  <c r="D376" i="5"/>
  <c r="C376" i="5"/>
  <c r="B376" i="5"/>
  <c r="M375" i="5"/>
  <c r="I375" i="5"/>
  <c r="F375" i="5"/>
  <c r="D375" i="5"/>
  <c r="B375" i="5"/>
  <c r="C375" i="5" s="1"/>
  <c r="M374" i="5"/>
  <c r="I374" i="5"/>
  <c r="F374" i="5"/>
  <c r="D374" i="5"/>
  <c r="B374" i="5"/>
  <c r="C374" i="5" s="1"/>
  <c r="M373" i="5"/>
  <c r="I373" i="5"/>
  <c r="F373" i="5"/>
  <c r="D373" i="5"/>
  <c r="C373" i="5"/>
  <c r="B373" i="5"/>
  <c r="M372" i="5"/>
  <c r="I372" i="5"/>
  <c r="F372" i="5"/>
  <c r="D372" i="5"/>
  <c r="B372" i="5"/>
  <c r="C372" i="5" s="1"/>
  <c r="M371" i="5"/>
  <c r="I371" i="5"/>
  <c r="F371" i="5"/>
  <c r="D371" i="5"/>
  <c r="B371" i="5"/>
  <c r="C371" i="5" s="1"/>
  <c r="M370" i="5"/>
  <c r="I370" i="5"/>
  <c r="F370" i="5"/>
  <c r="D370" i="5"/>
  <c r="C370" i="5"/>
  <c r="B370" i="5"/>
  <c r="M369" i="5"/>
  <c r="I369" i="5"/>
  <c r="F369" i="5"/>
  <c r="D369" i="5"/>
  <c r="B369" i="5"/>
  <c r="C369" i="5" s="1"/>
  <c r="M368" i="5"/>
  <c r="I368" i="5"/>
  <c r="F368" i="5"/>
  <c r="D368" i="5"/>
  <c r="B368" i="5"/>
  <c r="C368" i="5" s="1"/>
  <c r="M367" i="5"/>
  <c r="I367" i="5"/>
  <c r="F367" i="5"/>
  <c r="D367" i="5"/>
  <c r="B367" i="5"/>
  <c r="C367" i="5" s="1"/>
  <c r="M366" i="5"/>
  <c r="I366" i="5"/>
  <c r="F366" i="5"/>
  <c r="D366" i="5"/>
  <c r="B366" i="5"/>
  <c r="C366" i="5" s="1"/>
  <c r="M365" i="5"/>
  <c r="I365" i="5"/>
  <c r="F365" i="5"/>
  <c r="D365" i="5"/>
  <c r="B365" i="5"/>
  <c r="C365" i="5" s="1"/>
  <c r="M364" i="5"/>
  <c r="I364" i="5"/>
  <c r="F364" i="5"/>
  <c r="D364" i="5"/>
  <c r="B364" i="5"/>
  <c r="C364" i="5" s="1"/>
  <c r="M363" i="5"/>
  <c r="I363" i="5"/>
  <c r="F363" i="5"/>
  <c r="D363" i="5"/>
  <c r="B363" i="5"/>
  <c r="C363" i="5" s="1"/>
  <c r="M362" i="5"/>
  <c r="I362" i="5"/>
  <c r="F362" i="5"/>
  <c r="D362" i="5"/>
  <c r="B362" i="5"/>
  <c r="C362" i="5" s="1"/>
  <c r="M361" i="5"/>
  <c r="I361" i="5"/>
  <c r="F361" i="5"/>
  <c r="D361" i="5"/>
  <c r="C361" i="5"/>
  <c r="B361" i="5"/>
  <c r="M360" i="5"/>
  <c r="I360" i="5"/>
  <c r="F360" i="5"/>
  <c r="D360" i="5"/>
  <c r="B360" i="5"/>
  <c r="C360" i="5" s="1"/>
  <c r="M359" i="5"/>
  <c r="I359" i="5"/>
  <c r="F359" i="5"/>
  <c r="D359" i="5"/>
  <c r="B359" i="5"/>
  <c r="C359" i="5" s="1"/>
  <c r="M358" i="5"/>
  <c r="I358" i="5"/>
  <c r="F358" i="5"/>
  <c r="D358" i="5"/>
  <c r="C358" i="5"/>
  <c r="B358" i="5"/>
  <c r="M357" i="5"/>
  <c r="I357" i="5"/>
  <c r="F357" i="5"/>
  <c r="D357" i="5"/>
  <c r="B357" i="5"/>
  <c r="C357" i="5" s="1"/>
  <c r="M356" i="5"/>
  <c r="I356" i="5"/>
  <c r="F356" i="5"/>
  <c r="D356" i="5"/>
  <c r="B356" i="5"/>
  <c r="C356" i="5" s="1"/>
  <c r="M355" i="5"/>
  <c r="I355" i="5"/>
  <c r="F355" i="5"/>
  <c r="D355" i="5"/>
  <c r="B355" i="5"/>
  <c r="C355" i="5" s="1"/>
  <c r="M354" i="5"/>
  <c r="I354" i="5"/>
  <c r="F354" i="5"/>
  <c r="D354" i="5"/>
  <c r="B354" i="5"/>
  <c r="C354" i="5" s="1"/>
  <c r="M353" i="5"/>
  <c r="I353" i="5"/>
  <c r="F353" i="5"/>
  <c r="D353" i="5"/>
  <c r="B353" i="5"/>
  <c r="C353" i="5" s="1"/>
  <c r="M352" i="5"/>
  <c r="I352" i="5"/>
  <c r="F352" i="5"/>
  <c r="D352" i="5"/>
  <c r="B352" i="5"/>
  <c r="C352" i="5" s="1"/>
  <c r="M351" i="5"/>
  <c r="I351" i="5"/>
  <c r="F351" i="5"/>
  <c r="D351" i="5"/>
  <c r="B351" i="5"/>
  <c r="C351" i="5" s="1"/>
  <c r="M350" i="5"/>
  <c r="I350" i="5"/>
  <c r="F350" i="5"/>
  <c r="D350" i="5"/>
  <c r="B350" i="5"/>
  <c r="C350" i="5" s="1"/>
  <c r="M349" i="5"/>
  <c r="I349" i="5"/>
  <c r="F349" i="5"/>
  <c r="D349" i="5"/>
  <c r="C349" i="5"/>
  <c r="B349" i="5"/>
  <c r="M348" i="5"/>
  <c r="I348" i="5"/>
  <c r="F348" i="5"/>
  <c r="D348" i="5"/>
  <c r="B348" i="5"/>
  <c r="C348" i="5" s="1"/>
  <c r="M347" i="5"/>
  <c r="I347" i="5"/>
  <c r="F347" i="5"/>
  <c r="D347" i="5"/>
  <c r="B347" i="5"/>
  <c r="C347" i="5" s="1"/>
  <c r="M346" i="5"/>
  <c r="I346" i="5"/>
  <c r="F346" i="5"/>
  <c r="D346" i="5"/>
  <c r="B346" i="5"/>
  <c r="C346" i="5" s="1"/>
  <c r="M345" i="5"/>
  <c r="I345" i="5"/>
  <c r="F345" i="5"/>
  <c r="D345" i="5"/>
  <c r="B345" i="5"/>
  <c r="C345" i="5" s="1"/>
  <c r="M344" i="5"/>
  <c r="I344" i="5"/>
  <c r="F344" i="5"/>
  <c r="D344" i="5"/>
  <c r="B344" i="5"/>
  <c r="C344" i="5" s="1"/>
  <c r="M343" i="5"/>
  <c r="I343" i="5"/>
  <c r="F343" i="5"/>
  <c r="D343" i="5"/>
  <c r="B343" i="5"/>
  <c r="C343" i="5" s="1"/>
  <c r="M342" i="5"/>
  <c r="I342" i="5"/>
  <c r="F342" i="5"/>
  <c r="D342" i="5"/>
  <c r="B342" i="5"/>
  <c r="C342" i="5" s="1"/>
  <c r="M341" i="5"/>
  <c r="I341" i="5"/>
  <c r="F341" i="5"/>
  <c r="D341" i="5"/>
  <c r="C341" i="5"/>
  <c r="B341" i="5"/>
  <c r="M340" i="5"/>
  <c r="I340" i="5"/>
  <c r="F340" i="5"/>
  <c r="D340" i="5"/>
  <c r="B340" i="5"/>
  <c r="C340" i="5" s="1"/>
  <c r="M339" i="5"/>
  <c r="I339" i="5"/>
  <c r="F339" i="5"/>
  <c r="D339" i="5"/>
  <c r="B339" i="5"/>
  <c r="C339" i="5" s="1"/>
  <c r="M338" i="5"/>
  <c r="I338" i="5"/>
  <c r="F338" i="5"/>
  <c r="D338" i="5"/>
  <c r="B338" i="5"/>
  <c r="C338" i="5" s="1"/>
  <c r="M337" i="5"/>
  <c r="I337" i="5"/>
  <c r="F337" i="5"/>
  <c r="D337" i="5"/>
  <c r="B337" i="5"/>
  <c r="C337" i="5" s="1"/>
  <c r="M336" i="5"/>
  <c r="I336" i="5"/>
  <c r="F336" i="5"/>
  <c r="D336" i="5"/>
  <c r="B336" i="5"/>
  <c r="C336" i="5" s="1"/>
  <c r="M335" i="5"/>
  <c r="I335" i="5"/>
  <c r="F335" i="5"/>
  <c r="D335" i="5"/>
  <c r="B335" i="5"/>
  <c r="C335" i="5" s="1"/>
  <c r="M334" i="5"/>
  <c r="I334" i="5"/>
  <c r="F334" i="5"/>
  <c r="D334" i="5"/>
  <c r="B334" i="5"/>
  <c r="C334" i="5" s="1"/>
  <c r="M333" i="5"/>
  <c r="I333" i="5"/>
  <c r="F333" i="5"/>
  <c r="D333" i="5"/>
  <c r="B333" i="5"/>
  <c r="C333" i="5" s="1"/>
  <c r="M332" i="5"/>
  <c r="I332" i="5"/>
  <c r="F332" i="5"/>
  <c r="D332" i="5"/>
  <c r="B332" i="5"/>
  <c r="C332" i="5" s="1"/>
  <c r="M331" i="5"/>
  <c r="I331" i="5"/>
  <c r="F331" i="5"/>
  <c r="D331" i="5"/>
  <c r="B331" i="5"/>
  <c r="C331" i="5" s="1"/>
  <c r="M330" i="5"/>
  <c r="I330" i="5"/>
  <c r="F330" i="5"/>
  <c r="D330" i="5"/>
  <c r="B330" i="5"/>
  <c r="C330" i="5" s="1"/>
  <c r="M329" i="5"/>
  <c r="I329" i="5"/>
  <c r="F329" i="5"/>
  <c r="D329" i="5"/>
  <c r="B329" i="5"/>
  <c r="C329" i="5" s="1"/>
  <c r="M328" i="5"/>
  <c r="I328" i="5"/>
  <c r="F328" i="5"/>
  <c r="D328" i="5"/>
  <c r="B328" i="5"/>
  <c r="C328" i="5" s="1"/>
  <c r="M327" i="5"/>
  <c r="I327" i="5"/>
  <c r="F327" i="5"/>
  <c r="D327" i="5"/>
  <c r="B327" i="5"/>
  <c r="C327" i="5" s="1"/>
  <c r="M326" i="5"/>
  <c r="I326" i="5"/>
  <c r="F326" i="5"/>
  <c r="D326" i="5"/>
  <c r="B326" i="5"/>
  <c r="C326" i="5" s="1"/>
  <c r="M325" i="5"/>
  <c r="I325" i="5"/>
  <c r="F325" i="5"/>
  <c r="D325" i="5"/>
  <c r="B325" i="5"/>
  <c r="C325" i="5" s="1"/>
  <c r="M324" i="5"/>
  <c r="I324" i="5"/>
  <c r="F324" i="5"/>
  <c r="D324" i="5"/>
  <c r="B324" i="5"/>
  <c r="C324" i="5" s="1"/>
  <c r="M323" i="5"/>
  <c r="I323" i="5"/>
  <c r="F323" i="5"/>
  <c r="D323" i="5"/>
  <c r="B323" i="5"/>
  <c r="C323" i="5" s="1"/>
  <c r="M322" i="5"/>
  <c r="I322" i="5"/>
  <c r="F322" i="5"/>
  <c r="D322" i="5"/>
  <c r="B322" i="5"/>
  <c r="C322" i="5" s="1"/>
  <c r="M321" i="5"/>
  <c r="I321" i="5"/>
  <c r="F321" i="5"/>
  <c r="D321" i="5"/>
  <c r="B321" i="5"/>
  <c r="C321" i="5" s="1"/>
  <c r="M320" i="5"/>
  <c r="I320" i="5"/>
  <c r="F320" i="5"/>
  <c r="D320" i="5"/>
  <c r="B320" i="5"/>
  <c r="C320" i="5" s="1"/>
  <c r="M319" i="5"/>
  <c r="I319" i="5"/>
  <c r="F319" i="5"/>
  <c r="D319" i="5"/>
  <c r="B319" i="5"/>
  <c r="C319" i="5" s="1"/>
  <c r="M318" i="5"/>
  <c r="I318" i="5"/>
  <c r="F318" i="5"/>
  <c r="D318" i="5"/>
  <c r="B318" i="5"/>
  <c r="C318" i="5" s="1"/>
  <c r="M317" i="5"/>
  <c r="I317" i="5"/>
  <c r="F317" i="5"/>
  <c r="D317" i="5"/>
  <c r="C317" i="5"/>
  <c r="B317" i="5"/>
  <c r="M316" i="5"/>
  <c r="I316" i="5"/>
  <c r="F316" i="5"/>
  <c r="D316" i="5"/>
  <c r="B316" i="5"/>
  <c r="C316" i="5" s="1"/>
  <c r="M315" i="5"/>
  <c r="I315" i="5"/>
  <c r="F315" i="5"/>
  <c r="D315" i="5"/>
  <c r="B315" i="5"/>
  <c r="C315" i="5" s="1"/>
  <c r="M314" i="5"/>
  <c r="I314" i="5"/>
  <c r="F314" i="5"/>
  <c r="D314" i="5"/>
  <c r="B314" i="5"/>
  <c r="C314" i="5" s="1"/>
  <c r="M313" i="5"/>
  <c r="I313" i="5"/>
  <c r="F313" i="5"/>
  <c r="D313" i="5"/>
  <c r="B313" i="5"/>
  <c r="C313" i="5" s="1"/>
  <c r="M312" i="5"/>
  <c r="I312" i="5"/>
  <c r="F312" i="5"/>
  <c r="D312" i="5"/>
  <c r="B312" i="5"/>
  <c r="C312" i="5" s="1"/>
  <c r="M311" i="5"/>
  <c r="I311" i="5"/>
  <c r="F311" i="5"/>
  <c r="D311" i="5"/>
  <c r="B311" i="5"/>
  <c r="C311" i="5" s="1"/>
  <c r="M310" i="5"/>
  <c r="I310" i="5"/>
  <c r="F310" i="5"/>
  <c r="D310" i="5"/>
  <c r="B310" i="5"/>
  <c r="C310" i="5" s="1"/>
  <c r="M309" i="5"/>
  <c r="I309" i="5"/>
  <c r="F309" i="5"/>
  <c r="D309" i="5"/>
  <c r="B309" i="5"/>
  <c r="C309" i="5" s="1"/>
  <c r="M308" i="5"/>
  <c r="I308" i="5"/>
  <c r="F308" i="5"/>
  <c r="D308" i="5"/>
  <c r="B308" i="5"/>
  <c r="C308" i="5" s="1"/>
  <c r="M307" i="5"/>
  <c r="I307" i="5"/>
  <c r="F307" i="5"/>
  <c r="D307" i="5"/>
  <c r="B307" i="5"/>
  <c r="C307" i="5" s="1"/>
  <c r="M306" i="5"/>
  <c r="I306" i="5"/>
  <c r="F306" i="5"/>
  <c r="D306" i="5"/>
  <c r="B306" i="5"/>
  <c r="C306" i="5" s="1"/>
  <c r="M305" i="5"/>
  <c r="I305" i="5"/>
  <c r="F305" i="5"/>
  <c r="D305" i="5"/>
  <c r="B305" i="5"/>
  <c r="C305" i="5" s="1"/>
  <c r="M304" i="5"/>
  <c r="I304" i="5"/>
  <c r="F304" i="5"/>
  <c r="D304" i="5"/>
  <c r="B304" i="5"/>
  <c r="C304" i="5" s="1"/>
  <c r="M303" i="5"/>
  <c r="I303" i="5"/>
  <c r="F303" i="5"/>
  <c r="D303" i="5"/>
  <c r="B303" i="5"/>
  <c r="C303" i="5" s="1"/>
  <c r="M302" i="5"/>
  <c r="I302" i="5"/>
  <c r="F302" i="5"/>
  <c r="D302" i="5"/>
  <c r="B302" i="5"/>
  <c r="C302" i="5" s="1"/>
  <c r="M301" i="5"/>
  <c r="I301" i="5"/>
  <c r="F301" i="5"/>
  <c r="D301" i="5"/>
  <c r="B301" i="5"/>
  <c r="C301" i="5" s="1"/>
  <c r="M300" i="5"/>
  <c r="I300" i="5"/>
  <c r="F300" i="5"/>
  <c r="D300" i="5"/>
  <c r="B300" i="5"/>
  <c r="C300" i="5" s="1"/>
  <c r="M299" i="5"/>
  <c r="I299" i="5"/>
  <c r="F299" i="5"/>
  <c r="D299" i="5"/>
  <c r="B299" i="5"/>
  <c r="C299" i="5" s="1"/>
  <c r="M298" i="5"/>
  <c r="I298" i="5"/>
  <c r="F298" i="5"/>
  <c r="D298" i="5"/>
  <c r="B298" i="5"/>
  <c r="C298" i="5" s="1"/>
  <c r="M297" i="5"/>
  <c r="I297" i="5"/>
  <c r="F297" i="5"/>
  <c r="D297" i="5"/>
  <c r="B297" i="5"/>
  <c r="C297" i="5" s="1"/>
  <c r="M296" i="5"/>
  <c r="I296" i="5"/>
  <c r="F296" i="5"/>
  <c r="D296" i="5"/>
  <c r="B296" i="5"/>
  <c r="C296" i="5" s="1"/>
  <c r="M295" i="5"/>
  <c r="I295" i="5"/>
  <c r="F295" i="5"/>
  <c r="D295" i="5"/>
  <c r="B295" i="5"/>
  <c r="C295" i="5" s="1"/>
  <c r="M294" i="5"/>
  <c r="I294" i="5"/>
  <c r="F294" i="5"/>
  <c r="D294" i="5"/>
  <c r="B294" i="5"/>
  <c r="C294" i="5" s="1"/>
  <c r="M293" i="5"/>
  <c r="I293" i="5"/>
  <c r="F293" i="5"/>
  <c r="D293" i="5"/>
  <c r="C293" i="5"/>
  <c r="B293" i="5"/>
  <c r="M292" i="5"/>
  <c r="I292" i="5"/>
  <c r="F292" i="5"/>
  <c r="D292" i="5"/>
  <c r="B292" i="5"/>
  <c r="C292" i="5" s="1"/>
  <c r="M291" i="5"/>
  <c r="I291" i="5"/>
  <c r="F291" i="5"/>
  <c r="D291" i="5"/>
  <c r="B291" i="5"/>
  <c r="C291" i="5" s="1"/>
  <c r="M290" i="5"/>
  <c r="I290" i="5"/>
  <c r="F290" i="5"/>
  <c r="D290" i="5"/>
  <c r="B290" i="5"/>
  <c r="C290" i="5" s="1"/>
  <c r="M289" i="5"/>
  <c r="I289" i="5"/>
  <c r="F289" i="5"/>
  <c r="D289" i="5"/>
  <c r="B289" i="5"/>
  <c r="C289" i="5" s="1"/>
  <c r="M288" i="5"/>
  <c r="I288" i="5"/>
  <c r="F288" i="5"/>
  <c r="D288" i="5"/>
  <c r="B288" i="5"/>
  <c r="C288" i="5" s="1"/>
  <c r="M287" i="5"/>
  <c r="I287" i="5"/>
  <c r="F287" i="5"/>
  <c r="D287" i="5"/>
  <c r="B287" i="5"/>
  <c r="C287" i="5" s="1"/>
  <c r="M286" i="5"/>
  <c r="I286" i="5"/>
  <c r="F286" i="5"/>
  <c r="D286" i="5"/>
  <c r="B286" i="5"/>
  <c r="C286" i="5" s="1"/>
  <c r="M285" i="5"/>
  <c r="I285" i="5"/>
  <c r="F285" i="5"/>
  <c r="D285" i="5"/>
  <c r="C285" i="5"/>
  <c r="B285" i="5"/>
  <c r="M284" i="5"/>
  <c r="I284" i="5"/>
  <c r="F284" i="5"/>
  <c r="D284" i="5"/>
  <c r="B284" i="5"/>
  <c r="C284" i="5" s="1"/>
  <c r="M283" i="5"/>
  <c r="I283" i="5"/>
  <c r="F283" i="5"/>
  <c r="D283" i="5"/>
  <c r="B283" i="5"/>
  <c r="C283" i="5" s="1"/>
  <c r="M282" i="5"/>
  <c r="I282" i="5"/>
  <c r="F282" i="5"/>
  <c r="D282" i="5"/>
  <c r="B282" i="5"/>
  <c r="C282" i="5" s="1"/>
  <c r="M281" i="5"/>
  <c r="I281" i="5"/>
  <c r="F281" i="5"/>
  <c r="D281" i="5"/>
  <c r="B281" i="5"/>
  <c r="C281" i="5" s="1"/>
  <c r="M280" i="5"/>
  <c r="I280" i="5"/>
  <c r="F280" i="5"/>
  <c r="D280" i="5"/>
  <c r="B280" i="5"/>
  <c r="C280" i="5" s="1"/>
  <c r="M279" i="5"/>
  <c r="I279" i="5"/>
  <c r="F279" i="5"/>
  <c r="D279" i="5"/>
  <c r="B279" i="5"/>
  <c r="C279" i="5" s="1"/>
  <c r="M278" i="5"/>
  <c r="I278" i="5"/>
  <c r="F278" i="5"/>
  <c r="D278" i="5"/>
  <c r="B278" i="5"/>
  <c r="C278" i="5" s="1"/>
  <c r="M277" i="5"/>
  <c r="I277" i="5"/>
  <c r="F277" i="5"/>
  <c r="D277" i="5"/>
  <c r="C277" i="5"/>
  <c r="B277" i="5"/>
  <c r="M276" i="5"/>
  <c r="I276" i="5"/>
  <c r="F276" i="5"/>
  <c r="D276" i="5"/>
  <c r="B276" i="5"/>
  <c r="C276" i="5" s="1"/>
  <c r="M275" i="5"/>
  <c r="I275" i="5"/>
  <c r="F275" i="5"/>
  <c r="D275" i="5"/>
  <c r="B275" i="5"/>
  <c r="C275" i="5" s="1"/>
  <c r="M274" i="5"/>
  <c r="I274" i="5"/>
  <c r="F274" i="5"/>
  <c r="D274" i="5"/>
  <c r="B274" i="5"/>
  <c r="C274" i="5" s="1"/>
  <c r="M273" i="5"/>
  <c r="I273" i="5"/>
  <c r="F273" i="5"/>
  <c r="D273" i="5"/>
  <c r="B273" i="5"/>
  <c r="C273" i="5" s="1"/>
  <c r="M272" i="5"/>
  <c r="I272" i="5"/>
  <c r="F272" i="5"/>
  <c r="D272" i="5"/>
  <c r="B272" i="5"/>
  <c r="C272" i="5" s="1"/>
  <c r="M271" i="5"/>
  <c r="I271" i="5"/>
  <c r="F271" i="5"/>
  <c r="D271" i="5"/>
  <c r="B271" i="5"/>
  <c r="C271" i="5" s="1"/>
  <c r="M270" i="5"/>
  <c r="I270" i="5"/>
  <c r="F270" i="5"/>
  <c r="D270" i="5"/>
  <c r="B270" i="5"/>
  <c r="C270" i="5" s="1"/>
  <c r="M269" i="5"/>
  <c r="I269" i="5"/>
  <c r="F269" i="5"/>
  <c r="D269" i="5"/>
  <c r="B269" i="5"/>
  <c r="C269" i="5" s="1"/>
  <c r="M268" i="5"/>
  <c r="I268" i="5"/>
  <c r="F268" i="5"/>
  <c r="D268" i="5"/>
  <c r="B268" i="5"/>
  <c r="C268" i="5" s="1"/>
  <c r="M267" i="5"/>
  <c r="I267" i="5"/>
  <c r="F267" i="5"/>
  <c r="D267" i="5"/>
  <c r="B267" i="5"/>
  <c r="C267" i="5" s="1"/>
  <c r="M266" i="5"/>
  <c r="I266" i="5"/>
  <c r="F266" i="5"/>
  <c r="D266" i="5"/>
  <c r="B266" i="5"/>
  <c r="C266" i="5" s="1"/>
  <c r="M265" i="5"/>
  <c r="I265" i="5"/>
  <c r="F265" i="5"/>
  <c r="D265" i="5"/>
  <c r="B265" i="5"/>
  <c r="C265" i="5" s="1"/>
  <c r="M264" i="5"/>
  <c r="I264" i="5"/>
  <c r="F264" i="5"/>
  <c r="D264" i="5"/>
  <c r="B264" i="5"/>
  <c r="C264" i="5" s="1"/>
  <c r="M263" i="5"/>
  <c r="I263" i="5"/>
  <c r="F263" i="5"/>
  <c r="D263" i="5"/>
  <c r="B263" i="5"/>
  <c r="C263" i="5" s="1"/>
  <c r="M262" i="5"/>
  <c r="I262" i="5"/>
  <c r="F262" i="5"/>
  <c r="D262" i="5"/>
  <c r="B262" i="5"/>
  <c r="C262" i="5" s="1"/>
  <c r="M261" i="5"/>
  <c r="I261" i="5"/>
  <c r="F261" i="5"/>
  <c r="D261" i="5"/>
  <c r="B261" i="5"/>
  <c r="C261" i="5" s="1"/>
  <c r="M260" i="5"/>
  <c r="I260" i="5"/>
  <c r="F260" i="5"/>
  <c r="D260" i="5"/>
  <c r="B260" i="5"/>
  <c r="C260" i="5" s="1"/>
  <c r="M259" i="5"/>
  <c r="I259" i="5"/>
  <c r="F259" i="5"/>
  <c r="D259" i="5"/>
  <c r="B259" i="5"/>
  <c r="C259" i="5" s="1"/>
  <c r="M258" i="5"/>
  <c r="I258" i="5"/>
  <c r="F258" i="5"/>
  <c r="D258" i="5"/>
  <c r="B258" i="5"/>
  <c r="C258" i="5" s="1"/>
  <c r="M257" i="5"/>
  <c r="I257" i="5"/>
  <c r="F257" i="5"/>
  <c r="D257" i="5"/>
  <c r="B257" i="5"/>
  <c r="C257" i="5" s="1"/>
  <c r="M256" i="5"/>
  <c r="I256" i="5"/>
  <c r="F256" i="5"/>
  <c r="D256" i="5"/>
  <c r="B256" i="5"/>
  <c r="C256" i="5" s="1"/>
  <c r="M255" i="5"/>
  <c r="I255" i="5"/>
  <c r="F255" i="5"/>
  <c r="D255" i="5"/>
  <c r="B255" i="5"/>
  <c r="C255" i="5" s="1"/>
  <c r="M254" i="5"/>
  <c r="I254" i="5"/>
  <c r="F254" i="5"/>
  <c r="D254" i="5"/>
  <c r="B254" i="5"/>
  <c r="C254" i="5" s="1"/>
  <c r="M253" i="5"/>
  <c r="I253" i="5"/>
  <c r="F253" i="5"/>
  <c r="D253" i="5"/>
  <c r="C253" i="5"/>
  <c r="B253" i="5"/>
  <c r="M252" i="5"/>
  <c r="I252" i="5"/>
  <c r="F252" i="5"/>
  <c r="D252" i="5"/>
  <c r="B252" i="5"/>
  <c r="C252" i="5" s="1"/>
  <c r="M251" i="5"/>
  <c r="I251" i="5"/>
  <c r="F251" i="5"/>
  <c r="D251" i="5"/>
  <c r="B251" i="5"/>
  <c r="C251" i="5" s="1"/>
  <c r="M250" i="5"/>
  <c r="I250" i="5"/>
  <c r="F250" i="5"/>
  <c r="D250" i="5"/>
  <c r="B250" i="5"/>
  <c r="C250" i="5" s="1"/>
  <c r="M249" i="5"/>
  <c r="I249" i="5"/>
  <c r="F249" i="5"/>
  <c r="D249" i="5"/>
  <c r="B249" i="5"/>
  <c r="C249" i="5" s="1"/>
  <c r="M248" i="5"/>
  <c r="I248" i="5"/>
  <c r="F248" i="5"/>
  <c r="D248" i="5"/>
  <c r="B248" i="5"/>
  <c r="C248" i="5" s="1"/>
  <c r="M247" i="5"/>
  <c r="I247" i="5"/>
  <c r="F247" i="5"/>
  <c r="D247" i="5"/>
  <c r="B247" i="5"/>
  <c r="C247" i="5" s="1"/>
  <c r="M246" i="5"/>
  <c r="I246" i="5"/>
  <c r="F246" i="5"/>
  <c r="D246" i="5"/>
  <c r="B246" i="5"/>
  <c r="C246" i="5" s="1"/>
  <c r="M245" i="5"/>
  <c r="I245" i="5"/>
  <c r="F245" i="5"/>
  <c r="D245" i="5"/>
  <c r="B245" i="5"/>
  <c r="C245" i="5" s="1"/>
  <c r="M244" i="5"/>
  <c r="I244" i="5"/>
  <c r="F244" i="5"/>
  <c r="D244" i="5"/>
  <c r="B244" i="5"/>
  <c r="C244" i="5" s="1"/>
  <c r="M243" i="5"/>
  <c r="I243" i="5"/>
  <c r="F243" i="5"/>
  <c r="D243" i="5"/>
  <c r="B243" i="5"/>
  <c r="C243" i="5" s="1"/>
  <c r="M242" i="5"/>
  <c r="I242" i="5"/>
  <c r="F242" i="5"/>
  <c r="D242" i="5"/>
  <c r="B242" i="5"/>
  <c r="C242" i="5" s="1"/>
  <c r="M241" i="5"/>
  <c r="I241" i="5"/>
  <c r="F241" i="5"/>
  <c r="D241" i="5"/>
  <c r="B241" i="5"/>
  <c r="C241" i="5" s="1"/>
  <c r="M240" i="5"/>
  <c r="I240" i="5"/>
  <c r="F240" i="5"/>
  <c r="D240" i="5"/>
  <c r="B240" i="5"/>
  <c r="C240" i="5" s="1"/>
  <c r="M239" i="5"/>
  <c r="I239" i="5"/>
  <c r="F239" i="5"/>
  <c r="D239" i="5"/>
  <c r="B239" i="5"/>
  <c r="C239" i="5" s="1"/>
  <c r="M238" i="5"/>
  <c r="I238" i="5"/>
  <c r="F238" i="5"/>
  <c r="D238" i="5"/>
  <c r="B238" i="5"/>
  <c r="C238" i="5" s="1"/>
  <c r="M237" i="5"/>
  <c r="I237" i="5"/>
  <c r="F237" i="5"/>
  <c r="D237" i="5"/>
  <c r="B237" i="5"/>
  <c r="C237" i="5" s="1"/>
  <c r="M236" i="5"/>
  <c r="I236" i="5"/>
  <c r="F236" i="5"/>
  <c r="D236" i="5"/>
  <c r="B236" i="5"/>
  <c r="C236" i="5" s="1"/>
  <c r="M235" i="5"/>
  <c r="I235" i="5"/>
  <c r="F235" i="5"/>
  <c r="D235" i="5"/>
  <c r="B235" i="5"/>
  <c r="C235" i="5" s="1"/>
  <c r="M234" i="5"/>
  <c r="I234" i="5"/>
  <c r="F234" i="5"/>
  <c r="D234" i="5"/>
  <c r="B234" i="5"/>
  <c r="C234" i="5" s="1"/>
  <c r="M233" i="5"/>
  <c r="I233" i="5"/>
  <c r="F233" i="5"/>
  <c r="D233" i="5"/>
  <c r="B233" i="5"/>
  <c r="C233" i="5" s="1"/>
  <c r="M232" i="5"/>
  <c r="I232" i="5"/>
  <c r="F232" i="5"/>
  <c r="D232" i="5"/>
  <c r="B232" i="5"/>
  <c r="C232" i="5" s="1"/>
  <c r="M231" i="5"/>
  <c r="I231" i="5"/>
  <c r="F231" i="5"/>
  <c r="D231" i="5"/>
  <c r="B231" i="5"/>
  <c r="C231" i="5" s="1"/>
  <c r="M230" i="5"/>
  <c r="I230" i="5"/>
  <c r="F230" i="5"/>
  <c r="D230" i="5"/>
  <c r="B230" i="5"/>
  <c r="C230" i="5" s="1"/>
  <c r="M229" i="5"/>
  <c r="I229" i="5"/>
  <c r="F229" i="5"/>
  <c r="D229" i="5"/>
  <c r="C229" i="5"/>
  <c r="B229" i="5"/>
  <c r="M228" i="5"/>
  <c r="I228" i="5"/>
  <c r="F228" i="5"/>
  <c r="D228" i="5"/>
  <c r="B228" i="5"/>
  <c r="C228" i="5" s="1"/>
  <c r="M227" i="5"/>
  <c r="I227" i="5"/>
  <c r="F227" i="5"/>
  <c r="D227" i="5"/>
  <c r="B227" i="5"/>
  <c r="C227" i="5" s="1"/>
  <c r="M226" i="5"/>
  <c r="I226" i="5"/>
  <c r="F226" i="5"/>
  <c r="D226" i="5"/>
  <c r="B226" i="5"/>
  <c r="C226" i="5" s="1"/>
  <c r="M225" i="5"/>
  <c r="I225" i="5"/>
  <c r="F225" i="5"/>
  <c r="D225" i="5"/>
  <c r="C225" i="5"/>
  <c r="B225" i="5"/>
  <c r="M224" i="5"/>
  <c r="I224" i="5"/>
  <c r="F224" i="5"/>
  <c r="D224" i="5"/>
  <c r="B224" i="5"/>
  <c r="C224" i="5" s="1"/>
  <c r="M223" i="5"/>
  <c r="I223" i="5"/>
  <c r="F223" i="5"/>
  <c r="D223" i="5"/>
  <c r="B223" i="5"/>
  <c r="C223" i="5" s="1"/>
  <c r="M222" i="5"/>
  <c r="I222" i="5"/>
  <c r="F222" i="5"/>
  <c r="D222" i="5"/>
  <c r="B222" i="5"/>
  <c r="C222" i="5" s="1"/>
  <c r="M221" i="5"/>
  <c r="I221" i="5"/>
  <c r="F221" i="5"/>
  <c r="D221" i="5"/>
  <c r="C221" i="5"/>
  <c r="B221" i="5"/>
  <c r="M220" i="5"/>
  <c r="I220" i="5"/>
  <c r="F220" i="5"/>
  <c r="D220" i="5"/>
  <c r="B220" i="5"/>
  <c r="C220" i="5" s="1"/>
  <c r="M219" i="5"/>
  <c r="I219" i="5"/>
  <c r="F219" i="5"/>
  <c r="D219" i="5"/>
  <c r="B219" i="5"/>
  <c r="C219" i="5" s="1"/>
  <c r="M218" i="5"/>
  <c r="I218" i="5"/>
  <c r="F218" i="5"/>
  <c r="D218" i="5"/>
  <c r="B218" i="5"/>
  <c r="C218" i="5" s="1"/>
  <c r="M217" i="5"/>
  <c r="I217" i="5"/>
  <c r="F217" i="5"/>
  <c r="D217" i="5"/>
  <c r="B217" i="5"/>
  <c r="C217" i="5" s="1"/>
  <c r="M216" i="5"/>
  <c r="I216" i="5"/>
  <c r="F216" i="5"/>
  <c r="D216" i="5"/>
  <c r="B216" i="5"/>
  <c r="C216" i="5" s="1"/>
  <c r="M215" i="5"/>
  <c r="I215" i="5"/>
  <c r="F215" i="5"/>
  <c r="D215" i="5"/>
  <c r="B215" i="5"/>
  <c r="C215" i="5" s="1"/>
  <c r="M214" i="5"/>
  <c r="I214" i="5"/>
  <c r="F214" i="5"/>
  <c r="D214" i="5"/>
  <c r="B214" i="5"/>
  <c r="C214" i="5" s="1"/>
  <c r="M213" i="5"/>
  <c r="I213" i="5"/>
  <c r="F213" i="5"/>
  <c r="D213" i="5"/>
  <c r="C213" i="5"/>
  <c r="B213" i="5"/>
  <c r="M212" i="5"/>
  <c r="I212" i="5"/>
  <c r="F212" i="5"/>
  <c r="D212" i="5"/>
  <c r="B212" i="5"/>
  <c r="C212" i="5" s="1"/>
  <c r="M211" i="5"/>
  <c r="I211" i="5"/>
  <c r="F211" i="5"/>
  <c r="D211" i="5"/>
  <c r="B211" i="5"/>
  <c r="C211" i="5" s="1"/>
  <c r="M210" i="5"/>
  <c r="I210" i="5"/>
  <c r="F210" i="5"/>
  <c r="D210" i="5"/>
  <c r="B210" i="5"/>
  <c r="C210" i="5" s="1"/>
  <c r="M209" i="5"/>
  <c r="I209" i="5"/>
  <c r="F209" i="5"/>
  <c r="D209" i="5"/>
  <c r="B209" i="5"/>
  <c r="C209" i="5" s="1"/>
  <c r="M208" i="5"/>
  <c r="I208" i="5"/>
  <c r="F208" i="5"/>
  <c r="D208" i="5"/>
  <c r="B208" i="5"/>
  <c r="C208" i="5" s="1"/>
  <c r="M207" i="5"/>
  <c r="I207" i="5"/>
  <c r="F207" i="5"/>
  <c r="D207" i="5"/>
  <c r="B207" i="5"/>
  <c r="C207" i="5" s="1"/>
  <c r="M206" i="5"/>
  <c r="I206" i="5"/>
  <c r="F206" i="5"/>
  <c r="D206" i="5"/>
  <c r="B206" i="5"/>
  <c r="C206" i="5" s="1"/>
  <c r="M205" i="5"/>
  <c r="I205" i="5"/>
  <c r="F205" i="5"/>
  <c r="D205" i="5"/>
  <c r="B205" i="5"/>
  <c r="C205" i="5" s="1"/>
  <c r="M204" i="5"/>
  <c r="I204" i="5"/>
  <c r="F204" i="5"/>
  <c r="D204" i="5"/>
  <c r="B204" i="5"/>
  <c r="C204" i="5" s="1"/>
  <c r="M203" i="5"/>
  <c r="I203" i="5"/>
  <c r="F203" i="5"/>
  <c r="D203" i="5"/>
  <c r="B203" i="5"/>
  <c r="C203" i="5" s="1"/>
  <c r="M202" i="5"/>
  <c r="I202" i="5"/>
  <c r="F202" i="5"/>
  <c r="D202" i="5"/>
  <c r="B202" i="5"/>
  <c r="C202" i="5" s="1"/>
  <c r="M201" i="5"/>
  <c r="I201" i="5"/>
  <c r="F201" i="5"/>
  <c r="D201" i="5"/>
  <c r="B201" i="5"/>
  <c r="C201" i="5" s="1"/>
  <c r="M200" i="5"/>
  <c r="I200" i="5"/>
  <c r="F200" i="5"/>
  <c r="D200" i="5"/>
  <c r="B200" i="5"/>
  <c r="C200" i="5" s="1"/>
  <c r="M199" i="5"/>
  <c r="I199" i="5"/>
  <c r="F199" i="5"/>
  <c r="D199" i="5"/>
  <c r="B199" i="5"/>
  <c r="C199" i="5" s="1"/>
  <c r="M198" i="5"/>
  <c r="I198" i="5"/>
  <c r="F198" i="5"/>
  <c r="D198" i="5"/>
  <c r="B198" i="5"/>
  <c r="C198" i="5" s="1"/>
  <c r="M197" i="5"/>
  <c r="I197" i="5"/>
  <c r="F197" i="5"/>
  <c r="D197" i="5"/>
  <c r="B197" i="5"/>
  <c r="C197" i="5" s="1"/>
  <c r="M196" i="5"/>
  <c r="I196" i="5"/>
  <c r="F196" i="5"/>
  <c r="D196" i="5"/>
  <c r="B196" i="5"/>
  <c r="C196" i="5" s="1"/>
  <c r="M195" i="5"/>
  <c r="I195" i="5"/>
  <c r="F195" i="5"/>
  <c r="D195" i="5"/>
  <c r="B195" i="5"/>
  <c r="C195" i="5" s="1"/>
  <c r="M194" i="5"/>
  <c r="I194" i="5"/>
  <c r="F194" i="5"/>
  <c r="D194" i="5"/>
  <c r="B194" i="5"/>
  <c r="C194" i="5" s="1"/>
  <c r="M193" i="5"/>
  <c r="I193" i="5"/>
  <c r="F193" i="5"/>
  <c r="D193" i="5"/>
  <c r="B193" i="5"/>
  <c r="C193" i="5" s="1"/>
  <c r="M192" i="5"/>
  <c r="I192" i="5"/>
  <c r="F192" i="5"/>
  <c r="D192" i="5"/>
  <c r="B192" i="5"/>
  <c r="C192" i="5" s="1"/>
  <c r="M191" i="5"/>
  <c r="I191" i="5"/>
  <c r="F191" i="5"/>
  <c r="D191" i="5"/>
  <c r="B191" i="5"/>
  <c r="C191" i="5" s="1"/>
  <c r="M190" i="5"/>
  <c r="I190" i="5"/>
  <c r="F190" i="5"/>
  <c r="D190" i="5"/>
  <c r="B190" i="5"/>
  <c r="C190" i="5" s="1"/>
  <c r="M189" i="5"/>
  <c r="I189" i="5"/>
  <c r="F189" i="5"/>
  <c r="D189" i="5"/>
  <c r="C189" i="5"/>
  <c r="B189" i="5"/>
  <c r="M188" i="5"/>
  <c r="I188" i="5"/>
  <c r="F188" i="5"/>
  <c r="D188" i="5"/>
  <c r="B188" i="5"/>
  <c r="C188" i="5" s="1"/>
  <c r="M187" i="5"/>
  <c r="I187" i="5"/>
  <c r="F187" i="5"/>
  <c r="D187" i="5"/>
  <c r="B187" i="5"/>
  <c r="C187" i="5" s="1"/>
  <c r="M186" i="5"/>
  <c r="I186" i="5"/>
  <c r="F186" i="5"/>
  <c r="D186" i="5"/>
  <c r="B186" i="5"/>
  <c r="C186" i="5" s="1"/>
  <c r="M185" i="5"/>
  <c r="I185" i="5"/>
  <c r="F185" i="5"/>
  <c r="D185" i="5"/>
  <c r="B185" i="5"/>
  <c r="C185" i="5" s="1"/>
  <c r="M184" i="5"/>
  <c r="I184" i="5"/>
  <c r="F184" i="5"/>
  <c r="D184" i="5"/>
  <c r="B184" i="5"/>
  <c r="C184" i="5" s="1"/>
  <c r="M183" i="5"/>
  <c r="I183" i="5"/>
  <c r="F183" i="5"/>
  <c r="D183" i="5"/>
  <c r="B183" i="5"/>
  <c r="C183" i="5" s="1"/>
  <c r="M182" i="5"/>
  <c r="I182" i="5"/>
  <c r="F182" i="5"/>
  <c r="D182" i="5"/>
  <c r="B182" i="5"/>
  <c r="C182" i="5" s="1"/>
  <c r="M181" i="5"/>
  <c r="I181" i="5"/>
  <c r="F181" i="5"/>
  <c r="D181" i="5"/>
  <c r="B181" i="5"/>
  <c r="C181" i="5" s="1"/>
  <c r="M180" i="5"/>
  <c r="I180" i="5"/>
  <c r="F180" i="5"/>
  <c r="D180" i="5"/>
  <c r="B180" i="5"/>
  <c r="C180" i="5" s="1"/>
  <c r="M179" i="5"/>
  <c r="I179" i="5"/>
  <c r="F179" i="5"/>
  <c r="D179" i="5"/>
  <c r="B179" i="5"/>
  <c r="C179" i="5" s="1"/>
  <c r="M178" i="5"/>
  <c r="I178" i="5"/>
  <c r="F178" i="5"/>
  <c r="D178" i="5"/>
  <c r="B178" i="5"/>
  <c r="C178" i="5" s="1"/>
  <c r="M177" i="5"/>
  <c r="I177" i="5"/>
  <c r="F177" i="5"/>
  <c r="D177" i="5"/>
  <c r="B177" i="5"/>
  <c r="C177" i="5" s="1"/>
  <c r="M176" i="5"/>
  <c r="I176" i="5"/>
  <c r="F176" i="5"/>
  <c r="D176" i="5"/>
  <c r="B176" i="5"/>
  <c r="C176" i="5" s="1"/>
  <c r="M175" i="5"/>
  <c r="I175" i="5"/>
  <c r="F175" i="5"/>
  <c r="D175" i="5"/>
  <c r="B175" i="5"/>
  <c r="C175" i="5" s="1"/>
  <c r="M174" i="5"/>
  <c r="I174" i="5"/>
  <c r="F174" i="5"/>
  <c r="D174" i="5"/>
  <c r="B174" i="5"/>
  <c r="C174" i="5" s="1"/>
  <c r="M173" i="5"/>
  <c r="I173" i="5"/>
  <c r="F173" i="5"/>
  <c r="D173" i="5"/>
  <c r="B173" i="5"/>
  <c r="C173" i="5" s="1"/>
  <c r="M172" i="5"/>
  <c r="I172" i="5"/>
  <c r="F172" i="5"/>
  <c r="D172" i="5"/>
  <c r="B172" i="5"/>
  <c r="C172" i="5" s="1"/>
  <c r="M171" i="5"/>
  <c r="I171" i="5"/>
  <c r="F171" i="5"/>
  <c r="D171" i="5"/>
  <c r="B171" i="5"/>
  <c r="C171" i="5" s="1"/>
  <c r="M170" i="5"/>
  <c r="I170" i="5"/>
  <c r="F170" i="5"/>
  <c r="D170" i="5"/>
  <c r="B170" i="5"/>
  <c r="C170" i="5" s="1"/>
  <c r="M169" i="5"/>
  <c r="I169" i="5"/>
  <c r="F169" i="5"/>
  <c r="D169" i="5"/>
  <c r="B169" i="5"/>
  <c r="C169" i="5" s="1"/>
  <c r="M168" i="5"/>
  <c r="I168" i="5"/>
  <c r="F168" i="5"/>
  <c r="D168" i="5"/>
  <c r="B168" i="5"/>
  <c r="C168" i="5" s="1"/>
  <c r="M167" i="5"/>
  <c r="I167" i="5"/>
  <c r="F167" i="5"/>
  <c r="D167" i="5"/>
  <c r="C167" i="5"/>
  <c r="B167" i="5"/>
  <c r="M166" i="5"/>
  <c r="I166" i="5"/>
  <c r="F166" i="5"/>
  <c r="D166" i="5"/>
  <c r="B166" i="5"/>
  <c r="C166" i="5" s="1"/>
  <c r="M165" i="5"/>
  <c r="I165" i="5"/>
  <c r="F165" i="5"/>
  <c r="D165" i="5"/>
  <c r="C165" i="5"/>
  <c r="B165" i="5"/>
  <c r="M164" i="5"/>
  <c r="I164" i="5"/>
  <c r="F164" i="5"/>
  <c r="D164" i="5"/>
  <c r="B164" i="5"/>
  <c r="C164" i="5" s="1"/>
  <c r="M163" i="5"/>
  <c r="I163" i="5"/>
  <c r="F163" i="5"/>
  <c r="D163" i="5"/>
  <c r="B163" i="5"/>
  <c r="C163" i="5" s="1"/>
  <c r="M162" i="5"/>
  <c r="I162" i="5"/>
  <c r="F162" i="5"/>
  <c r="D162" i="5"/>
  <c r="B162" i="5"/>
  <c r="C162" i="5" s="1"/>
  <c r="M161" i="5"/>
  <c r="I161" i="5"/>
  <c r="F161" i="5"/>
  <c r="D161" i="5"/>
  <c r="B161" i="5"/>
  <c r="C161" i="5" s="1"/>
  <c r="M160" i="5"/>
  <c r="I160" i="5"/>
  <c r="F160" i="5"/>
  <c r="D160" i="5"/>
  <c r="B160" i="5"/>
  <c r="C160" i="5" s="1"/>
  <c r="M159" i="5"/>
  <c r="I159" i="5"/>
  <c r="F159" i="5"/>
  <c r="D159" i="5"/>
  <c r="B159" i="5"/>
  <c r="C159" i="5" s="1"/>
  <c r="M158" i="5"/>
  <c r="I158" i="5"/>
  <c r="F158" i="5"/>
  <c r="D158" i="5"/>
  <c r="B158" i="5"/>
  <c r="C158" i="5" s="1"/>
  <c r="M157" i="5"/>
  <c r="I157" i="5"/>
  <c r="F157" i="5"/>
  <c r="D157" i="5"/>
  <c r="B157" i="5"/>
  <c r="C157" i="5" s="1"/>
  <c r="M156" i="5"/>
  <c r="I156" i="5"/>
  <c r="F156" i="5"/>
  <c r="D156" i="5"/>
  <c r="B156" i="5"/>
  <c r="C156" i="5" s="1"/>
  <c r="M155" i="5"/>
  <c r="I155" i="5"/>
  <c r="F155" i="5"/>
  <c r="D155" i="5"/>
  <c r="B155" i="5"/>
  <c r="C155" i="5" s="1"/>
  <c r="M154" i="5"/>
  <c r="I154" i="5"/>
  <c r="F154" i="5"/>
  <c r="D154" i="5"/>
  <c r="B154" i="5"/>
  <c r="C154" i="5" s="1"/>
  <c r="M153" i="5"/>
  <c r="I153" i="5"/>
  <c r="F153" i="5"/>
  <c r="D153" i="5"/>
  <c r="B153" i="5"/>
  <c r="C153" i="5" s="1"/>
  <c r="M152" i="5"/>
  <c r="I152" i="5"/>
  <c r="F152" i="5"/>
  <c r="D152" i="5"/>
  <c r="B152" i="5"/>
  <c r="C152" i="5" s="1"/>
  <c r="M151" i="5"/>
  <c r="I151" i="5"/>
  <c r="F151" i="5"/>
  <c r="D151" i="5"/>
  <c r="B151" i="5"/>
  <c r="C151" i="5" s="1"/>
  <c r="M150" i="5"/>
  <c r="I150" i="5"/>
  <c r="F150" i="5"/>
  <c r="D150" i="5"/>
  <c r="B150" i="5"/>
  <c r="C150" i="5" s="1"/>
  <c r="M149" i="5"/>
  <c r="I149" i="5"/>
  <c r="F149" i="5"/>
  <c r="D149" i="5"/>
  <c r="B149" i="5"/>
  <c r="C149" i="5" s="1"/>
  <c r="M148" i="5"/>
  <c r="I148" i="5"/>
  <c r="F148" i="5"/>
  <c r="D148" i="5"/>
  <c r="B148" i="5"/>
  <c r="C148" i="5" s="1"/>
  <c r="M147" i="5"/>
  <c r="I147" i="5"/>
  <c r="F147" i="5"/>
  <c r="D147" i="5"/>
  <c r="B147" i="5"/>
  <c r="C147" i="5" s="1"/>
  <c r="M146" i="5"/>
  <c r="I146" i="5"/>
  <c r="F146" i="5"/>
  <c r="D146" i="5"/>
  <c r="B146" i="5"/>
  <c r="C146" i="5" s="1"/>
  <c r="M145" i="5"/>
  <c r="I145" i="5"/>
  <c r="F145" i="5"/>
  <c r="D145" i="5"/>
  <c r="B145" i="5"/>
  <c r="C145" i="5" s="1"/>
  <c r="M144" i="5"/>
  <c r="I144" i="5"/>
  <c r="F144" i="5"/>
  <c r="D144" i="5"/>
  <c r="B144" i="5"/>
  <c r="C144" i="5" s="1"/>
  <c r="M143" i="5"/>
  <c r="I143" i="5"/>
  <c r="F143" i="5"/>
  <c r="D143" i="5"/>
  <c r="B143" i="5"/>
  <c r="C143" i="5" s="1"/>
  <c r="M142" i="5"/>
  <c r="I142" i="5"/>
  <c r="F142" i="5"/>
  <c r="D142" i="5"/>
  <c r="B142" i="5"/>
  <c r="C142" i="5" s="1"/>
  <c r="M141" i="5"/>
  <c r="I141" i="5"/>
  <c r="F141" i="5"/>
  <c r="D141" i="5"/>
  <c r="C141" i="5"/>
  <c r="B141" i="5"/>
  <c r="M140" i="5"/>
  <c r="I140" i="5"/>
  <c r="F140" i="5"/>
  <c r="D140" i="5"/>
  <c r="B140" i="5"/>
  <c r="C140" i="5" s="1"/>
  <c r="M139" i="5"/>
  <c r="I139" i="5"/>
  <c r="F139" i="5"/>
  <c r="D139" i="5"/>
  <c r="C139" i="5"/>
  <c r="B139" i="5"/>
  <c r="M138" i="5"/>
  <c r="I138" i="5"/>
  <c r="F138" i="5"/>
  <c r="D138" i="5"/>
  <c r="B138" i="5"/>
  <c r="C138" i="5" s="1"/>
  <c r="M137" i="5"/>
  <c r="I137" i="5"/>
  <c r="F137" i="5"/>
  <c r="D137" i="5"/>
  <c r="B137" i="5"/>
  <c r="C137" i="5" s="1"/>
  <c r="M136" i="5"/>
  <c r="I136" i="5"/>
  <c r="F136" i="5"/>
  <c r="D136" i="5"/>
  <c r="B136" i="5"/>
  <c r="C136" i="5" s="1"/>
  <c r="M135" i="5"/>
  <c r="I135" i="5"/>
  <c r="F135" i="5"/>
  <c r="D135" i="5"/>
  <c r="C135" i="5"/>
  <c r="B135" i="5"/>
  <c r="M134" i="5"/>
  <c r="I134" i="5"/>
  <c r="F134" i="5"/>
  <c r="D134" i="5"/>
  <c r="C134" i="5"/>
  <c r="B134" i="5"/>
  <c r="M133" i="5"/>
  <c r="I133" i="5"/>
  <c r="F133" i="5"/>
  <c r="D133" i="5"/>
  <c r="C133" i="5"/>
  <c r="B133" i="5"/>
  <c r="M132" i="5"/>
  <c r="I132" i="5"/>
  <c r="F132" i="5"/>
  <c r="D132" i="5"/>
  <c r="B132" i="5"/>
  <c r="C132" i="5" s="1"/>
  <c r="M131" i="5"/>
  <c r="I131" i="5"/>
  <c r="F131" i="5"/>
  <c r="D131" i="5"/>
  <c r="B131" i="5"/>
  <c r="C131" i="5" s="1"/>
  <c r="M130" i="5"/>
  <c r="I130" i="5"/>
  <c r="F130" i="5"/>
  <c r="D130" i="5"/>
  <c r="B130" i="5"/>
  <c r="C130" i="5" s="1"/>
  <c r="M129" i="5"/>
  <c r="I129" i="5"/>
  <c r="F129" i="5"/>
  <c r="D129" i="5"/>
  <c r="B129" i="5"/>
  <c r="C129" i="5" s="1"/>
  <c r="M128" i="5"/>
  <c r="I128" i="5"/>
  <c r="F128" i="5"/>
  <c r="D128" i="5"/>
  <c r="B128" i="5"/>
  <c r="C128" i="5" s="1"/>
  <c r="M127" i="5"/>
  <c r="I127" i="5"/>
  <c r="F127" i="5"/>
  <c r="D127" i="5"/>
  <c r="C127" i="5"/>
  <c r="B127" i="5"/>
  <c r="M126" i="5"/>
  <c r="I126" i="5"/>
  <c r="F126" i="5"/>
  <c r="D126" i="5"/>
  <c r="C126" i="5"/>
  <c r="B126" i="5"/>
  <c r="M125" i="5"/>
  <c r="I125" i="5"/>
  <c r="F125" i="5"/>
  <c r="D125" i="5"/>
  <c r="B125" i="5"/>
  <c r="C125" i="5" s="1"/>
  <c r="M124" i="5"/>
  <c r="I124" i="5"/>
  <c r="F124" i="5"/>
  <c r="D124" i="5"/>
  <c r="B124" i="5"/>
  <c r="C124" i="5" s="1"/>
  <c r="M123" i="5"/>
  <c r="I123" i="5"/>
  <c r="F123" i="5"/>
  <c r="D123" i="5"/>
  <c r="B123" i="5"/>
  <c r="C123" i="5" s="1"/>
  <c r="M122" i="5"/>
  <c r="I122" i="5"/>
  <c r="F122" i="5"/>
  <c r="D122" i="5"/>
  <c r="B122" i="5"/>
  <c r="C122" i="5" s="1"/>
  <c r="M121" i="5"/>
  <c r="I121" i="5"/>
  <c r="F121" i="5"/>
  <c r="D121" i="5"/>
  <c r="C121" i="5"/>
  <c r="B121" i="5"/>
  <c r="M120" i="5"/>
  <c r="I120" i="5"/>
  <c r="F120" i="5"/>
  <c r="D120" i="5"/>
  <c r="B120" i="5"/>
  <c r="C120" i="5" s="1"/>
  <c r="M119" i="5"/>
  <c r="I119" i="5"/>
  <c r="F119" i="5"/>
  <c r="D119" i="5"/>
  <c r="B119" i="5"/>
  <c r="C119" i="5" s="1"/>
  <c r="M118" i="5"/>
  <c r="I118" i="5"/>
  <c r="F118" i="5"/>
  <c r="D118" i="5"/>
  <c r="B118" i="5"/>
  <c r="C118" i="5" s="1"/>
  <c r="M117" i="5"/>
  <c r="I117" i="5"/>
  <c r="F117" i="5"/>
  <c r="D117" i="5"/>
  <c r="C117" i="5"/>
  <c r="B117" i="5"/>
  <c r="M116" i="5"/>
  <c r="I116" i="5"/>
  <c r="F116" i="5"/>
  <c r="D116" i="5"/>
  <c r="B116" i="5"/>
  <c r="C116" i="5" s="1"/>
  <c r="M115" i="5"/>
  <c r="I115" i="5"/>
  <c r="F115" i="5"/>
  <c r="D115" i="5"/>
  <c r="B115" i="5"/>
  <c r="C115" i="5" s="1"/>
  <c r="M114" i="5"/>
  <c r="I114" i="5"/>
  <c r="F114" i="5"/>
  <c r="D114" i="5"/>
  <c r="C114" i="5"/>
  <c r="B114" i="5"/>
  <c r="M113" i="5"/>
  <c r="I113" i="5"/>
  <c r="F113" i="5"/>
  <c r="D113" i="5"/>
  <c r="B113" i="5"/>
  <c r="C113" i="5" s="1"/>
  <c r="M112" i="5"/>
  <c r="I112" i="5"/>
  <c r="F112" i="5"/>
  <c r="D112" i="5"/>
  <c r="B112" i="5"/>
  <c r="C112" i="5" s="1"/>
  <c r="M111" i="5"/>
  <c r="I111" i="5"/>
  <c r="F111" i="5"/>
  <c r="D111" i="5"/>
  <c r="B111" i="5"/>
  <c r="C111" i="5" s="1"/>
  <c r="M110" i="5"/>
  <c r="I110" i="5"/>
  <c r="F110" i="5"/>
  <c r="D110" i="5"/>
  <c r="B110" i="5"/>
  <c r="C110" i="5" s="1"/>
  <c r="M109" i="5"/>
  <c r="I109" i="5"/>
  <c r="F109" i="5"/>
  <c r="D109" i="5"/>
  <c r="C109" i="5"/>
  <c r="B109" i="5"/>
  <c r="M108" i="5"/>
  <c r="I108" i="5"/>
  <c r="F108" i="5"/>
  <c r="D108" i="5"/>
  <c r="B108" i="5"/>
  <c r="C108" i="5" s="1"/>
  <c r="M107" i="5"/>
  <c r="I107" i="5"/>
  <c r="F107" i="5"/>
  <c r="D107" i="5"/>
  <c r="B107" i="5"/>
  <c r="C107" i="5" s="1"/>
  <c r="M106" i="5"/>
  <c r="I106" i="5"/>
  <c r="F106" i="5"/>
  <c r="D106" i="5"/>
  <c r="B106" i="5"/>
  <c r="C106" i="5" s="1"/>
  <c r="M105" i="5"/>
  <c r="I105" i="5"/>
  <c r="F105" i="5"/>
  <c r="D105" i="5"/>
  <c r="B105" i="5"/>
  <c r="C105" i="5" s="1"/>
  <c r="M104" i="5"/>
  <c r="I104" i="5"/>
  <c r="F104" i="5"/>
  <c r="D104" i="5"/>
  <c r="B104" i="5"/>
  <c r="C104" i="5" s="1"/>
  <c r="M103" i="5"/>
  <c r="I103" i="5"/>
  <c r="F103" i="5"/>
  <c r="D103" i="5"/>
  <c r="C103" i="5"/>
  <c r="B103" i="5"/>
  <c r="M102" i="5"/>
  <c r="I102" i="5"/>
  <c r="F102" i="5"/>
  <c r="D102" i="5"/>
  <c r="B102" i="5"/>
  <c r="C102" i="5" s="1"/>
  <c r="M101" i="5"/>
  <c r="I101" i="5"/>
  <c r="F101" i="5"/>
  <c r="D101" i="5"/>
  <c r="C101" i="5"/>
  <c r="B101" i="5"/>
  <c r="M100" i="5"/>
  <c r="I100" i="5"/>
  <c r="F100" i="5"/>
  <c r="D100" i="5"/>
  <c r="B100" i="5"/>
  <c r="C100" i="5" s="1"/>
  <c r="M99" i="5"/>
  <c r="I99" i="5"/>
  <c r="F99" i="5"/>
  <c r="D99" i="5"/>
  <c r="B99" i="5"/>
  <c r="C99" i="5" s="1"/>
  <c r="M98" i="5"/>
  <c r="I98" i="5"/>
  <c r="F98" i="5"/>
  <c r="D98" i="5"/>
  <c r="B98" i="5"/>
  <c r="C98" i="5" s="1"/>
  <c r="M97" i="5"/>
  <c r="I97" i="5"/>
  <c r="F97" i="5"/>
  <c r="D97" i="5"/>
  <c r="B97" i="5"/>
  <c r="C97" i="5" s="1"/>
  <c r="M96" i="5"/>
  <c r="I96" i="5"/>
  <c r="F96" i="5"/>
  <c r="D96" i="5"/>
  <c r="B96" i="5"/>
  <c r="C96" i="5" s="1"/>
  <c r="M95" i="5"/>
  <c r="I95" i="5"/>
  <c r="F95" i="5"/>
  <c r="D95" i="5"/>
  <c r="B95" i="5"/>
  <c r="C95" i="5" s="1"/>
  <c r="M94" i="5"/>
  <c r="I94" i="5"/>
  <c r="F94" i="5"/>
  <c r="D94" i="5"/>
  <c r="B94" i="5"/>
  <c r="C94" i="5" s="1"/>
  <c r="M93" i="5"/>
  <c r="I93" i="5"/>
  <c r="F93" i="5"/>
  <c r="D93" i="5"/>
  <c r="B93" i="5"/>
  <c r="C93" i="5" s="1"/>
  <c r="M92" i="5"/>
  <c r="I92" i="5"/>
  <c r="F92" i="5"/>
  <c r="D92" i="5"/>
  <c r="B92" i="5"/>
  <c r="C92" i="5" s="1"/>
  <c r="M91" i="5"/>
  <c r="I91" i="5"/>
  <c r="F91" i="5"/>
  <c r="D91" i="5"/>
  <c r="B91" i="5"/>
  <c r="C91" i="5" s="1"/>
  <c r="M90" i="5"/>
  <c r="I90" i="5"/>
  <c r="F90" i="5"/>
  <c r="D90" i="5"/>
  <c r="B90" i="5"/>
  <c r="C90" i="5" s="1"/>
  <c r="M89" i="5"/>
  <c r="I89" i="5"/>
  <c r="F89" i="5"/>
  <c r="D89" i="5"/>
  <c r="B89" i="5"/>
  <c r="C89" i="5" s="1"/>
  <c r="M88" i="5"/>
  <c r="I88" i="5"/>
  <c r="F88" i="5"/>
  <c r="D88" i="5"/>
  <c r="B88" i="5"/>
  <c r="C88" i="5" s="1"/>
  <c r="M87" i="5"/>
  <c r="I87" i="5"/>
  <c r="F87" i="5"/>
  <c r="D87" i="5"/>
  <c r="B87" i="5"/>
  <c r="C87" i="5" s="1"/>
  <c r="M86" i="5"/>
  <c r="I86" i="5"/>
  <c r="F86" i="5"/>
  <c r="D86" i="5"/>
  <c r="B86" i="5"/>
  <c r="C86" i="5" s="1"/>
  <c r="M85" i="5"/>
  <c r="I85" i="5"/>
  <c r="F85" i="5"/>
  <c r="D85" i="5"/>
  <c r="B85" i="5"/>
  <c r="C85" i="5" s="1"/>
  <c r="M84" i="5"/>
  <c r="I84" i="5"/>
  <c r="F84" i="5"/>
  <c r="D84" i="5"/>
  <c r="B84" i="5"/>
  <c r="C84" i="5" s="1"/>
  <c r="M83" i="5"/>
  <c r="I83" i="5"/>
  <c r="F83" i="5"/>
  <c r="D83" i="5"/>
  <c r="B83" i="5"/>
  <c r="C83" i="5" s="1"/>
  <c r="M82" i="5"/>
  <c r="I82" i="5"/>
  <c r="F82" i="5"/>
  <c r="D82" i="5"/>
  <c r="B82" i="5"/>
  <c r="C82" i="5" s="1"/>
  <c r="M81" i="5"/>
  <c r="I81" i="5"/>
  <c r="F81" i="5"/>
  <c r="D81" i="5"/>
  <c r="B81" i="5"/>
  <c r="C81" i="5" s="1"/>
  <c r="M80" i="5"/>
  <c r="I80" i="5"/>
  <c r="F80" i="5"/>
  <c r="D80" i="5"/>
  <c r="B80" i="5"/>
  <c r="C80" i="5" s="1"/>
  <c r="M79" i="5"/>
  <c r="I79" i="5"/>
  <c r="F79" i="5"/>
  <c r="D79" i="5"/>
  <c r="B79" i="5"/>
  <c r="C79" i="5" s="1"/>
  <c r="M78" i="5"/>
  <c r="I78" i="5"/>
  <c r="F78" i="5"/>
  <c r="D78" i="5"/>
  <c r="B78" i="5"/>
  <c r="C78" i="5" s="1"/>
  <c r="M77" i="5"/>
  <c r="I77" i="5"/>
  <c r="F77" i="5"/>
  <c r="D77" i="5"/>
  <c r="C77" i="5"/>
  <c r="B77" i="5"/>
  <c r="M76" i="5"/>
  <c r="I76" i="5"/>
  <c r="F76" i="5"/>
  <c r="D76" i="5"/>
  <c r="B76" i="5"/>
  <c r="C76" i="5" s="1"/>
  <c r="M75" i="5"/>
  <c r="I75" i="5"/>
  <c r="F75" i="5"/>
  <c r="D75" i="5"/>
  <c r="C75" i="5"/>
  <c r="B75" i="5"/>
  <c r="M74" i="5"/>
  <c r="I74" i="5"/>
  <c r="F74" i="5"/>
  <c r="D74" i="5"/>
  <c r="B74" i="5"/>
  <c r="C74" i="5" s="1"/>
  <c r="M73" i="5"/>
  <c r="I73" i="5"/>
  <c r="F73" i="5"/>
  <c r="D73" i="5"/>
  <c r="B73" i="5"/>
  <c r="C73" i="5" s="1"/>
  <c r="M72" i="5"/>
  <c r="I72" i="5"/>
  <c r="F72" i="5"/>
  <c r="D72" i="5"/>
  <c r="B72" i="5"/>
  <c r="C72" i="5" s="1"/>
  <c r="M71" i="5"/>
  <c r="I71" i="5"/>
  <c r="F71" i="5"/>
  <c r="D71" i="5"/>
  <c r="C71" i="5"/>
  <c r="B71" i="5"/>
  <c r="M70" i="5"/>
  <c r="I70" i="5"/>
  <c r="F70" i="5"/>
  <c r="D70" i="5"/>
  <c r="B70" i="5"/>
  <c r="C70" i="5" s="1"/>
  <c r="M69" i="5"/>
  <c r="I69" i="5"/>
  <c r="F69" i="5"/>
  <c r="D69" i="5"/>
  <c r="C69" i="5"/>
  <c r="B69" i="5"/>
  <c r="M68" i="5"/>
  <c r="I68" i="5"/>
  <c r="F68" i="5"/>
  <c r="D68" i="5"/>
  <c r="B68" i="5"/>
  <c r="C68" i="5" s="1"/>
  <c r="M67" i="5"/>
  <c r="I67" i="5"/>
  <c r="F67" i="5"/>
  <c r="D67" i="5"/>
  <c r="B67" i="5"/>
  <c r="C67" i="5" s="1"/>
  <c r="M66" i="5"/>
  <c r="I66" i="5"/>
  <c r="F66" i="5"/>
  <c r="D66" i="5"/>
  <c r="B66" i="5"/>
  <c r="C66" i="5" s="1"/>
  <c r="M65" i="5"/>
  <c r="I65" i="5"/>
  <c r="F65" i="5"/>
  <c r="D65" i="5"/>
  <c r="B65" i="5"/>
  <c r="C65" i="5" s="1"/>
  <c r="M64" i="5"/>
  <c r="I64" i="5"/>
  <c r="F64" i="5"/>
  <c r="D64" i="5"/>
  <c r="B64" i="5"/>
  <c r="C64" i="5" s="1"/>
  <c r="M63" i="5"/>
  <c r="I63" i="5"/>
  <c r="F63" i="5"/>
  <c r="D63" i="5"/>
  <c r="C63" i="5"/>
  <c r="B63" i="5"/>
  <c r="M62" i="5"/>
  <c r="I62" i="5"/>
  <c r="F62" i="5"/>
  <c r="D62" i="5"/>
  <c r="C62" i="5"/>
  <c r="B62" i="5"/>
  <c r="M61" i="5"/>
  <c r="I61" i="5"/>
  <c r="F61" i="5"/>
  <c r="D61" i="5"/>
  <c r="B61" i="5"/>
  <c r="C61" i="5" s="1"/>
  <c r="M60" i="5"/>
  <c r="I60" i="5"/>
  <c r="F60" i="5"/>
  <c r="D60" i="5"/>
  <c r="B60" i="5"/>
  <c r="C60" i="5" s="1"/>
  <c r="M59" i="5"/>
  <c r="I59" i="5"/>
  <c r="F59" i="5"/>
  <c r="D59" i="5"/>
  <c r="B59" i="5"/>
  <c r="C59" i="5" s="1"/>
  <c r="M58" i="5"/>
  <c r="I58" i="5"/>
  <c r="F58" i="5"/>
  <c r="D58" i="5"/>
  <c r="B58" i="5"/>
  <c r="C58" i="5" s="1"/>
  <c r="M57" i="5"/>
  <c r="I57" i="5"/>
  <c r="F57" i="5"/>
  <c r="D57" i="5"/>
  <c r="C57" i="5"/>
  <c r="B57" i="5"/>
  <c r="M56" i="5"/>
  <c r="I56" i="5"/>
  <c r="F56" i="5"/>
  <c r="D56" i="5"/>
  <c r="B56" i="5"/>
  <c r="C56" i="5" s="1"/>
  <c r="M55" i="5"/>
  <c r="I55" i="5"/>
  <c r="F55" i="5"/>
  <c r="D55" i="5"/>
  <c r="B55" i="5"/>
  <c r="C55" i="5" s="1"/>
  <c r="M54" i="5"/>
  <c r="I54" i="5"/>
  <c r="F54" i="5"/>
  <c r="D54" i="5"/>
  <c r="B54" i="5"/>
  <c r="C54" i="5" s="1"/>
  <c r="M53" i="5"/>
  <c r="I53" i="5"/>
  <c r="F53" i="5"/>
  <c r="D53" i="5"/>
  <c r="C53" i="5"/>
  <c r="B53" i="5"/>
  <c r="M52" i="5"/>
  <c r="I52" i="5"/>
  <c r="F52" i="5"/>
  <c r="D52" i="5"/>
  <c r="B52" i="5"/>
  <c r="C52" i="5" s="1"/>
  <c r="M51" i="5"/>
  <c r="I51" i="5"/>
  <c r="F51" i="5"/>
  <c r="D51" i="5"/>
  <c r="B51" i="5"/>
  <c r="C51" i="5" s="1"/>
  <c r="M50" i="5"/>
  <c r="I50" i="5"/>
  <c r="F50" i="5"/>
  <c r="D50" i="5"/>
  <c r="C50" i="5"/>
  <c r="B50" i="5"/>
  <c r="M49" i="5"/>
  <c r="I49" i="5"/>
  <c r="F49" i="5"/>
  <c r="D49" i="5"/>
  <c r="B49" i="5"/>
  <c r="C49" i="5" s="1"/>
  <c r="M48" i="5"/>
  <c r="I48" i="5"/>
  <c r="F48" i="5"/>
  <c r="D48" i="5"/>
  <c r="B48" i="5"/>
  <c r="C48" i="5" s="1"/>
  <c r="M47" i="5"/>
  <c r="I47" i="5"/>
  <c r="F47" i="5"/>
  <c r="D47" i="5"/>
  <c r="B47" i="5"/>
  <c r="C47" i="5" s="1"/>
  <c r="M46" i="5"/>
  <c r="I46" i="5"/>
  <c r="F46" i="5"/>
  <c r="D46" i="5"/>
  <c r="B46" i="5"/>
  <c r="C46" i="5" s="1"/>
  <c r="M45" i="5"/>
  <c r="I45" i="5"/>
  <c r="F45" i="5"/>
  <c r="D45" i="5"/>
  <c r="C45" i="5"/>
  <c r="B45" i="5"/>
  <c r="M44" i="5"/>
  <c r="I44" i="5"/>
  <c r="F44" i="5"/>
  <c r="D44" i="5"/>
  <c r="B44" i="5"/>
  <c r="C44" i="5" s="1"/>
  <c r="M43" i="5"/>
  <c r="I43" i="5"/>
  <c r="F43" i="5"/>
  <c r="D43" i="5"/>
  <c r="B43" i="5"/>
  <c r="C43" i="5" s="1"/>
  <c r="M42" i="5"/>
  <c r="I42" i="5"/>
  <c r="F42" i="5"/>
  <c r="D42" i="5"/>
  <c r="B42" i="5"/>
  <c r="C42" i="5" s="1"/>
  <c r="M41" i="5"/>
  <c r="I41" i="5"/>
  <c r="F41" i="5"/>
  <c r="D41" i="5"/>
  <c r="B41" i="5"/>
  <c r="C41" i="5" s="1"/>
  <c r="M40" i="5"/>
  <c r="I40" i="5"/>
  <c r="F40" i="5"/>
  <c r="D40" i="5"/>
  <c r="B40" i="5"/>
  <c r="C40" i="5" s="1"/>
  <c r="M39" i="5"/>
  <c r="I39" i="5"/>
  <c r="F39" i="5"/>
  <c r="D39" i="5"/>
  <c r="C39" i="5"/>
  <c r="B39" i="5"/>
  <c r="M38" i="5"/>
  <c r="I38" i="5"/>
  <c r="F38" i="5"/>
  <c r="D38" i="5"/>
  <c r="B38" i="5"/>
  <c r="C38" i="5" s="1"/>
  <c r="M37" i="5"/>
  <c r="I37" i="5"/>
  <c r="F37" i="5"/>
  <c r="D37" i="5"/>
  <c r="C37" i="5"/>
  <c r="B37" i="5"/>
  <c r="M36" i="5"/>
  <c r="I36" i="5"/>
  <c r="F36" i="5"/>
  <c r="D36" i="5"/>
  <c r="B36" i="5"/>
  <c r="C36" i="5" s="1"/>
  <c r="M35" i="5"/>
  <c r="I35" i="5"/>
  <c r="F35" i="5"/>
  <c r="D35" i="5"/>
  <c r="B35" i="5"/>
  <c r="C35" i="5" s="1"/>
  <c r="M34" i="5"/>
  <c r="I34" i="5"/>
  <c r="F34" i="5"/>
  <c r="D34" i="5"/>
  <c r="B34" i="5"/>
  <c r="C34" i="5" s="1"/>
  <c r="M33" i="5"/>
  <c r="I33" i="5"/>
  <c r="F33" i="5"/>
  <c r="D33" i="5"/>
  <c r="B33" i="5"/>
  <c r="C33" i="5" s="1"/>
  <c r="M32" i="5"/>
  <c r="I32" i="5"/>
  <c r="F32" i="5"/>
  <c r="D32" i="5"/>
  <c r="B32" i="5"/>
  <c r="C32" i="5" s="1"/>
  <c r="M31" i="5"/>
  <c r="I31" i="5"/>
  <c r="F31" i="5"/>
  <c r="D31" i="5"/>
  <c r="B31" i="5"/>
  <c r="C31" i="5" s="1"/>
  <c r="M30" i="5"/>
  <c r="I30" i="5"/>
  <c r="F30" i="5"/>
  <c r="D30" i="5"/>
  <c r="B30" i="5"/>
  <c r="C30" i="5" s="1"/>
  <c r="M29" i="5"/>
  <c r="I29" i="5"/>
  <c r="F29" i="5"/>
  <c r="D29" i="5"/>
  <c r="B29" i="5"/>
  <c r="C29" i="5" s="1"/>
  <c r="M28" i="5"/>
  <c r="I28" i="5"/>
  <c r="F28" i="5"/>
  <c r="D28" i="5"/>
  <c r="B28" i="5"/>
  <c r="C28" i="5" s="1"/>
  <c r="M27" i="5"/>
  <c r="I27" i="5"/>
  <c r="F27" i="5"/>
  <c r="D27" i="5"/>
  <c r="B27" i="5"/>
  <c r="C27" i="5" s="1"/>
  <c r="M26" i="5"/>
  <c r="I26" i="5"/>
  <c r="F26" i="5"/>
  <c r="D26" i="5"/>
  <c r="B26" i="5"/>
  <c r="C26" i="5" s="1"/>
  <c r="M25" i="5"/>
  <c r="I25" i="5"/>
  <c r="F25" i="5"/>
  <c r="D25" i="5"/>
  <c r="B25" i="5"/>
  <c r="C25" i="5" s="1"/>
  <c r="M24" i="5"/>
  <c r="I24" i="5"/>
  <c r="F24" i="5"/>
  <c r="D24" i="5"/>
  <c r="B24" i="5"/>
  <c r="C24" i="5" s="1"/>
  <c r="M23" i="5"/>
  <c r="I23" i="5"/>
  <c r="F23" i="5"/>
  <c r="D23" i="5"/>
  <c r="B23" i="5"/>
  <c r="C23" i="5" s="1"/>
  <c r="M22" i="5"/>
  <c r="I22" i="5"/>
  <c r="F22" i="5"/>
  <c r="D22" i="5"/>
  <c r="B22" i="5"/>
  <c r="C22" i="5" s="1"/>
  <c r="M21" i="5"/>
  <c r="I21" i="5"/>
  <c r="F21" i="5"/>
  <c r="D21" i="5"/>
  <c r="B21" i="5"/>
  <c r="C21" i="5" s="1"/>
  <c r="M20" i="5"/>
  <c r="I20" i="5"/>
  <c r="F20" i="5"/>
  <c r="D20" i="5"/>
  <c r="B20" i="5"/>
  <c r="C20" i="5" s="1"/>
  <c r="M19" i="5"/>
  <c r="I19" i="5"/>
  <c r="F19" i="5"/>
  <c r="D19" i="5"/>
  <c r="B19" i="5"/>
  <c r="C19" i="5" s="1"/>
  <c r="M18" i="5"/>
  <c r="I18" i="5"/>
  <c r="C17" i="6" s="1"/>
  <c r="D18" i="5"/>
  <c r="B18" i="5"/>
  <c r="C18" i="5" s="1"/>
  <c r="M17" i="5"/>
  <c r="I17" i="5"/>
  <c r="D17" i="5"/>
  <c r="B17" i="5"/>
  <c r="C17" i="5" s="1"/>
  <c r="M16" i="5"/>
  <c r="I16" i="5"/>
  <c r="D16" i="5"/>
  <c r="B16" i="5"/>
  <c r="C16" i="5" s="1"/>
  <c r="M15" i="5"/>
  <c r="I15" i="5"/>
  <c r="D15" i="5"/>
  <c r="C15" i="5"/>
  <c r="B15" i="5"/>
  <c r="M14" i="5"/>
  <c r="I14" i="5"/>
  <c r="D14" i="5"/>
  <c r="B14" i="5"/>
  <c r="B16" i="7" s="1"/>
  <c r="M13" i="5"/>
  <c r="I13" i="5"/>
  <c r="M6" i="4" s="1"/>
  <c r="D13" i="5"/>
  <c r="C13" i="5"/>
  <c r="B13" i="5"/>
  <c r="M12" i="5"/>
  <c r="I12" i="5"/>
  <c r="D12" i="5"/>
  <c r="B12" i="5"/>
  <c r="M11" i="5"/>
  <c r="I11" i="5"/>
  <c r="C14" i="6" s="1"/>
  <c r="D11" i="5"/>
  <c r="B11" i="5"/>
  <c r="C11" i="5" s="1"/>
  <c r="M10" i="5"/>
  <c r="I10" i="5"/>
  <c r="D10" i="5"/>
  <c r="B10" i="5"/>
  <c r="C10" i="5" s="1"/>
  <c r="M9" i="5"/>
  <c r="I9" i="5"/>
  <c r="D9" i="5"/>
  <c r="B9" i="5"/>
  <c r="B12" i="7" s="1"/>
  <c r="M8" i="5"/>
  <c r="I8" i="5"/>
  <c r="D8" i="5"/>
  <c r="B8" i="5"/>
  <c r="C8" i="5" s="1"/>
  <c r="M7" i="5"/>
  <c r="I7" i="5"/>
  <c r="D7" i="5"/>
  <c r="B7" i="5"/>
  <c r="C7" i="5" s="1"/>
  <c r="M6" i="5"/>
  <c r="I6" i="5"/>
  <c r="D6" i="5"/>
  <c r="B6" i="5"/>
  <c r="B9" i="7" s="1"/>
  <c r="M5" i="5"/>
  <c r="I5" i="5"/>
  <c r="C8" i="6" s="1"/>
  <c r="D5" i="5"/>
  <c r="C5" i="5"/>
  <c r="B5" i="5"/>
  <c r="N504" i="4"/>
  <c r="M504" i="4"/>
  <c r="L504" i="4"/>
  <c r="K504" i="4"/>
  <c r="J504" i="4"/>
  <c r="I504" i="4"/>
  <c r="G504" i="4"/>
  <c r="N503" i="4"/>
  <c r="M503" i="4"/>
  <c r="L503" i="4"/>
  <c r="K503" i="4"/>
  <c r="J503" i="4"/>
  <c r="I503" i="4"/>
  <c r="G503" i="4"/>
  <c r="N502" i="4"/>
  <c r="M502" i="4"/>
  <c r="L502" i="4"/>
  <c r="K502" i="4"/>
  <c r="J502" i="4"/>
  <c r="I502" i="4"/>
  <c r="G502" i="4"/>
  <c r="N501" i="4"/>
  <c r="M501" i="4"/>
  <c r="L501" i="4"/>
  <c r="K501" i="4"/>
  <c r="J501" i="4"/>
  <c r="I501" i="4"/>
  <c r="G501" i="4"/>
  <c r="N500" i="4"/>
  <c r="M500" i="4"/>
  <c r="L500" i="4"/>
  <c r="K500" i="4"/>
  <c r="J500" i="4"/>
  <c r="I500" i="4"/>
  <c r="G500" i="4"/>
  <c r="N499" i="4"/>
  <c r="M499" i="4"/>
  <c r="L499" i="4"/>
  <c r="K499" i="4"/>
  <c r="J499" i="4"/>
  <c r="I499" i="4"/>
  <c r="G499" i="4"/>
  <c r="N498" i="4"/>
  <c r="M498" i="4"/>
  <c r="L498" i="4"/>
  <c r="K498" i="4"/>
  <c r="J498" i="4"/>
  <c r="I498" i="4"/>
  <c r="G498" i="4"/>
  <c r="N497" i="4"/>
  <c r="M497" i="4"/>
  <c r="L497" i="4"/>
  <c r="K497" i="4"/>
  <c r="J497" i="4"/>
  <c r="I497" i="4"/>
  <c r="G497" i="4"/>
  <c r="N496" i="4"/>
  <c r="M496" i="4"/>
  <c r="L496" i="4"/>
  <c r="K496" i="4"/>
  <c r="J496" i="4"/>
  <c r="I496" i="4"/>
  <c r="G496" i="4"/>
  <c r="N495" i="4"/>
  <c r="M495" i="4"/>
  <c r="L495" i="4"/>
  <c r="K495" i="4"/>
  <c r="J495" i="4"/>
  <c r="I495" i="4"/>
  <c r="G495" i="4"/>
  <c r="N494" i="4"/>
  <c r="M494" i="4"/>
  <c r="L494" i="4"/>
  <c r="K494" i="4"/>
  <c r="J494" i="4"/>
  <c r="I494" i="4"/>
  <c r="G494" i="4"/>
  <c r="N493" i="4"/>
  <c r="M493" i="4"/>
  <c r="L493" i="4"/>
  <c r="K493" i="4"/>
  <c r="J493" i="4"/>
  <c r="I493" i="4"/>
  <c r="G493" i="4"/>
  <c r="N492" i="4"/>
  <c r="M492" i="4"/>
  <c r="L492" i="4"/>
  <c r="K492" i="4"/>
  <c r="J492" i="4"/>
  <c r="I492" i="4"/>
  <c r="G492" i="4"/>
  <c r="N491" i="4"/>
  <c r="M491" i="4"/>
  <c r="L491" i="4"/>
  <c r="K491" i="4"/>
  <c r="J491" i="4"/>
  <c r="I491" i="4"/>
  <c r="G491" i="4"/>
  <c r="N490" i="4"/>
  <c r="M490" i="4"/>
  <c r="L490" i="4"/>
  <c r="K490" i="4"/>
  <c r="J490" i="4"/>
  <c r="I490" i="4"/>
  <c r="G490" i="4"/>
  <c r="N489" i="4"/>
  <c r="M489" i="4"/>
  <c r="L489" i="4"/>
  <c r="K489" i="4"/>
  <c r="J489" i="4"/>
  <c r="I489" i="4"/>
  <c r="G489" i="4"/>
  <c r="N488" i="4"/>
  <c r="M488" i="4"/>
  <c r="L488" i="4"/>
  <c r="K488" i="4"/>
  <c r="J488" i="4"/>
  <c r="I488" i="4"/>
  <c r="G488" i="4"/>
  <c r="N487" i="4"/>
  <c r="M487" i="4"/>
  <c r="L487" i="4"/>
  <c r="K487" i="4"/>
  <c r="J487" i="4"/>
  <c r="I487" i="4"/>
  <c r="G487" i="4"/>
  <c r="N486" i="4"/>
  <c r="M486" i="4"/>
  <c r="L486" i="4"/>
  <c r="K486" i="4"/>
  <c r="J486" i="4"/>
  <c r="I486" i="4"/>
  <c r="G486" i="4"/>
  <c r="N485" i="4"/>
  <c r="M485" i="4"/>
  <c r="L485" i="4"/>
  <c r="K485" i="4"/>
  <c r="J485" i="4"/>
  <c r="I485" i="4"/>
  <c r="G485" i="4"/>
  <c r="N484" i="4"/>
  <c r="M484" i="4"/>
  <c r="L484" i="4"/>
  <c r="K484" i="4"/>
  <c r="J484" i="4"/>
  <c r="I484" i="4"/>
  <c r="G484" i="4"/>
  <c r="N483" i="4"/>
  <c r="M483" i="4"/>
  <c r="L483" i="4"/>
  <c r="K483" i="4"/>
  <c r="J483" i="4"/>
  <c r="I483" i="4"/>
  <c r="G483" i="4"/>
  <c r="N482" i="4"/>
  <c r="M482" i="4"/>
  <c r="L482" i="4"/>
  <c r="K482" i="4"/>
  <c r="J482" i="4"/>
  <c r="I482" i="4"/>
  <c r="G482" i="4"/>
  <c r="N481" i="4"/>
  <c r="M481" i="4"/>
  <c r="L481" i="4"/>
  <c r="K481" i="4"/>
  <c r="J481" i="4"/>
  <c r="I481" i="4"/>
  <c r="G481" i="4"/>
  <c r="N480" i="4"/>
  <c r="M480" i="4"/>
  <c r="L480" i="4"/>
  <c r="K480" i="4"/>
  <c r="J480" i="4"/>
  <c r="I480" i="4"/>
  <c r="G480" i="4"/>
  <c r="N479" i="4"/>
  <c r="M479" i="4"/>
  <c r="L479" i="4"/>
  <c r="K479" i="4"/>
  <c r="J479" i="4"/>
  <c r="I479" i="4"/>
  <c r="G479" i="4"/>
  <c r="N478" i="4"/>
  <c r="M478" i="4"/>
  <c r="L478" i="4"/>
  <c r="K478" i="4"/>
  <c r="J478" i="4"/>
  <c r="I478" i="4"/>
  <c r="G478" i="4"/>
  <c r="N477" i="4"/>
  <c r="M477" i="4"/>
  <c r="L477" i="4"/>
  <c r="K477" i="4"/>
  <c r="J477" i="4"/>
  <c r="I477" i="4"/>
  <c r="G477" i="4"/>
  <c r="N476" i="4"/>
  <c r="M476" i="4"/>
  <c r="L476" i="4"/>
  <c r="K476" i="4"/>
  <c r="J476" i="4"/>
  <c r="I476" i="4"/>
  <c r="G476" i="4"/>
  <c r="N475" i="4"/>
  <c r="M475" i="4"/>
  <c r="L475" i="4"/>
  <c r="K475" i="4"/>
  <c r="J475" i="4"/>
  <c r="I475" i="4"/>
  <c r="G475" i="4"/>
  <c r="N474" i="4"/>
  <c r="M474" i="4"/>
  <c r="L474" i="4"/>
  <c r="K474" i="4"/>
  <c r="J474" i="4"/>
  <c r="I474" i="4"/>
  <c r="G474" i="4"/>
  <c r="N473" i="4"/>
  <c r="M473" i="4"/>
  <c r="L473" i="4"/>
  <c r="K473" i="4"/>
  <c r="J473" i="4"/>
  <c r="I473" i="4"/>
  <c r="G473" i="4"/>
  <c r="N472" i="4"/>
  <c r="M472" i="4"/>
  <c r="L472" i="4"/>
  <c r="K472" i="4"/>
  <c r="J472" i="4"/>
  <c r="I472" i="4"/>
  <c r="G472" i="4"/>
  <c r="N471" i="4"/>
  <c r="M471" i="4"/>
  <c r="L471" i="4"/>
  <c r="K471" i="4"/>
  <c r="J471" i="4"/>
  <c r="I471" i="4"/>
  <c r="G471" i="4"/>
  <c r="N470" i="4"/>
  <c r="M470" i="4"/>
  <c r="L470" i="4"/>
  <c r="K470" i="4"/>
  <c r="J470" i="4"/>
  <c r="I470" i="4"/>
  <c r="G470" i="4"/>
  <c r="N469" i="4"/>
  <c r="M469" i="4"/>
  <c r="L469" i="4"/>
  <c r="K469" i="4"/>
  <c r="J469" i="4"/>
  <c r="I469" i="4"/>
  <c r="G469" i="4"/>
  <c r="N468" i="4"/>
  <c r="M468" i="4"/>
  <c r="L468" i="4"/>
  <c r="K468" i="4"/>
  <c r="J468" i="4"/>
  <c r="I468" i="4"/>
  <c r="G468" i="4"/>
  <c r="N467" i="4"/>
  <c r="M467" i="4"/>
  <c r="L467" i="4"/>
  <c r="K467" i="4"/>
  <c r="J467" i="4"/>
  <c r="I467" i="4"/>
  <c r="G467" i="4"/>
  <c r="N466" i="4"/>
  <c r="M466" i="4"/>
  <c r="L466" i="4"/>
  <c r="K466" i="4"/>
  <c r="J466" i="4"/>
  <c r="I466" i="4"/>
  <c r="G466" i="4"/>
  <c r="N465" i="4"/>
  <c r="M465" i="4"/>
  <c r="L465" i="4"/>
  <c r="K465" i="4"/>
  <c r="J465" i="4"/>
  <c r="I465" i="4"/>
  <c r="G465" i="4"/>
  <c r="N464" i="4"/>
  <c r="M464" i="4"/>
  <c r="L464" i="4"/>
  <c r="K464" i="4"/>
  <c r="J464" i="4"/>
  <c r="I464" i="4"/>
  <c r="G464" i="4"/>
  <c r="N463" i="4"/>
  <c r="M463" i="4"/>
  <c r="L463" i="4"/>
  <c r="K463" i="4"/>
  <c r="J463" i="4"/>
  <c r="I463" i="4"/>
  <c r="G463" i="4"/>
  <c r="N462" i="4"/>
  <c r="M462" i="4"/>
  <c r="L462" i="4"/>
  <c r="K462" i="4"/>
  <c r="J462" i="4"/>
  <c r="I462" i="4"/>
  <c r="G462" i="4"/>
  <c r="N461" i="4"/>
  <c r="M461" i="4"/>
  <c r="L461" i="4"/>
  <c r="K461" i="4"/>
  <c r="J461" i="4"/>
  <c r="I461" i="4"/>
  <c r="G461" i="4"/>
  <c r="N460" i="4"/>
  <c r="M460" i="4"/>
  <c r="L460" i="4"/>
  <c r="K460" i="4"/>
  <c r="J460" i="4"/>
  <c r="I460" i="4"/>
  <c r="G460" i="4"/>
  <c r="N459" i="4"/>
  <c r="M459" i="4"/>
  <c r="L459" i="4"/>
  <c r="K459" i="4"/>
  <c r="J459" i="4"/>
  <c r="I459" i="4"/>
  <c r="G459" i="4"/>
  <c r="N458" i="4"/>
  <c r="M458" i="4"/>
  <c r="L458" i="4"/>
  <c r="K458" i="4"/>
  <c r="J458" i="4"/>
  <c r="I458" i="4"/>
  <c r="G458" i="4"/>
  <c r="N457" i="4"/>
  <c r="M457" i="4"/>
  <c r="L457" i="4"/>
  <c r="K457" i="4"/>
  <c r="J457" i="4"/>
  <c r="I457" i="4"/>
  <c r="G457" i="4"/>
  <c r="N456" i="4"/>
  <c r="M456" i="4"/>
  <c r="L456" i="4"/>
  <c r="K456" i="4"/>
  <c r="J456" i="4"/>
  <c r="I456" i="4"/>
  <c r="G456" i="4"/>
  <c r="N455" i="4"/>
  <c r="M455" i="4"/>
  <c r="L455" i="4"/>
  <c r="K455" i="4"/>
  <c r="J455" i="4"/>
  <c r="I455" i="4"/>
  <c r="G455" i="4"/>
  <c r="N454" i="4"/>
  <c r="M454" i="4"/>
  <c r="L454" i="4"/>
  <c r="K454" i="4"/>
  <c r="J454" i="4"/>
  <c r="I454" i="4"/>
  <c r="G454" i="4"/>
  <c r="N453" i="4"/>
  <c r="M453" i="4"/>
  <c r="L453" i="4"/>
  <c r="K453" i="4"/>
  <c r="J453" i="4"/>
  <c r="I453" i="4"/>
  <c r="G453" i="4"/>
  <c r="N452" i="4"/>
  <c r="M452" i="4"/>
  <c r="L452" i="4"/>
  <c r="K452" i="4"/>
  <c r="J452" i="4"/>
  <c r="I452" i="4"/>
  <c r="G452" i="4"/>
  <c r="N451" i="4"/>
  <c r="M451" i="4"/>
  <c r="L451" i="4"/>
  <c r="K451" i="4"/>
  <c r="J451" i="4"/>
  <c r="I451" i="4"/>
  <c r="G451" i="4"/>
  <c r="N450" i="4"/>
  <c r="M450" i="4"/>
  <c r="L450" i="4"/>
  <c r="K450" i="4"/>
  <c r="J450" i="4"/>
  <c r="I450" i="4"/>
  <c r="G450" i="4"/>
  <c r="N449" i="4"/>
  <c r="M449" i="4"/>
  <c r="L449" i="4"/>
  <c r="K449" i="4"/>
  <c r="J449" i="4"/>
  <c r="I449" i="4"/>
  <c r="G449" i="4"/>
  <c r="N448" i="4"/>
  <c r="M448" i="4"/>
  <c r="L448" i="4"/>
  <c r="K448" i="4"/>
  <c r="J448" i="4"/>
  <c r="I448" i="4"/>
  <c r="G448" i="4"/>
  <c r="N447" i="4"/>
  <c r="M447" i="4"/>
  <c r="L447" i="4"/>
  <c r="K447" i="4"/>
  <c r="J447" i="4"/>
  <c r="I447" i="4"/>
  <c r="G447" i="4"/>
  <c r="N446" i="4"/>
  <c r="M446" i="4"/>
  <c r="L446" i="4"/>
  <c r="K446" i="4"/>
  <c r="J446" i="4"/>
  <c r="I446" i="4"/>
  <c r="G446" i="4"/>
  <c r="N445" i="4"/>
  <c r="M445" i="4"/>
  <c r="L445" i="4"/>
  <c r="K445" i="4"/>
  <c r="J445" i="4"/>
  <c r="I445" i="4"/>
  <c r="G445" i="4"/>
  <c r="N444" i="4"/>
  <c r="M444" i="4"/>
  <c r="L444" i="4"/>
  <c r="K444" i="4"/>
  <c r="J444" i="4"/>
  <c r="I444" i="4"/>
  <c r="G444" i="4"/>
  <c r="N443" i="4"/>
  <c r="M443" i="4"/>
  <c r="L443" i="4"/>
  <c r="K443" i="4"/>
  <c r="J443" i="4"/>
  <c r="I443" i="4"/>
  <c r="G443" i="4"/>
  <c r="N442" i="4"/>
  <c r="M442" i="4"/>
  <c r="L442" i="4"/>
  <c r="K442" i="4"/>
  <c r="J442" i="4"/>
  <c r="I442" i="4"/>
  <c r="G442" i="4"/>
  <c r="N441" i="4"/>
  <c r="M441" i="4"/>
  <c r="L441" i="4"/>
  <c r="K441" i="4"/>
  <c r="J441" i="4"/>
  <c r="I441" i="4"/>
  <c r="G441" i="4"/>
  <c r="N440" i="4"/>
  <c r="M440" i="4"/>
  <c r="L440" i="4"/>
  <c r="K440" i="4"/>
  <c r="J440" i="4"/>
  <c r="I440" i="4"/>
  <c r="G440" i="4"/>
  <c r="N439" i="4"/>
  <c r="M439" i="4"/>
  <c r="L439" i="4"/>
  <c r="K439" i="4"/>
  <c r="J439" i="4"/>
  <c r="I439" i="4"/>
  <c r="G439" i="4"/>
  <c r="N438" i="4"/>
  <c r="M438" i="4"/>
  <c r="L438" i="4"/>
  <c r="K438" i="4"/>
  <c r="J438" i="4"/>
  <c r="I438" i="4"/>
  <c r="G438" i="4"/>
  <c r="N437" i="4"/>
  <c r="M437" i="4"/>
  <c r="L437" i="4"/>
  <c r="K437" i="4"/>
  <c r="J437" i="4"/>
  <c r="I437" i="4"/>
  <c r="G437" i="4"/>
  <c r="N436" i="4"/>
  <c r="M436" i="4"/>
  <c r="L436" i="4"/>
  <c r="K436" i="4"/>
  <c r="J436" i="4"/>
  <c r="I436" i="4"/>
  <c r="G436" i="4"/>
  <c r="N435" i="4"/>
  <c r="M435" i="4"/>
  <c r="L435" i="4"/>
  <c r="K435" i="4"/>
  <c r="J435" i="4"/>
  <c r="I435" i="4"/>
  <c r="G435" i="4"/>
  <c r="N434" i="4"/>
  <c r="M434" i="4"/>
  <c r="L434" i="4"/>
  <c r="K434" i="4"/>
  <c r="J434" i="4"/>
  <c r="I434" i="4"/>
  <c r="G434" i="4"/>
  <c r="N433" i="4"/>
  <c r="M433" i="4"/>
  <c r="L433" i="4"/>
  <c r="K433" i="4"/>
  <c r="J433" i="4"/>
  <c r="I433" i="4"/>
  <c r="G433" i="4"/>
  <c r="N432" i="4"/>
  <c r="M432" i="4"/>
  <c r="L432" i="4"/>
  <c r="K432" i="4"/>
  <c r="J432" i="4"/>
  <c r="I432" i="4"/>
  <c r="G432" i="4"/>
  <c r="N431" i="4"/>
  <c r="M431" i="4"/>
  <c r="L431" i="4"/>
  <c r="K431" i="4"/>
  <c r="J431" i="4"/>
  <c r="I431" i="4"/>
  <c r="G431" i="4"/>
  <c r="N430" i="4"/>
  <c r="M430" i="4"/>
  <c r="L430" i="4"/>
  <c r="K430" i="4"/>
  <c r="J430" i="4"/>
  <c r="I430" i="4"/>
  <c r="G430" i="4"/>
  <c r="N429" i="4"/>
  <c r="M429" i="4"/>
  <c r="L429" i="4"/>
  <c r="K429" i="4"/>
  <c r="J429" i="4"/>
  <c r="I429" i="4"/>
  <c r="G429" i="4"/>
  <c r="N428" i="4"/>
  <c r="M428" i="4"/>
  <c r="L428" i="4"/>
  <c r="K428" i="4"/>
  <c r="J428" i="4"/>
  <c r="I428" i="4"/>
  <c r="G428" i="4"/>
  <c r="N427" i="4"/>
  <c r="M427" i="4"/>
  <c r="L427" i="4"/>
  <c r="K427" i="4"/>
  <c r="J427" i="4"/>
  <c r="I427" i="4"/>
  <c r="G427" i="4"/>
  <c r="N426" i="4"/>
  <c r="M426" i="4"/>
  <c r="L426" i="4"/>
  <c r="K426" i="4"/>
  <c r="J426" i="4"/>
  <c r="I426" i="4"/>
  <c r="G426" i="4"/>
  <c r="N425" i="4"/>
  <c r="M425" i="4"/>
  <c r="L425" i="4"/>
  <c r="K425" i="4"/>
  <c r="J425" i="4"/>
  <c r="I425" i="4"/>
  <c r="G425" i="4"/>
  <c r="N424" i="4"/>
  <c r="M424" i="4"/>
  <c r="L424" i="4"/>
  <c r="K424" i="4"/>
  <c r="J424" i="4"/>
  <c r="I424" i="4"/>
  <c r="G424" i="4"/>
  <c r="N423" i="4"/>
  <c r="M423" i="4"/>
  <c r="L423" i="4"/>
  <c r="K423" i="4"/>
  <c r="J423" i="4"/>
  <c r="I423" i="4"/>
  <c r="G423" i="4"/>
  <c r="N422" i="4"/>
  <c r="M422" i="4"/>
  <c r="L422" i="4"/>
  <c r="K422" i="4"/>
  <c r="J422" i="4"/>
  <c r="I422" i="4"/>
  <c r="G422" i="4"/>
  <c r="N421" i="4"/>
  <c r="M421" i="4"/>
  <c r="L421" i="4"/>
  <c r="K421" i="4"/>
  <c r="J421" i="4"/>
  <c r="I421" i="4"/>
  <c r="G421" i="4"/>
  <c r="N420" i="4"/>
  <c r="M420" i="4"/>
  <c r="L420" i="4"/>
  <c r="K420" i="4"/>
  <c r="J420" i="4"/>
  <c r="I420" i="4"/>
  <c r="G420" i="4"/>
  <c r="N419" i="4"/>
  <c r="M419" i="4"/>
  <c r="L419" i="4"/>
  <c r="K419" i="4"/>
  <c r="J419" i="4"/>
  <c r="I419" i="4"/>
  <c r="G419" i="4"/>
  <c r="N418" i="4"/>
  <c r="M418" i="4"/>
  <c r="L418" i="4"/>
  <c r="K418" i="4"/>
  <c r="J418" i="4"/>
  <c r="I418" i="4"/>
  <c r="G418" i="4"/>
  <c r="N417" i="4"/>
  <c r="M417" i="4"/>
  <c r="L417" i="4"/>
  <c r="K417" i="4"/>
  <c r="J417" i="4"/>
  <c r="I417" i="4"/>
  <c r="G417" i="4"/>
  <c r="N416" i="4"/>
  <c r="M416" i="4"/>
  <c r="L416" i="4"/>
  <c r="K416" i="4"/>
  <c r="J416" i="4"/>
  <c r="I416" i="4"/>
  <c r="G416" i="4"/>
  <c r="N415" i="4"/>
  <c r="M415" i="4"/>
  <c r="L415" i="4"/>
  <c r="K415" i="4"/>
  <c r="J415" i="4"/>
  <c r="I415" i="4"/>
  <c r="G415" i="4"/>
  <c r="N414" i="4"/>
  <c r="M414" i="4"/>
  <c r="L414" i="4"/>
  <c r="K414" i="4"/>
  <c r="J414" i="4"/>
  <c r="I414" i="4"/>
  <c r="G414" i="4"/>
  <c r="N413" i="4"/>
  <c r="M413" i="4"/>
  <c r="L413" i="4"/>
  <c r="K413" i="4"/>
  <c r="J413" i="4"/>
  <c r="I413" i="4"/>
  <c r="G413" i="4"/>
  <c r="N412" i="4"/>
  <c r="M412" i="4"/>
  <c r="L412" i="4"/>
  <c r="K412" i="4"/>
  <c r="J412" i="4"/>
  <c r="I412" i="4"/>
  <c r="G412" i="4"/>
  <c r="N411" i="4"/>
  <c r="M411" i="4"/>
  <c r="L411" i="4"/>
  <c r="K411" i="4"/>
  <c r="J411" i="4"/>
  <c r="I411" i="4"/>
  <c r="G411" i="4"/>
  <c r="N410" i="4"/>
  <c r="M410" i="4"/>
  <c r="L410" i="4"/>
  <c r="K410" i="4"/>
  <c r="J410" i="4"/>
  <c r="I410" i="4"/>
  <c r="G410" i="4"/>
  <c r="N409" i="4"/>
  <c r="M409" i="4"/>
  <c r="L409" i="4"/>
  <c r="K409" i="4"/>
  <c r="J409" i="4"/>
  <c r="I409" i="4"/>
  <c r="G409" i="4"/>
  <c r="N408" i="4"/>
  <c r="M408" i="4"/>
  <c r="L408" i="4"/>
  <c r="K408" i="4"/>
  <c r="J408" i="4"/>
  <c r="I408" i="4"/>
  <c r="G408" i="4"/>
  <c r="N407" i="4"/>
  <c r="M407" i="4"/>
  <c r="L407" i="4"/>
  <c r="K407" i="4"/>
  <c r="J407" i="4"/>
  <c r="I407" i="4"/>
  <c r="G407" i="4"/>
  <c r="N406" i="4"/>
  <c r="M406" i="4"/>
  <c r="L406" i="4"/>
  <c r="K406" i="4"/>
  <c r="J406" i="4"/>
  <c r="I406" i="4"/>
  <c r="G406" i="4"/>
  <c r="N405" i="4"/>
  <c r="M405" i="4"/>
  <c r="L405" i="4"/>
  <c r="K405" i="4"/>
  <c r="J405" i="4"/>
  <c r="I405" i="4"/>
  <c r="G405" i="4"/>
  <c r="N404" i="4"/>
  <c r="M404" i="4"/>
  <c r="L404" i="4"/>
  <c r="K404" i="4"/>
  <c r="J404" i="4"/>
  <c r="I404" i="4"/>
  <c r="G404" i="4"/>
  <c r="N403" i="4"/>
  <c r="M403" i="4"/>
  <c r="L403" i="4"/>
  <c r="K403" i="4"/>
  <c r="J403" i="4"/>
  <c r="I403" i="4"/>
  <c r="G403" i="4"/>
  <c r="N402" i="4"/>
  <c r="M402" i="4"/>
  <c r="L402" i="4"/>
  <c r="K402" i="4"/>
  <c r="J402" i="4"/>
  <c r="I402" i="4"/>
  <c r="G402" i="4"/>
  <c r="N401" i="4"/>
  <c r="M401" i="4"/>
  <c r="L401" i="4"/>
  <c r="K401" i="4"/>
  <c r="J401" i="4"/>
  <c r="I401" i="4"/>
  <c r="G401" i="4"/>
  <c r="N400" i="4"/>
  <c r="M400" i="4"/>
  <c r="L400" i="4"/>
  <c r="K400" i="4"/>
  <c r="J400" i="4"/>
  <c r="I400" i="4"/>
  <c r="G400" i="4"/>
  <c r="N399" i="4"/>
  <c r="M399" i="4"/>
  <c r="L399" i="4"/>
  <c r="K399" i="4"/>
  <c r="J399" i="4"/>
  <c r="I399" i="4"/>
  <c r="G399" i="4"/>
  <c r="N398" i="4"/>
  <c r="M398" i="4"/>
  <c r="L398" i="4"/>
  <c r="K398" i="4"/>
  <c r="J398" i="4"/>
  <c r="I398" i="4"/>
  <c r="G398" i="4"/>
  <c r="N397" i="4"/>
  <c r="M397" i="4"/>
  <c r="L397" i="4"/>
  <c r="K397" i="4"/>
  <c r="J397" i="4"/>
  <c r="I397" i="4"/>
  <c r="G397" i="4"/>
  <c r="N396" i="4"/>
  <c r="M396" i="4"/>
  <c r="L396" i="4"/>
  <c r="K396" i="4"/>
  <c r="J396" i="4"/>
  <c r="I396" i="4"/>
  <c r="G396" i="4"/>
  <c r="N395" i="4"/>
  <c r="M395" i="4"/>
  <c r="L395" i="4"/>
  <c r="K395" i="4"/>
  <c r="J395" i="4"/>
  <c r="I395" i="4"/>
  <c r="G395" i="4"/>
  <c r="N394" i="4"/>
  <c r="M394" i="4"/>
  <c r="L394" i="4"/>
  <c r="K394" i="4"/>
  <c r="J394" i="4"/>
  <c r="I394" i="4"/>
  <c r="G394" i="4"/>
  <c r="N393" i="4"/>
  <c r="M393" i="4"/>
  <c r="L393" i="4"/>
  <c r="K393" i="4"/>
  <c r="J393" i="4"/>
  <c r="I393" i="4"/>
  <c r="G393" i="4"/>
  <c r="N392" i="4"/>
  <c r="M392" i="4"/>
  <c r="L392" i="4"/>
  <c r="K392" i="4"/>
  <c r="J392" i="4"/>
  <c r="I392" i="4"/>
  <c r="G392" i="4"/>
  <c r="N391" i="4"/>
  <c r="M391" i="4"/>
  <c r="L391" i="4"/>
  <c r="K391" i="4"/>
  <c r="J391" i="4"/>
  <c r="I391" i="4"/>
  <c r="G391" i="4"/>
  <c r="N390" i="4"/>
  <c r="M390" i="4"/>
  <c r="L390" i="4"/>
  <c r="K390" i="4"/>
  <c r="J390" i="4"/>
  <c r="I390" i="4"/>
  <c r="G390" i="4"/>
  <c r="N389" i="4"/>
  <c r="M389" i="4"/>
  <c r="L389" i="4"/>
  <c r="K389" i="4"/>
  <c r="J389" i="4"/>
  <c r="I389" i="4"/>
  <c r="G389" i="4"/>
  <c r="N388" i="4"/>
  <c r="M388" i="4"/>
  <c r="L388" i="4"/>
  <c r="K388" i="4"/>
  <c r="J388" i="4"/>
  <c r="I388" i="4"/>
  <c r="G388" i="4"/>
  <c r="N387" i="4"/>
  <c r="M387" i="4"/>
  <c r="L387" i="4"/>
  <c r="K387" i="4"/>
  <c r="J387" i="4"/>
  <c r="I387" i="4"/>
  <c r="G387" i="4"/>
  <c r="N386" i="4"/>
  <c r="M386" i="4"/>
  <c r="L386" i="4"/>
  <c r="K386" i="4"/>
  <c r="J386" i="4"/>
  <c r="I386" i="4"/>
  <c r="G386" i="4"/>
  <c r="N385" i="4"/>
  <c r="M385" i="4"/>
  <c r="L385" i="4"/>
  <c r="K385" i="4"/>
  <c r="J385" i="4"/>
  <c r="I385" i="4"/>
  <c r="G385" i="4"/>
  <c r="N384" i="4"/>
  <c r="M384" i="4"/>
  <c r="L384" i="4"/>
  <c r="K384" i="4"/>
  <c r="J384" i="4"/>
  <c r="I384" i="4"/>
  <c r="G384" i="4"/>
  <c r="N383" i="4"/>
  <c r="M383" i="4"/>
  <c r="L383" i="4"/>
  <c r="K383" i="4"/>
  <c r="J383" i="4"/>
  <c r="I383" i="4"/>
  <c r="G383" i="4"/>
  <c r="N382" i="4"/>
  <c r="M382" i="4"/>
  <c r="L382" i="4"/>
  <c r="K382" i="4"/>
  <c r="J382" i="4"/>
  <c r="I382" i="4"/>
  <c r="G382" i="4"/>
  <c r="N381" i="4"/>
  <c r="M381" i="4"/>
  <c r="L381" i="4"/>
  <c r="K381" i="4"/>
  <c r="J381" i="4"/>
  <c r="I381" i="4"/>
  <c r="G381" i="4"/>
  <c r="N380" i="4"/>
  <c r="M380" i="4"/>
  <c r="L380" i="4"/>
  <c r="K380" i="4"/>
  <c r="J380" i="4"/>
  <c r="I380" i="4"/>
  <c r="G380" i="4"/>
  <c r="N379" i="4"/>
  <c r="M379" i="4"/>
  <c r="L379" i="4"/>
  <c r="K379" i="4"/>
  <c r="J379" i="4"/>
  <c r="I379" i="4"/>
  <c r="G379" i="4"/>
  <c r="N378" i="4"/>
  <c r="M378" i="4"/>
  <c r="L378" i="4"/>
  <c r="K378" i="4"/>
  <c r="J378" i="4"/>
  <c r="I378" i="4"/>
  <c r="G378" i="4"/>
  <c r="N377" i="4"/>
  <c r="M377" i="4"/>
  <c r="L377" i="4"/>
  <c r="K377" i="4"/>
  <c r="J377" i="4"/>
  <c r="I377" i="4"/>
  <c r="G377" i="4"/>
  <c r="N376" i="4"/>
  <c r="M376" i="4"/>
  <c r="L376" i="4"/>
  <c r="K376" i="4"/>
  <c r="J376" i="4"/>
  <c r="I376" i="4"/>
  <c r="G376" i="4"/>
  <c r="N375" i="4"/>
  <c r="M375" i="4"/>
  <c r="L375" i="4"/>
  <c r="K375" i="4"/>
  <c r="J375" i="4"/>
  <c r="I375" i="4"/>
  <c r="G375" i="4"/>
  <c r="N374" i="4"/>
  <c r="M374" i="4"/>
  <c r="L374" i="4"/>
  <c r="K374" i="4"/>
  <c r="J374" i="4"/>
  <c r="I374" i="4"/>
  <c r="G374" i="4"/>
  <c r="N373" i="4"/>
  <c r="M373" i="4"/>
  <c r="L373" i="4"/>
  <c r="K373" i="4"/>
  <c r="J373" i="4"/>
  <c r="I373" i="4"/>
  <c r="G373" i="4"/>
  <c r="N372" i="4"/>
  <c r="M372" i="4"/>
  <c r="L372" i="4"/>
  <c r="K372" i="4"/>
  <c r="J372" i="4"/>
  <c r="I372" i="4"/>
  <c r="G372" i="4"/>
  <c r="N371" i="4"/>
  <c r="M371" i="4"/>
  <c r="L371" i="4"/>
  <c r="K371" i="4"/>
  <c r="J371" i="4"/>
  <c r="I371" i="4"/>
  <c r="G371" i="4"/>
  <c r="N370" i="4"/>
  <c r="M370" i="4"/>
  <c r="L370" i="4"/>
  <c r="K370" i="4"/>
  <c r="J370" i="4"/>
  <c r="I370" i="4"/>
  <c r="G370" i="4"/>
  <c r="N369" i="4"/>
  <c r="M369" i="4"/>
  <c r="L369" i="4"/>
  <c r="K369" i="4"/>
  <c r="J369" i="4"/>
  <c r="I369" i="4"/>
  <c r="G369" i="4"/>
  <c r="N368" i="4"/>
  <c r="M368" i="4"/>
  <c r="L368" i="4"/>
  <c r="K368" i="4"/>
  <c r="J368" i="4"/>
  <c r="I368" i="4"/>
  <c r="G368" i="4"/>
  <c r="N367" i="4"/>
  <c r="M367" i="4"/>
  <c r="L367" i="4"/>
  <c r="K367" i="4"/>
  <c r="J367" i="4"/>
  <c r="I367" i="4"/>
  <c r="G367" i="4"/>
  <c r="N366" i="4"/>
  <c r="M366" i="4"/>
  <c r="L366" i="4"/>
  <c r="K366" i="4"/>
  <c r="J366" i="4"/>
  <c r="I366" i="4"/>
  <c r="G366" i="4"/>
  <c r="N365" i="4"/>
  <c r="M365" i="4"/>
  <c r="L365" i="4"/>
  <c r="K365" i="4"/>
  <c r="J365" i="4"/>
  <c r="I365" i="4"/>
  <c r="G365" i="4"/>
  <c r="N364" i="4"/>
  <c r="M364" i="4"/>
  <c r="L364" i="4"/>
  <c r="K364" i="4"/>
  <c r="J364" i="4"/>
  <c r="I364" i="4"/>
  <c r="G364" i="4"/>
  <c r="N363" i="4"/>
  <c r="M363" i="4"/>
  <c r="L363" i="4"/>
  <c r="K363" i="4"/>
  <c r="J363" i="4"/>
  <c r="I363" i="4"/>
  <c r="G363" i="4"/>
  <c r="N362" i="4"/>
  <c r="M362" i="4"/>
  <c r="L362" i="4"/>
  <c r="K362" i="4"/>
  <c r="J362" i="4"/>
  <c r="I362" i="4"/>
  <c r="G362" i="4"/>
  <c r="N361" i="4"/>
  <c r="M361" i="4"/>
  <c r="L361" i="4"/>
  <c r="K361" i="4"/>
  <c r="J361" i="4"/>
  <c r="I361" i="4"/>
  <c r="G361" i="4"/>
  <c r="N360" i="4"/>
  <c r="M360" i="4"/>
  <c r="L360" i="4"/>
  <c r="K360" i="4"/>
  <c r="J360" i="4"/>
  <c r="I360" i="4"/>
  <c r="G360" i="4"/>
  <c r="N359" i="4"/>
  <c r="M359" i="4"/>
  <c r="L359" i="4"/>
  <c r="K359" i="4"/>
  <c r="J359" i="4"/>
  <c r="I359" i="4"/>
  <c r="G359" i="4"/>
  <c r="N358" i="4"/>
  <c r="M358" i="4"/>
  <c r="L358" i="4"/>
  <c r="K358" i="4"/>
  <c r="J358" i="4"/>
  <c r="I358" i="4"/>
  <c r="G358" i="4"/>
  <c r="N357" i="4"/>
  <c r="M357" i="4"/>
  <c r="L357" i="4"/>
  <c r="K357" i="4"/>
  <c r="J357" i="4"/>
  <c r="I357" i="4"/>
  <c r="G357" i="4"/>
  <c r="N356" i="4"/>
  <c r="M356" i="4"/>
  <c r="L356" i="4"/>
  <c r="K356" i="4"/>
  <c r="J356" i="4"/>
  <c r="I356" i="4"/>
  <c r="G356" i="4"/>
  <c r="N355" i="4"/>
  <c r="M355" i="4"/>
  <c r="L355" i="4"/>
  <c r="K355" i="4"/>
  <c r="J355" i="4"/>
  <c r="I355" i="4"/>
  <c r="G355" i="4"/>
  <c r="N354" i="4"/>
  <c r="M354" i="4"/>
  <c r="L354" i="4"/>
  <c r="K354" i="4"/>
  <c r="J354" i="4"/>
  <c r="I354" i="4"/>
  <c r="G354" i="4"/>
  <c r="N353" i="4"/>
  <c r="M353" i="4"/>
  <c r="L353" i="4"/>
  <c r="K353" i="4"/>
  <c r="J353" i="4"/>
  <c r="I353" i="4"/>
  <c r="G353" i="4"/>
  <c r="N352" i="4"/>
  <c r="M352" i="4"/>
  <c r="L352" i="4"/>
  <c r="K352" i="4"/>
  <c r="J352" i="4"/>
  <c r="I352" i="4"/>
  <c r="G352" i="4"/>
  <c r="N351" i="4"/>
  <c r="M351" i="4"/>
  <c r="L351" i="4"/>
  <c r="K351" i="4"/>
  <c r="J351" i="4"/>
  <c r="I351" i="4"/>
  <c r="G351" i="4"/>
  <c r="N350" i="4"/>
  <c r="M350" i="4"/>
  <c r="L350" i="4"/>
  <c r="K350" i="4"/>
  <c r="J350" i="4"/>
  <c r="I350" i="4"/>
  <c r="G350" i="4"/>
  <c r="N349" i="4"/>
  <c r="M349" i="4"/>
  <c r="L349" i="4"/>
  <c r="K349" i="4"/>
  <c r="J349" i="4"/>
  <c r="I349" i="4"/>
  <c r="G349" i="4"/>
  <c r="N348" i="4"/>
  <c r="M348" i="4"/>
  <c r="L348" i="4"/>
  <c r="K348" i="4"/>
  <c r="J348" i="4"/>
  <c r="I348" i="4"/>
  <c r="G348" i="4"/>
  <c r="N347" i="4"/>
  <c r="M347" i="4"/>
  <c r="L347" i="4"/>
  <c r="K347" i="4"/>
  <c r="J347" i="4"/>
  <c r="I347" i="4"/>
  <c r="G347" i="4"/>
  <c r="N346" i="4"/>
  <c r="M346" i="4"/>
  <c r="L346" i="4"/>
  <c r="K346" i="4"/>
  <c r="J346" i="4"/>
  <c r="I346" i="4"/>
  <c r="G346" i="4"/>
  <c r="N345" i="4"/>
  <c r="M345" i="4"/>
  <c r="L345" i="4"/>
  <c r="K345" i="4"/>
  <c r="J345" i="4"/>
  <c r="I345" i="4"/>
  <c r="G345" i="4"/>
  <c r="N344" i="4"/>
  <c r="M344" i="4"/>
  <c r="L344" i="4"/>
  <c r="K344" i="4"/>
  <c r="J344" i="4"/>
  <c r="I344" i="4"/>
  <c r="G344" i="4"/>
  <c r="N343" i="4"/>
  <c r="M343" i="4"/>
  <c r="L343" i="4"/>
  <c r="K343" i="4"/>
  <c r="J343" i="4"/>
  <c r="I343" i="4"/>
  <c r="G343" i="4"/>
  <c r="N342" i="4"/>
  <c r="M342" i="4"/>
  <c r="L342" i="4"/>
  <c r="K342" i="4"/>
  <c r="J342" i="4"/>
  <c r="I342" i="4"/>
  <c r="G342" i="4"/>
  <c r="N341" i="4"/>
  <c r="M341" i="4"/>
  <c r="L341" i="4"/>
  <c r="K341" i="4"/>
  <c r="J341" i="4"/>
  <c r="I341" i="4"/>
  <c r="G341" i="4"/>
  <c r="N340" i="4"/>
  <c r="M340" i="4"/>
  <c r="L340" i="4"/>
  <c r="K340" i="4"/>
  <c r="J340" i="4"/>
  <c r="I340" i="4"/>
  <c r="G340" i="4"/>
  <c r="N339" i="4"/>
  <c r="M339" i="4"/>
  <c r="L339" i="4"/>
  <c r="K339" i="4"/>
  <c r="J339" i="4"/>
  <c r="I339" i="4"/>
  <c r="G339" i="4"/>
  <c r="N338" i="4"/>
  <c r="M338" i="4"/>
  <c r="L338" i="4"/>
  <c r="K338" i="4"/>
  <c r="J338" i="4"/>
  <c r="I338" i="4"/>
  <c r="G338" i="4"/>
  <c r="N337" i="4"/>
  <c r="M337" i="4"/>
  <c r="L337" i="4"/>
  <c r="K337" i="4"/>
  <c r="J337" i="4"/>
  <c r="I337" i="4"/>
  <c r="G337" i="4"/>
  <c r="N336" i="4"/>
  <c r="M336" i="4"/>
  <c r="L336" i="4"/>
  <c r="K336" i="4"/>
  <c r="J336" i="4"/>
  <c r="I336" i="4"/>
  <c r="G336" i="4"/>
  <c r="N335" i="4"/>
  <c r="M335" i="4"/>
  <c r="L335" i="4"/>
  <c r="K335" i="4"/>
  <c r="J335" i="4"/>
  <c r="I335" i="4"/>
  <c r="G335" i="4"/>
  <c r="N334" i="4"/>
  <c r="M334" i="4"/>
  <c r="L334" i="4"/>
  <c r="K334" i="4"/>
  <c r="J334" i="4"/>
  <c r="I334" i="4"/>
  <c r="G334" i="4"/>
  <c r="N333" i="4"/>
  <c r="M333" i="4"/>
  <c r="L333" i="4"/>
  <c r="K333" i="4"/>
  <c r="J333" i="4"/>
  <c r="I333" i="4"/>
  <c r="G333" i="4"/>
  <c r="N332" i="4"/>
  <c r="M332" i="4"/>
  <c r="L332" i="4"/>
  <c r="K332" i="4"/>
  <c r="J332" i="4"/>
  <c r="I332" i="4"/>
  <c r="G332" i="4"/>
  <c r="N331" i="4"/>
  <c r="M331" i="4"/>
  <c r="L331" i="4"/>
  <c r="K331" i="4"/>
  <c r="J331" i="4"/>
  <c r="I331" i="4"/>
  <c r="G331" i="4"/>
  <c r="N330" i="4"/>
  <c r="M330" i="4"/>
  <c r="L330" i="4"/>
  <c r="K330" i="4"/>
  <c r="J330" i="4"/>
  <c r="I330" i="4"/>
  <c r="G330" i="4"/>
  <c r="N329" i="4"/>
  <c r="M329" i="4"/>
  <c r="L329" i="4"/>
  <c r="K329" i="4"/>
  <c r="J329" i="4"/>
  <c r="I329" i="4"/>
  <c r="G329" i="4"/>
  <c r="N328" i="4"/>
  <c r="M328" i="4"/>
  <c r="L328" i="4"/>
  <c r="K328" i="4"/>
  <c r="J328" i="4"/>
  <c r="I328" i="4"/>
  <c r="G328" i="4"/>
  <c r="N327" i="4"/>
  <c r="M327" i="4"/>
  <c r="L327" i="4"/>
  <c r="K327" i="4"/>
  <c r="J327" i="4"/>
  <c r="I327" i="4"/>
  <c r="G327" i="4"/>
  <c r="N326" i="4"/>
  <c r="M326" i="4"/>
  <c r="L326" i="4"/>
  <c r="K326" i="4"/>
  <c r="J326" i="4"/>
  <c r="I326" i="4"/>
  <c r="G326" i="4"/>
  <c r="N325" i="4"/>
  <c r="M325" i="4"/>
  <c r="L325" i="4"/>
  <c r="K325" i="4"/>
  <c r="J325" i="4"/>
  <c r="I325" i="4"/>
  <c r="G325" i="4"/>
  <c r="N324" i="4"/>
  <c r="M324" i="4"/>
  <c r="L324" i="4"/>
  <c r="K324" i="4"/>
  <c r="J324" i="4"/>
  <c r="I324" i="4"/>
  <c r="G324" i="4"/>
  <c r="N323" i="4"/>
  <c r="M323" i="4"/>
  <c r="L323" i="4"/>
  <c r="K323" i="4"/>
  <c r="J323" i="4"/>
  <c r="I323" i="4"/>
  <c r="G323" i="4"/>
  <c r="N322" i="4"/>
  <c r="M322" i="4"/>
  <c r="L322" i="4"/>
  <c r="K322" i="4"/>
  <c r="J322" i="4"/>
  <c r="I322" i="4"/>
  <c r="G322" i="4"/>
  <c r="N321" i="4"/>
  <c r="M321" i="4"/>
  <c r="L321" i="4"/>
  <c r="K321" i="4"/>
  <c r="J321" i="4"/>
  <c r="I321" i="4"/>
  <c r="G321" i="4"/>
  <c r="N320" i="4"/>
  <c r="M320" i="4"/>
  <c r="L320" i="4"/>
  <c r="K320" i="4"/>
  <c r="J320" i="4"/>
  <c r="I320" i="4"/>
  <c r="G320" i="4"/>
  <c r="N319" i="4"/>
  <c r="M319" i="4"/>
  <c r="L319" i="4"/>
  <c r="K319" i="4"/>
  <c r="J319" i="4"/>
  <c r="I319" i="4"/>
  <c r="G319" i="4"/>
  <c r="N318" i="4"/>
  <c r="M318" i="4"/>
  <c r="L318" i="4"/>
  <c r="K318" i="4"/>
  <c r="J318" i="4"/>
  <c r="I318" i="4"/>
  <c r="G318" i="4"/>
  <c r="N317" i="4"/>
  <c r="M317" i="4"/>
  <c r="L317" i="4"/>
  <c r="K317" i="4"/>
  <c r="J317" i="4"/>
  <c r="I317" i="4"/>
  <c r="G317" i="4"/>
  <c r="N316" i="4"/>
  <c r="M316" i="4"/>
  <c r="L316" i="4"/>
  <c r="K316" i="4"/>
  <c r="J316" i="4"/>
  <c r="I316" i="4"/>
  <c r="G316" i="4"/>
  <c r="N315" i="4"/>
  <c r="M315" i="4"/>
  <c r="L315" i="4"/>
  <c r="K315" i="4"/>
  <c r="J315" i="4"/>
  <c r="I315" i="4"/>
  <c r="G315" i="4"/>
  <c r="N314" i="4"/>
  <c r="M314" i="4"/>
  <c r="L314" i="4"/>
  <c r="K314" i="4"/>
  <c r="J314" i="4"/>
  <c r="I314" i="4"/>
  <c r="G314" i="4"/>
  <c r="N313" i="4"/>
  <c r="M313" i="4"/>
  <c r="L313" i="4"/>
  <c r="K313" i="4"/>
  <c r="J313" i="4"/>
  <c r="I313" i="4"/>
  <c r="G313" i="4"/>
  <c r="N312" i="4"/>
  <c r="M312" i="4"/>
  <c r="L312" i="4"/>
  <c r="K312" i="4"/>
  <c r="J312" i="4"/>
  <c r="I312" i="4"/>
  <c r="G312" i="4"/>
  <c r="N311" i="4"/>
  <c r="M311" i="4"/>
  <c r="L311" i="4"/>
  <c r="K311" i="4"/>
  <c r="J311" i="4"/>
  <c r="I311" i="4"/>
  <c r="G311" i="4"/>
  <c r="N310" i="4"/>
  <c r="M310" i="4"/>
  <c r="L310" i="4"/>
  <c r="K310" i="4"/>
  <c r="J310" i="4"/>
  <c r="I310" i="4"/>
  <c r="G310" i="4"/>
  <c r="N309" i="4"/>
  <c r="M309" i="4"/>
  <c r="L309" i="4"/>
  <c r="K309" i="4"/>
  <c r="J309" i="4"/>
  <c r="I309" i="4"/>
  <c r="G309" i="4"/>
  <c r="N308" i="4"/>
  <c r="M308" i="4"/>
  <c r="L308" i="4"/>
  <c r="K308" i="4"/>
  <c r="J308" i="4"/>
  <c r="I308" i="4"/>
  <c r="G308" i="4"/>
  <c r="N307" i="4"/>
  <c r="M307" i="4"/>
  <c r="L307" i="4"/>
  <c r="K307" i="4"/>
  <c r="J307" i="4"/>
  <c r="I307" i="4"/>
  <c r="G307" i="4"/>
  <c r="N306" i="4"/>
  <c r="M306" i="4"/>
  <c r="L306" i="4"/>
  <c r="K306" i="4"/>
  <c r="J306" i="4"/>
  <c r="I306" i="4"/>
  <c r="G306" i="4"/>
  <c r="N305" i="4"/>
  <c r="M305" i="4"/>
  <c r="L305" i="4"/>
  <c r="K305" i="4"/>
  <c r="J305" i="4"/>
  <c r="I305" i="4"/>
  <c r="G305" i="4"/>
  <c r="N304" i="4"/>
  <c r="M304" i="4"/>
  <c r="L304" i="4"/>
  <c r="K304" i="4"/>
  <c r="J304" i="4"/>
  <c r="I304" i="4"/>
  <c r="G304" i="4"/>
  <c r="N303" i="4"/>
  <c r="M303" i="4"/>
  <c r="L303" i="4"/>
  <c r="K303" i="4"/>
  <c r="J303" i="4"/>
  <c r="I303" i="4"/>
  <c r="G303" i="4"/>
  <c r="N302" i="4"/>
  <c r="M302" i="4"/>
  <c r="L302" i="4"/>
  <c r="K302" i="4"/>
  <c r="J302" i="4"/>
  <c r="I302" i="4"/>
  <c r="G302" i="4"/>
  <c r="N301" i="4"/>
  <c r="M301" i="4"/>
  <c r="L301" i="4"/>
  <c r="K301" i="4"/>
  <c r="J301" i="4"/>
  <c r="I301" i="4"/>
  <c r="G301" i="4"/>
  <c r="N300" i="4"/>
  <c r="M300" i="4"/>
  <c r="L300" i="4"/>
  <c r="K300" i="4"/>
  <c r="J300" i="4"/>
  <c r="I300" i="4"/>
  <c r="G300" i="4"/>
  <c r="N299" i="4"/>
  <c r="M299" i="4"/>
  <c r="L299" i="4"/>
  <c r="K299" i="4"/>
  <c r="J299" i="4"/>
  <c r="I299" i="4"/>
  <c r="G299" i="4"/>
  <c r="N298" i="4"/>
  <c r="M298" i="4"/>
  <c r="L298" i="4"/>
  <c r="K298" i="4"/>
  <c r="J298" i="4"/>
  <c r="I298" i="4"/>
  <c r="G298" i="4"/>
  <c r="N297" i="4"/>
  <c r="M297" i="4"/>
  <c r="L297" i="4"/>
  <c r="K297" i="4"/>
  <c r="J297" i="4"/>
  <c r="I297" i="4"/>
  <c r="G297" i="4"/>
  <c r="N296" i="4"/>
  <c r="M296" i="4"/>
  <c r="L296" i="4"/>
  <c r="K296" i="4"/>
  <c r="J296" i="4"/>
  <c r="I296" i="4"/>
  <c r="G296" i="4"/>
  <c r="N295" i="4"/>
  <c r="M295" i="4"/>
  <c r="L295" i="4"/>
  <c r="K295" i="4"/>
  <c r="J295" i="4"/>
  <c r="I295" i="4"/>
  <c r="G295" i="4"/>
  <c r="N294" i="4"/>
  <c r="M294" i="4"/>
  <c r="L294" i="4"/>
  <c r="K294" i="4"/>
  <c r="J294" i="4"/>
  <c r="I294" i="4"/>
  <c r="G294" i="4"/>
  <c r="N293" i="4"/>
  <c r="M293" i="4"/>
  <c r="L293" i="4"/>
  <c r="K293" i="4"/>
  <c r="J293" i="4"/>
  <c r="I293" i="4"/>
  <c r="G293" i="4"/>
  <c r="N292" i="4"/>
  <c r="M292" i="4"/>
  <c r="L292" i="4"/>
  <c r="K292" i="4"/>
  <c r="J292" i="4"/>
  <c r="I292" i="4"/>
  <c r="G292" i="4"/>
  <c r="N291" i="4"/>
  <c r="M291" i="4"/>
  <c r="L291" i="4"/>
  <c r="K291" i="4"/>
  <c r="J291" i="4"/>
  <c r="I291" i="4"/>
  <c r="G291" i="4"/>
  <c r="N290" i="4"/>
  <c r="M290" i="4"/>
  <c r="L290" i="4"/>
  <c r="K290" i="4"/>
  <c r="J290" i="4"/>
  <c r="I290" i="4"/>
  <c r="G290" i="4"/>
  <c r="N289" i="4"/>
  <c r="M289" i="4"/>
  <c r="L289" i="4"/>
  <c r="K289" i="4"/>
  <c r="J289" i="4"/>
  <c r="I289" i="4"/>
  <c r="G289" i="4"/>
  <c r="N288" i="4"/>
  <c r="M288" i="4"/>
  <c r="L288" i="4"/>
  <c r="K288" i="4"/>
  <c r="J288" i="4"/>
  <c r="I288" i="4"/>
  <c r="G288" i="4"/>
  <c r="N287" i="4"/>
  <c r="M287" i="4"/>
  <c r="L287" i="4"/>
  <c r="K287" i="4"/>
  <c r="J287" i="4"/>
  <c r="I287" i="4"/>
  <c r="G287" i="4"/>
  <c r="N286" i="4"/>
  <c r="M286" i="4"/>
  <c r="L286" i="4"/>
  <c r="K286" i="4"/>
  <c r="J286" i="4"/>
  <c r="I286" i="4"/>
  <c r="G286" i="4"/>
  <c r="N285" i="4"/>
  <c r="M285" i="4"/>
  <c r="L285" i="4"/>
  <c r="K285" i="4"/>
  <c r="J285" i="4"/>
  <c r="I285" i="4"/>
  <c r="G285" i="4"/>
  <c r="N284" i="4"/>
  <c r="M284" i="4"/>
  <c r="L284" i="4"/>
  <c r="K284" i="4"/>
  <c r="J284" i="4"/>
  <c r="I284" i="4"/>
  <c r="G284" i="4"/>
  <c r="N283" i="4"/>
  <c r="M283" i="4"/>
  <c r="L283" i="4"/>
  <c r="K283" i="4"/>
  <c r="J283" i="4"/>
  <c r="I283" i="4"/>
  <c r="G283" i="4"/>
  <c r="N282" i="4"/>
  <c r="M282" i="4"/>
  <c r="L282" i="4"/>
  <c r="K282" i="4"/>
  <c r="J282" i="4"/>
  <c r="I282" i="4"/>
  <c r="G282" i="4"/>
  <c r="N281" i="4"/>
  <c r="M281" i="4"/>
  <c r="L281" i="4"/>
  <c r="K281" i="4"/>
  <c r="J281" i="4"/>
  <c r="I281" i="4"/>
  <c r="G281" i="4"/>
  <c r="N280" i="4"/>
  <c r="M280" i="4"/>
  <c r="L280" i="4"/>
  <c r="K280" i="4"/>
  <c r="J280" i="4"/>
  <c r="I280" i="4"/>
  <c r="G280" i="4"/>
  <c r="N279" i="4"/>
  <c r="M279" i="4"/>
  <c r="L279" i="4"/>
  <c r="K279" i="4"/>
  <c r="J279" i="4"/>
  <c r="I279" i="4"/>
  <c r="G279" i="4"/>
  <c r="N278" i="4"/>
  <c r="M278" i="4"/>
  <c r="L278" i="4"/>
  <c r="K278" i="4"/>
  <c r="J278" i="4"/>
  <c r="I278" i="4"/>
  <c r="G278" i="4"/>
  <c r="N277" i="4"/>
  <c r="M277" i="4"/>
  <c r="L277" i="4"/>
  <c r="K277" i="4"/>
  <c r="J277" i="4"/>
  <c r="I277" i="4"/>
  <c r="G277" i="4"/>
  <c r="N276" i="4"/>
  <c r="M276" i="4"/>
  <c r="L276" i="4"/>
  <c r="K276" i="4"/>
  <c r="J276" i="4"/>
  <c r="I276" i="4"/>
  <c r="G276" i="4"/>
  <c r="N275" i="4"/>
  <c r="M275" i="4"/>
  <c r="L275" i="4"/>
  <c r="K275" i="4"/>
  <c r="J275" i="4"/>
  <c r="I275" i="4"/>
  <c r="G275" i="4"/>
  <c r="N274" i="4"/>
  <c r="M274" i="4"/>
  <c r="L274" i="4"/>
  <c r="K274" i="4"/>
  <c r="J274" i="4"/>
  <c r="I274" i="4"/>
  <c r="G274" i="4"/>
  <c r="N273" i="4"/>
  <c r="M273" i="4"/>
  <c r="L273" i="4"/>
  <c r="K273" i="4"/>
  <c r="J273" i="4"/>
  <c r="I273" i="4"/>
  <c r="G273" i="4"/>
  <c r="N272" i="4"/>
  <c r="M272" i="4"/>
  <c r="L272" i="4"/>
  <c r="K272" i="4"/>
  <c r="J272" i="4"/>
  <c r="I272" i="4"/>
  <c r="G272" i="4"/>
  <c r="N271" i="4"/>
  <c r="M271" i="4"/>
  <c r="L271" i="4"/>
  <c r="K271" i="4"/>
  <c r="J271" i="4"/>
  <c r="I271" i="4"/>
  <c r="G271" i="4"/>
  <c r="N270" i="4"/>
  <c r="M270" i="4"/>
  <c r="L270" i="4"/>
  <c r="K270" i="4"/>
  <c r="J270" i="4"/>
  <c r="I270" i="4"/>
  <c r="G270" i="4"/>
  <c r="N269" i="4"/>
  <c r="M269" i="4"/>
  <c r="L269" i="4"/>
  <c r="K269" i="4"/>
  <c r="J269" i="4"/>
  <c r="I269" i="4"/>
  <c r="G269" i="4"/>
  <c r="N268" i="4"/>
  <c r="M268" i="4"/>
  <c r="L268" i="4"/>
  <c r="K268" i="4"/>
  <c r="J268" i="4"/>
  <c r="I268" i="4"/>
  <c r="G268" i="4"/>
  <c r="N267" i="4"/>
  <c r="M267" i="4"/>
  <c r="L267" i="4"/>
  <c r="K267" i="4"/>
  <c r="J267" i="4"/>
  <c r="I267" i="4"/>
  <c r="G267" i="4"/>
  <c r="N266" i="4"/>
  <c r="M266" i="4"/>
  <c r="L266" i="4"/>
  <c r="K266" i="4"/>
  <c r="J266" i="4"/>
  <c r="I266" i="4"/>
  <c r="G266" i="4"/>
  <c r="N265" i="4"/>
  <c r="M265" i="4"/>
  <c r="L265" i="4"/>
  <c r="K265" i="4"/>
  <c r="J265" i="4"/>
  <c r="I265" i="4"/>
  <c r="G265" i="4"/>
  <c r="N264" i="4"/>
  <c r="M264" i="4"/>
  <c r="L264" i="4"/>
  <c r="K264" i="4"/>
  <c r="J264" i="4"/>
  <c r="I264" i="4"/>
  <c r="G264" i="4"/>
  <c r="N263" i="4"/>
  <c r="M263" i="4"/>
  <c r="L263" i="4"/>
  <c r="K263" i="4"/>
  <c r="J263" i="4"/>
  <c r="I263" i="4"/>
  <c r="G263" i="4"/>
  <c r="N262" i="4"/>
  <c r="M262" i="4"/>
  <c r="L262" i="4"/>
  <c r="K262" i="4"/>
  <c r="J262" i="4"/>
  <c r="I262" i="4"/>
  <c r="G262" i="4"/>
  <c r="N261" i="4"/>
  <c r="M261" i="4"/>
  <c r="L261" i="4"/>
  <c r="K261" i="4"/>
  <c r="J261" i="4"/>
  <c r="I261" i="4"/>
  <c r="G261" i="4"/>
  <c r="N260" i="4"/>
  <c r="M260" i="4"/>
  <c r="L260" i="4"/>
  <c r="K260" i="4"/>
  <c r="J260" i="4"/>
  <c r="I260" i="4"/>
  <c r="G260" i="4"/>
  <c r="N259" i="4"/>
  <c r="M259" i="4"/>
  <c r="L259" i="4"/>
  <c r="K259" i="4"/>
  <c r="J259" i="4"/>
  <c r="I259" i="4"/>
  <c r="G259" i="4"/>
  <c r="N258" i="4"/>
  <c r="M258" i="4"/>
  <c r="L258" i="4"/>
  <c r="K258" i="4"/>
  <c r="J258" i="4"/>
  <c r="I258" i="4"/>
  <c r="G258" i="4"/>
  <c r="N257" i="4"/>
  <c r="M257" i="4"/>
  <c r="L257" i="4"/>
  <c r="K257" i="4"/>
  <c r="J257" i="4"/>
  <c r="I257" i="4"/>
  <c r="G257" i="4"/>
  <c r="N256" i="4"/>
  <c r="M256" i="4"/>
  <c r="L256" i="4"/>
  <c r="K256" i="4"/>
  <c r="J256" i="4"/>
  <c r="I256" i="4"/>
  <c r="G256" i="4"/>
  <c r="N255" i="4"/>
  <c r="M255" i="4"/>
  <c r="L255" i="4"/>
  <c r="K255" i="4"/>
  <c r="J255" i="4"/>
  <c r="I255" i="4"/>
  <c r="G255" i="4"/>
  <c r="N254" i="4"/>
  <c r="M254" i="4"/>
  <c r="L254" i="4"/>
  <c r="K254" i="4"/>
  <c r="J254" i="4"/>
  <c r="I254" i="4"/>
  <c r="G254" i="4"/>
  <c r="N253" i="4"/>
  <c r="M253" i="4"/>
  <c r="L253" i="4"/>
  <c r="K253" i="4"/>
  <c r="J253" i="4"/>
  <c r="I253" i="4"/>
  <c r="G253" i="4"/>
  <c r="N252" i="4"/>
  <c r="M252" i="4"/>
  <c r="L252" i="4"/>
  <c r="K252" i="4"/>
  <c r="J252" i="4"/>
  <c r="I252" i="4"/>
  <c r="G252" i="4"/>
  <c r="N251" i="4"/>
  <c r="M251" i="4"/>
  <c r="L251" i="4"/>
  <c r="K251" i="4"/>
  <c r="J251" i="4"/>
  <c r="I251" i="4"/>
  <c r="G251" i="4"/>
  <c r="N250" i="4"/>
  <c r="M250" i="4"/>
  <c r="L250" i="4"/>
  <c r="K250" i="4"/>
  <c r="J250" i="4"/>
  <c r="I250" i="4"/>
  <c r="G250" i="4"/>
  <c r="N249" i="4"/>
  <c r="M249" i="4"/>
  <c r="L249" i="4"/>
  <c r="K249" i="4"/>
  <c r="J249" i="4"/>
  <c r="I249" i="4"/>
  <c r="G249" i="4"/>
  <c r="N248" i="4"/>
  <c r="M248" i="4"/>
  <c r="L248" i="4"/>
  <c r="K248" i="4"/>
  <c r="J248" i="4"/>
  <c r="I248" i="4"/>
  <c r="G248" i="4"/>
  <c r="N247" i="4"/>
  <c r="M247" i="4"/>
  <c r="L247" i="4"/>
  <c r="K247" i="4"/>
  <c r="J247" i="4"/>
  <c r="I247" i="4"/>
  <c r="G247" i="4"/>
  <c r="N246" i="4"/>
  <c r="M246" i="4"/>
  <c r="L246" i="4"/>
  <c r="K246" i="4"/>
  <c r="J246" i="4"/>
  <c r="I246" i="4"/>
  <c r="G246" i="4"/>
  <c r="N245" i="4"/>
  <c r="M245" i="4"/>
  <c r="L245" i="4"/>
  <c r="K245" i="4"/>
  <c r="J245" i="4"/>
  <c r="I245" i="4"/>
  <c r="G245" i="4"/>
  <c r="N244" i="4"/>
  <c r="M244" i="4"/>
  <c r="L244" i="4"/>
  <c r="K244" i="4"/>
  <c r="J244" i="4"/>
  <c r="I244" i="4"/>
  <c r="G244" i="4"/>
  <c r="N243" i="4"/>
  <c r="M243" i="4"/>
  <c r="L243" i="4"/>
  <c r="K243" i="4"/>
  <c r="J243" i="4"/>
  <c r="I243" i="4"/>
  <c r="G243" i="4"/>
  <c r="N242" i="4"/>
  <c r="M242" i="4"/>
  <c r="L242" i="4"/>
  <c r="K242" i="4"/>
  <c r="J242" i="4"/>
  <c r="I242" i="4"/>
  <c r="G242" i="4"/>
  <c r="N241" i="4"/>
  <c r="M241" i="4"/>
  <c r="L241" i="4"/>
  <c r="K241" i="4"/>
  <c r="J241" i="4"/>
  <c r="I241" i="4"/>
  <c r="G241" i="4"/>
  <c r="N240" i="4"/>
  <c r="M240" i="4"/>
  <c r="L240" i="4"/>
  <c r="K240" i="4"/>
  <c r="J240" i="4"/>
  <c r="I240" i="4"/>
  <c r="G240" i="4"/>
  <c r="N239" i="4"/>
  <c r="M239" i="4"/>
  <c r="L239" i="4"/>
  <c r="K239" i="4"/>
  <c r="J239" i="4"/>
  <c r="I239" i="4"/>
  <c r="G239" i="4"/>
  <c r="N238" i="4"/>
  <c r="M238" i="4"/>
  <c r="L238" i="4"/>
  <c r="K238" i="4"/>
  <c r="J238" i="4"/>
  <c r="I238" i="4"/>
  <c r="G238" i="4"/>
  <c r="N237" i="4"/>
  <c r="M237" i="4"/>
  <c r="L237" i="4"/>
  <c r="K237" i="4"/>
  <c r="J237" i="4"/>
  <c r="I237" i="4"/>
  <c r="G237" i="4"/>
  <c r="N236" i="4"/>
  <c r="M236" i="4"/>
  <c r="L236" i="4"/>
  <c r="K236" i="4"/>
  <c r="J236" i="4"/>
  <c r="I236" i="4"/>
  <c r="G236" i="4"/>
  <c r="N235" i="4"/>
  <c r="M235" i="4"/>
  <c r="L235" i="4"/>
  <c r="K235" i="4"/>
  <c r="J235" i="4"/>
  <c r="I235" i="4"/>
  <c r="G235" i="4"/>
  <c r="N234" i="4"/>
  <c r="M234" i="4"/>
  <c r="L234" i="4"/>
  <c r="K234" i="4"/>
  <c r="J234" i="4"/>
  <c r="I234" i="4"/>
  <c r="G234" i="4"/>
  <c r="N233" i="4"/>
  <c r="M233" i="4"/>
  <c r="L233" i="4"/>
  <c r="K233" i="4"/>
  <c r="J233" i="4"/>
  <c r="I233" i="4"/>
  <c r="G233" i="4"/>
  <c r="N232" i="4"/>
  <c r="M232" i="4"/>
  <c r="L232" i="4"/>
  <c r="K232" i="4"/>
  <c r="J232" i="4"/>
  <c r="I232" i="4"/>
  <c r="G232" i="4"/>
  <c r="N231" i="4"/>
  <c r="M231" i="4"/>
  <c r="L231" i="4"/>
  <c r="K231" i="4"/>
  <c r="J231" i="4"/>
  <c r="I231" i="4"/>
  <c r="G231" i="4"/>
  <c r="N230" i="4"/>
  <c r="M230" i="4"/>
  <c r="L230" i="4"/>
  <c r="K230" i="4"/>
  <c r="J230" i="4"/>
  <c r="I230" i="4"/>
  <c r="G230" i="4"/>
  <c r="N229" i="4"/>
  <c r="M229" i="4"/>
  <c r="L229" i="4"/>
  <c r="K229" i="4"/>
  <c r="J229" i="4"/>
  <c r="I229" i="4"/>
  <c r="G229" i="4"/>
  <c r="N228" i="4"/>
  <c r="M228" i="4"/>
  <c r="L228" i="4"/>
  <c r="K228" i="4"/>
  <c r="J228" i="4"/>
  <c r="I228" i="4"/>
  <c r="G228" i="4"/>
  <c r="N227" i="4"/>
  <c r="M227" i="4"/>
  <c r="L227" i="4"/>
  <c r="K227" i="4"/>
  <c r="J227" i="4"/>
  <c r="I227" i="4"/>
  <c r="G227" i="4"/>
  <c r="N226" i="4"/>
  <c r="M226" i="4"/>
  <c r="L226" i="4"/>
  <c r="K226" i="4"/>
  <c r="J226" i="4"/>
  <c r="I226" i="4"/>
  <c r="G226" i="4"/>
  <c r="N225" i="4"/>
  <c r="M225" i="4"/>
  <c r="L225" i="4"/>
  <c r="K225" i="4"/>
  <c r="J225" i="4"/>
  <c r="I225" i="4"/>
  <c r="G225" i="4"/>
  <c r="N224" i="4"/>
  <c r="M224" i="4"/>
  <c r="L224" i="4"/>
  <c r="K224" i="4"/>
  <c r="J224" i="4"/>
  <c r="I224" i="4"/>
  <c r="G224" i="4"/>
  <c r="N223" i="4"/>
  <c r="M223" i="4"/>
  <c r="L223" i="4"/>
  <c r="K223" i="4"/>
  <c r="J223" i="4"/>
  <c r="I223" i="4"/>
  <c r="G223" i="4"/>
  <c r="N222" i="4"/>
  <c r="M222" i="4"/>
  <c r="L222" i="4"/>
  <c r="K222" i="4"/>
  <c r="J222" i="4"/>
  <c r="I222" i="4"/>
  <c r="G222" i="4"/>
  <c r="N221" i="4"/>
  <c r="M221" i="4"/>
  <c r="L221" i="4"/>
  <c r="K221" i="4"/>
  <c r="J221" i="4"/>
  <c r="I221" i="4"/>
  <c r="G221" i="4"/>
  <c r="N220" i="4"/>
  <c r="M220" i="4"/>
  <c r="L220" i="4"/>
  <c r="K220" i="4"/>
  <c r="J220" i="4"/>
  <c r="I220" i="4"/>
  <c r="G220" i="4"/>
  <c r="N219" i="4"/>
  <c r="M219" i="4"/>
  <c r="L219" i="4"/>
  <c r="K219" i="4"/>
  <c r="J219" i="4"/>
  <c r="I219" i="4"/>
  <c r="G219" i="4"/>
  <c r="N218" i="4"/>
  <c r="M218" i="4"/>
  <c r="L218" i="4"/>
  <c r="K218" i="4"/>
  <c r="J218" i="4"/>
  <c r="I218" i="4"/>
  <c r="G218" i="4"/>
  <c r="N217" i="4"/>
  <c r="M217" i="4"/>
  <c r="L217" i="4"/>
  <c r="K217" i="4"/>
  <c r="J217" i="4"/>
  <c r="I217" i="4"/>
  <c r="G217" i="4"/>
  <c r="N216" i="4"/>
  <c r="M216" i="4"/>
  <c r="L216" i="4"/>
  <c r="K216" i="4"/>
  <c r="J216" i="4"/>
  <c r="I216" i="4"/>
  <c r="G216" i="4"/>
  <c r="N215" i="4"/>
  <c r="M215" i="4"/>
  <c r="L215" i="4"/>
  <c r="K215" i="4"/>
  <c r="J215" i="4"/>
  <c r="I215" i="4"/>
  <c r="G215" i="4"/>
  <c r="N214" i="4"/>
  <c r="M214" i="4"/>
  <c r="L214" i="4"/>
  <c r="K214" i="4"/>
  <c r="J214" i="4"/>
  <c r="I214" i="4"/>
  <c r="G214" i="4"/>
  <c r="N213" i="4"/>
  <c r="M213" i="4"/>
  <c r="L213" i="4"/>
  <c r="K213" i="4"/>
  <c r="J213" i="4"/>
  <c r="I213" i="4"/>
  <c r="G213" i="4"/>
  <c r="N212" i="4"/>
  <c r="M212" i="4"/>
  <c r="L212" i="4"/>
  <c r="K212" i="4"/>
  <c r="J212" i="4"/>
  <c r="I212" i="4"/>
  <c r="G212" i="4"/>
  <c r="N211" i="4"/>
  <c r="M211" i="4"/>
  <c r="L211" i="4"/>
  <c r="K211" i="4"/>
  <c r="J211" i="4"/>
  <c r="I211" i="4"/>
  <c r="G211" i="4"/>
  <c r="N210" i="4"/>
  <c r="M210" i="4"/>
  <c r="L210" i="4"/>
  <c r="K210" i="4"/>
  <c r="J210" i="4"/>
  <c r="I210" i="4"/>
  <c r="G210" i="4"/>
  <c r="N209" i="4"/>
  <c r="M209" i="4"/>
  <c r="L209" i="4"/>
  <c r="K209" i="4"/>
  <c r="J209" i="4"/>
  <c r="I209" i="4"/>
  <c r="G209" i="4"/>
  <c r="N208" i="4"/>
  <c r="M208" i="4"/>
  <c r="L208" i="4"/>
  <c r="K208" i="4"/>
  <c r="J208" i="4"/>
  <c r="I208" i="4"/>
  <c r="G208" i="4"/>
  <c r="N207" i="4"/>
  <c r="M207" i="4"/>
  <c r="L207" i="4"/>
  <c r="K207" i="4"/>
  <c r="J207" i="4"/>
  <c r="I207" i="4"/>
  <c r="G207" i="4"/>
  <c r="N206" i="4"/>
  <c r="M206" i="4"/>
  <c r="L206" i="4"/>
  <c r="K206" i="4"/>
  <c r="J206" i="4"/>
  <c r="I206" i="4"/>
  <c r="G206" i="4"/>
  <c r="N205" i="4"/>
  <c r="M205" i="4"/>
  <c r="L205" i="4"/>
  <c r="K205" i="4"/>
  <c r="J205" i="4"/>
  <c r="I205" i="4"/>
  <c r="G205" i="4"/>
  <c r="N204" i="4"/>
  <c r="M204" i="4"/>
  <c r="L204" i="4"/>
  <c r="K204" i="4"/>
  <c r="J204" i="4"/>
  <c r="I204" i="4"/>
  <c r="G204" i="4"/>
  <c r="N203" i="4"/>
  <c r="M203" i="4"/>
  <c r="L203" i="4"/>
  <c r="K203" i="4"/>
  <c r="J203" i="4"/>
  <c r="I203" i="4"/>
  <c r="G203" i="4"/>
  <c r="N202" i="4"/>
  <c r="M202" i="4"/>
  <c r="L202" i="4"/>
  <c r="K202" i="4"/>
  <c r="J202" i="4"/>
  <c r="I202" i="4"/>
  <c r="G202" i="4"/>
  <c r="N201" i="4"/>
  <c r="M201" i="4"/>
  <c r="L201" i="4"/>
  <c r="K201" i="4"/>
  <c r="J201" i="4"/>
  <c r="I201" i="4"/>
  <c r="G201" i="4"/>
  <c r="N200" i="4"/>
  <c r="M200" i="4"/>
  <c r="L200" i="4"/>
  <c r="K200" i="4"/>
  <c r="J200" i="4"/>
  <c r="I200" i="4"/>
  <c r="G200" i="4"/>
  <c r="N199" i="4"/>
  <c r="M199" i="4"/>
  <c r="L199" i="4"/>
  <c r="K199" i="4"/>
  <c r="J199" i="4"/>
  <c r="I199" i="4"/>
  <c r="G199" i="4"/>
  <c r="N198" i="4"/>
  <c r="M198" i="4"/>
  <c r="L198" i="4"/>
  <c r="K198" i="4"/>
  <c r="J198" i="4"/>
  <c r="I198" i="4"/>
  <c r="G198" i="4"/>
  <c r="N197" i="4"/>
  <c r="M197" i="4"/>
  <c r="L197" i="4"/>
  <c r="K197" i="4"/>
  <c r="J197" i="4"/>
  <c r="I197" i="4"/>
  <c r="G197" i="4"/>
  <c r="N196" i="4"/>
  <c r="M196" i="4"/>
  <c r="L196" i="4"/>
  <c r="K196" i="4"/>
  <c r="J196" i="4"/>
  <c r="I196" i="4"/>
  <c r="G196" i="4"/>
  <c r="N195" i="4"/>
  <c r="M195" i="4"/>
  <c r="L195" i="4"/>
  <c r="K195" i="4"/>
  <c r="J195" i="4"/>
  <c r="I195" i="4"/>
  <c r="G195" i="4"/>
  <c r="N194" i="4"/>
  <c r="M194" i="4"/>
  <c r="L194" i="4"/>
  <c r="K194" i="4"/>
  <c r="J194" i="4"/>
  <c r="I194" i="4"/>
  <c r="G194" i="4"/>
  <c r="N193" i="4"/>
  <c r="M193" i="4"/>
  <c r="L193" i="4"/>
  <c r="K193" i="4"/>
  <c r="J193" i="4"/>
  <c r="I193" i="4"/>
  <c r="G193" i="4"/>
  <c r="N192" i="4"/>
  <c r="M192" i="4"/>
  <c r="L192" i="4"/>
  <c r="K192" i="4"/>
  <c r="J192" i="4"/>
  <c r="I192" i="4"/>
  <c r="G192" i="4"/>
  <c r="N191" i="4"/>
  <c r="M191" i="4"/>
  <c r="L191" i="4"/>
  <c r="K191" i="4"/>
  <c r="J191" i="4"/>
  <c r="I191" i="4"/>
  <c r="G191" i="4"/>
  <c r="N190" i="4"/>
  <c r="M190" i="4"/>
  <c r="L190" i="4"/>
  <c r="K190" i="4"/>
  <c r="J190" i="4"/>
  <c r="I190" i="4"/>
  <c r="G190" i="4"/>
  <c r="N189" i="4"/>
  <c r="M189" i="4"/>
  <c r="L189" i="4"/>
  <c r="K189" i="4"/>
  <c r="J189" i="4"/>
  <c r="I189" i="4"/>
  <c r="G189" i="4"/>
  <c r="N188" i="4"/>
  <c r="M188" i="4"/>
  <c r="L188" i="4"/>
  <c r="K188" i="4"/>
  <c r="J188" i="4"/>
  <c r="I188" i="4"/>
  <c r="G188" i="4"/>
  <c r="N187" i="4"/>
  <c r="M187" i="4"/>
  <c r="L187" i="4"/>
  <c r="K187" i="4"/>
  <c r="J187" i="4"/>
  <c r="I187" i="4"/>
  <c r="G187" i="4"/>
  <c r="N186" i="4"/>
  <c r="M186" i="4"/>
  <c r="L186" i="4"/>
  <c r="K186" i="4"/>
  <c r="J186" i="4"/>
  <c r="I186" i="4"/>
  <c r="G186" i="4"/>
  <c r="N185" i="4"/>
  <c r="M185" i="4"/>
  <c r="L185" i="4"/>
  <c r="K185" i="4"/>
  <c r="J185" i="4"/>
  <c r="I185" i="4"/>
  <c r="G185" i="4"/>
  <c r="N184" i="4"/>
  <c r="M184" i="4"/>
  <c r="L184" i="4"/>
  <c r="K184" i="4"/>
  <c r="J184" i="4"/>
  <c r="I184" i="4"/>
  <c r="G184" i="4"/>
  <c r="N183" i="4"/>
  <c r="M183" i="4"/>
  <c r="L183" i="4"/>
  <c r="K183" i="4"/>
  <c r="J183" i="4"/>
  <c r="I183" i="4"/>
  <c r="G183" i="4"/>
  <c r="N182" i="4"/>
  <c r="M182" i="4"/>
  <c r="L182" i="4"/>
  <c r="K182" i="4"/>
  <c r="J182" i="4"/>
  <c r="I182" i="4"/>
  <c r="G182" i="4"/>
  <c r="N181" i="4"/>
  <c r="M181" i="4"/>
  <c r="L181" i="4"/>
  <c r="K181" i="4"/>
  <c r="J181" i="4"/>
  <c r="I181" i="4"/>
  <c r="G181" i="4"/>
  <c r="N180" i="4"/>
  <c r="M180" i="4"/>
  <c r="L180" i="4"/>
  <c r="K180" i="4"/>
  <c r="J180" i="4"/>
  <c r="I180" i="4"/>
  <c r="G180" i="4"/>
  <c r="N179" i="4"/>
  <c r="M179" i="4"/>
  <c r="L179" i="4"/>
  <c r="K179" i="4"/>
  <c r="J179" i="4"/>
  <c r="I179" i="4"/>
  <c r="G179" i="4"/>
  <c r="N178" i="4"/>
  <c r="M178" i="4"/>
  <c r="L178" i="4"/>
  <c r="K178" i="4"/>
  <c r="J178" i="4"/>
  <c r="I178" i="4"/>
  <c r="G178" i="4"/>
  <c r="N177" i="4"/>
  <c r="M177" i="4"/>
  <c r="L177" i="4"/>
  <c r="K177" i="4"/>
  <c r="J177" i="4"/>
  <c r="I177" i="4"/>
  <c r="G177" i="4"/>
  <c r="N176" i="4"/>
  <c r="M176" i="4"/>
  <c r="L176" i="4"/>
  <c r="K176" i="4"/>
  <c r="J176" i="4"/>
  <c r="I176" i="4"/>
  <c r="G176" i="4"/>
  <c r="N175" i="4"/>
  <c r="M175" i="4"/>
  <c r="L175" i="4"/>
  <c r="K175" i="4"/>
  <c r="J175" i="4"/>
  <c r="I175" i="4"/>
  <c r="G175" i="4"/>
  <c r="N174" i="4"/>
  <c r="M174" i="4"/>
  <c r="L174" i="4"/>
  <c r="K174" i="4"/>
  <c r="J174" i="4"/>
  <c r="I174" i="4"/>
  <c r="G174" i="4"/>
  <c r="N173" i="4"/>
  <c r="M173" i="4"/>
  <c r="L173" i="4"/>
  <c r="K173" i="4"/>
  <c r="J173" i="4"/>
  <c r="I173" i="4"/>
  <c r="G173" i="4"/>
  <c r="N172" i="4"/>
  <c r="M172" i="4"/>
  <c r="L172" i="4"/>
  <c r="K172" i="4"/>
  <c r="J172" i="4"/>
  <c r="I172" i="4"/>
  <c r="G172" i="4"/>
  <c r="N171" i="4"/>
  <c r="M171" i="4"/>
  <c r="L171" i="4"/>
  <c r="K171" i="4"/>
  <c r="J171" i="4"/>
  <c r="I171" i="4"/>
  <c r="G171" i="4"/>
  <c r="N170" i="4"/>
  <c r="M170" i="4"/>
  <c r="L170" i="4"/>
  <c r="K170" i="4"/>
  <c r="J170" i="4"/>
  <c r="I170" i="4"/>
  <c r="G170" i="4"/>
  <c r="N169" i="4"/>
  <c r="M169" i="4"/>
  <c r="L169" i="4"/>
  <c r="K169" i="4"/>
  <c r="J169" i="4"/>
  <c r="I169" i="4"/>
  <c r="G169" i="4"/>
  <c r="N168" i="4"/>
  <c r="M168" i="4"/>
  <c r="L168" i="4"/>
  <c r="K168" i="4"/>
  <c r="J168" i="4"/>
  <c r="I168" i="4"/>
  <c r="G168" i="4"/>
  <c r="N167" i="4"/>
  <c r="M167" i="4"/>
  <c r="L167" i="4"/>
  <c r="K167" i="4"/>
  <c r="J167" i="4"/>
  <c r="I167" i="4"/>
  <c r="G167" i="4"/>
  <c r="N166" i="4"/>
  <c r="M166" i="4"/>
  <c r="L166" i="4"/>
  <c r="K166" i="4"/>
  <c r="J166" i="4"/>
  <c r="I166" i="4"/>
  <c r="G166" i="4"/>
  <c r="N165" i="4"/>
  <c r="M165" i="4"/>
  <c r="L165" i="4"/>
  <c r="K165" i="4"/>
  <c r="J165" i="4"/>
  <c r="I165" i="4"/>
  <c r="G165" i="4"/>
  <c r="N164" i="4"/>
  <c r="M164" i="4"/>
  <c r="L164" i="4"/>
  <c r="K164" i="4"/>
  <c r="J164" i="4"/>
  <c r="I164" i="4"/>
  <c r="G164" i="4"/>
  <c r="N163" i="4"/>
  <c r="M163" i="4"/>
  <c r="L163" i="4"/>
  <c r="K163" i="4"/>
  <c r="J163" i="4"/>
  <c r="I163" i="4"/>
  <c r="G163" i="4"/>
  <c r="N162" i="4"/>
  <c r="M162" i="4"/>
  <c r="L162" i="4"/>
  <c r="K162" i="4"/>
  <c r="J162" i="4"/>
  <c r="I162" i="4"/>
  <c r="G162" i="4"/>
  <c r="N161" i="4"/>
  <c r="M161" i="4"/>
  <c r="L161" i="4"/>
  <c r="K161" i="4"/>
  <c r="J161" i="4"/>
  <c r="I161" i="4"/>
  <c r="G161" i="4"/>
  <c r="N160" i="4"/>
  <c r="M160" i="4"/>
  <c r="L160" i="4"/>
  <c r="K160" i="4"/>
  <c r="J160" i="4"/>
  <c r="I160" i="4"/>
  <c r="G160" i="4"/>
  <c r="N159" i="4"/>
  <c r="M159" i="4"/>
  <c r="L159" i="4"/>
  <c r="K159" i="4"/>
  <c r="J159" i="4"/>
  <c r="I159" i="4"/>
  <c r="G159" i="4"/>
  <c r="N158" i="4"/>
  <c r="M158" i="4"/>
  <c r="L158" i="4"/>
  <c r="K158" i="4"/>
  <c r="J158" i="4"/>
  <c r="I158" i="4"/>
  <c r="G158" i="4"/>
  <c r="N157" i="4"/>
  <c r="M157" i="4"/>
  <c r="L157" i="4"/>
  <c r="K157" i="4"/>
  <c r="J157" i="4"/>
  <c r="I157" i="4"/>
  <c r="G157" i="4"/>
  <c r="N156" i="4"/>
  <c r="M156" i="4"/>
  <c r="L156" i="4"/>
  <c r="K156" i="4"/>
  <c r="J156" i="4"/>
  <c r="I156" i="4"/>
  <c r="G156" i="4"/>
  <c r="N155" i="4"/>
  <c r="M155" i="4"/>
  <c r="L155" i="4"/>
  <c r="K155" i="4"/>
  <c r="J155" i="4"/>
  <c r="I155" i="4"/>
  <c r="G155" i="4"/>
  <c r="N154" i="4"/>
  <c r="M154" i="4"/>
  <c r="L154" i="4"/>
  <c r="K154" i="4"/>
  <c r="J154" i="4"/>
  <c r="I154" i="4"/>
  <c r="G154" i="4"/>
  <c r="N153" i="4"/>
  <c r="M153" i="4"/>
  <c r="L153" i="4"/>
  <c r="K153" i="4"/>
  <c r="J153" i="4"/>
  <c r="I153" i="4"/>
  <c r="G153" i="4"/>
  <c r="N152" i="4"/>
  <c r="M152" i="4"/>
  <c r="L152" i="4"/>
  <c r="K152" i="4"/>
  <c r="J152" i="4"/>
  <c r="I152" i="4"/>
  <c r="G152" i="4"/>
  <c r="N151" i="4"/>
  <c r="M151" i="4"/>
  <c r="L151" i="4"/>
  <c r="K151" i="4"/>
  <c r="J151" i="4"/>
  <c r="I151" i="4"/>
  <c r="G151" i="4"/>
  <c r="N150" i="4"/>
  <c r="M150" i="4"/>
  <c r="L150" i="4"/>
  <c r="K150" i="4"/>
  <c r="J150" i="4"/>
  <c r="I150" i="4"/>
  <c r="G150" i="4"/>
  <c r="N149" i="4"/>
  <c r="M149" i="4"/>
  <c r="L149" i="4"/>
  <c r="K149" i="4"/>
  <c r="J149" i="4"/>
  <c r="I149" i="4"/>
  <c r="G149" i="4"/>
  <c r="N148" i="4"/>
  <c r="M148" i="4"/>
  <c r="L148" i="4"/>
  <c r="K148" i="4"/>
  <c r="J148" i="4"/>
  <c r="I148" i="4"/>
  <c r="G148" i="4"/>
  <c r="N147" i="4"/>
  <c r="M147" i="4"/>
  <c r="L147" i="4"/>
  <c r="K147" i="4"/>
  <c r="J147" i="4"/>
  <c r="I147" i="4"/>
  <c r="G147" i="4"/>
  <c r="N146" i="4"/>
  <c r="M146" i="4"/>
  <c r="L146" i="4"/>
  <c r="K146" i="4"/>
  <c r="J146" i="4"/>
  <c r="I146" i="4"/>
  <c r="G146" i="4"/>
  <c r="N145" i="4"/>
  <c r="M145" i="4"/>
  <c r="L145" i="4"/>
  <c r="K145" i="4"/>
  <c r="J145" i="4"/>
  <c r="I145" i="4"/>
  <c r="G145" i="4"/>
  <c r="N144" i="4"/>
  <c r="M144" i="4"/>
  <c r="L144" i="4"/>
  <c r="K144" i="4"/>
  <c r="J144" i="4"/>
  <c r="I144" i="4"/>
  <c r="G144" i="4"/>
  <c r="N143" i="4"/>
  <c r="M143" i="4"/>
  <c r="L143" i="4"/>
  <c r="K143" i="4"/>
  <c r="J143" i="4"/>
  <c r="I143" i="4"/>
  <c r="G143" i="4"/>
  <c r="N142" i="4"/>
  <c r="M142" i="4"/>
  <c r="L142" i="4"/>
  <c r="K142" i="4"/>
  <c r="J142" i="4"/>
  <c r="I142" i="4"/>
  <c r="G142" i="4"/>
  <c r="N141" i="4"/>
  <c r="M141" i="4"/>
  <c r="L141" i="4"/>
  <c r="K141" i="4"/>
  <c r="J141" i="4"/>
  <c r="I141" i="4"/>
  <c r="G141" i="4"/>
  <c r="N140" i="4"/>
  <c r="M140" i="4"/>
  <c r="L140" i="4"/>
  <c r="K140" i="4"/>
  <c r="J140" i="4"/>
  <c r="I140" i="4"/>
  <c r="G140" i="4"/>
  <c r="N139" i="4"/>
  <c r="M139" i="4"/>
  <c r="L139" i="4"/>
  <c r="K139" i="4"/>
  <c r="J139" i="4"/>
  <c r="I139" i="4"/>
  <c r="G139" i="4"/>
  <c r="N138" i="4"/>
  <c r="M138" i="4"/>
  <c r="L138" i="4"/>
  <c r="K138" i="4"/>
  <c r="J138" i="4"/>
  <c r="I138" i="4"/>
  <c r="G138" i="4"/>
  <c r="N137" i="4"/>
  <c r="M137" i="4"/>
  <c r="L137" i="4"/>
  <c r="K137" i="4"/>
  <c r="J137" i="4"/>
  <c r="I137" i="4"/>
  <c r="G137" i="4"/>
  <c r="N136" i="4"/>
  <c r="M136" i="4"/>
  <c r="L136" i="4"/>
  <c r="K136" i="4"/>
  <c r="J136" i="4"/>
  <c r="I136" i="4"/>
  <c r="G136" i="4"/>
  <c r="N135" i="4"/>
  <c r="M135" i="4"/>
  <c r="L135" i="4"/>
  <c r="K135" i="4"/>
  <c r="J135" i="4"/>
  <c r="I135" i="4"/>
  <c r="G135" i="4"/>
  <c r="N134" i="4"/>
  <c r="M134" i="4"/>
  <c r="L134" i="4"/>
  <c r="K134" i="4"/>
  <c r="J134" i="4"/>
  <c r="I134" i="4"/>
  <c r="G134" i="4"/>
  <c r="N133" i="4"/>
  <c r="M133" i="4"/>
  <c r="L133" i="4"/>
  <c r="K133" i="4"/>
  <c r="J133" i="4"/>
  <c r="I133" i="4"/>
  <c r="G133" i="4"/>
  <c r="N132" i="4"/>
  <c r="M132" i="4"/>
  <c r="L132" i="4"/>
  <c r="K132" i="4"/>
  <c r="J132" i="4"/>
  <c r="I132" i="4"/>
  <c r="G132" i="4"/>
  <c r="N131" i="4"/>
  <c r="M131" i="4"/>
  <c r="L131" i="4"/>
  <c r="K131" i="4"/>
  <c r="J131" i="4"/>
  <c r="I131" i="4"/>
  <c r="G131" i="4"/>
  <c r="N130" i="4"/>
  <c r="M130" i="4"/>
  <c r="L130" i="4"/>
  <c r="K130" i="4"/>
  <c r="J130" i="4"/>
  <c r="I130" i="4"/>
  <c r="G130" i="4"/>
  <c r="N129" i="4"/>
  <c r="M129" i="4"/>
  <c r="L129" i="4"/>
  <c r="K129" i="4"/>
  <c r="J129" i="4"/>
  <c r="I129" i="4"/>
  <c r="G129" i="4"/>
  <c r="N128" i="4"/>
  <c r="M128" i="4"/>
  <c r="L128" i="4"/>
  <c r="K128" i="4"/>
  <c r="J128" i="4"/>
  <c r="I128" i="4"/>
  <c r="G128" i="4"/>
  <c r="N127" i="4"/>
  <c r="M127" i="4"/>
  <c r="L127" i="4"/>
  <c r="K127" i="4"/>
  <c r="J127" i="4"/>
  <c r="I127" i="4"/>
  <c r="G127" i="4"/>
  <c r="N126" i="4"/>
  <c r="M126" i="4"/>
  <c r="L126" i="4"/>
  <c r="K126" i="4"/>
  <c r="J126" i="4"/>
  <c r="I126" i="4"/>
  <c r="G126" i="4"/>
  <c r="N125" i="4"/>
  <c r="M125" i="4"/>
  <c r="L125" i="4"/>
  <c r="K125" i="4"/>
  <c r="J125" i="4"/>
  <c r="I125" i="4"/>
  <c r="G125" i="4"/>
  <c r="N124" i="4"/>
  <c r="M124" i="4"/>
  <c r="L124" i="4"/>
  <c r="K124" i="4"/>
  <c r="J124" i="4"/>
  <c r="I124" i="4"/>
  <c r="G124" i="4"/>
  <c r="N123" i="4"/>
  <c r="M123" i="4"/>
  <c r="L123" i="4"/>
  <c r="K123" i="4"/>
  <c r="J123" i="4"/>
  <c r="I123" i="4"/>
  <c r="G123" i="4"/>
  <c r="N122" i="4"/>
  <c r="M122" i="4"/>
  <c r="L122" i="4"/>
  <c r="K122" i="4"/>
  <c r="J122" i="4"/>
  <c r="I122" i="4"/>
  <c r="G122" i="4"/>
  <c r="N121" i="4"/>
  <c r="M121" i="4"/>
  <c r="L121" i="4"/>
  <c r="K121" i="4"/>
  <c r="J121" i="4"/>
  <c r="I121" i="4"/>
  <c r="G121" i="4"/>
  <c r="N120" i="4"/>
  <c r="M120" i="4"/>
  <c r="L120" i="4"/>
  <c r="K120" i="4"/>
  <c r="J120" i="4"/>
  <c r="I120" i="4"/>
  <c r="G120" i="4"/>
  <c r="N119" i="4"/>
  <c r="M119" i="4"/>
  <c r="L119" i="4"/>
  <c r="K119" i="4"/>
  <c r="J119" i="4"/>
  <c r="I119" i="4"/>
  <c r="G119" i="4"/>
  <c r="N118" i="4"/>
  <c r="M118" i="4"/>
  <c r="L118" i="4"/>
  <c r="K118" i="4"/>
  <c r="J118" i="4"/>
  <c r="I118" i="4"/>
  <c r="G118" i="4"/>
  <c r="N117" i="4"/>
  <c r="M117" i="4"/>
  <c r="L117" i="4"/>
  <c r="K117" i="4"/>
  <c r="J117" i="4"/>
  <c r="I117" i="4"/>
  <c r="G117" i="4"/>
  <c r="N116" i="4"/>
  <c r="M116" i="4"/>
  <c r="L116" i="4"/>
  <c r="K116" i="4"/>
  <c r="J116" i="4"/>
  <c r="I116" i="4"/>
  <c r="G116" i="4"/>
  <c r="N115" i="4"/>
  <c r="M115" i="4"/>
  <c r="L115" i="4"/>
  <c r="K115" i="4"/>
  <c r="J115" i="4"/>
  <c r="I115" i="4"/>
  <c r="G115" i="4"/>
  <c r="N114" i="4"/>
  <c r="M114" i="4"/>
  <c r="L114" i="4"/>
  <c r="K114" i="4"/>
  <c r="J114" i="4"/>
  <c r="I114" i="4"/>
  <c r="G114" i="4"/>
  <c r="N113" i="4"/>
  <c r="M113" i="4"/>
  <c r="L113" i="4"/>
  <c r="K113" i="4"/>
  <c r="J113" i="4"/>
  <c r="I113" i="4"/>
  <c r="G113" i="4"/>
  <c r="N112" i="4"/>
  <c r="M112" i="4"/>
  <c r="L112" i="4"/>
  <c r="K112" i="4"/>
  <c r="J112" i="4"/>
  <c r="I112" i="4"/>
  <c r="G112" i="4"/>
  <c r="N111" i="4"/>
  <c r="M111" i="4"/>
  <c r="L111" i="4"/>
  <c r="K111" i="4"/>
  <c r="J111" i="4"/>
  <c r="I111" i="4"/>
  <c r="G111" i="4"/>
  <c r="N110" i="4"/>
  <c r="M110" i="4"/>
  <c r="L110" i="4"/>
  <c r="K110" i="4"/>
  <c r="J110" i="4"/>
  <c r="I110" i="4"/>
  <c r="G110" i="4"/>
  <c r="N109" i="4"/>
  <c r="M109" i="4"/>
  <c r="L109" i="4"/>
  <c r="K109" i="4"/>
  <c r="J109" i="4"/>
  <c r="I109" i="4"/>
  <c r="G109" i="4"/>
  <c r="N108" i="4"/>
  <c r="M108" i="4"/>
  <c r="L108" i="4"/>
  <c r="K108" i="4"/>
  <c r="J108" i="4"/>
  <c r="I108" i="4"/>
  <c r="G108" i="4"/>
  <c r="N107" i="4"/>
  <c r="M107" i="4"/>
  <c r="L107" i="4"/>
  <c r="K107" i="4"/>
  <c r="J107" i="4"/>
  <c r="I107" i="4"/>
  <c r="G107" i="4"/>
  <c r="N106" i="4"/>
  <c r="M106" i="4"/>
  <c r="L106" i="4"/>
  <c r="K106" i="4"/>
  <c r="J106" i="4"/>
  <c r="I106" i="4"/>
  <c r="G106" i="4"/>
  <c r="N105" i="4"/>
  <c r="M105" i="4"/>
  <c r="L105" i="4"/>
  <c r="K105" i="4"/>
  <c r="J105" i="4"/>
  <c r="I105" i="4"/>
  <c r="G105" i="4"/>
  <c r="N104" i="4"/>
  <c r="M104" i="4"/>
  <c r="L104" i="4"/>
  <c r="K104" i="4"/>
  <c r="J104" i="4"/>
  <c r="I104" i="4"/>
  <c r="G104" i="4"/>
  <c r="N103" i="4"/>
  <c r="M103" i="4"/>
  <c r="L103" i="4"/>
  <c r="K103" i="4"/>
  <c r="J103" i="4"/>
  <c r="I103" i="4"/>
  <c r="G103" i="4"/>
  <c r="N102" i="4"/>
  <c r="M102" i="4"/>
  <c r="L102" i="4"/>
  <c r="K102" i="4"/>
  <c r="J102" i="4"/>
  <c r="I102" i="4"/>
  <c r="G102" i="4"/>
  <c r="N101" i="4"/>
  <c r="M101" i="4"/>
  <c r="L101" i="4"/>
  <c r="K101" i="4"/>
  <c r="J101" i="4"/>
  <c r="I101" i="4"/>
  <c r="G101" i="4"/>
  <c r="N100" i="4"/>
  <c r="M100" i="4"/>
  <c r="L100" i="4"/>
  <c r="K100" i="4"/>
  <c r="J100" i="4"/>
  <c r="I100" i="4"/>
  <c r="G100" i="4"/>
  <c r="N99" i="4"/>
  <c r="M99" i="4"/>
  <c r="L99" i="4"/>
  <c r="K99" i="4"/>
  <c r="J99" i="4"/>
  <c r="I99" i="4"/>
  <c r="G99" i="4"/>
  <c r="N98" i="4"/>
  <c r="M98" i="4"/>
  <c r="L98" i="4"/>
  <c r="K98" i="4"/>
  <c r="J98" i="4"/>
  <c r="I98" i="4"/>
  <c r="G98" i="4"/>
  <c r="N97" i="4"/>
  <c r="M97" i="4"/>
  <c r="L97" i="4"/>
  <c r="K97" i="4"/>
  <c r="J97" i="4"/>
  <c r="I97" i="4"/>
  <c r="G97" i="4"/>
  <c r="N96" i="4"/>
  <c r="M96" i="4"/>
  <c r="L96" i="4"/>
  <c r="K96" i="4"/>
  <c r="J96" i="4"/>
  <c r="I96" i="4"/>
  <c r="G96" i="4"/>
  <c r="N95" i="4"/>
  <c r="M95" i="4"/>
  <c r="L95" i="4"/>
  <c r="K95" i="4"/>
  <c r="J95" i="4"/>
  <c r="I95" i="4"/>
  <c r="G95" i="4"/>
  <c r="N94" i="4"/>
  <c r="M94" i="4"/>
  <c r="L94" i="4"/>
  <c r="K94" i="4"/>
  <c r="J94" i="4"/>
  <c r="I94" i="4"/>
  <c r="G94" i="4"/>
  <c r="N93" i="4"/>
  <c r="M93" i="4"/>
  <c r="L93" i="4"/>
  <c r="K93" i="4"/>
  <c r="J93" i="4"/>
  <c r="I93" i="4"/>
  <c r="G93" i="4"/>
  <c r="N92" i="4"/>
  <c r="M92" i="4"/>
  <c r="L92" i="4"/>
  <c r="K92" i="4"/>
  <c r="J92" i="4"/>
  <c r="I92" i="4"/>
  <c r="G92" i="4"/>
  <c r="N91" i="4"/>
  <c r="M91" i="4"/>
  <c r="L91" i="4"/>
  <c r="K91" i="4"/>
  <c r="J91" i="4"/>
  <c r="I91" i="4"/>
  <c r="G91" i="4"/>
  <c r="N90" i="4"/>
  <c r="M90" i="4"/>
  <c r="L90" i="4"/>
  <c r="K90" i="4"/>
  <c r="J90" i="4"/>
  <c r="I90" i="4"/>
  <c r="G90" i="4"/>
  <c r="N89" i="4"/>
  <c r="M89" i="4"/>
  <c r="L89" i="4"/>
  <c r="K89" i="4"/>
  <c r="J89" i="4"/>
  <c r="I89" i="4"/>
  <c r="G89" i="4"/>
  <c r="N88" i="4"/>
  <c r="M88" i="4"/>
  <c r="L88" i="4"/>
  <c r="K88" i="4"/>
  <c r="J88" i="4"/>
  <c r="I88" i="4"/>
  <c r="G88" i="4"/>
  <c r="N87" i="4"/>
  <c r="M87" i="4"/>
  <c r="L87" i="4"/>
  <c r="K87" i="4"/>
  <c r="J87" i="4"/>
  <c r="I87" i="4"/>
  <c r="G87" i="4"/>
  <c r="N86" i="4"/>
  <c r="M86" i="4"/>
  <c r="L86" i="4"/>
  <c r="K86" i="4"/>
  <c r="J86" i="4"/>
  <c r="I86" i="4"/>
  <c r="G86" i="4"/>
  <c r="N85" i="4"/>
  <c r="M85" i="4"/>
  <c r="L85" i="4"/>
  <c r="K85" i="4"/>
  <c r="J85" i="4"/>
  <c r="I85" i="4"/>
  <c r="G85" i="4"/>
  <c r="N84" i="4"/>
  <c r="M84" i="4"/>
  <c r="L84" i="4"/>
  <c r="K84" i="4"/>
  <c r="J84" i="4"/>
  <c r="I84" i="4"/>
  <c r="G84" i="4"/>
  <c r="N83" i="4"/>
  <c r="M83" i="4"/>
  <c r="L83" i="4"/>
  <c r="K83" i="4"/>
  <c r="J83" i="4"/>
  <c r="I83" i="4"/>
  <c r="G83" i="4"/>
  <c r="N82" i="4"/>
  <c r="M82" i="4"/>
  <c r="L82" i="4"/>
  <c r="K82" i="4"/>
  <c r="J82" i="4"/>
  <c r="I82" i="4"/>
  <c r="G82" i="4"/>
  <c r="N81" i="4"/>
  <c r="M81" i="4"/>
  <c r="L81" i="4"/>
  <c r="K81" i="4"/>
  <c r="J81" i="4"/>
  <c r="I81" i="4"/>
  <c r="G81" i="4"/>
  <c r="N80" i="4"/>
  <c r="M80" i="4"/>
  <c r="L80" i="4"/>
  <c r="K80" i="4"/>
  <c r="J80" i="4"/>
  <c r="I80" i="4"/>
  <c r="G80" i="4"/>
  <c r="N79" i="4"/>
  <c r="M79" i="4"/>
  <c r="L79" i="4"/>
  <c r="K79" i="4"/>
  <c r="J79" i="4"/>
  <c r="I79" i="4"/>
  <c r="G79" i="4"/>
  <c r="N78" i="4"/>
  <c r="M78" i="4"/>
  <c r="L78" i="4"/>
  <c r="K78" i="4"/>
  <c r="J78" i="4"/>
  <c r="I78" i="4"/>
  <c r="G78" i="4"/>
  <c r="N77" i="4"/>
  <c r="M77" i="4"/>
  <c r="L77" i="4"/>
  <c r="K77" i="4"/>
  <c r="J77" i="4"/>
  <c r="I77" i="4"/>
  <c r="G77" i="4"/>
  <c r="N76" i="4"/>
  <c r="M76" i="4"/>
  <c r="L76" i="4"/>
  <c r="K76" i="4"/>
  <c r="J76" i="4"/>
  <c r="I76" i="4"/>
  <c r="G76" i="4"/>
  <c r="N75" i="4"/>
  <c r="M75" i="4"/>
  <c r="L75" i="4"/>
  <c r="K75" i="4"/>
  <c r="J75" i="4"/>
  <c r="I75" i="4"/>
  <c r="G75" i="4"/>
  <c r="N74" i="4"/>
  <c r="M74" i="4"/>
  <c r="L74" i="4"/>
  <c r="K74" i="4"/>
  <c r="J74" i="4"/>
  <c r="I74" i="4"/>
  <c r="G74" i="4"/>
  <c r="N73" i="4"/>
  <c r="M73" i="4"/>
  <c r="L73" i="4"/>
  <c r="K73" i="4"/>
  <c r="J73" i="4"/>
  <c r="I73" i="4"/>
  <c r="G73" i="4"/>
  <c r="N72" i="4"/>
  <c r="M72" i="4"/>
  <c r="L72" i="4"/>
  <c r="K72" i="4"/>
  <c r="J72" i="4"/>
  <c r="I72" i="4"/>
  <c r="G72" i="4"/>
  <c r="N71" i="4"/>
  <c r="M71" i="4"/>
  <c r="L71" i="4"/>
  <c r="K71" i="4"/>
  <c r="J71" i="4"/>
  <c r="I71" i="4"/>
  <c r="G71" i="4"/>
  <c r="N70" i="4"/>
  <c r="M70" i="4"/>
  <c r="L70" i="4"/>
  <c r="K70" i="4"/>
  <c r="J70" i="4"/>
  <c r="I70" i="4"/>
  <c r="G70" i="4"/>
  <c r="N69" i="4"/>
  <c r="M69" i="4"/>
  <c r="L69" i="4"/>
  <c r="K69" i="4"/>
  <c r="J69" i="4"/>
  <c r="I69" i="4"/>
  <c r="G69" i="4"/>
  <c r="N68" i="4"/>
  <c r="M68" i="4"/>
  <c r="L68" i="4"/>
  <c r="K68" i="4"/>
  <c r="J68" i="4"/>
  <c r="I68" i="4"/>
  <c r="G68" i="4"/>
  <c r="N67" i="4"/>
  <c r="M67" i="4"/>
  <c r="L67" i="4"/>
  <c r="K67" i="4"/>
  <c r="J67" i="4"/>
  <c r="I67" i="4"/>
  <c r="G67" i="4"/>
  <c r="N66" i="4"/>
  <c r="M66" i="4"/>
  <c r="L66" i="4"/>
  <c r="K66" i="4"/>
  <c r="J66" i="4"/>
  <c r="I66" i="4"/>
  <c r="G66" i="4"/>
  <c r="N65" i="4"/>
  <c r="M65" i="4"/>
  <c r="L65" i="4"/>
  <c r="K65" i="4"/>
  <c r="J65" i="4"/>
  <c r="I65" i="4"/>
  <c r="G65" i="4"/>
  <c r="N64" i="4"/>
  <c r="M64" i="4"/>
  <c r="L64" i="4"/>
  <c r="K64" i="4"/>
  <c r="J64" i="4"/>
  <c r="I64" i="4"/>
  <c r="G64" i="4"/>
  <c r="N63" i="4"/>
  <c r="M63" i="4"/>
  <c r="L63" i="4"/>
  <c r="K63" i="4"/>
  <c r="J63" i="4"/>
  <c r="I63" i="4"/>
  <c r="G63" i="4"/>
  <c r="N62" i="4"/>
  <c r="M62" i="4"/>
  <c r="L62" i="4"/>
  <c r="K62" i="4"/>
  <c r="J62" i="4"/>
  <c r="I62" i="4"/>
  <c r="G62" i="4"/>
  <c r="N61" i="4"/>
  <c r="M61" i="4"/>
  <c r="L61" i="4"/>
  <c r="K61" i="4"/>
  <c r="J61" i="4"/>
  <c r="I61" i="4"/>
  <c r="G61" i="4"/>
  <c r="N60" i="4"/>
  <c r="M60" i="4"/>
  <c r="L60" i="4"/>
  <c r="K60" i="4"/>
  <c r="J60" i="4"/>
  <c r="I60" i="4"/>
  <c r="G60" i="4"/>
  <c r="N59" i="4"/>
  <c r="M59" i="4"/>
  <c r="L59" i="4"/>
  <c r="K59" i="4"/>
  <c r="J59" i="4"/>
  <c r="I59" i="4"/>
  <c r="G59" i="4"/>
  <c r="N58" i="4"/>
  <c r="M58" i="4"/>
  <c r="L58" i="4"/>
  <c r="K58" i="4"/>
  <c r="J58" i="4"/>
  <c r="I58" i="4"/>
  <c r="G58" i="4"/>
  <c r="N57" i="4"/>
  <c r="M57" i="4"/>
  <c r="L57" i="4"/>
  <c r="K57" i="4"/>
  <c r="J57" i="4"/>
  <c r="I57" i="4"/>
  <c r="G57" i="4"/>
  <c r="N56" i="4"/>
  <c r="M56" i="4"/>
  <c r="L56" i="4"/>
  <c r="K56" i="4"/>
  <c r="J56" i="4"/>
  <c r="I56" i="4"/>
  <c r="G56" i="4"/>
  <c r="N55" i="4"/>
  <c r="M55" i="4"/>
  <c r="L55" i="4"/>
  <c r="K55" i="4"/>
  <c r="J55" i="4"/>
  <c r="I55" i="4"/>
  <c r="G55" i="4"/>
  <c r="N54" i="4"/>
  <c r="M54" i="4"/>
  <c r="L54" i="4"/>
  <c r="K54" i="4"/>
  <c r="J54" i="4"/>
  <c r="I54" i="4"/>
  <c r="G54" i="4"/>
  <c r="N53" i="4"/>
  <c r="M53" i="4"/>
  <c r="L53" i="4"/>
  <c r="K53" i="4"/>
  <c r="J53" i="4"/>
  <c r="I53" i="4"/>
  <c r="G53" i="4"/>
  <c r="N52" i="4"/>
  <c r="M52" i="4"/>
  <c r="L52" i="4"/>
  <c r="K52" i="4"/>
  <c r="J52" i="4"/>
  <c r="I52" i="4"/>
  <c r="G52" i="4"/>
  <c r="N51" i="4"/>
  <c r="M51" i="4"/>
  <c r="L51" i="4"/>
  <c r="K51" i="4"/>
  <c r="J51" i="4"/>
  <c r="I51" i="4"/>
  <c r="G51" i="4"/>
  <c r="N50" i="4"/>
  <c r="M50" i="4"/>
  <c r="L50" i="4"/>
  <c r="K50" i="4"/>
  <c r="J50" i="4"/>
  <c r="I50" i="4"/>
  <c r="G50" i="4"/>
  <c r="N49" i="4"/>
  <c r="M49" i="4"/>
  <c r="L49" i="4"/>
  <c r="K49" i="4"/>
  <c r="J49" i="4"/>
  <c r="I49" i="4"/>
  <c r="G49" i="4"/>
  <c r="N48" i="4"/>
  <c r="M48" i="4"/>
  <c r="L48" i="4"/>
  <c r="K48" i="4"/>
  <c r="J48" i="4"/>
  <c r="I48" i="4"/>
  <c r="G48" i="4"/>
  <c r="N47" i="4"/>
  <c r="M47" i="4"/>
  <c r="L47" i="4"/>
  <c r="K47" i="4"/>
  <c r="J47" i="4"/>
  <c r="I47" i="4"/>
  <c r="G47" i="4"/>
  <c r="N46" i="4"/>
  <c r="M46" i="4"/>
  <c r="L46" i="4"/>
  <c r="K46" i="4"/>
  <c r="J46" i="4"/>
  <c r="I46" i="4"/>
  <c r="G46" i="4"/>
  <c r="N45" i="4"/>
  <c r="M45" i="4"/>
  <c r="L45" i="4"/>
  <c r="K45" i="4"/>
  <c r="J45" i="4"/>
  <c r="I45" i="4"/>
  <c r="G45" i="4"/>
  <c r="N44" i="4"/>
  <c r="M44" i="4"/>
  <c r="L44" i="4"/>
  <c r="K44" i="4"/>
  <c r="J44" i="4"/>
  <c r="I44" i="4"/>
  <c r="G44" i="4"/>
  <c r="N43" i="4"/>
  <c r="M43" i="4"/>
  <c r="L43" i="4"/>
  <c r="K43" i="4"/>
  <c r="J43" i="4"/>
  <c r="I43" i="4"/>
  <c r="G43" i="4"/>
  <c r="N42" i="4"/>
  <c r="M42" i="4"/>
  <c r="L42" i="4"/>
  <c r="K42" i="4"/>
  <c r="J42" i="4"/>
  <c r="I42" i="4"/>
  <c r="G42" i="4"/>
  <c r="N41" i="4"/>
  <c r="M41" i="4"/>
  <c r="L41" i="4"/>
  <c r="K41" i="4"/>
  <c r="J41" i="4"/>
  <c r="I41" i="4"/>
  <c r="G41" i="4"/>
  <c r="N40" i="4"/>
  <c r="M40" i="4"/>
  <c r="L40" i="4"/>
  <c r="K40" i="4"/>
  <c r="J40" i="4"/>
  <c r="I40" i="4"/>
  <c r="G40" i="4"/>
  <c r="N39" i="4"/>
  <c r="M39" i="4"/>
  <c r="L39" i="4"/>
  <c r="K39" i="4"/>
  <c r="J39" i="4"/>
  <c r="I39" i="4"/>
  <c r="G39" i="4"/>
  <c r="N38" i="4"/>
  <c r="M38" i="4"/>
  <c r="L38" i="4"/>
  <c r="K38" i="4"/>
  <c r="J38" i="4"/>
  <c r="I38" i="4"/>
  <c r="G38" i="4"/>
  <c r="N37" i="4"/>
  <c r="M37" i="4"/>
  <c r="L37" i="4"/>
  <c r="K37" i="4"/>
  <c r="J37" i="4"/>
  <c r="I37" i="4"/>
  <c r="G37" i="4"/>
  <c r="N36" i="4"/>
  <c r="M36" i="4"/>
  <c r="L36" i="4"/>
  <c r="K36" i="4"/>
  <c r="J36" i="4"/>
  <c r="I36" i="4"/>
  <c r="G36" i="4"/>
  <c r="N35" i="4"/>
  <c r="M35" i="4"/>
  <c r="L35" i="4"/>
  <c r="K35" i="4"/>
  <c r="J35" i="4"/>
  <c r="I35" i="4"/>
  <c r="G35" i="4"/>
  <c r="N34" i="4"/>
  <c r="M34" i="4"/>
  <c r="L34" i="4"/>
  <c r="K34" i="4"/>
  <c r="J34" i="4"/>
  <c r="I34" i="4"/>
  <c r="G34" i="4"/>
  <c r="N33" i="4"/>
  <c r="M33" i="4"/>
  <c r="L33" i="4"/>
  <c r="K33" i="4"/>
  <c r="J33" i="4"/>
  <c r="I33" i="4"/>
  <c r="G33" i="4"/>
  <c r="N32" i="4"/>
  <c r="M32" i="4"/>
  <c r="L32" i="4"/>
  <c r="K32" i="4"/>
  <c r="J32" i="4"/>
  <c r="I32" i="4"/>
  <c r="G32" i="4"/>
  <c r="N31" i="4"/>
  <c r="M31" i="4"/>
  <c r="L31" i="4"/>
  <c r="K31" i="4"/>
  <c r="J31" i="4"/>
  <c r="I31" i="4"/>
  <c r="G31" i="4"/>
  <c r="N30" i="4"/>
  <c r="M30" i="4"/>
  <c r="L30" i="4"/>
  <c r="K30" i="4"/>
  <c r="J30" i="4"/>
  <c r="I30" i="4"/>
  <c r="G30" i="4"/>
  <c r="N29" i="4"/>
  <c r="M29" i="4"/>
  <c r="L29" i="4"/>
  <c r="K29" i="4"/>
  <c r="J29" i="4"/>
  <c r="I29" i="4"/>
  <c r="G29" i="4"/>
  <c r="N28" i="4"/>
  <c r="M28" i="4"/>
  <c r="L28" i="4"/>
  <c r="K28" i="4"/>
  <c r="J28" i="4"/>
  <c r="I28" i="4"/>
  <c r="G28" i="4"/>
  <c r="N27" i="4"/>
  <c r="M27" i="4"/>
  <c r="L27" i="4"/>
  <c r="K27" i="4"/>
  <c r="J27" i="4"/>
  <c r="I27" i="4"/>
  <c r="G27" i="4"/>
  <c r="N26" i="4"/>
  <c r="M26" i="4"/>
  <c r="L26" i="4"/>
  <c r="K26" i="4"/>
  <c r="J26" i="4"/>
  <c r="I26" i="4"/>
  <c r="G26" i="4"/>
  <c r="N25" i="4"/>
  <c r="M25" i="4"/>
  <c r="L25" i="4"/>
  <c r="K25" i="4"/>
  <c r="J25" i="4"/>
  <c r="I25" i="4"/>
  <c r="G25" i="4"/>
  <c r="N24" i="4"/>
  <c r="M24" i="4"/>
  <c r="L24" i="4"/>
  <c r="K24" i="4"/>
  <c r="J24" i="4"/>
  <c r="I24" i="4"/>
  <c r="G24" i="4"/>
  <c r="N23" i="4"/>
  <c r="M23" i="4"/>
  <c r="L23" i="4"/>
  <c r="K23" i="4"/>
  <c r="J23" i="4"/>
  <c r="I23" i="4"/>
  <c r="G23" i="4"/>
  <c r="N22" i="4"/>
  <c r="M22" i="4"/>
  <c r="L22" i="4"/>
  <c r="K22" i="4"/>
  <c r="J22" i="4"/>
  <c r="I22" i="4"/>
  <c r="G22" i="4"/>
  <c r="N21" i="4"/>
  <c r="M21" i="4"/>
  <c r="L21" i="4"/>
  <c r="K21" i="4"/>
  <c r="J21" i="4"/>
  <c r="I21" i="4"/>
  <c r="G21" i="4"/>
  <c r="N20" i="4"/>
  <c r="M20" i="4"/>
  <c r="L20" i="4"/>
  <c r="K20" i="4"/>
  <c r="J20" i="4"/>
  <c r="I20" i="4"/>
  <c r="G20" i="4"/>
  <c r="N19" i="4"/>
  <c r="M19" i="4"/>
  <c r="L19" i="4"/>
  <c r="K19" i="4"/>
  <c r="J19" i="4"/>
  <c r="I19" i="4"/>
  <c r="G19" i="4"/>
  <c r="N18" i="4"/>
  <c r="M18" i="4"/>
  <c r="L18" i="4"/>
  <c r="K18" i="4"/>
  <c r="J18" i="4"/>
  <c r="I18" i="4"/>
  <c r="G18" i="4"/>
  <c r="N17" i="4"/>
  <c r="M17" i="4"/>
  <c r="L17" i="4"/>
  <c r="K17" i="4"/>
  <c r="J17" i="4"/>
  <c r="I17" i="4"/>
  <c r="G17" i="4"/>
  <c r="N16" i="4"/>
  <c r="M16" i="4"/>
  <c r="L16" i="4"/>
  <c r="K16" i="4"/>
  <c r="J16" i="4"/>
  <c r="I16" i="4"/>
  <c r="G16" i="4"/>
  <c r="N15" i="4"/>
  <c r="M15" i="4"/>
  <c r="L15" i="4"/>
  <c r="K15" i="4"/>
  <c r="J15" i="4"/>
  <c r="I15" i="4"/>
  <c r="G15" i="4"/>
  <c r="N14" i="4"/>
  <c r="M14" i="4"/>
  <c r="L14" i="4"/>
  <c r="K14" i="4"/>
  <c r="J14" i="4"/>
  <c r="I14" i="4"/>
  <c r="G14" i="4"/>
  <c r="N13" i="4"/>
  <c r="M13" i="4"/>
  <c r="L13" i="4"/>
  <c r="K13" i="4"/>
  <c r="J13" i="4"/>
  <c r="I13" i="4"/>
  <c r="G13" i="4"/>
  <c r="N12" i="4"/>
  <c r="M12" i="4"/>
  <c r="L12" i="4"/>
  <c r="K12" i="4"/>
  <c r="J12" i="4"/>
  <c r="I12" i="4"/>
  <c r="G12" i="4"/>
  <c r="N11" i="4"/>
  <c r="M11" i="4"/>
  <c r="L11" i="4"/>
  <c r="K11" i="4"/>
  <c r="J11" i="4"/>
  <c r="I11" i="4"/>
  <c r="G11" i="4"/>
  <c r="N10" i="4"/>
  <c r="M10" i="4"/>
  <c r="L10" i="4"/>
  <c r="K10" i="4"/>
  <c r="J10" i="4"/>
  <c r="I10" i="4"/>
  <c r="G10" i="4"/>
  <c r="N9" i="4"/>
  <c r="M9" i="4"/>
  <c r="L9" i="4"/>
  <c r="K9" i="4"/>
  <c r="J9" i="4"/>
  <c r="I9" i="4"/>
  <c r="G9" i="4"/>
  <c r="N8" i="4"/>
  <c r="M8" i="4"/>
  <c r="L8" i="4"/>
  <c r="K8" i="4"/>
  <c r="J8" i="4"/>
  <c r="I8" i="4"/>
  <c r="G8" i="4"/>
  <c r="N7" i="4"/>
  <c r="M7" i="4"/>
  <c r="L7" i="4"/>
  <c r="K7" i="4"/>
  <c r="J7" i="4"/>
  <c r="I7" i="4"/>
  <c r="G7" i="4"/>
  <c r="J6" i="4"/>
  <c r="G6" i="4"/>
  <c r="I6" i="4" s="1"/>
  <c r="M5" i="4"/>
  <c r="L5" i="4"/>
  <c r="J5" i="4"/>
  <c r="B15" i="8" s="1"/>
  <c r="G5" i="4"/>
  <c r="B13" i="8" s="1"/>
  <c r="E154" i="7" l="1"/>
  <c r="I154" i="7"/>
  <c r="H154" i="7"/>
  <c r="I185" i="7"/>
  <c r="G185" i="7"/>
  <c r="I195" i="7"/>
  <c r="H195" i="7"/>
  <c r="C195" i="7"/>
  <c r="B195" i="7"/>
  <c r="H14" i="6"/>
  <c r="B14" i="6"/>
  <c r="D14" i="6" s="1"/>
  <c r="E14" i="6" s="1"/>
  <c r="F146" i="7"/>
  <c r="H146" i="7"/>
  <c r="E146" i="7"/>
  <c r="I168" i="7"/>
  <c r="B168" i="7"/>
  <c r="H201" i="6"/>
  <c r="F201" i="6"/>
  <c r="L6" i="4"/>
  <c r="G94" i="6"/>
  <c r="C94" i="6"/>
  <c r="I175" i="7"/>
  <c r="H175" i="7"/>
  <c r="H158" i="6"/>
  <c r="E158" i="6"/>
  <c r="B158" i="6"/>
  <c r="G137" i="7"/>
  <c r="I137" i="7"/>
  <c r="E137" i="7"/>
  <c r="D137" i="7"/>
  <c r="D30" i="6"/>
  <c r="G30" i="6"/>
  <c r="C30" i="6"/>
  <c r="B30" i="6"/>
  <c r="H81" i="6"/>
  <c r="F81" i="6"/>
  <c r="E81" i="6"/>
  <c r="C81" i="6"/>
  <c r="B81" i="6"/>
  <c r="E78" i="7"/>
  <c r="C78" i="7"/>
  <c r="G94" i="7"/>
  <c r="H94" i="7"/>
  <c r="F94" i="7"/>
  <c r="E94" i="7"/>
  <c r="D94" i="7"/>
  <c r="C94" i="7"/>
  <c r="B94" i="7"/>
  <c r="I108" i="7"/>
  <c r="G108" i="7"/>
  <c r="F108" i="7"/>
  <c r="D108" i="7"/>
  <c r="C108" i="7"/>
  <c r="C149" i="7"/>
  <c r="I149" i="7"/>
  <c r="D177" i="7"/>
  <c r="I177" i="7"/>
  <c r="B177" i="7"/>
  <c r="C198" i="6"/>
  <c r="G198" i="6"/>
  <c r="F198" i="6"/>
  <c r="D198" i="6"/>
  <c r="B198" i="6"/>
  <c r="E24" i="7"/>
  <c r="F24" i="7"/>
  <c r="H106" i="6"/>
  <c r="G106" i="6"/>
  <c r="F175" i="6"/>
  <c r="H175" i="6"/>
  <c r="G175" i="6"/>
  <c r="E175" i="6"/>
  <c r="D175" i="6"/>
  <c r="I121" i="7"/>
  <c r="H121" i="7"/>
  <c r="G121" i="7"/>
  <c r="F121" i="7"/>
  <c r="E121" i="7"/>
  <c r="C121" i="7"/>
  <c r="B121" i="7"/>
  <c r="I184" i="7"/>
  <c r="G184" i="7"/>
  <c r="F184" i="7"/>
  <c r="E184" i="7"/>
  <c r="D184" i="7"/>
  <c r="C184" i="7"/>
  <c r="B184" i="7"/>
  <c r="H184" i="7"/>
  <c r="B13" i="6"/>
  <c r="D13" i="6" s="1"/>
  <c r="B22" i="6"/>
  <c r="B25" i="6"/>
  <c r="E50" i="6"/>
  <c r="C57" i="6"/>
  <c r="F61" i="6"/>
  <c r="E76" i="6"/>
  <c r="C84" i="6"/>
  <c r="D99" i="6"/>
  <c r="G107" i="6"/>
  <c r="G111" i="6"/>
  <c r="B132" i="6"/>
  <c r="F133" i="6"/>
  <c r="H136" i="6"/>
  <c r="G143" i="6"/>
  <c r="H167" i="6"/>
  <c r="H170" i="6"/>
  <c r="H174" i="6"/>
  <c r="E179" i="6"/>
  <c r="G113" i="7"/>
  <c r="H136" i="7"/>
  <c r="G144" i="7"/>
  <c r="I145" i="7"/>
  <c r="H176" i="7"/>
  <c r="D22" i="6"/>
  <c r="E25" i="6"/>
  <c r="H99" i="6"/>
  <c r="F132" i="6"/>
  <c r="B51" i="6"/>
  <c r="F68" i="6"/>
  <c r="G132" i="6"/>
  <c r="D134" i="6"/>
  <c r="B138" i="6"/>
  <c r="F28" i="7"/>
  <c r="H38" i="7"/>
  <c r="F40" i="7"/>
  <c r="B62" i="7"/>
  <c r="C64" i="7"/>
  <c r="B71" i="7"/>
  <c r="H73" i="7"/>
  <c r="B81" i="7"/>
  <c r="F86" i="7"/>
  <c r="C88" i="7"/>
  <c r="B90" i="7"/>
  <c r="G95" i="7"/>
  <c r="C97" i="7"/>
  <c r="I119" i="7"/>
  <c r="B124" i="7"/>
  <c r="B136" i="7"/>
  <c r="B144" i="7"/>
  <c r="B145" i="7"/>
  <c r="G180" i="7"/>
  <c r="C199" i="7"/>
  <c r="B203" i="7"/>
  <c r="E20" i="7"/>
  <c r="G20" i="7" s="1"/>
  <c r="G28" i="7"/>
  <c r="G44" i="7"/>
  <c r="C56" i="7"/>
  <c r="G59" i="7"/>
  <c r="C62" i="7"/>
  <c r="F64" i="7"/>
  <c r="E68" i="7"/>
  <c r="D71" i="7"/>
  <c r="C81" i="7"/>
  <c r="B84" i="7"/>
  <c r="B85" i="7"/>
  <c r="D90" i="7"/>
  <c r="E97" i="7"/>
  <c r="D111" i="7"/>
  <c r="B113" i="7"/>
  <c r="B117" i="7"/>
  <c r="B129" i="7"/>
  <c r="C136" i="7"/>
  <c r="C144" i="7"/>
  <c r="D145" i="7"/>
  <c r="H160" i="7"/>
  <c r="B169" i="7"/>
  <c r="F172" i="7"/>
  <c r="B176" i="7"/>
  <c r="B190" i="7"/>
  <c r="F192" i="7"/>
  <c r="I199" i="7"/>
  <c r="B16" i="6"/>
  <c r="C34" i="6"/>
  <c r="C75" i="6"/>
  <c r="B79" i="6"/>
  <c r="B107" i="6"/>
  <c r="B121" i="6"/>
  <c r="B133" i="6"/>
  <c r="D143" i="6"/>
  <c r="D161" i="6"/>
  <c r="D165" i="6"/>
  <c r="D167" i="6"/>
  <c r="F20" i="7"/>
  <c r="H28" i="7"/>
  <c r="F56" i="7"/>
  <c r="H59" i="7"/>
  <c r="E62" i="7"/>
  <c r="F68" i="7"/>
  <c r="E81" i="7"/>
  <c r="C84" i="7"/>
  <c r="C85" i="7"/>
  <c r="E90" i="7"/>
  <c r="G97" i="7"/>
  <c r="C113" i="7"/>
  <c r="D117" i="7"/>
  <c r="D136" i="7"/>
  <c r="D144" i="7"/>
  <c r="E145" i="7"/>
  <c r="G147" i="7"/>
  <c r="B155" i="7"/>
  <c r="B158" i="7"/>
  <c r="F165" i="7"/>
  <c r="G172" i="7"/>
  <c r="D176" i="7"/>
  <c r="E187" i="7"/>
  <c r="D190" i="7"/>
  <c r="G192" i="7"/>
  <c r="G21" i="6"/>
  <c r="B24" i="6"/>
  <c r="C26" i="6"/>
  <c r="C38" i="6"/>
  <c r="C42" i="6"/>
  <c r="B61" i="6"/>
  <c r="C65" i="6"/>
  <c r="E79" i="6"/>
  <c r="F88" i="6"/>
  <c r="F96" i="6"/>
  <c r="B99" i="6"/>
  <c r="B102" i="6"/>
  <c r="H104" i="6"/>
  <c r="C107" i="6"/>
  <c r="D111" i="6"/>
  <c r="E117" i="6"/>
  <c r="F131" i="6"/>
  <c r="D133" i="6"/>
  <c r="B141" i="6"/>
  <c r="E143" i="6"/>
  <c r="E156" i="6"/>
  <c r="D159" i="6"/>
  <c r="F161" i="6"/>
  <c r="F165" i="6"/>
  <c r="F167" i="6"/>
  <c r="B174" i="6"/>
  <c r="B179" i="6"/>
  <c r="G27" i="7"/>
  <c r="C39" i="7"/>
  <c r="E49" i="7"/>
  <c r="B54" i="7"/>
  <c r="F62" i="7"/>
  <c r="G68" i="7"/>
  <c r="C72" i="7"/>
  <c r="C79" i="7"/>
  <c r="F81" i="7"/>
  <c r="D84" i="7"/>
  <c r="D85" i="7"/>
  <c r="B87" i="7"/>
  <c r="B89" i="7"/>
  <c r="F90" i="7"/>
  <c r="C96" i="7"/>
  <c r="H97" i="7"/>
  <c r="F100" i="7"/>
  <c r="E113" i="7"/>
  <c r="B116" i="7"/>
  <c r="F117" i="7"/>
  <c r="D120" i="7"/>
  <c r="B130" i="7"/>
  <c r="B134" i="7"/>
  <c r="E136" i="7"/>
  <c r="F141" i="7"/>
  <c r="E144" i="7"/>
  <c r="F145" i="7"/>
  <c r="H147" i="7"/>
  <c r="B152" i="7"/>
  <c r="B153" i="7"/>
  <c r="C155" i="7"/>
  <c r="H158" i="7"/>
  <c r="B160" i="7"/>
  <c r="E176" i="7"/>
  <c r="B179" i="7"/>
  <c r="E182" i="7"/>
  <c r="G187" i="7"/>
  <c r="I190" i="7"/>
  <c r="B205" i="7"/>
  <c r="F26" i="6"/>
  <c r="F38" i="6"/>
  <c r="E42" i="6"/>
  <c r="E61" i="6"/>
  <c r="E65" i="6"/>
  <c r="C99" i="6"/>
  <c r="D107" i="6"/>
  <c r="E133" i="6"/>
  <c r="D141" i="6"/>
  <c r="G165" i="6"/>
  <c r="D179" i="6"/>
  <c r="H27" i="7"/>
  <c r="D42" i="7"/>
  <c r="B46" i="7"/>
  <c r="D54" i="7"/>
  <c r="B57" i="7"/>
  <c r="D66" i="7"/>
  <c r="F72" i="7"/>
  <c r="H81" i="7"/>
  <c r="E84" i="7"/>
  <c r="E85" i="7"/>
  <c r="D87" i="7"/>
  <c r="H90" i="7"/>
  <c r="D96" i="7"/>
  <c r="C109" i="7"/>
  <c r="C112" i="7"/>
  <c r="F113" i="7"/>
  <c r="D116" i="7"/>
  <c r="G120" i="7"/>
  <c r="B126" i="7"/>
  <c r="E130" i="7"/>
  <c r="G136" i="7"/>
  <c r="B139" i="7"/>
  <c r="I141" i="7"/>
  <c r="F144" i="7"/>
  <c r="C152" i="7"/>
  <c r="F153" i="7"/>
  <c r="D155" i="7"/>
  <c r="I158" i="7"/>
  <c r="C160" i="7"/>
  <c r="C162" i="7"/>
  <c r="H166" i="7"/>
  <c r="B171" i="7"/>
  <c r="I173" i="7"/>
  <c r="G176" i="7"/>
  <c r="D179" i="7"/>
  <c r="C9" i="5"/>
  <c r="C14" i="5"/>
  <c r="C10" i="6"/>
  <c r="C6" i="5"/>
  <c r="K6" i="4"/>
  <c r="I5" i="4"/>
  <c r="B14" i="8" s="1"/>
  <c r="C9" i="6"/>
  <c r="G8" i="6"/>
  <c r="D11" i="6"/>
  <c r="G14" i="6"/>
  <c r="H22" i="6"/>
  <c r="E22" i="6"/>
  <c r="H25" i="6"/>
  <c r="D25" i="6"/>
  <c r="D26" i="6"/>
  <c r="C28" i="6"/>
  <c r="E33" i="6"/>
  <c r="E38" i="6"/>
  <c r="E43" i="6"/>
  <c r="E46" i="6"/>
  <c r="E51" i="6"/>
  <c r="E54" i="6"/>
  <c r="E57" i="6"/>
  <c r="F62" i="6"/>
  <c r="B70" i="6"/>
  <c r="H79" i="6"/>
  <c r="C79" i="6"/>
  <c r="E91" i="6"/>
  <c r="C91" i="6"/>
  <c r="E94" i="6"/>
  <c r="B94" i="6"/>
  <c r="C114" i="6"/>
  <c r="F147" i="6"/>
  <c r="B147" i="6"/>
  <c r="D150" i="6"/>
  <c r="C157" i="6"/>
  <c r="F157" i="6"/>
  <c r="E157" i="6"/>
  <c r="H157" i="6"/>
  <c r="E184" i="6"/>
  <c r="B184" i="6"/>
  <c r="G184" i="6"/>
  <c r="H202" i="6"/>
  <c r="G202" i="6"/>
  <c r="D202" i="6"/>
  <c r="E70" i="6"/>
  <c r="H75" i="6"/>
  <c r="E75" i="6"/>
  <c r="H77" i="6"/>
  <c r="F77" i="6"/>
  <c r="B77" i="6"/>
  <c r="E87" i="6"/>
  <c r="C87" i="6"/>
  <c r="E96" i="6"/>
  <c r="D96" i="6"/>
  <c r="D147" i="6"/>
  <c r="G157" i="6"/>
  <c r="F184" i="6"/>
  <c r="C193" i="6"/>
  <c r="G193" i="6"/>
  <c r="B193" i="6"/>
  <c r="E202" i="6"/>
  <c r="C18" i="7"/>
  <c r="D18" i="7"/>
  <c r="I18" i="7" s="1"/>
  <c r="D9" i="6"/>
  <c r="E9" i="6" s="1"/>
  <c r="G38" i="6"/>
  <c r="B42" i="6"/>
  <c r="B50" i="6"/>
  <c r="B68" i="6"/>
  <c r="F70" i="6"/>
  <c r="B75" i="6"/>
  <c r="C77" i="6"/>
  <c r="H83" i="6"/>
  <c r="E83" i="6"/>
  <c r="H85" i="6"/>
  <c r="F85" i="6"/>
  <c r="B85" i="6"/>
  <c r="B87" i="6"/>
  <c r="D91" i="6"/>
  <c r="F94" i="6"/>
  <c r="C96" i="6"/>
  <c r="E102" i="6"/>
  <c r="C102" i="6"/>
  <c r="G102" i="6"/>
  <c r="E112" i="6"/>
  <c r="H112" i="6"/>
  <c r="C112" i="6"/>
  <c r="G121" i="6"/>
  <c r="F121" i="6"/>
  <c r="C121" i="6"/>
  <c r="H125" i="6"/>
  <c r="F125" i="6"/>
  <c r="E125" i="6"/>
  <c r="C125" i="6"/>
  <c r="E130" i="6"/>
  <c r="B130" i="6"/>
  <c r="C142" i="6"/>
  <c r="D142" i="6"/>
  <c r="B142" i="6"/>
  <c r="F142" i="6"/>
  <c r="E147" i="6"/>
  <c r="C158" i="6"/>
  <c r="G158" i="6"/>
  <c r="F158" i="6"/>
  <c r="D158" i="6"/>
  <c r="C166" i="6"/>
  <c r="D166" i="6"/>
  <c r="B166" i="6"/>
  <c r="F166" i="6"/>
  <c r="C174" i="6"/>
  <c r="G174" i="6"/>
  <c r="F174" i="6"/>
  <c r="D174" i="6"/>
  <c r="G181" i="6"/>
  <c r="H184" i="6"/>
  <c r="H189" i="6"/>
  <c r="D193" i="6"/>
  <c r="F199" i="6"/>
  <c r="G39" i="6"/>
  <c r="F39" i="6"/>
  <c r="G47" i="6"/>
  <c r="B47" i="6"/>
  <c r="H116" i="6"/>
  <c r="F116" i="6"/>
  <c r="C116" i="6"/>
  <c r="G152" i="6"/>
  <c r="F152" i="6"/>
  <c r="B152" i="6"/>
  <c r="C182" i="6"/>
  <c r="D182" i="6"/>
  <c r="B182" i="6"/>
  <c r="F182" i="6"/>
  <c r="H185" i="6"/>
  <c r="G185" i="6"/>
  <c r="B185" i="6"/>
  <c r="C190" i="6"/>
  <c r="F190" i="6"/>
  <c r="E190" i="6"/>
  <c r="B190" i="6"/>
  <c r="H190" i="6"/>
  <c r="H78" i="6"/>
  <c r="F78" i="6"/>
  <c r="H80" i="6"/>
  <c r="C80" i="6"/>
  <c r="E95" i="6"/>
  <c r="F95" i="6"/>
  <c r="B95" i="6"/>
  <c r="E152" i="6"/>
  <c r="H171" i="6"/>
  <c r="E171" i="6"/>
  <c r="E182" i="6"/>
  <c r="F185" i="6"/>
  <c r="D190" i="6"/>
  <c r="H205" i="6"/>
  <c r="G205" i="6"/>
  <c r="D205" i="6"/>
  <c r="G10" i="6"/>
  <c r="G13" i="6"/>
  <c r="B17" i="6"/>
  <c r="F17" i="6" s="1"/>
  <c r="H30" i="6"/>
  <c r="E30" i="6"/>
  <c r="H33" i="6"/>
  <c r="D33" i="6"/>
  <c r="D34" i="6"/>
  <c r="E39" i="6"/>
  <c r="G42" i="6"/>
  <c r="F47" i="6"/>
  <c r="G50" i="6"/>
  <c r="B60" i="6"/>
  <c r="B62" i="6"/>
  <c r="B69" i="6"/>
  <c r="H76" i="6"/>
  <c r="B76" i="6"/>
  <c r="B78" i="6"/>
  <c r="B80" i="6"/>
  <c r="E86" i="6"/>
  <c r="G86" i="6"/>
  <c r="G87" i="6"/>
  <c r="F89" i="6"/>
  <c r="C95" i="6"/>
  <c r="E103" i="6"/>
  <c r="G103" i="6"/>
  <c r="C103" i="6"/>
  <c r="D113" i="6"/>
  <c r="F113" i="6"/>
  <c r="D116" i="6"/>
  <c r="E118" i="6"/>
  <c r="F118" i="6"/>
  <c r="D122" i="6"/>
  <c r="E122" i="6"/>
  <c r="G125" i="6"/>
  <c r="G130" i="6"/>
  <c r="H145" i="6"/>
  <c r="B145" i="6"/>
  <c r="H152" i="6"/>
  <c r="G161" i="6"/>
  <c r="B161" i="6"/>
  <c r="D164" i="6"/>
  <c r="B171" i="6"/>
  <c r="G182" i="6"/>
  <c r="G190" i="6"/>
  <c r="C201" i="6"/>
  <c r="D201" i="6"/>
  <c r="B201" i="6"/>
  <c r="G201" i="6"/>
  <c r="E205" i="6"/>
  <c r="C14" i="7"/>
  <c r="G17" i="6"/>
  <c r="F21" i="6"/>
  <c r="F34" i="6"/>
  <c r="E60" i="6"/>
  <c r="C62" i="6"/>
  <c r="C69" i="6"/>
  <c r="F73" i="6"/>
  <c r="E73" i="6"/>
  <c r="C76" i="6"/>
  <c r="C78" i="6"/>
  <c r="E80" i="6"/>
  <c r="H84" i="6"/>
  <c r="B84" i="6"/>
  <c r="B86" i="6"/>
  <c r="H87" i="6"/>
  <c r="G89" i="6"/>
  <c r="D95" i="6"/>
  <c r="B103" i="6"/>
  <c r="E105" i="6"/>
  <c r="F105" i="6"/>
  <c r="E116" i="6"/>
  <c r="G128" i="6"/>
  <c r="C128" i="6"/>
  <c r="F171" i="6"/>
  <c r="H182" i="6"/>
  <c r="H195" i="6"/>
  <c r="B195" i="6"/>
  <c r="C206" i="6"/>
  <c r="H206" i="6"/>
  <c r="F206" i="6"/>
  <c r="B206" i="6"/>
  <c r="F15" i="7"/>
  <c r="C15" i="7"/>
  <c r="H28" i="6"/>
  <c r="F28" i="6"/>
  <c r="E78" i="6"/>
  <c r="F80" i="6"/>
  <c r="G95" i="6"/>
  <c r="G114" i="6"/>
  <c r="B114" i="6"/>
  <c r="G116" i="6"/>
  <c r="G119" i="6"/>
  <c r="E119" i="6"/>
  <c r="B119" i="6"/>
  <c r="F123" i="6"/>
  <c r="D123" i="6"/>
  <c r="B123" i="6"/>
  <c r="F135" i="6"/>
  <c r="D135" i="6"/>
  <c r="C150" i="6"/>
  <c r="F150" i="6"/>
  <c r="E150" i="6"/>
  <c r="B150" i="6"/>
  <c r="H150" i="6"/>
  <c r="E180" i="6"/>
  <c r="B180" i="6"/>
  <c r="G180" i="6"/>
  <c r="G188" i="6"/>
  <c r="F188" i="6"/>
  <c r="B188" i="6"/>
  <c r="H192" i="6"/>
  <c r="G192" i="6"/>
  <c r="E192" i="6"/>
  <c r="E134" i="6"/>
  <c r="G148" i="6"/>
  <c r="H162" i="6"/>
  <c r="E165" i="6"/>
  <c r="E22" i="7"/>
  <c r="F23" i="7"/>
  <c r="D26" i="7"/>
  <c r="E30" i="7"/>
  <c r="F31" i="7"/>
  <c r="D34" i="7"/>
  <c r="F36" i="7"/>
  <c r="F44" i="7"/>
  <c r="F46" i="7"/>
  <c r="G52" i="7"/>
  <c r="I62" i="7"/>
  <c r="G62" i="7"/>
  <c r="D62" i="7"/>
  <c r="C63" i="7"/>
  <c r="E70" i="7"/>
  <c r="C74" i="7"/>
  <c r="D74" i="7"/>
  <c r="F79" i="7"/>
  <c r="H79" i="7"/>
  <c r="D79" i="7"/>
  <c r="D80" i="7"/>
  <c r="F83" i="7"/>
  <c r="D92" i="7"/>
  <c r="F22" i="7"/>
  <c r="F30" i="7"/>
  <c r="B35" i="7"/>
  <c r="F35" i="7"/>
  <c r="G46" i="7"/>
  <c r="B51" i="7"/>
  <c r="G51" i="7"/>
  <c r="I55" i="7"/>
  <c r="C55" i="7"/>
  <c r="F70" i="7"/>
  <c r="B75" i="7"/>
  <c r="F75" i="7"/>
  <c r="G80" i="7"/>
  <c r="C82" i="7"/>
  <c r="F82" i="7"/>
  <c r="B82" i="7"/>
  <c r="H82" i="7"/>
  <c r="G86" i="7"/>
  <c r="E86" i="7"/>
  <c r="B86" i="7"/>
  <c r="G22" i="7"/>
  <c r="C27" i="7"/>
  <c r="G30" i="7"/>
  <c r="E32" i="7"/>
  <c r="F32" i="7"/>
  <c r="C35" i="7"/>
  <c r="I39" i="7"/>
  <c r="G39" i="7"/>
  <c r="C43" i="7"/>
  <c r="C48" i="7"/>
  <c r="C51" i="7"/>
  <c r="B55" i="7"/>
  <c r="C75" i="7"/>
  <c r="I78" i="7"/>
  <c r="G78" i="7"/>
  <c r="D78" i="7"/>
  <c r="D82" i="7"/>
  <c r="C86" i="7"/>
  <c r="B91" i="7"/>
  <c r="F91" i="7"/>
  <c r="C91" i="7"/>
  <c r="H91" i="7"/>
  <c r="F104" i="6"/>
  <c r="D117" i="6"/>
  <c r="D132" i="6"/>
  <c r="G133" i="6"/>
  <c r="H134" i="6"/>
  <c r="H165" i="6"/>
  <c r="E198" i="6"/>
  <c r="H22" i="7"/>
  <c r="C24" i="7"/>
  <c r="F27" i="7"/>
  <c r="C32" i="7"/>
  <c r="G35" i="7"/>
  <c r="I38" i="7"/>
  <c r="G38" i="7"/>
  <c r="F43" i="7"/>
  <c r="I47" i="7"/>
  <c r="C47" i="7"/>
  <c r="F48" i="7"/>
  <c r="F51" i="7"/>
  <c r="I54" i="7"/>
  <c r="C54" i="7"/>
  <c r="H54" i="7"/>
  <c r="D55" i="7"/>
  <c r="I60" i="7"/>
  <c r="H60" i="7"/>
  <c r="E60" i="7"/>
  <c r="B67" i="7"/>
  <c r="G67" i="7"/>
  <c r="I71" i="7"/>
  <c r="C71" i="7"/>
  <c r="G75" i="7"/>
  <c r="B78" i="7"/>
  <c r="E82" i="7"/>
  <c r="D86" i="7"/>
  <c r="E88" i="7"/>
  <c r="B88" i="7"/>
  <c r="H88" i="7"/>
  <c r="D88" i="7"/>
  <c r="H93" i="7"/>
  <c r="F93" i="7"/>
  <c r="C93" i="7"/>
  <c r="I115" i="7"/>
  <c r="H115" i="7"/>
  <c r="E115" i="7"/>
  <c r="I23" i="7"/>
  <c r="E23" i="7"/>
  <c r="I31" i="7"/>
  <c r="B31" i="7"/>
  <c r="I46" i="7"/>
  <c r="C46" i="7"/>
  <c r="C19" i="7"/>
  <c r="B22" i="7"/>
  <c r="B23" i="7"/>
  <c r="D25" i="7"/>
  <c r="E25" i="7"/>
  <c r="I30" i="7"/>
  <c r="B30" i="7"/>
  <c r="C31" i="7"/>
  <c r="B33" i="7"/>
  <c r="I36" i="7"/>
  <c r="H36" i="7"/>
  <c r="I52" i="7"/>
  <c r="B52" i="7"/>
  <c r="I70" i="7"/>
  <c r="C70" i="7"/>
  <c r="H70" i="7"/>
  <c r="I76" i="7"/>
  <c r="H76" i="7"/>
  <c r="E76" i="7"/>
  <c r="E80" i="7"/>
  <c r="F80" i="7"/>
  <c r="B83" i="7"/>
  <c r="G83" i="7"/>
  <c r="D83" i="7"/>
  <c r="I105" i="7"/>
  <c r="G105" i="7"/>
  <c r="F105" i="7"/>
  <c r="E105" i="7"/>
  <c r="C105" i="7"/>
  <c r="B105" i="7"/>
  <c r="H105" i="7"/>
  <c r="G117" i="6"/>
  <c r="E131" i="6"/>
  <c r="B134" i="6"/>
  <c r="B165" i="6"/>
  <c r="H198" i="6"/>
  <c r="F19" i="7"/>
  <c r="C22" i="7"/>
  <c r="C23" i="7"/>
  <c r="B25" i="7"/>
  <c r="C30" i="7"/>
  <c r="D31" i="7"/>
  <c r="E33" i="7"/>
  <c r="B36" i="7"/>
  <c r="D38" i="7"/>
  <c r="E39" i="7"/>
  <c r="E41" i="7"/>
  <c r="I44" i="7"/>
  <c r="B44" i="7"/>
  <c r="D46" i="7"/>
  <c r="E47" i="7"/>
  <c r="E52" i="7"/>
  <c r="E54" i="7"/>
  <c r="G55" i="7"/>
  <c r="C58" i="7"/>
  <c r="D58" i="7"/>
  <c r="G60" i="7"/>
  <c r="I63" i="7"/>
  <c r="G63" i="7"/>
  <c r="D63" i="7"/>
  <c r="D65" i="7"/>
  <c r="B65" i="7"/>
  <c r="H67" i="7"/>
  <c r="B70" i="7"/>
  <c r="E71" i="7"/>
  <c r="B76" i="7"/>
  <c r="F78" i="7"/>
  <c r="B80" i="7"/>
  <c r="C83" i="7"/>
  <c r="G88" i="7"/>
  <c r="I92" i="7"/>
  <c r="F92" i="7"/>
  <c r="C92" i="7"/>
  <c r="H92" i="7"/>
  <c r="E93" i="7"/>
  <c r="G106" i="7"/>
  <c r="I106" i="7"/>
  <c r="D22" i="7"/>
  <c r="D23" i="7"/>
  <c r="D30" i="7"/>
  <c r="E31" i="7"/>
  <c r="E36" i="7"/>
  <c r="E38" i="7"/>
  <c r="F39" i="7"/>
  <c r="E44" i="7"/>
  <c r="E46" i="7"/>
  <c r="F47" i="7"/>
  <c r="F52" i="7"/>
  <c r="F54" i="7"/>
  <c r="B59" i="7"/>
  <c r="F59" i="7"/>
  <c r="B63" i="7"/>
  <c r="E65" i="7"/>
  <c r="I68" i="7"/>
  <c r="B68" i="7"/>
  <c r="D70" i="7"/>
  <c r="F71" i="7"/>
  <c r="F76" i="7"/>
  <c r="H78" i="7"/>
  <c r="C80" i="7"/>
  <c r="E83" i="7"/>
  <c r="D89" i="7"/>
  <c r="C89" i="7"/>
  <c r="F89" i="7"/>
  <c r="B92" i="7"/>
  <c r="G93" i="7"/>
  <c r="F95" i="7"/>
  <c r="I95" i="7"/>
  <c r="E95" i="7"/>
  <c r="B95" i="7"/>
  <c r="E106" i="7"/>
  <c r="G81" i="7"/>
  <c r="C87" i="7"/>
  <c r="G90" i="7"/>
  <c r="B96" i="7"/>
  <c r="B97" i="7"/>
  <c r="E98" i="7"/>
  <c r="D100" i="7"/>
  <c r="G101" i="7"/>
  <c r="H104" i="7"/>
  <c r="B108" i="7"/>
  <c r="B109" i="7"/>
  <c r="F114" i="7"/>
  <c r="C116" i="7"/>
  <c r="C117" i="7"/>
  <c r="H124" i="7"/>
  <c r="H128" i="7"/>
  <c r="G135" i="7"/>
  <c r="F136" i="7"/>
  <c r="F138" i="7"/>
  <c r="E141" i="7"/>
  <c r="D146" i="7"/>
  <c r="E147" i="7"/>
  <c r="H149" i="7"/>
  <c r="F154" i="7"/>
  <c r="G155" i="7"/>
  <c r="D163" i="7"/>
  <c r="I164" i="7"/>
  <c r="I167" i="7"/>
  <c r="H168" i="7"/>
  <c r="C171" i="7"/>
  <c r="D172" i="7"/>
  <c r="H173" i="7"/>
  <c r="C176" i="7"/>
  <c r="C179" i="7"/>
  <c r="F180" i="7"/>
  <c r="I181" i="7"/>
  <c r="D187" i="7"/>
  <c r="E189" i="7"/>
  <c r="H190" i="7"/>
  <c r="B192" i="7"/>
  <c r="F193" i="7"/>
  <c r="G195" i="7"/>
  <c r="E198" i="7"/>
  <c r="H199" i="7"/>
  <c r="G200" i="7"/>
  <c r="C202" i="7"/>
  <c r="G207" i="7"/>
  <c r="H200" i="7"/>
  <c r="G87" i="7"/>
  <c r="F96" i="7"/>
  <c r="F97" i="7"/>
  <c r="G100" i="7"/>
  <c r="E108" i="7"/>
  <c r="F109" i="7"/>
  <c r="F116" i="7"/>
  <c r="G117" i="7"/>
  <c r="C124" i="7"/>
  <c r="C125" i="7"/>
  <c r="H127" i="7"/>
  <c r="C129" i="7"/>
  <c r="G134" i="7"/>
  <c r="C139" i="7"/>
  <c r="I146" i="7"/>
  <c r="B150" i="7"/>
  <c r="F156" i="7"/>
  <c r="F162" i="7"/>
  <c r="H163" i="7"/>
  <c r="C168" i="7"/>
  <c r="D169" i="7"/>
  <c r="G171" i="7"/>
  <c r="I172" i="7"/>
  <c r="G174" i="7"/>
  <c r="F176" i="7"/>
  <c r="C178" i="7"/>
  <c r="G179" i="7"/>
  <c r="B181" i="7"/>
  <c r="G182" i="7"/>
  <c r="C186" i="7"/>
  <c r="H187" i="7"/>
  <c r="F191" i="7"/>
  <c r="B200" i="7"/>
  <c r="B201" i="7"/>
  <c r="H205" i="7"/>
  <c r="H100" i="7"/>
  <c r="D124" i="7"/>
  <c r="F125" i="7"/>
  <c r="E129" i="7"/>
  <c r="H134" i="7"/>
  <c r="D139" i="7"/>
  <c r="D150" i="7"/>
  <c r="H162" i="7"/>
  <c r="D168" i="7"/>
  <c r="D178" i="7"/>
  <c r="C181" i="7"/>
  <c r="H182" i="7"/>
  <c r="G191" i="7"/>
  <c r="C200" i="7"/>
  <c r="D201" i="7"/>
  <c r="D107" i="7"/>
  <c r="F118" i="7"/>
  <c r="E124" i="7"/>
  <c r="G125" i="7"/>
  <c r="C128" i="7"/>
  <c r="F129" i="7"/>
  <c r="E139" i="7"/>
  <c r="C143" i="7"/>
  <c r="B147" i="7"/>
  <c r="E150" i="7"/>
  <c r="C154" i="7"/>
  <c r="H157" i="7"/>
  <c r="C164" i="7"/>
  <c r="E168" i="7"/>
  <c r="C173" i="7"/>
  <c r="E181" i="7"/>
  <c r="H191" i="7"/>
  <c r="D199" i="7"/>
  <c r="D200" i="7"/>
  <c r="E201" i="7"/>
  <c r="C203" i="7"/>
  <c r="I96" i="7"/>
  <c r="B100" i="7"/>
  <c r="B101" i="7"/>
  <c r="D104" i="7"/>
  <c r="H108" i="7"/>
  <c r="B110" i="7"/>
  <c r="F124" i="7"/>
  <c r="D128" i="7"/>
  <c r="G129" i="7"/>
  <c r="C135" i="7"/>
  <c r="G139" i="7"/>
  <c r="B141" i="7"/>
  <c r="G143" i="7"/>
  <c r="C147" i="7"/>
  <c r="B149" i="7"/>
  <c r="D154" i="7"/>
  <c r="B163" i="7"/>
  <c r="D164" i="7"/>
  <c r="C167" i="7"/>
  <c r="F168" i="7"/>
  <c r="B172" i="7"/>
  <c r="E173" i="7"/>
  <c r="B180" i="7"/>
  <c r="F181" i="7"/>
  <c r="B187" i="7"/>
  <c r="B189" i="7"/>
  <c r="E190" i="7"/>
  <c r="H192" i="7"/>
  <c r="D195" i="7"/>
  <c r="B198" i="7"/>
  <c r="F199" i="7"/>
  <c r="E200" i="7"/>
  <c r="F201" i="7"/>
  <c r="D203" i="7"/>
  <c r="C100" i="7"/>
  <c r="F101" i="7"/>
  <c r="I110" i="7"/>
  <c r="G124" i="7"/>
  <c r="G128" i="7"/>
  <c r="H129" i="7"/>
  <c r="D135" i="7"/>
  <c r="H139" i="7"/>
  <c r="H143" i="7"/>
  <c r="D147" i="7"/>
  <c r="C163" i="7"/>
  <c r="G164" i="7"/>
  <c r="G168" i="7"/>
  <c r="D180" i="7"/>
  <c r="C187" i="7"/>
  <c r="C189" i="7"/>
  <c r="E195" i="7"/>
  <c r="D198" i="7"/>
  <c r="F200" i="7"/>
  <c r="E203" i="7"/>
  <c r="F207" i="7"/>
  <c r="F16" i="5"/>
  <c r="F12" i="5"/>
  <c r="F17" i="5"/>
  <c r="F13" i="5"/>
  <c r="F15" i="5"/>
  <c r="F18" i="5"/>
  <c r="F14" i="5"/>
  <c r="E4" i="7"/>
  <c r="B8" i="7"/>
  <c r="H37" i="6"/>
  <c r="D37" i="6"/>
  <c r="G37" i="6"/>
  <c r="F37" i="6"/>
  <c r="E37" i="6"/>
  <c r="C37" i="6"/>
  <c r="B37" i="6"/>
  <c r="C149" i="6"/>
  <c r="F149" i="6"/>
  <c r="E149" i="6"/>
  <c r="D149" i="6"/>
  <c r="H149" i="6"/>
  <c r="G149" i="6"/>
  <c r="B149" i="6"/>
  <c r="C187" i="6"/>
  <c r="G187" i="6"/>
  <c r="H187" i="6"/>
  <c r="F187" i="6"/>
  <c r="E187" i="6"/>
  <c r="B187" i="6"/>
  <c r="D187" i="6"/>
  <c r="N5" i="4"/>
  <c r="E15" i="7"/>
  <c r="G15" i="7" s="1"/>
  <c r="H15" i="7" s="1"/>
  <c r="D15" i="7"/>
  <c r="B15" i="7"/>
  <c r="N6" i="4"/>
  <c r="C12" i="5"/>
  <c r="D10" i="7"/>
  <c r="B14" i="7"/>
  <c r="E14" i="7"/>
  <c r="G14" i="7" s="1"/>
  <c r="D14" i="7"/>
  <c r="B34" i="8"/>
  <c r="B35" i="8"/>
  <c r="B33" i="8"/>
  <c r="B31" i="8"/>
  <c r="B29" i="8"/>
  <c r="B27" i="8"/>
  <c r="B25" i="8"/>
  <c r="B23" i="8"/>
  <c r="B21" i="8"/>
  <c r="B32" i="8"/>
  <c r="B30" i="8"/>
  <c r="B28" i="8"/>
  <c r="B26" i="8"/>
  <c r="B24" i="8"/>
  <c r="B22" i="8"/>
  <c r="E13" i="7"/>
  <c r="G13" i="7" s="1"/>
  <c r="D13" i="7"/>
  <c r="F13" i="6"/>
  <c r="H49" i="6"/>
  <c r="D49" i="6"/>
  <c r="G49" i="6"/>
  <c r="F49" i="6"/>
  <c r="E49" i="6"/>
  <c r="C49" i="6"/>
  <c r="B49" i="6"/>
  <c r="H45" i="6"/>
  <c r="D45" i="6"/>
  <c r="G45" i="6"/>
  <c r="F45" i="6"/>
  <c r="E45" i="6"/>
  <c r="C45" i="6"/>
  <c r="B45" i="6"/>
  <c r="H72" i="6"/>
  <c r="G72" i="6"/>
  <c r="D72" i="6"/>
  <c r="F72" i="6"/>
  <c r="E72" i="6"/>
  <c r="C72" i="6"/>
  <c r="B72" i="6"/>
  <c r="D8" i="6"/>
  <c r="E8" i="6" s="1"/>
  <c r="H15" i="6"/>
  <c r="G15" i="6"/>
  <c r="C15" i="6"/>
  <c r="B15" i="6"/>
  <c r="F15" i="6" s="1"/>
  <c r="H23" i="6"/>
  <c r="G23" i="6"/>
  <c r="F23" i="6"/>
  <c r="E23" i="6"/>
  <c r="D23" i="6"/>
  <c r="C23" i="6"/>
  <c r="B23" i="6"/>
  <c r="H31" i="6"/>
  <c r="G31" i="6"/>
  <c r="F31" i="6"/>
  <c r="E31" i="6"/>
  <c r="D31" i="6"/>
  <c r="C31" i="6"/>
  <c r="B31" i="6"/>
  <c r="H53" i="6"/>
  <c r="D53" i="6"/>
  <c r="G53" i="6"/>
  <c r="F53" i="6"/>
  <c r="E53" i="6"/>
  <c r="C53" i="6"/>
  <c r="B53" i="6"/>
  <c r="H64" i="6"/>
  <c r="G64" i="6"/>
  <c r="D64" i="6"/>
  <c r="F64" i="6"/>
  <c r="E64" i="6"/>
  <c r="C64" i="6"/>
  <c r="B64" i="6"/>
  <c r="H41" i="6"/>
  <c r="D41" i="6"/>
  <c r="G41" i="6"/>
  <c r="F41" i="6"/>
  <c r="E41" i="6"/>
  <c r="C41" i="6"/>
  <c r="B41" i="6"/>
  <c r="H56" i="6"/>
  <c r="G56" i="6"/>
  <c r="D56" i="6"/>
  <c r="F56" i="6"/>
  <c r="E56" i="6"/>
  <c r="C56" i="6"/>
  <c r="B56" i="6"/>
  <c r="C18" i="6"/>
  <c r="H59" i="6"/>
  <c r="G59" i="6"/>
  <c r="D59" i="6"/>
  <c r="H67" i="6"/>
  <c r="G67" i="6"/>
  <c r="D67" i="6"/>
  <c r="E101" i="6"/>
  <c r="H101" i="6"/>
  <c r="G101" i="6"/>
  <c r="F101" i="6"/>
  <c r="C101" i="6"/>
  <c r="E108" i="6"/>
  <c r="G108" i="6"/>
  <c r="F108" i="6"/>
  <c r="D108" i="6"/>
  <c r="B108" i="6"/>
  <c r="H108" i="6"/>
  <c r="F11" i="6"/>
  <c r="G12" i="6"/>
  <c r="C16" i="6"/>
  <c r="D17" i="6"/>
  <c r="E17" i="6" s="1"/>
  <c r="F19" i="6"/>
  <c r="G20" i="6"/>
  <c r="C24" i="6"/>
  <c r="E26" i="6"/>
  <c r="F27" i="6"/>
  <c r="G28" i="6"/>
  <c r="C32" i="6"/>
  <c r="E34" i="6"/>
  <c r="C59" i="6"/>
  <c r="H61" i="6"/>
  <c r="G61" i="6"/>
  <c r="D61" i="6"/>
  <c r="C67" i="6"/>
  <c r="H69" i="6"/>
  <c r="G69" i="6"/>
  <c r="D69" i="6"/>
  <c r="D101" i="6"/>
  <c r="E109" i="6"/>
  <c r="H109" i="6"/>
  <c r="G109" i="6"/>
  <c r="F109" i="6"/>
  <c r="C109" i="6"/>
  <c r="F8" i="6"/>
  <c r="F9" i="6"/>
  <c r="D16" i="6"/>
  <c r="D24" i="6"/>
  <c r="D32" i="6"/>
  <c r="H36" i="6"/>
  <c r="D36" i="6"/>
  <c r="H40" i="6"/>
  <c r="D40" i="6"/>
  <c r="H44" i="6"/>
  <c r="D44" i="6"/>
  <c r="H48" i="6"/>
  <c r="D48" i="6"/>
  <c r="H52" i="6"/>
  <c r="D52" i="6"/>
  <c r="H58" i="6"/>
  <c r="G58" i="6"/>
  <c r="D58" i="6"/>
  <c r="E59" i="6"/>
  <c r="H66" i="6"/>
  <c r="G66" i="6"/>
  <c r="D66" i="6"/>
  <c r="E67" i="6"/>
  <c r="H74" i="6"/>
  <c r="G74" i="6"/>
  <c r="D74" i="6"/>
  <c r="E90" i="6"/>
  <c r="D90" i="6"/>
  <c r="C90" i="6"/>
  <c r="B90" i="6"/>
  <c r="F90" i="6"/>
  <c r="C177" i="6"/>
  <c r="E177" i="6"/>
  <c r="G177" i="6"/>
  <c r="F177" i="6"/>
  <c r="D177" i="6"/>
  <c r="B177" i="6"/>
  <c r="H177" i="6"/>
  <c r="G18" i="6"/>
  <c r="B21" i="6"/>
  <c r="E24" i="6"/>
  <c r="G26" i="6"/>
  <c r="B29" i="6"/>
  <c r="E32" i="6"/>
  <c r="G34" i="6"/>
  <c r="B36" i="6"/>
  <c r="B40" i="6"/>
  <c r="B44" i="6"/>
  <c r="B48" i="6"/>
  <c r="B52" i="6"/>
  <c r="H55" i="6"/>
  <c r="G55" i="6"/>
  <c r="D55" i="6"/>
  <c r="B58" i="6"/>
  <c r="F59" i="6"/>
  <c r="H63" i="6"/>
  <c r="G63" i="6"/>
  <c r="D63" i="6"/>
  <c r="B66" i="6"/>
  <c r="F67" i="6"/>
  <c r="H71" i="6"/>
  <c r="G71" i="6"/>
  <c r="D71" i="6"/>
  <c r="B74" i="6"/>
  <c r="G90" i="6"/>
  <c r="E92" i="6"/>
  <c r="G92" i="6"/>
  <c r="F92" i="6"/>
  <c r="D92" i="6"/>
  <c r="B92" i="6"/>
  <c r="H92" i="6"/>
  <c r="H8" i="6"/>
  <c r="H9" i="6"/>
  <c r="B12" i="6"/>
  <c r="F12" i="6" s="1"/>
  <c r="C13" i="6"/>
  <c r="E13" i="6" s="1"/>
  <c r="F16" i="6"/>
  <c r="B20" i="6"/>
  <c r="F20" i="6" s="1"/>
  <c r="C21" i="6"/>
  <c r="F24" i="6"/>
  <c r="B28" i="6"/>
  <c r="C29" i="6"/>
  <c r="F32" i="6"/>
  <c r="H35" i="6"/>
  <c r="D35" i="6"/>
  <c r="C36" i="6"/>
  <c r="H39" i="6"/>
  <c r="D39" i="6"/>
  <c r="C40" i="6"/>
  <c r="H43" i="6"/>
  <c r="D43" i="6"/>
  <c r="C44" i="6"/>
  <c r="H47" i="6"/>
  <c r="D47" i="6"/>
  <c r="C48" i="6"/>
  <c r="H51" i="6"/>
  <c r="D51" i="6"/>
  <c r="C52" i="6"/>
  <c r="B55" i="6"/>
  <c r="C58" i="6"/>
  <c r="H60" i="6"/>
  <c r="G60" i="6"/>
  <c r="D60" i="6"/>
  <c r="B63" i="6"/>
  <c r="C66" i="6"/>
  <c r="H68" i="6"/>
  <c r="G68" i="6"/>
  <c r="D68" i="6"/>
  <c r="E69" i="6"/>
  <c r="B71" i="6"/>
  <c r="C74" i="6"/>
  <c r="H90" i="6"/>
  <c r="C92" i="6"/>
  <c r="E98" i="6"/>
  <c r="D98" i="6"/>
  <c r="C98" i="6"/>
  <c r="B98" i="6"/>
  <c r="F98" i="6"/>
  <c r="C12" i="6"/>
  <c r="G16" i="6"/>
  <c r="D21" i="6"/>
  <c r="G24" i="6"/>
  <c r="D29" i="6"/>
  <c r="G32" i="6"/>
  <c r="E36" i="6"/>
  <c r="E40" i="6"/>
  <c r="E44" i="6"/>
  <c r="E48" i="6"/>
  <c r="E52" i="6"/>
  <c r="H57" i="6"/>
  <c r="G57" i="6"/>
  <c r="D57" i="6"/>
  <c r="E58" i="6"/>
  <c r="C63" i="6"/>
  <c r="H65" i="6"/>
  <c r="G65" i="6"/>
  <c r="D65" i="6"/>
  <c r="E66" i="6"/>
  <c r="C71" i="6"/>
  <c r="H73" i="6"/>
  <c r="G73" i="6"/>
  <c r="D73" i="6"/>
  <c r="E74" i="6"/>
  <c r="E93" i="6"/>
  <c r="H93" i="6"/>
  <c r="G93" i="6"/>
  <c r="F93" i="6"/>
  <c r="C93" i="6"/>
  <c r="E100" i="6"/>
  <c r="G100" i="6"/>
  <c r="F100" i="6"/>
  <c r="D100" i="6"/>
  <c r="B100" i="6"/>
  <c r="H100" i="6"/>
  <c r="H115" i="6"/>
  <c r="G115" i="6"/>
  <c r="F115" i="6"/>
  <c r="E115" i="6"/>
  <c r="C115" i="6"/>
  <c r="H129" i="6"/>
  <c r="E129" i="6"/>
  <c r="G129" i="6"/>
  <c r="F129" i="6"/>
  <c r="D129" i="6"/>
  <c r="C129" i="6"/>
  <c r="B129" i="6"/>
  <c r="B10" i="6"/>
  <c r="C11" i="6"/>
  <c r="F14" i="6"/>
  <c r="B18" i="6"/>
  <c r="D18" i="6" s="1"/>
  <c r="C19" i="6"/>
  <c r="E19" i="6" s="1"/>
  <c r="E21" i="6"/>
  <c r="F22" i="6"/>
  <c r="B26" i="6"/>
  <c r="C27" i="6"/>
  <c r="D28" i="6"/>
  <c r="E29" i="6"/>
  <c r="F30" i="6"/>
  <c r="B34" i="6"/>
  <c r="C35" i="6"/>
  <c r="F36" i="6"/>
  <c r="H38" i="6"/>
  <c r="D38" i="6"/>
  <c r="C39" i="6"/>
  <c r="F40" i="6"/>
  <c r="H42" i="6"/>
  <c r="D42" i="6"/>
  <c r="C43" i="6"/>
  <c r="F44" i="6"/>
  <c r="H46" i="6"/>
  <c r="D46" i="6"/>
  <c r="C47" i="6"/>
  <c r="F48" i="6"/>
  <c r="H50" i="6"/>
  <c r="D50" i="6"/>
  <c r="C51" i="6"/>
  <c r="F52" i="6"/>
  <c r="H54" i="6"/>
  <c r="G54" i="6"/>
  <c r="D54" i="6"/>
  <c r="E55" i="6"/>
  <c r="B57" i="6"/>
  <c r="F58" i="6"/>
  <c r="C60" i="6"/>
  <c r="H62" i="6"/>
  <c r="G62" i="6"/>
  <c r="D62" i="6"/>
  <c r="E63" i="6"/>
  <c r="B65" i="6"/>
  <c r="F66" i="6"/>
  <c r="C68" i="6"/>
  <c r="H70" i="6"/>
  <c r="G70" i="6"/>
  <c r="D70" i="6"/>
  <c r="E71" i="6"/>
  <c r="B73" i="6"/>
  <c r="F74" i="6"/>
  <c r="B93" i="6"/>
  <c r="H98" i="6"/>
  <c r="C100" i="6"/>
  <c r="E106" i="6"/>
  <c r="D106" i="6"/>
  <c r="C106" i="6"/>
  <c r="B106" i="6"/>
  <c r="F106" i="6"/>
  <c r="B115" i="6"/>
  <c r="H120" i="6"/>
  <c r="D120" i="6"/>
  <c r="G120" i="6"/>
  <c r="F120" i="6"/>
  <c r="E120" i="6"/>
  <c r="C120" i="6"/>
  <c r="H124" i="6"/>
  <c r="G124" i="6"/>
  <c r="F124" i="6"/>
  <c r="E124" i="6"/>
  <c r="D124" i="6"/>
  <c r="C124" i="6"/>
  <c r="D89" i="6"/>
  <c r="D97" i="6"/>
  <c r="D105" i="6"/>
  <c r="C135" i="6"/>
  <c r="B135" i="6"/>
  <c r="E135" i="6"/>
  <c r="C141" i="6"/>
  <c r="H141" i="6"/>
  <c r="G141" i="6"/>
  <c r="C181" i="6"/>
  <c r="F181" i="6"/>
  <c r="E181" i="6"/>
  <c r="D181" i="6"/>
  <c r="B181" i="6"/>
  <c r="C197" i="6"/>
  <c r="F197" i="6"/>
  <c r="H197" i="6"/>
  <c r="G197" i="6"/>
  <c r="E197" i="6"/>
  <c r="B197" i="6"/>
  <c r="C137" i="6"/>
  <c r="E137" i="6"/>
  <c r="C144" i="6"/>
  <c r="D144" i="6"/>
  <c r="E144" i="6"/>
  <c r="B144" i="6"/>
  <c r="C146" i="6"/>
  <c r="F146" i="6"/>
  <c r="H146" i="6"/>
  <c r="C154" i="6"/>
  <c r="F154" i="6"/>
  <c r="G154" i="6"/>
  <c r="E154" i="6"/>
  <c r="D154" i="6"/>
  <c r="C183" i="6"/>
  <c r="B183" i="6"/>
  <c r="H183" i="6"/>
  <c r="G183" i="6"/>
  <c r="F183" i="6"/>
  <c r="D183" i="6"/>
  <c r="C191" i="6"/>
  <c r="H191" i="6"/>
  <c r="B191" i="6"/>
  <c r="G191" i="6"/>
  <c r="F191" i="6"/>
  <c r="D191" i="6"/>
  <c r="C207" i="6"/>
  <c r="H207" i="6"/>
  <c r="B207" i="6"/>
  <c r="G207" i="6"/>
  <c r="F207" i="6"/>
  <c r="E207" i="6"/>
  <c r="D207" i="6"/>
  <c r="D75" i="6"/>
  <c r="D76" i="6"/>
  <c r="D77" i="6"/>
  <c r="D78" i="6"/>
  <c r="D79" i="6"/>
  <c r="D80" i="6"/>
  <c r="D81" i="6"/>
  <c r="D82" i="6"/>
  <c r="D83" i="6"/>
  <c r="D84" i="6"/>
  <c r="D85" i="6"/>
  <c r="D86" i="6"/>
  <c r="G88" i="6"/>
  <c r="H89" i="6"/>
  <c r="D94" i="6"/>
  <c r="G96" i="6"/>
  <c r="H97" i="6"/>
  <c r="D102" i="6"/>
  <c r="G104" i="6"/>
  <c r="H105" i="6"/>
  <c r="D110" i="6"/>
  <c r="G112" i="6"/>
  <c r="H114" i="6"/>
  <c r="F114" i="6"/>
  <c r="H119" i="6"/>
  <c r="C119" i="6"/>
  <c r="H123" i="6"/>
  <c r="G123" i="6"/>
  <c r="H128" i="6"/>
  <c r="D128" i="6"/>
  <c r="G135" i="6"/>
  <c r="B137" i="6"/>
  <c r="C140" i="6"/>
  <c r="H140" i="6"/>
  <c r="F140" i="6"/>
  <c r="E141" i="6"/>
  <c r="F144" i="6"/>
  <c r="B146" i="6"/>
  <c r="B154" i="6"/>
  <c r="C159" i="6"/>
  <c r="B159" i="6"/>
  <c r="G159" i="6"/>
  <c r="F159" i="6"/>
  <c r="E159" i="6"/>
  <c r="C172" i="6"/>
  <c r="H172" i="6"/>
  <c r="F172" i="6"/>
  <c r="E172" i="6"/>
  <c r="D172" i="6"/>
  <c r="B172" i="6"/>
  <c r="C178" i="6"/>
  <c r="F178" i="6"/>
  <c r="H178" i="6"/>
  <c r="G178" i="6"/>
  <c r="E178" i="6"/>
  <c r="B178" i="6"/>
  <c r="E183" i="6"/>
  <c r="E191" i="6"/>
  <c r="D137" i="6"/>
  <c r="G144" i="6"/>
  <c r="D146" i="6"/>
  <c r="C151" i="6"/>
  <c r="B151" i="6"/>
  <c r="H151" i="6"/>
  <c r="G151" i="6"/>
  <c r="H154" i="6"/>
  <c r="C163" i="6"/>
  <c r="G163" i="6"/>
  <c r="F163" i="6"/>
  <c r="E163" i="6"/>
  <c r="D163" i="6"/>
  <c r="B163" i="6"/>
  <c r="C168" i="6"/>
  <c r="D168" i="6"/>
  <c r="G168" i="6"/>
  <c r="F168" i="6"/>
  <c r="E168" i="6"/>
  <c r="B168" i="6"/>
  <c r="C204" i="6"/>
  <c r="E204" i="6"/>
  <c r="H204" i="6"/>
  <c r="G204" i="6"/>
  <c r="F204" i="6"/>
  <c r="B204" i="6"/>
  <c r="H113" i="6"/>
  <c r="E113" i="6"/>
  <c r="H118" i="6"/>
  <c r="B118" i="6"/>
  <c r="H122" i="6"/>
  <c r="F122" i="6"/>
  <c r="H127" i="6"/>
  <c r="C127" i="6"/>
  <c r="H131" i="6"/>
  <c r="G131" i="6"/>
  <c r="C136" i="6"/>
  <c r="D136" i="6"/>
  <c r="G136" i="6"/>
  <c r="F137" i="6"/>
  <c r="H144" i="6"/>
  <c r="E146" i="6"/>
  <c r="D151" i="6"/>
  <c r="C155" i="6"/>
  <c r="G155" i="6"/>
  <c r="H155" i="6"/>
  <c r="F155" i="6"/>
  <c r="H163" i="6"/>
  <c r="H168" i="6"/>
  <c r="C173" i="6"/>
  <c r="H173" i="6"/>
  <c r="G173" i="6"/>
  <c r="F173" i="6"/>
  <c r="E173" i="6"/>
  <c r="B173" i="6"/>
  <c r="C200" i="6"/>
  <c r="D200" i="6"/>
  <c r="G200" i="6"/>
  <c r="F200" i="6"/>
  <c r="E200" i="6"/>
  <c r="B200" i="6"/>
  <c r="D204" i="6"/>
  <c r="G75" i="6"/>
  <c r="G76" i="6"/>
  <c r="G77" i="6"/>
  <c r="G78" i="6"/>
  <c r="G79" i="6"/>
  <c r="G80" i="6"/>
  <c r="G81" i="6"/>
  <c r="G82" i="6"/>
  <c r="G83" i="6"/>
  <c r="G84" i="6"/>
  <c r="G85" i="6"/>
  <c r="H86" i="6"/>
  <c r="B89" i="6"/>
  <c r="H94" i="6"/>
  <c r="B97" i="6"/>
  <c r="H102" i="6"/>
  <c r="B105" i="6"/>
  <c r="H110" i="6"/>
  <c r="B113" i="6"/>
  <c r="C118" i="6"/>
  <c r="B122" i="6"/>
  <c r="B127" i="6"/>
  <c r="B131" i="6"/>
  <c r="B136" i="6"/>
  <c r="G137" i="6"/>
  <c r="C139" i="6"/>
  <c r="G139" i="6"/>
  <c r="D139" i="6"/>
  <c r="E140" i="6"/>
  <c r="C145" i="6"/>
  <c r="E145" i="6"/>
  <c r="G145" i="6"/>
  <c r="F145" i="6"/>
  <c r="G146" i="6"/>
  <c r="E151" i="6"/>
  <c r="B155" i="6"/>
  <c r="C160" i="6"/>
  <c r="D160" i="6"/>
  <c r="H160" i="6"/>
  <c r="G160" i="6"/>
  <c r="C164" i="6"/>
  <c r="H164" i="6"/>
  <c r="G164" i="6"/>
  <c r="F164" i="6"/>
  <c r="E164" i="6"/>
  <c r="C169" i="6"/>
  <c r="E169" i="6"/>
  <c r="H169" i="6"/>
  <c r="G169" i="6"/>
  <c r="F169" i="6"/>
  <c r="B169" i="6"/>
  <c r="D173" i="6"/>
  <c r="H200" i="6"/>
  <c r="F9" i="7"/>
  <c r="E9" i="7"/>
  <c r="G9" i="7" s="1"/>
  <c r="D9" i="7"/>
  <c r="C9" i="7"/>
  <c r="B88" i="6"/>
  <c r="C89" i="6"/>
  <c r="F91" i="6"/>
  <c r="B96" i="6"/>
  <c r="C97" i="6"/>
  <c r="F99" i="6"/>
  <c r="B104" i="6"/>
  <c r="C105" i="6"/>
  <c r="F107" i="6"/>
  <c r="B112" i="6"/>
  <c r="C113" i="6"/>
  <c r="E114" i="6"/>
  <c r="D118" i="6"/>
  <c r="F119" i="6"/>
  <c r="H121" i="6"/>
  <c r="E121" i="6"/>
  <c r="C122" i="6"/>
  <c r="E123" i="6"/>
  <c r="H126" i="6"/>
  <c r="B126" i="6"/>
  <c r="D127" i="6"/>
  <c r="F128" i="6"/>
  <c r="H130" i="6"/>
  <c r="F130" i="6"/>
  <c r="C131" i="6"/>
  <c r="E132" i="6"/>
  <c r="E136" i="6"/>
  <c r="H137" i="6"/>
  <c r="B139" i="6"/>
  <c r="G140" i="6"/>
  <c r="F151" i="6"/>
  <c r="D155" i="6"/>
  <c r="C186" i="6"/>
  <c r="F186" i="6"/>
  <c r="G186" i="6"/>
  <c r="E186" i="6"/>
  <c r="D186" i="6"/>
  <c r="B186" i="6"/>
  <c r="I13" i="7"/>
  <c r="C194" i="6"/>
  <c r="B194" i="6"/>
  <c r="F194" i="6"/>
  <c r="E8" i="7"/>
  <c r="G8" i="7" s="1"/>
  <c r="C12" i="7"/>
  <c r="I12" i="7" s="1"/>
  <c r="F12" i="7"/>
  <c r="C189" i="6"/>
  <c r="F189" i="6"/>
  <c r="E194" i="6"/>
  <c r="C196" i="6"/>
  <c r="E196" i="6"/>
  <c r="H196" i="6"/>
  <c r="C203" i="6"/>
  <c r="D203" i="6"/>
  <c r="G203" i="6"/>
  <c r="C8" i="7"/>
  <c r="I8" i="7" s="1"/>
  <c r="D11" i="7"/>
  <c r="F11" i="7"/>
  <c r="D12" i="7"/>
  <c r="C148" i="6"/>
  <c r="H148" i="6"/>
  <c r="C153" i="6"/>
  <c r="E153" i="6"/>
  <c r="C162" i="6"/>
  <c r="F162" i="6"/>
  <c r="C167" i="6"/>
  <c r="B167" i="6"/>
  <c r="C171" i="6"/>
  <c r="G171" i="6"/>
  <c r="C176" i="6"/>
  <c r="D176" i="6"/>
  <c r="C180" i="6"/>
  <c r="H180" i="6"/>
  <c r="C185" i="6"/>
  <c r="E185" i="6"/>
  <c r="B189" i="6"/>
  <c r="G194" i="6"/>
  <c r="B196" i="6"/>
  <c r="B203" i="6"/>
  <c r="D8" i="7"/>
  <c r="B11" i="7"/>
  <c r="E12" i="7"/>
  <c r="G12" i="7" s="1"/>
  <c r="B148" i="6"/>
  <c r="B153" i="6"/>
  <c r="B157" i="6"/>
  <c r="B162" i="6"/>
  <c r="D189" i="6"/>
  <c r="C192" i="6"/>
  <c r="D192" i="6"/>
  <c r="H194" i="6"/>
  <c r="D196" i="6"/>
  <c r="C199" i="6"/>
  <c r="H199" i="6"/>
  <c r="B199" i="6"/>
  <c r="E203" i="6"/>
  <c r="C205" i="6"/>
  <c r="F205" i="6"/>
  <c r="F8" i="7"/>
  <c r="E10" i="7"/>
  <c r="G10" i="7" s="1"/>
  <c r="F10" i="7"/>
  <c r="I10" i="7"/>
  <c r="C11" i="7"/>
  <c r="I11" i="7" s="1"/>
  <c r="C138" i="6"/>
  <c r="F138" i="6"/>
  <c r="C143" i="6"/>
  <c r="B143" i="6"/>
  <c r="C147" i="6"/>
  <c r="G147" i="6"/>
  <c r="D148" i="6"/>
  <c r="C152" i="6"/>
  <c r="D152" i="6"/>
  <c r="D153" i="6"/>
  <c r="C156" i="6"/>
  <c r="H156" i="6"/>
  <c r="D157" i="6"/>
  <c r="C161" i="6"/>
  <c r="E161" i="6"/>
  <c r="D162" i="6"/>
  <c r="E167" i="6"/>
  <c r="C170" i="6"/>
  <c r="F170" i="6"/>
  <c r="D171" i="6"/>
  <c r="C175" i="6"/>
  <c r="B175" i="6"/>
  <c r="E176" i="6"/>
  <c r="C179" i="6"/>
  <c r="G179" i="6"/>
  <c r="D180" i="6"/>
  <c r="C184" i="6"/>
  <c r="D184" i="6"/>
  <c r="D185" i="6"/>
  <c r="C188" i="6"/>
  <c r="E188" i="6"/>
  <c r="H188" i="6"/>
  <c r="E189" i="6"/>
  <c r="B192" i="6"/>
  <c r="C195" i="6"/>
  <c r="D195" i="6"/>
  <c r="G195" i="6"/>
  <c r="F196" i="6"/>
  <c r="D199" i="6"/>
  <c r="C202" i="6"/>
  <c r="B202" i="6"/>
  <c r="F202" i="6"/>
  <c r="F203" i="6"/>
  <c r="B205" i="6"/>
  <c r="B10" i="7"/>
  <c r="E11" i="7"/>
  <c r="G11" i="7" s="1"/>
  <c r="E193" i="6"/>
  <c r="E201" i="6"/>
  <c r="I15" i="7"/>
  <c r="B13" i="7"/>
  <c r="D17" i="7"/>
  <c r="C17" i="7"/>
  <c r="I17" i="7" s="1"/>
  <c r="B17" i="7"/>
  <c r="F17" i="7"/>
  <c r="E17" i="7"/>
  <c r="G17" i="7" s="1"/>
  <c r="F13" i="7"/>
  <c r="E16" i="7"/>
  <c r="G16" i="7" s="1"/>
  <c r="H16" i="7" s="1"/>
  <c r="D16" i="7"/>
  <c r="C16" i="7"/>
  <c r="I21" i="7"/>
  <c r="I29" i="7"/>
  <c r="I37" i="7"/>
  <c r="I45" i="7"/>
  <c r="I53" i="7"/>
  <c r="I61" i="7"/>
  <c r="I69" i="7"/>
  <c r="I77" i="7"/>
  <c r="G99" i="7"/>
  <c r="B99" i="7"/>
  <c r="G123" i="7"/>
  <c r="F123" i="7"/>
  <c r="C123" i="7"/>
  <c r="B123" i="7"/>
  <c r="E18" i="7"/>
  <c r="G18" i="7" s="1"/>
  <c r="D19" i="7"/>
  <c r="I19" i="7" s="1"/>
  <c r="C20" i="7"/>
  <c r="I20" i="7" s="1"/>
  <c r="B21" i="7"/>
  <c r="H23" i="7"/>
  <c r="G24" i="7"/>
  <c r="F25" i="7"/>
  <c r="E26" i="7"/>
  <c r="D27" i="7"/>
  <c r="C28" i="7"/>
  <c r="B29" i="7"/>
  <c r="H31" i="7"/>
  <c r="G32" i="7"/>
  <c r="F33" i="7"/>
  <c r="E34" i="7"/>
  <c r="D35" i="7"/>
  <c r="C36" i="7"/>
  <c r="B37" i="7"/>
  <c r="H39" i="7"/>
  <c r="G40" i="7"/>
  <c r="F41" i="7"/>
  <c r="E42" i="7"/>
  <c r="D43" i="7"/>
  <c r="C44" i="7"/>
  <c r="B45" i="7"/>
  <c r="H47" i="7"/>
  <c r="G48" i="7"/>
  <c r="F49" i="7"/>
  <c r="E50" i="7"/>
  <c r="D51" i="7"/>
  <c r="C52" i="7"/>
  <c r="B53" i="7"/>
  <c r="H55" i="7"/>
  <c r="G56" i="7"/>
  <c r="F57" i="7"/>
  <c r="E58" i="7"/>
  <c r="D59" i="7"/>
  <c r="C60" i="7"/>
  <c r="B61" i="7"/>
  <c r="H63" i="7"/>
  <c r="G64" i="7"/>
  <c r="F65" i="7"/>
  <c r="E66" i="7"/>
  <c r="D67" i="7"/>
  <c r="C68" i="7"/>
  <c r="B69" i="7"/>
  <c r="H71" i="7"/>
  <c r="G72" i="7"/>
  <c r="F73" i="7"/>
  <c r="E74" i="7"/>
  <c r="D75" i="7"/>
  <c r="C76" i="7"/>
  <c r="B77" i="7"/>
  <c r="I79" i="7"/>
  <c r="I80" i="7"/>
  <c r="I81" i="7"/>
  <c r="I82" i="7"/>
  <c r="I83" i="7"/>
  <c r="I85" i="7"/>
  <c r="I86" i="7"/>
  <c r="I87" i="7"/>
  <c r="I88" i="7"/>
  <c r="I89" i="7"/>
  <c r="I90" i="7"/>
  <c r="I91" i="7"/>
  <c r="I93" i="7"/>
  <c r="I94" i="7"/>
  <c r="H98" i="7"/>
  <c r="C98" i="7"/>
  <c r="C99" i="7"/>
  <c r="C101" i="7"/>
  <c r="F102" i="7"/>
  <c r="B104" i="7"/>
  <c r="F104" i="7"/>
  <c r="E104" i="7"/>
  <c r="F106" i="7"/>
  <c r="E110" i="7"/>
  <c r="D123" i="7"/>
  <c r="F18" i="7"/>
  <c r="E19" i="7"/>
  <c r="G19" i="7" s="1"/>
  <c r="D20" i="7"/>
  <c r="C21" i="7"/>
  <c r="H24" i="7"/>
  <c r="G25" i="7"/>
  <c r="F26" i="7"/>
  <c r="E27" i="7"/>
  <c r="D28" i="7"/>
  <c r="C29" i="7"/>
  <c r="H32" i="7"/>
  <c r="G33" i="7"/>
  <c r="F34" i="7"/>
  <c r="E35" i="7"/>
  <c r="D36" i="7"/>
  <c r="C37" i="7"/>
  <c r="H40" i="7"/>
  <c r="G41" i="7"/>
  <c r="F42" i="7"/>
  <c r="E43" i="7"/>
  <c r="D44" i="7"/>
  <c r="C45" i="7"/>
  <c r="H48" i="7"/>
  <c r="G49" i="7"/>
  <c r="F50" i="7"/>
  <c r="E51" i="7"/>
  <c r="D52" i="7"/>
  <c r="C53" i="7"/>
  <c r="H56" i="7"/>
  <c r="G57" i="7"/>
  <c r="F58" i="7"/>
  <c r="E59" i="7"/>
  <c r="D60" i="7"/>
  <c r="C61" i="7"/>
  <c r="H64" i="7"/>
  <c r="G65" i="7"/>
  <c r="F66" i="7"/>
  <c r="E67" i="7"/>
  <c r="D68" i="7"/>
  <c r="C69" i="7"/>
  <c r="H72" i="7"/>
  <c r="G73" i="7"/>
  <c r="F74" i="7"/>
  <c r="E75" i="7"/>
  <c r="D76" i="7"/>
  <c r="C77" i="7"/>
  <c r="B98" i="7"/>
  <c r="D99" i="7"/>
  <c r="C104" i="7"/>
  <c r="G115" i="7"/>
  <c r="F115" i="7"/>
  <c r="C115" i="7"/>
  <c r="B115" i="7"/>
  <c r="C119" i="7"/>
  <c r="B119" i="7"/>
  <c r="G119" i="7"/>
  <c r="F119" i="7"/>
  <c r="E123" i="7"/>
  <c r="E126" i="7"/>
  <c r="D126" i="7"/>
  <c r="C126" i="7"/>
  <c r="H126" i="7"/>
  <c r="G126" i="7"/>
  <c r="F131" i="7"/>
  <c r="I131" i="7"/>
  <c r="H131" i="7"/>
  <c r="G131" i="7"/>
  <c r="D131" i="7"/>
  <c r="C131" i="7"/>
  <c r="B131" i="7"/>
  <c r="F142" i="7"/>
  <c r="C142" i="7"/>
  <c r="I142" i="7"/>
  <c r="H142" i="7"/>
  <c r="G142" i="7"/>
  <c r="E142" i="7"/>
  <c r="D142" i="7"/>
  <c r="B142" i="7"/>
  <c r="D21" i="7"/>
  <c r="I24" i="7"/>
  <c r="H25" i="7"/>
  <c r="G26" i="7"/>
  <c r="D29" i="7"/>
  <c r="I32" i="7"/>
  <c r="H33" i="7"/>
  <c r="G34" i="7"/>
  <c r="D37" i="7"/>
  <c r="I40" i="7"/>
  <c r="H41" i="7"/>
  <c r="G42" i="7"/>
  <c r="D45" i="7"/>
  <c r="I48" i="7"/>
  <c r="H49" i="7"/>
  <c r="G50" i="7"/>
  <c r="D53" i="7"/>
  <c r="I56" i="7"/>
  <c r="G58" i="7"/>
  <c r="D61" i="7"/>
  <c r="I64" i="7"/>
  <c r="G66" i="7"/>
  <c r="D69" i="7"/>
  <c r="I72" i="7"/>
  <c r="G74" i="7"/>
  <c r="D77" i="7"/>
  <c r="E99" i="7"/>
  <c r="C103" i="7"/>
  <c r="G103" i="7"/>
  <c r="F103" i="7"/>
  <c r="H122" i="7"/>
  <c r="G122" i="7"/>
  <c r="D122" i="7"/>
  <c r="C122" i="7"/>
  <c r="H123" i="7"/>
  <c r="H188" i="7"/>
  <c r="E188" i="7"/>
  <c r="I188" i="7"/>
  <c r="G188" i="7"/>
  <c r="F188" i="7"/>
  <c r="D188" i="7"/>
  <c r="C188" i="7"/>
  <c r="B188" i="7"/>
  <c r="G197" i="7"/>
  <c r="D197" i="7"/>
  <c r="I197" i="7"/>
  <c r="H197" i="7"/>
  <c r="F197" i="7"/>
  <c r="E197" i="7"/>
  <c r="C197" i="7"/>
  <c r="B197" i="7"/>
  <c r="E21" i="7"/>
  <c r="B24" i="7"/>
  <c r="I25" i="7"/>
  <c r="H26" i="7"/>
  <c r="E29" i="7"/>
  <c r="B32" i="7"/>
  <c r="I33" i="7"/>
  <c r="H34" i="7"/>
  <c r="E37" i="7"/>
  <c r="I41" i="7"/>
  <c r="H42" i="7"/>
  <c r="E45" i="7"/>
  <c r="B48" i="7"/>
  <c r="I49" i="7"/>
  <c r="H50" i="7"/>
  <c r="E53" i="7"/>
  <c r="B56" i="7"/>
  <c r="I57" i="7"/>
  <c r="H58" i="7"/>
  <c r="E61" i="7"/>
  <c r="B64" i="7"/>
  <c r="I65" i="7"/>
  <c r="H66" i="7"/>
  <c r="E69" i="7"/>
  <c r="B72" i="7"/>
  <c r="I73" i="7"/>
  <c r="H74" i="7"/>
  <c r="E77" i="7"/>
  <c r="F99" i="7"/>
  <c r="B103" i="7"/>
  <c r="G107" i="7"/>
  <c r="F107" i="7"/>
  <c r="C107" i="7"/>
  <c r="B107" i="7"/>
  <c r="C111" i="7"/>
  <c r="B111" i="7"/>
  <c r="G111" i="7"/>
  <c r="F111" i="7"/>
  <c r="B122" i="7"/>
  <c r="I123" i="7"/>
  <c r="E132" i="7"/>
  <c r="I132" i="7"/>
  <c r="H132" i="7"/>
  <c r="G132" i="7"/>
  <c r="D132" i="7"/>
  <c r="C132" i="7"/>
  <c r="B132" i="7"/>
  <c r="B170" i="7"/>
  <c r="G170" i="7"/>
  <c r="I170" i="7"/>
  <c r="H170" i="7"/>
  <c r="F170" i="7"/>
  <c r="E170" i="7"/>
  <c r="D170" i="7"/>
  <c r="C170" i="7"/>
  <c r="F21" i="7"/>
  <c r="I26" i="7"/>
  <c r="F29" i="7"/>
  <c r="I34" i="7"/>
  <c r="F37" i="7"/>
  <c r="I42" i="7"/>
  <c r="F45" i="7"/>
  <c r="I50" i="7"/>
  <c r="F53" i="7"/>
  <c r="I58" i="7"/>
  <c r="F61" i="7"/>
  <c r="I66" i="7"/>
  <c r="F69" i="7"/>
  <c r="I74" i="7"/>
  <c r="F77" i="7"/>
  <c r="H99" i="7"/>
  <c r="D102" i="7"/>
  <c r="H102" i="7"/>
  <c r="G102" i="7"/>
  <c r="D103" i="7"/>
  <c r="H114" i="7"/>
  <c r="G114" i="7"/>
  <c r="D114" i="7"/>
  <c r="C114" i="7"/>
  <c r="D118" i="7"/>
  <c r="C118" i="7"/>
  <c r="H118" i="7"/>
  <c r="G118" i="7"/>
  <c r="E122" i="7"/>
  <c r="B18" i="7"/>
  <c r="G21" i="7"/>
  <c r="D24" i="7"/>
  <c r="C25" i="7"/>
  <c r="B26" i="7"/>
  <c r="I27" i="7"/>
  <c r="G29" i="7"/>
  <c r="D32" i="7"/>
  <c r="C33" i="7"/>
  <c r="B34" i="7"/>
  <c r="I35" i="7"/>
  <c r="G37" i="7"/>
  <c r="D40" i="7"/>
  <c r="C41" i="7"/>
  <c r="B42" i="7"/>
  <c r="I43" i="7"/>
  <c r="G45" i="7"/>
  <c r="D48" i="7"/>
  <c r="C49" i="7"/>
  <c r="B50" i="7"/>
  <c r="I51" i="7"/>
  <c r="G53" i="7"/>
  <c r="D56" i="7"/>
  <c r="C57" i="7"/>
  <c r="B58" i="7"/>
  <c r="I59" i="7"/>
  <c r="G61" i="7"/>
  <c r="D64" i="7"/>
  <c r="C65" i="7"/>
  <c r="B66" i="7"/>
  <c r="I67" i="7"/>
  <c r="G69" i="7"/>
  <c r="D72" i="7"/>
  <c r="C73" i="7"/>
  <c r="B74" i="7"/>
  <c r="I75" i="7"/>
  <c r="G77" i="7"/>
  <c r="I99" i="7"/>
  <c r="B102" i="7"/>
  <c r="E103" i="7"/>
  <c r="H106" i="7"/>
  <c r="D106" i="7"/>
  <c r="C106" i="7"/>
  <c r="E107" i="7"/>
  <c r="E111" i="7"/>
  <c r="B114" i="7"/>
  <c r="B118" i="7"/>
  <c r="F122" i="7"/>
  <c r="D127" i="7"/>
  <c r="C127" i="7"/>
  <c r="B127" i="7"/>
  <c r="G127" i="7"/>
  <c r="F127" i="7"/>
  <c r="G133" i="7"/>
  <c r="D133" i="7"/>
  <c r="I133" i="7"/>
  <c r="H133" i="7"/>
  <c r="E133" i="7"/>
  <c r="C133" i="7"/>
  <c r="B133" i="7"/>
  <c r="E151" i="7"/>
  <c r="B151" i="7"/>
  <c r="I151" i="7"/>
  <c r="H151" i="7"/>
  <c r="G151" i="7"/>
  <c r="F151" i="7"/>
  <c r="D151" i="7"/>
  <c r="C151" i="7"/>
  <c r="E101" i="7"/>
  <c r="I101" i="7"/>
  <c r="H101" i="7"/>
  <c r="C102" i="7"/>
  <c r="H103" i="7"/>
  <c r="B106" i="7"/>
  <c r="H107" i="7"/>
  <c r="D110" i="7"/>
  <c r="C110" i="7"/>
  <c r="H110" i="7"/>
  <c r="G110" i="7"/>
  <c r="H111" i="7"/>
  <c r="E114" i="7"/>
  <c r="E118" i="7"/>
  <c r="I122" i="7"/>
  <c r="E127" i="7"/>
  <c r="F133" i="7"/>
  <c r="C161" i="7"/>
  <c r="H161" i="7"/>
  <c r="I161" i="7"/>
  <c r="G161" i="7"/>
  <c r="F161" i="7"/>
  <c r="E161" i="7"/>
  <c r="D161" i="7"/>
  <c r="B161" i="7"/>
  <c r="D97" i="7"/>
  <c r="D105" i="7"/>
  <c r="H109" i="7"/>
  <c r="E112" i="7"/>
  <c r="D113" i="7"/>
  <c r="H117" i="7"/>
  <c r="E120" i="7"/>
  <c r="D121" i="7"/>
  <c r="H125" i="7"/>
  <c r="E128" i="7"/>
  <c r="D129" i="7"/>
  <c r="C130" i="7"/>
  <c r="D134" i="7"/>
  <c r="F137" i="7"/>
  <c r="H138" i="7"/>
  <c r="G141" i="7"/>
  <c r="D141" i="7"/>
  <c r="D143" i="7"/>
  <c r="F150" i="7"/>
  <c r="C150" i="7"/>
  <c r="D153" i="7"/>
  <c r="G156" i="7"/>
  <c r="E159" i="7"/>
  <c r="B159" i="7"/>
  <c r="D162" i="7"/>
  <c r="H165" i="7"/>
  <c r="C169" i="7"/>
  <c r="H169" i="7"/>
  <c r="H174" i="7"/>
  <c r="B178" i="7"/>
  <c r="G178" i="7"/>
  <c r="C180" i="7"/>
  <c r="H183" i="7"/>
  <c r="G193" i="7"/>
  <c r="H196" i="7"/>
  <c r="E196" i="7"/>
  <c r="I109" i="7"/>
  <c r="F112" i="7"/>
  <c r="I117" i="7"/>
  <c r="F120" i="7"/>
  <c r="I125" i="7"/>
  <c r="F128" i="7"/>
  <c r="D130" i="7"/>
  <c r="E134" i="7"/>
  <c r="H140" i="7"/>
  <c r="E140" i="7"/>
  <c r="F143" i="7"/>
  <c r="G149" i="7"/>
  <c r="D149" i="7"/>
  <c r="E153" i="7"/>
  <c r="F158" i="7"/>
  <c r="C158" i="7"/>
  <c r="E162" i="7"/>
  <c r="E167" i="7"/>
  <c r="B167" i="7"/>
  <c r="C177" i="7"/>
  <c r="H177" i="7"/>
  <c r="B186" i="7"/>
  <c r="G186" i="7"/>
  <c r="B196" i="7"/>
  <c r="H148" i="7"/>
  <c r="E148" i="7"/>
  <c r="G157" i="7"/>
  <c r="D157" i="7"/>
  <c r="F166" i="7"/>
  <c r="C166" i="7"/>
  <c r="E175" i="7"/>
  <c r="B175" i="7"/>
  <c r="C185" i="7"/>
  <c r="H185" i="7"/>
  <c r="B194" i="7"/>
  <c r="G194" i="7"/>
  <c r="D204" i="7"/>
  <c r="H204" i="7"/>
  <c r="G204" i="7"/>
  <c r="F204" i="7"/>
  <c r="E204" i="7"/>
  <c r="B206" i="7"/>
  <c r="F206" i="7"/>
  <c r="E206" i="7"/>
  <c r="D206" i="7"/>
  <c r="C206" i="7"/>
  <c r="B138" i="7"/>
  <c r="G138" i="7"/>
  <c r="B148" i="7"/>
  <c r="H156" i="7"/>
  <c r="E156" i="7"/>
  <c r="B157" i="7"/>
  <c r="G165" i="7"/>
  <c r="D165" i="7"/>
  <c r="B166" i="7"/>
  <c r="F174" i="7"/>
  <c r="C174" i="7"/>
  <c r="C175" i="7"/>
  <c r="E183" i="7"/>
  <c r="B183" i="7"/>
  <c r="B185" i="7"/>
  <c r="D186" i="7"/>
  <c r="C193" i="7"/>
  <c r="H193" i="7"/>
  <c r="C194" i="7"/>
  <c r="D196" i="7"/>
  <c r="B204" i="7"/>
  <c r="G206" i="7"/>
  <c r="I112" i="7"/>
  <c r="I120" i="7"/>
  <c r="D125" i="7"/>
  <c r="I128" i="7"/>
  <c r="G130" i="7"/>
  <c r="C137" i="7"/>
  <c r="H137" i="7"/>
  <c r="C138" i="7"/>
  <c r="D140" i="7"/>
  <c r="B146" i="7"/>
  <c r="G146" i="7"/>
  <c r="C148" i="7"/>
  <c r="E149" i="7"/>
  <c r="G150" i="7"/>
  <c r="B156" i="7"/>
  <c r="C157" i="7"/>
  <c r="E158" i="7"/>
  <c r="G159" i="7"/>
  <c r="H164" i="7"/>
  <c r="E164" i="7"/>
  <c r="B165" i="7"/>
  <c r="D166" i="7"/>
  <c r="F167" i="7"/>
  <c r="F169" i="7"/>
  <c r="G173" i="7"/>
  <c r="D173" i="7"/>
  <c r="B174" i="7"/>
  <c r="D175" i="7"/>
  <c r="E177" i="7"/>
  <c r="F178" i="7"/>
  <c r="F182" i="7"/>
  <c r="C182" i="7"/>
  <c r="C183" i="7"/>
  <c r="D185" i="7"/>
  <c r="E186" i="7"/>
  <c r="E191" i="7"/>
  <c r="B191" i="7"/>
  <c r="B193" i="7"/>
  <c r="D194" i="7"/>
  <c r="F196" i="7"/>
  <c r="C204" i="7"/>
  <c r="H206" i="7"/>
  <c r="H130" i="7"/>
  <c r="E135" i="7"/>
  <c r="B135" i="7"/>
  <c r="B137" i="7"/>
  <c r="D138" i="7"/>
  <c r="F140" i="7"/>
  <c r="H141" i="7"/>
  <c r="C145" i="7"/>
  <c r="H145" i="7"/>
  <c r="C146" i="7"/>
  <c r="D148" i="7"/>
  <c r="F149" i="7"/>
  <c r="H150" i="7"/>
  <c r="B154" i="7"/>
  <c r="G154" i="7"/>
  <c r="C156" i="7"/>
  <c r="E157" i="7"/>
  <c r="G158" i="7"/>
  <c r="H159" i="7"/>
  <c r="B164" i="7"/>
  <c r="C165" i="7"/>
  <c r="E166" i="7"/>
  <c r="G167" i="7"/>
  <c r="G169" i="7"/>
  <c r="H172" i="7"/>
  <c r="E172" i="7"/>
  <c r="B173" i="7"/>
  <c r="D174" i="7"/>
  <c r="F175" i="7"/>
  <c r="F177" i="7"/>
  <c r="H178" i="7"/>
  <c r="G181" i="7"/>
  <c r="D181" i="7"/>
  <c r="B182" i="7"/>
  <c r="D183" i="7"/>
  <c r="E185" i="7"/>
  <c r="F186" i="7"/>
  <c r="F190" i="7"/>
  <c r="C190" i="7"/>
  <c r="C191" i="7"/>
  <c r="D193" i="7"/>
  <c r="E194" i="7"/>
  <c r="G196" i="7"/>
  <c r="E199" i="7"/>
  <c r="B199" i="7"/>
  <c r="I204" i="7"/>
  <c r="I206" i="7"/>
  <c r="F134" i="7"/>
  <c r="C134" i="7"/>
  <c r="E138" i="7"/>
  <c r="E143" i="7"/>
  <c r="B143" i="7"/>
  <c r="F148" i="7"/>
  <c r="C153" i="7"/>
  <c r="H153" i="7"/>
  <c r="D156" i="7"/>
  <c r="F157" i="7"/>
  <c r="B162" i="7"/>
  <c r="G162" i="7"/>
  <c r="E165" i="7"/>
  <c r="G166" i="7"/>
  <c r="H167" i="7"/>
  <c r="I169" i="7"/>
  <c r="E174" i="7"/>
  <c r="G175" i="7"/>
  <c r="G177" i="7"/>
  <c r="I178" i="7"/>
  <c r="H180" i="7"/>
  <c r="E180" i="7"/>
  <c r="D182" i="7"/>
  <c r="F183" i="7"/>
  <c r="F185" i="7"/>
  <c r="H186" i="7"/>
  <c r="G189" i="7"/>
  <c r="D189" i="7"/>
  <c r="D191" i="7"/>
  <c r="E193" i="7"/>
  <c r="F194" i="7"/>
  <c r="I196" i="7"/>
  <c r="F198" i="7"/>
  <c r="C198" i="7"/>
  <c r="C205" i="7"/>
  <c r="G205" i="7"/>
  <c r="F205" i="7"/>
  <c r="E205" i="7"/>
  <c r="D205" i="7"/>
  <c r="F139" i="7"/>
  <c r="F147" i="7"/>
  <c r="F155" i="7"/>
  <c r="F163" i="7"/>
  <c r="F171" i="7"/>
  <c r="F179" i="7"/>
  <c r="F187" i="7"/>
  <c r="F195" i="7"/>
  <c r="H201" i="7"/>
  <c r="G202" i="7"/>
  <c r="F203" i="7"/>
  <c r="B207" i="7"/>
  <c r="I201" i="7"/>
  <c r="H202" i="7"/>
  <c r="G203" i="7"/>
  <c r="C207" i="7"/>
  <c r="I202" i="7"/>
  <c r="H203" i="7"/>
  <c r="D207" i="7"/>
  <c r="C201" i="7"/>
  <c r="B202" i="7"/>
  <c r="E207" i="7"/>
  <c r="I9" i="7" l="1"/>
  <c r="E16" i="6"/>
  <c r="E11" i="6"/>
  <c r="H20" i="7"/>
  <c r="H18" i="7"/>
  <c r="D12" i="6"/>
  <c r="E12" i="6" s="1"/>
  <c r="H12" i="7"/>
  <c r="H13" i="7"/>
  <c r="H8" i="7"/>
  <c r="D20" i="6"/>
  <c r="E20" i="6" s="1"/>
  <c r="H9" i="7"/>
  <c r="F18" i="6"/>
  <c r="E18" i="6"/>
  <c r="H14" i="7"/>
  <c r="I16" i="7"/>
  <c r="H11" i="7"/>
  <c r="K5" i="4"/>
  <c r="H17" i="7"/>
  <c r="D32" i="8"/>
  <c r="C32" i="8"/>
  <c r="A32" i="8"/>
  <c r="D35" i="8"/>
  <c r="C35" i="8"/>
  <c r="A35" i="8"/>
  <c r="D21" i="8"/>
  <c r="C21" i="8"/>
  <c r="A21" i="8"/>
  <c r="D34" i="8"/>
  <c r="C34" i="8"/>
  <c r="A34" i="8"/>
  <c r="F10" i="6"/>
  <c r="D10" i="6"/>
  <c r="E10" i="6" s="1"/>
  <c r="D15" i="6"/>
  <c r="E15" i="6" s="1"/>
  <c r="D23" i="8"/>
  <c r="C23" i="8"/>
  <c r="A23" i="8"/>
  <c r="H19" i="7"/>
  <c r="I14" i="7"/>
  <c r="D22" i="8"/>
  <c r="C22" i="8"/>
  <c r="A22" i="8"/>
  <c r="D25" i="8"/>
  <c r="C25" i="8"/>
  <c r="A25" i="8"/>
  <c r="D24" i="8"/>
  <c r="C24" i="8"/>
  <c r="A24" i="8"/>
  <c r="D27" i="8"/>
  <c r="C27" i="8"/>
  <c r="A27" i="8"/>
  <c r="D26" i="8"/>
  <c r="C26" i="8"/>
  <c r="A26" i="8"/>
  <c r="D29" i="8"/>
  <c r="C29" i="8"/>
  <c r="A29" i="8"/>
  <c r="H10" i="7"/>
  <c r="D28" i="8"/>
  <c r="C28" i="8"/>
  <c r="A28" i="8"/>
  <c r="D31" i="8"/>
  <c r="C31" i="8"/>
  <c r="A31" i="8"/>
  <c r="H4" i="7"/>
  <c r="D30" i="8"/>
  <c r="C30" i="8"/>
  <c r="A30" i="8"/>
  <c r="D33" i="8"/>
  <c r="C33" i="8"/>
  <c r="A33" i="8"/>
  <c r="B16" i="8" l="1"/>
  <c r="F8" i="5"/>
  <c r="F11" i="5"/>
  <c r="F7" i="5"/>
  <c r="F6" i="5"/>
  <c r="F5" i="5"/>
  <c r="F10" i="5"/>
  <c r="F9" i="5"/>
</calcChain>
</file>

<file path=xl/sharedStrings.xml><?xml version="1.0" encoding="utf-8"?>
<sst xmlns="http://schemas.openxmlformats.org/spreadsheetml/2006/main" count="479" uniqueCount="122">
  <si>
    <t>CRITERIOS / TARIFAS EDITABLES</t>
  </si>
  <si>
    <t>Producto</t>
  </si>
  <si>
    <t>Dentro horario</t>
  </si>
  <si>
    <t>Fuera horario</t>
  </si>
  <si>
    <t>Activo</t>
  </si>
  <si>
    <t>MAIZ</t>
  </si>
  <si>
    <t>Si</t>
  </si>
  <si>
    <t>SORGO</t>
  </si>
  <si>
    <t>SOYA</t>
  </si>
  <si>
    <t>SALVADO</t>
  </si>
  <si>
    <t>DDG</t>
  </si>
  <si>
    <t>ROLADO</t>
  </si>
  <si>
    <t>CALCIO</t>
  </si>
  <si>
    <t>EXCEL MAESTRO - MANIOBRAS DE DESCARGA</t>
  </si>
  <si>
    <t>Objetivo</t>
  </si>
  <si>
    <t>Registrar maniobras, trabajadores, importes manuales, pagos pendientes y pagos realizados.</t>
  </si>
  <si>
    <t>Paso 1</t>
  </si>
  <si>
    <t>Actualiza Criterios con productos y tarifas cuando cambien.</t>
  </si>
  <si>
    <t>Paso 2</t>
  </si>
  <si>
    <t>Actualiza Trabajadores con la lista final y extras de referencia si aplican.</t>
  </si>
  <si>
    <t>Paso 3</t>
  </si>
  <si>
    <t>Captura cada maniobra en Maniobras y sus participantes en Detalle_Pagos.</t>
  </si>
  <si>
    <t>Paso 4</t>
  </si>
  <si>
    <t>Marca Pagado? como Si o No por trabajador.</t>
  </si>
  <si>
    <t>Paso 5</t>
  </si>
  <si>
    <t>Consulta Pendientes, Resumen y Ficha para imprimir/firmar.</t>
  </si>
  <si>
    <t>TRABAJADORES EDITABLES</t>
  </si>
  <si>
    <t>ID</t>
  </si>
  <si>
    <t>Trabajador</t>
  </si>
  <si>
    <t>Extra referencia</t>
  </si>
  <si>
    <t>Notas</t>
  </si>
  <si>
    <t>Carlos Salas</t>
  </si>
  <si>
    <t>Juan</t>
  </si>
  <si>
    <t>Uriel</t>
  </si>
  <si>
    <t>Eliseo</t>
  </si>
  <si>
    <t>Marcos</t>
  </si>
  <si>
    <t>Fabián</t>
  </si>
  <si>
    <t>Ramses</t>
  </si>
  <si>
    <t>Emanuel</t>
  </si>
  <si>
    <t>Ahmed</t>
  </si>
  <si>
    <t>Juan Carlos</t>
  </si>
  <si>
    <t>Gabriel</t>
  </si>
  <si>
    <t>Pavel</t>
  </si>
  <si>
    <t>Severiano</t>
  </si>
  <si>
    <t>REGISTRO DE MANIOBRAS</t>
  </si>
  <si>
    <t>No. maniobra</t>
  </si>
  <si>
    <t>Fecha</t>
  </si>
  <si>
    <t>Horario descarga</t>
  </si>
  <si>
    <t>Tipo tarifa</t>
  </si>
  <si>
    <t>Toneladas</t>
  </si>
  <si>
    <t>Tarifa auto</t>
  </si>
  <si>
    <t>Ajuste total</t>
  </si>
  <si>
    <t>Total maniobra</t>
  </si>
  <si>
    <t># trabajadores</t>
  </si>
  <si>
    <t>Importe sugerido</t>
  </si>
  <si>
    <t>Total manual</t>
  </si>
  <si>
    <t>Pendiente</t>
  </si>
  <si>
    <t>Estado</t>
  </si>
  <si>
    <t>Observaciones</t>
  </si>
  <si>
    <t>5:30-6:30</t>
  </si>
  <si>
    <t>5:30-19:00</t>
  </si>
  <si>
    <t>DETALLE DE PAGOS POR TRABAJADOR</t>
  </si>
  <si>
    <t>Mes</t>
  </si>
  <si>
    <t>Importe manual</t>
  </si>
  <si>
    <t>Extra manual</t>
  </si>
  <si>
    <t>Total a pagar</t>
  </si>
  <si>
    <t>Pagado?</t>
  </si>
  <si>
    <t>Fecha cobro</t>
  </si>
  <si>
    <t>Notas/Firma</t>
  </si>
  <si>
    <t>No</t>
  </si>
  <si>
    <t>PENDIENTES POR TRABAJADOR</t>
  </si>
  <si>
    <t>Lee Detalle_Pagos y suma automaticamente los pagos marcados como No.</t>
  </si>
  <si>
    <t>Maniobras pendientes</t>
  </si>
  <si>
    <t>Total pendiente</t>
  </si>
  <si>
    <t>Pendiente + extra ref.</t>
  </si>
  <si>
    <t>Ultima fecha pendiente</t>
  </si>
  <si>
    <t>Pagado acumulado</t>
  </si>
  <si>
    <t>Maniobras pagadas</t>
  </si>
  <si>
    <t>RESUMEN GENERAL Y FILTRO POR FECHAS</t>
  </si>
  <si>
    <t>Fecha inicio</t>
  </si>
  <si>
    <t>Total pagado</t>
  </si>
  <si>
    <t>Maniobras registradas</t>
  </si>
  <si>
    <t>Fecha fin</t>
  </si>
  <si>
    <t>Trabajadores con pendiente</t>
  </si>
  <si>
    <t>Maniobras en rango</t>
  </si>
  <si>
    <t>Pagado en rango</t>
  </si>
  <si>
    <t>Pendiente en rango</t>
  </si>
  <si>
    <t># pendientes</t>
  </si>
  <si>
    <t># pagadas</t>
  </si>
  <si>
    <t>Extra ref. pendientes</t>
  </si>
  <si>
    <t>Total + extra ref.</t>
  </si>
  <si>
    <t>Total general</t>
  </si>
  <si>
    <t>MANIOBRA DE DESCARGA</t>
  </si>
  <si>
    <t>No. de maniobra:</t>
  </si>
  <si>
    <t>Fecha:</t>
  </si>
  <si>
    <t>Horario de descarga:</t>
  </si>
  <si>
    <t>Materia prima:</t>
  </si>
  <si>
    <t>Toneladas descargadas:</t>
  </si>
  <si>
    <t>CÁLCULO DE LA MANIOBRA</t>
  </si>
  <si>
    <t>Tarifa aplicada:</t>
  </si>
  <si>
    <t>Total:</t>
  </si>
  <si>
    <t># colaboradores</t>
  </si>
  <si>
    <t>PERSONAL QUE PARTICIPÓ</t>
  </si>
  <si>
    <t>No.</t>
  </si>
  <si>
    <t>Nombre</t>
  </si>
  <si>
    <t>Importe recibido</t>
  </si>
  <si>
    <t>Fecha de cobro</t>
  </si>
  <si>
    <t>Firma</t>
  </si>
  <si>
    <t>No. de maniobra: </t>
  </si>
  <si>
    <t xml:space="preserve">Fecha: </t>
  </si>
  <si>
    <t xml:space="preserve">Horario de descarga: </t>
  </si>
  <si>
    <t>sorgo</t>
  </si>
  <si>
    <t xml:space="preserve">Toneladas descargadas:  </t>
  </si>
  <si>
    <t>Importe por colaborador</t>
  </si>
  <si>
    <t xml:space="preserve">    Importe recibido    </t>
  </si>
  <si>
    <t>EMANUEL</t>
  </si>
  <si>
    <t>URIEL</t>
  </si>
  <si>
    <t>AHMED</t>
  </si>
  <si>
    <t>JUAN</t>
  </si>
  <si>
    <t>ELISEO</t>
  </si>
  <si>
    <t>RAMSES</t>
  </si>
  <si>
    <t>JUAN 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</si>
</sst>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$&quot;* #,##0.00_-;\-&quot;$&quot;* #,##0.00_-;_-&quot;$&quot;* &quot;-&quot;??_-;_-@_-"/>
    <numFmt numFmtId="164" formatCode="[$-F400]h:mm:ss\ AM/PM"/>
    <numFmt numFmtId="165" formatCode="0.0"/>
    <numFmt numFmtId="166" formatCode="_-&quot;$&quot;* #,##0_-;\-&quot;$&quot;* #,##0_-;_-&quot;$&quot;* &quot;-&quot;??_-;_-@_-"/>
    <numFmt numFmtId="167" formatCode="\$#,##0.00"/>
    <numFmt numFmtId="169" formatCode="yyyy\-mm\-dd"/>
  </numFmts>
  <fonts count="12" x14ac:knownFonts="1">
    <font>
      <sz val="12"/>
      <color theme="1"/>
      <name val="Aptos Narrow"/>
      <family val="2"/>
      <scheme val="minor"/>
    </font>
    <font>
      <b/>
      <sz val="14"/>
      <color rgb="FF0B304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rgb="FFFFFFFF"/>
      <name val="Aptos Narrow"/>
    </font>
    <font>
      <b/>
      <sz val="12"/>
      <color rgb="FFFFFFFF"/>
      <name val="Aptos Narrow"/>
    </font>
    <font>
      <b/>
      <sz val="12"/>
      <color rgb="FF1F4E78"/>
      <name val="Aptos Narrow"/>
    </font>
    <font>
      <i/>
      <sz val="12"/>
      <color rgb="FF666666"/>
      <name val="Aptos Narrow"/>
    </font>
    <font>
      <b/>
      <sz val="12"/>
      <name val="Aptos Narrow"/>
    </font>
  </fonts>
  <fills count="5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0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14" fontId="2" fillId="0" borderId="0" xfId="0" applyNumberFormat="1" applyFont="1"/>
    <xf numFmtId="164" fontId="2" fillId="0" borderId="0" xfId="0" applyNumberFormat="1" applyFont="1" applyAlignment="1">
      <alignment horizontal="right"/>
    </xf>
    <xf numFmtId="164" fontId="2" fillId="0" borderId="0" xfId="0" applyNumberFormat="1" applyFont="1"/>
    <xf numFmtId="0" fontId="1" fillId="0" borderId="0" xfId="0" applyFont="1" applyAlignment="1">
      <alignment horizontal="center"/>
    </xf>
    <xf numFmtId="165" fontId="1" fillId="0" borderId="0" xfId="0" applyNumberFormat="1" applyFont="1"/>
    <xf numFmtId="0" fontId="5" fillId="0" borderId="0" xfId="0" applyFont="1"/>
    <xf numFmtId="0" fontId="6" fillId="0" borderId="0" xfId="0" applyFont="1"/>
    <xf numFmtId="166" fontId="5" fillId="0" borderId="0" xfId="0" applyNumberFormat="1" applyFont="1"/>
    <xf numFmtId="44" fontId="5" fillId="0" borderId="0" xfId="0" applyNumberFormat="1" applyFont="1"/>
    <xf numFmtId="166" fontId="6" fillId="0" borderId="0" xfId="0" applyNumberFormat="1" applyFont="1"/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166" fontId="3" fillId="0" borderId="5" xfId="0" applyNumberFormat="1" applyFont="1" applyBorder="1"/>
    <xf numFmtId="14" fontId="2" fillId="0" borderId="5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9" fillId="0" borderId="9" xfId="0" applyFont="1" applyBorder="1"/>
    <xf numFmtId="0" fontId="0" fillId="0" borderId="9" xfId="0" applyBorder="1" applyAlignment="1">
      <alignment wrapText="1"/>
    </xf>
    <xf numFmtId="0" fontId="8" fillId="4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0" fillId="0" borderId="0" xfId="0" applyNumberFormat="1"/>
    <xf numFmtId="169" fontId="0" fillId="0" borderId="0" xfId="0" applyNumberFormat="1"/>
    <xf numFmtId="0" fontId="10" fillId="0" borderId="0" xfId="0" applyFont="1"/>
    <xf numFmtId="0" fontId="9" fillId="0" borderId="0" xfId="0" applyFont="1"/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169" fontId="0" fillId="0" borderId="0" xfId="0" applyNumberFormat="1" applyAlignment="1">
      <alignment vertical="center" wrapText="1"/>
    </xf>
    <xf numFmtId="167" fontId="0" fillId="0" borderId="0" xfId="0" applyNumberFormat="1" applyAlignment="1">
      <alignment vertical="center" wrapText="1"/>
    </xf>
    <xf numFmtId="0" fontId="8" fillId="4" borderId="9" xfId="0" applyFont="1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167" fontId="0" fillId="0" borderId="9" xfId="0" applyNumberFormat="1" applyBorder="1" applyAlignment="1">
      <alignment vertical="center" wrapText="1"/>
    </xf>
    <xf numFmtId="169" fontId="0" fillId="0" borderId="9" xfId="0" applyNumberFormat="1" applyBorder="1" applyAlignment="1">
      <alignment vertical="center" wrapText="1"/>
    </xf>
    <xf numFmtId="0" fontId="7" fillId="3" borderId="0" xfId="0" applyFont="1" applyFill="1" applyAlignment="1">
      <alignment horizontal="center"/>
    </xf>
    <xf numFmtId="0" fontId="0" fillId="0" borderId="0" xfId="0"/>
    <xf numFmtId="0" fontId="8" fillId="3" borderId="0" xfId="0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1" fillId="2" borderId="0" xfId="0" applyFont="1" applyFill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4" fillId="0" borderId="0" xfId="0" applyFont="1" applyAlignment="1">
      <alignment horizontal="center"/>
    </xf>
  </cellXfs>
  <cellStyles count="1">
    <cellStyle name="Normal" xfId="0" builtinId="0"/>
  </cellStyles>
  <dxfs count="4">
    <dxf>
      <fill>
        <patternFill patternType="solid">
          <fgColor rgb="FFF4CCCC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D9EAD3"/>
        </patternFill>
      </fill>
    </dxf>
    <dxf>
      <fill>
        <patternFill patternType="solid">
          <f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Criterios" displayName="tblCriterios" ref="A3:D83">
  <autoFilter ref="A3:D83" xr:uid="{00000000-0009-0000-0100-000001000000}"/>
  <tableColumns count="4">
    <tableColumn id="1" xr3:uid="{00000000-0010-0000-0000-000001000000}" name="Producto"/>
    <tableColumn id="2" xr3:uid="{00000000-0010-0000-0000-000002000000}" name="Dentro horario"/>
    <tableColumn id="3" xr3:uid="{00000000-0010-0000-0000-000003000000}" name="Fuera horario"/>
    <tableColumn id="4" xr3:uid="{00000000-0010-0000-0000-000004000000}" name="Activo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Trabajadores" displayName="tblTrabajadores" ref="A4:E204">
  <autoFilter ref="A4:E204" xr:uid="{00000000-0009-0000-0100-000002000000}"/>
  <tableColumns count="5">
    <tableColumn id="1" xr3:uid="{00000000-0010-0000-0100-000001000000}" name="ID"/>
    <tableColumn id="2" xr3:uid="{00000000-0010-0000-0100-000002000000}" name="Trabajador"/>
    <tableColumn id="3" xr3:uid="{00000000-0010-0000-0100-000003000000}" name="Activo"/>
    <tableColumn id="4" xr3:uid="{00000000-0010-0000-0100-000004000000}" name="Extra referencia"/>
    <tableColumn id="5" xr3:uid="{00000000-0010-0000-0100-000005000000}" name="Notas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Maniobras" displayName="tblManiobras" ref="A4:O504">
  <autoFilter ref="A4:O504" xr:uid="{00000000-0009-0000-0100-000003000000}"/>
  <tableColumns count="15">
    <tableColumn id="1" xr3:uid="{00000000-0010-0000-0200-000001000000}" name="No. maniobra"/>
    <tableColumn id="2" xr3:uid="{00000000-0010-0000-0200-000002000000}" name="Fecha"/>
    <tableColumn id="3" xr3:uid="{00000000-0010-0000-0200-000003000000}" name="Horario descarga"/>
    <tableColumn id="4" xr3:uid="{00000000-0010-0000-0200-000004000000}" name="Producto"/>
    <tableColumn id="5" xr3:uid="{00000000-0010-0000-0200-000005000000}" name="Tipo tarifa"/>
    <tableColumn id="6" xr3:uid="{00000000-0010-0000-0200-000006000000}" name="Toneladas"/>
    <tableColumn id="7" xr3:uid="{00000000-0010-0000-0200-000007000000}" name="Tarifa auto"/>
    <tableColumn id="8" xr3:uid="{00000000-0010-0000-0200-000008000000}" name="Ajuste total"/>
    <tableColumn id="9" xr3:uid="{00000000-0010-0000-0200-000009000000}" name="Total maniobra"/>
    <tableColumn id="10" xr3:uid="{00000000-0010-0000-0200-00000A000000}" name="# trabajadores"/>
    <tableColumn id="11" xr3:uid="{00000000-0010-0000-0200-00000B000000}" name="Importe sugerido"/>
    <tableColumn id="12" xr3:uid="{00000000-0010-0000-0200-00000C000000}" name="Total manual"/>
    <tableColumn id="13" xr3:uid="{00000000-0010-0000-0200-00000D000000}" name="Pendiente"/>
    <tableColumn id="14" xr3:uid="{00000000-0010-0000-0200-00000E000000}" name="Estado"/>
    <tableColumn id="15" xr3:uid="{00000000-0010-0000-0200-00000F000000}" name="Observacion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DetallePagos" displayName="tblDetallePagos" ref="A4:L2004">
  <autoFilter ref="A4:L2004" xr:uid="{00000000-0009-0000-0100-000004000000}"/>
  <tableColumns count="12">
    <tableColumn id="1" xr3:uid="{00000000-0010-0000-0300-000001000000}" name="No. maniobra"/>
    <tableColumn id="2" xr3:uid="{00000000-0010-0000-0300-000002000000}" name="Fecha"/>
    <tableColumn id="3" xr3:uid="{00000000-0010-0000-0300-000003000000}" name="Mes"/>
    <tableColumn id="4" xr3:uid="{00000000-0010-0000-0300-000004000000}" name="Producto"/>
    <tableColumn id="5" xr3:uid="{00000000-0010-0000-0300-000005000000}" name="Trabajador"/>
    <tableColumn id="6" xr3:uid="{00000000-0010-0000-0300-000006000000}" name="Importe sugerido"/>
    <tableColumn id="7" xr3:uid="{00000000-0010-0000-0300-000007000000}" name="Importe manual"/>
    <tableColumn id="8" xr3:uid="{00000000-0010-0000-0300-000008000000}" name="Extra manual"/>
    <tableColumn id="9" xr3:uid="{00000000-0010-0000-0300-000009000000}" name="Total a pagar"/>
    <tableColumn id="10" xr3:uid="{00000000-0010-0000-0300-00000A000000}" name="Pagado?"/>
    <tableColumn id="11" xr3:uid="{00000000-0010-0000-0300-00000B000000}" name="Fecha cobro"/>
    <tableColumn id="12" xr3:uid="{00000000-0010-0000-0300-00000C000000}" name="Notas/Firma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Pendientes" displayName="tblPendientes" ref="A7:H207">
  <autoFilter ref="A7:H207" xr:uid="{00000000-0009-0000-0100-000005000000}"/>
  <tableColumns count="8">
    <tableColumn id="1" xr3:uid="{00000000-0010-0000-0400-000001000000}" name="Trabajador"/>
    <tableColumn id="2" xr3:uid="{00000000-0010-0000-0400-000002000000}" name="Maniobras pendientes"/>
    <tableColumn id="3" xr3:uid="{00000000-0010-0000-0400-000003000000}" name="Total pendiente"/>
    <tableColumn id="4" xr3:uid="{00000000-0010-0000-0400-000004000000}" name="Extra referencia"/>
    <tableColumn id="5" xr3:uid="{00000000-0010-0000-0400-000005000000}" name="Pendiente + extra ref."/>
    <tableColumn id="6" xr3:uid="{00000000-0010-0000-0400-000006000000}" name="Ultima fecha pendiente"/>
    <tableColumn id="7" xr3:uid="{00000000-0010-0000-0400-000007000000}" name="Pagado acumulado"/>
    <tableColumn id="8" xr3:uid="{00000000-0010-0000-0400-000008000000}" name="Maniobras pagadas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blResumenTrabajador" displayName="tblResumenTrabajador" ref="A7:I207">
  <autoFilter ref="A7:I207" xr:uid="{00000000-0009-0000-0100-000006000000}"/>
  <tableColumns count="9">
    <tableColumn id="1" xr3:uid="{00000000-0010-0000-0500-000001000000}" name="Trabajador"/>
    <tableColumn id="2" xr3:uid="{00000000-0010-0000-0500-000002000000}" name="Maniobras en rango"/>
    <tableColumn id="3" xr3:uid="{00000000-0010-0000-0500-000003000000}" name="Pagado en rango"/>
    <tableColumn id="4" xr3:uid="{00000000-0010-0000-0500-000004000000}" name="Pendiente en rango"/>
    <tableColumn id="5" xr3:uid="{00000000-0010-0000-0500-000005000000}" name="# pendientes"/>
    <tableColumn id="6" xr3:uid="{00000000-0010-0000-0500-000006000000}" name="# pagadas"/>
    <tableColumn id="7" xr3:uid="{00000000-0010-0000-0500-000007000000}" name="Extra ref. pendientes"/>
    <tableColumn id="8" xr3:uid="{00000000-0010-0000-0500-000008000000}" name="Total + extra ref."/>
    <tableColumn id="9" xr3:uid="{00000000-0010-0000-0500-000009000000}" name="Total general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showGridLines="0" workbookViewId="0"/>
  </sheetViews>
  <sheetFormatPr baseColWidth="10" defaultColWidth="8.796875" defaultRowHeight="15.6" x14ac:dyDescent="0.3"/>
  <cols>
    <col min="1" max="1" width="18" customWidth="1"/>
    <col min="2" max="2" width="95" customWidth="1"/>
    <col min="3" max="3" width="4" customWidth="1"/>
    <col min="4" max="8" width="18" customWidth="1"/>
  </cols>
  <sheetData>
    <row r="1" spans="1:8" ht="18" x14ac:dyDescent="0.35">
      <c r="A1" s="41" t="s">
        <v>13</v>
      </c>
      <c r="B1" s="42"/>
      <c r="C1" s="42"/>
      <c r="D1" s="42"/>
      <c r="E1" s="42"/>
      <c r="F1" s="42"/>
      <c r="G1" s="42"/>
      <c r="H1" s="42"/>
    </row>
    <row r="3" spans="1:8" x14ac:dyDescent="0.3">
      <c r="A3" s="24" t="s">
        <v>14</v>
      </c>
      <c r="B3" s="25" t="s">
        <v>15</v>
      </c>
    </row>
    <row r="4" spans="1:8" x14ac:dyDescent="0.3">
      <c r="A4" s="24" t="s">
        <v>16</v>
      </c>
      <c r="B4" s="25" t="s">
        <v>17</v>
      </c>
    </row>
    <row r="5" spans="1:8" x14ac:dyDescent="0.3">
      <c r="A5" s="24" t="s">
        <v>18</v>
      </c>
      <c r="B5" s="25" t="s">
        <v>19</v>
      </c>
    </row>
    <row r="6" spans="1:8" x14ac:dyDescent="0.3">
      <c r="A6" s="24" t="s">
        <v>20</v>
      </c>
      <c r="B6" s="25" t="s">
        <v>21</v>
      </c>
    </row>
    <row r="7" spans="1:8" x14ac:dyDescent="0.3">
      <c r="A7" s="24" t="s">
        <v>22</v>
      </c>
      <c r="B7" s="25" t="s">
        <v>23</v>
      </c>
    </row>
    <row r="8" spans="1:8" x14ac:dyDescent="0.3">
      <c r="A8" s="24" t="s">
        <v>24</v>
      </c>
      <c r="B8" s="25" t="s">
        <v>25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3"/>
  <sheetViews>
    <sheetView showGridLines="0" tabSelected="1" topLeftCell="A9" zoomScale="158" workbookViewId="0">
      <pane ySplit="3" topLeftCell="A4" activePane="bottomLeft" state="frozen"/>
      <selection pane="bottomLeft" activeCell="C21" sqref="A6:E21"/>
    </sheetView>
  </sheetViews>
  <sheetFormatPr baseColWidth="10" defaultRowHeight="15.6" x14ac:dyDescent="0.3"/>
  <cols>
    <col min="1" max="1" width="22" customWidth="1"/>
    <col min="2" max="2" width="16" customWidth="1"/>
    <col min="3" max="3" width="18" customWidth="1"/>
    <col min="4" max="4" width="12" customWidth="1"/>
  </cols>
  <sheetData>
    <row r="1" spans="1:4" ht="18" x14ac:dyDescent="0.35">
      <c r="A1" s="41" t="s">
        <v>0</v>
      </c>
      <c r="B1" s="42"/>
      <c r="C1" s="42"/>
      <c r="D1" s="42"/>
    </row>
    <row r="3" spans="1:4" x14ac:dyDescent="0.3">
      <c r="A3" s="26" t="s">
        <v>1</v>
      </c>
      <c r="B3" s="26" t="s">
        <v>2</v>
      </c>
      <c r="C3" s="26" t="s">
        <v>3</v>
      </c>
      <c r="D3" s="26" t="s">
        <v>4</v>
      </c>
    </row>
    <row r="4" spans="1:4" x14ac:dyDescent="0.3">
      <c r="A4" s="27" t="s">
        <v>5</v>
      </c>
      <c r="B4" s="28">
        <v>50</v>
      </c>
      <c r="C4" s="28">
        <v>60</v>
      </c>
      <c r="D4" s="27" t="s">
        <v>6</v>
      </c>
    </row>
    <row r="5" spans="1:4" x14ac:dyDescent="0.3">
      <c r="A5" s="27" t="s">
        <v>7</v>
      </c>
      <c r="B5" s="28">
        <v>50</v>
      </c>
      <c r="C5" s="28">
        <v>60</v>
      </c>
      <c r="D5" s="27" t="s">
        <v>6</v>
      </c>
    </row>
    <row r="6" spans="1:4" x14ac:dyDescent="0.3">
      <c r="A6" s="27" t="s">
        <v>8</v>
      </c>
      <c r="B6" s="28">
        <v>60</v>
      </c>
      <c r="C6" s="28">
        <v>70</v>
      </c>
      <c r="D6" s="27" t="s">
        <v>6</v>
      </c>
    </row>
    <row r="7" spans="1:4" x14ac:dyDescent="0.3">
      <c r="A7" s="27" t="s">
        <v>9</v>
      </c>
      <c r="B7" s="28">
        <v>40</v>
      </c>
      <c r="C7" s="28">
        <v>50</v>
      </c>
      <c r="D7" s="27" t="s">
        <v>6</v>
      </c>
    </row>
    <row r="8" spans="1:4" x14ac:dyDescent="0.3">
      <c r="A8" s="27" t="s">
        <v>10</v>
      </c>
      <c r="B8" s="28">
        <v>50</v>
      </c>
      <c r="C8" s="28">
        <v>60</v>
      </c>
      <c r="D8" s="27" t="s">
        <v>6</v>
      </c>
    </row>
    <row r="9" spans="1:4" x14ac:dyDescent="0.3">
      <c r="A9" s="27" t="s">
        <v>11</v>
      </c>
      <c r="B9" s="28">
        <v>40</v>
      </c>
      <c r="C9" s="28">
        <v>50</v>
      </c>
      <c r="D9" s="27" t="s">
        <v>6</v>
      </c>
    </row>
    <row r="10" spans="1:4" x14ac:dyDescent="0.3">
      <c r="A10" s="27" t="s">
        <v>12</v>
      </c>
      <c r="B10" s="28">
        <v>40</v>
      </c>
      <c r="C10" s="28">
        <v>50</v>
      </c>
      <c r="D10" s="27" t="s">
        <v>6</v>
      </c>
    </row>
    <row r="11" spans="1:4" x14ac:dyDescent="0.3">
      <c r="A11" s="27"/>
      <c r="B11" s="28"/>
      <c r="C11" s="28"/>
      <c r="D11" s="27" t="s">
        <v>6</v>
      </c>
    </row>
    <row r="12" spans="1:4" x14ac:dyDescent="0.3">
      <c r="A12" s="27"/>
      <c r="B12" s="28"/>
      <c r="C12" s="28"/>
      <c r="D12" s="27" t="s">
        <v>6</v>
      </c>
    </row>
    <row r="13" spans="1:4" x14ac:dyDescent="0.3">
      <c r="A13" s="27"/>
      <c r="B13" s="28"/>
      <c r="C13" s="28"/>
      <c r="D13" s="27" t="s">
        <v>6</v>
      </c>
    </row>
    <row r="14" spans="1:4" x14ac:dyDescent="0.3">
      <c r="A14" s="27"/>
      <c r="B14" s="28"/>
      <c r="C14" s="28"/>
      <c r="D14" s="27" t="s">
        <v>6</v>
      </c>
    </row>
    <row r="15" spans="1:4" x14ac:dyDescent="0.3">
      <c r="A15" s="27"/>
      <c r="B15" s="28"/>
      <c r="C15" s="28"/>
      <c r="D15" s="27" t="s">
        <v>6</v>
      </c>
    </row>
    <row r="16" spans="1:4" x14ac:dyDescent="0.3">
      <c r="A16" s="27"/>
      <c r="B16" s="28"/>
      <c r="C16" s="28"/>
      <c r="D16" s="27" t="s">
        <v>6</v>
      </c>
    </row>
    <row r="17" spans="1:4" x14ac:dyDescent="0.3">
      <c r="A17" s="27"/>
      <c r="B17" s="28"/>
      <c r="C17" s="28"/>
      <c r="D17" s="27" t="s">
        <v>6</v>
      </c>
    </row>
    <row r="18" spans="1:4" x14ac:dyDescent="0.3">
      <c r="A18" s="27"/>
      <c r="B18" s="28"/>
      <c r="C18" s="28"/>
      <c r="D18" s="27" t="s">
        <v>6</v>
      </c>
    </row>
    <row r="19" spans="1:4" x14ac:dyDescent="0.3">
      <c r="A19" s="27"/>
      <c r="B19" s="28"/>
      <c r="C19" s="28"/>
      <c r="D19" s="27" t="s">
        <v>6</v>
      </c>
    </row>
    <row r="20" spans="1:4" x14ac:dyDescent="0.3">
      <c r="A20" s="27"/>
      <c r="B20" s="28"/>
      <c r="C20" s="28"/>
      <c r="D20" s="27" t="s">
        <v>6</v>
      </c>
    </row>
    <row r="21" spans="1:4" x14ac:dyDescent="0.3">
      <c r="A21" s="27"/>
      <c r="B21" s="28"/>
      <c r="C21" s="28"/>
      <c r="D21" s="27" t="s">
        <v>6</v>
      </c>
    </row>
    <row r="22" spans="1:4" x14ac:dyDescent="0.3">
      <c r="A22" s="27"/>
      <c r="B22" s="28"/>
      <c r="C22" s="28"/>
      <c r="D22" s="27" t="s">
        <v>6</v>
      </c>
    </row>
    <row r="23" spans="1:4" x14ac:dyDescent="0.3">
      <c r="A23" s="27"/>
      <c r="B23" s="28"/>
      <c r="C23" s="28"/>
      <c r="D23" s="27" t="s">
        <v>6</v>
      </c>
    </row>
    <row r="24" spans="1:4" x14ac:dyDescent="0.3">
      <c r="A24" s="27"/>
      <c r="B24" s="28"/>
      <c r="C24" s="28"/>
      <c r="D24" s="27" t="s">
        <v>6</v>
      </c>
    </row>
    <row r="25" spans="1:4" x14ac:dyDescent="0.3">
      <c r="A25" s="27"/>
      <c r="B25" s="28"/>
      <c r="C25" s="28"/>
      <c r="D25" s="27" t="s">
        <v>6</v>
      </c>
    </row>
    <row r="26" spans="1:4" x14ac:dyDescent="0.3">
      <c r="A26" s="27"/>
      <c r="B26" s="28"/>
      <c r="C26" s="28"/>
      <c r="D26" s="27" t="s">
        <v>6</v>
      </c>
    </row>
    <row r="27" spans="1:4" x14ac:dyDescent="0.3">
      <c r="A27" s="27"/>
      <c r="B27" s="28"/>
      <c r="C27" s="28"/>
      <c r="D27" s="27" t="s">
        <v>6</v>
      </c>
    </row>
    <row r="28" spans="1:4" x14ac:dyDescent="0.3">
      <c r="A28" s="27"/>
      <c r="B28" s="28"/>
      <c r="C28" s="28"/>
      <c r="D28" s="27" t="s">
        <v>6</v>
      </c>
    </row>
    <row r="29" spans="1:4" x14ac:dyDescent="0.3">
      <c r="A29" s="27"/>
      <c r="B29" s="28"/>
      <c r="C29" s="28"/>
      <c r="D29" s="27" t="s">
        <v>6</v>
      </c>
    </row>
    <row r="30" spans="1:4" x14ac:dyDescent="0.3">
      <c r="A30" s="27"/>
      <c r="B30" s="28"/>
      <c r="C30" s="28"/>
      <c r="D30" s="27" t="s">
        <v>6</v>
      </c>
    </row>
    <row r="31" spans="1:4" x14ac:dyDescent="0.3">
      <c r="A31" s="27"/>
      <c r="B31" s="28"/>
      <c r="C31" s="28"/>
      <c r="D31" s="27" t="s">
        <v>6</v>
      </c>
    </row>
    <row r="32" spans="1:4" x14ac:dyDescent="0.3">
      <c r="A32" s="27"/>
      <c r="B32" s="28"/>
      <c r="C32" s="28"/>
      <c r="D32" s="27" t="s">
        <v>6</v>
      </c>
    </row>
    <row r="33" spans="1:4" x14ac:dyDescent="0.3">
      <c r="A33" s="27"/>
      <c r="B33" s="28"/>
      <c r="C33" s="28"/>
      <c r="D33" s="27" t="s">
        <v>6</v>
      </c>
    </row>
    <row r="34" spans="1:4" x14ac:dyDescent="0.3">
      <c r="A34" s="27"/>
      <c r="B34" s="28"/>
      <c r="C34" s="28"/>
      <c r="D34" s="27" t="s">
        <v>6</v>
      </c>
    </row>
    <row r="35" spans="1:4" x14ac:dyDescent="0.3">
      <c r="A35" s="27"/>
      <c r="B35" s="28"/>
      <c r="C35" s="28"/>
      <c r="D35" s="27" t="s">
        <v>6</v>
      </c>
    </row>
    <row r="36" spans="1:4" x14ac:dyDescent="0.3">
      <c r="A36" s="27"/>
      <c r="B36" s="28"/>
      <c r="C36" s="28"/>
      <c r="D36" s="27" t="s">
        <v>6</v>
      </c>
    </row>
    <row r="37" spans="1:4" x14ac:dyDescent="0.3">
      <c r="A37" s="27"/>
      <c r="B37" s="28"/>
      <c r="C37" s="28"/>
      <c r="D37" s="27" t="s">
        <v>6</v>
      </c>
    </row>
    <row r="38" spans="1:4" x14ac:dyDescent="0.3">
      <c r="A38" s="27"/>
      <c r="B38" s="28"/>
      <c r="C38" s="28"/>
      <c r="D38" s="27" t="s">
        <v>6</v>
      </c>
    </row>
    <row r="39" spans="1:4" x14ac:dyDescent="0.3">
      <c r="A39" s="27"/>
      <c r="B39" s="28"/>
      <c r="C39" s="28"/>
      <c r="D39" s="27" t="s">
        <v>6</v>
      </c>
    </row>
    <row r="40" spans="1:4" x14ac:dyDescent="0.3">
      <c r="A40" s="27"/>
      <c r="B40" s="28"/>
      <c r="C40" s="28"/>
      <c r="D40" s="27" t="s">
        <v>6</v>
      </c>
    </row>
    <row r="41" spans="1:4" x14ac:dyDescent="0.3">
      <c r="A41" s="27"/>
      <c r="B41" s="28"/>
      <c r="C41" s="28"/>
      <c r="D41" s="27" t="s">
        <v>6</v>
      </c>
    </row>
    <row r="42" spans="1:4" x14ac:dyDescent="0.3">
      <c r="A42" s="27"/>
      <c r="B42" s="28"/>
      <c r="C42" s="28"/>
      <c r="D42" s="27" t="s">
        <v>6</v>
      </c>
    </row>
    <row r="43" spans="1:4" x14ac:dyDescent="0.3">
      <c r="A43" s="27"/>
      <c r="B43" s="28"/>
      <c r="C43" s="28"/>
      <c r="D43" s="27" t="s">
        <v>6</v>
      </c>
    </row>
    <row r="44" spans="1:4" x14ac:dyDescent="0.3">
      <c r="A44" s="27"/>
      <c r="B44" s="28"/>
      <c r="C44" s="28"/>
      <c r="D44" s="27" t="s">
        <v>6</v>
      </c>
    </row>
    <row r="45" spans="1:4" x14ac:dyDescent="0.3">
      <c r="A45" s="27"/>
      <c r="B45" s="28"/>
      <c r="C45" s="28"/>
      <c r="D45" s="27" t="s">
        <v>6</v>
      </c>
    </row>
    <row r="46" spans="1:4" x14ac:dyDescent="0.3">
      <c r="A46" s="27"/>
      <c r="B46" s="28"/>
      <c r="C46" s="28"/>
      <c r="D46" s="27" t="s">
        <v>6</v>
      </c>
    </row>
    <row r="47" spans="1:4" x14ac:dyDescent="0.3">
      <c r="A47" s="27"/>
      <c r="B47" s="28"/>
      <c r="C47" s="28"/>
      <c r="D47" s="27" t="s">
        <v>6</v>
      </c>
    </row>
    <row r="48" spans="1:4" x14ac:dyDescent="0.3">
      <c r="A48" s="27"/>
      <c r="B48" s="28"/>
      <c r="C48" s="28"/>
      <c r="D48" s="27" t="s">
        <v>6</v>
      </c>
    </row>
    <row r="49" spans="1:4" x14ac:dyDescent="0.3">
      <c r="A49" s="27"/>
      <c r="B49" s="28"/>
      <c r="C49" s="28"/>
      <c r="D49" s="27" t="s">
        <v>6</v>
      </c>
    </row>
    <row r="50" spans="1:4" x14ac:dyDescent="0.3">
      <c r="A50" s="27"/>
      <c r="B50" s="28"/>
      <c r="C50" s="28"/>
      <c r="D50" s="27" t="s">
        <v>6</v>
      </c>
    </row>
    <row r="51" spans="1:4" x14ac:dyDescent="0.3">
      <c r="A51" s="27"/>
      <c r="B51" s="28"/>
      <c r="C51" s="28"/>
      <c r="D51" s="27" t="s">
        <v>6</v>
      </c>
    </row>
    <row r="52" spans="1:4" x14ac:dyDescent="0.3">
      <c r="A52" s="27"/>
      <c r="B52" s="28"/>
      <c r="C52" s="28"/>
      <c r="D52" s="27" t="s">
        <v>6</v>
      </c>
    </row>
    <row r="53" spans="1:4" x14ac:dyDescent="0.3">
      <c r="A53" s="27"/>
      <c r="B53" s="28"/>
      <c r="C53" s="28"/>
      <c r="D53" s="27" t="s">
        <v>6</v>
      </c>
    </row>
    <row r="54" spans="1:4" x14ac:dyDescent="0.3">
      <c r="A54" s="27"/>
      <c r="B54" s="28"/>
      <c r="C54" s="28"/>
      <c r="D54" s="27" t="s">
        <v>6</v>
      </c>
    </row>
    <row r="55" spans="1:4" x14ac:dyDescent="0.3">
      <c r="A55" s="27"/>
      <c r="B55" s="28"/>
      <c r="C55" s="28"/>
      <c r="D55" s="27" t="s">
        <v>6</v>
      </c>
    </row>
    <row r="56" spans="1:4" x14ac:dyDescent="0.3">
      <c r="A56" s="27"/>
      <c r="B56" s="28"/>
      <c r="C56" s="28"/>
      <c r="D56" s="27" t="s">
        <v>6</v>
      </c>
    </row>
    <row r="57" spans="1:4" x14ac:dyDescent="0.3">
      <c r="A57" s="27"/>
      <c r="B57" s="28"/>
      <c r="C57" s="28"/>
      <c r="D57" s="27" t="s">
        <v>6</v>
      </c>
    </row>
    <row r="58" spans="1:4" x14ac:dyDescent="0.3">
      <c r="A58" s="27"/>
      <c r="B58" s="28"/>
      <c r="C58" s="28"/>
      <c r="D58" s="27" t="s">
        <v>6</v>
      </c>
    </row>
    <row r="59" spans="1:4" x14ac:dyDescent="0.3">
      <c r="A59" s="27"/>
      <c r="B59" s="28"/>
      <c r="C59" s="28"/>
      <c r="D59" s="27" t="s">
        <v>6</v>
      </c>
    </row>
    <row r="60" spans="1:4" x14ac:dyDescent="0.3">
      <c r="A60" s="27"/>
      <c r="B60" s="28"/>
      <c r="C60" s="28"/>
      <c r="D60" s="27" t="s">
        <v>6</v>
      </c>
    </row>
    <row r="61" spans="1:4" x14ac:dyDescent="0.3">
      <c r="A61" s="27"/>
      <c r="B61" s="28"/>
      <c r="C61" s="28"/>
      <c r="D61" s="27" t="s">
        <v>6</v>
      </c>
    </row>
    <row r="62" spans="1:4" x14ac:dyDescent="0.3">
      <c r="A62" s="27"/>
      <c r="B62" s="28"/>
      <c r="C62" s="28"/>
      <c r="D62" s="27" t="s">
        <v>6</v>
      </c>
    </row>
    <row r="63" spans="1:4" x14ac:dyDescent="0.3">
      <c r="A63" s="27"/>
      <c r="B63" s="28"/>
      <c r="C63" s="28"/>
      <c r="D63" s="27" t="s">
        <v>6</v>
      </c>
    </row>
    <row r="64" spans="1:4" x14ac:dyDescent="0.3">
      <c r="A64" s="27"/>
      <c r="B64" s="28"/>
      <c r="C64" s="28"/>
      <c r="D64" s="27" t="s">
        <v>6</v>
      </c>
    </row>
    <row r="65" spans="1:4" x14ac:dyDescent="0.3">
      <c r="A65" s="27"/>
      <c r="B65" s="28"/>
      <c r="C65" s="28"/>
      <c r="D65" s="27" t="s">
        <v>6</v>
      </c>
    </row>
    <row r="66" spans="1:4" x14ac:dyDescent="0.3">
      <c r="A66" s="27"/>
      <c r="B66" s="28"/>
      <c r="C66" s="28"/>
      <c r="D66" s="27" t="s">
        <v>6</v>
      </c>
    </row>
    <row r="67" spans="1:4" x14ac:dyDescent="0.3">
      <c r="A67" s="27"/>
      <c r="B67" s="28"/>
      <c r="C67" s="28"/>
      <c r="D67" s="27" t="s">
        <v>6</v>
      </c>
    </row>
    <row r="68" spans="1:4" x14ac:dyDescent="0.3">
      <c r="A68" s="27"/>
      <c r="B68" s="28"/>
      <c r="C68" s="28"/>
      <c r="D68" s="27" t="s">
        <v>6</v>
      </c>
    </row>
    <row r="69" spans="1:4" x14ac:dyDescent="0.3">
      <c r="A69" s="27"/>
      <c r="B69" s="28"/>
      <c r="C69" s="28"/>
      <c r="D69" s="27" t="s">
        <v>6</v>
      </c>
    </row>
    <row r="70" spans="1:4" x14ac:dyDescent="0.3">
      <c r="A70" s="27"/>
      <c r="B70" s="28"/>
      <c r="C70" s="28"/>
      <c r="D70" s="27" t="s">
        <v>6</v>
      </c>
    </row>
    <row r="71" spans="1:4" x14ac:dyDescent="0.3">
      <c r="A71" s="27"/>
      <c r="B71" s="28"/>
      <c r="C71" s="28"/>
      <c r="D71" s="27" t="s">
        <v>6</v>
      </c>
    </row>
    <row r="72" spans="1:4" x14ac:dyDescent="0.3">
      <c r="A72" s="27"/>
      <c r="B72" s="28"/>
      <c r="C72" s="28"/>
      <c r="D72" s="27" t="s">
        <v>6</v>
      </c>
    </row>
    <row r="73" spans="1:4" x14ac:dyDescent="0.3">
      <c r="A73" s="27"/>
      <c r="B73" s="28"/>
      <c r="C73" s="28"/>
      <c r="D73" s="27" t="s">
        <v>6</v>
      </c>
    </row>
    <row r="74" spans="1:4" x14ac:dyDescent="0.3">
      <c r="A74" s="27"/>
      <c r="B74" s="28"/>
      <c r="C74" s="28"/>
      <c r="D74" s="27" t="s">
        <v>6</v>
      </c>
    </row>
    <row r="75" spans="1:4" x14ac:dyDescent="0.3">
      <c r="A75" s="27"/>
      <c r="B75" s="28"/>
      <c r="C75" s="28"/>
      <c r="D75" s="27" t="s">
        <v>6</v>
      </c>
    </row>
    <row r="76" spans="1:4" x14ac:dyDescent="0.3">
      <c r="A76" s="27"/>
      <c r="B76" s="28"/>
      <c r="C76" s="28"/>
      <c r="D76" s="27" t="s">
        <v>6</v>
      </c>
    </row>
    <row r="77" spans="1:4" x14ac:dyDescent="0.3">
      <c r="A77" s="27"/>
      <c r="B77" s="28"/>
      <c r="C77" s="28"/>
      <c r="D77" s="27" t="s">
        <v>6</v>
      </c>
    </row>
    <row r="78" spans="1:4" x14ac:dyDescent="0.3">
      <c r="A78" s="27"/>
      <c r="B78" s="28"/>
      <c r="C78" s="28"/>
      <c r="D78" s="27" t="s">
        <v>6</v>
      </c>
    </row>
    <row r="79" spans="1:4" x14ac:dyDescent="0.3">
      <c r="A79" s="27"/>
      <c r="B79" s="28"/>
      <c r="C79" s="28"/>
      <c r="D79" s="27" t="s">
        <v>6</v>
      </c>
    </row>
    <row r="80" spans="1:4" x14ac:dyDescent="0.3">
      <c r="A80" s="27"/>
      <c r="B80" s="28"/>
      <c r="C80" s="28"/>
      <c r="D80" s="27" t="s">
        <v>6</v>
      </c>
    </row>
    <row r="81" spans="1:4" x14ac:dyDescent="0.3">
      <c r="A81" s="27"/>
      <c r="B81" s="28"/>
      <c r="C81" s="28"/>
      <c r="D81" s="27" t="s">
        <v>6</v>
      </c>
    </row>
    <row r="82" spans="1:4" x14ac:dyDescent="0.3">
      <c r="A82" s="27"/>
      <c r="B82" s="28"/>
      <c r="C82" s="28"/>
      <c r="D82" s="27" t="s">
        <v>6</v>
      </c>
    </row>
    <row r="83" spans="1:4" x14ac:dyDescent="0.3">
      <c r="A83" s="27"/>
      <c r="B83" s="28"/>
      <c r="C83" s="28"/>
      <c r="D83" s="27"/>
    </row>
  </sheetData>
  <mergeCells count="1">
    <mergeCell ref="A1:D1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4"/>
  <sheetViews>
    <sheetView showGridLines="0" workbookViewId="0">
      <pane ySplit="4" topLeftCell="A5" activePane="bottomLeft" state="frozen"/>
      <selection pane="bottomLeft"/>
    </sheetView>
  </sheetViews>
  <sheetFormatPr baseColWidth="10" defaultColWidth="8.796875" defaultRowHeight="15.6" x14ac:dyDescent="0.3"/>
  <cols>
    <col min="1" max="1" width="8" customWidth="1"/>
    <col min="2" max="2" width="28" customWidth="1"/>
    <col min="3" max="3" width="12" customWidth="1"/>
    <col min="4" max="4" width="18" customWidth="1"/>
    <col min="5" max="5" width="42" customWidth="1"/>
  </cols>
  <sheetData>
    <row r="1" spans="1:5" ht="18" x14ac:dyDescent="0.35">
      <c r="A1" s="41" t="s">
        <v>26</v>
      </c>
      <c r="B1" s="42"/>
      <c r="C1" s="42"/>
      <c r="D1" s="42"/>
      <c r="E1" s="42"/>
    </row>
    <row r="4" spans="1:5" x14ac:dyDescent="0.3">
      <c r="A4" s="26" t="s">
        <v>27</v>
      </c>
      <c r="B4" s="26" t="s">
        <v>28</v>
      </c>
      <c r="C4" s="26" t="s">
        <v>4</v>
      </c>
      <c r="D4" s="26" t="s">
        <v>29</v>
      </c>
      <c r="E4" s="26" t="s">
        <v>30</v>
      </c>
    </row>
    <row r="5" spans="1:5" x14ac:dyDescent="0.3">
      <c r="A5">
        <v>1</v>
      </c>
      <c r="B5" t="s">
        <v>31</v>
      </c>
      <c r="C5" t="s">
        <v>6</v>
      </c>
      <c r="D5" s="29">
        <v>100</v>
      </c>
    </row>
    <row r="6" spans="1:5" x14ac:dyDescent="0.3">
      <c r="A6">
        <v>2</v>
      </c>
      <c r="B6" t="s">
        <v>32</v>
      </c>
      <c r="C6" t="s">
        <v>6</v>
      </c>
      <c r="D6" s="29">
        <v>0</v>
      </c>
    </row>
    <row r="7" spans="1:5" x14ac:dyDescent="0.3">
      <c r="A7">
        <v>3</v>
      </c>
      <c r="B7" t="s">
        <v>33</v>
      </c>
      <c r="C7" t="s">
        <v>6</v>
      </c>
      <c r="D7" s="29">
        <v>0</v>
      </c>
    </row>
    <row r="8" spans="1:5" x14ac:dyDescent="0.3">
      <c r="A8">
        <v>4</v>
      </c>
      <c r="B8" t="s">
        <v>34</v>
      </c>
      <c r="C8" t="s">
        <v>6</v>
      </c>
      <c r="D8" s="29">
        <v>0</v>
      </c>
    </row>
    <row r="9" spans="1:5" x14ac:dyDescent="0.3">
      <c r="A9">
        <v>5</v>
      </c>
      <c r="B9" t="s">
        <v>35</v>
      </c>
      <c r="C9" t="s">
        <v>6</v>
      </c>
      <c r="D9" s="29">
        <v>0</v>
      </c>
    </row>
    <row r="10" spans="1:5" x14ac:dyDescent="0.3">
      <c r="A10">
        <v>6</v>
      </c>
      <c r="B10" t="s">
        <v>36</v>
      </c>
      <c r="C10" t="s">
        <v>6</v>
      </c>
      <c r="D10" s="29">
        <v>0</v>
      </c>
    </row>
    <row r="11" spans="1:5" x14ac:dyDescent="0.3">
      <c r="A11">
        <v>7</v>
      </c>
      <c r="B11" t="s">
        <v>37</v>
      </c>
      <c r="C11" t="s">
        <v>6</v>
      </c>
      <c r="D11" s="29">
        <v>0</v>
      </c>
    </row>
    <row r="12" spans="1:5" x14ac:dyDescent="0.3">
      <c r="A12">
        <v>8</v>
      </c>
      <c r="B12" t="s">
        <v>38</v>
      </c>
      <c r="C12" t="s">
        <v>6</v>
      </c>
      <c r="D12" s="29">
        <v>0</v>
      </c>
    </row>
    <row r="13" spans="1:5" x14ac:dyDescent="0.3">
      <c r="A13">
        <v>9</v>
      </c>
      <c r="B13" t="s">
        <v>39</v>
      </c>
      <c r="C13" t="s">
        <v>6</v>
      </c>
      <c r="D13" s="29">
        <v>0</v>
      </c>
    </row>
    <row r="14" spans="1:5" x14ac:dyDescent="0.3">
      <c r="A14">
        <v>10</v>
      </c>
      <c r="B14" t="s">
        <v>40</v>
      </c>
      <c r="C14" t="s">
        <v>6</v>
      </c>
      <c r="D14" s="29">
        <v>0</v>
      </c>
    </row>
    <row r="15" spans="1:5" x14ac:dyDescent="0.3">
      <c r="A15">
        <v>11</v>
      </c>
      <c r="B15" t="s">
        <v>41</v>
      </c>
      <c r="C15" t="s">
        <v>6</v>
      </c>
      <c r="D15" s="29">
        <v>0</v>
      </c>
    </row>
    <row r="16" spans="1:5" x14ac:dyDescent="0.3">
      <c r="A16">
        <v>12</v>
      </c>
      <c r="B16" t="s">
        <v>42</v>
      </c>
      <c r="C16" t="s">
        <v>6</v>
      </c>
      <c r="D16" s="29">
        <v>0</v>
      </c>
    </row>
    <row r="17" spans="1:4" x14ac:dyDescent="0.3">
      <c r="A17">
        <v>13</v>
      </c>
      <c r="B17" t="s">
        <v>43</v>
      </c>
      <c r="C17" t="s">
        <v>6</v>
      </c>
      <c r="D17" s="29">
        <v>0</v>
      </c>
    </row>
    <row r="18" spans="1:4" x14ac:dyDescent="0.3">
      <c r="A18">
        <v>14</v>
      </c>
      <c r="C18" t="s">
        <v>6</v>
      </c>
      <c r="D18" s="29">
        <v>0</v>
      </c>
    </row>
    <row r="19" spans="1:4" x14ac:dyDescent="0.3">
      <c r="A19">
        <v>15</v>
      </c>
      <c r="C19" t="s">
        <v>6</v>
      </c>
      <c r="D19" s="29">
        <v>0</v>
      </c>
    </row>
    <row r="20" spans="1:4" x14ac:dyDescent="0.3">
      <c r="A20">
        <v>16</v>
      </c>
      <c r="C20" t="s">
        <v>6</v>
      </c>
      <c r="D20" s="29">
        <v>0</v>
      </c>
    </row>
    <row r="21" spans="1:4" x14ac:dyDescent="0.3">
      <c r="A21">
        <v>17</v>
      </c>
      <c r="C21" t="s">
        <v>6</v>
      </c>
      <c r="D21" s="29">
        <v>0</v>
      </c>
    </row>
    <row r="22" spans="1:4" x14ac:dyDescent="0.3">
      <c r="A22">
        <v>18</v>
      </c>
      <c r="C22" t="s">
        <v>6</v>
      </c>
      <c r="D22" s="29">
        <v>0</v>
      </c>
    </row>
    <row r="23" spans="1:4" x14ac:dyDescent="0.3">
      <c r="A23">
        <v>19</v>
      </c>
      <c r="C23" t="s">
        <v>6</v>
      </c>
      <c r="D23" s="29">
        <v>0</v>
      </c>
    </row>
    <row r="24" spans="1:4" x14ac:dyDescent="0.3">
      <c r="A24">
        <v>20</v>
      </c>
      <c r="C24" t="s">
        <v>6</v>
      </c>
      <c r="D24" s="29">
        <v>0</v>
      </c>
    </row>
    <row r="25" spans="1:4" x14ac:dyDescent="0.3">
      <c r="A25">
        <v>21</v>
      </c>
      <c r="C25" t="s">
        <v>6</v>
      </c>
      <c r="D25" s="29">
        <v>0</v>
      </c>
    </row>
    <row r="26" spans="1:4" x14ac:dyDescent="0.3">
      <c r="A26">
        <v>22</v>
      </c>
      <c r="C26" t="s">
        <v>6</v>
      </c>
      <c r="D26" s="29">
        <v>0</v>
      </c>
    </row>
    <row r="27" spans="1:4" x14ac:dyDescent="0.3">
      <c r="A27">
        <v>23</v>
      </c>
      <c r="C27" t="s">
        <v>6</v>
      </c>
      <c r="D27" s="29">
        <v>0</v>
      </c>
    </row>
    <row r="28" spans="1:4" x14ac:dyDescent="0.3">
      <c r="A28">
        <v>24</v>
      </c>
      <c r="C28" t="s">
        <v>6</v>
      </c>
      <c r="D28" s="29">
        <v>0</v>
      </c>
    </row>
    <row r="29" spans="1:4" x14ac:dyDescent="0.3">
      <c r="A29">
        <v>25</v>
      </c>
      <c r="C29" t="s">
        <v>6</v>
      </c>
      <c r="D29" s="29">
        <v>0</v>
      </c>
    </row>
    <row r="30" spans="1:4" x14ac:dyDescent="0.3">
      <c r="A30">
        <v>26</v>
      </c>
      <c r="C30" t="s">
        <v>6</v>
      </c>
      <c r="D30" s="29">
        <v>0</v>
      </c>
    </row>
    <row r="31" spans="1:4" x14ac:dyDescent="0.3">
      <c r="A31">
        <v>27</v>
      </c>
      <c r="C31" t="s">
        <v>6</v>
      </c>
      <c r="D31" s="29">
        <v>0</v>
      </c>
    </row>
    <row r="32" spans="1:4" x14ac:dyDescent="0.3">
      <c r="A32">
        <v>28</v>
      </c>
      <c r="C32" t="s">
        <v>6</v>
      </c>
      <c r="D32" s="29">
        <v>0</v>
      </c>
    </row>
    <row r="33" spans="1:4" x14ac:dyDescent="0.3">
      <c r="A33">
        <v>29</v>
      </c>
      <c r="C33" t="s">
        <v>6</v>
      </c>
      <c r="D33" s="29">
        <v>0</v>
      </c>
    </row>
    <row r="34" spans="1:4" x14ac:dyDescent="0.3">
      <c r="A34">
        <v>30</v>
      </c>
      <c r="C34" t="s">
        <v>6</v>
      </c>
      <c r="D34" s="29">
        <v>0</v>
      </c>
    </row>
    <row r="35" spans="1:4" x14ac:dyDescent="0.3">
      <c r="A35">
        <v>31</v>
      </c>
      <c r="C35" t="s">
        <v>6</v>
      </c>
      <c r="D35" s="29">
        <v>0</v>
      </c>
    </row>
    <row r="36" spans="1:4" x14ac:dyDescent="0.3">
      <c r="A36">
        <v>32</v>
      </c>
      <c r="C36" t="s">
        <v>6</v>
      </c>
      <c r="D36" s="29">
        <v>0</v>
      </c>
    </row>
    <row r="37" spans="1:4" x14ac:dyDescent="0.3">
      <c r="A37">
        <v>33</v>
      </c>
      <c r="C37" t="s">
        <v>6</v>
      </c>
      <c r="D37" s="29">
        <v>0</v>
      </c>
    </row>
    <row r="38" spans="1:4" x14ac:dyDescent="0.3">
      <c r="A38">
        <v>34</v>
      </c>
      <c r="C38" t="s">
        <v>6</v>
      </c>
      <c r="D38" s="29">
        <v>0</v>
      </c>
    </row>
    <row r="39" spans="1:4" x14ac:dyDescent="0.3">
      <c r="A39">
        <v>35</v>
      </c>
      <c r="C39" t="s">
        <v>6</v>
      </c>
      <c r="D39" s="29">
        <v>0</v>
      </c>
    </row>
    <row r="40" spans="1:4" x14ac:dyDescent="0.3">
      <c r="A40">
        <v>36</v>
      </c>
      <c r="C40" t="s">
        <v>6</v>
      </c>
      <c r="D40" s="29">
        <v>0</v>
      </c>
    </row>
    <row r="41" spans="1:4" x14ac:dyDescent="0.3">
      <c r="A41">
        <v>37</v>
      </c>
      <c r="C41" t="s">
        <v>6</v>
      </c>
      <c r="D41" s="29">
        <v>0</v>
      </c>
    </row>
    <row r="42" spans="1:4" x14ac:dyDescent="0.3">
      <c r="A42">
        <v>38</v>
      </c>
      <c r="C42" t="s">
        <v>6</v>
      </c>
      <c r="D42" s="29">
        <v>0</v>
      </c>
    </row>
    <row r="43" spans="1:4" x14ac:dyDescent="0.3">
      <c r="A43">
        <v>39</v>
      </c>
      <c r="C43" t="s">
        <v>6</v>
      </c>
      <c r="D43" s="29">
        <v>0</v>
      </c>
    </row>
    <row r="44" spans="1:4" x14ac:dyDescent="0.3">
      <c r="A44">
        <v>40</v>
      </c>
      <c r="C44" t="s">
        <v>6</v>
      </c>
      <c r="D44" s="29">
        <v>0</v>
      </c>
    </row>
    <row r="45" spans="1:4" x14ac:dyDescent="0.3">
      <c r="A45">
        <v>41</v>
      </c>
      <c r="C45" t="s">
        <v>6</v>
      </c>
      <c r="D45" s="29">
        <v>0</v>
      </c>
    </row>
    <row r="46" spans="1:4" x14ac:dyDescent="0.3">
      <c r="A46">
        <v>42</v>
      </c>
      <c r="C46" t="s">
        <v>6</v>
      </c>
      <c r="D46" s="29">
        <v>0</v>
      </c>
    </row>
    <row r="47" spans="1:4" x14ac:dyDescent="0.3">
      <c r="A47">
        <v>43</v>
      </c>
      <c r="C47" t="s">
        <v>6</v>
      </c>
      <c r="D47" s="29">
        <v>0</v>
      </c>
    </row>
    <row r="48" spans="1:4" x14ac:dyDescent="0.3">
      <c r="A48">
        <v>44</v>
      </c>
      <c r="C48" t="s">
        <v>6</v>
      </c>
      <c r="D48" s="29">
        <v>0</v>
      </c>
    </row>
    <row r="49" spans="1:4" x14ac:dyDescent="0.3">
      <c r="A49">
        <v>45</v>
      </c>
      <c r="C49" t="s">
        <v>6</v>
      </c>
      <c r="D49" s="29">
        <v>0</v>
      </c>
    </row>
    <row r="50" spans="1:4" x14ac:dyDescent="0.3">
      <c r="A50">
        <v>46</v>
      </c>
      <c r="C50" t="s">
        <v>6</v>
      </c>
      <c r="D50" s="29">
        <v>0</v>
      </c>
    </row>
    <row r="51" spans="1:4" x14ac:dyDescent="0.3">
      <c r="A51">
        <v>47</v>
      </c>
      <c r="C51" t="s">
        <v>6</v>
      </c>
      <c r="D51" s="29">
        <v>0</v>
      </c>
    </row>
    <row r="52" spans="1:4" x14ac:dyDescent="0.3">
      <c r="A52">
        <v>48</v>
      </c>
      <c r="C52" t="s">
        <v>6</v>
      </c>
      <c r="D52" s="29">
        <v>0</v>
      </c>
    </row>
    <row r="53" spans="1:4" x14ac:dyDescent="0.3">
      <c r="A53">
        <v>49</v>
      </c>
      <c r="C53" t="s">
        <v>6</v>
      </c>
      <c r="D53" s="29">
        <v>0</v>
      </c>
    </row>
    <row r="54" spans="1:4" x14ac:dyDescent="0.3">
      <c r="A54">
        <v>50</v>
      </c>
      <c r="C54" t="s">
        <v>6</v>
      </c>
      <c r="D54" s="29">
        <v>0</v>
      </c>
    </row>
    <row r="55" spans="1:4" x14ac:dyDescent="0.3">
      <c r="A55">
        <v>51</v>
      </c>
      <c r="C55" t="s">
        <v>6</v>
      </c>
      <c r="D55" s="29">
        <v>0</v>
      </c>
    </row>
    <row r="56" spans="1:4" x14ac:dyDescent="0.3">
      <c r="A56">
        <v>52</v>
      </c>
      <c r="C56" t="s">
        <v>6</v>
      </c>
      <c r="D56" s="29">
        <v>0</v>
      </c>
    </row>
    <row r="57" spans="1:4" x14ac:dyDescent="0.3">
      <c r="A57">
        <v>53</v>
      </c>
      <c r="C57" t="s">
        <v>6</v>
      </c>
      <c r="D57" s="29">
        <v>0</v>
      </c>
    </row>
    <row r="58" spans="1:4" x14ac:dyDescent="0.3">
      <c r="A58">
        <v>54</v>
      </c>
      <c r="C58" t="s">
        <v>6</v>
      </c>
      <c r="D58" s="29">
        <v>0</v>
      </c>
    </row>
    <row r="59" spans="1:4" x14ac:dyDescent="0.3">
      <c r="A59">
        <v>55</v>
      </c>
      <c r="C59" t="s">
        <v>6</v>
      </c>
      <c r="D59" s="29">
        <v>0</v>
      </c>
    </row>
    <row r="60" spans="1:4" x14ac:dyDescent="0.3">
      <c r="A60">
        <v>56</v>
      </c>
      <c r="C60" t="s">
        <v>6</v>
      </c>
      <c r="D60" s="29">
        <v>0</v>
      </c>
    </row>
    <row r="61" spans="1:4" x14ac:dyDescent="0.3">
      <c r="A61">
        <v>57</v>
      </c>
      <c r="C61" t="s">
        <v>6</v>
      </c>
      <c r="D61" s="29">
        <v>0</v>
      </c>
    </row>
    <row r="62" spans="1:4" x14ac:dyDescent="0.3">
      <c r="A62">
        <v>58</v>
      </c>
      <c r="C62" t="s">
        <v>6</v>
      </c>
      <c r="D62" s="29">
        <v>0</v>
      </c>
    </row>
    <row r="63" spans="1:4" x14ac:dyDescent="0.3">
      <c r="A63">
        <v>59</v>
      </c>
      <c r="C63" t="s">
        <v>6</v>
      </c>
      <c r="D63" s="29">
        <v>0</v>
      </c>
    </row>
    <row r="64" spans="1:4" x14ac:dyDescent="0.3">
      <c r="A64">
        <v>60</v>
      </c>
      <c r="C64" t="s">
        <v>6</v>
      </c>
      <c r="D64" s="29">
        <v>0</v>
      </c>
    </row>
    <row r="65" spans="1:4" x14ac:dyDescent="0.3">
      <c r="A65">
        <v>61</v>
      </c>
      <c r="C65" t="s">
        <v>6</v>
      </c>
      <c r="D65" s="29">
        <v>0</v>
      </c>
    </row>
    <row r="66" spans="1:4" x14ac:dyDescent="0.3">
      <c r="A66">
        <v>62</v>
      </c>
      <c r="C66" t="s">
        <v>6</v>
      </c>
      <c r="D66" s="29">
        <v>0</v>
      </c>
    </row>
    <row r="67" spans="1:4" x14ac:dyDescent="0.3">
      <c r="A67">
        <v>63</v>
      </c>
      <c r="C67" t="s">
        <v>6</v>
      </c>
      <c r="D67" s="29">
        <v>0</v>
      </c>
    </row>
    <row r="68" spans="1:4" x14ac:dyDescent="0.3">
      <c r="A68">
        <v>64</v>
      </c>
      <c r="C68" t="s">
        <v>6</v>
      </c>
      <c r="D68" s="29">
        <v>0</v>
      </c>
    </row>
    <row r="69" spans="1:4" x14ac:dyDescent="0.3">
      <c r="A69">
        <v>65</v>
      </c>
      <c r="C69" t="s">
        <v>6</v>
      </c>
      <c r="D69" s="29">
        <v>0</v>
      </c>
    </row>
    <row r="70" spans="1:4" x14ac:dyDescent="0.3">
      <c r="A70">
        <v>66</v>
      </c>
      <c r="C70" t="s">
        <v>6</v>
      </c>
      <c r="D70" s="29">
        <v>0</v>
      </c>
    </row>
    <row r="71" spans="1:4" x14ac:dyDescent="0.3">
      <c r="A71">
        <v>67</v>
      </c>
      <c r="C71" t="s">
        <v>6</v>
      </c>
      <c r="D71" s="29">
        <v>0</v>
      </c>
    </row>
    <row r="72" spans="1:4" x14ac:dyDescent="0.3">
      <c r="A72">
        <v>68</v>
      </c>
      <c r="C72" t="s">
        <v>6</v>
      </c>
      <c r="D72" s="29">
        <v>0</v>
      </c>
    </row>
    <row r="73" spans="1:4" x14ac:dyDescent="0.3">
      <c r="A73">
        <v>69</v>
      </c>
      <c r="C73" t="s">
        <v>6</v>
      </c>
      <c r="D73" s="29">
        <v>0</v>
      </c>
    </row>
    <row r="74" spans="1:4" x14ac:dyDescent="0.3">
      <c r="A74">
        <v>70</v>
      </c>
      <c r="C74" t="s">
        <v>6</v>
      </c>
      <c r="D74" s="29">
        <v>0</v>
      </c>
    </row>
    <row r="75" spans="1:4" x14ac:dyDescent="0.3">
      <c r="A75">
        <v>71</v>
      </c>
      <c r="C75" t="s">
        <v>6</v>
      </c>
      <c r="D75" s="29">
        <v>0</v>
      </c>
    </row>
    <row r="76" spans="1:4" x14ac:dyDescent="0.3">
      <c r="A76">
        <v>72</v>
      </c>
      <c r="C76" t="s">
        <v>6</v>
      </c>
      <c r="D76" s="29">
        <v>0</v>
      </c>
    </row>
    <row r="77" spans="1:4" x14ac:dyDescent="0.3">
      <c r="A77">
        <v>73</v>
      </c>
      <c r="C77" t="s">
        <v>6</v>
      </c>
      <c r="D77" s="29">
        <v>0</v>
      </c>
    </row>
    <row r="78" spans="1:4" x14ac:dyDescent="0.3">
      <c r="A78">
        <v>74</v>
      </c>
      <c r="C78" t="s">
        <v>6</v>
      </c>
      <c r="D78" s="29">
        <v>0</v>
      </c>
    </row>
    <row r="79" spans="1:4" x14ac:dyDescent="0.3">
      <c r="A79">
        <v>75</v>
      </c>
      <c r="C79" t="s">
        <v>6</v>
      </c>
      <c r="D79" s="29">
        <v>0</v>
      </c>
    </row>
    <row r="80" spans="1:4" x14ac:dyDescent="0.3">
      <c r="A80">
        <v>76</v>
      </c>
      <c r="C80" t="s">
        <v>6</v>
      </c>
      <c r="D80" s="29">
        <v>0</v>
      </c>
    </row>
    <row r="81" spans="1:4" x14ac:dyDescent="0.3">
      <c r="A81">
        <v>77</v>
      </c>
      <c r="C81" t="s">
        <v>6</v>
      </c>
      <c r="D81" s="29">
        <v>0</v>
      </c>
    </row>
    <row r="82" spans="1:4" x14ac:dyDescent="0.3">
      <c r="A82">
        <v>78</v>
      </c>
      <c r="C82" t="s">
        <v>6</v>
      </c>
      <c r="D82" s="29">
        <v>0</v>
      </c>
    </row>
    <row r="83" spans="1:4" x14ac:dyDescent="0.3">
      <c r="A83">
        <v>79</v>
      </c>
      <c r="C83" t="s">
        <v>6</v>
      </c>
      <c r="D83" s="29">
        <v>0</v>
      </c>
    </row>
    <row r="84" spans="1:4" x14ac:dyDescent="0.3">
      <c r="A84">
        <v>80</v>
      </c>
      <c r="C84" t="s">
        <v>6</v>
      </c>
      <c r="D84" s="29">
        <v>0</v>
      </c>
    </row>
    <row r="85" spans="1:4" x14ac:dyDescent="0.3">
      <c r="A85">
        <v>81</v>
      </c>
      <c r="C85" t="s">
        <v>6</v>
      </c>
      <c r="D85" s="29">
        <v>0</v>
      </c>
    </row>
    <row r="86" spans="1:4" x14ac:dyDescent="0.3">
      <c r="A86">
        <v>82</v>
      </c>
      <c r="C86" t="s">
        <v>6</v>
      </c>
      <c r="D86" s="29">
        <v>0</v>
      </c>
    </row>
    <row r="87" spans="1:4" x14ac:dyDescent="0.3">
      <c r="A87">
        <v>83</v>
      </c>
      <c r="C87" t="s">
        <v>6</v>
      </c>
      <c r="D87" s="29">
        <v>0</v>
      </c>
    </row>
    <row r="88" spans="1:4" x14ac:dyDescent="0.3">
      <c r="A88">
        <v>84</v>
      </c>
      <c r="C88" t="s">
        <v>6</v>
      </c>
      <c r="D88" s="29">
        <v>0</v>
      </c>
    </row>
    <row r="89" spans="1:4" x14ac:dyDescent="0.3">
      <c r="A89">
        <v>85</v>
      </c>
      <c r="C89" t="s">
        <v>6</v>
      </c>
      <c r="D89" s="29">
        <v>0</v>
      </c>
    </row>
    <row r="90" spans="1:4" x14ac:dyDescent="0.3">
      <c r="A90">
        <v>86</v>
      </c>
      <c r="C90" t="s">
        <v>6</v>
      </c>
      <c r="D90" s="29">
        <v>0</v>
      </c>
    </row>
    <row r="91" spans="1:4" x14ac:dyDescent="0.3">
      <c r="A91">
        <v>87</v>
      </c>
      <c r="C91" t="s">
        <v>6</v>
      </c>
      <c r="D91" s="29">
        <v>0</v>
      </c>
    </row>
    <row r="92" spans="1:4" x14ac:dyDescent="0.3">
      <c r="A92">
        <v>88</v>
      </c>
      <c r="C92" t="s">
        <v>6</v>
      </c>
      <c r="D92" s="29">
        <v>0</v>
      </c>
    </row>
    <row r="93" spans="1:4" x14ac:dyDescent="0.3">
      <c r="A93">
        <v>89</v>
      </c>
      <c r="C93" t="s">
        <v>6</v>
      </c>
      <c r="D93" s="29">
        <v>0</v>
      </c>
    </row>
    <row r="94" spans="1:4" x14ac:dyDescent="0.3">
      <c r="A94">
        <v>90</v>
      </c>
      <c r="C94" t="s">
        <v>6</v>
      </c>
      <c r="D94" s="29">
        <v>0</v>
      </c>
    </row>
    <row r="95" spans="1:4" x14ac:dyDescent="0.3">
      <c r="A95">
        <v>91</v>
      </c>
      <c r="C95" t="s">
        <v>6</v>
      </c>
      <c r="D95" s="29">
        <v>0</v>
      </c>
    </row>
    <row r="96" spans="1:4" x14ac:dyDescent="0.3">
      <c r="A96">
        <v>92</v>
      </c>
      <c r="C96" t="s">
        <v>6</v>
      </c>
      <c r="D96" s="29">
        <v>0</v>
      </c>
    </row>
    <row r="97" spans="1:4" x14ac:dyDescent="0.3">
      <c r="A97">
        <v>93</v>
      </c>
      <c r="C97" t="s">
        <v>6</v>
      </c>
      <c r="D97" s="29">
        <v>0</v>
      </c>
    </row>
    <row r="98" spans="1:4" x14ac:dyDescent="0.3">
      <c r="A98">
        <v>94</v>
      </c>
      <c r="C98" t="s">
        <v>6</v>
      </c>
      <c r="D98" s="29">
        <v>0</v>
      </c>
    </row>
    <row r="99" spans="1:4" x14ac:dyDescent="0.3">
      <c r="A99">
        <v>95</v>
      </c>
      <c r="C99" t="s">
        <v>6</v>
      </c>
      <c r="D99" s="29">
        <v>0</v>
      </c>
    </row>
    <row r="100" spans="1:4" x14ac:dyDescent="0.3">
      <c r="A100">
        <v>96</v>
      </c>
      <c r="C100" t="s">
        <v>6</v>
      </c>
      <c r="D100" s="29">
        <v>0</v>
      </c>
    </row>
    <row r="101" spans="1:4" x14ac:dyDescent="0.3">
      <c r="A101">
        <v>97</v>
      </c>
      <c r="C101" t="s">
        <v>6</v>
      </c>
      <c r="D101" s="29">
        <v>0</v>
      </c>
    </row>
    <row r="102" spans="1:4" x14ac:dyDescent="0.3">
      <c r="A102">
        <v>98</v>
      </c>
      <c r="C102" t="s">
        <v>6</v>
      </c>
      <c r="D102" s="29">
        <v>0</v>
      </c>
    </row>
    <row r="103" spans="1:4" x14ac:dyDescent="0.3">
      <c r="A103">
        <v>99</v>
      </c>
      <c r="C103" t="s">
        <v>6</v>
      </c>
      <c r="D103" s="29">
        <v>0</v>
      </c>
    </row>
    <row r="104" spans="1:4" x14ac:dyDescent="0.3">
      <c r="A104">
        <v>100</v>
      </c>
      <c r="C104" t="s">
        <v>6</v>
      </c>
      <c r="D104" s="29">
        <v>0</v>
      </c>
    </row>
    <row r="105" spans="1:4" x14ac:dyDescent="0.3">
      <c r="A105">
        <v>101</v>
      </c>
      <c r="C105" t="s">
        <v>6</v>
      </c>
      <c r="D105" s="29">
        <v>0</v>
      </c>
    </row>
    <row r="106" spans="1:4" x14ac:dyDescent="0.3">
      <c r="A106">
        <v>102</v>
      </c>
      <c r="C106" t="s">
        <v>6</v>
      </c>
      <c r="D106" s="29">
        <v>0</v>
      </c>
    </row>
    <row r="107" spans="1:4" x14ac:dyDescent="0.3">
      <c r="A107">
        <v>103</v>
      </c>
      <c r="C107" t="s">
        <v>6</v>
      </c>
      <c r="D107" s="29">
        <v>0</v>
      </c>
    </row>
    <row r="108" spans="1:4" x14ac:dyDescent="0.3">
      <c r="A108">
        <v>104</v>
      </c>
      <c r="C108" t="s">
        <v>6</v>
      </c>
      <c r="D108" s="29">
        <v>0</v>
      </c>
    </row>
    <row r="109" spans="1:4" x14ac:dyDescent="0.3">
      <c r="A109">
        <v>105</v>
      </c>
      <c r="C109" t="s">
        <v>6</v>
      </c>
      <c r="D109" s="29">
        <v>0</v>
      </c>
    </row>
    <row r="110" spans="1:4" x14ac:dyDescent="0.3">
      <c r="A110">
        <v>106</v>
      </c>
      <c r="C110" t="s">
        <v>6</v>
      </c>
      <c r="D110" s="29">
        <v>0</v>
      </c>
    </row>
    <row r="111" spans="1:4" x14ac:dyDescent="0.3">
      <c r="A111">
        <v>107</v>
      </c>
      <c r="C111" t="s">
        <v>6</v>
      </c>
      <c r="D111" s="29">
        <v>0</v>
      </c>
    </row>
    <row r="112" spans="1:4" x14ac:dyDescent="0.3">
      <c r="A112">
        <v>108</v>
      </c>
      <c r="C112" t="s">
        <v>6</v>
      </c>
      <c r="D112" s="29">
        <v>0</v>
      </c>
    </row>
    <row r="113" spans="1:4" x14ac:dyDescent="0.3">
      <c r="A113">
        <v>109</v>
      </c>
      <c r="C113" t="s">
        <v>6</v>
      </c>
      <c r="D113" s="29">
        <v>0</v>
      </c>
    </row>
    <row r="114" spans="1:4" x14ac:dyDescent="0.3">
      <c r="A114">
        <v>110</v>
      </c>
      <c r="C114" t="s">
        <v>6</v>
      </c>
      <c r="D114" s="29">
        <v>0</v>
      </c>
    </row>
    <row r="115" spans="1:4" x14ac:dyDescent="0.3">
      <c r="A115">
        <v>111</v>
      </c>
      <c r="C115" t="s">
        <v>6</v>
      </c>
      <c r="D115" s="29">
        <v>0</v>
      </c>
    </row>
    <row r="116" spans="1:4" x14ac:dyDescent="0.3">
      <c r="A116">
        <v>112</v>
      </c>
      <c r="C116" t="s">
        <v>6</v>
      </c>
      <c r="D116" s="29">
        <v>0</v>
      </c>
    </row>
    <row r="117" spans="1:4" x14ac:dyDescent="0.3">
      <c r="A117">
        <v>113</v>
      </c>
      <c r="C117" t="s">
        <v>6</v>
      </c>
      <c r="D117" s="29">
        <v>0</v>
      </c>
    </row>
    <row r="118" spans="1:4" x14ac:dyDescent="0.3">
      <c r="A118">
        <v>114</v>
      </c>
      <c r="C118" t="s">
        <v>6</v>
      </c>
      <c r="D118" s="29">
        <v>0</v>
      </c>
    </row>
    <row r="119" spans="1:4" x14ac:dyDescent="0.3">
      <c r="A119">
        <v>115</v>
      </c>
      <c r="C119" t="s">
        <v>6</v>
      </c>
      <c r="D119" s="29">
        <v>0</v>
      </c>
    </row>
    <row r="120" spans="1:4" x14ac:dyDescent="0.3">
      <c r="A120">
        <v>116</v>
      </c>
      <c r="C120" t="s">
        <v>6</v>
      </c>
      <c r="D120" s="29">
        <v>0</v>
      </c>
    </row>
    <row r="121" spans="1:4" x14ac:dyDescent="0.3">
      <c r="A121">
        <v>117</v>
      </c>
      <c r="C121" t="s">
        <v>6</v>
      </c>
      <c r="D121" s="29">
        <v>0</v>
      </c>
    </row>
    <row r="122" spans="1:4" x14ac:dyDescent="0.3">
      <c r="A122">
        <v>118</v>
      </c>
      <c r="C122" t="s">
        <v>6</v>
      </c>
      <c r="D122" s="29">
        <v>0</v>
      </c>
    </row>
    <row r="123" spans="1:4" x14ac:dyDescent="0.3">
      <c r="A123">
        <v>119</v>
      </c>
      <c r="C123" t="s">
        <v>6</v>
      </c>
      <c r="D123" s="29">
        <v>0</v>
      </c>
    </row>
    <row r="124" spans="1:4" x14ac:dyDescent="0.3">
      <c r="A124">
        <v>120</v>
      </c>
      <c r="C124" t="s">
        <v>6</v>
      </c>
      <c r="D124" s="29">
        <v>0</v>
      </c>
    </row>
    <row r="125" spans="1:4" x14ac:dyDescent="0.3">
      <c r="A125">
        <v>121</v>
      </c>
      <c r="C125" t="s">
        <v>6</v>
      </c>
      <c r="D125" s="29">
        <v>0</v>
      </c>
    </row>
    <row r="126" spans="1:4" x14ac:dyDescent="0.3">
      <c r="A126">
        <v>122</v>
      </c>
      <c r="C126" t="s">
        <v>6</v>
      </c>
      <c r="D126" s="29">
        <v>0</v>
      </c>
    </row>
    <row r="127" spans="1:4" x14ac:dyDescent="0.3">
      <c r="A127">
        <v>123</v>
      </c>
      <c r="C127" t="s">
        <v>6</v>
      </c>
      <c r="D127" s="29">
        <v>0</v>
      </c>
    </row>
    <row r="128" spans="1:4" x14ac:dyDescent="0.3">
      <c r="A128">
        <v>124</v>
      </c>
      <c r="C128" t="s">
        <v>6</v>
      </c>
      <c r="D128" s="29">
        <v>0</v>
      </c>
    </row>
    <row r="129" spans="1:4" x14ac:dyDescent="0.3">
      <c r="A129">
        <v>125</v>
      </c>
      <c r="C129" t="s">
        <v>6</v>
      </c>
      <c r="D129" s="29">
        <v>0</v>
      </c>
    </row>
    <row r="130" spans="1:4" x14ac:dyDescent="0.3">
      <c r="A130">
        <v>126</v>
      </c>
      <c r="C130" t="s">
        <v>6</v>
      </c>
      <c r="D130" s="29">
        <v>0</v>
      </c>
    </row>
    <row r="131" spans="1:4" x14ac:dyDescent="0.3">
      <c r="A131">
        <v>127</v>
      </c>
      <c r="C131" t="s">
        <v>6</v>
      </c>
      <c r="D131" s="29">
        <v>0</v>
      </c>
    </row>
    <row r="132" spans="1:4" x14ac:dyDescent="0.3">
      <c r="A132">
        <v>128</v>
      </c>
      <c r="C132" t="s">
        <v>6</v>
      </c>
      <c r="D132" s="29">
        <v>0</v>
      </c>
    </row>
    <row r="133" spans="1:4" x14ac:dyDescent="0.3">
      <c r="A133">
        <v>129</v>
      </c>
      <c r="C133" t="s">
        <v>6</v>
      </c>
      <c r="D133" s="29">
        <v>0</v>
      </c>
    </row>
    <row r="134" spans="1:4" x14ac:dyDescent="0.3">
      <c r="A134">
        <v>130</v>
      </c>
      <c r="C134" t="s">
        <v>6</v>
      </c>
      <c r="D134" s="29">
        <v>0</v>
      </c>
    </row>
    <row r="135" spans="1:4" x14ac:dyDescent="0.3">
      <c r="A135">
        <v>131</v>
      </c>
      <c r="C135" t="s">
        <v>6</v>
      </c>
      <c r="D135" s="29">
        <v>0</v>
      </c>
    </row>
    <row r="136" spans="1:4" x14ac:dyDescent="0.3">
      <c r="A136">
        <v>132</v>
      </c>
      <c r="C136" t="s">
        <v>6</v>
      </c>
      <c r="D136" s="29">
        <v>0</v>
      </c>
    </row>
    <row r="137" spans="1:4" x14ac:dyDescent="0.3">
      <c r="A137">
        <v>133</v>
      </c>
      <c r="C137" t="s">
        <v>6</v>
      </c>
      <c r="D137" s="29">
        <v>0</v>
      </c>
    </row>
    <row r="138" spans="1:4" x14ac:dyDescent="0.3">
      <c r="A138">
        <v>134</v>
      </c>
      <c r="C138" t="s">
        <v>6</v>
      </c>
      <c r="D138" s="29">
        <v>0</v>
      </c>
    </row>
    <row r="139" spans="1:4" x14ac:dyDescent="0.3">
      <c r="A139">
        <v>135</v>
      </c>
      <c r="C139" t="s">
        <v>6</v>
      </c>
      <c r="D139" s="29">
        <v>0</v>
      </c>
    </row>
    <row r="140" spans="1:4" x14ac:dyDescent="0.3">
      <c r="A140">
        <v>136</v>
      </c>
      <c r="C140" t="s">
        <v>6</v>
      </c>
      <c r="D140" s="29">
        <v>0</v>
      </c>
    </row>
    <row r="141" spans="1:4" x14ac:dyDescent="0.3">
      <c r="A141">
        <v>137</v>
      </c>
      <c r="C141" t="s">
        <v>6</v>
      </c>
      <c r="D141" s="29">
        <v>0</v>
      </c>
    </row>
    <row r="142" spans="1:4" x14ac:dyDescent="0.3">
      <c r="A142">
        <v>138</v>
      </c>
      <c r="C142" t="s">
        <v>6</v>
      </c>
      <c r="D142" s="29">
        <v>0</v>
      </c>
    </row>
    <row r="143" spans="1:4" x14ac:dyDescent="0.3">
      <c r="A143">
        <v>139</v>
      </c>
      <c r="C143" t="s">
        <v>6</v>
      </c>
      <c r="D143" s="29">
        <v>0</v>
      </c>
    </row>
    <row r="144" spans="1:4" x14ac:dyDescent="0.3">
      <c r="A144">
        <v>140</v>
      </c>
      <c r="C144" t="s">
        <v>6</v>
      </c>
      <c r="D144" s="29">
        <v>0</v>
      </c>
    </row>
    <row r="145" spans="1:4" x14ac:dyDescent="0.3">
      <c r="A145">
        <v>141</v>
      </c>
      <c r="C145" t="s">
        <v>6</v>
      </c>
      <c r="D145" s="29">
        <v>0</v>
      </c>
    </row>
    <row r="146" spans="1:4" x14ac:dyDescent="0.3">
      <c r="A146">
        <v>142</v>
      </c>
      <c r="C146" t="s">
        <v>6</v>
      </c>
      <c r="D146" s="29">
        <v>0</v>
      </c>
    </row>
    <row r="147" spans="1:4" x14ac:dyDescent="0.3">
      <c r="A147">
        <v>143</v>
      </c>
      <c r="C147" t="s">
        <v>6</v>
      </c>
      <c r="D147" s="29">
        <v>0</v>
      </c>
    </row>
    <row r="148" spans="1:4" x14ac:dyDescent="0.3">
      <c r="A148">
        <v>144</v>
      </c>
      <c r="C148" t="s">
        <v>6</v>
      </c>
      <c r="D148" s="29">
        <v>0</v>
      </c>
    </row>
    <row r="149" spans="1:4" x14ac:dyDescent="0.3">
      <c r="A149">
        <v>145</v>
      </c>
      <c r="C149" t="s">
        <v>6</v>
      </c>
      <c r="D149" s="29">
        <v>0</v>
      </c>
    </row>
    <row r="150" spans="1:4" x14ac:dyDescent="0.3">
      <c r="A150">
        <v>146</v>
      </c>
      <c r="C150" t="s">
        <v>6</v>
      </c>
      <c r="D150" s="29">
        <v>0</v>
      </c>
    </row>
    <row r="151" spans="1:4" x14ac:dyDescent="0.3">
      <c r="A151">
        <v>147</v>
      </c>
      <c r="C151" t="s">
        <v>6</v>
      </c>
      <c r="D151" s="29">
        <v>0</v>
      </c>
    </row>
    <row r="152" spans="1:4" x14ac:dyDescent="0.3">
      <c r="A152">
        <v>148</v>
      </c>
      <c r="C152" t="s">
        <v>6</v>
      </c>
      <c r="D152" s="29">
        <v>0</v>
      </c>
    </row>
    <row r="153" spans="1:4" x14ac:dyDescent="0.3">
      <c r="A153">
        <v>149</v>
      </c>
      <c r="C153" t="s">
        <v>6</v>
      </c>
      <c r="D153" s="29">
        <v>0</v>
      </c>
    </row>
    <row r="154" spans="1:4" x14ac:dyDescent="0.3">
      <c r="A154">
        <v>150</v>
      </c>
      <c r="C154" t="s">
        <v>6</v>
      </c>
      <c r="D154" s="29">
        <v>0</v>
      </c>
    </row>
    <row r="155" spans="1:4" x14ac:dyDescent="0.3">
      <c r="A155">
        <v>151</v>
      </c>
      <c r="C155" t="s">
        <v>6</v>
      </c>
      <c r="D155" s="29">
        <v>0</v>
      </c>
    </row>
    <row r="156" spans="1:4" x14ac:dyDescent="0.3">
      <c r="A156">
        <v>152</v>
      </c>
      <c r="C156" t="s">
        <v>6</v>
      </c>
      <c r="D156" s="29">
        <v>0</v>
      </c>
    </row>
    <row r="157" spans="1:4" x14ac:dyDescent="0.3">
      <c r="A157">
        <v>153</v>
      </c>
      <c r="C157" t="s">
        <v>6</v>
      </c>
      <c r="D157" s="29">
        <v>0</v>
      </c>
    </row>
    <row r="158" spans="1:4" x14ac:dyDescent="0.3">
      <c r="A158">
        <v>154</v>
      </c>
      <c r="C158" t="s">
        <v>6</v>
      </c>
      <c r="D158" s="29">
        <v>0</v>
      </c>
    </row>
    <row r="159" spans="1:4" x14ac:dyDescent="0.3">
      <c r="A159">
        <v>155</v>
      </c>
      <c r="C159" t="s">
        <v>6</v>
      </c>
      <c r="D159" s="29">
        <v>0</v>
      </c>
    </row>
    <row r="160" spans="1:4" x14ac:dyDescent="0.3">
      <c r="A160">
        <v>156</v>
      </c>
      <c r="C160" t="s">
        <v>6</v>
      </c>
      <c r="D160" s="29">
        <v>0</v>
      </c>
    </row>
    <row r="161" spans="1:4" x14ac:dyDescent="0.3">
      <c r="A161">
        <v>157</v>
      </c>
      <c r="C161" t="s">
        <v>6</v>
      </c>
      <c r="D161" s="29">
        <v>0</v>
      </c>
    </row>
    <row r="162" spans="1:4" x14ac:dyDescent="0.3">
      <c r="A162">
        <v>158</v>
      </c>
      <c r="C162" t="s">
        <v>6</v>
      </c>
      <c r="D162" s="29">
        <v>0</v>
      </c>
    </row>
    <row r="163" spans="1:4" x14ac:dyDescent="0.3">
      <c r="A163">
        <v>159</v>
      </c>
      <c r="C163" t="s">
        <v>6</v>
      </c>
      <c r="D163" s="29">
        <v>0</v>
      </c>
    </row>
    <row r="164" spans="1:4" x14ac:dyDescent="0.3">
      <c r="A164">
        <v>160</v>
      </c>
      <c r="C164" t="s">
        <v>6</v>
      </c>
      <c r="D164" s="29">
        <v>0</v>
      </c>
    </row>
    <row r="165" spans="1:4" x14ac:dyDescent="0.3">
      <c r="A165">
        <v>161</v>
      </c>
      <c r="C165" t="s">
        <v>6</v>
      </c>
      <c r="D165" s="29">
        <v>0</v>
      </c>
    </row>
    <row r="166" spans="1:4" x14ac:dyDescent="0.3">
      <c r="A166">
        <v>162</v>
      </c>
      <c r="C166" t="s">
        <v>6</v>
      </c>
      <c r="D166" s="29">
        <v>0</v>
      </c>
    </row>
    <row r="167" spans="1:4" x14ac:dyDescent="0.3">
      <c r="A167">
        <v>163</v>
      </c>
      <c r="C167" t="s">
        <v>6</v>
      </c>
      <c r="D167" s="29">
        <v>0</v>
      </c>
    </row>
    <row r="168" spans="1:4" x14ac:dyDescent="0.3">
      <c r="A168">
        <v>164</v>
      </c>
      <c r="C168" t="s">
        <v>6</v>
      </c>
      <c r="D168" s="29">
        <v>0</v>
      </c>
    </row>
    <row r="169" spans="1:4" x14ac:dyDescent="0.3">
      <c r="A169">
        <v>165</v>
      </c>
      <c r="C169" t="s">
        <v>6</v>
      </c>
      <c r="D169" s="29">
        <v>0</v>
      </c>
    </row>
    <row r="170" spans="1:4" x14ac:dyDescent="0.3">
      <c r="A170">
        <v>166</v>
      </c>
      <c r="C170" t="s">
        <v>6</v>
      </c>
      <c r="D170" s="29">
        <v>0</v>
      </c>
    </row>
    <row r="171" spans="1:4" x14ac:dyDescent="0.3">
      <c r="A171">
        <v>167</v>
      </c>
      <c r="C171" t="s">
        <v>6</v>
      </c>
      <c r="D171" s="29">
        <v>0</v>
      </c>
    </row>
    <row r="172" spans="1:4" x14ac:dyDescent="0.3">
      <c r="A172">
        <v>168</v>
      </c>
      <c r="C172" t="s">
        <v>6</v>
      </c>
      <c r="D172" s="29">
        <v>0</v>
      </c>
    </row>
    <row r="173" spans="1:4" x14ac:dyDescent="0.3">
      <c r="A173">
        <v>169</v>
      </c>
      <c r="C173" t="s">
        <v>6</v>
      </c>
      <c r="D173" s="29">
        <v>0</v>
      </c>
    </row>
    <row r="174" spans="1:4" x14ac:dyDescent="0.3">
      <c r="A174">
        <v>170</v>
      </c>
      <c r="C174" t="s">
        <v>6</v>
      </c>
      <c r="D174" s="29">
        <v>0</v>
      </c>
    </row>
    <row r="175" spans="1:4" x14ac:dyDescent="0.3">
      <c r="A175">
        <v>171</v>
      </c>
      <c r="C175" t="s">
        <v>6</v>
      </c>
      <c r="D175" s="29">
        <v>0</v>
      </c>
    </row>
    <row r="176" spans="1:4" x14ac:dyDescent="0.3">
      <c r="A176">
        <v>172</v>
      </c>
      <c r="C176" t="s">
        <v>6</v>
      </c>
      <c r="D176" s="29">
        <v>0</v>
      </c>
    </row>
    <row r="177" spans="1:4" x14ac:dyDescent="0.3">
      <c r="A177">
        <v>173</v>
      </c>
      <c r="C177" t="s">
        <v>6</v>
      </c>
      <c r="D177" s="29">
        <v>0</v>
      </c>
    </row>
    <row r="178" spans="1:4" x14ac:dyDescent="0.3">
      <c r="A178">
        <v>174</v>
      </c>
      <c r="C178" t="s">
        <v>6</v>
      </c>
      <c r="D178" s="29">
        <v>0</v>
      </c>
    </row>
    <row r="179" spans="1:4" x14ac:dyDescent="0.3">
      <c r="A179">
        <v>175</v>
      </c>
      <c r="C179" t="s">
        <v>6</v>
      </c>
      <c r="D179" s="29">
        <v>0</v>
      </c>
    </row>
    <row r="180" spans="1:4" x14ac:dyDescent="0.3">
      <c r="A180">
        <v>176</v>
      </c>
      <c r="C180" t="s">
        <v>6</v>
      </c>
      <c r="D180" s="29">
        <v>0</v>
      </c>
    </row>
    <row r="181" spans="1:4" x14ac:dyDescent="0.3">
      <c r="A181">
        <v>177</v>
      </c>
      <c r="C181" t="s">
        <v>6</v>
      </c>
      <c r="D181" s="29">
        <v>0</v>
      </c>
    </row>
    <row r="182" spans="1:4" x14ac:dyDescent="0.3">
      <c r="A182">
        <v>178</v>
      </c>
      <c r="C182" t="s">
        <v>6</v>
      </c>
      <c r="D182" s="29">
        <v>0</v>
      </c>
    </row>
    <row r="183" spans="1:4" x14ac:dyDescent="0.3">
      <c r="A183">
        <v>179</v>
      </c>
      <c r="C183" t="s">
        <v>6</v>
      </c>
      <c r="D183" s="29">
        <v>0</v>
      </c>
    </row>
    <row r="184" spans="1:4" x14ac:dyDescent="0.3">
      <c r="A184">
        <v>180</v>
      </c>
      <c r="C184" t="s">
        <v>6</v>
      </c>
      <c r="D184" s="29">
        <v>0</v>
      </c>
    </row>
    <row r="185" spans="1:4" x14ac:dyDescent="0.3">
      <c r="A185">
        <v>181</v>
      </c>
      <c r="C185" t="s">
        <v>6</v>
      </c>
      <c r="D185" s="29">
        <v>0</v>
      </c>
    </row>
    <row r="186" spans="1:4" x14ac:dyDescent="0.3">
      <c r="A186">
        <v>182</v>
      </c>
      <c r="C186" t="s">
        <v>6</v>
      </c>
      <c r="D186" s="29">
        <v>0</v>
      </c>
    </row>
    <row r="187" spans="1:4" x14ac:dyDescent="0.3">
      <c r="A187">
        <v>183</v>
      </c>
      <c r="C187" t="s">
        <v>6</v>
      </c>
      <c r="D187" s="29">
        <v>0</v>
      </c>
    </row>
    <row r="188" spans="1:4" x14ac:dyDescent="0.3">
      <c r="A188">
        <v>184</v>
      </c>
      <c r="C188" t="s">
        <v>6</v>
      </c>
      <c r="D188" s="29">
        <v>0</v>
      </c>
    </row>
    <row r="189" spans="1:4" x14ac:dyDescent="0.3">
      <c r="A189">
        <v>185</v>
      </c>
      <c r="C189" t="s">
        <v>6</v>
      </c>
      <c r="D189" s="29">
        <v>0</v>
      </c>
    </row>
    <row r="190" spans="1:4" x14ac:dyDescent="0.3">
      <c r="A190">
        <v>186</v>
      </c>
      <c r="C190" t="s">
        <v>6</v>
      </c>
      <c r="D190" s="29">
        <v>0</v>
      </c>
    </row>
    <row r="191" spans="1:4" x14ac:dyDescent="0.3">
      <c r="A191">
        <v>187</v>
      </c>
      <c r="C191" t="s">
        <v>6</v>
      </c>
      <c r="D191" s="29">
        <v>0</v>
      </c>
    </row>
    <row r="192" spans="1:4" x14ac:dyDescent="0.3">
      <c r="A192">
        <v>188</v>
      </c>
      <c r="C192" t="s">
        <v>6</v>
      </c>
      <c r="D192" s="29">
        <v>0</v>
      </c>
    </row>
    <row r="193" spans="1:4" x14ac:dyDescent="0.3">
      <c r="A193">
        <v>189</v>
      </c>
      <c r="C193" t="s">
        <v>6</v>
      </c>
      <c r="D193" s="29">
        <v>0</v>
      </c>
    </row>
    <row r="194" spans="1:4" x14ac:dyDescent="0.3">
      <c r="A194">
        <v>190</v>
      </c>
      <c r="C194" t="s">
        <v>6</v>
      </c>
      <c r="D194" s="29">
        <v>0</v>
      </c>
    </row>
    <row r="195" spans="1:4" x14ac:dyDescent="0.3">
      <c r="A195">
        <v>191</v>
      </c>
      <c r="C195" t="s">
        <v>6</v>
      </c>
      <c r="D195" s="29">
        <v>0</v>
      </c>
    </row>
    <row r="196" spans="1:4" x14ac:dyDescent="0.3">
      <c r="A196">
        <v>192</v>
      </c>
      <c r="C196" t="s">
        <v>6</v>
      </c>
      <c r="D196" s="29">
        <v>0</v>
      </c>
    </row>
    <row r="197" spans="1:4" x14ac:dyDescent="0.3">
      <c r="A197">
        <v>193</v>
      </c>
      <c r="C197" t="s">
        <v>6</v>
      </c>
      <c r="D197" s="29">
        <v>0</v>
      </c>
    </row>
    <row r="198" spans="1:4" x14ac:dyDescent="0.3">
      <c r="A198">
        <v>194</v>
      </c>
      <c r="C198" t="s">
        <v>6</v>
      </c>
      <c r="D198" s="29">
        <v>0</v>
      </c>
    </row>
    <row r="199" spans="1:4" x14ac:dyDescent="0.3">
      <c r="A199">
        <v>195</v>
      </c>
      <c r="C199" t="s">
        <v>6</v>
      </c>
      <c r="D199" s="29">
        <v>0</v>
      </c>
    </row>
    <row r="200" spans="1:4" x14ac:dyDescent="0.3">
      <c r="A200">
        <v>196</v>
      </c>
      <c r="C200" t="s">
        <v>6</v>
      </c>
      <c r="D200" s="29">
        <v>0</v>
      </c>
    </row>
    <row r="201" spans="1:4" x14ac:dyDescent="0.3">
      <c r="A201">
        <v>197</v>
      </c>
      <c r="C201" t="s">
        <v>6</v>
      </c>
      <c r="D201" s="29">
        <v>0</v>
      </c>
    </row>
    <row r="202" spans="1:4" x14ac:dyDescent="0.3">
      <c r="A202">
        <v>198</v>
      </c>
      <c r="C202" t="s">
        <v>6</v>
      </c>
      <c r="D202" s="29">
        <v>0</v>
      </c>
    </row>
    <row r="203" spans="1:4" x14ac:dyDescent="0.3">
      <c r="A203">
        <v>199</v>
      </c>
      <c r="C203" t="s">
        <v>6</v>
      </c>
      <c r="D203" s="29">
        <v>0</v>
      </c>
    </row>
    <row r="204" spans="1:4" x14ac:dyDescent="0.3">
      <c r="A204">
        <v>200</v>
      </c>
      <c r="C204" t="s">
        <v>6</v>
      </c>
      <c r="D204" s="29">
        <v>0</v>
      </c>
    </row>
  </sheetData>
  <mergeCells count="1">
    <mergeCell ref="A1:E1"/>
  </mergeCells>
  <dataValidations count="1">
    <dataValidation type="list" sqref="C5:C204" xr:uid="{00000000-0002-0000-0200-000000000000}">
      <formula1>"Si,No"</formula1>
    </dataValidation>
  </dataValidation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504"/>
  <sheetViews>
    <sheetView showGridLines="0" workbookViewId="0">
      <pane ySplit="4" topLeftCell="A5" activePane="bottomLeft" state="frozen"/>
      <selection pane="bottomLeft"/>
    </sheetView>
  </sheetViews>
  <sheetFormatPr baseColWidth="10" defaultColWidth="8.796875" defaultRowHeight="15.6" x14ac:dyDescent="0.3"/>
  <cols>
    <col min="1" max="1" width="13" customWidth="1"/>
    <col min="2" max="2" width="14" customWidth="1"/>
    <col min="3" max="4" width="18" customWidth="1"/>
    <col min="5" max="5" width="17" customWidth="1"/>
    <col min="6" max="6" width="12" customWidth="1"/>
    <col min="7" max="7" width="14" customWidth="1"/>
    <col min="8" max="8" width="13" customWidth="1"/>
    <col min="9" max="9" width="15" customWidth="1"/>
    <col min="10" max="10" width="14" customWidth="1"/>
    <col min="11" max="11" width="16" customWidth="1"/>
    <col min="12" max="12" width="15" customWidth="1"/>
    <col min="13" max="14" width="14" customWidth="1"/>
    <col min="15" max="15" width="38" customWidth="1"/>
  </cols>
  <sheetData>
    <row r="1" spans="1:15" ht="18" x14ac:dyDescent="0.35">
      <c r="A1" s="41" t="s">
        <v>44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4" spans="1:15" x14ac:dyDescent="0.3">
      <c r="A4" s="26" t="s">
        <v>45</v>
      </c>
      <c r="B4" s="26" t="s">
        <v>46</v>
      </c>
      <c r="C4" s="26" t="s">
        <v>47</v>
      </c>
      <c r="D4" s="26" t="s">
        <v>1</v>
      </c>
      <c r="E4" s="26" t="s">
        <v>48</v>
      </c>
      <c r="F4" s="26" t="s">
        <v>49</v>
      </c>
      <c r="G4" s="26" t="s">
        <v>50</v>
      </c>
      <c r="H4" s="26" t="s">
        <v>51</v>
      </c>
      <c r="I4" s="26" t="s">
        <v>52</v>
      </c>
      <c r="J4" s="26" t="s">
        <v>53</v>
      </c>
      <c r="K4" s="26" t="s">
        <v>54</v>
      </c>
      <c r="L4" s="26" t="s">
        <v>55</v>
      </c>
      <c r="M4" s="26" t="s">
        <v>56</v>
      </c>
      <c r="N4" s="26" t="s">
        <v>57</v>
      </c>
      <c r="O4" s="26" t="s">
        <v>58</v>
      </c>
    </row>
    <row r="5" spans="1:15" x14ac:dyDescent="0.3">
      <c r="A5">
        <v>41</v>
      </c>
      <c r="B5" s="30">
        <v>46147</v>
      </c>
      <c r="C5" t="s">
        <v>59</v>
      </c>
      <c r="D5" t="s">
        <v>7</v>
      </c>
      <c r="E5" t="s">
        <v>3</v>
      </c>
      <c r="F5">
        <v>19.5</v>
      </c>
      <c r="G5" s="29">
        <f>IF(A5="","",IFERROR(INDEX(Criterios!$B$4:$C$83,MATCH(D5,Criterios!$A$4:$A$83,0),IF(E5="Dentro horario",1,2)),""))</f>
        <v>60</v>
      </c>
      <c r="H5" s="29">
        <v>-100</v>
      </c>
      <c r="I5" s="29">
        <f t="shared" ref="I5:I68" si="0">IF(A5="","",IF(OR(F5="",G5=""),"",F5*G5+N(H5)))</f>
        <v>1070</v>
      </c>
      <c r="J5">
        <f>IF(A5="","",COUNTIF(Detalle_Pagos!$A$5:$A$2004,A5))</f>
        <v>7</v>
      </c>
      <c r="K5" s="29">
        <f t="shared" ref="K5:K68" si="1">IF(A5="","",IF(OR(J5=0,I5=""),"",I5/J5))</f>
        <v>152.85714285714286</v>
      </c>
      <c r="L5" s="29">
        <f>IF(A5="","",SUMIF(Detalle_Pagos!$A$5:$A$2004,A5,Detalle_Pagos!$I$5:$I$2004))</f>
        <v>1050</v>
      </c>
      <c r="M5" s="29">
        <f>IF(A5="","",SUMIFS(Detalle_Pagos!$I$5:$I$2004,Detalle_Pagos!$A$5:$A$2004,A5,Detalle_Pagos!$J$5:$J$2004,"No"))</f>
        <v>1050</v>
      </c>
      <c r="N5" t="str">
        <f t="shared" ref="N5:N68" si="2">IF(A5="","",IF(J5=0,"Sin detalle",IF(M5=0,"Pagada","Pendiente")))</f>
        <v>Pendiente</v>
      </c>
    </row>
    <row r="6" spans="1:15" x14ac:dyDescent="0.3">
      <c r="A6">
        <v>42</v>
      </c>
      <c r="B6" s="30">
        <v>46148</v>
      </c>
      <c r="C6" t="s">
        <v>60</v>
      </c>
      <c r="D6" t="s">
        <v>5</v>
      </c>
      <c r="E6" t="s">
        <v>3</v>
      </c>
      <c r="F6">
        <v>37</v>
      </c>
      <c r="G6" s="29">
        <f>IF(A6="","",IFERROR(INDEX(Criterios!$B$4:$C$83,MATCH(D6,Criterios!$A$4:$A$83,0),IF(E6="Dentro horario",1,2)),""))</f>
        <v>60</v>
      </c>
      <c r="H6" s="29">
        <v>-100</v>
      </c>
      <c r="I6" s="29">
        <f t="shared" si="0"/>
        <v>2120</v>
      </c>
      <c r="J6">
        <f>IF(A6="","",COUNTIF(Detalle_Pagos!$A$5:$A$2004,A6))</f>
        <v>7</v>
      </c>
      <c r="K6" s="29">
        <f t="shared" si="1"/>
        <v>302.85714285714283</v>
      </c>
      <c r="L6" s="29">
        <f>IF(A6="","",SUMIF(Detalle_Pagos!$A$5:$A$2004,A6,Detalle_Pagos!$I$5:$I$2004))</f>
        <v>2100</v>
      </c>
      <c r="M6" s="29">
        <f>IF(A6="","",SUMIFS(Detalle_Pagos!$I$5:$I$2004,Detalle_Pagos!$A$5:$A$2004,A6,Detalle_Pagos!$J$5:$J$2004,"No"))</f>
        <v>2100</v>
      </c>
      <c r="N6" t="str">
        <f t="shared" si="2"/>
        <v>Pendiente</v>
      </c>
    </row>
    <row r="7" spans="1:15" x14ac:dyDescent="0.3">
      <c r="B7" s="30"/>
      <c r="G7" s="29" t="str">
        <f>IF(A7="","",IFERROR(INDEX(Criterios!$B$4:$C$83,MATCH(D7,Criterios!$A$4:$A$83,0),IF(E7="Dentro horario",1,2)),""))</f>
        <v/>
      </c>
      <c r="H7" s="29"/>
      <c r="I7" s="29" t="str">
        <f t="shared" si="0"/>
        <v/>
      </c>
      <c r="J7" t="str">
        <f>IF(A7="","",COUNTIF(Detalle_Pagos!$A$5:$A$2004,A7))</f>
        <v/>
      </c>
      <c r="K7" s="29" t="str">
        <f t="shared" si="1"/>
        <v/>
      </c>
      <c r="L7" s="29" t="str">
        <f>IF(A7="","",SUMIF(Detalle_Pagos!$A$5:$A$2004,A7,Detalle_Pagos!$I$5:$I$2004))</f>
        <v/>
      </c>
      <c r="M7" s="29" t="str">
        <f>IF(A7="","",SUMIFS(Detalle_Pagos!$I$5:$I$2004,Detalle_Pagos!$A$5:$A$2004,A7,Detalle_Pagos!$J$5:$J$2004,"No"))</f>
        <v/>
      </c>
      <c r="N7" t="str">
        <f t="shared" si="2"/>
        <v/>
      </c>
    </row>
    <row r="8" spans="1:15" x14ac:dyDescent="0.3">
      <c r="B8" s="30"/>
      <c r="G8" s="29" t="str">
        <f>IF(A8="","",IFERROR(INDEX(Criterios!$B$4:$C$83,MATCH(D8,Criterios!$A$4:$A$83,0),IF(E8="Dentro horario",1,2)),""))</f>
        <v/>
      </c>
      <c r="H8" s="29"/>
      <c r="I8" s="29" t="str">
        <f t="shared" si="0"/>
        <v/>
      </c>
      <c r="J8" t="str">
        <f>IF(A8="","",COUNTIF(Detalle_Pagos!$A$5:$A$2004,A8))</f>
        <v/>
      </c>
      <c r="K8" s="29" t="str">
        <f t="shared" si="1"/>
        <v/>
      </c>
      <c r="L8" s="29" t="str">
        <f>IF(A8="","",SUMIF(Detalle_Pagos!$A$5:$A$2004,A8,Detalle_Pagos!$I$5:$I$2004))</f>
        <v/>
      </c>
      <c r="M8" s="29" t="str">
        <f>IF(A8="","",SUMIFS(Detalle_Pagos!$I$5:$I$2004,Detalle_Pagos!$A$5:$A$2004,A8,Detalle_Pagos!$J$5:$J$2004,"No"))</f>
        <v/>
      </c>
      <c r="N8" t="str">
        <f t="shared" si="2"/>
        <v/>
      </c>
    </row>
    <row r="9" spans="1:15" x14ac:dyDescent="0.3">
      <c r="B9" s="30"/>
      <c r="G9" s="29" t="str">
        <f>IF(A9="","",IFERROR(INDEX(Criterios!$B$4:$C$83,MATCH(D9,Criterios!$A$4:$A$83,0),IF(E9="Dentro horario",1,2)),""))</f>
        <v/>
      </c>
      <c r="H9" s="29"/>
      <c r="I9" s="29" t="str">
        <f t="shared" si="0"/>
        <v/>
      </c>
      <c r="J9" t="str">
        <f>IF(A9="","",COUNTIF(Detalle_Pagos!$A$5:$A$2004,A9))</f>
        <v/>
      </c>
      <c r="K9" s="29" t="str">
        <f t="shared" si="1"/>
        <v/>
      </c>
      <c r="L9" s="29" t="str">
        <f>IF(A9="","",SUMIF(Detalle_Pagos!$A$5:$A$2004,A9,Detalle_Pagos!$I$5:$I$2004))</f>
        <v/>
      </c>
      <c r="M9" s="29" t="str">
        <f>IF(A9="","",SUMIFS(Detalle_Pagos!$I$5:$I$2004,Detalle_Pagos!$A$5:$A$2004,A9,Detalle_Pagos!$J$5:$J$2004,"No"))</f>
        <v/>
      </c>
      <c r="N9" t="str">
        <f t="shared" si="2"/>
        <v/>
      </c>
    </row>
    <row r="10" spans="1:15" x14ac:dyDescent="0.3">
      <c r="B10" s="30"/>
      <c r="G10" s="29" t="str">
        <f>IF(A10="","",IFERROR(INDEX(Criterios!$B$4:$C$83,MATCH(D10,Criterios!$A$4:$A$83,0),IF(E10="Dentro horario",1,2)),""))</f>
        <v/>
      </c>
      <c r="H10" s="29"/>
      <c r="I10" s="29" t="str">
        <f t="shared" si="0"/>
        <v/>
      </c>
      <c r="J10" t="str">
        <f>IF(A10="","",COUNTIF(Detalle_Pagos!$A$5:$A$2004,A10))</f>
        <v/>
      </c>
      <c r="K10" s="29" t="str">
        <f t="shared" si="1"/>
        <v/>
      </c>
      <c r="L10" s="29" t="str">
        <f>IF(A10="","",SUMIF(Detalle_Pagos!$A$5:$A$2004,A10,Detalle_Pagos!$I$5:$I$2004))</f>
        <v/>
      </c>
      <c r="M10" s="29" t="str">
        <f>IF(A10="","",SUMIFS(Detalle_Pagos!$I$5:$I$2004,Detalle_Pagos!$A$5:$A$2004,A10,Detalle_Pagos!$J$5:$J$2004,"No"))</f>
        <v/>
      </c>
      <c r="N10" t="str">
        <f t="shared" si="2"/>
        <v/>
      </c>
    </row>
    <row r="11" spans="1:15" x14ac:dyDescent="0.3">
      <c r="B11" s="30"/>
      <c r="G11" s="29" t="str">
        <f>IF(A11="","",IFERROR(INDEX(Criterios!$B$4:$C$83,MATCH(D11,Criterios!$A$4:$A$83,0),IF(E11="Dentro horario",1,2)),""))</f>
        <v/>
      </c>
      <c r="H11" s="29"/>
      <c r="I11" s="29" t="str">
        <f t="shared" si="0"/>
        <v/>
      </c>
      <c r="J11" t="str">
        <f>IF(A11="","",COUNTIF(Detalle_Pagos!$A$5:$A$2004,A11))</f>
        <v/>
      </c>
      <c r="K11" s="29" t="str">
        <f t="shared" si="1"/>
        <v/>
      </c>
      <c r="L11" s="29" t="str">
        <f>IF(A11="","",SUMIF(Detalle_Pagos!$A$5:$A$2004,A11,Detalle_Pagos!$I$5:$I$2004))</f>
        <v/>
      </c>
      <c r="M11" s="29" t="str">
        <f>IF(A11="","",SUMIFS(Detalle_Pagos!$I$5:$I$2004,Detalle_Pagos!$A$5:$A$2004,A11,Detalle_Pagos!$J$5:$J$2004,"No"))</f>
        <v/>
      </c>
      <c r="N11" t="str">
        <f t="shared" si="2"/>
        <v/>
      </c>
    </row>
    <row r="12" spans="1:15" x14ac:dyDescent="0.3">
      <c r="B12" s="30"/>
      <c r="G12" s="29" t="str">
        <f>IF(A12="","",IFERROR(INDEX(Criterios!$B$4:$C$83,MATCH(D12,Criterios!$A$4:$A$83,0),IF(E12="Dentro horario",1,2)),""))</f>
        <v/>
      </c>
      <c r="H12" s="29"/>
      <c r="I12" s="29" t="str">
        <f t="shared" si="0"/>
        <v/>
      </c>
      <c r="J12" t="str">
        <f>IF(A12="","",COUNTIF(Detalle_Pagos!$A$5:$A$2004,A12))</f>
        <v/>
      </c>
      <c r="K12" s="29" t="str">
        <f t="shared" si="1"/>
        <v/>
      </c>
      <c r="L12" s="29" t="str">
        <f>IF(A12="","",SUMIF(Detalle_Pagos!$A$5:$A$2004,A12,Detalle_Pagos!$I$5:$I$2004))</f>
        <v/>
      </c>
      <c r="M12" s="29" t="str">
        <f>IF(A12="","",SUMIFS(Detalle_Pagos!$I$5:$I$2004,Detalle_Pagos!$A$5:$A$2004,A12,Detalle_Pagos!$J$5:$J$2004,"No"))</f>
        <v/>
      </c>
      <c r="N12" t="str">
        <f t="shared" si="2"/>
        <v/>
      </c>
    </row>
    <row r="13" spans="1:15" x14ac:dyDescent="0.3">
      <c r="B13" s="30"/>
      <c r="G13" s="29" t="str">
        <f>IF(A13="","",IFERROR(INDEX(Criterios!$B$4:$C$83,MATCH(D13,Criterios!$A$4:$A$83,0),IF(E13="Dentro horario",1,2)),""))</f>
        <v/>
      </c>
      <c r="H13" s="29"/>
      <c r="I13" s="29" t="str">
        <f t="shared" si="0"/>
        <v/>
      </c>
      <c r="J13" t="str">
        <f>IF(A13="","",COUNTIF(Detalle_Pagos!$A$5:$A$2004,A13))</f>
        <v/>
      </c>
      <c r="K13" s="29" t="str">
        <f t="shared" si="1"/>
        <v/>
      </c>
      <c r="L13" s="29" t="str">
        <f>IF(A13="","",SUMIF(Detalle_Pagos!$A$5:$A$2004,A13,Detalle_Pagos!$I$5:$I$2004))</f>
        <v/>
      </c>
      <c r="M13" s="29" t="str">
        <f>IF(A13="","",SUMIFS(Detalle_Pagos!$I$5:$I$2004,Detalle_Pagos!$A$5:$A$2004,A13,Detalle_Pagos!$J$5:$J$2004,"No"))</f>
        <v/>
      </c>
      <c r="N13" t="str">
        <f t="shared" si="2"/>
        <v/>
      </c>
    </row>
    <row r="14" spans="1:15" x14ac:dyDescent="0.3">
      <c r="B14" s="30"/>
      <c r="G14" s="29" t="str">
        <f>IF(A14="","",IFERROR(INDEX(Criterios!$B$4:$C$83,MATCH(D14,Criterios!$A$4:$A$83,0),IF(E14="Dentro horario",1,2)),""))</f>
        <v/>
      </c>
      <c r="H14" s="29"/>
      <c r="I14" s="29" t="str">
        <f t="shared" si="0"/>
        <v/>
      </c>
      <c r="J14" t="str">
        <f>IF(A14="","",COUNTIF(Detalle_Pagos!$A$5:$A$2004,A14))</f>
        <v/>
      </c>
      <c r="K14" s="29" t="str">
        <f t="shared" si="1"/>
        <v/>
      </c>
      <c r="L14" s="29" t="str">
        <f>IF(A14="","",SUMIF(Detalle_Pagos!$A$5:$A$2004,A14,Detalle_Pagos!$I$5:$I$2004))</f>
        <v/>
      </c>
      <c r="M14" s="29" t="str">
        <f>IF(A14="","",SUMIFS(Detalle_Pagos!$I$5:$I$2004,Detalle_Pagos!$A$5:$A$2004,A14,Detalle_Pagos!$J$5:$J$2004,"No"))</f>
        <v/>
      </c>
      <c r="N14" t="str">
        <f t="shared" si="2"/>
        <v/>
      </c>
    </row>
    <row r="15" spans="1:15" x14ac:dyDescent="0.3">
      <c r="B15" s="30"/>
      <c r="G15" s="29" t="str">
        <f>IF(A15="","",IFERROR(INDEX(Criterios!$B$4:$C$83,MATCH(D15,Criterios!$A$4:$A$83,0),IF(E15="Dentro horario",1,2)),""))</f>
        <v/>
      </c>
      <c r="H15" s="29"/>
      <c r="I15" s="29" t="str">
        <f t="shared" si="0"/>
        <v/>
      </c>
      <c r="J15" t="str">
        <f>IF(A15="","",COUNTIF(Detalle_Pagos!$A$5:$A$2004,A15))</f>
        <v/>
      </c>
      <c r="K15" s="29" t="str">
        <f t="shared" si="1"/>
        <v/>
      </c>
      <c r="L15" s="29" t="str">
        <f>IF(A15="","",SUMIF(Detalle_Pagos!$A$5:$A$2004,A15,Detalle_Pagos!$I$5:$I$2004))</f>
        <v/>
      </c>
      <c r="M15" s="29" t="str">
        <f>IF(A15="","",SUMIFS(Detalle_Pagos!$I$5:$I$2004,Detalle_Pagos!$A$5:$A$2004,A15,Detalle_Pagos!$J$5:$J$2004,"No"))</f>
        <v/>
      </c>
      <c r="N15" t="str">
        <f t="shared" si="2"/>
        <v/>
      </c>
    </row>
    <row r="16" spans="1:15" x14ac:dyDescent="0.3">
      <c r="B16" s="30"/>
      <c r="G16" s="29" t="str">
        <f>IF(A16="","",IFERROR(INDEX(Criterios!$B$4:$C$83,MATCH(D16,Criterios!$A$4:$A$83,0),IF(E16="Dentro horario",1,2)),""))</f>
        <v/>
      </c>
      <c r="H16" s="29"/>
      <c r="I16" s="29" t="str">
        <f t="shared" si="0"/>
        <v/>
      </c>
      <c r="J16" t="str">
        <f>IF(A16="","",COUNTIF(Detalle_Pagos!$A$5:$A$2004,A16))</f>
        <v/>
      </c>
      <c r="K16" s="29" t="str">
        <f t="shared" si="1"/>
        <v/>
      </c>
      <c r="L16" s="29" t="str">
        <f>IF(A16="","",SUMIF(Detalle_Pagos!$A$5:$A$2004,A16,Detalle_Pagos!$I$5:$I$2004))</f>
        <v/>
      </c>
      <c r="M16" s="29" t="str">
        <f>IF(A16="","",SUMIFS(Detalle_Pagos!$I$5:$I$2004,Detalle_Pagos!$A$5:$A$2004,A16,Detalle_Pagos!$J$5:$J$2004,"No"))</f>
        <v/>
      </c>
      <c r="N16" t="str">
        <f t="shared" si="2"/>
        <v/>
      </c>
    </row>
    <row r="17" spans="2:14" x14ac:dyDescent="0.3">
      <c r="B17" s="30"/>
      <c r="G17" s="29" t="str">
        <f>IF(A17="","",IFERROR(INDEX(Criterios!$B$4:$C$83,MATCH(D17,Criterios!$A$4:$A$83,0),IF(E17="Dentro horario",1,2)),""))</f>
        <v/>
      </c>
      <c r="H17" s="29"/>
      <c r="I17" s="29" t="str">
        <f t="shared" si="0"/>
        <v/>
      </c>
      <c r="J17" t="str">
        <f>IF(A17="","",COUNTIF(Detalle_Pagos!$A$5:$A$2004,A17))</f>
        <v/>
      </c>
      <c r="K17" s="29" t="str">
        <f t="shared" si="1"/>
        <v/>
      </c>
      <c r="L17" s="29" t="str">
        <f>IF(A17="","",SUMIF(Detalle_Pagos!$A$5:$A$2004,A17,Detalle_Pagos!$I$5:$I$2004))</f>
        <v/>
      </c>
      <c r="M17" s="29" t="str">
        <f>IF(A17="","",SUMIFS(Detalle_Pagos!$I$5:$I$2004,Detalle_Pagos!$A$5:$A$2004,A17,Detalle_Pagos!$J$5:$J$2004,"No"))</f>
        <v/>
      </c>
      <c r="N17" t="str">
        <f t="shared" si="2"/>
        <v/>
      </c>
    </row>
    <row r="18" spans="2:14" x14ac:dyDescent="0.3">
      <c r="B18" s="30"/>
      <c r="G18" s="29" t="str">
        <f>IF(A18="","",IFERROR(INDEX(Criterios!$B$4:$C$83,MATCH(D18,Criterios!$A$4:$A$83,0),IF(E18="Dentro horario",1,2)),""))</f>
        <v/>
      </c>
      <c r="H18" s="29"/>
      <c r="I18" s="29" t="str">
        <f t="shared" si="0"/>
        <v/>
      </c>
      <c r="J18" t="str">
        <f>IF(A18="","",COUNTIF(Detalle_Pagos!$A$5:$A$2004,A18))</f>
        <v/>
      </c>
      <c r="K18" s="29" t="str">
        <f t="shared" si="1"/>
        <v/>
      </c>
      <c r="L18" s="29" t="str">
        <f>IF(A18="","",SUMIF(Detalle_Pagos!$A$5:$A$2004,A18,Detalle_Pagos!$I$5:$I$2004))</f>
        <v/>
      </c>
      <c r="M18" s="29" t="str">
        <f>IF(A18="","",SUMIFS(Detalle_Pagos!$I$5:$I$2004,Detalle_Pagos!$A$5:$A$2004,A18,Detalle_Pagos!$J$5:$J$2004,"No"))</f>
        <v/>
      </c>
      <c r="N18" t="str">
        <f t="shared" si="2"/>
        <v/>
      </c>
    </row>
    <row r="19" spans="2:14" x14ac:dyDescent="0.3">
      <c r="B19" s="30"/>
      <c r="G19" s="29" t="str">
        <f>IF(A19="","",IFERROR(INDEX(Criterios!$B$4:$C$83,MATCH(D19,Criterios!$A$4:$A$83,0),IF(E19="Dentro horario",1,2)),""))</f>
        <v/>
      </c>
      <c r="H19" s="29"/>
      <c r="I19" s="29" t="str">
        <f t="shared" si="0"/>
        <v/>
      </c>
      <c r="J19" t="str">
        <f>IF(A19="","",COUNTIF(Detalle_Pagos!$A$5:$A$2004,A19))</f>
        <v/>
      </c>
      <c r="K19" s="29" t="str">
        <f t="shared" si="1"/>
        <v/>
      </c>
      <c r="L19" s="29" t="str">
        <f>IF(A19="","",SUMIF(Detalle_Pagos!$A$5:$A$2004,A19,Detalle_Pagos!$I$5:$I$2004))</f>
        <v/>
      </c>
      <c r="M19" s="29" t="str">
        <f>IF(A19="","",SUMIFS(Detalle_Pagos!$I$5:$I$2004,Detalle_Pagos!$A$5:$A$2004,A19,Detalle_Pagos!$J$5:$J$2004,"No"))</f>
        <v/>
      </c>
      <c r="N19" t="str">
        <f t="shared" si="2"/>
        <v/>
      </c>
    </row>
    <row r="20" spans="2:14" x14ac:dyDescent="0.3">
      <c r="B20" s="30"/>
      <c r="G20" s="29" t="str">
        <f>IF(A20="","",IFERROR(INDEX(Criterios!$B$4:$C$83,MATCH(D20,Criterios!$A$4:$A$83,0),IF(E20="Dentro horario",1,2)),""))</f>
        <v/>
      </c>
      <c r="H20" s="29"/>
      <c r="I20" s="29" t="str">
        <f t="shared" si="0"/>
        <v/>
      </c>
      <c r="J20" t="str">
        <f>IF(A20="","",COUNTIF(Detalle_Pagos!$A$5:$A$2004,A20))</f>
        <v/>
      </c>
      <c r="K20" s="29" t="str">
        <f t="shared" si="1"/>
        <v/>
      </c>
      <c r="L20" s="29" t="str">
        <f>IF(A20="","",SUMIF(Detalle_Pagos!$A$5:$A$2004,A20,Detalle_Pagos!$I$5:$I$2004))</f>
        <v/>
      </c>
      <c r="M20" s="29" t="str">
        <f>IF(A20="","",SUMIFS(Detalle_Pagos!$I$5:$I$2004,Detalle_Pagos!$A$5:$A$2004,A20,Detalle_Pagos!$J$5:$J$2004,"No"))</f>
        <v/>
      </c>
      <c r="N20" t="str">
        <f t="shared" si="2"/>
        <v/>
      </c>
    </row>
    <row r="21" spans="2:14" x14ac:dyDescent="0.3">
      <c r="B21" s="30"/>
      <c r="G21" s="29" t="str">
        <f>IF(A21="","",IFERROR(INDEX(Criterios!$B$4:$C$83,MATCH(D21,Criterios!$A$4:$A$83,0),IF(E21="Dentro horario",1,2)),""))</f>
        <v/>
      </c>
      <c r="H21" s="29"/>
      <c r="I21" s="29" t="str">
        <f t="shared" si="0"/>
        <v/>
      </c>
      <c r="J21" t="str">
        <f>IF(A21="","",COUNTIF(Detalle_Pagos!$A$5:$A$2004,A21))</f>
        <v/>
      </c>
      <c r="K21" s="29" t="str">
        <f t="shared" si="1"/>
        <v/>
      </c>
      <c r="L21" s="29" t="str">
        <f>IF(A21="","",SUMIF(Detalle_Pagos!$A$5:$A$2004,A21,Detalle_Pagos!$I$5:$I$2004))</f>
        <v/>
      </c>
      <c r="M21" s="29" t="str">
        <f>IF(A21="","",SUMIFS(Detalle_Pagos!$I$5:$I$2004,Detalle_Pagos!$A$5:$A$2004,A21,Detalle_Pagos!$J$5:$J$2004,"No"))</f>
        <v/>
      </c>
      <c r="N21" t="str">
        <f t="shared" si="2"/>
        <v/>
      </c>
    </row>
    <row r="22" spans="2:14" x14ac:dyDescent="0.3">
      <c r="B22" s="30"/>
      <c r="G22" s="29" t="str">
        <f>IF(A22="","",IFERROR(INDEX(Criterios!$B$4:$C$83,MATCH(D22,Criterios!$A$4:$A$83,0),IF(E22="Dentro horario",1,2)),""))</f>
        <v/>
      </c>
      <c r="H22" s="29"/>
      <c r="I22" s="29" t="str">
        <f t="shared" si="0"/>
        <v/>
      </c>
      <c r="J22" t="str">
        <f>IF(A22="","",COUNTIF(Detalle_Pagos!$A$5:$A$2004,A22))</f>
        <v/>
      </c>
      <c r="K22" s="29" t="str">
        <f t="shared" si="1"/>
        <v/>
      </c>
      <c r="L22" s="29" t="str">
        <f>IF(A22="","",SUMIF(Detalle_Pagos!$A$5:$A$2004,A22,Detalle_Pagos!$I$5:$I$2004))</f>
        <v/>
      </c>
      <c r="M22" s="29" t="str">
        <f>IF(A22="","",SUMIFS(Detalle_Pagos!$I$5:$I$2004,Detalle_Pagos!$A$5:$A$2004,A22,Detalle_Pagos!$J$5:$J$2004,"No"))</f>
        <v/>
      </c>
      <c r="N22" t="str">
        <f t="shared" si="2"/>
        <v/>
      </c>
    </row>
    <row r="23" spans="2:14" x14ac:dyDescent="0.3">
      <c r="B23" s="30"/>
      <c r="G23" s="29" t="str">
        <f>IF(A23="","",IFERROR(INDEX(Criterios!$B$4:$C$83,MATCH(D23,Criterios!$A$4:$A$83,0),IF(E23="Dentro horario",1,2)),""))</f>
        <v/>
      </c>
      <c r="H23" s="29"/>
      <c r="I23" s="29" t="str">
        <f t="shared" si="0"/>
        <v/>
      </c>
      <c r="J23" t="str">
        <f>IF(A23="","",COUNTIF(Detalle_Pagos!$A$5:$A$2004,A23))</f>
        <v/>
      </c>
      <c r="K23" s="29" t="str">
        <f t="shared" si="1"/>
        <v/>
      </c>
      <c r="L23" s="29" t="str">
        <f>IF(A23="","",SUMIF(Detalle_Pagos!$A$5:$A$2004,A23,Detalle_Pagos!$I$5:$I$2004))</f>
        <v/>
      </c>
      <c r="M23" s="29" t="str">
        <f>IF(A23="","",SUMIFS(Detalle_Pagos!$I$5:$I$2004,Detalle_Pagos!$A$5:$A$2004,A23,Detalle_Pagos!$J$5:$J$2004,"No"))</f>
        <v/>
      </c>
      <c r="N23" t="str">
        <f t="shared" si="2"/>
        <v/>
      </c>
    </row>
    <row r="24" spans="2:14" x14ac:dyDescent="0.3">
      <c r="B24" s="30"/>
      <c r="G24" s="29" t="str">
        <f>IF(A24="","",IFERROR(INDEX(Criterios!$B$4:$C$83,MATCH(D24,Criterios!$A$4:$A$83,0),IF(E24="Dentro horario",1,2)),""))</f>
        <v/>
      </c>
      <c r="H24" s="29"/>
      <c r="I24" s="29" t="str">
        <f t="shared" si="0"/>
        <v/>
      </c>
      <c r="J24" t="str">
        <f>IF(A24="","",COUNTIF(Detalle_Pagos!$A$5:$A$2004,A24))</f>
        <v/>
      </c>
      <c r="K24" s="29" t="str">
        <f t="shared" si="1"/>
        <v/>
      </c>
      <c r="L24" s="29" t="str">
        <f>IF(A24="","",SUMIF(Detalle_Pagos!$A$5:$A$2004,A24,Detalle_Pagos!$I$5:$I$2004))</f>
        <v/>
      </c>
      <c r="M24" s="29" t="str">
        <f>IF(A24="","",SUMIFS(Detalle_Pagos!$I$5:$I$2004,Detalle_Pagos!$A$5:$A$2004,A24,Detalle_Pagos!$J$5:$J$2004,"No"))</f>
        <v/>
      </c>
      <c r="N24" t="str">
        <f t="shared" si="2"/>
        <v/>
      </c>
    </row>
    <row r="25" spans="2:14" x14ac:dyDescent="0.3">
      <c r="B25" s="30"/>
      <c r="G25" s="29" t="str">
        <f>IF(A25="","",IFERROR(INDEX(Criterios!$B$4:$C$83,MATCH(D25,Criterios!$A$4:$A$83,0),IF(E25="Dentro horario",1,2)),""))</f>
        <v/>
      </c>
      <c r="H25" s="29"/>
      <c r="I25" s="29" t="str">
        <f t="shared" si="0"/>
        <v/>
      </c>
      <c r="J25" t="str">
        <f>IF(A25="","",COUNTIF(Detalle_Pagos!$A$5:$A$2004,A25))</f>
        <v/>
      </c>
      <c r="K25" s="29" t="str">
        <f t="shared" si="1"/>
        <v/>
      </c>
      <c r="L25" s="29" t="str">
        <f>IF(A25="","",SUMIF(Detalle_Pagos!$A$5:$A$2004,A25,Detalle_Pagos!$I$5:$I$2004))</f>
        <v/>
      </c>
      <c r="M25" s="29" t="str">
        <f>IF(A25="","",SUMIFS(Detalle_Pagos!$I$5:$I$2004,Detalle_Pagos!$A$5:$A$2004,A25,Detalle_Pagos!$J$5:$J$2004,"No"))</f>
        <v/>
      </c>
      <c r="N25" t="str">
        <f t="shared" si="2"/>
        <v/>
      </c>
    </row>
    <row r="26" spans="2:14" x14ac:dyDescent="0.3">
      <c r="B26" s="30"/>
      <c r="G26" s="29" t="str">
        <f>IF(A26="","",IFERROR(INDEX(Criterios!$B$4:$C$83,MATCH(D26,Criterios!$A$4:$A$83,0),IF(E26="Dentro horario",1,2)),""))</f>
        <v/>
      </c>
      <c r="H26" s="29"/>
      <c r="I26" s="29" t="str">
        <f t="shared" si="0"/>
        <v/>
      </c>
      <c r="J26" t="str">
        <f>IF(A26="","",COUNTIF(Detalle_Pagos!$A$5:$A$2004,A26))</f>
        <v/>
      </c>
      <c r="K26" s="29" t="str">
        <f t="shared" si="1"/>
        <v/>
      </c>
      <c r="L26" s="29" t="str">
        <f>IF(A26="","",SUMIF(Detalle_Pagos!$A$5:$A$2004,A26,Detalle_Pagos!$I$5:$I$2004))</f>
        <v/>
      </c>
      <c r="M26" s="29" t="str">
        <f>IF(A26="","",SUMIFS(Detalle_Pagos!$I$5:$I$2004,Detalle_Pagos!$A$5:$A$2004,A26,Detalle_Pagos!$J$5:$J$2004,"No"))</f>
        <v/>
      </c>
      <c r="N26" t="str">
        <f t="shared" si="2"/>
        <v/>
      </c>
    </row>
    <row r="27" spans="2:14" x14ac:dyDescent="0.3">
      <c r="B27" s="30"/>
      <c r="G27" s="29" t="str">
        <f>IF(A27="","",IFERROR(INDEX(Criterios!$B$4:$C$83,MATCH(D27,Criterios!$A$4:$A$83,0),IF(E27="Dentro horario",1,2)),""))</f>
        <v/>
      </c>
      <c r="H27" s="29"/>
      <c r="I27" s="29" t="str">
        <f t="shared" si="0"/>
        <v/>
      </c>
      <c r="J27" t="str">
        <f>IF(A27="","",COUNTIF(Detalle_Pagos!$A$5:$A$2004,A27))</f>
        <v/>
      </c>
      <c r="K27" s="29" t="str">
        <f t="shared" si="1"/>
        <v/>
      </c>
      <c r="L27" s="29" t="str">
        <f>IF(A27="","",SUMIF(Detalle_Pagos!$A$5:$A$2004,A27,Detalle_Pagos!$I$5:$I$2004))</f>
        <v/>
      </c>
      <c r="M27" s="29" t="str">
        <f>IF(A27="","",SUMIFS(Detalle_Pagos!$I$5:$I$2004,Detalle_Pagos!$A$5:$A$2004,A27,Detalle_Pagos!$J$5:$J$2004,"No"))</f>
        <v/>
      </c>
      <c r="N27" t="str">
        <f t="shared" si="2"/>
        <v/>
      </c>
    </row>
    <row r="28" spans="2:14" x14ac:dyDescent="0.3">
      <c r="B28" s="30"/>
      <c r="G28" s="29" t="str">
        <f>IF(A28="","",IFERROR(INDEX(Criterios!$B$4:$C$83,MATCH(D28,Criterios!$A$4:$A$83,0),IF(E28="Dentro horario",1,2)),""))</f>
        <v/>
      </c>
      <c r="H28" s="29"/>
      <c r="I28" s="29" t="str">
        <f t="shared" si="0"/>
        <v/>
      </c>
      <c r="J28" t="str">
        <f>IF(A28="","",COUNTIF(Detalle_Pagos!$A$5:$A$2004,A28))</f>
        <v/>
      </c>
      <c r="K28" s="29" t="str">
        <f t="shared" si="1"/>
        <v/>
      </c>
      <c r="L28" s="29" t="str">
        <f>IF(A28="","",SUMIF(Detalle_Pagos!$A$5:$A$2004,A28,Detalle_Pagos!$I$5:$I$2004))</f>
        <v/>
      </c>
      <c r="M28" s="29" t="str">
        <f>IF(A28="","",SUMIFS(Detalle_Pagos!$I$5:$I$2004,Detalle_Pagos!$A$5:$A$2004,A28,Detalle_Pagos!$J$5:$J$2004,"No"))</f>
        <v/>
      </c>
      <c r="N28" t="str">
        <f t="shared" si="2"/>
        <v/>
      </c>
    </row>
    <row r="29" spans="2:14" x14ac:dyDescent="0.3">
      <c r="B29" s="30"/>
      <c r="G29" s="29" t="str">
        <f>IF(A29="","",IFERROR(INDEX(Criterios!$B$4:$C$83,MATCH(D29,Criterios!$A$4:$A$83,0),IF(E29="Dentro horario",1,2)),""))</f>
        <v/>
      </c>
      <c r="H29" s="29"/>
      <c r="I29" s="29" t="str">
        <f t="shared" si="0"/>
        <v/>
      </c>
      <c r="J29" t="str">
        <f>IF(A29="","",COUNTIF(Detalle_Pagos!$A$5:$A$2004,A29))</f>
        <v/>
      </c>
      <c r="K29" s="29" t="str">
        <f t="shared" si="1"/>
        <v/>
      </c>
      <c r="L29" s="29" t="str">
        <f>IF(A29="","",SUMIF(Detalle_Pagos!$A$5:$A$2004,A29,Detalle_Pagos!$I$5:$I$2004))</f>
        <v/>
      </c>
      <c r="M29" s="29" t="str">
        <f>IF(A29="","",SUMIFS(Detalle_Pagos!$I$5:$I$2004,Detalle_Pagos!$A$5:$A$2004,A29,Detalle_Pagos!$J$5:$J$2004,"No"))</f>
        <v/>
      </c>
      <c r="N29" t="str">
        <f t="shared" si="2"/>
        <v/>
      </c>
    </row>
    <row r="30" spans="2:14" x14ac:dyDescent="0.3">
      <c r="B30" s="30"/>
      <c r="G30" s="29" t="str">
        <f>IF(A30="","",IFERROR(INDEX(Criterios!$B$4:$C$83,MATCH(D30,Criterios!$A$4:$A$83,0),IF(E30="Dentro horario",1,2)),""))</f>
        <v/>
      </c>
      <c r="H30" s="29"/>
      <c r="I30" s="29" t="str">
        <f t="shared" si="0"/>
        <v/>
      </c>
      <c r="J30" t="str">
        <f>IF(A30="","",COUNTIF(Detalle_Pagos!$A$5:$A$2004,A30))</f>
        <v/>
      </c>
      <c r="K30" s="29" t="str">
        <f t="shared" si="1"/>
        <v/>
      </c>
      <c r="L30" s="29" t="str">
        <f>IF(A30="","",SUMIF(Detalle_Pagos!$A$5:$A$2004,A30,Detalle_Pagos!$I$5:$I$2004))</f>
        <v/>
      </c>
      <c r="M30" s="29" t="str">
        <f>IF(A30="","",SUMIFS(Detalle_Pagos!$I$5:$I$2004,Detalle_Pagos!$A$5:$A$2004,A30,Detalle_Pagos!$J$5:$J$2004,"No"))</f>
        <v/>
      </c>
      <c r="N30" t="str">
        <f t="shared" si="2"/>
        <v/>
      </c>
    </row>
    <row r="31" spans="2:14" x14ac:dyDescent="0.3">
      <c r="B31" s="30"/>
      <c r="G31" s="29" t="str">
        <f>IF(A31="","",IFERROR(INDEX(Criterios!$B$4:$C$83,MATCH(D31,Criterios!$A$4:$A$83,0),IF(E31="Dentro horario",1,2)),""))</f>
        <v/>
      </c>
      <c r="H31" s="29"/>
      <c r="I31" s="29" t="str">
        <f t="shared" si="0"/>
        <v/>
      </c>
      <c r="J31" t="str">
        <f>IF(A31="","",COUNTIF(Detalle_Pagos!$A$5:$A$2004,A31))</f>
        <v/>
      </c>
      <c r="K31" s="29" t="str">
        <f t="shared" si="1"/>
        <v/>
      </c>
      <c r="L31" s="29" t="str">
        <f>IF(A31="","",SUMIF(Detalle_Pagos!$A$5:$A$2004,A31,Detalle_Pagos!$I$5:$I$2004))</f>
        <v/>
      </c>
      <c r="M31" s="29" t="str">
        <f>IF(A31="","",SUMIFS(Detalle_Pagos!$I$5:$I$2004,Detalle_Pagos!$A$5:$A$2004,A31,Detalle_Pagos!$J$5:$J$2004,"No"))</f>
        <v/>
      </c>
      <c r="N31" t="str">
        <f t="shared" si="2"/>
        <v/>
      </c>
    </row>
    <row r="32" spans="2:14" x14ac:dyDescent="0.3">
      <c r="B32" s="30"/>
      <c r="G32" s="29" t="str">
        <f>IF(A32="","",IFERROR(INDEX(Criterios!$B$4:$C$83,MATCH(D32,Criterios!$A$4:$A$83,0),IF(E32="Dentro horario",1,2)),""))</f>
        <v/>
      </c>
      <c r="H32" s="29"/>
      <c r="I32" s="29" t="str">
        <f t="shared" si="0"/>
        <v/>
      </c>
      <c r="J32" t="str">
        <f>IF(A32="","",COUNTIF(Detalle_Pagos!$A$5:$A$2004,A32))</f>
        <v/>
      </c>
      <c r="K32" s="29" t="str">
        <f t="shared" si="1"/>
        <v/>
      </c>
      <c r="L32" s="29" t="str">
        <f>IF(A32="","",SUMIF(Detalle_Pagos!$A$5:$A$2004,A32,Detalle_Pagos!$I$5:$I$2004))</f>
        <v/>
      </c>
      <c r="M32" s="29" t="str">
        <f>IF(A32="","",SUMIFS(Detalle_Pagos!$I$5:$I$2004,Detalle_Pagos!$A$5:$A$2004,A32,Detalle_Pagos!$J$5:$J$2004,"No"))</f>
        <v/>
      </c>
      <c r="N32" t="str">
        <f t="shared" si="2"/>
        <v/>
      </c>
    </row>
    <row r="33" spans="2:14" x14ac:dyDescent="0.3">
      <c r="B33" s="30"/>
      <c r="G33" s="29" t="str">
        <f>IF(A33="","",IFERROR(INDEX(Criterios!$B$4:$C$83,MATCH(D33,Criterios!$A$4:$A$83,0),IF(E33="Dentro horario",1,2)),""))</f>
        <v/>
      </c>
      <c r="H33" s="29"/>
      <c r="I33" s="29" t="str">
        <f t="shared" si="0"/>
        <v/>
      </c>
      <c r="J33" t="str">
        <f>IF(A33="","",COUNTIF(Detalle_Pagos!$A$5:$A$2004,A33))</f>
        <v/>
      </c>
      <c r="K33" s="29" t="str">
        <f t="shared" si="1"/>
        <v/>
      </c>
      <c r="L33" s="29" t="str">
        <f>IF(A33="","",SUMIF(Detalle_Pagos!$A$5:$A$2004,A33,Detalle_Pagos!$I$5:$I$2004))</f>
        <v/>
      </c>
      <c r="M33" s="29" t="str">
        <f>IF(A33="","",SUMIFS(Detalle_Pagos!$I$5:$I$2004,Detalle_Pagos!$A$5:$A$2004,A33,Detalle_Pagos!$J$5:$J$2004,"No"))</f>
        <v/>
      </c>
      <c r="N33" t="str">
        <f t="shared" si="2"/>
        <v/>
      </c>
    </row>
    <row r="34" spans="2:14" x14ac:dyDescent="0.3">
      <c r="B34" s="30"/>
      <c r="G34" s="29" t="str">
        <f>IF(A34="","",IFERROR(INDEX(Criterios!$B$4:$C$83,MATCH(D34,Criterios!$A$4:$A$83,0),IF(E34="Dentro horario",1,2)),""))</f>
        <v/>
      </c>
      <c r="H34" s="29"/>
      <c r="I34" s="29" t="str">
        <f t="shared" si="0"/>
        <v/>
      </c>
      <c r="J34" t="str">
        <f>IF(A34="","",COUNTIF(Detalle_Pagos!$A$5:$A$2004,A34))</f>
        <v/>
      </c>
      <c r="K34" s="29" t="str">
        <f t="shared" si="1"/>
        <v/>
      </c>
      <c r="L34" s="29" t="str">
        <f>IF(A34="","",SUMIF(Detalle_Pagos!$A$5:$A$2004,A34,Detalle_Pagos!$I$5:$I$2004))</f>
        <v/>
      </c>
      <c r="M34" s="29" t="str">
        <f>IF(A34="","",SUMIFS(Detalle_Pagos!$I$5:$I$2004,Detalle_Pagos!$A$5:$A$2004,A34,Detalle_Pagos!$J$5:$J$2004,"No"))</f>
        <v/>
      </c>
      <c r="N34" t="str">
        <f t="shared" si="2"/>
        <v/>
      </c>
    </row>
    <row r="35" spans="2:14" x14ac:dyDescent="0.3">
      <c r="B35" s="30"/>
      <c r="G35" s="29" t="str">
        <f>IF(A35="","",IFERROR(INDEX(Criterios!$B$4:$C$83,MATCH(D35,Criterios!$A$4:$A$83,0),IF(E35="Dentro horario",1,2)),""))</f>
        <v/>
      </c>
      <c r="H35" s="29"/>
      <c r="I35" s="29" t="str">
        <f t="shared" si="0"/>
        <v/>
      </c>
      <c r="J35" t="str">
        <f>IF(A35="","",COUNTIF(Detalle_Pagos!$A$5:$A$2004,A35))</f>
        <v/>
      </c>
      <c r="K35" s="29" t="str">
        <f t="shared" si="1"/>
        <v/>
      </c>
      <c r="L35" s="29" t="str">
        <f>IF(A35="","",SUMIF(Detalle_Pagos!$A$5:$A$2004,A35,Detalle_Pagos!$I$5:$I$2004))</f>
        <v/>
      </c>
      <c r="M35" s="29" t="str">
        <f>IF(A35="","",SUMIFS(Detalle_Pagos!$I$5:$I$2004,Detalle_Pagos!$A$5:$A$2004,A35,Detalle_Pagos!$J$5:$J$2004,"No"))</f>
        <v/>
      </c>
      <c r="N35" t="str">
        <f t="shared" si="2"/>
        <v/>
      </c>
    </row>
    <row r="36" spans="2:14" x14ac:dyDescent="0.3">
      <c r="B36" s="30"/>
      <c r="G36" s="29" t="str">
        <f>IF(A36="","",IFERROR(INDEX(Criterios!$B$4:$C$83,MATCH(D36,Criterios!$A$4:$A$83,0),IF(E36="Dentro horario",1,2)),""))</f>
        <v/>
      </c>
      <c r="H36" s="29"/>
      <c r="I36" s="29" t="str">
        <f t="shared" si="0"/>
        <v/>
      </c>
      <c r="J36" t="str">
        <f>IF(A36="","",COUNTIF(Detalle_Pagos!$A$5:$A$2004,A36))</f>
        <v/>
      </c>
      <c r="K36" s="29" t="str">
        <f t="shared" si="1"/>
        <v/>
      </c>
      <c r="L36" s="29" t="str">
        <f>IF(A36="","",SUMIF(Detalle_Pagos!$A$5:$A$2004,A36,Detalle_Pagos!$I$5:$I$2004))</f>
        <v/>
      </c>
      <c r="M36" s="29" t="str">
        <f>IF(A36="","",SUMIFS(Detalle_Pagos!$I$5:$I$2004,Detalle_Pagos!$A$5:$A$2004,A36,Detalle_Pagos!$J$5:$J$2004,"No"))</f>
        <v/>
      </c>
      <c r="N36" t="str">
        <f t="shared" si="2"/>
        <v/>
      </c>
    </row>
    <row r="37" spans="2:14" x14ac:dyDescent="0.3">
      <c r="B37" s="30"/>
      <c r="G37" s="29" t="str">
        <f>IF(A37="","",IFERROR(INDEX(Criterios!$B$4:$C$83,MATCH(D37,Criterios!$A$4:$A$83,0),IF(E37="Dentro horario",1,2)),""))</f>
        <v/>
      </c>
      <c r="H37" s="29"/>
      <c r="I37" s="29" t="str">
        <f t="shared" si="0"/>
        <v/>
      </c>
      <c r="J37" t="str">
        <f>IF(A37="","",COUNTIF(Detalle_Pagos!$A$5:$A$2004,A37))</f>
        <v/>
      </c>
      <c r="K37" s="29" t="str">
        <f t="shared" si="1"/>
        <v/>
      </c>
      <c r="L37" s="29" t="str">
        <f>IF(A37="","",SUMIF(Detalle_Pagos!$A$5:$A$2004,A37,Detalle_Pagos!$I$5:$I$2004))</f>
        <v/>
      </c>
      <c r="M37" s="29" t="str">
        <f>IF(A37="","",SUMIFS(Detalle_Pagos!$I$5:$I$2004,Detalle_Pagos!$A$5:$A$2004,A37,Detalle_Pagos!$J$5:$J$2004,"No"))</f>
        <v/>
      </c>
      <c r="N37" t="str">
        <f t="shared" si="2"/>
        <v/>
      </c>
    </row>
    <row r="38" spans="2:14" x14ac:dyDescent="0.3">
      <c r="B38" s="30"/>
      <c r="G38" s="29" t="str">
        <f>IF(A38="","",IFERROR(INDEX(Criterios!$B$4:$C$83,MATCH(D38,Criterios!$A$4:$A$83,0),IF(E38="Dentro horario",1,2)),""))</f>
        <v/>
      </c>
      <c r="H38" s="29"/>
      <c r="I38" s="29" t="str">
        <f t="shared" si="0"/>
        <v/>
      </c>
      <c r="J38" t="str">
        <f>IF(A38="","",COUNTIF(Detalle_Pagos!$A$5:$A$2004,A38))</f>
        <v/>
      </c>
      <c r="K38" s="29" t="str">
        <f t="shared" si="1"/>
        <v/>
      </c>
      <c r="L38" s="29" t="str">
        <f>IF(A38="","",SUMIF(Detalle_Pagos!$A$5:$A$2004,A38,Detalle_Pagos!$I$5:$I$2004))</f>
        <v/>
      </c>
      <c r="M38" s="29" t="str">
        <f>IF(A38="","",SUMIFS(Detalle_Pagos!$I$5:$I$2004,Detalle_Pagos!$A$5:$A$2004,A38,Detalle_Pagos!$J$5:$J$2004,"No"))</f>
        <v/>
      </c>
      <c r="N38" t="str">
        <f t="shared" si="2"/>
        <v/>
      </c>
    </row>
    <row r="39" spans="2:14" x14ac:dyDescent="0.3">
      <c r="B39" s="30"/>
      <c r="G39" s="29" t="str">
        <f>IF(A39="","",IFERROR(INDEX(Criterios!$B$4:$C$83,MATCH(D39,Criterios!$A$4:$A$83,0),IF(E39="Dentro horario",1,2)),""))</f>
        <v/>
      </c>
      <c r="H39" s="29"/>
      <c r="I39" s="29" t="str">
        <f t="shared" si="0"/>
        <v/>
      </c>
      <c r="J39" t="str">
        <f>IF(A39="","",COUNTIF(Detalle_Pagos!$A$5:$A$2004,A39))</f>
        <v/>
      </c>
      <c r="K39" s="29" t="str">
        <f t="shared" si="1"/>
        <v/>
      </c>
      <c r="L39" s="29" t="str">
        <f>IF(A39="","",SUMIF(Detalle_Pagos!$A$5:$A$2004,A39,Detalle_Pagos!$I$5:$I$2004))</f>
        <v/>
      </c>
      <c r="M39" s="29" t="str">
        <f>IF(A39="","",SUMIFS(Detalle_Pagos!$I$5:$I$2004,Detalle_Pagos!$A$5:$A$2004,A39,Detalle_Pagos!$J$5:$J$2004,"No"))</f>
        <v/>
      </c>
      <c r="N39" t="str">
        <f t="shared" si="2"/>
        <v/>
      </c>
    </row>
    <row r="40" spans="2:14" x14ac:dyDescent="0.3">
      <c r="B40" s="30"/>
      <c r="G40" s="29" t="str">
        <f>IF(A40="","",IFERROR(INDEX(Criterios!$B$4:$C$83,MATCH(D40,Criterios!$A$4:$A$83,0),IF(E40="Dentro horario",1,2)),""))</f>
        <v/>
      </c>
      <c r="H40" s="29"/>
      <c r="I40" s="29" t="str">
        <f t="shared" si="0"/>
        <v/>
      </c>
      <c r="J40" t="str">
        <f>IF(A40="","",COUNTIF(Detalle_Pagos!$A$5:$A$2004,A40))</f>
        <v/>
      </c>
      <c r="K40" s="29" t="str">
        <f t="shared" si="1"/>
        <v/>
      </c>
      <c r="L40" s="29" t="str">
        <f>IF(A40="","",SUMIF(Detalle_Pagos!$A$5:$A$2004,A40,Detalle_Pagos!$I$5:$I$2004))</f>
        <v/>
      </c>
      <c r="M40" s="29" t="str">
        <f>IF(A40="","",SUMIFS(Detalle_Pagos!$I$5:$I$2004,Detalle_Pagos!$A$5:$A$2004,A40,Detalle_Pagos!$J$5:$J$2004,"No"))</f>
        <v/>
      </c>
      <c r="N40" t="str">
        <f t="shared" si="2"/>
        <v/>
      </c>
    </row>
    <row r="41" spans="2:14" x14ac:dyDescent="0.3">
      <c r="B41" s="30"/>
      <c r="G41" s="29" t="str">
        <f>IF(A41="","",IFERROR(INDEX(Criterios!$B$4:$C$83,MATCH(D41,Criterios!$A$4:$A$83,0),IF(E41="Dentro horario",1,2)),""))</f>
        <v/>
      </c>
      <c r="H41" s="29"/>
      <c r="I41" s="29" t="str">
        <f t="shared" si="0"/>
        <v/>
      </c>
      <c r="J41" t="str">
        <f>IF(A41="","",COUNTIF(Detalle_Pagos!$A$5:$A$2004,A41))</f>
        <v/>
      </c>
      <c r="K41" s="29" t="str">
        <f t="shared" si="1"/>
        <v/>
      </c>
      <c r="L41" s="29" t="str">
        <f>IF(A41="","",SUMIF(Detalle_Pagos!$A$5:$A$2004,A41,Detalle_Pagos!$I$5:$I$2004))</f>
        <v/>
      </c>
      <c r="M41" s="29" t="str">
        <f>IF(A41="","",SUMIFS(Detalle_Pagos!$I$5:$I$2004,Detalle_Pagos!$A$5:$A$2004,A41,Detalle_Pagos!$J$5:$J$2004,"No"))</f>
        <v/>
      </c>
      <c r="N41" t="str">
        <f t="shared" si="2"/>
        <v/>
      </c>
    </row>
    <row r="42" spans="2:14" x14ac:dyDescent="0.3">
      <c r="B42" s="30"/>
      <c r="G42" s="29" t="str">
        <f>IF(A42="","",IFERROR(INDEX(Criterios!$B$4:$C$83,MATCH(D42,Criterios!$A$4:$A$83,0),IF(E42="Dentro horario",1,2)),""))</f>
        <v/>
      </c>
      <c r="H42" s="29"/>
      <c r="I42" s="29" t="str">
        <f t="shared" si="0"/>
        <v/>
      </c>
      <c r="J42" t="str">
        <f>IF(A42="","",COUNTIF(Detalle_Pagos!$A$5:$A$2004,A42))</f>
        <v/>
      </c>
      <c r="K42" s="29" t="str">
        <f t="shared" si="1"/>
        <v/>
      </c>
      <c r="L42" s="29" t="str">
        <f>IF(A42="","",SUMIF(Detalle_Pagos!$A$5:$A$2004,A42,Detalle_Pagos!$I$5:$I$2004))</f>
        <v/>
      </c>
      <c r="M42" s="29" t="str">
        <f>IF(A42="","",SUMIFS(Detalle_Pagos!$I$5:$I$2004,Detalle_Pagos!$A$5:$A$2004,A42,Detalle_Pagos!$J$5:$J$2004,"No"))</f>
        <v/>
      </c>
      <c r="N42" t="str">
        <f t="shared" si="2"/>
        <v/>
      </c>
    </row>
    <row r="43" spans="2:14" x14ac:dyDescent="0.3">
      <c r="B43" s="30"/>
      <c r="G43" s="29" t="str">
        <f>IF(A43="","",IFERROR(INDEX(Criterios!$B$4:$C$83,MATCH(D43,Criterios!$A$4:$A$83,0),IF(E43="Dentro horario",1,2)),""))</f>
        <v/>
      </c>
      <c r="H43" s="29"/>
      <c r="I43" s="29" t="str">
        <f t="shared" si="0"/>
        <v/>
      </c>
      <c r="J43" t="str">
        <f>IF(A43="","",COUNTIF(Detalle_Pagos!$A$5:$A$2004,A43))</f>
        <v/>
      </c>
      <c r="K43" s="29" t="str">
        <f t="shared" si="1"/>
        <v/>
      </c>
      <c r="L43" s="29" t="str">
        <f>IF(A43="","",SUMIF(Detalle_Pagos!$A$5:$A$2004,A43,Detalle_Pagos!$I$5:$I$2004))</f>
        <v/>
      </c>
      <c r="M43" s="29" t="str">
        <f>IF(A43="","",SUMIFS(Detalle_Pagos!$I$5:$I$2004,Detalle_Pagos!$A$5:$A$2004,A43,Detalle_Pagos!$J$5:$J$2004,"No"))</f>
        <v/>
      </c>
      <c r="N43" t="str">
        <f t="shared" si="2"/>
        <v/>
      </c>
    </row>
    <row r="44" spans="2:14" x14ac:dyDescent="0.3">
      <c r="B44" s="30"/>
      <c r="G44" s="29" t="str">
        <f>IF(A44="","",IFERROR(INDEX(Criterios!$B$4:$C$83,MATCH(D44,Criterios!$A$4:$A$83,0),IF(E44="Dentro horario",1,2)),""))</f>
        <v/>
      </c>
      <c r="H44" s="29"/>
      <c r="I44" s="29" t="str">
        <f t="shared" si="0"/>
        <v/>
      </c>
      <c r="J44" t="str">
        <f>IF(A44="","",COUNTIF(Detalle_Pagos!$A$5:$A$2004,A44))</f>
        <v/>
      </c>
      <c r="K44" s="29" t="str">
        <f t="shared" si="1"/>
        <v/>
      </c>
      <c r="L44" s="29" t="str">
        <f>IF(A44="","",SUMIF(Detalle_Pagos!$A$5:$A$2004,A44,Detalle_Pagos!$I$5:$I$2004))</f>
        <v/>
      </c>
      <c r="M44" s="29" t="str">
        <f>IF(A44="","",SUMIFS(Detalle_Pagos!$I$5:$I$2004,Detalle_Pagos!$A$5:$A$2004,A44,Detalle_Pagos!$J$5:$J$2004,"No"))</f>
        <v/>
      </c>
      <c r="N44" t="str">
        <f t="shared" si="2"/>
        <v/>
      </c>
    </row>
    <row r="45" spans="2:14" x14ac:dyDescent="0.3">
      <c r="B45" s="30"/>
      <c r="G45" s="29" t="str">
        <f>IF(A45="","",IFERROR(INDEX(Criterios!$B$4:$C$83,MATCH(D45,Criterios!$A$4:$A$83,0),IF(E45="Dentro horario",1,2)),""))</f>
        <v/>
      </c>
      <c r="H45" s="29"/>
      <c r="I45" s="29" t="str">
        <f t="shared" si="0"/>
        <v/>
      </c>
      <c r="J45" t="str">
        <f>IF(A45="","",COUNTIF(Detalle_Pagos!$A$5:$A$2004,A45))</f>
        <v/>
      </c>
      <c r="K45" s="29" t="str">
        <f t="shared" si="1"/>
        <v/>
      </c>
      <c r="L45" s="29" t="str">
        <f>IF(A45="","",SUMIF(Detalle_Pagos!$A$5:$A$2004,A45,Detalle_Pagos!$I$5:$I$2004))</f>
        <v/>
      </c>
      <c r="M45" s="29" t="str">
        <f>IF(A45="","",SUMIFS(Detalle_Pagos!$I$5:$I$2004,Detalle_Pagos!$A$5:$A$2004,A45,Detalle_Pagos!$J$5:$J$2004,"No"))</f>
        <v/>
      </c>
      <c r="N45" t="str">
        <f t="shared" si="2"/>
        <v/>
      </c>
    </row>
    <row r="46" spans="2:14" x14ac:dyDescent="0.3">
      <c r="B46" s="30"/>
      <c r="G46" s="29" t="str">
        <f>IF(A46="","",IFERROR(INDEX(Criterios!$B$4:$C$83,MATCH(D46,Criterios!$A$4:$A$83,0),IF(E46="Dentro horario",1,2)),""))</f>
        <v/>
      </c>
      <c r="H46" s="29"/>
      <c r="I46" s="29" t="str">
        <f t="shared" si="0"/>
        <v/>
      </c>
      <c r="J46" t="str">
        <f>IF(A46="","",COUNTIF(Detalle_Pagos!$A$5:$A$2004,A46))</f>
        <v/>
      </c>
      <c r="K46" s="29" t="str">
        <f t="shared" si="1"/>
        <v/>
      </c>
      <c r="L46" s="29" t="str">
        <f>IF(A46="","",SUMIF(Detalle_Pagos!$A$5:$A$2004,A46,Detalle_Pagos!$I$5:$I$2004))</f>
        <v/>
      </c>
      <c r="M46" s="29" t="str">
        <f>IF(A46="","",SUMIFS(Detalle_Pagos!$I$5:$I$2004,Detalle_Pagos!$A$5:$A$2004,A46,Detalle_Pagos!$J$5:$J$2004,"No"))</f>
        <v/>
      </c>
      <c r="N46" t="str">
        <f t="shared" si="2"/>
        <v/>
      </c>
    </row>
    <row r="47" spans="2:14" x14ac:dyDescent="0.3">
      <c r="B47" s="30"/>
      <c r="G47" s="29" t="str">
        <f>IF(A47="","",IFERROR(INDEX(Criterios!$B$4:$C$83,MATCH(D47,Criterios!$A$4:$A$83,0),IF(E47="Dentro horario",1,2)),""))</f>
        <v/>
      </c>
      <c r="H47" s="29"/>
      <c r="I47" s="29" t="str">
        <f t="shared" si="0"/>
        <v/>
      </c>
      <c r="J47" t="str">
        <f>IF(A47="","",COUNTIF(Detalle_Pagos!$A$5:$A$2004,A47))</f>
        <v/>
      </c>
      <c r="K47" s="29" t="str">
        <f t="shared" si="1"/>
        <v/>
      </c>
      <c r="L47" s="29" t="str">
        <f>IF(A47="","",SUMIF(Detalle_Pagos!$A$5:$A$2004,A47,Detalle_Pagos!$I$5:$I$2004))</f>
        <v/>
      </c>
      <c r="M47" s="29" t="str">
        <f>IF(A47="","",SUMIFS(Detalle_Pagos!$I$5:$I$2004,Detalle_Pagos!$A$5:$A$2004,A47,Detalle_Pagos!$J$5:$J$2004,"No"))</f>
        <v/>
      </c>
      <c r="N47" t="str">
        <f t="shared" si="2"/>
        <v/>
      </c>
    </row>
    <row r="48" spans="2:14" x14ac:dyDescent="0.3">
      <c r="B48" s="30"/>
      <c r="G48" s="29" t="str">
        <f>IF(A48="","",IFERROR(INDEX(Criterios!$B$4:$C$83,MATCH(D48,Criterios!$A$4:$A$83,0),IF(E48="Dentro horario",1,2)),""))</f>
        <v/>
      </c>
      <c r="H48" s="29"/>
      <c r="I48" s="29" t="str">
        <f t="shared" si="0"/>
        <v/>
      </c>
      <c r="J48" t="str">
        <f>IF(A48="","",COUNTIF(Detalle_Pagos!$A$5:$A$2004,A48))</f>
        <v/>
      </c>
      <c r="K48" s="29" t="str">
        <f t="shared" si="1"/>
        <v/>
      </c>
      <c r="L48" s="29" t="str">
        <f>IF(A48="","",SUMIF(Detalle_Pagos!$A$5:$A$2004,A48,Detalle_Pagos!$I$5:$I$2004))</f>
        <v/>
      </c>
      <c r="M48" s="29" t="str">
        <f>IF(A48="","",SUMIFS(Detalle_Pagos!$I$5:$I$2004,Detalle_Pagos!$A$5:$A$2004,A48,Detalle_Pagos!$J$5:$J$2004,"No"))</f>
        <v/>
      </c>
      <c r="N48" t="str">
        <f t="shared" si="2"/>
        <v/>
      </c>
    </row>
    <row r="49" spans="2:14" x14ac:dyDescent="0.3">
      <c r="B49" s="30"/>
      <c r="G49" s="29" t="str">
        <f>IF(A49="","",IFERROR(INDEX(Criterios!$B$4:$C$83,MATCH(D49,Criterios!$A$4:$A$83,0),IF(E49="Dentro horario",1,2)),""))</f>
        <v/>
      </c>
      <c r="H49" s="29"/>
      <c r="I49" s="29" t="str">
        <f t="shared" si="0"/>
        <v/>
      </c>
      <c r="J49" t="str">
        <f>IF(A49="","",COUNTIF(Detalle_Pagos!$A$5:$A$2004,A49))</f>
        <v/>
      </c>
      <c r="K49" s="29" t="str">
        <f t="shared" si="1"/>
        <v/>
      </c>
      <c r="L49" s="29" t="str">
        <f>IF(A49="","",SUMIF(Detalle_Pagos!$A$5:$A$2004,A49,Detalle_Pagos!$I$5:$I$2004))</f>
        <v/>
      </c>
      <c r="M49" s="29" t="str">
        <f>IF(A49="","",SUMIFS(Detalle_Pagos!$I$5:$I$2004,Detalle_Pagos!$A$5:$A$2004,A49,Detalle_Pagos!$J$5:$J$2004,"No"))</f>
        <v/>
      </c>
      <c r="N49" t="str">
        <f t="shared" si="2"/>
        <v/>
      </c>
    </row>
    <row r="50" spans="2:14" x14ac:dyDescent="0.3">
      <c r="B50" s="30"/>
      <c r="G50" s="29" t="str">
        <f>IF(A50="","",IFERROR(INDEX(Criterios!$B$4:$C$83,MATCH(D50,Criterios!$A$4:$A$83,0),IF(E50="Dentro horario",1,2)),""))</f>
        <v/>
      </c>
      <c r="H50" s="29"/>
      <c r="I50" s="29" t="str">
        <f t="shared" si="0"/>
        <v/>
      </c>
      <c r="J50" t="str">
        <f>IF(A50="","",COUNTIF(Detalle_Pagos!$A$5:$A$2004,A50))</f>
        <v/>
      </c>
      <c r="K50" s="29" t="str">
        <f t="shared" si="1"/>
        <v/>
      </c>
      <c r="L50" s="29" t="str">
        <f>IF(A50="","",SUMIF(Detalle_Pagos!$A$5:$A$2004,A50,Detalle_Pagos!$I$5:$I$2004))</f>
        <v/>
      </c>
      <c r="M50" s="29" t="str">
        <f>IF(A50="","",SUMIFS(Detalle_Pagos!$I$5:$I$2004,Detalle_Pagos!$A$5:$A$2004,A50,Detalle_Pagos!$J$5:$J$2004,"No"))</f>
        <v/>
      </c>
      <c r="N50" t="str">
        <f t="shared" si="2"/>
        <v/>
      </c>
    </row>
    <row r="51" spans="2:14" x14ac:dyDescent="0.3">
      <c r="B51" s="30"/>
      <c r="G51" s="29" t="str">
        <f>IF(A51="","",IFERROR(INDEX(Criterios!$B$4:$C$83,MATCH(D51,Criterios!$A$4:$A$83,0),IF(E51="Dentro horario",1,2)),""))</f>
        <v/>
      </c>
      <c r="H51" s="29"/>
      <c r="I51" s="29" t="str">
        <f t="shared" si="0"/>
        <v/>
      </c>
      <c r="J51" t="str">
        <f>IF(A51="","",COUNTIF(Detalle_Pagos!$A$5:$A$2004,A51))</f>
        <v/>
      </c>
      <c r="K51" s="29" t="str">
        <f t="shared" si="1"/>
        <v/>
      </c>
      <c r="L51" s="29" t="str">
        <f>IF(A51="","",SUMIF(Detalle_Pagos!$A$5:$A$2004,A51,Detalle_Pagos!$I$5:$I$2004))</f>
        <v/>
      </c>
      <c r="M51" s="29" t="str">
        <f>IF(A51="","",SUMIFS(Detalle_Pagos!$I$5:$I$2004,Detalle_Pagos!$A$5:$A$2004,A51,Detalle_Pagos!$J$5:$J$2004,"No"))</f>
        <v/>
      </c>
      <c r="N51" t="str">
        <f t="shared" si="2"/>
        <v/>
      </c>
    </row>
    <row r="52" spans="2:14" x14ac:dyDescent="0.3">
      <c r="B52" s="30"/>
      <c r="G52" s="29" t="str">
        <f>IF(A52="","",IFERROR(INDEX(Criterios!$B$4:$C$83,MATCH(D52,Criterios!$A$4:$A$83,0),IF(E52="Dentro horario",1,2)),""))</f>
        <v/>
      </c>
      <c r="H52" s="29"/>
      <c r="I52" s="29" t="str">
        <f t="shared" si="0"/>
        <v/>
      </c>
      <c r="J52" t="str">
        <f>IF(A52="","",COUNTIF(Detalle_Pagos!$A$5:$A$2004,A52))</f>
        <v/>
      </c>
      <c r="K52" s="29" t="str">
        <f t="shared" si="1"/>
        <v/>
      </c>
      <c r="L52" s="29" t="str">
        <f>IF(A52="","",SUMIF(Detalle_Pagos!$A$5:$A$2004,A52,Detalle_Pagos!$I$5:$I$2004))</f>
        <v/>
      </c>
      <c r="M52" s="29" t="str">
        <f>IF(A52="","",SUMIFS(Detalle_Pagos!$I$5:$I$2004,Detalle_Pagos!$A$5:$A$2004,A52,Detalle_Pagos!$J$5:$J$2004,"No"))</f>
        <v/>
      </c>
      <c r="N52" t="str">
        <f t="shared" si="2"/>
        <v/>
      </c>
    </row>
    <row r="53" spans="2:14" x14ac:dyDescent="0.3">
      <c r="B53" s="30"/>
      <c r="G53" s="29" t="str">
        <f>IF(A53="","",IFERROR(INDEX(Criterios!$B$4:$C$83,MATCH(D53,Criterios!$A$4:$A$83,0),IF(E53="Dentro horario",1,2)),""))</f>
        <v/>
      </c>
      <c r="H53" s="29"/>
      <c r="I53" s="29" t="str">
        <f t="shared" si="0"/>
        <v/>
      </c>
      <c r="J53" t="str">
        <f>IF(A53="","",COUNTIF(Detalle_Pagos!$A$5:$A$2004,A53))</f>
        <v/>
      </c>
      <c r="K53" s="29" t="str">
        <f t="shared" si="1"/>
        <v/>
      </c>
      <c r="L53" s="29" t="str">
        <f>IF(A53="","",SUMIF(Detalle_Pagos!$A$5:$A$2004,A53,Detalle_Pagos!$I$5:$I$2004))</f>
        <v/>
      </c>
      <c r="M53" s="29" t="str">
        <f>IF(A53="","",SUMIFS(Detalle_Pagos!$I$5:$I$2004,Detalle_Pagos!$A$5:$A$2004,A53,Detalle_Pagos!$J$5:$J$2004,"No"))</f>
        <v/>
      </c>
      <c r="N53" t="str">
        <f t="shared" si="2"/>
        <v/>
      </c>
    </row>
    <row r="54" spans="2:14" x14ac:dyDescent="0.3">
      <c r="B54" s="30"/>
      <c r="G54" s="29" t="str">
        <f>IF(A54="","",IFERROR(INDEX(Criterios!$B$4:$C$83,MATCH(D54,Criterios!$A$4:$A$83,0),IF(E54="Dentro horario",1,2)),""))</f>
        <v/>
      </c>
      <c r="H54" s="29"/>
      <c r="I54" s="29" t="str">
        <f t="shared" si="0"/>
        <v/>
      </c>
      <c r="J54" t="str">
        <f>IF(A54="","",COUNTIF(Detalle_Pagos!$A$5:$A$2004,A54))</f>
        <v/>
      </c>
      <c r="K54" s="29" t="str">
        <f t="shared" si="1"/>
        <v/>
      </c>
      <c r="L54" s="29" t="str">
        <f>IF(A54="","",SUMIF(Detalle_Pagos!$A$5:$A$2004,A54,Detalle_Pagos!$I$5:$I$2004))</f>
        <v/>
      </c>
      <c r="M54" s="29" t="str">
        <f>IF(A54="","",SUMIFS(Detalle_Pagos!$I$5:$I$2004,Detalle_Pagos!$A$5:$A$2004,A54,Detalle_Pagos!$J$5:$J$2004,"No"))</f>
        <v/>
      </c>
      <c r="N54" t="str">
        <f t="shared" si="2"/>
        <v/>
      </c>
    </row>
    <row r="55" spans="2:14" x14ac:dyDescent="0.3">
      <c r="B55" s="30"/>
      <c r="G55" s="29" t="str">
        <f>IF(A55="","",IFERROR(INDEX(Criterios!$B$4:$C$83,MATCH(D55,Criterios!$A$4:$A$83,0),IF(E55="Dentro horario",1,2)),""))</f>
        <v/>
      </c>
      <c r="H55" s="29"/>
      <c r="I55" s="29" t="str">
        <f t="shared" si="0"/>
        <v/>
      </c>
      <c r="J55" t="str">
        <f>IF(A55="","",COUNTIF(Detalle_Pagos!$A$5:$A$2004,A55))</f>
        <v/>
      </c>
      <c r="K55" s="29" t="str">
        <f t="shared" si="1"/>
        <v/>
      </c>
      <c r="L55" s="29" t="str">
        <f>IF(A55="","",SUMIF(Detalle_Pagos!$A$5:$A$2004,A55,Detalle_Pagos!$I$5:$I$2004))</f>
        <v/>
      </c>
      <c r="M55" s="29" t="str">
        <f>IF(A55="","",SUMIFS(Detalle_Pagos!$I$5:$I$2004,Detalle_Pagos!$A$5:$A$2004,A55,Detalle_Pagos!$J$5:$J$2004,"No"))</f>
        <v/>
      </c>
      <c r="N55" t="str">
        <f t="shared" si="2"/>
        <v/>
      </c>
    </row>
    <row r="56" spans="2:14" x14ac:dyDescent="0.3">
      <c r="B56" s="30"/>
      <c r="G56" s="29" t="str">
        <f>IF(A56="","",IFERROR(INDEX(Criterios!$B$4:$C$83,MATCH(D56,Criterios!$A$4:$A$83,0),IF(E56="Dentro horario",1,2)),""))</f>
        <v/>
      </c>
      <c r="H56" s="29"/>
      <c r="I56" s="29" t="str">
        <f t="shared" si="0"/>
        <v/>
      </c>
      <c r="J56" t="str">
        <f>IF(A56="","",COUNTIF(Detalle_Pagos!$A$5:$A$2004,A56))</f>
        <v/>
      </c>
      <c r="K56" s="29" t="str">
        <f t="shared" si="1"/>
        <v/>
      </c>
      <c r="L56" s="29" t="str">
        <f>IF(A56="","",SUMIF(Detalle_Pagos!$A$5:$A$2004,A56,Detalle_Pagos!$I$5:$I$2004))</f>
        <v/>
      </c>
      <c r="M56" s="29" t="str">
        <f>IF(A56="","",SUMIFS(Detalle_Pagos!$I$5:$I$2004,Detalle_Pagos!$A$5:$A$2004,A56,Detalle_Pagos!$J$5:$J$2004,"No"))</f>
        <v/>
      </c>
      <c r="N56" t="str">
        <f t="shared" si="2"/>
        <v/>
      </c>
    </row>
    <row r="57" spans="2:14" x14ac:dyDescent="0.3">
      <c r="B57" s="30"/>
      <c r="G57" s="29" t="str">
        <f>IF(A57="","",IFERROR(INDEX(Criterios!$B$4:$C$83,MATCH(D57,Criterios!$A$4:$A$83,0),IF(E57="Dentro horario",1,2)),""))</f>
        <v/>
      </c>
      <c r="H57" s="29"/>
      <c r="I57" s="29" t="str">
        <f t="shared" si="0"/>
        <v/>
      </c>
      <c r="J57" t="str">
        <f>IF(A57="","",COUNTIF(Detalle_Pagos!$A$5:$A$2004,A57))</f>
        <v/>
      </c>
      <c r="K57" s="29" t="str">
        <f t="shared" si="1"/>
        <v/>
      </c>
      <c r="L57" s="29" t="str">
        <f>IF(A57="","",SUMIF(Detalle_Pagos!$A$5:$A$2004,A57,Detalle_Pagos!$I$5:$I$2004))</f>
        <v/>
      </c>
      <c r="M57" s="29" t="str">
        <f>IF(A57="","",SUMIFS(Detalle_Pagos!$I$5:$I$2004,Detalle_Pagos!$A$5:$A$2004,A57,Detalle_Pagos!$J$5:$J$2004,"No"))</f>
        <v/>
      </c>
      <c r="N57" t="str">
        <f t="shared" si="2"/>
        <v/>
      </c>
    </row>
    <row r="58" spans="2:14" x14ac:dyDescent="0.3">
      <c r="B58" s="30"/>
      <c r="G58" s="29" t="str">
        <f>IF(A58="","",IFERROR(INDEX(Criterios!$B$4:$C$83,MATCH(D58,Criterios!$A$4:$A$83,0),IF(E58="Dentro horario",1,2)),""))</f>
        <v/>
      </c>
      <c r="H58" s="29"/>
      <c r="I58" s="29" t="str">
        <f t="shared" si="0"/>
        <v/>
      </c>
      <c r="J58" t="str">
        <f>IF(A58="","",COUNTIF(Detalle_Pagos!$A$5:$A$2004,A58))</f>
        <v/>
      </c>
      <c r="K58" s="29" t="str">
        <f t="shared" si="1"/>
        <v/>
      </c>
      <c r="L58" s="29" t="str">
        <f>IF(A58="","",SUMIF(Detalle_Pagos!$A$5:$A$2004,A58,Detalle_Pagos!$I$5:$I$2004))</f>
        <v/>
      </c>
      <c r="M58" s="29" t="str">
        <f>IF(A58="","",SUMIFS(Detalle_Pagos!$I$5:$I$2004,Detalle_Pagos!$A$5:$A$2004,A58,Detalle_Pagos!$J$5:$J$2004,"No"))</f>
        <v/>
      </c>
      <c r="N58" t="str">
        <f t="shared" si="2"/>
        <v/>
      </c>
    </row>
    <row r="59" spans="2:14" x14ac:dyDescent="0.3">
      <c r="B59" s="30"/>
      <c r="G59" s="29" t="str">
        <f>IF(A59="","",IFERROR(INDEX(Criterios!$B$4:$C$83,MATCH(D59,Criterios!$A$4:$A$83,0),IF(E59="Dentro horario",1,2)),""))</f>
        <v/>
      </c>
      <c r="H59" s="29"/>
      <c r="I59" s="29" t="str">
        <f t="shared" si="0"/>
        <v/>
      </c>
      <c r="J59" t="str">
        <f>IF(A59="","",COUNTIF(Detalle_Pagos!$A$5:$A$2004,A59))</f>
        <v/>
      </c>
      <c r="K59" s="29" t="str">
        <f t="shared" si="1"/>
        <v/>
      </c>
      <c r="L59" s="29" t="str">
        <f>IF(A59="","",SUMIF(Detalle_Pagos!$A$5:$A$2004,A59,Detalle_Pagos!$I$5:$I$2004))</f>
        <v/>
      </c>
      <c r="M59" s="29" t="str">
        <f>IF(A59="","",SUMIFS(Detalle_Pagos!$I$5:$I$2004,Detalle_Pagos!$A$5:$A$2004,A59,Detalle_Pagos!$J$5:$J$2004,"No"))</f>
        <v/>
      </c>
      <c r="N59" t="str">
        <f t="shared" si="2"/>
        <v/>
      </c>
    </row>
    <row r="60" spans="2:14" x14ac:dyDescent="0.3">
      <c r="B60" s="30"/>
      <c r="G60" s="29" t="str">
        <f>IF(A60="","",IFERROR(INDEX(Criterios!$B$4:$C$83,MATCH(D60,Criterios!$A$4:$A$83,0),IF(E60="Dentro horario",1,2)),""))</f>
        <v/>
      </c>
      <c r="H60" s="29"/>
      <c r="I60" s="29" t="str">
        <f t="shared" si="0"/>
        <v/>
      </c>
      <c r="J60" t="str">
        <f>IF(A60="","",COUNTIF(Detalle_Pagos!$A$5:$A$2004,A60))</f>
        <v/>
      </c>
      <c r="K60" s="29" t="str">
        <f t="shared" si="1"/>
        <v/>
      </c>
      <c r="L60" s="29" t="str">
        <f>IF(A60="","",SUMIF(Detalle_Pagos!$A$5:$A$2004,A60,Detalle_Pagos!$I$5:$I$2004))</f>
        <v/>
      </c>
      <c r="M60" s="29" t="str">
        <f>IF(A60="","",SUMIFS(Detalle_Pagos!$I$5:$I$2004,Detalle_Pagos!$A$5:$A$2004,A60,Detalle_Pagos!$J$5:$J$2004,"No"))</f>
        <v/>
      </c>
      <c r="N60" t="str">
        <f t="shared" si="2"/>
        <v/>
      </c>
    </row>
    <row r="61" spans="2:14" x14ac:dyDescent="0.3">
      <c r="B61" s="30"/>
      <c r="G61" s="29" t="str">
        <f>IF(A61="","",IFERROR(INDEX(Criterios!$B$4:$C$83,MATCH(D61,Criterios!$A$4:$A$83,0),IF(E61="Dentro horario",1,2)),""))</f>
        <v/>
      </c>
      <c r="H61" s="29"/>
      <c r="I61" s="29" t="str">
        <f t="shared" si="0"/>
        <v/>
      </c>
      <c r="J61" t="str">
        <f>IF(A61="","",COUNTIF(Detalle_Pagos!$A$5:$A$2004,A61))</f>
        <v/>
      </c>
      <c r="K61" s="29" t="str">
        <f t="shared" si="1"/>
        <v/>
      </c>
      <c r="L61" s="29" t="str">
        <f>IF(A61="","",SUMIF(Detalle_Pagos!$A$5:$A$2004,A61,Detalle_Pagos!$I$5:$I$2004))</f>
        <v/>
      </c>
      <c r="M61" s="29" t="str">
        <f>IF(A61="","",SUMIFS(Detalle_Pagos!$I$5:$I$2004,Detalle_Pagos!$A$5:$A$2004,A61,Detalle_Pagos!$J$5:$J$2004,"No"))</f>
        <v/>
      </c>
      <c r="N61" t="str">
        <f t="shared" si="2"/>
        <v/>
      </c>
    </row>
    <row r="62" spans="2:14" x14ac:dyDescent="0.3">
      <c r="B62" s="30"/>
      <c r="G62" s="29" t="str">
        <f>IF(A62="","",IFERROR(INDEX(Criterios!$B$4:$C$83,MATCH(D62,Criterios!$A$4:$A$83,0),IF(E62="Dentro horario",1,2)),""))</f>
        <v/>
      </c>
      <c r="H62" s="29"/>
      <c r="I62" s="29" t="str">
        <f t="shared" si="0"/>
        <v/>
      </c>
      <c r="J62" t="str">
        <f>IF(A62="","",COUNTIF(Detalle_Pagos!$A$5:$A$2004,A62))</f>
        <v/>
      </c>
      <c r="K62" s="29" t="str">
        <f t="shared" si="1"/>
        <v/>
      </c>
      <c r="L62" s="29" t="str">
        <f>IF(A62="","",SUMIF(Detalle_Pagos!$A$5:$A$2004,A62,Detalle_Pagos!$I$5:$I$2004))</f>
        <v/>
      </c>
      <c r="M62" s="29" t="str">
        <f>IF(A62="","",SUMIFS(Detalle_Pagos!$I$5:$I$2004,Detalle_Pagos!$A$5:$A$2004,A62,Detalle_Pagos!$J$5:$J$2004,"No"))</f>
        <v/>
      </c>
      <c r="N62" t="str">
        <f t="shared" si="2"/>
        <v/>
      </c>
    </row>
    <row r="63" spans="2:14" x14ac:dyDescent="0.3">
      <c r="B63" s="30"/>
      <c r="G63" s="29" t="str">
        <f>IF(A63="","",IFERROR(INDEX(Criterios!$B$4:$C$83,MATCH(D63,Criterios!$A$4:$A$83,0),IF(E63="Dentro horario",1,2)),""))</f>
        <v/>
      </c>
      <c r="H63" s="29"/>
      <c r="I63" s="29" t="str">
        <f t="shared" si="0"/>
        <v/>
      </c>
      <c r="J63" t="str">
        <f>IF(A63="","",COUNTIF(Detalle_Pagos!$A$5:$A$2004,A63))</f>
        <v/>
      </c>
      <c r="K63" s="29" t="str">
        <f t="shared" si="1"/>
        <v/>
      </c>
      <c r="L63" s="29" t="str">
        <f>IF(A63="","",SUMIF(Detalle_Pagos!$A$5:$A$2004,A63,Detalle_Pagos!$I$5:$I$2004))</f>
        <v/>
      </c>
      <c r="M63" s="29" t="str">
        <f>IF(A63="","",SUMIFS(Detalle_Pagos!$I$5:$I$2004,Detalle_Pagos!$A$5:$A$2004,A63,Detalle_Pagos!$J$5:$J$2004,"No"))</f>
        <v/>
      </c>
      <c r="N63" t="str">
        <f t="shared" si="2"/>
        <v/>
      </c>
    </row>
    <row r="64" spans="2:14" x14ac:dyDescent="0.3">
      <c r="B64" s="30"/>
      <c r="G64" s="29" t="str">
        <f>IF(A64="","",IFERROR(INDEX(Criterios!$B$4:$C$83,MATCH(D64,Criterios!$A$4:$A$83,0),IF(E64="Dentro horario",1,2)),""))</f>
        <v/>
      </c>
      <c r="H64" s="29"/>
      <c r="I64" s="29" t="str">
        <f t="shared" si="0"/>
        <v/>
      </c>
      <c r="J64" t="str">
        <f>IF(A64="","",COUNTIF(Detalle_Pagos!$A$5:$A$2004,A64))</f>
        <v/>
      </c>
      <c r="K64" s="29" t="str">
        <f t="shared" si="1"/>
        <v/>
      </c>
      <c r="L64" s="29" t="str">
        <f>IF(A64="","",SUMIF(Detalle_Pagos!$A$5:$A$2004,A64,Detalle_Pagos!$I$5:$I$2004))</f>
        <v/>
      </c>
      <c r="M64" s="29" t="str">
        <f>IF(A64="","",SUMIFS(Detalle_Pagos!$I$5:$I$2004,Detalle_Pagos!$A$5:$A$2004,A64,Detalle_Pagos!$J$5:$J$2004,"No"))</f>
        <v/>
      </c>
      <c r="N64" t="str">
        <f t="shared" si="2"/>
        <v/>
      </c>
    </row>
    <row r="65" spans="2:14" x14ac:dyDescent="0.3">
      <c r="B65" s="30"/>
      <c r="G65" s="29" t="str">
        <f>IF(A65="","",IFERROR(INDEX(Criterios!$B$4:$C$83,MATCH(D65,Criterios!$A$4:$A$83,0),IF(E65="Dentro horario",1,2)),""))</f>
        <v/>
      </c>
      <c r="H65" s="29"/>
      <c r="I65" s="29" t="str">
        <f t="shared" si="0"/>
        <v/>
      </c>
      <c r="J65" t="str">
        <f>IF(A65="","",COUNTIF(Detalle_Pagos!$A$5:$A$2004,A65))</f>
        <v/>
      </c>
      <c r="K65" s="29" t="str">
        <f t="shared" si="1"/>
        <v/>
      </c>
      <c r="L65" s="29" t="str">
        <f>IF(A65="","",SUMIF(Detalle_Pagos!$A$5:$A$2004,A65,Detalle_Pagos!$I$5:$I$2004))</f>
        <v/>
      </c>
      <c r="M65" s="29" t="str">
        <f>IF(A65="","",SUMIFS(Detalle_Pagos!$I$5:$I$2004,Detalle_Pagos!$A$5:$A$2004,A65,Detalle_Pagos!$J$5:$J$2004,"No"))</f>
        <v/>
      </c>
      <c r="N65" t="str">
        <f t="shared" si="2"/>
        <v/>
      </c>
    </row>
    <row r="66" spans="2:14" x14ac:dyDescent="0.3">
      <c r="B66" s="30"/>
      <c r="G66" s="29" t="str">
        <f>IF(A66="","",IFERROR(INDEX(Criterios!$B$4:$C$83,MATCH(D66,Criterios!$A$4:$A$83,0),IF(E66="Dentro horario",1,2)),""))</f>
        <v/>
      </c>
      <c r="H66" s="29"/>
      <c r="I66" s="29" t="str">
        <f t="shared" si="0"/>
        <v/>
      </c>
      <c r="J66" t="str">
        <f>IF(A66="","",COUNTIF(Detalle_Pagos!$A$5:$A$2004,A66))</f>
        <v/>
      </c>
      <c r="K66" s="29" t="str">
        <f t="shared" si="1"/>
        <v/>
      </c>
      <c r="L66" s="29" t="str">
        <f>IF(A66="","",SUMIF(Detalle_Pagos!$A$5:$A$2004,A66,Detalle_Pagos!$I$5:$I$2004))</f>
        <v/>
      </c>
      <c r="M66" s="29" t="str">
        <f>IF(A66="","",SUMIFS(Detalle_Pagos!$I$5:$I$2004,Detalle_Pagos!$A$5:$A$2004,A66,Detalle_Pagos!$J$5:$J$2004,"No"))</f>
        <v/>
      </c>
      <c r="N66" t="str">
        <f t="shared" si="2"/>
        <v/>
      </c>
    </row>
    <row r="67" spans="2:14" x14ac:dyDescent="0.3">
      <c r="B67" s="30"/>
      <c r="G67" s="29" t="str">
        <f>IF(A67="","",IFERROR(INDEX(Criterios!$B$4:$C$83,MATCH(D67,Criterios!$A$4:$A$83,0),IF(E67="Dentro horario",1,2)),""))</f>
        <v/>
      </c>
      <c r="H67" s="29"/>
      <c r="I67" s="29" t="str">
        <f t="shared" si="0"/>
        <v/>
      </c>
      <c r="J67" t="str">
        <f>IF(A67="","",COUNTIF(Detalle_Pagos!$A$5:$A$2004,A67))</f>
        <v/>
      </c>
      <c r="K67" s="29" t="str">
        <f t="shared" si="1"/>
        <v/>
      </c>
      <c r="L67" s="29" t="str">
        <f>IF(A67="","",SUMIF(Detalle_Pagos!$A$5:$A$2004,A67,Detalle_Pagos!$I$5:$I$2004))</f>
        <v/>
      </c>
      <c r="M67" s="29" t="str">
        <f>IF(A67="","",SUMIFS(Detalle_Pagos!$I$5:$I$2004,Detalle_Pagos!$A$5:$A$2004,A67,Detalle_Pagos!$J$5:$J$2004,"No"))</f>
        <v/>
      </c>
      <c r="N67" t="str">
        <f t="shared" si="2"/>
        <v/>
      </c>
    </row>
    <row r="68" spans="2:14" x14ac:dyDescent="0.3">
      <c r="B68" s="30"/>
      <c r="G68" s="29" t="str">
        <f>IF(A68="","",IFERROR(INDEX(Criterios!$B$4:$C$83,MATCH(D68,Criterios!$A$4:$A$83,0),IF(E68="Dentro horario",1,2)),""))</f>
        <v/>
      </c>
      <c r="H68" s="29"/>
      <c r="I68" s="29" t="str">
        <f t="shared" si="0"/>
        <v/>
      </c>
      <c r="J68" t="str">
        <f>IF(A68="","",COUNTIF(Detalle_Pagos!$A$5:$A$2004,A68))</f>
        <v/>
      </c>
      <c r="K68" s="29" t="str">
        <f t="shared" si="1"/>
        <v/>
      </c>
      <c r="L68" s="29" t="str">
        <f>IF(A68="","",SUMIF(Detalle_Pagos!$A$5:$A$2004,A68,Detalle_Pagos!$I$5:$I$2004))</f>
        <v/>
      </c>
      <c r="M68" s="29" t="str">
        <f>IF(A68="","",SUMIFS(Detalle_Pagos!$I$5:$I$2004,Detalle_Pagos!$A$5:$A$2004,A68,Detalle_Pagos!$J$5:$J$2004,"No"))</f>
        <v/>
      </c>
      <c r="N68" t="str">
        <f t="shared" si="2"/>
        <v/>
      </c>
    </row>
    <row r="69" spans="2:14" x14ac:dyDescent="0.3">
      <c r="B69" s="30"/>
      <c r="G69" s="29" t="str">
        <f>IF(A69="","",IFERROR(INDEX(Criterios!$B$4:$C$83,MATCH(D69,Criterios!$A$4:$A$83,0),IF(E69="Dentro horario",1,2)),""))</f>
        <v/>
      </c>
      <c r="H69" s="29"/>
      <c r="I69" s="29" t="str">
        <f t="shared" ref="I69:I132" si="3">IF(A69="","",IF(OR(F69="",G69=""),"",F69*G69+N(H69)))</f>
        <v/>
      </c>
      <c r="J69" t="str">
        <f>IF(A69="","",COUNTIF(Detalle_Pagos!$A$5:$A$2004,A69))</f>
        <v/>
      </c>
      <c r="K69" s="29" t="str">
        <f t="shared" ref="K69:K132" si="4">IF(A69="","",IF(OR(J69=0,I69=""),"",I69/J69))</f>
        <v/>
      </c>
      <c r="L69" s="29" t="str">
        <f>IF(A69="","",SUMIF(Detalle_Pagos!$A$5:$A$2004,A69,Detalle_Pagos!$I$5:$I$2004))</f>
        <v/>
      </c>
      <c r="M69" s="29" t="str">
        <f>IF(A69="","",SUMIFS(Detalle_Pagos!$I$5:$I$2004,Detalle_Pagos!$A$5:$A$2004,A69,Detalle_Pagos!$J$5:$J$2004,"No"))</f>
        <v/>
      </c>
      <c r="N69" t="str">
        <f t="shared" ref="N69:N132" si="5">IF(A69="","",IF(J69=0,"Sin detalle",IF(M69=0,"Pagada","Pendiente")))</f>
        <v/>
      </c>
    </row>
    <row r="70" spans="2:14" x14ac:dyDescent="0.3">
      <c r="B70" s="30"/>
      <c r="G70" s="29" t="str">
        <f>IF(A70="","",IFERROR(INDEX(Criterios!$B$4:$C$83,MATCH(D70,Criterios!$A$4:$A$83,0),IF(E70="Dentro horario",1,2)),""))</f>
        <v/>
      </c>
      <c r="H70" s="29"/>
      <c r="I70" s="29" t="str">
        <f t="shared" si="3"/>
        <v/>
      </c>
      <c r="J70" t="str">
        <f>IF(A70="","",COUNTIF(Detalle_Pagos!$A$5:$A$2004,A70))</f>
        <v/>
      </c>
      <c r="K70" s="29" t="str">
        <f t="shared" si="4"/>
        <v/>
      </c>
      <c r="L70" s="29" t="str">
        <f>IF(A70="","",SUMIF(Detalle_Pagos!$A$5:$A$2004,A70,Detalle_Pagos!$I$5:$I$2004))</f>
        <v/>
      </c>
      <c r="M70" s="29" t="str">
        <f>IF(A70="","",SUMIFS(Detalle_Pagos!$I$5:$I$2004,Detalle_Pagos!$A$5:$A$2004,A70,Detalle_Pagos!$J$5:$J$2004,"No"))</f>
        <v/>
      </c>
      <c r="N70" t="str">
        <f t="shared" si="5"/>
        <v/>
      </c>
    </row>
    <row r="71" spans="2:14" x14ac:dyDescent="0.3">
      <c r="B71" s="30"/>
      <c r="G71" s="29" t="str">
        <f>IF(A71="","",IFERROR(INDEX(Criterios!$B$4:$C$83,MATCH(D71,Criterios!$A$4:$A$83,0),IF(E71="Dentro horario",1,2)),""))</f>
        <v/>
      </c>
      <c r="H71" s="29"/>
      <c r="I71" s="29" t="str">
        <f t="shared" si="3"/>
        <v/>
      </c>
      <c r="J71" t="str">
        <f>IF(A71="","",COUNTIF(Detalle_Pagos!$A$5:$A$2004,A71))</f>
        <v/>
      </c>
      <c r="K71" s="29" t="str">
        <f t="shared" si="4"/>
        <v/>
      </c>
      <c r="L71" s="29" t="str">
        <f>IF(A71="","",SUMIF(Detalle_Pagos!$A$5:$A$2004,A71,Detalle_Pagos!$I$5:$I$2004))</f>
        <v/>
      </c>
      <c r="M71" s="29" t="str">
        <f>IF(A71="","",SUMIFS(Detalle_Pagos!$I$5:$I$2004,Detalle_Pagos!$A$5:$A$2004,A71,Detalle_Pagos!$J$5:$J$2004,"No"))</f>
        <v/>
      </c>
      <c r="N71" t="str">
        <f t="shared" si="5"/>
        <v/>
      </c>
    </row>
    <row r="72" spans="2:14" x14ac:dyDescent="0.3">
      <c r="B72" s="30"/>
      <c r="G72" s="29" t="str">
        <f>IF(A72="","",IFERROR(INDEX(Criterios!$B$4:$C$83,MATCH(D72,Criterios!$A$4:$A$83,0),IF(E72="Dentro horario",1,2)),""))</f>
        <v/>
      </c>
      <c r="H72" s="29"/>
      <c r="I72" s="29" t="str">
        <f t="shared" si="3"/>
        <v/>
      </c>
      <c r="J72" t="str">
        <f>IF(A72="","",COUNTIF(Detalle_Pagos!$A$5:$A$2004,A72))</f>
        <v/>
      </c>
      <c r="K72" s="29" t="str">
        <f t="shared" si="4"/>
        <v/>
      </c>
      <c r="L72" s="29" t="str">
        <f>IF(A72="","",SUMIF(Detalle_Pagos!$A$5:$A$2004,A72,Detalle_Pagos!$I$5:$I$2004))</f>
        <v/>
      </c>
      <c r="M72" s="29" t="str">
        <f>IF(A72="","",SUMIFS(Detalle_Pagos!$I$5:$I$2004,Detalle_Pagos!$A$5:$A$2004,A72,Detalle_Pagos!$J$5:$J$2004,"No"))</f>
        <v/>
      </c>
      <c r="N72" t="str">
        <f t="shared" si="5"/>
        <v/>
      </c>
    </row>
    <row r="73" spans="2:14" x14ac:dyDescent="0.3">
      <c r="B73" s="30"/>
      <c r="G73" s="29" t="str">
        <f>IF(A73="","",IFERROR(INDEX(Criterios!$B$4:$C$83,MATCH(D73,Criterios!$A$4:$A$83,0),IF(E73="Dentro horario",1,2)),""))</f>
        <v/>
      </c>
      <c r="H73" s="29"/>
      <c r="I73" s="29" t="str">
        <f t="shared" si="3"/>
        <v/>
      </c>
      <c r="J73" t="str">
        <f>IF(A73="","",COUNTIF(Detalle_Pagos!$A$5:$A$2004,A73))</f>
        <v/>
      </c>
      <c r="K73" s="29" t="str">
        <f t="shared" si="4"/>
        <v/>
      </c>
      <c r="L73" s="29" t="str">
        <f>IF(A73="","",SUMIF(Detalle_Pagos!$A$5:$A$2004,A73,Detalle_Pagos!$I$5:$I$2004))</f>
        <v/>
      </c>
      <c r="M73" s="29" t="str">
        <f>IF(A73="","",SUMIFS(Detalle_Pagos!$I$5:$I$2004,Detalle_Pagos!$A$5:$A$2004,A73,Detalle_Pagos!$J$5:$J$2004,"No"))</f>
        <v/>
      </c>
      <c r="N73" t="str">
        <f t="shared" si="5"/>
        <v/>
      </c>
    </row>
    <row r="74" spans="2:14" x14ac:dyDescent="0.3">
      <c r="B74" s="30"/>
      <c r="G74" s="29" t="str">
        <f>IF(A74="","",IFERROR(INDEX(Criterios!$B$4:$C$83,MATCH(D74,Criterios!$A$4:$A$83,0),IF(E74="Dentro horario",1,2)),""))</f>
        <v/>
      </c>
      <c r="H74" s="29"/>
      <c r="I74" s="29" t="str">
        <f t="shared" si="3"/>
        <v/>
      </c>
      <c r="J74" t="str">
        <f>IF(A74="","",COUNTIF(Detalle_Pagos!$A$5:$A$2004,A74))</f>
        <v/>
      </c>
      <c r="K74" s="29" t="str">
        <f t="shared" si="4"/>
        <v/>
      </c>
      <c r="L74" s="29" t="str">
        <f>IF(A74="","",SUMIF(Detalle_Pagos!$A$5:$A$2004,A74,Detalle_Pagos!$I$5:$I$2004))</f>
        <v/>
      </c>
      <c r="M74" s="29" t="str">
        <f>IF(A74="","",SUMIFS(Detalle_Pagos!$I$5:$I$2004,Detalle_Pagos!$A$5:$A$2004,A74,Detalle_Pagos!$J$5:$J$2004,"No"))</f>
        <v/>
      </c>
      <c r="N74" t="str">
        <f t="shared" si="5"/>
        <v/>
      </c>
    </row>
    <row r="75" spans="2:14" x14ac:dyDescent="0.3">
      <c r="B75" s="30"/>
      <c r="G75" s="29" t="str">
        <f>IF(A75="","",IFERROR(INDEX(Criterios!$B$4:$C$83,MATCH(D75,Criterios!$A$4:$A$83,0),IF(E75="Dentro horario",1,2)),""))</f>
        <v/>
      </c>
      <c r="H75" s="29"/>
      <c r="I75" s="29" t="str">
        <f t="shared" si="3"/>
        <v/>
      </c>
      <c r="J75" t="str">
        <f>IF(A75="","",COUNTIF(Detalle_Pagos!$A$5:$A$2004,A75))</f>
        <v/>
      </c>
      <c r="K75" s="29" t="str">
        <f t="shared" si="4"/>
        <v/>
      </c>
      <c r="L75" s="29" t="str">
        <f>IF(A75="","",SUMIF(Detalle_Pagos!$A$5:$A$2004,A75,Detalle_Pagos!$I$5:$I$2004))</f>
        <v/>
      </c>
      <c r="M75" s="29" t="str">
        <f>IF(A75="","",SUMIFS(Detalle_Pagos!$I$5:$I$2004,Detalle_Pagos!$A$5:$A$2004,A75,Detalle_Pagos!$J$5:$J$2004,"No"))</f>
        <v/>
      </c>
      <c r="N75" t="str">
        <f t="shared" si="5"/>
        <v/>
      </c>
    </row>
    <row r="76" spans="2:14" x14ac:dyDescent="0.3">
      <c r="B76" s="30"/>
      <c r="G76" s="29" t="str">
        <f>IF(A76="","",IFERROR(INDEX(Criterios!$B$4:$C$83,MATCH(D76,Criterios!$A$4:$A$83,0),IF(E76="Dentro horario",1,2)),""))</f>
        <v/>
      </c>
      <c r="H76" s="29"/>
      <c r="I76" s="29" t="str">
        <f t="shared" si="3"/>
        <v/>
      </c>
      <c r="J76" t="str">
        <f>IF(A76="","",COUNTIF(Detalle_Pagos!$A$5:$A$2004,A76))</f>
        <v/>
      </c>
      <c r="K76" s="29" t="str">
        <f t="shared" si="4"/>
        <v/>
      </c>
      <c r="L76" s="29" t="str">
        <f>IF(A76="","",SUMIF(Detalle_Pagos!$A$5:$A$2004,A76,Detalle_Pagos!$I$5:$I$2004))</f>
        <v/>
      </c>
      <c r="M76" s="29" t="str">
        <f>IF(A76="","",SUMIFS(Detalle_Pagos!$I$5:$I$2004,Detalle_Pagos!$A$5:$A$2004,A76,Detalle_Pagos!$J$5:$J$2004,"No"))</f>
        <v/>
      </c>
      <c r="N76" t="str">
        <f t="shared" si="5"/>
        <v/>
      </c>
    </row>
    <row r="77" spans="2:14" x14ac:dyDescent="0.3">
      <c r="B77" s="30"/>
      <c r="G77" s="29" t="str">
        <f>IF(A77="","",IFERROR(INDEX(Criterios!$B$4:$C$83,MATCH(D77,Criterios!$A$4:$A$83,0),IF(E77="Dentro horario",1,2)),""))</f>
        <v/>
      </c>
      <c r="H77" s="29"/>
      <c r="I77" s="29" t="str">
        <f t="shared" si="3"/>
        <v/>
      </c>
      <c r="J77" t="str">
        <f>IF(A77="","",COUNTIF(Detalle_Pagos!$A$5:$A$2004,A77))</f>
        <v/>
      </c>
      <c r="K77" s="29" t="str">
        <f t="shared" si="4"/>
        <v/>
      </c>
      <c r="L77" s="29" t="str">
        <f>IF(A77="","",SUMIF(Detalle_Pagos!$A$5:$A$2004,A77,Detalle_Pagos!$I$5:$I$2004))</f>
        <v/>
      </c>
      <c r="M77" s="29" t="str">
        <f>IF(A77="","",SUMIFS(Detalle_Pagos!$I$5:$I$2004,Detalle_Pagos!$A$5:$A$2004,A77,Detalle_Pagos!$J$5:$J$2004,"No"))</f>
        <v/>
      </c>
      <c r="N77" t="str">
        <f t="shared" si="5"/>
        <v/>
      </c>
    </row>
    <row r="78" spans="2:14" x14ac:dyDescent="0.3">
      <c r="B78" s="30"/>
      <c r="G78" s="29" t="str">
        <f>IF(A78="","",IFERROR(INDEX(Criterios!$B$4:$C$83,MATCH(D78,Criterios!$A$4:$A$83,0),IF(E78="Dentro horario",1,2)),""))</f>
        <v/>
      </c>
      <c r="H78" s="29"/>
      <c r="I78" s="29" t="str">
        <f t="shared" si="3"/>
        <v/>
      </c>
      <c r="J78" t="str">
        <f>IF(A78="","",COUNTIF(Detalle_Pagos!$A$5:$A$2004,A78))</f>
        <v/>
      </c>
      <c r="K78" s="29" t="str">
        <f t="shared" si="4"/>
        <v/>
      </c>
      <c r="L78" s="29" t="str">
        <f>IF(A78="","",SUMIF(Detalle_Pagos!$A$5:$A$2004,A78,Detalle_Pagos!$I$5:$I$2004))</f>
        <v/>
      </c>
      <c r="M78" s="29" t="str">
        <f>IF(A78="","",SUMIFS(Detalle_Pagos!$I$5:$I$2004,Detalle_Pagos!$A$5:$A$2004,A78,Detalle_Pagos!$J$5:$J$2004,"No"))</f>
        <v/>
      </c>
      <c r="N78" t="str">
        <f t="shared" si="5"/>
        <v/>
      </c>
    </row>
    <row r="79" spans="2:14" x14ac:dyDescent="0.3">
      <c r="B79" s="30"/>
      <c r="G79" s="29" t="str">
        <f>IF(A79="","",IFERROR(INDEX(Criterios!$B$4:$C$83,MATCH(D79,Criterios!$A$4:$A$83,0),IF(E79="Dentro horario",1,2)),""))</f>
        <v/>
      </c>
      <c r="H79" s="29"/>
      <c r="I79" s="29" t="str">
        <f t="shared" si="3"/>
        <v/>
      </c>
      <c r="J79" t="str">
        <f>IF(A79="","",COUNTIF(Detalle_Pagos!$A$5:$A$2004,A79))</f>
        <v/>
      </c>
      <c r="K79" s="29" t="str">
        <f t="shared" si="4"/>
        <v/>
      </c>
      <c r="L79" s="29" t="str">
        <f>IF(A79="","",SUMIF(Detalle_Pagos!$A$5:$A$2004,A79,Detalle_Pagos!$I$5:$I$2004))</f>
        <v/>
      </c>
      <c r="M79" s="29" t="str">
        <f>IF(A79="","",SUMIFS(Detalle_Pagos!$I$5:$I$2004,Detalle_Pagos!$A$5:$A$2004,A79,Detalle_Pagos!$J$5:$J$2004,"No"))</f>
        <v/>
      </c>
      <c r="N79" t="str">
        <f t="shared" si="5"/>
        <v/>
      </c>
    </row>
    <row r="80" spans="2:14" x14ac:dyDescent="0.3">
      <c r="B80" s="30"/>
      <c r="G80" s="29" t="str">
        <f>IF(A80="","",IFERROR(INDEX(Criterios!$B$4:$C$83,MATCH(D80,Criterios!$A$4:$A$83,0),IF(E80="Dentro horario",1,2)),""))</f>
        <v/>
      </c>
      <c r="H80" s="29"/>
      <c r="I80" s="29" t="str">
        <f t="shared" si="3"/>
        <v/>
      </c>
      <c r="J80" t="str">
        <f>IF(A80="","",COUNTIF(Detalle_Pagos!$A$5:$A$2004,A80))</f>
        <v/>
      </c>
      <c r="K80" s="29" t="str">
        <f t="shared" si="4"/>
        <v/>
      </c>
      <c r="L80" s="29" t="str">
        <f>IF(A80="","",SUMIF(Detalle_Pagos!$A$5:$A$2004,A80,Detalle_Pagos!$I$5:$I$2004))</f>
        <v/>
      </c>
      <c r="M80" s="29" t="str">
        <f>IF(A80="","",SUMIFS(Detalle_Pagos!$I$5:$I$2004,Detalle_Pagos!$A$5:$A$2004,A80,Detalle_Pagos!$J$5:$J$2004,"No"))</f>
        <v/>
      </c>
      <c r="N80" t="str">
        <f t="shared" si="5"/>
        <v/>
      </c>
    </row>
    <row r="81" spans="2:14" x14ac:dyDescent="0.3">
      <c r="B81" s="30"/>
      <c r="G81" s="29" t="str">
        <f>IF(A81="","",IFERROR(INDEX(Criterios!$B$4:$C$83,MATCH(D81,Criterios!$A$4:$A$83,0),IF(E81="Dentro horario",1,2)),""))</f>
        <v/>
      </c>
      <c r="H81" s="29"/>
      <c r="I81" s="29" t="str">
        <f t="shared" si="3"/>
        <v/>
      </c>
      <c r="J81" t="str">
        <f>IF(A81="","",COUNTIF(Detalle_Pagos!$A$5:$A$2004,A81))</f>
        <v/>
      </c>
      <c r="K81" s="29" t="str">
        <f t="shared" si="4"/>
        <v/>
      </c>
      <c r="L81" s="29" t="str">
        <f>IF(A81="","",SUMIF(Detalle_Pagos!$A$5:$A$2004,A81,Detalle_Pagos!$I$5:$I$2004))</f>
        <v/>
      </c>
      <c r="M81" s="29" t="str">
        <f>IF(A81="","",SUMIFS(Detalle_Pagos!$I$5:$I$2004,Detalle_Pagos!$A$5:$A$2004,A81,Detalle_Pagos!$J$5:$J$2004,"No"))</f>
        <v/>
      </c>
      <c r="N81" t="str">
        <f t="shared" si="5"/>
        <v/>
      </c>
    </row>
    <row r="82" spans="2:14" x14ac:dyDescent="0.3">
      <c r="B82" s="30"/>
      <c r="G82" s="29" t="str">
        <f>IF(A82="","",IFERROR(INDEX(Criterios!$B$4:$C$83,MATCH(D82,Criterios!$A$4:$A$83,0),IF(E82="Dentro horario",1,2)),""))</f>
        <v/>
      </c>
      <c r="H82" s="29"/>
      <c r="I82" s="29" t="str">
        <f t="shared" si="3"/>
        <v/>
      </c>
      <c r="J82" t="str">
        <f>IF(A82="","",COUNTIF(Detalle_Pagos!$A$5:$A$2004,A82))</f>
        <v/>
      </c>
      <c r="K82" s="29" t="str">
        <f t="shared" si="4"/>
        <v/>
      </c>
      <c r="L82" s="29" t="str">
        <f>IF(A82="","",SUMIF(Detalle_Pagos!$A$5:$A$2004,A82,Detalle_Pagos!$I$5:$I$2004))</f>
        <v/>
      </c>
      <c r="M82" s="29" t="str">
        <f>IF(A82="","",SUMIFS(Detalle_Pagos!$I$5:$I$2004,Detalle_Pagos!$A$5:$A$2004,A82,Detalle_Pagos!$J$5:$J$2004,"No"))</f>
        <v/>
      </c>
      <c r="N82" t="str">
        <f t="shared" si="5"/>
        <v/>
      </c>
    </row>
    <row r="83" spans="2:14" x14ac:dyDescent="0.3">
      <c r="B83" s="30"/>
      <c r="G83" s="29" t="str">
        <f>IF(A83="","",IFERROR(INDEX(Criterios!$B$4:$C$83,MATCH(D83,Criterios!$A$4:$A$83,0),IF(E83="Dentro horario",1,2)),""))</f>
        <v/>
      </c>
      <c r="H83" s="29"/>
      <c r="I83" s="29" t="str">
        <f t="shared" si="3"/>
        <v/>
      </c>
      <c r="J83" t="str">
        <f>IF(A83="","",COUNTIF(Detalle_Pagos!$A$5:$A$2004,A83))</f>
        <v/>
      </c>
      <c r="K83" s="29" t="str">
        <f t="shared" si="4"/>
        <v/>
      </c>
      <c r="L83" s="29" t="str">
        <f>IF(A83="","",SUMIF(Detalle_Pagos!$A$5:$A$2004,A83,Detalle_Pagos!$I$5:$I$2004))</f>
        <v/>
      </c>
      <c r="M83" s="29" t="str">
        <f>IF(A83="","",SUMIFS(Detalle_Pagos!$I$5:$I$2004,Detalle_Pagos!$A$5:$A$2004,A83,Detalle_Pagos!$J$5:$J$2004,"No"))</f>
        <v/>
      </c>
      <c r="N83" t="str">
        <f t="shared" si="5"/>
        <v/>
      </c>
    </row>
    <row r="84" spans="2:14" x14ac:dyDescent="0.3">
      <c r="B84" s="30"/>
      <c r="G84" s="29" t="str">
        <f>IF(A84="","",IFERROR(INDEX(Criterios!$B$4:$C$83,MATCH(D84,Criterios!$A$4:$A$83,0),IF(E84="Dentro horario",1,2)),""))</f>
        <v/>
      </c>
      <c r="H84" s="29"/>
      <c r="I84" s="29" t="str">
        <f t="shared" si="3"/>
        <v/>
      </c>
      <c r="J84" t="str">
        <f>IF(A84="","",COUNTIF(Detalle_Pagos!$A$5:$A$2004,A84))</f>
        <v/>
      </c>
      <c r="K84" s="29" t="str">
        <f t="shared" si="4"/>
        <v/>
      </c>
      <c r="L84" s="29" t="str">
        <f>IF(A84="","",SUMIF(Detalle_Pagos!$A$5:$A$2004,A84,Detalle_Pagos!$I$5:$I$2004))</f>
        <v/>
      </c>
      <c r="M84" s="29" t="str">
        <f>IF(A84="","",SUMIFS(Detalle_Pagos!$I$5:$I$2004,Detalle_Pagos!$A$5:$A$2004,A84,Detalle_Pagos!$J$5:$J$2004,"No"))</f>
        <v/>
      </c>
      <c r="N84" t="str">
        <f t="shared" si="5"/>
        <v/>
      </c>
    </row>
    <row r="85" spans="2:14" x14ac:dyDescent="0.3">
      <c r="B85" s="30"/>
      <c r="G85" s="29" t="str">
        <f>IF(A85="","",IFERROR(INDEX(Criterios!$B$4:$C$83,MATCH(D85,Criterios!$A$4:$A$83,0),IF(E85="Dentro horario",1,2)),""))</f>
        <v/>
      </c>
      <c r="H85" s="29"/>
      <c r="I85" s="29" t="str">
        <f t="shared" si="3"/>
        <v/>
      </c>
      <c r="J85" t="str">
        <f>IF(A85="","",COUNTIF(Detalle_Pagos!$A$5:$A$2004,A85))</f>
        <v/>
      </c>
      <c r="K85" s="29" t="str">
        <f t="shared" si="4"/>
        <v/>
      </c>
      <c r="L85" s="29" t="str">
        <f>IF(A85="","",SUMIF(Detalle_Pagos!$A$5:$A$2004,A85,Detalle_Pagos!$I$5:$I$2004))</f>
        <v/>
      </c>
      <c r="M85" s="29" t="str">
        <f>IF(A85="","",SUMIFS(Detalle_Pagos!$I$5:$I$2004,Detalle_Pagos!$A$5:$A$2004,A85,Detalle_Pagos!$J$5:$J$2004,"No"))</f>
        <v/>
      </c>
      <c r="N85" t="str">
        <f t="shared" si="5"/>
        <v/>
      </c>
    </row>
    <row r="86" spans="2:14" x14ac:dyDescent="0.3">
      <c r="B86" s="30"/>
      <c r="G86" s="29" t="str">
        <f>IF(A86="","",IFERROR(INDEX(Criterios!$B$4:$C$83,MATCH(D86,Criterios!$A$4:$A$83,0),IF(E86="Dentro horario",1,2)),""))</f>
        <v/>
      </c>
      <c r="H86" s="29"/>
      <c r="I86" s="29" t="str">
        <f t="shared" si="3"/>
        <v/>
      </c>
      <c r="J86" t="str">
        <f>IF(A86="","",COUNTIF(Detalle_Pagos!$A$5:$A$2004,A86))</f>
        <v/>
      </c>
      <c r="K86" s="29" t="str">
        <f t="shared" si="4"/>
        <v/>
      </c>
      <c r="L86" s="29" t="str">
        <f>IF(A86="","",SUMIF(Detalle_Pagos!$A$5:$A$2004,A86,Detalle_Pagos!$I$5:$I$2004))</f>
        <v/>
      </c>
      <c r="M86" s="29" t="str">
        <f>IF(A86="","",SUMIFS(Detalle_Pagos!$I$5:$I$2004,Detalle_Pagos!$A$5:$A$2004,A86,Detalle_Pagos!$J$5:$J$2004,"No"))</f>
        <v/>
      </c>
      <c r="N86" t="str">
        <f t="shared" si="5"/>
        <v/>
      </c>
    </row>
    <row r="87" spans="2:14" x14ac:dyDescent="0.3">
      <c r="B87" s="30"/>
      <c r="G87" s="29" t="str">
        <f>IF(A87="","",IFERROR(INDEX(Criterios!$B$4:$C$83,MATCH(D87,Criterios!$A$4:$A$83,0),IF(E87="Dentro horario",1,2)),""))</f>
        <v/>
      </c>
      <c r="H87" s="29"/>
      <c r="I87" s="29" t="str">
        <f t="shared" si="3"/>
        <v/>
      </c>
      <c r="J87" t="str">
        <f>IF(A87="","",COUNTIF(Detalle_Pagos!$A$5:$A$2004,A87))</f>
        <v/>
      </c>
      <c r="K87" s="29" t="str">
        <f t="shared" si="4"/>
        <v/>
      </c>
      <c r="L87" s="29" t="str">
        <f>IF(A87="","",SUMIF(Detalle_Pagos!$A$5:$A$2004,A87,Detalle_Pagos!$I$5:$I$2004))</f>
        <v/>
      </c>
      <c r="M87" s="29" t="str">
        <f>IF(A87="","",SUMIFS(Detalle_Pagos!$I$5:$I$2004,Detalle_Pagos!$A$5:$A$2004,A87,Detalle_Pagos!$J$5:$J$2004,"No"))</f>
        <v/>
      </c>
      <c r="N87" t="str">
        <f t="shared" si="5"/>
        <v/>
      </c>
    </row>
    <row r="88" spans="2:14" x14ac:dyDescent="0.3">
      <c r="B88" s="30"/>
      <c r="G88" s="29" t="str">
        <f>IF(A88="","",IFERROR(INDEX(Criterios!$B$4:$C$83,MATCH(D88,Criterios!$A$4:$A$83,0),IF(E88="Dentro horario",1,2)),""))</f>
        <v/>
      </c>
      <c r="H88" s="29"/>
      <c r="I88" s="29" t="str">
        <f t="shared" si="3"/>
        <v/>
      </c>
      <c r="J88" t="str">
        <f>IF(A88="","",COUNTIF(Detalle_Pagos!$A$5:$A$2004,A88))</f>
        <v/>
      </c>
      <c r="K88" s="29" t="str">
        <f t="shared" si="4"/>
        <v/>
      </c>
      <c r="L88" s="29" t="str">
        <f>IF(A88="","",SUMIF(Detalle_Pagos!$A$5:$A$2004,A88,Detalle_Pagos!$I$5:$I$2004))</f>
        <v/>
      </c>
      <c r="M88" s="29" t="str">
        <f>IF(A88="","",SUMIFS(Detalle_Pagos!$I$5:$I$2004,Detalle_Pagos!$A$5:$A$2004,A88,Detalle_Pagos!$J$5:$J$2004,"No"))</f>
        <v/>
      </c>
      <c r="N88" t="str">
        <f t="shared" si="5"/>
        <v/>
      </c>
    </row>
    <row r="89" spans="2:14" x14ac:dyDescent="0.3">
      <c r="B89" s="30"/>
      <c r="G89" s="29" t="str">
        <f>IF(A89="","",IFERROR(INDEX(Criterios!$B$4:$C$83,MATCH(D89,Criterios!$A$4:$A$83,0),IF(E89="Dentro horario",1,2)),""))</f>
        <v/>
      </c>
      <c r="H89" s="29"/>
      <c r="I89" s="29" t="str">
        <f t="shared" si="3"/>
        <v/>
      </c>
      <c r="J89" t="str">
        <f>IF(A89="","",COUNTIF(Detalle_Pagos!$A$5:$A$2004,A89))</f>
        <v/>
      </c>
      <c r="K89" s="29" t="str">
        <f t="shared" si="4"/>
        <v/>
      </c>
      <c r="L89" s="29" t="str">
        <f>IF(A89="","",SUMIF(Detalle_Pagos!$A$5:$A$2004,A89,Detalle_Pagos!$I$5:$I$2004))</f>
        <v/>
      </c>
      <c r="M89" s="29" t="str">
        <f>IF(A89="","",SUMIFS(Detalle_Pagos!$I$5:$I$2004,Detalle_Pagos!$A$5:$A$2004,A89,Detalle_Pagos!$J$5:$J$2004,"No"))</f>
        <v/>
      </c>
      <c r="N89" t="str">
        <f t="shared" si="5"/>
        <v/>
      </c>
    </row>
    <row r="90" spans="2:14" x14ac:dyDescent="0.3">
      <c r="B90" s="30"/>
      <c r="G90" s="29" t="str">
        <f>IF(A90="","",IFERROR(INDEX(Criterios!$B$4:$C$83,MATCH(D90,Criterios!$A$4:$A$83,0),IF(E90="Dentro horario",1,2)),""))</f>
        <v/>
      </c>
      <c r="H90" s="29"/>
      <c r="I90" s="29" t="str">
        <f t="shared" si="3"/>
        <v/>
      </c>
      <c r="J90" t="str">
        <f>IF(A90="","",COUNTIF(Detalle_Pagos!$A$5:$A$2004,A90))</f>
        <v/>
      </c>
      <c r="K90" s="29" t="str">
        <f t="shared" si="4"/>
        <v/>
      </c>
      <c r="L90" s="29" t="str">
        <f>IF(A90="","",SUMIF(Detalle_Pagos!$A$5:$A$2004,A90,Detalle_Pagos!$I$5:$I$2004))</f>
        <v/>
      </c>
      <c r="M90" s="29" t="str">
        <f>IF(A90="","",SUMIFS(Detalle_Pagos!$I$5:$I$2004,Detalle_Pagos!$A$5:$A$2004,A90,Detalle_Pagos!$J$5:$J$2004,"No"))</f>
        <v/>
      </c>
      <c r="N90" t="str">
        <f t="shared" si="5"/>
        <v/>
      </c>
    </row>
    <row r="91" spans="2:14" x14ac:dyDescent="0.3">
      <c r="B91" s="30"/>
      <c r="G91" s="29" t="str">
        <f>IF(A91="","",IFERROR(INDEX(Criterios!$B$4:$C$83,MATCH(D91,Criterios!$A$4:$A$83,0),IF(E91="Dentro horario",1,2)),""))</f>
        <v/>
      </c>
      <c r="H91" s="29"/>
      <c r="I91" s="29" t="str">
        <f t="shared" si="3"/>
        <v/>
      </c>
      <c r="J91" t="str">
        <f>IF(A91="","",COUNTIF(Detalle_Pagos!$A$5:$A$2004,A91))</f>
        <v/>
      </c>
      <c r="K91" s="29" t="str">
        <f t="shared" si="4"/>
        <v/>
      </c>
      <c r="L91" s="29" t="str">
        <f>IF(A91="","",SUMIF(Detalle_Pagos!$A$5:$A$2004,A91,Detalle_Pagos!$I$5:$I$2004))</f>
        <v/>
      </c>
      <c r="M91" s="29" t="str">
        <f>IF(A91="","",SUMIFS(Detalle_Pagos!$I$5:$I$2004,Detalle_Pagos!$A$5:$A$2004,A91,Detalle_Pagos!$J$5:$J$2004,"No"))</f>
        <v/>
      </c>
      <c r="N91" t="str">
        <f t="shared" si="5"/>
        <v/>
      </c>
    </row>
    <row r="92" spans="2:14" x14ac:dyDescent="0.3">
      <c r="B92" s="30"/>
      <c r="G92" s="29" t="str">
        <f>IF(A92="","",IFERROR(INDEX(Criterios!$B$4:$C$83,MATCH(D92,Criterios!$A$4:$A$83,0),IF(E92="Dentro horario",1,2)),""))</f>
        <v/>
      </c>
      <c r="H92" s="29"/>
      <c r="I92" s="29" t="str">
        <f t="shared" si="3"/>
        <v/>
      </c>
      <c r="J92" t="str">
        <f>IF(A92="","",COUNTIF(Detalle_Pagos!$A$5:$A$2004,A92))</f>
        <v/>
      </c>
      <c r="K92" s="29" t="str">
        <f t="shared" si="4"/>
        <v/>
      </c>
      <c r="L92" s="29" t="str">
        <f>IF(A92="","",SUMIF(Detalle_Pagos!$A$5:$A$2004,A92,Detalle_Pagos!$I$5:$I$2004))</f>
        <v/>
      </c>
      <c r="M92" s="29" t="str">
        <f>IF(A92="","",SUMIFS(Detalle_Pagos!$I$5:$I$2004,Detalle_Pagos!$A$5:$A$2004,A92,Detalle_Pagos!$J$5:$J$2004,"No"))</f>
        <v/>
      </c>
      <c r="N92" t="str">
        <f t="shared" si="5"/>
        <v/>
      </c>
    </row>
    <row r="93" spans="2:14" x14ac:dyDescent="0.3">
      <c r="B93" s="30"/>
      <c r="G93" s="29" t="str">
        <f>IF(A93="","",IFERROR(INDEX(Criterios!$B$4:$C$83,MATCH(D93,Criterios!$A$4:$A$83,0),IF(E93="Dentro horario",1,2)),""))</f>
        <v/>
      </c>
      <c r="H93" s="29"/>
      <c r="I93" s="29" t="str">
        <f t="shared" si="3"/>
        <v/>
      </c>
      <c r="J93" t="str">
        <f>IF(A93="","",COUNTIF(Detalle_Pagos!$A$5:$A$2004,A93))</f>
        <v/>
      </c>
      <c r="K93" s="29" t="str">
        <f t="shared" si="4"/>
        <v/>
      </c>
      <c r="L93" s="29" t="str">
        <f>IF(A93="","",SUMIF(Detalle_Pagos!$A$5:$A$2004,A93,Detalle_Pagos!$I$5:$I$2004))</f>
        <v/>
      </c>
      <c r="M93" s="29" t="str">
        <f>IF(A93="","",SUMIFS(Detalle_Pagos!$I$5:$I$2004,Detalle_Pagos!$A$5:$A$2004,A93,Detalle_Pagos!$J$5:$J$2004,"No"))</f>
        <v/>
      </c>
      <c r="N93" t="str">
        <f t="shared" si="5"/>
        <v/>
      </c>
    </row>
    <row r="94" spans="2:14" x14ac:dyDescent="0.3">
      <c r="B94" s="30"/>
      <c r="G94" s="29" t="str">
        <f>IF(A94="","",IFERROR(INDEX(Criterios!$B$4:$C$83,MATCH(D94,Criterios!$A$4:$A$83,0),IF(E94="Dentro horario",1,2)),""))</f>
        <v/>
      </c>
      <c r="H94" s="29"/>
      <c r="I94" s="29" t="str">
        <f t="shared" si="3"/>
        <v/>
      </c>
      <c r="J94" t="str">
        <f>IF(A94="","",COUNTIF(Detalle_Pagos!$A$5:$A$2004,A94))</f>
        <v/>
      </c>
      <c r="K94" s="29" t="str">
        <f t="shared" si="4"/>
        <v/>
      </c>
      <c r="L94" s="29" t="str">
        <f>IF(A94="","",SUMIF(Detalle_Pagos!$A$5:$A$2004,A94,Detalle_Pagos!$I$5:$I$2004))</f>
        <v/>
      </c>
      <c r="M94" s="29" t="str">
        <f>IF(A94="","",SUMIFS(Detalle_Pagos!$I$5:$I$2004,Detalle_Pagos!$A$5:$A$2004,A94,Detalle_Pagos!$J$5:$J$2004,"No"))</f>
        <v/>
      </c>
      <c r="N94" t="str">
        <f t="shared" si="5"/>
        <v/>
      </c>
    </row>
    <row r="95" spans="2:14" x14ac:dyDescent="0.3">
      <c r="B95" s="30"/>
      <c r="G95" s="29" t="str">
        <f>IF(A95="","",IFERROR(INDEX(Criterios!$B$4:$C$83,MATCH(D95,Criterios!$A$4:$A$83,0),IF(E95="Dentro horario",1,2)),""))</f>
        <v/>
      </c>
      <c r="H95" s="29"/>
      <c r="I95" s="29" t="str">
        <f t="shared" si="3"/>
        <v/>
      </c>
      <c r="J95" t="str">
        <f>IF(A95="","",COUNTIF(Detalle_Pagos!$A$5:$A$2004,A95))</f>
        <v/>
      </c>
      <c r="K95" s="29" t="str">
        <f t="shared" si="4"/>
        <v/>
      </c>
      <c r="L95" s="29" t="str">
        <f>IF(A95="","",SUMIF(Detalle_Pagos!$A$5:$A$2004,A95,Detalle_Pagos!$I$5:$I$2004))</f>
        <v/>
      </c>
      <c r="M95" s="29" t="str">
        <f>IF(A95="","",SUMIFS(Detalle_Pagos!$I$5:$I$2004,Detalle_Pagos!$A$5:$A$2004,A95,Detalle_Pagos!$J$5:$J$2004,"No"))</f>
        <v/>
      </c>
      <c r="N95" t="str">
        <f t="shared" si="5"/>
        <v/>
      </c>
    </row>
    <row r="96" spans="2:14" x14ac:dyDescent="0.3">
      <c r="B96" s="30"/>
      <c r="G96" s="29" t="str">
        <f>IF(A96="","",IFERROR(INDEX(Criterios!$B$4:$C$83,MATCH(D96,Criterios!$A$4:$A$83,0),IF(E96="Dentro horario",1,2)),""))</f>
        <v/>
      </c>
      <c r="H96" s="29"/>
      <c r="I96" s="29" t="str">
        <f t="shared" si="3"/>
        <v/>
      </c>
      <c r="J96" t="str">
        <f>IF(A96="","",COUNTIF(Detalle_Pagos!$A$5:$A$2004,A96))</f>
        <v/>
      </c>
      <c r="K96" s="29" t="str">
        <f t="shared" si="4"/>
        <v/>
      </c>
      <c r="L96" s="29" t="str">
        <f>IF(A96="","",SUMIF(Detalle_Pagos!$A$5:$A$2004,A96,Detalle_Pagos!$I$5:$I$2004))</f>
        <v/>
      </c>
      <c r="M96" s="29" t="str">
        <f>IF(A96="","",SUMIFS(Detalle_Pagos!$I$5:$I$2004,Detalle_Pagos!$A$5:$A$2004,A96,Detalle_Pagos!$J$5:$J$2004,"No"))</f>
        <v/>
      </c>
      <c r="N96" t="str">
        <f t="shared" si="5"/>
        <v/>
      </c>
    </row>
    <row r="97" spans="2:14" x14ac:dyDescent="0.3">
      <c r="B97" s="30"/>
      <c r="G97" s="29" t="str">
        <f>IF(A97="","",IFERROR(INDEX(Criterios!$B$4:$C$83,MATCH(D97,Criterios!$A$4:$A$83,0),IF(E97="Dentro horario",1,2)),""))</f>
        <v/>
      </c>
      <c r="H97" s="29"/>
      <c r="I97" s="29" t="str">
        <f t="shared" si="3"/>
        <v/>
      </c>
      <c r="J97" t="str">
        <f>IF(A97="","",COUNTIF(Detalle_Pagos!$A$5:$A$2004,A97))</f>
        <v/>
      </c>
      <c r="K97" s="29" t="str">
        <f t="shared" si="4"/>
        <v/>
      </c>
      <c r="L97" s="29" t="str">
        <f>IF(A97="","",SUMIF(Detalle_Pagos!$A$5:$A$2004,A97,Detalle_Pagos!$I$5:$I$2004))</f>
        <v/>
      </c>
      <c r="M97" s="29" t="str">
        <f>IF(A97="","",SUMIFS(Detalle_Pagos!$I$5:$I$2004,Detalle_Pagos!$A$5:$A$2004,A97,Detalle_Pagos!$J$5:$J$2004,"No"))</f>
        <v/>
      </c>
      <c r="N97" t="str">
        <f t="shared" si="5"/>
        <v/>
      </c>
    </row>
    <row r="98" spans="2:14" x14ac:dyDescent="0.3">
      <c r="B98" s="30"/>
      <c r="G98" s="29" t="str">
        <f>IF(A98="","",IFERROR(INDEX(Criterios!$B$4:$C$83,MATCH(D98,Criterios!$A$4:$A$83,0),IF(E98="Dentro horario",1,2)),""))</f>
        <v/>
      </c>
      <c r="H98" s="29"/>
      <c r="I98" s="29" t="str">
        <f t="shared" si="3"/>
        <v/>
      </c>
      <c r="J98" t="str">
        <f>IF(A98="","",COUNTIF(Detalle_Pagos!$A$5:$A$2004,A98))</f>
        <v/>
      </c>
      <c r="K98" s="29" t="str">
        <f t="shared" si="4"/>
        <v/>
      </c>
      <c r="L98" s="29" t="str">
        <f>IF(A98="","",SUMIF(Detalle_Pagos!$A$5:$A$2004,A98,Detalle_Pagos!$I$5:$I$2004))</f>
        <v/>
      </c>
      <c r="M98" s="29" t="str">
        <f>IF(A98="","",SUMIFS(Detalle_Pagos!$I$5:$I$2004,Detalle_Pagos!$A$5:$A$2004,A98,Detalle_Pagos!$J$5:$J$2004,"No"))</f>
        <v/>
      </c>
      <c r="N98" t="str">
        <f t="shared" si="5"/>
        <v/>
      </c>
    </row>
    <row r="99" spans="2:14" x14ac:dyDescent="0.3">
      <c r="B99" s="30"/>
      <c r="G99" s="29" t="str">
        <f>IF(A99="","",IFERROR(INDEX(Criterios!$B$4:$C$83,MATCH(D99,Criterios!$A$4:$A$83,0),IF(E99="Dentro horario",1,2)),""))</f>
        <v/>
      </c>
      <c r="H99" s="29"/>
      <c r="I99" s="29" t="str">
        <f t="shared" si="3"/>
        <v/>
      </c>
      <c r="J99" t="str">
        <f>IF(A99="","",COUNTIF(Detalle_Pagos!$A$5:$A$2004,A99))</f>
        <v/>
      </c>
      <c r="K99" s="29" t="str">
        <f t="shared" si="4"/>
        <v/>
      </c>
      <c r="L99" s="29" t="str">
        <f>IF(A99="","",SUMIF(Detalle_Pagos!$A$5:$A$2004,A99,Detalle_Pagos!$I$5:$I$2004))</f>
        <v/>
      </c>
      <c r="M99" s="29" t="str">
        <f>IF(A99="","",SUMIFS(Detalle_Pagos!$I$5:$I$2004,Detalle_Pagos!$A$5:$A$2004,A99,Detalle_Pagos!$J$5:$J$2004,"No"))</f>
        <v/>
      </c>
      <c r="N99" t="str">
        <f t="shared" si="5"/>
        <v/>
      </c>
    </row>
    <row r="100" spans="2:14" x14ac:dyDescent="0.3">
      <c r="B100" s="30"/>
      <c r="G100" s="29" t="str">
        <f>IF(A100="","",IFERROR(INDEX(Criterios!$B$4:$C$83,MATCH(D100,Criterios!$A$4:$A$83,0),IF(E100="Dentro horario",1,2)),""))</f>
        <v/>
      </c>
      <c r="H100" s="29"/>
      <c r="I100" s="29" t="str">
        <f t="shared" si="3"/>
        <v/>
      </c>
      <c r="J100" t="str">
        <f>IF(A100="","",COUNTIF(Detalle_Pagos!$A$5:$A$2004,A100))</f>
        <v/>
      </c>
      <c r="K100" s="29" t="str">
        <f t="shared" si="4"/>
        <v/>
      </c>
      <c r="L100" s="29" t="str">
        <f>IF(A100="","",SUMIF(Detalle_Pagos!$A$5:$A$2004,A100,Detalle_Pagos!$I$5:$I$2004))</f>
        <v/>
      </c>
      <c r="M100" s="29" t="str">
        <f>IF(A100="","",SUMIFS(Detalle_Pagos!$I$5:$I$2004,Detalle_Pagos!$A$5:$A$2004,A100,Detalle_Pagos!$J$5:$J$2004,"No"))</f>
        <v/>
      </c>
      <c r="N100" t="str">
        <f t="shared" si="5"/>
        <v/>
      </c>
    </row>
    <row r="101" spans="2:14" x14ac:dyDescent="0.3">
      <c r="B101" s="30"/>
      <c r="G101" s="29" t="str">
        <f>IF(A101="","",IFERROR(INDEX(Criterios!$B$4:$C$83,MATCH(D101,Criterios!$A$4:$A$83,0),IF(E101="Dentro horario",1,2)),""))</f>
        <v/>
      </c>
      <c r="H101" s="29"/>
      <c r="I101" s="29" t="str">
        <f t="shared" si="3"/>
        <v/>
      </c>
      <c r="J101" t="str">
        <f>IF(A101="","",COUNTIF(Detalle_Pagos!$A$5:$A$2004,A101))</f>
        <v/>
      </c>
      <c r="K101" s="29" t="str">
        <f t="shared" si="4"/>
        <v/>
      </c>
      <c r="L101" s="29" t="str">
        <f>IF(A101="","",SUMIF(Detalle_Pagos!$A$5:$A$2004,A101,Detalle_Pagos!$I$5:$I$2004))</f>
        <v/>
      </c>
      <c r="M101" s="29" t="str">
        <f>IF(A101="","",SUMIFS(Detalle_Pagos!$I$5:$I$2004,Detalle_Pagos!$A$5:$A$2004,A101,Detalle_Pagos!$J$5:$J$2004,"No"))</f>
        <v/>
      </c>
      <c r="N101" t="str">
        <f t="shared" si="5"/>
        <v/>
      </c>
    </row>
    <row r="102" spans="2:14" x14ac:dyDescent="0.3">
      <c r="B102" s="30"/>
      <c r="G102" s="29" t="str">
        <f>IF(A102="","",IFERROR(INDEX(Criterios!$B$4:$C$83,MATCH(D102,Criterios!$A$4:$A$83,0),IF(E102="Dentro horario",1,2)),""))</f>
        <v/>
      </c>
      <c r="H102" s="29"/>
      <c r="I102" s="29" t="str">
        <f t="shared" si="3"/>
        <v/>
      </c>
      <c r="J102" t="str">
        <f>IF(A102="","",COUNTIF(Detalle_Pagos!$A$5:$A$2004,A102))</f>
        <v/>
      </c>
      <c r="K102" s="29" t="str">
        <f t="shared" si="4"/>
        <v/>
      </c>
      <c r="L102" s="29" t="str">
        <f>IF(A102="","",SUMIF(Detalle_Pagos!$A$5:$A$2004,A102,Detalle_Pagos!$I$5:$I$2004))</f>
        <v/>
      </c>
      <c r="M102" s="29" t="str">
        <f>IF(A102="","",SUMIFS(Detalle_Pagos!$I$5:$I$2004,Detalle_Pagos!$A$5:$A$2004,A102,Detalle_Pagos!$J$5:$J$2004,"No"))</f>
        <v/>
      </c>
      <c r="N102" t="str">
        <f t="shared" si="5"/>
        <v/>
      </c>
    </row>
    <row r="103" spans="2:14" x14ac:dyDescent="0.3">
      <c r="B103" s="30"/>
      <c r="G103" s="29" t="str">
        <f>IF(A103="","",IFERROR(INDEX(Criterios!$B$4:$C$83,MATCH(D103,Criterios!$A$4:$A$83,0),IF(E103="Dentro horario",1,2)),""))</f>
        <v/>
      </c>
      <c r="H103" s="29"/>
      <c r="I103" s="29" t="str">
        <f t="shared" si="3"/>
        <v/>
      </c>
      <c r="J103" t="str">
        <f>IF(A103="","",COUNTIF(Detalle_Pagos!$A$5:$A$2004,A103))</f>
        <v/>
      </c>
      <c r="K103" s="29" t="str">
        <f t="shared" si="4"/>
        <v/>
      </c>
      <c r="L103" s="29" t="str">
        <f>IF(A103="","",SUMIF(Detalle_Pagos!$A$5:$A$2004,A103,Detalle_Pagos!$I$5:$I$2004))</f>
        <v/>
      </c>
      <c r="M103" s="29" t="str">
        <f>IF(A103="","",SUMIFS(Detalle_Pagos!$I$5:$I$2004,Detalle_Pagos!$A$5:$A$2004,A103,Detalle_Pagos!$J$5:$J$2004,"No"))</f>
        <v/>
      </c>
      <c r="N103" t="str">
        <f t="shared" si="5"/>
        <v/>
      </c>
    </row>
    <row r="104" spans="2:14" x14ac:dyDescent="0.3">
      <c r="B104" s="30"/>
      <c r="G104" s="29" t="str">
        <f>IF(A104="","",IFERROR(INDEX(Criterios!$B$4:$C$83,MATCH(D104,Criterios!$A$4:$A$83,0),IF(E104="Dentro horario",1,2)),""))</f>
        <v/>
      </c>
      <c r="H104" s="29"/>
      <c r="I104" s="29" t="str">
        <f t="shared" si="3"/>
        <v/>
      </c>
      <c r="J104" t="str">
        <f>IF(A104="","",COUNTIF(Detalle_Pagos!$A$5:$A$2004,A104))</f>
        <v/>
      </c>
      <c r="K104" s="29" t="str">
        <f t="shared" si="4"/>
        <v/>
      </c>
      <c r="L104" s="29" t="str">
        <f>IF(A104="","",SUMIF(Detalle_Pagos!$A$5:$A$2004,A104,Detalle_Pagos!$I$5:$I$2004))</f>
        <v/>
      </c>
      <c r="M104" s="29" t="str">
        <f>IF(A104="","",SUMIFS(Detalle_Pagos!$I$5:$I$2004,Detalle_Pagos!$A$5:$A$2004,A104,Detalle_Pagos!$J$5:$J$2004,"No"))</f>
        <v/>
      </c>
      <c r="N104" t="str">
        <f t="shared" si="5"/>
        <v/>
      </c>
    </row>
    <row r="105" spans="2:14" x14ac:dyDescent="0.3">
      <c r="B105" s="30"/>
      <c r="G105" s="29" t="str">
        <f>IF(A105="","",IFERROR(INDEX(Criterios!$B$4:$C$83,MATCH(D105,Criterios!$A$4:$A$83,0),IF(E105="Dentro horario",1,2)),""))</f>
        <v/>
      </c>
      <c r="H105" s="29"/>
      <c r="I105" s="29" t="str">
        <f t="shared" si="3"/>
        <v/>
      </c>
      <c r="J105" t="str">
        <f>IF(A105="","",COUNTIF(Detalle_Pagos!$A$5:$A$2004,A105))</f>
        <v/>
      </c>
      <c r="K105" s="29" t="str">
        <f t="shared" si="4"/>
        <v/>
      </c>
      <c r="L105" s="29" t="str">
        <f>IF(A105="","",SUMIF(Detalle_Pagos!$A$5:$A$2004,A105,Detalle_Pagos!$I$5:$I$2004))</f>
        <v/>
      </c>
      <c r="M105" s="29" t="str">
        <f>IF(A105="","",SUMIFS(Detalle_Pagos!$I$5:$I$2004,Detalle_Pagos!$A$5:$A$2004,A105,Detalle_Pagos!$J$5:$J$2004,"No"))</f>
        <v/>
      </c>
      <c r="N105" t="str">
        <f t="shared" si="5"/>
        <v/>
      </c>
    </row>
    <row r="106" spans="2:14" x14ac:dyDescent="0.3">
      <c r="B106" s="30"/>
      <c r="G106" s="29" t="str">
        <f>IF(A106="","",IFERROR(INDEX(Criterios!$B$4:$C$83,MATCH(D106,Criterios!$A$4:$A$83,0),IF(E106="Dentro horario",1,2)),""))</f>
        <v/>
      </c>
      <c r="H106" s="29"/>
      <c r="I106" s="29" t="str">
        <f t="shared" si="3"/>
        <v/>
      </c>
      <c r="J106" t="str">
        <f>IF(A106="","",COUNTIF(Detalle_Pagos!$A$5:$A$2004,A106))</f>
        <v/>
      </c>
      <c r="K106" s="29" t="str">
        <f t="shared" si="4"/>
        <v/>
      </c>
      <c r="L106" s="29" t="str">
        <f>IF(A106="","",SUMIF(Detalle_Pagos!$A$5:$A$2004,A106,Detalle_Pagos!$I$5:$I$2004))</f>
        <v/>
      </c>
      <c r="M106" s="29" t="str">
        <f>IF(A106="","",SUMIFS(Detalle_Pagos!$I$5:$I$2004,Detalle_Pagos!$A$5:$A$2004,A106,Detalle_Pagos!$J$5:$J$2004,"No"))</f>
        <v/>
      </c>
      <c r="N106" t="str">
        <f t="shared" si="5"/>
        <v/>
      </c>
    </row>
    <row r="107" spans="2:14" x14ac:dyDescent="0.3">
      <c r="B107" s="30"/>
      <c r="G107" s="29" t="str">
        <f>IF(A107="","",IFERROR(INDEX(Criterios!$B$4:$C$83,MATCH(D107,Criterios!$A$4:$A$83,0),IF(E107="Dentro horario",1,2)),""))</f>
        <v/>
      </c>
      <c r="H107" s="29"/>
      <c r="I107" s="29" t="str">
        <f t="shared" si="3"/>
        <v/>
      </c>
      <c r="J107" t="str">
        <f>IF(A107="","",COUNTIF(Detalle_Pagos!$A$5:$A$2004,A107))</f>
        <v/>
      </c>
      <c r="K107" s="29" t="str">
        <f t="shared" si="4"/>
        <v/>
      </c>
      <c r="L107" s="29" t="str">
        <f>IF(A107="","",SUMIF(Detalle_Pagos!$A$5:$A$2004,A107,Detalle_Pagos!$I$5:$I$2004))</f>
        <v/>
      </c>
      <c r="M107" s="29" t="str">
        <f>IF(A107="","",SUMIFS(Detalle_Pagos!$I$5:$I$2004,Detalle_Pagos!$A$5:$A$2004,A107,Detalle_Pagos!$J$5:$J$2004,"No"))</f>
        <v/>
      </c>
      <c r="N107" t="str">
        <f t="shared" si="5"/>
        <v/>
      </c>
    </row>
    <row r="108" spans="2:14" x14ac:dyDescent="0.3">
      <c r="B108" s="30"/>
      <c r="G108" s="29" t="str">
        <f>IF(A108="","",IFERROR(INDEX(Criterios!$B$4:$C$83,MATCH(D108,Criterios!$A$4:$A$83,0),IF(E108="Dentro horario",1,2)),""))</f>
        <v/>
      </c>
      <c r="H108" s="29"/>
      <c r="I108" s="29" t="str">
        <f t="shared" si="3"/>
        <v/>
      </c>
      <c r="J108" t="str">
        <f>IF(A108="","",COUNTIF(Detalle_Pagos!$A$5:$A$2004,A108))</f>
        <v/>
      </c>
      <c r="K108" s="29" t="str">
        <f t="shared" si="4"/>
        <v/>
      </c>
      <c r="L108" s="29" t="str">
        <f>IF(A108="","",SUMIF(Detalle_Pagos!$A$5:$A$2004,A108,Detalle_Pagos!$I$5:$I$2004))</f>
        <v/>
      </c>
      <c r="M108" s="29" t="str">
        <f>IF(A108="","",SUMIFS(Detalle_Pagos!$I$5:$I$2004,Detalle_Pagos!$A$5:$A$2004,A108,Detalle_Pagos!$J$5:$J$2004,"No"))</f>
        <v/>
      </c>
      <c r="N108" t="str">
        <f t="shared" si="5"/>
        <v/>
      </c>
    </row>
    <row r="109" spans="2:14" x14ac:dyDescent="0.3">
      <c r="B109" s="30"/>
      <c r="G109" s="29" t="str">
        <f>IF(A109="","",IFERROR(INDEX(Criterios!$B$4:$C$83,MATCH(D109,Criterios!$A$4:$A$83,0),IF(E109="Dentro horario",1,2)),""))</f>
        <v/>
      </c>
      <c r="H109" s="29"/>
      <c r="I109" s="29" t="str">
        <f t="shared" si="3"/>
        <v/>
      </c>
      <c r="J109" t="str">
        <f>IF(A109="","",COUNTIF(Detalle_Pagos!$A$5:$A$2004,A109))</f>
        <v/>
      </c>
      <c r="K109" s="29" t="str">
        <f t="shared" si="4"/>
        <v/>
      </c>
      <c r="L109" s="29" t="str">
        <f>IF(A109="","",SUMIF(Detalle_Pagos!$A$5:$A$2004,A109,Detalle_Pagos!$I$5:$I$2004))</f>
        <v/>
      </c>
      <c r="M109" s="29" t="str">
        <f>IF(A109="","",SUMIFS(Detalle_Pagos!$I$5:$I$2004,Detalle_Pagos!$A$5:$A$2004,A109,Detalle_Pagos!$J$5:$J$2004,"No"))</f>
        <v/>
      </c>
      <c r="N109" t="str">
        <f t="shared" si="5"/>
        <v/>
      </c>
    </row>
    <row r="110" spans="2:14" x14ac:dyDescent="0.3">
      <c r="B110" s="30"/>
      <c r="G110" s="29" t="str">
        <f>IF(A110="","",IFERROR(INDEX(Criterios!$B$4:$C$83,MATCH(D110,Criterios!$A$4:$A$83,0),IF(E110="Dentro horario",1,2)),""))</f>
        <v/>
      </c>
      <c r="H110" s="29"/>
      <c r="I110" s="29" t="str">
        <f t="shared" si="3"/>
        <v/>
      </c>
      <c r="J110" t="str">
        <f>IF(A110="","",COUNTIF(Detalle_Pagos!$A$5:$A$2004,A110))</f>
        <v/>
      </c>
      <c r="K110" s="29" t="str">
        <f t="shared" si="4"/>
        <v/>
      </c>
      <c r="L110" s="29" t="str">
        <f>IF(A110="","",SUMIF(Detalle_Pagos!$A$5:$A$2004,A110,Detalle_Pagos!$I$5:$I$2004))</f>
        <v/>
      </c>
      <c r="M110" s="29" t="str">
        <f>IF(A110="","",SUMIFS(Detalle_Pagos!$I$5:$I$2004,Detalle_Pagos!$A$5:$A$2004,A110,Detalle_Pagos!$J$5:$J$2004,"No"))</f>
        <v/>
      </c>
      <c r="N110" t="str">
        <f t="shared" si="5"/>
        <v/>
      </c>
    </row>
    <row r="111" spans="2:14" x14ac:dyDescent="0.3">
      <c r="B111" s="30"/>
      <c r="G111" s="29" t="str">
        <f>IF(A111="","",IFERROR(INDEX(Criterios!$B$4:$C$83,MATCH(D111,Criterios!$A$4:$A$83,0),IF(E111="Dentro horario",1,2)),""))</f>
        <v/>
      </c>
      <c r="H111" s="29"/>
      <c r="I111" s="29" t="str">
        <f t="shared" si="3"/>
        <v/>
      </c>
      <c r="J111" t="str">
        <f>IF(A111="","",COUNTIF(Detalle_Pagos!$A$5:$A$2004,A111))</f>
        <v/>
      </c>
      <c r="K111" s="29" t="str">
        <f t="shared" si="4"/>
        <v/>
      </c>
      <c r="L111" s="29" t="str">
        <f>IF(A111="","",SUMIF(Detalle_Pagos!$A$5:$A$2004,A111,Detalle_Pagos!$I$5:$I$2004))</f>
        <v/>
      </c>
      <c r="M111" s="29" t="str">
        <f>IF(A111="","",SUMIFS(Detalle_Pagos!$I$5:$I$2004,Detalle_Pagos!$A$5:$A$2004,A111,Detalle_Pagos!$J$5:$J$2004,"No"))</f>
        <v/>
      </c>
      <c r="N111" t="str">
        <f t="shared" si="5"/>
        <v/>
      </c>
    </row>
    <row r="112" spans="2:14" x14ac:dyDescent="0.3">
      <c r="B112" s="30"/>
      <c r="G112" s="29" t="str">
        <f>IF(A112="","",IFERROR(INDEX(Criterios!$B$4:$C$83,MATCH(D112,Criterios!$A$4:$A$83,0),IF(E112="Dentro horario",1,2)),""))</f>
        <v/>
      </c>
      <c r="H112" s="29"/>
      <c r="I112" s="29" t="str">
        <f t="shared" si="3"/>
        <v/>
      </c>
      <c r="J112" t="str">
        <f>IF(A112="","",COUNTIF(Detalle_Pagos!$A$5:$A$2004,A112))</f>
        <v/>
      </c>
      <c r="K112" s="29" t="str">
        <f t="shared" si="4"/>
        <v/>
      </c>
      <c r="L112" s="29" t="str">
        <f>IF(A112="","",SUMIF(Detalle_Pagos!$A$5:$A$2004,A112,Detalle_Pagos!$I$5:$I$2004))</f>
        <v/>
      </c>
      <c r="M112" s="29" t="str">
        <f>IF(A112="","",SUMIFS(Detalle_Pagos!$I$5:$I$2004,Detalle_Pagos!$A$5:$A$2004,A112,Detalle_Pagos!$J$5:$J$2004,"No"))</f>
        <v/>
      </c>
      <c r="N112" t="str">
        <f t="shared" si="5"/>
        <v/>
      </c>
    </row>
    <row r="113" spans="2:14" x14ac:dyDescent="0.3">
      <c r="B113" s="30"/>
      <c r="G113" s="29" t="str">
        <f>IF(A113="","",IFERROR(INDEX(Criterios!$B$4:$C$83,MATCH(D113,Criterios!$A$4:$A$83,0),IF(E113="Dentro horario",1,2)),""))</f>
        <v/>
      </c>
      <c r="H113" s="29"/>
      <c r="I113" s="29" t="str">
        <f t="shared" si="3"/>
        <v/>
      </c>
      <c r="J113" t="str">
        <f>IF(A113="","",COUNTIF(Detalle_Pagos!$A$5:$A$2004,A113))</f>
        <v/>
      </c>
      <c r="K113" s="29" t="str">
        <f t="shared" si="4"/>
        <v/>
      </c>
      <c r="L113" s="29" t="str">
        <f>IF(A113="","",SUMIF(Detalle_Pagos!$A$5:$A$2004,A113,Detalle_Pagos!$I$5:$I$2004))</f>
        <v/>
      </c>
      <c r="M113" s="29" t="str">
        <f>IF(A113="","",SUMIFS(Detalle_Pagos!$I$5:$I$2004,Detalle_Pagos!$A$5:$A$2004,A113,Detalle_Pagos!$J$5:$J$2004,"No"))</f>
        <v/>
      </c>
      <c r="N113" t="str">
        <f t="shared" si="5"/>
        <v/>
      </c>
    </row>
    <row r="114" spans="2:14" x14ac:dyDescent="0.3">
      <c r="B114" s="30"/>
      <c r="G114" s="29" t="str">
        <f>IF(A114="","",IFERROR(INDEX(Criterios!$B$4:$C$83,MATCH(D114,Criterios!$A$4:$A$83,0),IF(E114="Dentro horario",1,2)),""))</f>
        <v/>
      </c>
      <c r="H114" s="29"/>
      <c r="I114" s="29" t="str">
        <f t="shared" si="3"/>
        <v/>
      </c>
      <c r="J114" t="str">
        <f>IF(A114="","",COUNTIF(Detalle_Pagos!$A$5:$A$2004,A114))</f>
        <v/>
      </c>
      <c r="K114" s="29" t="str">
        <f t="shared" si="4"/>
        <v/>
      </c>
      <c r="L114" s="29" t="str">
        <f>IF(A114="","",SUMIF(Detalle_Pagos!$A$5:$A$2004,A114,Detalle_Pagos!$I$5:$I$2004))</f>
        <v/>
      </c>
      <c r="M114" s="29" t="str">
        <f>IF(A114="","",SUMIFS(Detalle_Pagos!$I$5:$I$2004,Detalle_Pagos!$A$5:$A$2004,A114,Detalle_Pagos!$J$5:$J$2004,"No"))</f>
        <v/>
      </c>
      <c r="N114" t="str">
        <f t="shared" si="5"/>
        <v/>
      </c>
    </row>
    <row r="115" spans="2:14" x14ac:dyDescent="0.3">
      <c r="B115" s="30"/>
      <c r="G115" s="29" t="str">
        <f>IF(A115="","",IFERROR(INDEX(Criterios!$B$4:$C$83,MATCH(D115,Criterios!$A$4:$A$83,0),IF(E115="Dentro horario",1,2)),""))</f>
        <v/>
      </c>
      <c r="H115" s="29"/>
      <c r="I115" s="29" t="str">
        <f t="shared" si="3"/>
        <v/>
      </c>
      <c r="J115" t="str">
        <f>IF(A115="","",COUNTIF(Detalle_Pagos!$A$5:$A$2004,A115))</f>
        <v/>
      </c>
      <c r="K115" s="29" t="str">
        <f t="shared" si="4"/>
        <v/>
      </c>
      <c r="L115" s="29" t="str">
        <f>IF(A115="","",SUMIF(Detalle_Pagos!$A$5:$A$2004,A115,Detalle_Pagos!$I$5:$I$2004))</f>
        <v/>
      </c>
      <c r="M115" s="29" t="str">
        <f>IF(A115="","",SUMIFS(Detalle_Pagos!$I$5:$I$2004,Detalle_Pagos!$A$5:$A$2004,A115,Detalle_Pagos!$J$5:$J$2004,"No"))</f>
        <v/>
      </c>
      <c r="N115" t="str">
        <f t="shared" si="5"/>
        <v/>
      </c>
    </row>
    <row r="116" spans="2:14" x14ac:dyDescent="0.3">
      <c r="B116" s="30"/>
      <c r="G116" s="29" t="str">
        <f>IF(A116="","",IFERROR(INDEX(Criterios!$B$4:$C$83,MATCH(D116,Criterios!$A$4:$A$83,0),IF(E116="Dentro horario",1,2)),""))</f>
        <v/>
      </c>
      <c r="H116" s="29"/>
      <c r="I116" s="29" t="str">
        <f t="shared" si="3"/>
        <v/>
      </c>
      <c r="J116" t="str">
        <f>IF(A116="","",COUNTIF(Detalle_Pagos!$A$5:$A$2004,A116))</f>
        <v/>
      </c>
      <c r="K116" s="29" t="str">
        <f t="shared" si="4"/>
        <v/>
      </c>
      <c r="L116" s="29" t="str">
        <f>IF(A116="","",SUMIF(Detalle_Pagos!$A$5:$A$2004,A116,Detalle_Pagos!$I$5:$I$2004))</f>
        <v/>
      </c>
      <c r="M116" s="29" t="str">
        <f>IF(A116="","",SUMIFS(Detalle_Pagos!$I$5:$I$2004,Detalle_Pagos!$A$5:$A$2004,A116,Detalle_Pagos!$J$5:$J$2004,"No"))</f>
        <v/>
      </c>
      <c r="N116" t="str">
        <f t="shared" si="5"/>
        <v/>
      </c>
    </row>
    <row r="117" spans="2:14" x14ac:dyDescent="0.3">
      <c r="B117" s="30"/>
      <c r="G117" s="29" t="str">
        <f>IF(A117="","",IFERROR(INDEX(Criterios!$B$4:$C$83,MATCH(D117,Criterios!$A$4:$A$83,0),IF(E117="Dentro horario",1,2)),""))</f>
        <v/>
      </c>
      <c r="H117" s="29"/>
      <c r="I117" s="29" t="str">
        <f t="shared" si="3"/>
        <v/>
      </c>
      <c r="J117" t="str">
        <f>IF(A117="","",COUNTIF(Detalle_Pagos!$A$5:$A$2004,A117))</f>
        <v/>
      </c>
      <c r="K117" s="29" t="str">
        <f t="shared" si="4"/>
        <v/>
      </c>
      <c r="L117" s="29" t="str">
        <f>IF(A117="","",SUMIF(Detalle_Pagos!$A$5:$A$2004,A117,Detalle_Pagos!$I$5:$I$2004))</f>
        <v/>
      </c>
      <c r="M117" s="29" t="str">
        <f>IF(A117="","",SUMIFS(Detalle_Pagos!$I$5:$I$2004,Detalle_Pagos!$A$5:$A$2004,A117,Detalle_Pagos!$J$5:$J$2004,"No"))</f>
        <v/>
      </c>
      <c r="N117" t="str">
        <f t="shared" si="5"/>
        <v/>
      </c>
    </row>
    <row r="118" spans="2:14" x14ac:dyDescent="0.3">
      <c r="B118" s="30"/>
      <c r="G118" s="29" t="str">
        <f>IF(A118="","",IFERROR(INDEX(Criterios!$B$4:$C$83,MATCH(D118,Criterios!$A$4:$A$83,0),IF(E118="Dentro horario",1,2)),""))</f>
        <v/>
      </c>
      <c r="H118" s="29"/>
      <c r="I118" s="29" t="str">
        <f t="shared" si="3"/>
        <v/>
      </c>
      <c r="J118" t="str">
        <f>IF(A118="","",COUNTIF(Detalle_Pagos!$A$5:$A$2004,A118))</f>
        <v/>
      </c>
      <c r="K118" s="29" t="str">
        <f t="shared" si="4"/>
        <v/>
      </c>
      <c r="L118" s="29" t="str">
        <f>IF(A118="","",SUMIF(Detalle_Pagos!$A$5:$A$2004,A118,Detalle_Pagos!$I$5:$I$2004))</f>
        <v/>
      </c>
      <c r="M118" s="29" t="str">
        <f>IF(A118="","",SUMIFS(Detalle_Pagos!$I$5:$I$2004,Detalle_Pagos!$A$5:$A$2004,A118,Detalle_Pagos!$J$5:$J$2004,"No"))</f>
        <v/>
      </c>
      <c r="N118" t="str">
        <f t="shared" si="5"/>
        <v/>
      </c>
    </row>
    <row r="119" spans="2:14" x14ac:dyDescent="0.3">
      <c r="B119" s="30"/>
      <c r="G119" s="29" t="str">
        <f>IF(A119="","",IFERROR(INDEX(Criterios!$B$4:$C$83,MATCH(D119,Criterios!$A$4:$A$83,0),IF(E119="Dentro horario",1,2)),""))</f>
        <v/>
      </c>
      <c r="H119" s="29"/>
      <c r="I119" s="29" t="str">
        <f t="shared" si="3"/>
        <v/>
      </c>
      <c r="J119" t="str">
        <f>IF(A119="","",COUNTIF(Detalle_Pagos!$A$5:$A$2004,A119))</f>
        <v/>
      </c>
      <c r="K119" s="29" t="str">
        <f t="shared" si="4"/>
        <v/>
      </c>
      <c r="L119" s="29" t="str">
        <f>IF(A119="","",SUMIF(Detalle_Pagos!$A$5:$A$2004,A119,Detalle_Pagos!$I$5:$I$2004))</f>
        <v/>
      </c>
      <c r="M119" s="29" t="str">
        <f>IF(A119="","",SUMIFS(Detalle_Pagos!$I$5:$I$2004,Detalle_Pagos!$A$5:$A$2004,A119,Detalle_Pagos!$J$5:$J$2004,"No"))</f>
        <v/>
      </c>
      <c r="N119" t="str">
        <f t="shared" si="5"/>
        <v/>
      </c>
    </row>
    <row r="120" spans="2:14" x14ac:dyDescent="0.3">
      <c r="B120" s="30"/>
      <c r="G120" s="29" t="str">
        <f>IF(A120="","",IFERROR(INDEX(Criterios!$B$4:$C$83,MATCH(D120,Criterios!$A$4:$A$83,0),IF(E120="Dentro horario",1,2)),""))</f>
        <v/>
      </c>
      <c r="H120" s="29"/>
      <c r="I120" s="29" t="str">
        <f t="shared" si="3"/>
        <v/>
      </c>
      <c r="J120" t="str">
        <f>IF(A120="","",COUNTIF(Detalle_Pagos!$A$5:$A$2004,A120))</f>
        <v/>
      </c>
      <c r="K120" s="29" t="str">
        <f t="shared" si="4"/>
        <v/>
      </c>
      <c r="L120" s="29" t="str">
        <f>IF(A120="","",SUMIF(Detalle_Pagos!$A$5:$A$2004,A120,Detalle_Pagos!$I$5:$I$2004))</f>
        <v/>
      </c>
      <c r="M120" s="29" t="str">
        <f>IF(A120="","",SUMIFS(Detalle_Pagos!$I$5:$I$2004,Detalle_Pagos!$A$5:$A$2004,A120,Detalle_Pagos!$J$5:$J$2004,"No"))</f>
        <v/>
      </c>
      <c r="N120" t="str">
        <f t="shared" si="5"/>
        <v/>
      </c>
    </row>
    <row r="121" spans="2:14" x14ac:dyDescent="0.3">
      <c r="B121" s="30"/>
      <c r="G121" s="29" t="str">
        <f>IF(A121="","",IFERROR(INDEX(Criterios!$B$4:$C$83,MATCH(D121,Criterios!$A$4:$A$83,0),IF(E121="Dentro horario",1,2)),""))</f>
        <v/>
      </c>
      <c r="H121" s="29"/>
      <c r="I121" s="29" t="str">
        <f t="shared" si="3"/>
        <v/>
      </c>
      <c r="J121" t="str">
        <f>IF(A121="","",COUNTIF(Detalle_Pagos!$A$5:$A$2004,A121))</f>
        <v/>
      </c>
      <c r="K121" s="29" t="str">
        <f t="shared" si="4"/>
        <v/>
      </c>
      <c r="L121" s="29" t="str">
        <f>IF(A121="","",SUMIF(Detalle_Pagos!$A$5:$A$2004,A121,Detalle_Pagos!$I$5:$I$2004))</f>
        <v/>
      </c>
      <c r="M121" s="29" t="str">
        <f>IF(A121="","",SUMIFS(Detalle_Pagos!$I$5:$I$2004,Detalle_Pagos!$A$5:$A$2004,A121,Detalle_Pagos!$J$5:$J$2004,"No"))</f>
        <v/>
      </c>
      <c r="N121" t="str">
        <f t="shared" si="5"/>
        <v/>
      </c>
    </row>
    <row r="122" spans="2:14" x14ac:dyDescent="0.3">
      <c r="B122" s="30"/>
      <c r="G122" s="29" t="str">
        <f>IF(A122="","",IFERROR(INDEX(Criterios!$B$4:$C$83,MATCH(D122,Criterios!$A$4:$A$83,0),IF(E122="Dentro horario",1,2)),""))</f>
        <v/>
      </c>
      <c r="H122" s="29"/>
      <c r="I122" s="29" t="str">
        <f t="shared" si="3"/>
        <v/>
      </c>
      <c r="J122" t="str">
        <f>IF(A122="","",COUNTIF(Detalle_Pagos!$A$5:$A$2004,A122))</f>
        <v/>
      </c>
      <c r="K122" s="29" t="str">
        <f t="shared" si="4"/>
        <v/>
      </c>
      <c r="L122" s="29" t="str">
        <f>IF(A122="","",SUMIF(Detalle_Pagos!$A$5:$A$2004,A122,Detalle_Pagos!$I$5:$I$2004))</f>
        <v/>
      </c>
      <c r="M122" s="29" t="str">
        <f>IF(A122="","",SUMIFS(Detalle_Pagos!$I$5:$I$2004,Detalle_Pagos!$A$5:$A$2004,A122,Detalle_Pagos!$J$5:$J$2004,"No"))</f>
        <v/>
      </c>
      <c r="N122" t="str">
        <f t="shared" si="5"/>
        <v/>
      </c>
    </row>
    <row r="123" spans="2:14" x14ac:dyDescent="0.3">
      <c r="B123" s="30"/>
      <c r="G123" s="29" t="str">
        <f>IF(A123="","",IFERROR(INDEX(Criterios!$B$4:$C$83,MATCH(D123,Criterios!$A$4:$A$83,0),IF(E123="Dentro horario",1,2)),""))</f>
        <v/>
      </c>
      <c r="H123" s="29"/>
      <c r="I123" s="29" t="str">
        <f t="shared" si="3"/>
        <v/>
      </c>
      <c r="J123" t="str">
        <f>IF(A123="","",COUNTIF(Detalle_Pagos!$A$5:$A$2004,A123))</f>
        <v/>
      </c>
      <c r="K123" s="29" t="str">
        <f t="shared" si="4"/>
        <v/>
      </c>
      <c r="L123" s="29" t="str">
        <f>IF(A123="","",SUMIF(Detalle_Pagos!$A$5:$A$2004,A123,Detalle_Pagos!$I$5:$I$2004))</f>
        <v/>
      </c>
      <c r="M123" s="29" t="str">
        <f>IF(A123="","",SUMIFS(Detalle_Pagos!$I$5:$I$2004,Detalle_Pagos!$A$5:$A$2004,A123,Detalle_Pagos!$J$5:$J$2004,"No"))</f>
        <v/>
      </c>
      <c r="N123" t="str">
        <f t="shared" si="5"/>
        <v/>
      </c>
    </row>
    <row r="124" spans="2:14" x14ac:dyDescent="0.3">
      <c r="B124" s="30"/>
      <c r="G124" s="29" t="str">
        <f>IF(A124="","",IFERROR(INDEX(Criterios!$B$4:$C$83,MATCH(D124,Criterios!$A$4:$A$83,0),IF(E124="Dentro horario",1,2)),""))</f>
        <v/>
      </c>
      <c r="H124" s="29"/>
      <c r="I124" s="29" t="str">
        <f t="shared" si="3"/>
        <v/>
      </c>
      <c r="J124" t="str">
        <f>IF(A124="","",COUNTIF(Detalle_Pagos!$A$5:$A$2004,A124))</f>
        <v/>
      </c>
      <c r="K124" s="29" t="str">
        <f t="shared" si="4"/>
        <v/>
      </c>
      <c r="L124" s="29" t="str">
        <f>IF(A124="","",SUMIF(Detalle_Pagos!$A$5:$A$2004,A124,Detalle_Pagos!$I$5:$I$2004))</f>
        <v/>
      </c>
      <c r="M124" s="29" t="str">
        <f>IF(A124="","",SUMIFS(Detalle_Pagos!$I$5:$I$2004,Detalle_Pagos!$A$5:$A$2004,A124,Detalle_Pagos!$J$5:$J$2004,"No"))</f>
        <v/>
      </c>
      <c r="N124" t="str">
        <f t="shared" si="5"/>
        <v/>
      </c>
    </row>
    <row r="125" spans="2:14" x14ac:dyDescent="0.3">
      <c r="B125" s="30"/>
      <c r="G125" s="29" t="str">
        <f>IF(A125="","",IFERROR(INDEX(Criterios!$B$4:$C$83,MATCH(D125,Criterios!$A$4:$A$83,0),IF(E125="Dentro horario",1,2)),""))</f>
        <v/>
      </c>
      <c r="H125" s="29"/>
      <c r="I125" s="29" t="str">
        <f t="shared" si="3"/>
        <v/>
      </c>
      <c r="J125" t="str">
        <f>IF(A125="","",COUNTIF(Detalle_Pagos!$A$5:$A$2004,A125))</f>
        <v/>
      </c>
      <c r="K125" s="29" t="str">
        <f t="shared" si="4"/>
        <v/>
      </c>
      <c r="L125" s="29" t="str">
        <f>IF(A125="","",SUMIF(Detalle_Pagos!$A$5:$A$2004,A125,Detalle_Pagos!$I$5:$I$2004))</f>
        <v/>
      </c>
      <c r="M125" s="29" t="str">
        <f>IF(A125="","",SUMIFS(Detalle_Pagos!$I$5:$I$2004,Detalle_Pagos!$A$5:$A$2004,A125,Detalle_Pagos!$J$5:$J$2004,"No"))</f>
        <v/>
      </c>
      <c r="N125" t="str">
        <f t="shared" si="5"/>
        <v/>
      </c>
    </row>
    <row r="126" spans="2:14" x14ac:dyDescent="0.3">
      <c r="B126" s="30"/>
      <c r="G126" s="29" t="str">
        <f>IF(A126="","",IFERROR(INDEX(Criterios!$B$4:$C$83,MATCH(D126,Criterios!$A$4:$A$83,0),IF(E126="Dentro horario",1,2)),""))</f>
        <v/>
      </c>
      <c r="H126" s="29"/>
      <c r="I126" s="29" t="str">
        <f t="shared" si="3"/>
        <v/>
      </c>
      <c r="J126" t="str">
        <f>IF(A126="","",COUNTIF(Detalle_Pagos!$A$5:$A$2004,A126))</f>
        <v/>
      </c>
      <c r="K126" s="29" t="str">
        <f t="shared" si="4"/>
        <v/>
      </c>
      <c r="L126" s="29" t="str">
        <f>IF(A126="","",SUMIF(Detalle_Pagos!$A$5:$A$2004,A126,Detalle_Pagos!$I$5:$I$2004))</f>
        <v/>
      </c>
      <c r="M126" s="29" t="str">
        <f>IF(A126="","",SUMIFS(Detalle_Pagos!$I$5:$I$2004,Detalle_Pagos!$A$5:$A$2004,A126,Detalle_Pagos!$J$5:$J$2004,"No"))</f>
        <v/>
      </c>
      <c r="N126" t="str">
        <f t="shared" si="5"/>
        <v/>
      </c>
    </row>
    <row r="127" spans="2:14" x14ac:dyDescent="0.3">
      <c r="B127" s="30"/>
      <c r="G127" s="29" t="str">
        <f>IF(A127="","",IFERROR(INDEX(Criterios!$B$4:$C$83,MATCH(D127,Criterios!$A$4:$A$83,0),IF(E127="Dentro horario",1,2)),""))</f>
        <v/>
      </c>
      <c r="H127" s="29"/>
      <c r="I127" s="29" t="str">
        <f t="shared" si="3"/>
        <v/>
      </c>
      <c r="J127" t="str">
        <f>IF(A127="","",COUNTIF(Detalle_Pagos!$A$5:$A$2004,A127))</f>
        <v/>
      </c>
      <c r="K127" s="29" t="str">
        <f t="shared" si="4"/>
        <v/>
      </c>
      <c r="L127" s="29" t="str">
        <f>IF(A127="","",SUMIF(Detalle_Pagos!$A$5:$A$2004,A127,Detalle_Pagos!$I$5:$I$2004))</f>
        <v/>
      </c>
      <c r="M127" s="29" t="str">
        <f>IF(A127="","",SUMIFS(Detalle_Pagos!$I$5:$I$2004,Detalle_Pagos!$A$5:$A$2004,A127,Detalle_Pagos!$J$5:$J$2004,"No"))</f>
        <v/>
      </c>
      <c r="N127" t="str">
        <f t="shared" si="5"/>
        <v/>
      </c>
    </row>
    <row r="128" spans="2:14" x14ac:dyDescent="0.3">
      <c r="B128" s="30"/>
      <c r="G128" s="29" t="str">
        <f>IF(A128="","",IFERROR(INDEX(Criterios!$B$4:$C$83,MATCH(D128,Criterios!$A$4:$A$83,0),IF(E128="Dentro horario",1,2)),""))</f>
        <v/>
      </c>
      <c r="H128" s="29"/>
      <c r="I128" s="29" t="str">
        <f t="shared" si="3"/>
        <v/>
      </c>
      <c r="J128" t="str">
        <f>IF(A128="","",COUNTIF(Detalle_Pagos!$A$5:$A$2004,A128))</f>
        <v/>
      </c>
      <c r="K128" s="29" t="str">
        <f t="shared" si="4"/>
        <v/>
      </c>
      <c r="L128" s="29" t="str">
        <f>IF(A128="","",SUMIF(Detalle_Pagos!$A$5:$A$2004,A128,Detalle_Pagos!$I$5:$I$2004))</f>
        <v/>
      </c>
      <c r="M128" s="29" t="str">
        <f>IF(A128="","",SUMIFS(Detalle_Pagos!$I$5:$I$2004,Detalle_Pagos!$A$5:$A$2004,A128,Detalle_Pagos!$J$5:$J$2004,"No"))</f>
        <v/>
      </c>
      <c r="N128" t="str">
        <f t="shared" si="5"/>
        <v/>
      </c>
    </row>
    <row r="129" spans="2:14" x14ac:dyDescent="0.3">
      <c r="B129" s="30"/>
      <c r="G129" s="29" t="str">
        <f>IF(A129="","",IFERROR(INDEX(Criterios!$B$4:$C$83,MATCH(D129,Criterios!$A$4:$A$83,0),IF(E129="Dentro horario",1,2)),""))</f>
        <v/>
      </c>
      <c r="H129" s="29"/>
      <c r="I129" s="29" t="str">
        <f t="shared" si="3"/>
        <v/>
      </c>
      <c r="J129" t="str">
        <f>IF(A129="","",COUNTIF(Detalle_Pagos!$A$5:$A$2004,A129))</f>
        <v/>
      </c>
      <c r="K129" s="29" t="str">
        <f t="shared" si="4"/>
        <v/>
      </c>
      <c r="L129" s="29" t="str">
        <f>IF(A129="","",SUMIF(Detalle_Pagos!$A$5:$A$2004,A129,Detalle_Pagos!$I$5:$I$2004))</f>
        <v/>
      </c>
      <c r="M129" s="29" t="str">
        <f>IF(A129="","",SUMIFS(Detalle_Pagos!$I$5:$I$2004,Detalle_Pagos!$A$5:$A$2004,A129,Detalle_Pagos!$J$5:$J$2004,"No"))</f>
        <v/>
      </c>
      <c r="N129" t="str">
        <f t="shared" si="5"/>
        <v/>
      </c>
    </row>
    <row r="130" spans="2:14" x14ac:dyDescent="0.3">
      <c r="B130" s="30"/>
      <c r="G130" s="29" t="str">
        <f>IF(A130="","",IFERROR(INDEX(Criterios!$B$4:$C$83,MATCH(D130,Criterios!$A$4:$A$83,0),IF(E130="Dentro horario",1,2)),""))</f>
        <v/>
      </c>
      <c r="H130" s="29"/>
      <c r="I130" s="29" t="str">
        <f t="shared" si="3"/>
        <v/>
      </c>
      <c r="J130" t="str">
        <f>IF(A130="","",COUNTIF(Detalle_Pagos!$A$5:$A$2004,A130))</f>
        <v/>
      </c>
      <c r="K130" s="29" t="str">
        <f t="shared" si="4"/>
        <v/>
      </c>
      <c r="L130" s="29" t="str">
        <f>IF(A130="","",SUMIF(Detalle_Pagos!$A$5:$A$2004,A130,Detalle_Pagos!$I$5:$I$2004))</f>
        <v/>
      </c>
      <c r="M130" s="29" t="str">
        <f>IF(A130="","",SUMIFS(Detalle_Pagos!$I$5:$I$2004,Detalle_Pagos!$A$5:$A$2004,A130,Detalle_Pagos!$J$5:$J$2004,"No"))</f>
        <v/>
      </c>
      <c r="N130" t="str">
        <f t="shared" si="5"/>
        <v/>
      </c>
    </row>
    <row r="131" spans="2:14" x14ac:dyDescent="0.3">
      <c r="B131" s="30"/>
      <c r="G131" s="29" t="str">
        <f>IF(A131="","",IFERROR(INDEX(Criterios!$B$4:$C$83,MATCH(D131,Criterios!$A$4:$A$83,0),IF(E131="Dentro horario",1,2)),""))</f>
        <v/>
      </c>
      <c r="H131" s="29"/>
      <c r="I131" s="29" t="str">
        <f t="shared" si="3"/>
        <v/>
      </c>
      <c r="J131" t="str">
        <f>IF(A131="","",COUNTIF(Detalle_Pagos!$A$5:$A$2004,A131))</f>
        <v/>
      </c>
      <c r="K131" s="29" t="str">
        <f t="shared" si="4"/>
        <v/>
      </c>
      <c r="L131" s="29" t="str">
        <f>IF(A131="","",SUMIF(Detalle_Pagos!$A$5:$A$2004,A131,Detalle_Pagos!$I$5:$I$2004))</f>
        <v/>
      </c>
      <c r="M131" s="29" t="str">
        <f>IF(A131="","",SUMIFS(Detalle_Pagos!$I$5:$I$2004,Detalle_Pagos!$A$5:$A$2004,A131,Detalle_Pagos!$J$5:$J$2004,"No"))</f>
        <v/>
      </c>
      <c r="N131" t="str">
        <f t="shared" si="5"/>
        <v/>
      </c>
    </row>
    <row r="132" spans="2:14" x14ac:dyDescent="0.3">
      <c r="B132" s="30"/>
      <c r="G132" s="29" t="str">
        <f>IF(A132="","",IFERROR(INDEX(Criterios!$B$4:$C$83,MATCH(D132,Criterios!$A$4:$A$83,0),IF(E132="Dentro horario",1,2)),""))</f>
        <v/>
      </c>
      <c r="H132" s="29"/>
      <c r="I132" s="29" t="str">
        <f t="shared" si="3"/>
        <v/>
      </c>
      <c r="J132" t="str">
        <f>IF(A132="","",COUNTIF(Detalle_Pagos!$A$5:$A$2004,A132))</f>
        <v/>
      </c>
      <c r="K132" s="29" t="str">
        <f t="shared" si="4"/>
        <v/>
      </c>
      <c r="L132" s="29" t="str">
        <f>IF(A132="","",SUMIF(Detalle_Pagos!$A$5:$A$2004,A132,Detalle_Pagos!$I$5:$I$2004))</f>
        <v/>
      </c>
      <c r="M132" s="29" t="str">
        <f>IF(A132="","",SUMIFS(Detalle_Pagos!$I$5:$I$2004,Detalle_Pagos!$A$5:$A$2004,A132,Detalle_Pagos!$J$5:$J$2004,"No"))</f>
        <v/>
      </c>
      <c r="N132" t="str">
        <f t="shared" si="5"/>
        <v/>
      </c>
    </row>
    <row r="133" spans="2:14" x14ac:dyDescent="0.3">
      <c r="B133" s="30"/>
      <c r="G133" s="29" t="str">
        <f>IF(A133="","",IFERROR(INDEX(Criterios!$B$4:$C$83,MATCH(D133,Criterios!$A$4:$A$83,0),IF(E133="Dentro horario",1,2)),""))</f>
        <v/>
      </c>
      <c r="H133" s="29"/>
      <c r="I133" s="29" t="str">
        <f t="shared" ref="I133:I196" si="6">IF(A133="","",IF(OR(F133="",G133=""),"",F133*G133+N(H133)))</f>
        <v/>
      </c>
      <c r="J133" t="str">
        <f>IF(A133="","",COUNTIF(Detalle_Pagos!$A$5:$A$2004,A133))</f>
        <v/>
      </c>
      <c r="K133" s="29" t="str">
        <f t="shared" ref="K133:K196" si="7">IF(A133="","",IF(OR(J133=0,I133=""),"",I133/J133))</f>
        <v/>
      </c>
      <c r="L133" s="29" t="str">
        <f>IF(A133="","",SUMIF(Detalle_Pagos!$A$5:$A$2004,A133,Detalle_Pagos!$I$5:$I$2004))</f>
        <v/>
      </c>
      <c r="M133" s="29" t="str">
        <f>IF(A133="","",SUMIFS(Detalle_Pagos!$I$5:$I$2004,Detalle_Pagos!$A$5:$A$2004,A133,Detalle_Pagos!$J$5:$J$2004,"No"))</f>
        <v/>
      </c>
      <c r="N133" t="str">
        <f t="shared" ref="N133:N196" si="8">IF(A133="","",IF(J133=0,"Sin detalle",IF(M133=0,"Pagada","Pendiente")))</f>
        <v/>
      </c>
    </row>
    <row r="134" spans="2:14" x14ac:dyDescent="0.3">
      <c r="B134" s="30"/>
      <c r="G134" s="29" t="str">
        <f>IF(A134="","",IFERROR(INDEX(Criterios!$B$4:$C$83,MATCH(D134,Criterios!$A$4:$A$83,0),IF(E134="Dentro horario",1,2)),""))</f>
        <v/>
      </c>
      <c r="H134" s="29"/>
      <c r="I134" s="29" t="str">
        <f t="shared" si="6"/>
        <v/>
      </c>
      <c r="J134" t="str">
        <f>IF(A134="","",COUNTIF(Detalle_Pagos!$A$5:$A$2004,A134))</f>
        <v/>
      </c>
      <c r="K134" s="29" t="str">
        <f t="shared" si="7"/>
        <v/>
      </c>
      <c r="L134" s="29" t="str">
        <f>IF(A134="","",SUMIF(Detalle_Pagos!$A$5:$A$2004,A134,Detalle_Pagos!$I$5:$I$2004))</f>
        <v/>
      </c>
      <c r="M134" s="29" t="str">
        <f>IF(A134="","",SUMIFS(Detalle_Pagos!$I$5:$I$2004,Detalle_Pagos!$A$5:$A$2004,A134,Detalle_Pagos!$J$5:$J$2004,"No"))</f>
        <v/>
      </c>
      <c r="N134" t="str">
        <f t="shared" si="8"/>
        <v/>
      </c>
    </row>
    <row r="135" spans="2:14" x14ac:dyDescent="0.3">
      <c r="B135" s="30"/>
      <c r="G135" s="29" t="str">
        <f>IF(A135="","",IFERROR(INDEX(Criterios!$B$4:$C$83,MATCH(D135,Criterios!$A$4:$A$83,0),IF(E135="Dentro horario",1,2)),""))</f>
        <v/>
      </c>
      <c r="H135" s="29"/>
      <c r="I135" s="29" t="str">
        <f t="shared" si="6"/>
        <v/>
      </c>
      <c r="J135" t="str">
        <f>IF(A135="","",COUNTIF(Detalle_Pagos!$A$5:$A$2004,A135))</f>
        <v/>
      </c>
      <c r="K135" s="29" t="str">
        <f t="shared" si="7"/>
        <v/>
      </c>
      <c r="L135" s="29" t="str">
        <f>IF(A135="","",SUMIF(Detalle_Pagos!$A$5:$A$2004,A135,Detalle_Pagos!$I$5:$I$2004))</f>
        <v/>
      </c>
      <c r="M135" s="29" t="str">
        <f>IF(A135="","",SUMIFS(Detalle_Pagos!$I$5:$I$2004,Detalle_Pagos!$A$5:$A$2004,A135,Detalle_Pagos!$J$5:$J$2004,"No"))</f>
        <v/>
      </c>
      <c r="N135" t="str">
        <f t="shared" si="8"/>
        <v/>
      </c>
    </row>
    <row r="136" spans="2:14" x14ac:dyDescent="0.3">
      <c r="B136" s="30"/>
      <c r="G136" s="29" t="str">
        <f>IF(A136="","",IFERROR(INDEX(Criterios!$B$4:$C$83,MATCH(D136,Criterios!$A$4:$A$83,0),IF(E136="Dentro horario",1,2)),""))</f>
        <v/>
      </c>
      <c r="H136" s="29"/>
      <c r="I136" s="29" t="str">
        <f t="shared" si="6"/>
        <v/>
      </c>
      <c r="J136" t="str">
        <f>IF(A136="","",COUNTIF(Detalle_Pagos!$A$5:$A$2004,A136))</f>
        <v/>
      </c>
      <c r="K136" s="29" t="str">
        <f t="shared" si="7"/>
        <v/>
      </c>
      <c r="L136" s="29" t="str">
        <f>IF(A136="","",SUMIF(Detalle_Pagos!$A$5:$A$2004,A136,Detalle_Pagos!$I$5:$I$2004))</f>
        <v/>
      </c>
      <c r="M136" s="29" t="str">
        <f>IF(A136="","",SUMIFS(Detalle_Pagos!$I$5:$I$2004,Detalle_Pagos!$A$5:$A$2004,A136,Detalle_Pagos!$J$5:$J$2004,"No"))</f>
        <v/>
      </c>
      <c r="N136" t="str">
        <f t="shared" si="8"/>
        <v/>
      </c>
    </row>
    <row r="137" spans="2:14" x14ac:dyDescent="0.3">
      <c r="B137" s="30"/>
      <c r="G137" s="29" t="str">
        <f>IF(A137="","",IFERROR(INDEX(Criterios!$B$4:$C$83,MATCH(D137,Criterios!$A$4:$A$83,0),IF(E137="Dentro horario",1,2)),""))</f>
        <v/>
      </c>
      <c r="H137" s="29"/>
      <c r="I137" s="29" t="str">
        <f t="shared" si="6"/>
        <v/>
      </c>
      <c r="J137" t="str">
        <f>IF(A137="","",COUNTIF(Detalle_Pagos!$A$5:$A$2004,A137))</f>
        <v/>
      </c>
      <c r="K137" s="29" t="str">
        <f t="shared" si="7"/>
        <v/>
      </c>
      <c r="L137" s="29" t="str">
        <f>IF(A137="","",SUMIF(Detalle_Pagos!$A$5:$A$2004,A137,Detalle_Pagos!$I$5:$I$2004))</f>
        <v/>
      </c>
      <c r="M137" s="29" t="str">
        <f>IF(A137="","",SUMIFS(Detalle_Pagos!$I$5:$I$2004,Detalle_Pagos!$A$5:$A$2004,A137,Detalle_Pagos!$J$5:$J$2004,"No"))</f>
        <v/>
      </c>
      <c r="N137" t="str">
        <f t="shared" si="8"/>
        <v/>
      </c>
    </row>
    <row r="138" spans="2:14" x14ac:dyDescent="0.3">
      <c r="B138" s="30"/>
      <c r="G138" s="29" t="str">
        <f>IF(A138="","",IFERROR(INDEX(Criterios!$B$4:$C$83,MATCH(D138,Criterios!$A$4:$A$83,0),IF(E138="Dentro horario",1,2)),""))</f>
        <v/>
      </c>
      <c r="H138" s="29"/>
      <c r="I138" s="29" t="str">
        <f t="shared" si="6"/>
        <v/>
      </c>
      <c r="J138" t="str">
        <f>IF(A138="","",COUNTIF(Detalle_Pagos!$A$5:$A$2004,A138))</f>
        <v/>
      </c>
      <c r="K138" s="29" t="str">
        <f t="shared" si="7"/>
        <v/>
      </c>
      <c r="L138" s="29" t="str">
        <f>IF(A138="","",SUMIF(Detalle_Pagos!$A$5:$A$2004,A138,Detalle_Pagos!$I$5:$I$2004))</f>
        <v/>
      </c>
      <c r="M138" s="29" t="str">
        <f>IF(A138="","",SUMIFS(Detalle_Pagos!$I$5:$I$2004,Detalle_Pagos!$A$5:$A$2004,A138,Detalle_Pagos!$J$5:$J$2004,"No"))</f>
        <v/>
      </c>
      <c r="N138" t="str">
        <f t="shared" si="8"/>
        <v/>
      </c>
    </row>
    <row r="139" spans="2:14" x14ac:dyDescent="0.3">
      <c r="B139" s="30"/>
      <c r="G139" s="29" t="str">
        <f>IF(A139="","",IFERROR(INDEX(Criterios!$B$4:$C$83,MATCH(D139,Criterios!$A$4:$A$83,0),IF(E139="Dentro horario",1,2)),""))</f>
        <v/>
      </c>
      <c r="H139" s="29"/>
      <c r="I139" s="29" t="str">
        <f t="shared" si="6"/>
        <v/>
      </c>
      <c r="J139" t="str">
        <f>IF(A139="","",COUNTIF(Detalle_Pagos!$A$5:$A$2004,A139))</f>
        <v/>
      </c>
      <c r="K139" s="29" t="str">
        <f t="shared" si="7"/>
        <v/>
      </c>
      <c r="L139" s="29" t="str">
        <f>IF(A139="","",SUMIF(Detalle_Pagos!$A$5:$A$2004,A139,Detalle_Pagos!$I$5:$I$2004))</f>
        <v/>
      </c>
      <c r="M139" s="29" t="str">
        <f>IF(A139="","",SUMIFS(Detalle_Pagos!$I$5:$I$2004,Detalle_Pagos!$A$5:$A$2004,A139,Detalle_Pagos!$J$5:$J$2004,"No"))</f>
        <v/>
      </c>
      <c r="N139" t="str">
        <f t="shared" si="8"/>
        <v/>
      </c>
    </row>
    <row r="140" spans="2:14" x14ac:dyDescent="0.3">
      <c r="B140" s="30"/>
      <c r="G140" s="29" t="str">
        <f>IF(A140="","",IFERROR(INDEX(Criterios!$B$4:$C$83,MATCH(D140,Criterios!$A$4:$A$83,0),IF(E140="Dentro horario",1,2)),""))</f>
        <v/>
      </c>
      <c r="H140" s="29"/>
      <c r="I140" s="29" t="str">
        <f t="shared" si="6"/>
        <v/>
      </c>
      <c r="J140" t="str">
        <f>IF(A140="","",COUNTIF(Detalle_Pagos!$A$5:$A$2004,A140))</f>
        <v/>
      </c>
      <c r="K140" s="29" t="str">
        <f t="shared" si="7"/>
        <v/>
      </c>
      <c r="L140" s="29" t="str">
        <f>IF(A140="","",SUMIF(Detalle_Pagos!$A$5:$A$2004,A140,Detalle_Pagos!$I$5:$I$2004))</f>
        <v/>
      </c>
      <c r="M140" s="29" t="str">
        <f>IF(A140="","",SUMIFS(Detalle_Pagos!$I$5:$I$2004,Detalle_Pagos!$A$5:$A$2004,A140,Detalle_Pagos!$J$5:$J$2004,"No"))</f>
        <v/>
      </c>
      <c r="N140" t="str">
        <f t="shared" si="8"/>
        <v/>
      </c>
    </row>
    <row r="141" spans="2:14" x14ac:dyDescent="0.3">
      <c r="B141" s="30"/>
      <c r="G141" s="29" t="str">
        <f>IF(A141="","",IFERROR(INDEX(Criterios!$B$4:$C$83,MATCH(D141,Criterios!$A$4:$A$83,0),IF(E141="Dentro horario",1,2)),""))</f>
        <v/>
      </c>
      <c r="H141" s="29"/>
      <c r="I141" s="29" t="str">
        <f t="shared" si="6"/>
        <v/>
      </c>
      <c r="J141" t="str">
        <f>IF(A141="","",COUNTIF(Detalle_Pagos!$A$5:$A$2004,A141))</f>
        <v/>
      </c>
      <c r="K141" s="29" t="str">
        <f t="shared" si="7"/>
        <v/>
      </c>
      <c r="L141" s="29" t="str">
        <f>IF(A141="","",SUMIF(Detalle_Pagos!$A$5:$A$2004,A141,Detalle_Pagos!$I$5:$I$2004))</f>
        <v/>
      </c>
      <c r="M141" s="29" t="str">
        <f>IF(A141="","",SUMIFS(Detalle_Pagos!$I$5:$I$2004,Detalle_Pagos!$A$5:$A$2004,A141,Detalle_Pagos!$J$5:$J$2004,"No"))</f>
        <v/>
      </c>
      <c r="N141" t="str">
        <f t="shared" si="8"/>
        <v/>
      </c>
    </row>
    <row r="142" spans="2:14" x14ac:dyDescent="0.3">
      <c r="B142" s="30"/>
      <c r="G142" s="29" t="str">
        <f>IF(A142="","",IFERROR(INDEX(Criterios!$B$4:$C$83,MATCH(D142,Criterios!$A$4:$A$83,0),IF(E142="Dentro horario",1,2)),""))</f>
        <v/>
      </c>
      <c r="H142" s="29"/>
      <c r="I142" s="29" t="str">
        <f t="shared" si="6"/>
        <v/>
      </c>
      <c r="J142" t="str">
        <f>IF(A142="","",COUNTIF(Detalle_Pagos!$A$5:$A$2004,A142))</f>
        <v/>
      </c>
      <c r="K142" s="29" t="str">
        <f t="shared" si="7"/>
        <v/>
      </c>
      <c r="L142" s="29" t="str">
        <f>IF(A142="","",SUMIF(Detalle_Pagos!$A$5:$A$2004,A142,Detalle_Pagos!$I$5:$I$2004))</f>
        <v/>
      </c>
      <c r="M142" s="29" t="str">
        <f>IF(A142="","",SUMIFS(Detalle_Pagos!$I$5:$I$2004,Detalle_Pagos!$A$5:$A$2004,A142,Detalle_Pagos!$J$5:$J$2004,"No"))</f>
        <v/>
      </c>
      <c r="N142" t="str">
        <f t="shared" si="8"/>
        <v/>
      </c>
    </row>
    <row r="143" spans="2:14" x14ac:dyDescent="0.3">
      <c r="B143" s="30"/>
      <c r="G143" s="29" t="str">
        <f>IF(A143="","",IFERROR(INDEX(Criterios!$B$4:$C$83,MATCH(D143,Criterios!$A$4:$A$83,0),IF(E143="Dentro horario",1,2)),""))</f>
        <v/>
      </c>
      <c r="H143" s="29"/>
      <c r="I143" s="29" t="str">
        <f t="shared" si="6"/>
        <v/>
      </c>
      <c r="J143" t="str">
        <f>IF(A143="","",COUNTIF(Detalle_Pagos!$A$5:$A$2004,A143))</f>
        <v/>
      </c>
      <c r="K143" s="29" t="str">
        <f t="shared" si="7"/>
        <v/>
      </c>
      <c r="L143" s="29" t="str">
        <f>IF(A143="","",SUMIF(Detalle_Pagos!$A$5:$A$2004,A143,Detalle_Pagos!$I$5:$I$2004))</f>
        <v/>
      </c>
      <c r="M143" s="29" t="str">
        <f>IF(A143="","",SUMIFS(Detalle_Pagos!$I$5:$I$2004,Detalle_Pagos!$A$5:$A$2004,A143,Detalle_Pagos!$J$5:$J$2004,"No"))</f>
        <v/>
      </c>
      <c r="N143" t="str">
        <f t="shared" si="8"/>
        <v/>
      </c>
    </row>
    <row r="144" spans="2:14" x14ac:dyDescent="0.3">
      <c r="B144" s="30"/>
      <c r="G144" s="29" t="str">
        <f>IF(A144="","",IFERROR(INDEX(Criterios!$B$4:$C$83,MATCH(D144,Criterios!$A$4:$A$83,0),IF(E144="Dentro horario",1,2)),""))</f>
        <v/>
      </c>
      <c r="H144" s="29"/>
      <c r="I144" s="29" t="str">
        <f t="shared" si="6"/>
        <v/>
      </c>
      <c r="J144" t="str">
        <f>IF(A144="","",COUNTIF(Detalle_Pagos!$A$5:$A$2004,A144))</f>
        <v/>
      </c>
      <c r="K144" s="29" t="str">
        <f t="shared" si="7"/>
        <v/>
      </c>
      <c r="L144" s="29" t="str">
        <f>IF(A144="","",SUMIF(Detalle_Pagos!$A$5:$A$2004,A144,Detalle_Pagos!$I$5:$I$2004))</f>
        <v/>
      </c>
      <c r="M144" s="29" t="str">
        <f>IF(A144="","",SUMIFS(Detalle_Pagos!$I$5:$I$2004,Detalle_Pagos!$A$5:$A$2004,A144,Detalle_Pagos!$J$5:$J$2004,"No"))</f>
        <v/>
      </c>
      <c r="N144" t="str">
        <f t="shared" si="8"/>
        <v/>
      </c>
    </row>
    <row r="145" spans="2:14" x14ac:dyDescent="0.3">
      <c r="B145" s="30"/>
      <c r="G145" s="29" t="str">
        <f>IF(A145="","",IFERROR(INDEX(Criterios!$B$4:$C$83,MATCH(D145,Criterios!$A$4:$A$83,0),IF(E145="Dentro horario",1,2)),""))</f>
        <v/>
      </c>
      <c r="H145" s="29"/>
      <c r="I145" s="29" t="str">
        <f t="shared" si="6"/>
        <v/>
      </c>
      <c r="J145" t="str">
        <f>IF(A145="","",COUNTIF(Detalle_Pagos!$A$5:$A$2004,A145))</f>
        <v/>
      </c>
      <c r="K145" s="29" t="str">
        <f t="shared" si="7"/>
        <v/>
      </c>
      <c r="L145" s="29" t="str">
        <f>IF(A145="","",SUMIF(Detalle_Pagos!$A$5:$A$2004,A145,Detalle_Pagos!$I$5:$I$2004))</f>
        <v/>
      </c>
      <c r="M145" s="29" t="str">
        <f>IF(A145="","",SUMIFS(Detalle_Pagos!$I$5:$I$2004,Detalle_Pagos!$A$5:$A$2004,A145,Detalle_Pagos!$J$5:$J$2004,"No"))</f>
        <v/>
      </c>
      <c r="N145" t="str">
        <f t="shared" si="8"/>
        <v/>
      </c>
    </row>
    <row r="146" spans="2:14" x14ac:dyDescent="0.3">
      <c r="B146" s="30"/>
      <c r="G146" s="29" t="str">
        <f>IF(A146="","",IFERROR(INDEX(Criterios!$B$4:$C$83,MATCH(D146,Criterios!$A$4:$A$83,0),IF(E146="Dentro horario",1,2)),""))</f>
        <v/>
      </c>
      <c r="H146" s="29"/>
      <c r="I146" s="29" t="str">
        <f t="shared" si="6"/>
        <v/>
      </c>
      <c r="J146" t="str">
        <f>IF(A146="","",COUNTIF(Detalle_Pagos!$A$5:$A$2004,A146))</f>
        <v/>
      </c>
      <c r="K146" s="29" t="str">
        <f t="shared" si="7"/>
        <v/>
      </c>
      <c r="L146" s="29" t="str">
        <f>IF(A146="","",SUMIF(Detalle_Pagos!$A$5:$A$2004,A146,Detalle_Pagos!$I$5:$I$2004))</f>
        <v/>
      </c>
      <c r="M146" s="29" t="str">
        <f>IF(A146="","",SUMIFS(Detalle_Pagos!$I$5:$I$2004,Detalle_Pagos!$A$5:$A$2004,A146,Detalle_Pagos!$J$5:$J$2004,"No"))</f>
        <v/>
      </c>
      <c r="N146" t="str">
        <f t="shared" si="8"/>
        <v/>
      </c>
    </row>
    <row r="147" spans="2:14" x14ac:dyDescent="0.3">
      <c r="B147" s="30"/>
      <c r="G147" s="29" t="str">
        <f>IF(A147="","",IFERROR(INDEX(Criterios!$B$4:$C$83,MATCH(D147,Criterios!$A$4:$A$83,0),IF(E147="Dentro horario",1,2)),""))</f>
        <v/>
      </c>
      <c r="H147" s="29"/>
      <c r="I147" s="29" t="str">
        <f t="shared" si="6"/>
        <v/>
      </c>
      <c r="J147" t="str">
        <f>IF(A147="","",COUNTIF(Detalle_Pagos!$A$5:$A$2004,A147))</f>
        <v/>
      </c>
      <c r="K147" s="29" t="str">
        <f t="shared" si="7"/>
        <v/>
      </c>
      <c r="L147" s="29" t="str">
        <f>IF(A147="","",SUMIF(Detalle_Pagos!$A$5:$A$2004,A147,Detalle_Pagos!$I$5:$I$2004))</f>
        <v/>
      </c>
      <c r="M147" s="29" t="str">
        <f>IF(A147="","",SUMIFS(Detalle_Pagos!$I$5:$I$2004,Detalle_Pagos!$A$5:$A$2004,A147,Detalle_Pagos!$J$5:$J$2004,"No"))</f>
        <v/>
      </c>
      <c r="N147" t="str">
        <f t="shared" si="8"/>
        <v/>
      </c>
    </row>
    <row r="148" spans="2:14" x14ac:dyDescent="0.3">
      <c r="B148" s="30"/>
      <c r="G148" s="29" t="str">
        <f>IF(A148="","",IFERROR(INDEX(Criterios!$B$4:$C$83,MATCH(D148,Criterios!$A$4:$A$83,0),IF(E148="Dentro horario",1,2)),""))</f>
        <v/>
      </c>
      <c r="H148" s="29"/>
      <c r="I148" s="29" t="str">
        <f t="shared" si="6"/>
        <v/>
      </c>
      <c r="J148" t="str">
        <f>IF(A148="","",COUNTIF(Detalle_Pagos!$A$5:$A$2004,A148))</f>
        <v/>
      </c>
      <c r="K148" s="29" t="str">
        <f t="shared" si="7"/>
        <v/>
      </c>
      <c r="L148" s="29" t="str">
        <f>IF(A148="","",SUMIF(Detalle_Pagos!$A$5:$A$2004,A148,Detalle_Pagos!$I$5:$I$2004))</f>
        <v/>
      </c>
      <c r="M148" s="29" t="str">
        <f>IF(A148="","",SUMIFS(Detalle_Pagos!$I$5:$I$2004,Detalle_Pagos!$A$5:$A$2004,A148,Detalle_Pagos!$J$5:$J$2004,"No"))</f>
        <v/>
      </c>
      <c r="N148" t="str">
        <f t="shared" si="8"/>
        <v/>
      </c>
    </row>
    <row r="149" spans="2:14" x14ac:dyDescent="0.3">
      <c r="B149" s="30"/>
      <c r="G149" s="29" t="str">
        <f>IF(A149="","",IFERROR(INDEX(Criterios!$B$4:$C$83,MATCH(D149,Criterios!$A$4:$A$83,0),IF(E149="Dentro horario",1,2)),""))</f>
        <v/>
      </c>
      <c r="H149" s="29"/>
      <c r="I149" s="29" t="str">
        <f t="shared" si="6"/>
        <v/>
      </c>
      <c r="J149" t="str">
        <f>IF(A149="","",COUNTIF(Detalle_Pagos!$A$5:$A$2004,A149))</f>
        <v/>
      </c>
      <c r="K149" s="29" t="str">
        <f t="shared" si="7"/>
        <v/>
      </c>
      <c r="L149" s="29" t="str">
        <f>IF(A149="","",SUMIF(Detalle_Pagos!$A$5:$A$2004,A149,Detalle_Pagos!$I$5:$I$2004))</f>
        <v/>
      </c>
      <c r="M149" s="29" t="str">
        <f>IF(A149="","",SUMIFS(Detalle_Pagos!$I$5:$I$2004,Detalle_Pagos!$A$5:$A$2004,A149,Detalle_Pagos!$J$5:$J$2004,"No"))</f>
        <v/>
      </c>
      <c r="N149" t="str">
        <f t="shared" si="8"/>
        <v/>
      </c>
    </row>
    <row r="150" spans="2:14" x14ac:dyDescent="0.3">
      <c r="B150" s="30"/>
      <c r="G150" s="29" t="str">
        <f>IF(A150="","",IFERROR(INDEX(Criterios!$B$4:$C$83,MATCH(D150,Criterios!$A$4:$A$83,0),IF(E150="Dentro horario",1,2)),""))</f>
        <v/>
      </c>
      <c r="H150" s="29"/>
      <c r="I150" s="29" t="str">
        <f t="shared" si="6"/>
        <v/>
      </c>
      <c r="J150" t="str">
        <f>IF(A150="","",COUNTIF(Detalle_Pagos!$A$5:$A$2004,A150))</f>
        <v/>
      </c>
      <c r="K150" s="29" t="str">
        <f t="shared" si="7"/>
        <v/>
      </c>
      <c r="L150" s="29" t="str">
        <f>IF(A150="","",SUMIF(Detalle_Pagos!$A$5:$A$2004,A150,Detalle_Pagos!$I$5:$I$2004))</f>
        <v/>
      </c>
      <c r="M150" s="29" t="str">
        <f>IF(A150="","",SUMIFS(Detalle_Pagos!$I$5:$I$2004,Detalle_Pagos!$A$5:$A$2004,A150,Detalle_Pagos!$J$5:$J$2004,"No"))</f>
        <v/>
      </c>
      <c r="N150" t="str">
        <f t="shared" si="8"/>
        <v/>
      </c>
    </row>
    <row r="151" spans="2:14" x14ac:dyDescent="0.3">
      <c r="B151" s="30"/>
      <c r="G151" s="29" t="str">
        <f>IF(A151="","",IFERROR(INDEX(Criterios!$B$4:$C$83,MATCH(D151,Criterios!$A$4:$A$83,0),IF(E151="Dentro horario",1,2)),""))</f>
        <v/>
      </c>
      <c r="H151" s="29"/>
      <c r="I151" s="29" t="str">
        <f t="shared" si="6"/>
        <v/>
      </c>
      <c r="J151" t="str">
        <f>IF(A151="","",COUNTIF(Detalle_Pagos!$A$5:$A$2004,A151))</f>
        <v/>
      </c>
      <c r="K151" s="29" t="str">
        <f t="shared" si="7"/>
        <v/>
      </c>
      <c r="L151" s="29" t="str">
        <f>IF(A151="","",SUMIF(Detalle_Pagos!$A$5:$A$2004,A151,Detalle_Pagos!$I$5:$I$2004))</f>
        <v/>
      </c>
      <c r="M151" s="29" t="str">
        <f>IF(A151="","",SUMIFS(Detalle_Pagos!$I$5:$I$2004,Detalle_Pagos!$A$5:$A$2004,A151,Detalle_Pagos!$J$5:$J$2004,"No"))</f>
        <v/>
      </c>
      <c r="N151" t="str">
        <f t="shared" si="8"/>
        <v/>
      </c>
    </row>
    <row r="152" spans="2:14" x14ac:dyDescent="0.3">
      <c r="B152" s="30"/>
      <c r="G152" s="29" t="str">
        <f>IF(A152="","",IFERROR(INDEX(Criterios!$B$4:$C$83,MATCH(D152,Criterios!$A$4:$A$83,0),IF(E152="Dentro horario",1,2)),""))</f>
        <v/>
      </c>
      <c r="H152" s="29"/>
      <c r="I152" s="29" t="str">
        <f t="shared" si="6"/>
        <v/>
      </c>
      <c r="J152" t="str">
        <f>IF(A152="","",COUNTIF(Detalle_Pagos!$A$5:$A$2004,A152))</f>
        <v/>
      </c>
      <c r="K152" s="29" t="str">
        <f t="shared" si="7"/>
        <v/>
      </c>
      <c r="L152" s="29" t="str">
        <f>IF(A152="","",SUMIF(Detalle_Pagos!$A$5:$A$2004,A152,Detalle_Pagos!$I$5:$I$2004))</f>
        <v/>
      </c>
      <c r="M152" s="29" t="str">
        <f>IF(A152="","",SUMIFS(Detalle_Pagos!$I$5:$I$2004,Detalle_Pagos!$A$5:$A$2004,A152,Detalle_Pagos!$J$5:$J$2004,"No"))</f>
        <v/>
      </c>
      <c r="N152" t="str">
        <f t="shared" si="8"/>
        <v/>
      </c>
    </row>
    <row r="153" spans="2:14" x14ac:dyDescent="0.3">
      <c r="B153" s="30"/>
      <c r="G153" s="29" t="str">
        <f>IF(A153="","",IFERROR(INDEX(Criterios!$B$4:$C$83,MATCH(D153,Criterios!$A$4:$A$83,0),IF(E153="Dentro horario",1,2)),""))</f>
        <v/>
      </c>
      <c r="H153" s="29"/>
      <c r="I153" s="29" t="str">
        <f t="shared" si="6"/>
        <v/>
      </c>
      <c r="J153" t="str">
        <f>IF(A153="","",COUNTIF(Detalle_Pagos!$A$5:$A$2004,A153))</f>
        <v/>
      </c>
      <c r="K153" s="29" t="str">
        <f t="shared" si="7"/>
        <v/>
      </c>
      <c r="L153" s="29" t="str">
        <f>IF(A153="","",SUMIF(Detalle_Pagos!$A$5:$A$2004,A153,Detalle_Pagos!$I$5:$I$2004))</f>
        <v/>
      </c>
      <c r="M153" s="29" t="str">
        <f>IF(A153="","",SUMIFS(Detalle_Pagos!$I$5:$I$2004,Detalle_Pagos!$A$5:$A$2004,A153,Detalle_Pagos!$J$5:$J$2004,"No"))</f>
        <v/>
      </c>
      <c r="N153" t="str">
        <f t="shared" si="8"/>
        <v/>
      </c>
    </row>
    <row r="154" spans="2:14" x14ac:dyDescent="0.3">
      <c r="B154" s="30"/>
      <c r="G154" s="29" t="str">
        <f>IF(A154="","",IFERROR(INDEX(Criterios!$B$4:$C$83,MATCH(D154,Criterios!$A$4:$A$83,0),IF(E154="Dentro horario",1,2)),""))</f>
        <v/>
      </c>
      <c r="H154" s="29"/>
      <c r="I154" s="29" t="str">
        <f t="shared" si="6"/>
        <v/>
      </c>
      <c r="J154" t="str">
        <f>IF(A154="","",COUNTIF(Detalle_Pagos!$A$5:$A$2004,A154))</f>
        <v/>
      </c>
      <c r="K154" s="29" t="str">
        <f t="shared" si="7"/>
        <v/>
      </c>
      <c r="L154" s="29" t="str">
        <f>IF(A154="","",SUMIF(Detalle_Pagos!$A$5:$A$2004,A154,Detalle_Pagos!$I$5:$I$2004))</f>
        <v/>
      </c>
      <c r="M154" s="29" t="str">
        <f>IF(A154="","",SUMIFS(Detalle_Pagos!$I$5:$I$2004,Detalle_Pagos!$A$5:$A$2004,A154,Detalle_Pagos!$J$5:$J$2004,"No"))</f>
        <v/>
      </c>
      <c r="N154" t="str">
        <f t="shared" si="8"/>
        <v/>
      </c>
    </row>
    <row r="155" spans="2:14" x14ac:dyDescent="0.3">
      <c r="B155" s="30"/>
      <c r="G155" s="29" t="str">
        <f>IF(A155="","",IFERROR(INDEX(Criterios!$B$4:$C$83,MATCH(D155,Criterios!$A$4:$A$83,0),IF(E155="Dentro horario",1,2)),""))</f>
        <v/>
      </c>
      <c r="H155" s="29"/>
      <c r="I155" s="29" t="str">
        <f t="shared" si="6"/>
        <v/>
      </c>
      <c r="J155" t="str">
        <f>IF(A155="","",COUNTIF(Detalle_Pagos!$A$5:$A$2004,A155))</f>
        <v/>
      </c>
      <c r="K155" s="29" t="str">
        <f t="shared" si="7"/>
        <v/>
      </c>
      <c r="L155" s="29" t="str">
        <f>IF(A155="","",SUMIF(Detalle_Pagos!$A$5:$A$2004,A155,Detalle_Pagos!$I$5:$I$2004))</f>
        <v/>
      </c>
      <c r="M155" s="29" t="str">
        <f>IF(A155="","",SUMIFS(Detalle_Pagos!$I$5:$I$2004,Detalle_Pagos!$A$5:$A$2004,A155,Detalle_Pagos!$J$5:$J$2004,"No"))</f>
        <v/>
      </c>
      <c r="N155" t="str">
        <f t="shared" si="8"/>
        <v/>
      </c>
    </row>
    <row r="156" spans="2:14" x14ac:dyDescent="0.3">
      <c r="B156" s="30"/>
      <c r="G156" s="29" t="str">
        <f>IF(A156="","",IFERROR(INDEX(Criterios!$B$4:$C$83,MATCH(D156,Criterios!$A$4:$A$83,0),IF(E156="Dentro horario",1,2)),""))</f>
        <v/>
      </c>
      <c r="H156" s="29"/>
      <c r="I156" s="29" t="str">
        <f t="shared" si="6"/>
        <v/>
      </c>
      <c r="J156" t="str">
        <f>IF(A156="","",COUNTIF(Detalle_Pagos!$A$5:$A$2004,A156))</f>
        <v/>
      </c>
      <c r="K156" s="29" t="str">
        <f t="shared" si="7"/>
        <v/>
      </c>
      <c r="L156" s="29" t="str">
        <f>IF(A156="","",SUMIF(Detalle_Pagos!$A$5:$A$2004,A156,Detalle_Pagos!$I$5:$I$2004))</f>
        <v/>
      </c>
      <c r="M156" s="29" t="str">
        <f>IF(A156="","",SUMIFS(Detalle_Pagos!$I$5:$I$2004,Detalle_Pagos!$A$5:$A$2004,A156,Detalle_Pagos!$J$5:$J$2004,"No"))</f>
        <v/>
      </c>
      <c r="N156" t="str">
        <f t="shared" si="8"/>
        <v/>
      </c>
    </row>
    <row r="157" spans="2:14" x14ac:dyDescent="0.3">
      <c r="B157" s="30"/>
      <c r="G157" s="29" t="str">
        <f>IF(A157="","",IFERROR(INDEX(Criterios!$B$4:$C$83,MATCH(D157,Criterios!$A$4:$A$83,0),IF(E157="Dentro horario",1,2)),""))</f>
        <v/>
      </c>
      <c r="H157" s="29"/>
      <c r="I157" s="29" t="str">
        <f t="shared" si="6"/>
        <v/>
      </c>
      <c r="J157" t="str">
        <f>IF(A157="","",COUNTIF(Detalle_Pagos!$A$5:$A$2004,A157))</f>
        <v/>
      </c>
      <c r="K157" s="29" t="str">
        <f t="shared" si="7"/>
        <v/>
      </c>
      <c r="L157" s="29" t="str">
        <f>IF(A157="","",SUMIF(Detalle_Pagos!$A$5:$A$2004,A157,Detalle_Pagos!$I$5:$I$2004))</f>
        <v/>
      </c>
      <c r="M157" s="29" t="str">
        <f>IF(A157="","",SUMIFS(Detalle_Pagos!$I$5:$I$2004,Detalle_Pagos!$A$5:$A$2004,A157,Detalle_Pagos!$J$5:$J$2004,"No"))</f>
        <v/>
      </c>
      <c r="N157" t="str">
        <f t="shared" si="8"/>
        <v/>
      </c>
    </row>
    <row r="158" spans="2:14" x14ac:dyDescent="0.3">
      <c r="B158" s="30"/>
      <c r="G158" s="29" t="str">
        <f>IF(A158="","",IFERROR(INDEX(Criterios!$B$4:$C$83,MATCH(D158,Criterios!$A$4:$A$83,0),IF(E158="Dentro horario",1,2)),""))</f>
        <v/>
      </c>
      <c r="H158" s="29"/>
      <c r="I158" s="29" t="str">
        <f t="shared" si="6"/>
        <v/>
      </c>
      <c r="J158" t="str">
        <f>IF(A158="","",COUNTIF(Detalle_Pagos!$A$5:$A$2004,A158))</f>
        <v/>
      </c>
      <c r="K158" s="29" t="str">
        <f t="shared" si="7"/>
        <v/>
      </c>
      <c r="L158" s="29" t="str">
        <f>IF(A158="","",SUMIF(Detalle_Pagos!$A$5:$A$2004,A158,Detalle_Pagos!$I$5:$I$2004))</f>
        <v/>
      </c>
      <c r="M158" s="29" t="str">
        <f>IF(A158="","",SUMIFS(Detalle_Pagos!$I$5:$I$2004,Detalle_Pagos!$A$5:$A$2004,A158,Detalle_Pagos!$J$5:$J$2004,"No"))</f>
        <v/>
      </c>
      <c r="N158" t="str">
        <f t="shared" si="8"/>
        <v/>
      </c>
    </row>
    <row r="159" spans="2:14" x14ac:dyDescent="0.3">
      <c r="B159" s="30"/>
      <c r="G159" s="29" t="str">
        <f>IF(A159="","",IFERROR(INDEX(Criterios!$B$4:$C$83,MATCH(D159,Criterios!$A$4:$A$83,0),IF(E159="Dentro horario",1,2)),""))</f>
        <v/>
      </c>
      <c r="H159" s="29"/>
      <c r="I159" s="29" t="str">
        <f t="shared" si="6"/>
        <v/>
      </c>
      <c r="J159" t="str">
        <f>IF(A159="","",COUNTIF(Detalle_Pagos!$A$5:$A$2004,A159))</f>
        <v/>
      </c>
      <c r="K159" s="29" t="str">
        <f t="shared" si="7"/>
        <v/>
      </c>
      <c r="L159" s="29" t="str">
        <f>IF(A159="","",SUMIF(Detalle_Pagos!$A$5:$A$2004,A159,Detalle_Pagos!$I$5:$I$2004))</f>
        <v/>
      </c>
      <c r="M159" s="29" t="str">
        <f>IF(A159="","",SUMIFS(Detalle_Pagos!$I$5:$I$2004,Detalle_Pagos!$A$5:$A$2004,A159,Detalle_Pagos!$J$5:$J$2004,"No"))</f>
        <v/>
      </c>
      <c r="N159" t="str">
        <f t="shared" si="8"/>
        <v/>
      </c>
    </row>
    <row r="160" spans="2:14" x14ac:dyDescent="0.3">
      <c r="B160" s="30"/>
      <c r="G160" s="29" t="str">
        <f>IF(A160="","",IFERROR(INDEX(Criterios!$B$4:$C$83,MATCH(D160,Criterios!$A$4:$A$83,0),IF(E160="Dentro horario",1,2)),""))</f>
        <v/>
      </c>
      <c r="H160" s="29"/>
      <c r="I160" s="29" t="str">
        <f t="shared" si="6"/>
        <v/>
      </c>
      <c r="J160" t="str">
        <f>IF(A160="","",COUNTIF(Detalle_Pagos!$A$5:$A$2004,A160))</f>
        <v/>
      </c>
      <c r="K160" s="29" t="str">
        <f t="shared" si="7"/>
        <v/>
      </c>
      <c r="L160" s="29" t="str">
        <f>IF(A160="","",SUMIF(Detalle_Pagos!$A$5:$A$2004,A160,Detalle_Pagos!$I$5:$I$2004))</f>
        <v/>
      </c>
      <c r="M160" s="29" t="str">
        <f>IF(A160="","",SUMIFS(Detalle_Pagos!$I$5:$I$2004,Detalle_Pagos!$A$5:$A$2004,A160,Detalle_Pagos!$J$5:$J$2004,"No"))</f>
        <v/>
      </c>
      <c r="N160" t="str">
        <f t="shared" si="8"/>
        <v/>
      </c>
    </row>
    <row r="161" spans="2:14" x14ac:dyDescent="0.3">
      <c r="B161" s="30"/>
      <c r="G161" s="29" t="str">
        <f>IF(A161="","",IFERROR(INDEX(Criterios!$B$4:$C$83,MATCH(D161,Criterios!$A$4:$A$83,0),IF(E161="Dentro horario",1,2)),""))</f>
        <v/>
      </c>
      <c r="H161" s="29"/>
      <c r="I161" s="29" t="str">
        <f t="shared" si="6"/>
        <v/>
      </c>
      <c r="J161" t="str">
        <f>IF(A161="","",COUNTIF(Detalle_Pagos!$A$5:$A$2004,A161))</f>
        <v/>
      </c>
      <c r="K161" s="29" t="str">
        <f t="shared" si="7"/>
        <v/>
      </c>
      <c r="L161" s="29" t="str">
        <f>IF(A161="","",SUMIF(Detalle_Pagos!$A$5:$A$2004,A161,Detalle_Pagos!$I$5:$I$2004))</f>
        <v/>
      </c>
      <c r="M161" s="29" t="str">
        <f>IF(A161="","",SUMIFS(Detalle_Pagos!$I$5:$I$2004,Detalle_Pagos!$A$5:$A$2004,A161,Detalle_Pagos!$J$5:$J$2004,"No"))</f>
        <v/>
      </c>
      <c r="N161" t="str">
        <f t="shared" si="8"/>
        <v/>
      </c>
    </row>
    <row r="162" spans="2:14" x14ac:dyDescent="0.3">
      <c r="B162" s="30"/>
      <c r="G162" s="29" t="str">
        <f>IF(A162="","",IFERROR(INDEX(Criterios!$B$4:$C$83,MATCH(D162,Criterios!$A$4:$A$83,0),IF(E162="Dentro horario",1,2)),""))</f>
        <v/>
      </c>
      <c r="H162" s="29"/>
      <c r="I162" s="29" t="str">
        <f t="shared" si="6"/>
        <v/>
      </c>
      <c r="J162" t="str">
        <f>IF(A162="","",COUNTIF(Detalle_Pagos!$A$5:$A$2004,A162))</f>
        <v/>
      </c>
      <c r="K162" s="29" t="str">
        <f t="shared" si="7"/>
        <v/>
      </c>
      <c r="L162" s="29" t="str">
        <f>IF(A162="","",SUMIF(Detalle_Pagos!$A$5:$A$2004,A162,Detalle_Pagos!$I$5:$I$2004))</f>
        <v/>
      </c>
      <c r="M162" s="29" t="str">
        <f>IF(A162="","",SUMIFS(Detalle_Pagos!$I$5:$I$2004,Detalle_Pagos!$A$5:$A$2004,A162,Detalle_Pagos!$J$5:$J$2004,"No"))</f>
        <v/>
      </c>
      <c r="N162" t="str">
        <f t="shared" si="8"/>
        <v/>
      </c>
    </row>
    <row r="163" spans="2:14" x14ac:dyDescent="0.3">
      <c r="B163" s="30"/>
      <c r="G163" s="29" t="str">
        <f>IF(A163="","",IFERROR(INDEX(Criterios!$B$4:$C$83,MATCH(D163,Criterios!$A$4:$A$83,0),IF(E163="Dentro horario",1,2)),""))</f>
        <v/>
      </c>
      <c r="H163" s="29"/>
      <c r="I163" s="29" t="str">
        <f t="shared" si="6"/>
        <v/>
      </c>
      <c r="J163" t="str">
        <f>IF(A163="","",COUNTIF(Detalle_Pagos!$A$5:$A$2004,A163))</f>
        <v/>
      </c>
      <c r="K163" s="29" t="str">
        <f t="shared" si="7"/>
        <v/>
      </c>
      <c r="L163" s="29" t="str">
        <f>IF(A163="","",SUMIF(Detalle_Pagos!$A$5:$A$2004,A163,Detalle_Pagos!$I$5:$I$2004))</f>
        <v/>
      </c>
      <c r="M163" s="29" t="str">
        <f>IF(A163="","",SUMIFS(Detalle_Pagos!$I$5:$I$2004,Detalle_Pagos!$A$5:$A$2004,A163,Detalle_Pagos!$J$5:$J$2004,"No"))</f>
        <v/>
      </c>
      <c r="N163" t="str">
        <f t="shared" si="8"/>
        <v/>
      </c>
    </row>
    <row r="164" spans="2:14" x14ac:dyDescent="0.3">
      <c r="B164" s="30"/>
      <c r="G164" s="29" t="str">
        <f>IF(A164="","",IFERROR(INDEX(Criterios!$B$4:$C$83,MATCH(D164,Criterios!$A$4:$A$83,0),IF(E164="Dentro horario",1,2)),""))</f>
        <v/>
      </c>
      <c r="H164" s="29"/>
      <c r="I164" s="29" t="str">
        <f t="shared" si="6"/>
        <v/>
      </c>
      <c r="J164" t="str">
        <f>IF(A164="","",COUNTIF(Detalle_Pagos!$A$5:$A$2004,A164))</f>
        <v/>
      </c>
      <c r="K164" s="29" t="str">
        <f t="shared" si="7"/>
        <v/>
      </c>
      <c r="L164" s="29" t="str">
        <f>IF(A164="","",SUMIF(Detalle_Pagos!$A$5:$A$2004,A164,Detalle_Pagos!$I$5:$I$2004))</f>
        <v/>
      </c>
      <c r="M164" s="29" t="str">
        <f>IF(A164="","",SUMIFS(Detalle_Pagos!$I$5:$I$2004,Detalle_Pagos!$A$5:$A$2004,A164,Detalle_Pagos!$J$5:$J$2004,"No"))</f>
        <v/>
      </c>
      <c r="N164" t="str">
        <f t="shared" si="8"/>
        <v/>
      </c>
    </row>
    <row r="165" spans="2:14" x14ac:dyDescent="0.3">
      <c r="B165" s="30"/>
      <c r="G165" s="29" t="str">
        <f>IF(A165="","",IFERROR(INDEX(Criterios!$B$4:$C$83,MATCH(D165,Criterios!$A$4:$A$83,0),IF(E165="Dentro horario",1,2)),""))</f>
        <v/>
      </c>
      <c r="H165" s="29"/>
      <c r="I165" s="29" t="str">
        <f t="shared" si="6"/>
        <v/>
      </c>
      <c r="J165" t="str">
        <f>IF(A165="","",COUNTIF(Detalle_Pagos!$A$5:$A$2004,A165))</f>
        <v/>
      </c>
      <c r="K165" s="29" t="str">
        <f t="shared" si="7"/>
        <v/>
      </c>
      <c r="L165" s="29" t="str">
        <f>IF(A165="","",SUMIF(Detalle_Pagos!$A$5:$A$2004,A165,Detalle_Pagos!$I$5:$I$2004))</f>
        <v/>
      </c>
      <c r="M165" s="29" t="str">
        <f>IF(A165="","",SUMIFS(Detalle_Pagos!$I$5:$I$2004,Detalle_Pagos!$A$5:$A$2004,A165,Detalle_Pagos!$J$5:$J$2004,"No"))</f>
        <v/>
      </c>
      <c r="N165" t="str">
        <f t="shared" si="8"/>
        <v/>
      </c>
    </row>
    <row r="166" spans="2:14" x14ac:dyDescent="0.3">
      <c r="B166" s="30"/>
      <c r="G166" s="29" t="str">
        <f>IF(A166="","",IFERROR(INDEX(Criterios!$B$4:$C$83,MATCH(D166,Criterios!$A$4:$A$83,0),IF(E166="Dentro horario",1,2)),""))</f>
        <v/>
      </c>
      <c r="H166" s="29"/>
      <c r="I166" s="29" t="str">
        <f t="shared" si="6"/>
        <v/>
      </c>
      <c r="J166" t="str">
        <f>IF(A166="","",COUNTIF(Detalle_Pagos!$A$5:$A$2004,A166))</f>
        <v/>
      </c>
      <c r="K166" s="29" t="str">
        <f t="shared" si="7"/>
        <v/>
      </c>
      <c r="L166" s="29" t="str">
        <f>IF(A166="","",SUMIF(Detalle_Pagos!$A$5:$A$2004,A166,Detalle_Pagos!$I$5:$I$2004))</f>
        <v/>
      </c>
      <c r="M166" s="29" t="str">
        <f>IF(A166="","",SUMIFS(Detalle_Pagos!$I$5:$I$2004,Detalle_Pagos!$A$5:$A$2004,A166,Detalle_Pagos!$J$5:$J$2004,"No"))</f>
        <v/>
      </c>
      <c r="N166" t="str">
        <f t="shared" si="8"/>
        <v/>
      </c>
    </row>
    <row r="167" spans="2:14" x14ac:dyDescent="0.3">
      <c r="B167" s="30"/>
      <c r="G167" s="29" t="str">
        <f>IF(A167="","",IFERROR(INDEX(Criterios!$B$4:$C$83,MATCH(D167,Criterios!$A$4:$A$83,0),IF(E167="Dentro horario",1,2)),""))</f>
        <v/>
      </c>
      <c r="H167" s="29"/>
      <c r="I167" s="29" t="str">
        <f t="shared" si="6"/>
        <v/>
      </c>
      <c r="J167" t="str">
        <f>IF(A167="","",COUNTIF(Detalle_Pagos!$A$5:$A$2004,A167))</f>
        <v/>
      </c>
      <c r="K167" s="29" t="str">
        <f t="shared" si="7"/>
        <v/>
      </c>
      <c r="L167" s="29" t="str">
        <f>IF(A167="","",SUMIF(Detalle_Pagos!$A$5:$A$2004,A167,Detalle_Pagos!$I$5:$I$2004))</f>
        <v/>
      </c>
      <c r="M167" s="29" t="str">
        <f>IF(A167="","",SUMIFS(Detalle_Pagos!$I$5:$I$2004,Detalle_Pagos!$A$5:$A$2004,A167,Detalle_Pagos!$J$5:$J$2004,"No"))</f>
        <v/>
      </c>
      <c r="N167" t="str">
        <f t="shared" si="8"/>
        <v/>
      </c>
    </row>
    <row r="168" spans="2:14" x14ac:dyDescent="0.3">
      <c r="B168" s="30"/>
      <c r="G168" s="29" t="str">
        <f>IF(A168="","",IFERROR(INDEX(Criterios!$B$4:$C$83,MATCH(D168,Criterios!$A$4:$A$83,0),IF(E168="Dentro horario",1,2)),""))</f>
        <v/>
      </c>
      <c r="H168" s="29"/>
      <c r="I168" s="29" t="str">
        <f t="shared" si="6"/>
        <v/>
      </c>
      <c r="J168" t="str">
        <f>IF(A168="","",COUNTIF(Detalle_Pagos!$A$5:$A$2004,A168))</f>
        <v/>
      </c>
      <c r="K168" s="29" t="str">
        <f t="shared" si="7"/>
        <v/>
      </c>
      <c r="L168" s="29" t="str">
        <f>IF(A168="","",SUMIF(Detalle_Pagos!$A$5:$A$2004,A168,Detalle_Pagos!$I$5:$I$2004))</f>
        <v/>
      </c>
      <c r="M168" s="29" t="str">
        <f>IF(A168="","",SUMIFS(Detalle_Pagos!$I$5:$I$2004,Detalle_Pagos!$A$5:$A$2004,A168,Detalle_Pagos!$J$5:$J$2004,"No"))</f>
        <v/>
      </c>
      <c r="N168" t="str">
        <f t="shared" si="8"/>
        <v/>
      </c>
    </row>
    <row r="169" spans="2:14" x14ac:dyDescent="0.3">
      <c r="B169" s="30"/>
      <c r="G169" s="29" t="str">
        <f>IF(A169="","",IFERROR(INDEX(Criterios!$B$4:$C$83,MATCH(D169,Criterios!$A$4:$A$83,0),IF(E169="Dentro horario",1,2)),""))</f>
        <v/>
      </c>
      <c r="H169" s="29"/>
      <c r="I169" s="29" t="str">
        <f t="shared" si="6"/>
        <v/>
      </c>
      <c r="J169" t="str">
        <f>IF(A169="","",COUNTIF(Detalle_Pagos!$A$5:$A$2004,A169))</f>
        <v/>
      </c>
      <c r="K169" s="29" t="str">
        <f t="shared" si="7"/>
        <v/>
      </c>
      <c r="L169" s="29" t="str">
        <f>IF(A169="","",SUMIF(Detalle_Pagos!$A$5:$A$2004,A169,Detalle_Pagos!$I$5:$I$2004))</f>
        <v/>
      </c>
      <c r="M169" s="29" t="str">
        <f>IF(A169="","",SUMIFS(Detalle_Pagos!$I$5:$I$2004,Detalle_Pagos!$A$5:$A$2004,A169,Detalle_Pagos!$J$5:$J$2004,"No"))</f>
        <v/>
      </c>
      <c r="N169" t="str">
        <f t="shared" si="8"/>
        <v/>
      </c>
    </row>
    <row r="170" spans="2:14" x14ac:dyDescent="0.3">
      <c r="B170" s="30"/>
      <c r="G170" s="29" t="str">
        <f>IF(A170="","",IFERROR(INDEX(Criterios!$B$4:$C$83,MATCH(D170,Criterios!$A$4:$A$83,0),IF(E170="Dentro horario",1,2)),""))</f>
        <v/>
      </c>
      <c r="H170" s="29"/>
      <c r="I170" s="29" t="str">
        <f t="shared" si="6"/>
        <v/>
      </c>
      <c r="J170" t="str">
        <f>IF(A170="","",COUNTIF(Detalle_Pagos!$A$5:$A$2004,A170))</f>
        <v/>
      </c>
      <c r="K170" s="29" t="str">
        <f t="shared" si="7"/>
        <v/>
      </c>
      <c r="L170" s="29" t="str">
        <f>IF(A170="","",SUMIF(Detalle_Pagos!$A$5:$A$2004,A170,Detalle_Pagos!$I$5:$I$2004))</f>
        <v/>
      </c>
      <c r="M170" s="29" t="str">
        <f>IF(A170="","",SUMIFS(Detalle_Pagos!$I$5:$I$2004,Detalle_Pagos!$A$5:$A$2004,A170,Detalle_Pagos!$J$5:$J$2004,"No"))</f>
        <v/>
      </c>
      <c r="N170" t="str">
        <f t="shared" si="8"/>
        <v/>
      </c>
    </row>
    <row r="171" spans="2:14" x14ac:dyDescent="0.3">
      <c r="B171" s="30"/>
      <c r="G171" s="29" t="str">
        <f>IF(A171="","",IFERROR(INDEX(Criterios!$B$4:$C$83,MATCH(D171,Criterios!$A$4:$A$83,0),IF(E171="Dentro horario",1,2)),""))</f>
        <v/>
      </c>
      <c r="H171" s="29"/>
      <c r="I171" s="29" t="str">
        <f t="shared" si="6"/>
        <v/>
      </c>
      <c r="J171" t="str">
        <f>IF(A171="","",COUNTIF(Detalle_Pagos!$A$5:$A$2004,A171))</f>
        <v/>
      </c>
      <c r="K171" s="29" t="str">
        <f t="shared" si="7"/>
        <v/>
      </c>
      <c r="L171" s="29" t="str">
        <f>IF(A171="","",SUMIF(Detalle_Pagos!$A$5:$A$2004,A171,Detalle_Pagos!$I$5:$I$2004))</f>
        <v/>
      </c>
      <c r="M171" s="29" t="str">
        <f>IF(A171="","",SUMIFS(Detalle_Pagos!$I$5:$I$2004,Detalle_Pagos!$A$5:$A$2004,A171,Detalle_Pagos!$J$5:$J$2004,"No"))</f>
        <v/>
      </c>
      <c r="N171" t="str">
        <f t="shared" si="8"/>
        <v/>
      </c>
    </row>
    <row r="172" spans="2:14" x14ac:dyDescent="0.3">
      <c r="B172" s="30"/>
      <c r="G172" s="29" t="str">
        <f>IF(A172="","",IFERROR(INDEX(Criterios!$B$4:$C$83,MATCH(D172,Criterios!$A$4:$A$83,0),IF(E172="Dentro horario",1,2)),""))</f>
        <v/>
      </c>
      <c r="H172" s="29"/>
      <c r="I172" s="29" t="str">
        <f t="shared" si="6"/>
        <v/>
      </c>
      <c r="J172" t="str">
        <f>IF(A172="","",COUNTIF(Detalle_Pagos!$A$5:$A$2004,A172))</f>
        <v/>
      </c>
      <c r="K172" s="29" t="str">
        <f t="shared" si="7"/>
        <v/>
      </c>
      <c r="L172" s="29" t="str">
        <f>IF(A172="","",SUMIF(Detalle_Pagos!$A$5:$A$2004,A172,Detalle_Pagos!$I$5:$I$2004))</f>
        <v/>
      </c>
      <c r="M172" s="29" t="str">
        <f>IF(A172="","",SUMIFS(Detalle_Pagos!$I$5:$I$2004,Detalle_Pagos!$A$5:$A$2004,A172,Detalle_Pagos!$J$5:$J$2004,"No"))</f>
        <v/>
      </c>
      <c r="N172" t="str">
        <f t="shared" si="8"/>
        <v/>
      </c>
    </row>
    <row r="173" spans="2:14" x14ac:dyDescent="0.3">
      <c r="B173" s="30"/>
      <c r="G173" s="29" t="str">
        <f>IF(A173="","",IFERROR(INDEX(Criterios!$B$4:$C$83,MATCH(D173,Criterios!$A$4:$A$83,0),IF(E173="Dentro horario",1,2)),""))</f>
        <v/>
      </c>
      <c r="H173" s="29"/>
      <c r="I173" s="29" t="str">
        <f t="shared" si="6"/>
        <v/>
      </c>
      <c r="J173" t="str">
        <f>IF(A173="","",COUNTIF(Detalle_Pagos!$A$5:$A$2004,A173))</f>
        <v/>
      </c>
      <c r="K173" s="29" t="str">
        <f t="shared" si="7"/>
        <v/>
      </c>
      <c r="L173" s="29" t="str">
        <f>IF(A173="","",SUMIF(Detalle_Pagos!$A$5:$A$2004,A173,Detalle_Pagos!$I$5:$I$2004))</f>
        <v/>
      </c>
      <c r="M173" s="29" t="str">
        <f>IF(A173="","",SUMIFS(Detalle_Pagos!$I$5:$I$2004,Detalle_Pagos!$A$5:$A$2004,A173,Detalle_Pagos!$J$5:$J$2004,"No"))</f>
        <v/>
      </c>
      <c r="N173" t="str">
        <f t="shared" si="8"/>
        <v/>
      </c>
    </row>
    <row r="174" spans="2:14" x14ac:dyDescent="0.3">
      <c r="B174" s="30"/>
      <c r="G174" s="29" t="str">
        <f>IF(A174="","",IFERROR(INDEX(Criterios!$B$4:$C$83,MATCH(D174,Criterios!$A$4:$A$83,0),IF(E174="Dentro horario",1,2)),""))</f>
        <v/>
      </c>
      <c r="H174" s="29"/>
      <c r="I174" s="29" t="str">
        <f t="shared" si="6"/>
        <v/>
      </c>
      <c r="J174" t="str">
        <f>IF(A174="","",COUNTIF(Detalle_Pagos!$A$5:$A$2004,A174))</f>
        <v/>
      </c>
      <c r="K174" s="29" t="str">
        <f t="shared" si="7"/>
        <v/>
      </c>
      <c r="L174" s="29" t="str">
        <f>IF(A174="","",SUMIF(Detalle_Pagos!$A$5:$A$2004,A174,Detalle_Pagos!$I$5:$I$2004))</f>
        <v/>
      </c>
      <c r="M174" s="29" t="str">
        <f>IF(A174="","",SUMIFS(Detalle_Pagos!$I$5:$I$2004,Detalle_Pagos!$A$5:$A$2004,A174,Detalle_Pagos!$J$5:$J$2004,"No"))</f>
        <v/>
      </c>
      <c r="N174" t="str">
        <f t="shared" si="8"/>
        <v/>
      </c>
    </row>
    <row r="175" spans="2:14" x14ac:dyDescent="0.3">
      <c r="B175" s="30"/>
      <c r="G175" s="29" t="str">
        <f>IF(A175="","",IFERROR(INDEX(Criterios!$B$4:$C$83,MATCH(D175,Criterios!$A$4:$A$83,0),IF(E175="Dentro horario",1,2)),""))</f>
        <v/>
      </c>
      <c r="H175" s="29"/>
      <c r="I175" s="29" t="str">
        <f t="shared" si="6"/>
        <v/>
      </c>
      <c r="J175" t="str">
        <f>IF(A175="","",COUNTIF(Detalle_Pagos!$A$5:$A$2004,A175))</f>
        <v/>
      </c>
      <c r="K175" s="29" t="str">
        <f t="shared" si="7"/>
        <v/>
      </c>
      <c r="L175" s="29" t="str">
        <f>IF(A175="","",SUMIF(Detalle_Pagos!$A$5:$A$2004,A175,Detalle_Pagos!$I$5:$I$2004))</f>
        <v/>
      </c>
      <c r="M175" s="29" t="str">
        <f>IF(A175="","",SUMIFS(Detalle_Pagos!$I$5:$I$2004,Detalle_Pagos!$A$5:$A$2004,A175,Detalle_Pagos!$J$5:$J$2004,"No"))</f>
        <v/>
      </c>
      <c r="N175" t="str">
        <f t="shared" si="8"/>
        <v/>
      </c>
    </row>
    <row r="176" spans="2:14" x14ac:dyDescent="0.3">
      <c r="B176" s="30"/>
      <c r="G176" s="29" t="str">
        <f>IF(A176="","",IFERROR(INDEX(Criterios!$B$4:$C$83,MATCH(D176,Criterios!$A$4:$A$83,0),IF(E176="Dentro horario",1,2)),""))</f>
        <v/>
      </c>
      <c r="H176" s="29"/>
      <c r="I176" s="29" t="str">
        <f t="shared" si="6"/>
        <v/>
      </c>
      <c r="J176" t="str">
        <f>IF(A176="","",COUNTIF(Detalle_Pagos!$A$5:$A$2004,A176))</f>
        <v/>
      </c>
      <c r="K176" s="29" t="str">
        <f t="shared" si="7"/>
        <v/>
      </c>
      <c r="L176" s="29" t="str">
        <f>IF(A176="","",SUMIF(Detalle_Pagos!$A$5:$A$2004,A176,Detalle_Pagos!$I$5:$I$2004))</f>
        <v/>
      </c>
      <c r="M176" s="29" t="str">
        <f>IF(A176="","",SUMIFS(Detalle_Pagos!$I$5:$I$2004,Detalle_Pagos!$A$5:$A$2004,A176,Detalle_Pagos!$J$5:$J$2004,"No"))</f>
        <v/>
      </c>
      <c r="N176" t="str">
        <f t="shared" si="8"/>
        <v/>
      </c>
    </row>
    <row r="177" spans="2:14" x14ac:dyDescent="0.3">
      <c r="B177" s="30"/>
      <c r="G177" s="29" t="str">
        <f>IF(A177="","",IFERROR(INDEX(Criterios!$B$4:$C$83,MATCH(D177,Criterios!$A$4:$A$83,0),IF(E177="Dentro horario",1,2)),""))</f>
        <v/>
      </c>
      <c r="H177" s="29"/>
      <c r="I177" s="29" t="str">
        <f t="shared" si="6"/>
        <v/>
      </c>
      <c r="J177" t="str">
        <f>IF(A177="","",COUNTIF(Detalle_Pagos!$A$5:$A$2004,A177))</f>
        <v/>
      </c>
      <c r="K177" s="29" t="str">
        <f t="shared" si="7"/>
        <v/>
      </c>
      <c r="L177" s="29" t="str">
        <f>IF(A177="","",SUMIF(Detalle_Pagos!$A$5:$A$2004,A177,Detalle_Pagos!$I$5:$I$2004))</f>
        <v/>
      </c>
      <c r="M177" s="29" t="str">
        <f>IF(A177="","",SUMIFS(Detalle_Pagos!$I$5:$I$2004,Detalle_Pagos!$A$5:$A$2004,A177,Detalle_Pagos!$J$5:$J$2004,"No"))</f>
        <v/>
      </c>
      <c r="N177" t="str">
        <f t="shared" si="8"/>
        <v/>
      </c>
    </row>
    <row r="178" spans="2:14" x14ac:dyDescent="0.3">
      <c r="B178" s="30"/>
      <c r="G178" s="29" t="str">
        <f>IF(A178="","",IFERROR(INDEX(Criterios!$B$4:$C$83,MATCH(D178,Criterios!$A$4:$A$83,0),IF(E178="Dentro horario",1,2)),""))</f>
        <v/>
      </c>
      <c r="H178" s="29"/>
      <c r="I178" s="29" t="str">
        <f t="shared" si="6"/>
        <v/>
      </c>
      <c r="J178" t="str">
        <f>IF(A178="","",COUNTIF(Detalle_Pagos!$A$5:$A$2004,A178))</f>
        <v/>
      </c>
      <c r="K178" s="29" t="str">
        <f t="shared" si="7"/>
        <v/>
      </c>
      <c r="L178" s="29" t="str">
        <f>IF(A178="","",SUMIF(Detalle_Pagos!$A$5:$A$2004,A178,Detalle_Pagos!$I$5:$I$2004))</f>
        <v/>
      </c>
      <c r="M178" s="29" t="str">
        <f>IF(A178="","",SUMIFS(Detalle_Pagos!$I$5:$I$2004,Detalle_Pagos!$A$5:$A$2004,A178,Detalle_Pagos!$J$5:$J$2004,"No"))</f>
        <v/>
      </c>
      <c r="N178" t="str">
        <f t="shared" si="8"/>
        <v/>
      </c>
    </row>
    <row r="179" spans="2:14" x14ac:dyDescent="0.3">
      <c r="B179" s="30"/>
      <c r="G179" s="29" t="str">
        <f>IF(A179="","",IFERROR(INDEX(Criterios!$B$4:$C$83,MATCH(D179,Criterios!$A$4:$A$83,0),IF(E179="Dentro horario",1,2)),""))</f>
        <v/>
      </c>
      <c r="H179" s="29"/>
      <c r="I179" s="29" t="str">
        <f t="shared" si="6"/>
        <v/>
      </c>
      <c r="J179" t="str">
        <f>IF(A179="","",COUNTIF(Detalle_Pagos!$A$5:$A$2004,A179))</f>
        <v/>
      </c>
      <c r="K179" s="29" t="str">
        <f t="shared" si="7"/>
        <v/>
      </c>
      <c r="L179" s="29" t="str">
        <f>IF(A179="","",SUMIF(Detalle_Pagos!$A$5:$A$2004,A179,Detalle_Pagos!$I$5:$I$2004))</f>
        <v/>
      </c>
      <c r="M179" s="29" t="str">
        <f>IF(A179="","",SUMIFS(Detalle_Pagos!$I$5:$I$2004,Detalle_Pagos!$A$5:$A$2004,A179,Detalle_Pagos!$J$5:$J$2004,"No"))</f>
        <v/>
      </c>
      <c r="N179" t="str">
        <f t="shared" si="8"/>
        <v/>
      </c>
    </row>
    <row r="180" spans="2:14" x14ac:dyDescent="0.3">
      <c r="B180" s="30"/>
      <c r="G180" s="29" t="str">
        <f>IF(A180="","",IFERROR(INDEX(Criterios!$B$4:$C$83,MATCH(D180,Criterios!$A$4:$A$83,0),IF(E180="Dentro horario",1,2)),""))</f>
        <v/>
      </c>
      <c r="H180" s="29"/>
      <c r="I180" s="29" t="str">
        <f t="shared" si="6"/>
        <v/>
      </c>
      <c r="J180" t="str">
        <f>IF(A180="","",COUNTIF(Detalle_Pagos!$A$5:$A$2004,A180))</f>
        <v/>
      </c>
      <c r="K180" s="29" t="str">
        <f t="shared" si="7"/>
        <v/>
      </c>
      <c r="L180" s="29" t="str">
        <f>IF(A180="","",SUMIF(Detalle_Pagos!$A$5:$A$2004,A180,Detalle_Pagos!$I$5:$I$2004))</f>
        <v/>
      </c>
      <c r="M180" s="29" t="str">
        <f>IF(A180="","",SUMIFS(Detalle_Pagos!$I$5:$I$2004,Detalle_Pagos!$A$5:$A$2004,A180,Detalle_Pagos!$J$5:$J$2004,"No"))</f>
        <v/>
      </c>
      <c r="N180" t="str">
        <f t="shared" si="8"/>
        <v/>
      </c>
    </row>
    <row r="181" spans="2:14" x14ac:dyDescent="0.3">
      <c r="B181" s="30"/>
      <c r="G181" s="29" t="str">
        <f>IF(A181="","",IFERROR(INDEX(Criterios!$B$4:$C$83,MATCH(D181,Criterios!$A$4:$A$83,0),IF(E181="Dentro horario",1,2)),""))</f>
        <v/>
      </c>
      <c r="H181" s="29"/>
      <c r="I181" s="29" t="str">
        <f t="shared" si="6"/>
        <v/>
      </c>
      <c r="J181" t="str">
        <f>IF(A181="","",COUNTIF(Detalle_Pagos!$A$5:$A$2004,A181))</f>
        <v/>
      </c>
      <c r="K181" s="29" t="str">
        <f t="shared" si="7"/>
        <v/>
      </c>
      <c r="L181" s="29" t="str">
        <f>IF(A181="","",SUMIF(Detalle_Pagos!$A$5:$A$2004,A181,Detalle_Pagos!$I$5:$I$2004))</f>
        <v/>
      </c>
      <c r="M181" s="29" t="str">
        <f>IF(A181="","",SUMIFS(Detalle_Pagos!$I$5:$I$2004,Detalle_Pagos!$A$5:$A$2004,A181,Detalle_Pagos!$J$5:$J$2004,"No"))</f>
        <v/>
      </c>
      <c r="N181" t="str">
        <f t="shared" si="8"/>
        <v/>
      </c>
    </row>
    <row r="182" spans="2:14" x14ac:dyDescent="0.3">
      <c r="B182" s="30"/>
      <c r="G182" s="29" t="str">
        <f>IF(A182="","",IFERROR(INDEX(Criterios!$B$4:$C$83,MATCH(D182,Criterios!$A$4:$A$83,0),IF(E182="Dentro horario",1,2)),""))</f>
        <v/>
      </c>
      <c r="H182" s="29"/>
      <c r="I182" s="29" t="str">
        <f t="shared" si="6"/>
        <v/>
      </c>
      <c r="J182" t="str">
        <f>IF(A182="","",COUNTIF(Detalle_Pagos!$A$5:$A$2004,A182))</f>
        <v/>
      </c>
      <c r="K182" s="29" t="str">
        <f t="shared" si="7"/>
        <v/>
      </c>
      <c r="L182" s="29" t="str">
        <f>IF(A182="","",SUMIF(Detalle_Pagos!$A$5:$A$2004,A182,Detalle_Pagos!$I$5:$I$2004))</f>
        <v/>
      </c>
      <c r="M182" s="29" t="str">
        <f>IF(A182="","",SUMIFS(Detalle_Pagos!$I$5:$I$2004,Detalle_Pagos!$A$5:$A$2004,A182,Detalle_Pagos!$J$5:$J$2004,"No"))</f>
        <v/>
      </c>
      <c r="N182" t="str">
        <f t="shared" si="8"/>
        <v/>
      </c>
    </row>
    <row r="183" spans="2:14" x14ac:dyDescent="0.3">
      <c r="B183" s="30"/>
      <c r="G183" s="29" t="str">
        <f>IF(A183="","",IFERROR(INDEX(Criterios!$B$4:$C$83,MATCH(D183,Criterios!$A$4:$A$83,0),IF(E183="Dentro horario",1,2)),""))</f>
        <v/>
      </c>
      <c r="H183" s="29"/>
      <c r="I183" s="29" t="str">
        <f t="shared" si="6"/>
        <v/>
      </c>
      <c r="J183" t="str">
        <f>IF(A183="","",COUNTIF(Detalle_Pagos!$A$5:$A$2004,A183))</f>
        <v/>
      </c>
      <c r="K183" s="29" t="str">
        <f t="shared" si="7"/>
        <v/>
      </c>
      <c r="L183" s="29" t="str">
        <f>IF(A183="","",SUMIF(Detalle_Pagos!$A$5:$A$2004,A183,Detalle_Pagos!$I$5:$I$2004))</f>
        <v/>
      </c>
      <c r="M183" s="29" t="str">
        <f>IF(A183="","",SUMIFS(Detalle_Pagos!$I$5:$I$2004,Detalle_Pagos!$A$5:$A$2004,A183,Detalle_Pagos!$J$5:$J$2004,"No"))</f>
        <v/>
      </c>
      <c r="N183" t="str">
        <f t="shared" si="8"/>
        <v/>
      </c>
    </row>
    <row r="184" spans="2:14" x14ac:dyDescent="0.3">
      <c r="B184" s="30"/>
      <c r="G184" s="29" t="str">
        <f>IF(A184="","",IFERROR(INDEX(Criterios!$B$4:$C$83,MATCH(D184,Criterios!$A$4:$A$83,0),IF(E184="Dentro horario",1,2)),""))</f>
        <v/>
      </c>
      <c r="H184" s="29"/>
      <c r="I184" s="29" t="str">
        <f t="shared" si="6"/>
        <v/>
      </c>
      <c r="J184" t="str">
        <f>IF(A184="","",COUNTIF(Detalle_Pagos!$A$5:$A$2004,A184))</f>
        <v/>
      </c>
      <c r="K184" s="29" t="str">
        <f t="shared" si="7"/>
        <v/>
      </c>
      <c r="L184" s="29" t="str">
        <f>IF(A184="","",SUMIF(Detalle_Pagos!$A$5:$A$2004,A184,Detalle_Pagos!$I$5:$I$2004))</f>
        <v/>
      </c>
      <c r="M184" s="29" t="str">
        <f>IF(A184="","",SUMIFS(Detalle_Pagos!$I$5:$I$2004,Detalle_Pagos!$A$5:$A$2004,A184,Detalle_Pagos!$J$5:$J$2004,"No"))</f>
        <v/>
      </c>
      <c r="N184" t="str">
        <f t="shared" si="8"/>
        <v/>
      </c>
    </row>
    <row r="185" spans="2:14" x14ac:dyDescent="0.3">
      <c r="B185" s="30"/>
      <c r="G185" s="29" t="str">
        <f>IF(A185="","",IFERROR(INDEX(Criterios!$B$4:$C$83,MATCH(D185,Criterios!$A$4:$A$83,0),IF(E185="Dentro horario",1,2)),""))</f>
        <v/>
      </c>
      <c r="H185" s="29"/>
      <c r="I185" s="29" t="str">
        <f t="shared" si="6"/>
        <v/>
      </c>
      <c r="J185" t="str">
        <f>IF(A185="","",COUNTIF(Detalle_Pagos!$A$5:$A$2004,A185))</f>
        <v/>
      </c>
      <c r="K185" s="29" t="str">
        <f t="shared" si="7"/>
        <v/>
      </c>
      <c r="L185" s="29" t="str">
        <f>IF(A185="","",SUMIF(Detalle_Pagos!$A$5:$A$2004,A185,Detalle_Pagos!$I$5:$I$2004))</f>
        <v/>
      </c>
      <c r="M185" s="29" t="str">
        <f>IF(A185="","",SUMIFS(Detalle_Pagos!$I$5:$I$2004,Detalle_Pagos!$A$5:$A$2004,A185,Detalle_Pagos!$J$5:$J$2004,"No"))</f>
        <v/>
      </c>
      <c r="N185" t="str">
        <f t="shared" si="8"/>
        <v/>
      </c>
    </row>
    <row r="186" spans="2:14" x14ac:dyDescent="0.3">
      <c r="B186" s="30"/>
      <c r="G186" s="29" t="str">
        <f>IF(A186="","",IFERROR(INDEX(Criterios!$B$4:$C$83,MATCH(D186,Criterios!$A$4:$A$83,0),IF(E186="Dentro horario",1,2)),""))</f>
        <v/>
      </c>
      <c r="H186" s="29"/>
      <c r="I186" s="29" t="str">
        <f t="shared" si="6"/>
        <v/>
      </c>
      <c r="J186" t="str">
        <f>IF(A186="","",COUNTIF(Detalle_Pagos!$A$5:$A$2004,A186))</f>
        <v/>
      </c>
      <c r="K186" s="29" t="str">
        <f t="shared" si="7"/>
        <v/>
      </c>
      <c r="L186" s="29" t="str">
        <f>IF(A186="","",SUMIF(Detalle_Pagos!$A$5:$A$2004,A186,Detalle_Pagos!$I$5:$I$2004))</f>
        <v/>
      </c>
      <c r="M186" s="29" t="str">
        <f>IF(A186="","",SUMIFS(Detalle_Pagos!$I$5:$I$2004,Detalle_Pagos!$A$5:$A$2004,A186,Detalle_Pagos!$J$5:$J$2004,"No"))</f>
        <v/>
      </c>
      <c r="N186" t="str">
        <f t="shared" si="8"/>
        <v/>
      </c>
    </row>
    <row r="187" spans="2:14" x14ac:dyDescent="0.3">
      <c r="B187" s="30"/>
      <c r="G187" s="29" t="str">
        <f>IF(A187="","",IFERROR(INDEX(Criterios!$B$4:$C$83,MATCH(D187,Criterios!$A$4:$A$83,0),IF(E187="Dentro horario",1,2)),""))</f>
        <v/>
      </c>
      <c r="H187" s="29"/>
      <c r="I187" s="29" t="str">
        <f t="shared" si="6"/>
        <v/>
      </c>
      <c r="J187" t="str">
        <f>IF(A187="","",COUNTIF(Detalle_Pagos!$A$5:$A$2004,A187))</f>
        <v/>
      </c>
      <c r="K187" s="29" t="str">
        <f t="shared" si="7"/>
        <v/>
      </c>
      <c r="L187" s="29" t="str">
        <f>IF(A187="","",SUMIF(Detalle_Pagos!$A$5:$A$2004,A187,Detalle_Pagos!$I$5:$I$2004))</f>
        <v/>
      </c>
      <c r="M187" s="29" t="str">
        <f>IF(A187="","",SUMIFS(Detalle_Pagos!$I$5:$I$2004,Detalle_Pagos!$A$5:$A$2004,A187,Detalle_Pagos!$J$5:$J$2004,"No"))</f>
        <v/>
      </c>
      <c r="N187" t="str">
        <f t="shared" si="8"/>
        <v/>
      </c>
    </row>
    <row r="188" spans="2:14" x14ac:dyDescent="0.3">
      <c r="B188" s="30"/>
      <c r="G188" s="29" t="str">
        <f>IF(A188="","",IFERROR(INDEX(Criterios!$B$4:$C$83,MATCH(D188,Criterios!$A$4:$A$83,0),IF(E188="Dentro horario",1,2)),""))</f>
        <v/>
      </c>
      <c r="H188" s="29"/>
      <c r="I188" s="29" t="str">
        <f t="shared" si="6"/>
        <v/>
      </c>
      <c r="J188" t="str">
        <f>IF(A188="","",COUNTIF(Detalle_Pagos!$A$5:$A$2004,A188))</f>
        <v/>
      </c>
      <c r="K188" s="29" t="str">
        <f t="shared" si="7"/>
        <v/>
      </c>
      <c r="L188" s="29" t="str">
        <f>IF(A188="","",SUMIF(Detalle_Pagos!$A$5:$A$2004,A188,Detalle_Pagos!$I$5:$I$2004))</f>
        <v/>
      </c>
      <c r="M188" s="29" t="str">
        <f>IF(A188="","",SUMIFS(Detalle_Pagos!$I$5:$I$2004,Detalle_Pagos!$A$5:$A$2004,A188,Detalle_Pagos!$J$5:$J$2004,"No"))</f>
        <v/>
      </c>
      <c r="N188" t="str">
        <f t="shared" si="8"/>
        <v/>
      </c>
    </row>
    <row r="189" spans="2:14" x14ac:dyDescent="0.3">
      <c r="B189" s="30"/>
      <c r="G189" s="29" t="str">
        <f>IF(A189="","",IFERROR(INDEX(Criterios!$B$4:$C$83,MATCH(D189,Criterios!$A$4:$A$83,0),IF(E189="Dentro horario",1,2)),""))</f>
        <v/>
      </c>
      <c r="H189" s="29"/>
      <c r="I189" s="29" t="str">
        <f t="shared" si="6"/>
        <v/>
      </c>
      <c r="J189" t="str">
        <f>IF(A189="","",COUNTIF(Detalle_Pagos!$A$5:$A$2004,A189))</f>
        <v/>
      </c>
      <c r="K189" s="29" t="str">
        <f t="shared" si="7"/>
        <v/>
      </c>
      <c r="L189" s="29" t="str">
        <f>IF(A189="","",SUMIF(Detalle_Pagos!$A$5:$A$2004,A189,Detalle_Pagos!$I$5:$I$2004))</f>
        <v/>
      </c>
      <c r="M189" s="29" t="str">
        <f>IF(A189="","",SUMIFS(Detalle_Pagos!$I$5:$I$2004,Detalle_Pagos!$A$5:$A$2004,A189,Detalle_Pagos!$J$5:$J$2004,"No"))</f>
        <v/>
      </c>
      <c r="N189" t="str">
        <f t="shared" si="8"/>
        <v/>
      </c>
    </row>
    <row r="190" spans="2:14" x14ac:dyDescent="0.3">
      <c r="B190" s="30"/>
      <c r="G190" s="29" t="str">
        <f>IF(A190="","",IFERROR(INDEX(Criterios!$B$4:$C$83,MATCH(D190,Criterios!$A$4:$A$83,0),IF(E190="Dentro horario",1,2)),""))</f>
        <v/>
      </c>
      <c r="H190" s="29"/>
      <c r="I190" s="29" t="str">
        <f t="shared" si="6"/>
        <v/>
      </c>
      <c r="J190" t="str">
        <f>IF(A190="","",COUNTIF(Detalle_Pagos!$A$5:$A$2004,A190))</f>
        <v/>
      </c>
      <c r="K190" s="29" t="str">
        <f t="shared" si="7"/>
        <v/>
      </c>
      <c r="L190" s="29" t="str">
        <f>IF(A190="","",SUMIF(Detalle_Pagos!$A$5:$A$2004,A190,Detalle_Pagos!$I$5:$I$2004))</f>
        <v/>
      </c>
      <c r="M190" s="29" t="str">
        <f>IF(A190="","",SUMIFS(Detalle_Pagos!$I$5:$I$2004,Detalle_Pagos!$A$5:$A$2004,A190,Detalle_Pagos!$J$5:$J$2004,"No"))</f>
        <v/>
      </c>
      <c r="N190" t="str">
        <f t="shared" si="8"/>
        <v/>
      </c>
    </row>
    <row r="191" spans="2:14" x14ac:dyDescent="0.3">
      <c r="B191" s="30"/>
      <c r="G191" s="29" t="str">
        <f>IF(A191="","",IFERROR(INDEX(Criterios!$B$4:$C$83,MATCH(D191,Criterios!$A$4:$A$83,0),IF(E191="Dentro horario",1,2)),""))</f>
        <v/>
      </c>
      <c r="H191" s="29"/>
      <c r="I191" s="29" t="str">
        <f t="shared" si="6"/>
        <v/>
      </c>
      <c r="J191" t="str">
        <f>IF(A191="","",COUNTIF(Detalle_Pagos!$A$5:$A$2004,A191))</f>
        <v/>
      </c>
      <c r="K191" s="29" t="str">
        <f t="shared" si="7"/>
        <v/>
      </c>
      <c r="L191" s="29" t="str">
        <f>IF(A191="","",SUMIF(Detalle_Pagos!$A$5:$A$2004,A191,Detalle_Pagos!$I$5:$I$2004))</f>
        <v/>
      </c>
      <c r="M191" s="29" t="str">
        <f>IF(A191="","",SUMIFS(Detalle_Pagos!$I$5:$I$2004,Detalle_Pagos!$A$5:$A$2004,A191,Detalle_Pagos!$J$5:$J$2004,"No"))</f>
        <v/>
      </c>
      <c r="N191" t="str">
        <f t="shared" si="8"/>
        <v/>
      </c>
    </row>
    <row r="192" spans="2:14" x14ac:dyDescent="0.3">
      <c r="B192" s="30"/>
      <c r="G192" s="29" t="str">
        <f>IF(A192="","",IFERROR(INDEX(Criterios!$B$4:$C$83,MATCH(D192,Criterios!$A$4:$A$83,0),IF(E192="Dentro horario",1,2)),""))</f>
        <v/>
      </c>
      <c r="H192" s="29"/>
      <c r="I192" s="29" t="str">
        <f t="shared" si="6"/>
        <v/>
      </c>
      <c r="J192" t="str">
        <f>IF(A192="","",COUNTIF(Detalle_Pagos!$A$5:$A$2004,A192))</f>
        <v/>
      </c>
      <c r="K192" s="29" t="str">
        <f t="shared" si="7"/>
        <v/>
      </c>
      <c r="L192" s="29" t="str">
        <f>IF(A192="","",SUMIF(Detalle_Pagos!$A$5:$A$2004,A192,Detalle_Pagos!$I$5:$I$2004))</f>
        <v/>
      </c>
      <c r="M192" s="29" t="str">
        <f>IF(A192="","",SUMIFS(Detalle_Pagos!$I$5:$I$2004,Detalle_Pagos!$A$5:$A$2004,A192,Detalle_Pagos!$J$5:$J$2004,"No"))</f>
        <v/>
      </c>
      <c r="N192" t="str">
        <f t="shared" si="8"/>
        <v/>
      </c>
    </row>
    <row r="193" spans="2:14" x14ac:dyDescent="0.3">
      <c r="B193" s="30"/>
      <c r="G193" s="29" t="str">
        <f>IF(A193="","",IFERROR(INDEX(Criterios!$B$4:$C$83,MATCH(D193,Criterios!$A$4:$A$83,0),IF(E193="Dentro horario",1,2)),""))</f>
        <v/>
      </c>
      <c r="H193" s="29"/>
      <c r="I193" s="29" t="str">
        <f t="shared" si="6"/>
        <v/>
      </c>
      <c r="J193" t="str">
        <f>IF(A193="","",COUNTIF(Detalle_Pagos!$A$5:$A$2004,A193))</f>
        <v/>
      </c>
      <c r="K193" s="29" t="str">
        <f t="shared" si="7"/>
        <v/>
      </c>
      <c r="L193" s="29" t="str">
        <f>IF(A193="","",SUMIF(Detalle_Pagos!$A$5:$A$2004,A193,Detalle_Pagos!$I$5:$I$2004))</f>
        <v/>
      </c>
      <c r="M193" s="29" t="str">
        <f>IF(A193="","",SUMIFS(Detalle_Pagos!$I$5:$I$2004,Detalle_Pagos!$A$5:$A$2004,A193,Detalle_Pagos!$J$5:$J$2004,"No"))</f>
        <v/>
      </c>
      <c r="N193" t="str">
        <f t="shared" si="8"/>
        <v/>
      </c>
    </row>
    <row r="194" spans="2:14" x14ac:dyDescent="0.3">
      <c r="B194" s="30"/>
      <c r="G194" s="29" t="str">
        <f>IF(A194="","",IFERROR(INDEX(Criterios!$B$4:$C$83,MATCH(D194,Criterios!$A$4:$A$83,0),IF(E194="Dentro horario",1,2)),""))</f>
        <v/>
      </c>
      <c r="H194" s="29"/>
      <c r="I194" s="29" t="str">
        <f t="shared" si="6"/>
        <v/>
      </c>
      <c r="J194" t="str">
        <f>IF(A194="","",COUNTIF(Detalle_Pagos!$A$5:$A$2004,A194))</f>
        <v/>
      </c>
      <c r="K194" s="29" t="str">
        <f t="shared" si="7"/>
        <v/>
      </c>
      <c r="L194" s="29" t="str">
        <f>IF(A194="","",SUMIF(Detalle_Pagos!$A$5:$A$2004,A194,Detalle_Pagos!$I$5:$I$2004))</f>
        <v/>
      </c>
      <c r="M194" s="29" t="str">
        <f>IF(A194="","",SUMIFS(Detalle_Pagos!$I$5:$I$2004,Detalle_Pagos!$A$5:$A$2004,A194,Detalle_Pagos!$J$5:$J$2004,"No"))</f>
        <v/>
      </c>
      <c r="N194" t="str">
        <f t="shared" si="8"/>
        <v/>
      </c>
    </row>
    <row r="195" spans="2:14" x14ac:dyDescent="0.3">
      <c r="B195" s="30"/>
      <c r="G195" s="29" t="str">
        <f>IF(A195="","",IFERROR(INDEX(Criterios!$B$4:$C$83,MATCH(D195,Criterios!$A$4:$A$83,0),IF(E195="Dentro horario",1,2)),""))</f>
        <v/>
      </c>
      <c r="H195" s="29"/>
      <c r="I195" s="29" t="str">
        <f t="shared" si="6"/>
        <v/>
      </c>
      <c r="J195" t="str">
        <f>IF(A195="","",COUNTIF(Detalle_Pagos!$A$5:$A$2004,A195))</f>
        <v/>
      </c>
      <c r="K195" s="29" t="str">
        <f t="shared" si="7"/>
        <v/>
      </c>
      <c r="L195" s="29" t="str">
        <f>IF(A195="","",SUMIF(Detalle_Pagos!$A$5:$A$2004,A195,Detalle_Pagos!$I$5:$I$2004))</f>
        <v/>
      </c>
      <c r="M195" s="29" t="str">
        <f>IF(A195="","",SUMIFS(Detalle_Pagos!$I$5:$I$2004,Detalle_Pagos!$A$5:$A$2004,A195,Detalle_Pagos!$J$5:$J$2004,"No"))</f>
        <v/>
      </c>
      <c r="N195" t="str">
        <f t="shared" si="8"/>
        <v/>
      </c>
    </row>
    <row r="196" spans="2:14" x14ac:dyDescent="0.3">
      <c r="B196" s="30"/>
      <c r="G196" s="29" t="str">
        <f>IF(A196="","",IFERROR(INDEX(Criterios!$B$4:$C$83,MATCH(D196,Criterios!$A$4:$A$83,0),IF(E196="Dentro horario",1,2)),""))</f>
        <v/>
      </c>
      <c r="H196" s="29"/>
      <c r="I196" s="29" t="str">
        <f t="shared" si="6"/>
        <v/>
      </c>
      <c r="J196" t="str">
        <f>IF(A196="","",COUNTIF(Detalle_Pagos!$A$5:$A$2004,A196))</f>
        <v/>
      </c>
      <c r="K196" s="29" t="str">
        <f t="shared" si="7"/>
        <v/>
      </c>
      <c r="L196" s="29" t="str">
        <f>IF(A196="","",SUMIF(Detalle_Pagos!$A$5:$A$2004,A196,Detalle_Pagos!$I$5:$I$2004))</f>
        <v/>
      </c>
      <c r="M196" s="29" t="str">
        <f>IF(A196="","",SUMIFS(Detalle_Pagos!$I$5:$I$2004,Detalle_Pagos!$A$5:$A$2004,A196,Detalle_Pagos!$J$5:$J$2004,"No"))</f>
        <v/>
      </c>
      <c r="N196" t="str">
        <f t="shared" si="8"/>
        <v/>
      </c>
    </row>
    <row r="197" spans="2:14" x14ac:dyDescent="0.3">
      <c r="B197" s="30"/>
      <c r="G197" s="29" t="str">
        <f>IF(A197="","",IFERROR(INDEX(Criterios!$B$4:$C$83,MATCH(D197,Criterios!$A$4:$A$83,0),IF(E197="Dentro horario",1,2)),""))</f>
        <v/>
      </c>
      <c r="H197" s="29"/>
      <c r="I197" s="29" t="str">
        <f t="shared" ref="I197:I260" si="9">IF(A197="","",IF(OR(F197="",G197=""),"",F197*G197+N(H197)))</f>
        <v/>
      </c>
      <c r="J197" t="str">
        <f>IF(A197="","",COUNTIF(Detalle_Pagos!$A$5:$A$2004,A197))</f>
        <v/>
      </c>
      <c r="K197" s="29" t="str">
        <f t="shared" ref="K197:K260" si="10">IF(A197="","",IF(OR(J197=0,I197=""),"",I197/J197))</f>
        <v/>
      </c>
      <c r="L197" s="29" t="str">
        <f>IF(A197="","",SUMIF(Detalle_Pagos!$A$5:$A$2004,A197,Detalle_Pagos!$I$5:$I$2004))</f>
        <v/>
      </c>
      <c r="M197" s="29" t="str">
        <f>IF(A197="","",SUMIFS(Detalle_Pagos!$I$5:$I$2004,Detalle_Pagos!$A$5:$A$2004,A197,Detalle_Pagos!$J$5:$J$2004,"No"))</f>
        <v/>
      </c>
      <c r="N197" t="str">
        <f t="shared" ref="N197:N260" si="11">IF(A197="","",IF(J197=0,"Sin detalle",IF(M197=0,"Pagada","Pendiente")))</f>
        <v/>
      </c>
    </row>
    <row r="198" spans="2:14" x14ac:dyDescent="0.3">
      <c r="B198" s="30"/>
      <c r="G198" s="29" t="str">
        <f>IF(A198="","",IFERROR(INDEX(Criterios!$B$4:$C$83,MATCH(D198,Criterios!$A$4:$A$83,0),IF(E198="Dentro horario",1,2)),""))</f>
        <v/>
      </c>
      <c r="H198" s="29"/>
      <c r="I198" s="29" t="str">
        <f t="shared" si="9"/>
        <v/>
      </c>
      <c r="J198" t="str">
        <f>IF(A198="","",COUNTIF(Detalle_Pagos!$A$5:$A$2004,A198))</f>
        <v/>
      </c>
      <c r="K198" s="29" t="str">
        <f t="shared" si="10"/>
        <v/>
      </c>
      <c r="L198" s="29" t="str">
        <f>IF(A198="","",SUMIF(Detalle_Pagos!$A$5:$A$2004,A198,Detalle_Pagos!$I$5:$I$2004))</f>
        <v/>
      </c>
      <c r="M198" s="29" t="str">
        <f>IF(A198="","",SUMIFS(Detalle_Pagos!$I$5:$I$2004,Detalle_Pagos!$A$5:$A$2004,A198,Detalle_Pagos!$J$5:$J$2004,"No"))</f>
        <v/>
      </c>
      <c r="N198" t="str">
        <f t="shared" si="11"/>
        <v/>
      </c>
    </row>
    <row r="199" spans="2:14" x14ac:dyDescent="0.3">
      <c r="B199" s="30"/>
      <c r="G199" s="29" t="str">
        <f>IF(A199="","",IFERROR(INDEX(Criterios!$B$4:$C$83,MATCH(D199,Criterios!$A$4:$A$83,0),IF(E199="Dentro horario",1,2)),""))</f>
        <v/>
      </c>
      <c r="H199" s="29"/>
      <c r="I199" s="29" t="str">
        <f t="shared" si="9"/>
        <v/>
      </c>
      <c r="J199" t="str">
        <f>IF(A199="","",COUNTIF(Detalle_Pagos!$A$5:$A$2004,A199))</f>
        <v/>
      </c>
      <c r="K199" s="29" t="str">
        <f t="shared" si="10"/>
        <v/>
      </c>
      <c r="L199" s="29" t="str">
        <f>IF(A199="","",SUMIF(Detalle_Pagos!$A$5:$A$2004,A199,Detalle_Pagos!$I$5:$I$2004))</f>
        <v/>
      </c>
      <c r="M199" s="29" t="str">
        <f>IF(A199="","",SUMIFS(Detalle_Pagos!$I$5:$I$2004,Detalle_Pagos!$A$5:$A$2004,A199,Detalle_Pagos!$J$5:$J$2004,"No"))</f>
        <v/>
      </c>
      <c r="N199" t="str">
        <f t="shared" si="11"/>
        <v/>
      </c>
    </row>
    <row r="200" spans="2:14" x14ac:dyDescent="0.3">
      <c r="B200" s="30"/>
      <c r="G200" s="29" t="str">
        <f>IF(A200="","",IFERROR(INDEX(Criterios!$B$4:$C$83,MATCH(D200,Criterios!$A$4:$A$83,0),IF(E200="Dentro horario",1,2)),""))</f>
        <v/>
      </c>
      <c r="H200" s="29"/>
      <c r="I200" s="29" t="str">
        <f t="shared" si="9"/>
        <v/>
      </c>
      <c r="J200" t="str">
        <f>IF(A200="","",COUNTIF(Detalle_Pagos!$A$5:$A$2004,A200))</f>
        <v/>
      </c>
      <c r="K200" s="29" t="str">
        <f t="shared" si="10"/>
        <v/>
      </c>
      <c r="L200" s="29" t="str">
        <f>IF(A200="","",SUMIF(Detalle_Pagos!$A$5:$A$2004,A200,Detalle_Pagos!$I$5:$I$2004))</f>
        <v/>
      </c>
      <c r="M200" s="29" t="str">
        <f>IF(A200="","",SUMIFS(Detalle_Pagos!$I$5:$I$2004,Detalle_Pagos!$A$5:$A$2004,A200,Detalle_Pagos!$J$5:$J$2004,"No"))</f>
        <v/>
      </c>
      <c r="N200" t="str">
        <f t="shared" si="11"/>
        <v/>
      </c>
    </row>
    <row r="201" spans="2:14" x14ac:dyDescent="0.3">
      <c r="B201" s="30"/>
      <c r="G201" s="29" t="str">
        <f>IF(A201="","",IFERROR(INDEX(Criterios!$B$4:$C$83,MATCH(D201,Criterios!$A$4:$A$83,0),IF(E201="Dentro horario",1,2)),""))</f>
        <v/>
      </c>
      <c r="H201" s="29"/>
      <c r="I201" s="29" t="str">
        <f t="shared" si="9"/>
        <v/>
      </c>
      <c r="J201" t="str">
        <f>IF(A201="","",COUNTIF(Detalle_Pagos!$A$5:$A$2004,A201))</f>
        <v/>
      </c>
      <c r="K201" s="29" t="str">
        <f t="shared" si="10"/>
        <v/>
      </c>
      <c r="L201" s="29" t="str">
        <f>IF(A201="","",SUMIF(Detalle_Pagos!$A$5:$A$2004,A201,Detalle_Pagos!$I$5:$I$2004))</f>
        <v/>
      </c>
      <c r="M201" s="29" t="str">
        <f>IF(A201="","",SUMIFS(Detalle_Pagos!$I$5:$I$2004,Detalle_Pagos!$A$5:$A$2004,A201,Detalle_Pagos!$J$5:$J$2004,"No"))</f>
        <v/>
      </c>
      <c r="N201" t="str">
        <f t="shared" si="11"/>
        <v/>
      </c>
    </row>
    <row r="202" spans="2:14" x14ac:dyDescent="0.3">
      <c r="B202" s="30"/>
      <c r="G202" s="29" t="str">
        <f>IF(A202="","",IFERROR(INDEX(Criterios!$B$4:$C$83,MATCH(D202,Criterios!$A$4:$A$83,0),IF(E202="Dentro horario",1,2)),""))</f>
        <v/>
      </c>
      <c r="H202" s="29"/>
      <c r="I202" s="29" t="str">
        <f t="shared" si="9"/>
        <v/>
      </c>
      <c r="J202" t="str">
        <f>IF(A202="","",COUNTIF(Detalle_Pagos!$A$5:$A$2004,A202))</f>
        <v/>
      </c>
      <c r="K202" s="29" t="str">
        <f t="shared" si="10"/>
        <v/>
      </c>
      <c r="L202" s="29" t="str">
        <f>IF(A202="","",SUMIF(Detalle_Pagos!$A$5:$A$2004,A202,Detalle_Pagos!$I$5:$I$2004))</f>
        <v/>
      </c>
      <c r="M202" s="29" t="str">
        <f>IF(A202="","",SUMIFS(Detalle_Pagos!$I$5:$I$2004,Detalle_Pagos!$A$5:$A$2004,A202,Detalle_Pagos!$J$5:$J$2004,"No"))</f>
        <v/>
      </c>
      <c r="N202" t="str">
        <f t="shared" si="11"/>
        <v/>
      </c>
    </row>
    <row r="203" spans="2:14" x14ac:dyDescent="0.3">
      <c r="B203" s="30"/>
      <c r="G203" s="29" t="str">
        <f>IF(A203="","",IFERROR(INDEX(Criterios!$B$4:$C$83,MATCH(D203,Criterios!$A$4:$A$83,0),IF(E203="Dentro horario",1,2)),""))</f>
        <v/>
      </c>
      <c r="H203" s="29"/>
      <c r="I203" s="29" t="str">
        <f t="shared" si="9"/>
        <v/>
      </c>
      <c r="J203" t="str">
        <f>IF(A203="","",COUNTIF(Detalle_Pagos!$A$5:$A$2004,A203))</f>
        <v/>
      </c>
      <c r="K203" s="29" t="str">
        <f t="shared" si="10"/>
        <v/>
      </c>
      <c r="L203" s="29" t="str">
        <f>IF(A203="","",SUMIF(Detalle_Pagos!$A$5:$A$2004,A203,Detalle_Pagos!$I$5:$I$2004))</f>
        <v/>
      </c>
      <c r="M203" s="29" t="str">
        <f>IF(A203="","",SUMIFS(Detalle_Pagos!$I$5:$I$2004,Detalle_Pagos!$A$5:$A$2004,A203,Detalle_Pagos!$J$5:$J$2004,"No"))</f>
        <v/>
      </c>
      <c r="N203" t="str">
        <f t="shared" si="11"/>
        <v/>
      </c>
    </row>
    <row r="204" spans="2:14" x14ac:dyDescent="0.3">
      <c r="B204" s="30"/>
      <c r="G204" s="29" t="str">
        <f>IF(A204="","",IFERROR(INDEX(Criterios!$B$4:$C$83,MATCH(D204,Criterios!$A$4:$A$83,0),IF(E204="Dentro horario",1,2)),""))</f>
        <v/>
      </c>
      <c r="H204" s="29"/>
      <c r="I204" s="29" t="str">
        <f t="shared" si="9"/>
        <v/>
      </c>
      <c r="J204" t="str">
        <f>IF(A204="","",COUNTIF(Detalle_Pagos!$A$5:$A$2004,A204))</f>
        <v/>
      </c>
      <c r="K204" s="29" t="str">
        <f t="shared" si="10"/>
        <v/>
      </c>
      <c r="L204" s="29" t="str">
        <f>IF(A204="","",SUMIF(Detalle_Pagos!$A$5:$A$2004,A204,Detalle_Pagos!$I$5:$I$2004))</f>
        <v/>
      </c>
      <c r="M204" s="29" t="str">
        <f>IF(A204="","",SUMIFS(Detalle_Pagos!$I$5:$I$2004,Detalle_Pagos!$A$5:$A$2004,A204,Detalle_Pagos!$J$5:$J$2004,"No"))</f>
        <v/>
      </c>
      <c r="N204" t="str">
        <f t="shared" si="11"/>
        <v/>
      </c>
    </row>
    <row r="205" spans="2:14" x14ac:dyDescent="0.3">
      <c r="B205" s="30"/>
      <c r="G205" s="29" t="str">
        <f>IF(A205="","",IFERROR(INDEX(Criterios!$B$4:$C$83,MATCH(D205,Criterios!$A$4:$A$83,0),IF(E205="Dentro horario",1,2)),""))</f>
        <v/>
      </c>
      <c r="H205" s="29"/>
      <c r="I205" s="29" t="str">
        <f t="shared" si="9"/>
        <v/>
      </c>
      <c r="J205" t="str">
        <f>IF(A205="","",COUNTIF(Detalle_Pagos!$A$5:$A$2004,A205))</f>
        <v/>
      </c>
      <c r="K205" s="29" t="str">
        <f t="shared" si="10"/>
        <v/>
      </c>
      <c r="L205" s="29" t="str">
        <f>IF(A205="","",SUMIF(Detalle_Pagos!$A$5:$A$2004,A205,Detalle_Pagos!$I$5:$I$2004))</f>
        <v/>
      </c>
      <c r="M205" s="29" t="str">
        <f>IF(A205="","",SUMIFS(Detalle_Pagos!$I$5:$I$2004,Detalle_Pagos!$A$5:$A$2004,A205,Detalle_Pagos!$J$5:$J$2004,"No"))</f>
        <v/>
      </c>
      <c r="N205" t="str">
        <f t="shared" si="11"/>
        <v/>
      </c>
    </row>
    <row r="206" spans="2:14" x14ac:dyDescent="0.3">
      <c r="B206" s="30"/>
      <c r="G206" s="29" t="str">
        <f>IF(A206="","",IFERROR(INDEX(Criterios!$B$4:$C$83,MATCH(D206,Criterios!$A$4:$A$83,0),IF(E206="Dentro horario",1,2)),""))</f>
        <v/>
      </c>
      <c r="H206" s="29"/>
      <c r="I206" s="29" t="str">
        <f t="shared" si="9"/>
        <v/>
      </c>
      <c r="J206" t="str">
        <f>IF(A206="","",COUNTIF(Detalle_Pagos!$A$5:$A$2004,A206))</f>
        <v/>
      </c>
      <c r="K206" s="29" t="str">
        <f t="shared" si="10"/>
        <v/>
      </c>
      <c r="L206" s="29" t="str">
        <f>IF(A206="","",SUMIF(Detalle_Pagos!$A$5:$A$2004,A206,Detalle_Pagos!$I$5:$I$2004))</f>
        <v/>
      </c>
      <c r="M206" s="29" t="str">
        <f>IF(A206="","",SUMIFS(Detalle_Pagos!$I$5:$I$2004,Detalle_Pagos!$A$5:$A$2004,A206,Detalle_Pagos!$J$5:$J$2004,"No"))</f>
        <v/>
      </c>
      <c r="N206" t="str">
        <f t="shared" si="11"/>
        <v/>
      </c>
    </row>
    <row r="207" spans="2:14" x14ac:dyDescent="0.3">
      <c r="B207" s="30"/>
      <c r="G207" s="29" t="str">
        <f>IF(A207="","",IFERROR(INDEX(Criterios!$B$4:$C$83,MATCH(D207,Criterios!$A$4:$A$83,0),IF(E207="Dentro horario",1,2)),""))</f>
        <v/>
      </c>
      <c r="H207" s="29"/>
      <c r="I207" s="29" t="str">
        <f t="shared" si="9"/>
        <v/>
      </c>
      <c r="J207" t="str">
        <f>IF(A207="","",COUNTIF(Detalle_Pagos!$A$5:$A$2004,A207))</f>
        <v/>
      </c>
      <c r="K207" s="29" t="str">
        <f t="shared" si="10"/>
        <v/>
      </c>
      <c r="L207" s="29" t="str">
        <f>IF(A207="","",SUMIF(Detalle_Pagos!$A$5:$A$2004,A207,Detalle_Pagos!$I$5:$I$2004))</f>
        <v/>
      </c>
      <c r="M207" s="29" t="str">
        <f>IF(A207="","",SUMIFS(Detalle_Pagos!$I$5:$I$2004,Detalle_Pagos!$A$5:$A$2004,A207,Detalle_Pagos!$J$5:$J$2004,"No"))</f>
        <v/>
      </c>
      <c r="N207" t="str">
        <f t="shared" si="11"/>
        <v/>
      </c>
    </row>
    <row r="208" spans="2:14" x14ac:dyDescent="0.3">
      <c r="B208" s="30"/>
      <c r="G208" s="29" t="str">
        <f>IF(A208="","",IFERROR(INDEX(Criterios!$B$4:$C$83,MATCH(D208,Criterios!$A$4:$A$83,0),IF(E208="Dentro horario",1,2)),""))</f>
        <v/>
      </c>
      <c r="H208" s="29"/>
      <c r="I208" s="29" t="str">
        <f t="shared" si="9"/>
        <v/>
      </c>
      <c r="J208" t="str">
        <f>IF(A208="","",COUNTIF(Detalle_Pagos!$A$5:$A$2004,A208))</f>
        <v/>
      </c>
      <c r="K208" s="29" t="str">
        <f t="shared" si="10"/>
        <v/>
      </c>
      <c r="L208" s="29" t="str">
        <f>IF(A208="","",SUMIF(Detalle_Pagos!$A$5:$A$2004,A208,Detalle_Pagos!$I$5:$I$2004))</f>
        <v/>
      </c>
      <c r="M208" s="29" t="str">
        <f>IF(A208="","",SUMIFS(Detalle_Pagos!$I$5:$I$2004,Detalle_Pagos!$A$5:$A$2004,A208,Detalle_Pagos!$J$5:$J$2004,"No"))</f>
        <v/>
      </c>
      <c r="N208" t="str">
        <f t="shared" si="11"/>
        <v/>
      </c>
    </row>
    <row r="209" spans="2:14" x14ac:dyDescent="0.3">
      <c r="B209" s="30"/>
      <c r="G209" s="29" t="str">
        <f>IF(A209="","",IFERROR(INDEX(Criterios!$B$4:$C$83,MATCH(D209,Criterios!$A$4:$A$83,0),IF(E209="Dentro horario",1,2)),""))</f>
        <v/>
      </c>
      <c r="H209" s="29"/>
      <c r="I209" s="29" t="str">
        <f t="shared" si="9"/>
        <v/>
      </c>
      <c r="J209" t="str">
        <f>IF(A209="","",COUNTIF(Detalle_Pagos!$A$5:$A$2004,A209))</f>
        <v/>
      </c>
      <c r="K209" s="29" t="str">
        <f t="shared" si="10"/>
        <v/>
      </c>
      <c r="L209" s="29" t="str">
        <f>IF(A209="","",SUMIF(Detalle_Pagos!$A$5:$A$2004,A209,Detalle_Pagos!$I$5:$I$2004))</f>
        <v/>
      </c>
      <c r="M209" s="29" t="str">
        <f>IF(A209="","",SUMIFS(Detalle_Pagos!$I$5:$I$2004,Detalle_Pagos!$A$5:$A$2004,A209,Detalle_Pagos!$J$5:$J$2004,"No"))</f>
        <v/>
      </c>
      <c r="N209" t="str">
        <f t="shared" si="11"/>
        <v/>
      </c>
    </row>
    <row r="210" spans="2:14" x14ac:dyDescent="0.3">
      <c r="B210" s="30"/>
      <c r="G210" s="29" t="str">
        <f>IF(A210="","",IFERROR(INDEX(Criterios!$B$4:$C$83,MATCH(D210,Criterios!$A$4:$A$83,0),IF(E210="Dentro horario",1,2)),""))</f>
        <v/>
      </c>
      <c r="H210" s="29"/>
      <c r="I210" s="29" t="str">
        <f t="shared" si="9"/>
        <v/>
      </c>
      <c r="J210" t="str">
        <f>IF(A210="","",COUNTIF(Detalle_Pagos!$A$5:$A$2004,A210))</f>
        <v/>
      </c>
      <c r="K210" s="29" t="str">
        <f t="shared" si="10"/>
        <v/>
      </c>
      <c r="L210" s="29" t="str">
        <f>IF(A210="","",SUMIF(Detalle_Pagos!$A$5:$A$2004,A210,Detalle_Pagos!$I$5:$I$2004))</f>
        <v/>
      </c>
      <c r="M210" s="29" t="str">
        <f>IF(A210="","",SUMIFS(Detalle_Pagos!$I$5:$I$2004,Detalle_Pagos!$A$5:$A$2004,A210,Detalle_Pagos!$J$5:$J$2004,"No"))</f>
        <v/>
      </c>
      <c r="N210" t="str">
        <f t="shared" si="11"/>
        <v/>
      </c>
    </row>
    <row r="211" spans="2:14" x14ac:dyDescent="0.3">
      <c r="B211" s="30"/>
      <c r="G211" s="29" t="str">
        <f>IF(A211="","",IFERROR(INDEX(Criterios!$B$4:$C$83,MATCH(D211,Criterios!$A$4:$A$83,0),IF(E211="Dentro horario",1,2)),""))</f>
        <v/>
      </c>
      <c r="H211" s="29"/>
      <c r="I211" s="29" t="str">
        <f t="shared" si="9"/>
        <v/>
      </c>
      <c r="J211" t="str">
        <f>IF(A211="","",COUNTIF(Detalle_Pagos!$A$5:$A$2004,A211))</f>
        <v/>
      </c>
      <c r="K211" s="29" t="str">
        <f t="shared" si="10"/>
        <v/>
      </c>
      <c r="L211" s="29" t="str">
        <f>IF(A211="","",SUMIF(Detalle_Pagos!$A$5:$A$2004,A211,Detalle_Pagos!$I$5:$I$2004))</f>
        <v/>
      </c>
      <c r="M211" s="29" t="str">
        <f>IF(A211="","",SUMIFS(Detalle_Pagos!$I$5:$I$2004,Detalle_Pagos!$A$5:$A$2004,A211,Detalle_Pagos!$J$5:$J$2004,"No"))</f>
        <v/>
      </c>
      <c r="N211" t="str">
        <f t="shared" si="11"/>
        <v/>
      </c>
    </row>
    <row r="212" spans="2:14" x14ac:dyDescent="0.3">
      <c r="B212" s="30"/>
      <c r="G212" s="29" t="str">
        <f>IF(A212="","",IFERROR(INDEX(Criterios!$B$4:$C$83,MATCH(D212,Criterios!$A$4:$A$83,0),IF(E212="Dentro horario",1,2)),""))</f>
        <v/>
      </c>
      <c r="H212" s="29"/>
      <c r="I212" s="29" t="str">
        <f t="shared" si="9"/>
        <v/>
      </c>
      <c r="J212" t="str">
        <f>IF(A212="","",COUNTIF(Detalle_Pagos!$A$5:$A$2004,A212))</f>
        <v/>
      </c>
      <c r="K212" s="29" t="str">
        <f t="shared" si="10"/>
        <v/>
      </c>
      <c r="L212" s="29" t="str">
        <f>IF(A212="","",SUMIF(Detalle_Pagos!$A$5:$A$2004,A212,Detalle_Pagos!$I$5:$I$2004))</f>
        <v/>
      </c>
      <c r="M212" s="29" t="str">
        <f>IF(A212="","",SUMIFS(Detalle_Pagos!$I$5:$I$2004,Detalle_Pagos!$A$5:$A$2004,A212,Detalle_Pagos!$J$5:$J$2004,"No"))</f>
        <v/>
      </c>
      <c r="N212" t="str">
        <f t="shared" si="11"/>
        <v/>
      </c>
    </row>
    <row r="213" spans="2:14" x14ac:dyDescent="0.3">
      <c r="B213" s="30"/>
      <c r="G213" s="29" t="str">
        <f>IF(A213="","",IFERROR(INDEX(Criterios!$B$4:$C$83,MATCH(D213,Criterios!$A$4:$A$83,0),IF(E213="Dentro horario",1,2)),""))</f>
        <v/>
      </c>
      <c r="H213" s="29"/>
      <c r="I213" s="29" t="str">
        <f t="shared" si="9"/>
        <v/>
      </c>
      <c r="J213" t="str">
        <f>IF(A213="","",COUNTIF(Detalle_Pagos!$A$5:$A$2004,A213))</f>
        <v/>
      </c>
      <c r="K213" s="29" t="str">
        <f t="shared" si="10"/>
        <v/>
      </c>
      <c r="L213" s="29" t="str">
        <f>IF(A213="","",SUMIF(Detalle_Pagos!$A$5:$A$2004,A213,Detalle_Pagos!$I$5:$I$2004))</f>
        <v/>
      </c>
      <c r="M213" s="29" t="str">
        <f>IF(A213="","",SUMIFS(Detalle_Pagos!$I$5:$I$2004,Detalle_Pagos!$A$5:$A$2004,A213,Detalle_Pagos!$J$5:$J$2004,"No"))</f>
        <v/>
      </c>
      <c r="N213" t="str">
        <f t="shared" si="11"/>
        <v/>
      </c>
    </row>
    <row r="214" spans="2:14" x14ac:dyDescent="0.3">
      <c r="B214" s="30"/>
      <c r="G214" s="29" t="str">
        <f>IF(A214="","",IFERROR(INDEX(Criterios!$B$4:$C$83,MATCH(D214,Criterios!$A$4:$A$83,0),IF(E214="Dentro horario",1,2)),""))</f>
        <v/>
      </c>
      <c r="H214" s="29"/>
      <c r="I214" s="29" t="str">
        <f t="shared" si="9"/>
        <v/>
      </c>
      <c r="J214" t="str">
        <f>IF(A214="","",COUNTIF(Detalle_Pagos!$A$5:$A$2004,A214))</f>
        <v/>
      </c>
      <c r="K214" s="29" t="str">
        <f t="shared" si="10"/>
        <v/>
      </c>
      <c r="L214" s="29" t="str">
        <f>IF(A214="","",SUMIF(Detalle_Pagos!$A$5:$A$2004,A214,Detalle_Pagos!$I$5:$I$2004))</f>
        <v/>
      </c>
      <c r="M214" s="29" t="str">
        <f>IF(A214="","",SUMIFS(Detalle_Pagos!$I$5:$I$2004,Detalle_Pagos!$A$5:$A$2004,A214,Detalle_Pagos!$J$5:$J$2004,"No"))</f>
        <v/>
      </c>
      <c r="N214" t="str">
        <f t="shared" si="11"/>
        <v/>
      </c>
    </row>
    <row r="215" spans="2:14" x14ac:dyDescent="0.3">
      <c r="B215" s="30"/>
      <c r="G215" s="29" t="str">
        <f>IF(A215="","",IFERROR(INDEX(Criterios!$B$4:$C$83,MATCH(D215,Criterios!$A$4:$A$83,0),IF(E215="Dentro horario",1,2)),""))</f>
        <v/>
      </c>
      <c r="H215" s="29"/>
      <c r="I215" s="29" t="str">
        <f t="shared" si="9"/>
        <v/>
      </c>
      <c r="J215" t="str">
        <f>IF(A215="","",COUNTIF(Detalle_Pagos!$A$5:$A$2004,A215))</f>
        <v/>
      </c>
      <c r="K215" s="29" t="str">
        <f t="shared" si="10"/>
        <v/>
      </c>
      <c r="L215" s="29" t="str">
        <f>IF(A215="","",SUMIF(Detalle_Pagos!$A$5:$A$2004,A215,Detalle_Pagos!$I$5:$I$2004))</f>
        <v/>
      </c>
      <c r="M215" s="29" t="str">
        <f>IF(A215="","",SUMIFS(Detalle_Pagos!$I$5:$I$2004,Detalle_Pagos!$A$5:$A$2004,A215,Detalle_Pagos!$J$5:$J$2004,"No"))</f>
        <v/>
      </c>
      <c r="N215" t="str">
        <f t="shared" si="11"/>
        <v/>
      </c>
    </row>
    <row r="216" spans="2:14" x14ac:dyDescent="0.3">
      <c r="B216" s="30"/>
      <c r="G216" s="29" t="str">
        <f>IF(A216="","",IFERROR(INDEX(Criterios!$B$4:$C$83,MATCH(D216,Criterios!$A$4:$A$83,0),IF(E216="Dentro horario",1,2)),""))</f>
        <v/>
      </c>
      <c r="H216" s="29"/>
      <c r="I216" s="29" t="str">
        <f t="shared" si="9"/>
        <v/>
      </c>
      <c r="J216" t="str">
        <f>IF(A216="","",COUNTIF(Detalle_Pagos!$A$5:$A$2004,A216))</f>
        <v/>
      </c>
      <c r="K216" s="29" t="str">
        <f t="shared" si="10"/>
        <v/>
      </c>
      <c r="L216" s="29" t="str">
        <f>IF(A216="","",SUMIF(Detalle_Pagos!$A$5:$A$2004,A216,Detalle_Pagos!$I$5:$I$2004))</f>
        <v/>
      </c>
      <c r="M216" s="29" t="str">
        <f>IF(A216="","",SUMIFS(Detalle_Pagos!$I$5:$I$2004,Detalle_Pagos!$A$5:$A$2004,A216,Detalle_Pagos!$J$5:$J$2004,"No"))</f>
        <v/>
      </c>
      <c r="N216" t="str">
        <f t="shared" si="11"/>
        <v/>
      </c>
    </row>
    <row r="217" spans="2:14" x14ac:dyDescent="0.3">
      <c r="B217" s="30"/>
      <c r="G217" s="29" t="str">
        <f>IF(A217="","",IFERROR(INDEX(Criterios!$B$4:$C$83,MATCH(D217,Criterios!$A$4:$A$83,0),IF(E217="Dentro horario",1,2)),""))</f>
        <v/>
      </c>
      <c r="H217" s="29"/>
      <c r="I217" s="29" t="str">
        <f t="shared" si="9"/>
        <v/>
      </c>
      <c r="J217" t="str">
        <f>IF(A217="","",COUNTIF(Detalle_Pagos!$A$5:$A$2004,A217))</f>
        <v/>
      </c>
      <c r="K217" s="29" t="str">
        <f t="shared" si="10"/>
        <v/>
      </c>
      <c r="L217" s="29" t="str">
        <f>IF(A217="","",SUMIF(Detalle_Pagos!$A$5:$A$2004,A217,Detalle_Pagos!$I$5:$I$2004))</f>
        <v/>
      </c>
      <c r="M217" s="29" t="str">
        <f>IF(A217="","",SUMIFS(Detalle_Pagos!$I$5:$I$2004,Detalle_Pagos!$A$5:$A$2004,A217,Detalle_Pagos!$J$5:$J$2004,"No"))</f>
        <v/>
      </c>
      <c r="N217" t="str">
        <f t="shared" si="11"/>
        <v/>
      </c>
    </row>
    <row r="218" spans="2:14" x14ac:dyDescent="0.3">
      <c r="B218" s="30"/>
      <c r="G218" s="29" t="str">
        <f>IF(A218="","",IFERROR(INDEX(Criterios!$B$4:$C$83,MATCH(D218,Criterios!$A$4:$A$83,0),IF(E218="Dentro horario",1,2)),""))</f>
        <v/>
      </c>
      <c r="H218" s="29"/>
      <c r="I218" s="29" t="str">
        <f t="shared" si="9"/>
        <v/>
      </c>
      <c r="J218" t="str">
        <f>IF(A218="","",COUNTIF(Detalle_Pagos!$A$5:$A$2004,A218))</f>
        <v/>
      </c>
      <c r="K218" s="29" t="str">
        <f t="shared" si="10"/>
        <v/>
      </c>
      <c r="L218" s="29" t="str">
        <f>IF(A218="","",SUMIF(Detalle_Pagos!$A$5:$A$2004,A218,Detalle_Pagos!$I$5:$I$2004))</f>
        <v/>
      </c>
      <c r="M218" s="29" t="str">
        <f>IF(A218="","",SUMIFS(Detalle_Pagos!$I$5:$I$2004,Detalle_Pagos!$A$5:$A$2004,A218,Detalle_Pagos!$J$5:$J$2004,"No"))</f>
        <v/>
      </c>
      <c r="N218" t="str">
        <f t="shared" si="11"/>
        <v/>
      </c>
    </row>
    <row r="219" spans="2:14" x14ac:dyDescent="0.3">
      <c r="B219" s="30"/>
      <c r="G219" s="29" t="str">
        <f>IF(A219="","",IFERROR(INDEX(Criterios!$B$4:$C$83,MATCH(D219,Criterios!$A$4:$A$83,0),IF(E219="Dentro horario",1,2)),""))</f>
        <v/>
      </c>
      <c r="H219" s="29"/>
      <c r="I219" s="29" t="str">
        <f t="shared" si="9"/>
        <v/>
      </c>
      <c r="J219" t="str">
        <f>IF(A219="","",COUNTIF(Detalle_Pagos!$A$5:$A$2004,A219))</f>
        <v/>
      </c>
      <c r="K219" s="29" t="str">
        <f t="shared" si="10"/>
        <v/>
      </c>
      <c r="L219" s="29" t="str">
        <f>IF(A219="","",SUMIF(Detalle_Pagos!$A$5:$A$2004,A219,Detalle_Pagos!$I$5:$I$2004))</f>
        <v/>
      </c>
      <c r="M219" s="29" t="str">
        <f>IF(A219="","",SUMIFS(Detalle_Pagos!$I$5:$I$2004,Detalle_Pagos!$A$5:$A$2004,A219,Detalle_Pagos!$J$5:$J$2004,"No"))</f>
        <v/>
      </c>
      <c r="N219" t="str">
        <f t="shared" si="11"/>
        <v/>
      </c>
    </row>
    <row r="220" spans="2:14" x14ac:dyDescent="0.3">
      <c r="B220" s="30"/>
      <c r="G220" s="29" t="str">
        <f>IF(A220="","",IFERROR(INDEX(Criterios!$B$4:$C$83,MATCH(D220,Criterios!$A$4:$A$83,0),IF(E220="Dentro horario",1,2)),""))</f>
        <v/>
      </c>
      <c r="H220" s="29"/>
      <c r="I220" s="29" t="str">
        <f t="shared" si="9"/>
        <v/>
      </c>
      <c r="J220" t="str">
        <f>IF(A220="","",COUNTIF(Detalle_Pagos!$A$5:$A$2004,A220))</f>
        <v/>
      </c>
      <c r="K220" s="29" t="str">
        <f t="shared" si="10"/>
        <v/>
      </c>
      <c r="L220" s="29" t="str">
        <f>IF(A220="","",SUMIF(Detalle_Pagos!$A$5:$A$2004,A220,Detalle_Pagos!$I$5:$I$2004))</f>
        <v/>
      </c>
      <c r="M220" s="29" t="str">
        <f>IF(A220="","",SUMIFS(Detalle_Pagos!$I$5:$I$2004,Detalle_Pagos!$A$5:$A$2004,A220,Detalle_Pagos!$J$5:$J$2004,"No"))</f>
        <v/>
      </c>
      <c r="N220" t="str">
        <f t="shared" si="11"/>
        <v/>
      </c>
    </row>
    <row r="221" spans="2:14" x14ac:dyDescent="0.3">
      <c r="B221" s="30"/>
      <c r="G221" s="29" t="str">
        <f>IF(A221="","",IFERROR(INDEX(Criterios!$B$4:$C$83,MATCH(D221,Criterios!$A$4:$A$83,0),IF(E221="Dentro horario",1,2)),""))</f>
        <v/>
      </c>
      <c r="H221" s="29"/>
      <c r="I221" s="29" t="str">
        <f t="shared" si="9"/>
        <v/>
      </c>
      <c r="J221" t="str">
        <f>IF(A221="","",COUNTIF(Detalle_Pagos!$A$5:$A$2004,A221))</f>
        <v/>
      </c>
      <c r="K221" s="29" t="str">
        <f t="shared" si="10"/>
        <v/>
      </c>
      <c r="L221" s="29" t="str">
        <f>IF(A221="","",SUMIF(Detalle_Pagos!$A$5:$A$2004,A221,Detalle_Pagos!$I$5:$I$2004))</f>
        <v/>
      </c>
      <c r="M221" s="29" t="str">
        <f>IF(A221="","",SUMIFS(Detalle_Pagos!$I$5:$I$2004,Detalle_Pagos!$A$5:$A$2004,A221,Detalle_Pagos!$J$5:$J$2004,"No"))</f>
        <v/>
      </c>
      <c r="N221" t="str">
        <f t="shared" si="11"/>
        <v/>
      </c>
    </row>
    <row r="222" spans="2:14" x14ac:dyDescent="0.3">
      <c r="B222" s="30"/>
      <c r="G222" s="29" t="str">
        <f>IF(A222="","",IFERROR(INDEX(Criterios!$B$4:$C$83,MATCH(D222,Criterios!$A$4:$A$83,0),IF(E222="Dentro horario",1,2)),""))</f>
        <v/>
      </c>
      <c r="H222" s="29"/>
      <c r="I222" s="29" t="str">
        <f t="shared" si="9"/>
        <v/>
      </c>
      <c r="J222" t="str">
        <f>IF(A222="","",COUNTIF(Detalle_Pagos!$A$5:$A$2004,A222))</f>
        <v/>
      </c>
      <c r="K222" s="29" t="str">
        <f t="shared" si="10"/>
        <v/>
      </c>
      <c r="L222" s="29" t="str">
        <f>IF(A222="","",SUMIF(Detalle_Pagos!$A$5:$A$2004,A222,Detalle_Pagos!$I$5:$I$2004))</f>
        <v/>
      </c>
      <c r="M222" s="29" t="str">
        <f>IF(A222="","",SUMIFS(Detalle_Pagos!$I$5:$I$2004,Detalle_Pagos!$A$5:$A$2004,A222,Detalle_Pagos!$J$5:$J$2004,"No"))</f>
        <v/>
      </c>
      <c r="N222" t="str">
        <f t="shared" si="11"/>
        <v/>
      </c>
    </row>
    <row r="223" spans="2:14" x14ac:dyDescent="0.3">
      <c r="B223" s="30"/>
      <c r="G223" s="29" t="str">
        <f>IF(A223="","",IFERROR(INDEX(Criterios!$B$4:$C$83,MATCH(D223,Criterios!$A$4:$A$83,0),IF(E223="Dentro horario",1,2)),""))</f>
        <v/>
      </c>
      <c r="H223" s="29"/>
      <c r="I223" s="29" t="str">
        <f t="shared" si="9"/>
        <v/>
      </c>
      <c r="J223" t="str">
        <f>IF(A223="","",COUNTIF(Detalle_Pagos!$A$5:$A$2004,A223))</f>
        <v/>
      </c>
      <c r="K223" s="29" t="str">
        <f t="shared" si="10"/>
        <v/>
      </c>
      <c r="L223" s="29" t="str">
        <f>IF(A223="","",SUMIF(Detalle_Pagos!$A$5:$A$2004,A223,Detalle_Pagos!$I$5:$I$2004))</f>
        <v/>
      </c>
      <c r="M223" s="29" t="str">
        <f>IF(A223="","",SUMIFS(Detalle_Pagos!$I$5:$I$2004,Detalle_Pagos!$A$5:$A$2004,A223,Detalle_Pagos!$J$5:$J$2004,"No"))</f>
        <v/>
      </c>
      <c r="N223" t="str">
        <f t="shared" si="11"/>
        <v/>
      </c>
    </row>
    <row r="224" spans="2:14" x14ac:dyDescent="0.3">
      <c r="B224" s="30"/>
      <c r="G224" s="29" t="str">
        <f>IF(A224="","",IFERROR(INDEX(Criterios!$B$4:$C$83,MATCH(D224,Criterios!$A$4:$A$83,0),IF(E224="Dentro horario",1,2)),""))</f>
        <v/>
      </c>
      <c r="H224" s="29"/>
      <c r="I224" s="29" t="str">
        <f t="shared" si="9"/>
        <v/>
      </c>
      <c r="J224" t="str">
        <f>IF(A224="","",COUNTIF(Detalle_Pagos!$A$5:$A$2004,A224))</f>
        <v/>
      </c>
      <c r="K224" s="29" t="str">
        <f t="shared" si="10"/>
        <v/>
      </c>
      <c r="L224" s="29" t="str">
        <f>IF(A224="","",SUMIF(Detalle_Pagos!$A$5:$A$2004,A224,Detalle_Pagos!$I$5:$I$2004))</f>
        <v/>
      </c>
      <c r="M224" s="29" t="str">
        <f>IF(A224="","",SUMIFS(Detalle_Pagos!$I$5:$I$2004,Detalle_Pagos!$A$5:$A$2004,A224,Detalle_Pagos!$J$5:$J$2004,"No"))</f>
        <v/>
      </c>
      <c r="N224" t="str">
        <f t="shared" si="11"/>
        <v/>
      </c>
    </row>
    <row r="225" spans="2:14" x14ac:dyDescent="0.3">
      <c r="B225" s="30"/>
      <c r="G225" s="29" t="str">
        <f>IF(A225="","",IFERROR(INDEX(Criterios!$B$4:$C$83,MATCH(D225,Criterios!$A$4:$A$83,0),IF(E225="Dentro horario",1,2)),""))</f>
        <v/>
      </c>
      <c r="H225" s="29"/>
      <c r="I225" s="29" t="str">
        <f t="shared" si="9"/>
        <v/>
      </c>
      <c r="J225" t="str">
        <f>IF(A225="","",COUNTIF(Detalle_Pagos!$A$5:$A$2004,A225))</f>
        <v/>
      </c>
      <c r="K225" s="29" t="str">
        <f t="shared" si="10"/>
        <v/>
      </c>
      <c r="L225" s="29" t="str">
        <f>IF(A225="","",SUMIF(Detalle_Pagos!$A$5:$A$2004,A225,Detalle_Pagos!$I$5:$I$2004))</f>
        <v/>
      </c>
      <c r="M225" s="29" t="str">
        <f>IF(A225="","",SUMIFS(Detalle_Pagos!$I$5:$I$2004,Detalle_Pagos!$A$5:$A$2004,A225,Detalle_Pagos!$J$5:$J$2004,"No"))</f>
        <v/>
      </c>
      <c r="N225" t="str">
        <f t="shared" si="11"/>
        <v/>
      </c>
    </row>
    <row r="226" spans="2:14" x14ac:dyDescent="0.3">
      <c r="B226" s="30"/>
      <c r="G226" s="29" t="str">
        <f>IF(A226="","",IFERROR(INDEX(Criterios!$B$4:$C$83,MATCH(D226,Criterios!$A$4:$A$83,0),IF(E226="Dentro horario",1,2)),""))</f>
        <v/>
      </c>
      <c r="H226" s="29"/>
      <c r="I226" s="29" t="str">
        <f t="shared" si="9"/>
        <v/>
      </c>
      <c r="J226" t="str">
        <f>IF(A226="","",COUNTIF(Detalle_Pagos!$A$5:$A$2004,A226))</f>
        <v/>
      </c>
      <c r="K226" s="29" t="str">
        <f t="shared" si="10"/>
        <v/>
      </c>
      <c r="L226" s="29" t="str">
        <f>IF(A226="","",SUMIF(Detalle_Pagos!$A$5:$A$2004,A226,Detalle_Pagos!$I$5:$I$2004))</f>
        <v/>
      </c>
      <c r="M226" s="29" t="str">
        <f>IF(A226="","",SUMIFS(Detalle_Pagos!$I$5:$I$2004,Detalle_Pagos!$A$5:$A$2004,A226,Detalle_Pagos!$J$5:$J$2004,"No"))</f>
        <v/>
      </c>
      <c r="N226" t="str">
        <f t="shared" si="11"/>
        <v/>
      </c>
    </row>
    <row r="227" spans="2:14" x14ac:dyDescent="0.3">
      <c r="B227" s="30"/>
      <c r="G227" s="29" t="str">
        <f>IF(A227="","",IFERROR(INDEX(Criterios!$B$4:$C$83,MATCH(D227,Criterios!$A$4:$A$83,0),IF(E227="Dentro horario",1,2)),""))</f>
        <v/>
      </c>
      <c r="H227" s="29"/>
      <c r="I227" s="29" t="str">
        <f t="shared" si="9"/>
        <v/>
      </c>
      <c r="J227" t="str">
        <f>IF(A227="","",COUNTIF(Detalle_Pagos!$A$5:$A$2004,A227))</f>
        <v/>
      </c>
      <c r="K227" s="29" t="str">
        <f t="shared" si="10"/>
        <v/>
      </c>
      <c r="L227" s="29" t="str">
        <f>IF(A227="","",SUMIF(Detalle_Pagos!$A$5:$A$2004,A227,Detalle_Pagos!$I$5:$I$2004))</f>
        <v/>
      </c>
      <c r="M227" s="29" t="str">
        <f>IF(A227="","",SUMIFS(Detalle_Pagos!$I$5:$I$2004,Detalle_Pagos!$A$5:$A$2004,A227,Detalle_Pagos!$J$5:$J$2004,"No"))</f>
        <v/>
      </c>
      <c r="N227" t="str">
        <f t="shared" si="11"/>
        <v/>
      </c>
    </row>
    <row r="228" spans="2:14" x14ac:dyDescent="0.3">
      <c r="B228" s="30"/>
      <c r="G228" s="29" t="str">
        <f>IF(A228="","",IFERROR(INDEX(Criterios!$B$4:$C$83,MATCH(D228,Criterios!$A$4:$A$83,0),IF(E228="Dentro horario",1,2)),""))</f>
        <v/>
      </c>
      <c r="H228" s="29"/>
      <c r="I228" s="29" t="str">
        <f t="shared" si="9"/>
        <v/>
      </c>
      <c r="J228" t="str">
        <f>IF(A228="","",COUNTIF(Detalle_Pagos!$A$5:$A$2004,A228))</f>
        <v/>
      </c>
      <c r="K228" s="29" t="str">
        <f t="shared" si="10"/>
        <v/>
      </c>
      <c r="L228" s="29" t="str">
        <f>IF(A228="","",SUMIF(Detalle_Pagos!$A$5:$A$2004,A228,Detalle_Pagos!$I$5:$I$2004))</f>
        <v/>
      </c>
      <c r="M228" s="29" t="str">
        <f>IF(A228="","",SUMIFS(Detalle_Pagos!$I$5:$I$2004,Detalle_Pagos!$A$5:$A$2004,A228,Detalle_Pagos!$J$5:$J$2004,"No"))</f>
        <v/>
      </c>
      <c r="N228" t="str">
        <f t="shared" si="11"/>
        <v/>
      </c>
    </row>
    <row r="229" spans="2:14" x14ac:dyDescent="0.3">
      <c r="B229" s="30"/>
      <c r="G229" s="29" t="str">
        <f>IF(A229="","",IFERROR(INDEX(Criterios!$B$4:$C$83,MATCH(D229,Criterios!$A$4:$A$83,0),IF(E229="Dentro horario",1,2)),""))</f>
        <v/>
      </c>
      <c r="H229" s="29"/>
      <c r="I229" s="29" t="str">
        <f t="shared" si="9"/>
        <v/>
      </c>
      <c r="J229" t="str">
        <f>IF(A229="","",COUNTIF(Detalle_Pagos!$A$5:$A$2004,A229))</f>
        <v/>
      </c>
      <c r="K229" s="29" t="str">
        <f t="shared" si="10"/>
        <v/>
      </c>
      <c r="L229" s="29" t="str">
        <f>IF(A229="","",SUMIF(Detalle_Pagos!$A$5:$A$2004,A229,Detalle_Pagos!$I$5:$I$2004))</f>
        <v/>
      </c>
      <c r="M229" s="29" t="str">
        <f>IF(A229="","",SUMIFS(Detalle_Pagos!$I$5:$I$2004,Detalle_Pagos!$A$5:$A$2004,A229,Detalle_Pagos!$J$5:$J$2004,"No"))</f>
        <v/>
      </c>
      <c r="N229" t="str">
        <f t="shared" si="11"/>
        <v/>
      </c>
    </row>
    <row r="230" spans="2:14" x14ac:dyDescent="0.3">
      <c r="B230" s="30"/>
      <c r="G230" s="29" t="str">
        <f>IF(A230="","",IFERROR(INDEX(Criterios!$B$4:$C$83,MATCH(D230,Criterios!$A$4:$A$83,0),IF(E230="Dentro horario",1,2)),""))</f>
        <v/>
      </c>
      <c r="H230" s="29"/>
      <c r="I230" s="29" t="str">
        <f t="shared" si="9"/>
        <v/>
      </c>
      <c r="J230" t="str">
        <f>IF(A230="","",COUNTIF(Detalle_Pagos!$A$5:$A$2004,A230))</f>
        <v/>
      </c>
      <c r="K230" s="29" t="str">
        <f t="shared" si="10"/>
        <v/>
      </c>
      <c r="L230" s="29" t="str">
        <f>IF(A230="","",SUMIF(Detalle_Pagos!$A$5:$A$2004,A230,Detalle_Pagos!$I$5:$I$2004))</f>
        <v/>
      </c>
      <c r="M230" s="29" t="str">
        <f>IF(A230="","",SUMIFS(Detalle_Pagos!$I$5:$I$2004,Detalle_Pagos!$A$5:$A$2004,A230,Detalle_Pagos!$J$5:$J$2004,"No"))</f>
        <v/>
      </c>
      <c r="N230" t="str">
        <f t="shared" si="11"/>
        <v/>
      </c>
    </row>
    <row r="231" spans="2:14" x14ac:dyDescent="0.3">
      <c r="B231" s="30"/>
      <c r="G231" s="29" t="str">
        <f>IF(A231="","",IFERROR(INDEX(Criterios!$B$4:$C$83,MATCH(D231,Criterios!$A$4:$A$83,0),IF(E231="Dentro horario",1,2)),""))</f>
        <v/>
      </c>
      <c r="H231" s="29"/>
      <c r="I231" s="29" t="str">
        <f t="shared" si="9"/>
        <v/>
      </c>
      <c r="J231" t="str">
        <f>IF(A231="","",COUNTIF(Detalle_Pagos!$A$5:$A$2004,A231))</f>
        <v/>
      </c>
      <c r="K231" s="29" t="str">
        <f t="shared" si="10"/>
        <v/>
      </c>
      <c r="L231" s="29" t="str">
        <f>IF(A231="","",SUMIF(Detalle_Pagos!$A$5:$A$2004,A231,Detalle_Pagos!$I$5:$I$2004))</f>
        <v/>
      </c>
      <c r="M231" s="29" t="str">
        <f>IF(A231="","",SUMIFS(Detalle_Pagos!$I$5:$I$2004,Detalle_Pagos!$A$5:$A$2004,A231,Detalle_Pagos!$J$5:$J$2004,"No"))</f>
        <v/>
      </c>
      <c r="N231" t="str">
        <f t="shared" si="11"/>
        <v/>
      </c>
    </row>
    <row r="232" spans="2:14" x14ac:dyDescent="0.3">
      <c r="B232" s="30"/>
      <c r="G232" s="29" t="str">
        <f>IF(A232="","",IFERROR(INDEX(Criterios!$B$4:$C$83,MATCH(D232,Criterios!$A$4:$A$83,0),IF(E232="Dentro horario",1,2)),""))</f>
        <v/>
      </c>
      <c r="H232" s="29"/>
      <c r="I232" s="29" t="str">
        <f t="shared" si="9"/>
        <v/>
      </c>
      <c r="J232" t="str">
        <f>IF(A232="","",COUNTIF(Detalle_Pagos!$A$5:$A$2004,A232))</f>
        <v/>
      </c>
      <c r="K232" s="29" t="str">
        <f t="shared" si="10"/>
        <v/>
      </c>
      <c r="L232" s="29" t="str">
        <f>IF(A232="","",SUMIF(Detalle_Pagos!$A$5:$A$2004,A232,Detalle_Pagos!$I$5:$I$2004))</f>
        <v/>
      </c>
      <c r="M232" s="29" t="str">
        <f>IF(A232="","",SUMIFS(Detalle_Pagos!$I$5:$I$2004,Detalle_Pagos!$A$5:$A$2004,A232,Detalle_Pagos!$J$5:$J$2004,"No"))</f>
        <v/>
      </c>
      <c r="N232" t="str">
        <f t="shared" si="11"/>
        <v/>
      </c>
    </row>
    <row r="233" spans="2:14" x14ac:dyDescent="0.3">
      <c r="B233" s="30"/>
      <c r="G233" s="29" t="str">
        <f>IF(A233="","",IFERROR(INDEX(Criterios!$B$4:$C$83,MATCH(D233,Criterios!$A$4:$A$83,0),IF(E233="Dentro horario",1,2)),""))</f>
        <v/>
      </c>
      <c r="H233" s="29"/>
      <c r="I233" s="29" t="str">
        <f t="shared" si="9"/>
        <v/>
      </c>
      <c r="J233" t="str">
        <f>IF(A233="","",COUNTIF(Detalle_Pagos!$A$5:$A$2004,A233))</f>
        <v/>
      </c>
      <c r="K233" s="29" t="str">
        <f t="shared" si="10"/>
        <v/>
      </c>
      <c r="L233" s="29" t="str">
        <f>IF(A233="","",SUMIF(Detalle_Pagos!$A$5:$A$2004,A233,Detalle_Pagos!$I$5:$I$2004))</f>
        <v/>
      </c>
      <c r="M233" s="29" t="str">
        <f>IF(A233="","",SUMIFS(Detalle_Pagos!$I$5:$I$2004,Detalle_Pagos!$A$5:$A$2004,A233,Detalle_Pagos!$J$5:$J$2004,"No"))</f>
        <v/>
      </c>
      <c r="N233" t="str">
        <f t="shared" si="11"/>
        <v/>
      </c>
    </row>
    <row r="234" spans="2:14" x14ac:dyDescent="0.3">
      <c r="B234" s="30"/>
      <c r="G234" s="29" t="str">
        <f>IF(A234="","",IFERROR(INDEX(Criterios!$B$4:$C$83,MATCH(D234,Criterios!$A$4:$A$83,0),IF(E234="Dentro horario",1,2)),""))</f>
        <v/>
      </c>
      <c r="H234" s="29"/>
      <c r="I234" s="29" t="str">
        <f t="shared" si="9"/>
        <v/>
      </c>
      <c r="J234" t="str">
        <f>IF(A234="","",COUNTIF(Detalle_Pagos!$A$5:$A$2004,A234))</f>
        <v/>
      </c>
      <c r="K234" s="29" t="str">
        <f t="shared" si="10"/>
        <v/>
      </c>
      <c r="L234" s="29" t="str">
        <f>IF(A234="","",SUMIF(Detalle_Pagos!$A$5:$A$2004,A234,Detalle_Pagos!$I$5:$I$2004))</f>
        <v/>
      </c>
      <c r="M234" s="29" t="str">
        <f>IF(A234="","",SUMIFS(Detalle_Pagos!$I$5:$I$2004,Detalle_Pagos!$A$5:$A$2004,A234,Detalle_Pagos!$J$5:$J$2004,"No"))</f>
        <v/>
      </c>
      <c r="N234" t="str">
        <f t="shared" si="11"/>
        <v/>
      </c>
    </row>
    <row r="235" spans="2:14" x14ac:dyDescent="0.3">
      <c r="B235" s="30"/>
      <c r="G235" s="29" t="str">
        <f>IF(A235="","",IFERROR(INDEX(Criterios!$B$4:$C$83,MATCH(D235,Criterios!$A$4:$A$83,0),IF(E235="Dentro horario",1,2)),""))</f>
        <v/>
      </c>
      <c r="H235" s="29"/>
      <c r="I235" s="29" t="str">
        <f t="shared" si="9"/>
        <v/>
      </c>
      <c r="J235" t="str">
        <f>IF(A235="","",COUNTIF(Detalle_Pagos!$A$5:$A$2004,A235))</f>
        <v/>
      </c>
      <c r="K235" s="29" t="str">
        <f t="shared" si="10"/>
        <v/>
      </c>
      <c r="L235" s="29" t="str">
        <f>IF(A235="","",SUMIF(Detalle_Pagos!$A$5:$A$2004,A235,Detalle_Pagos!$I$5:$I$2004))</f>
        <v/>
      </c>
      <c r="M235" s="29" t="str">
        <f>IF(A235="","",SUMIFS(Detalle_Pagos!$I$5:$I$2004,Detalle_Pagos!$A$5:$A$2004,A235,Detalle_Pagos!$J$5:$J$2004,"No"))</f>
        <v/>
      </c>
      <c r="N235" t="str">
        <f t="shared" si="11"/>
        <v/>
      </c>
    </row>
    <row r="236" spans="2:14" x14ac:dyDescent="0.3">
      <c r="B236" s="30"/>
      <c r="G236" s="29" t="str">
        <f>IF(A236="","",IFERROR(INDEX(Criterios!$B$4:$C$83,MATCH(D236,Criterios!$A$4:$A$83,0),IF(E236="Dentro horario",1,2)),""))</f>
        <v/>
      </c>
      <c r="H236" s="29"/>
      <c r="I236" s="29" t="str">
        <f t="shared" si="9"/>
        <v/>
      </c>
      <c r="J236" t="str">
        <f>IF(A236="","",COUNTIF(Detalle_Pagos!$A$5:$A$2004,A236))</f>
        <v/>
      </c>
      <c r="K236" s="29" t="str">
        <f t="shared" si="10"/>
        <v/>
      </c>
      <c r="L236" s="29" t="str">
        <f>IF(A236="","",SUMIF(Detalle_Pagos!$A$5:$A$2004,A236,Detalle_Pagos!$I$5:$I$2004))</f>
        <v/>
      </c>
      <c r="M236" s="29" t="str">
        <f>IF(A236="","",SUMIFS(Detalle_Pagos!$I$5:$I$2004,Detalle_Pagos!$A$5:$A$2004,A236,Detalle_Pagos!$J$5:$J$2004,"No"))</f>
        <v/>
      </c>
      <c r="N236" t="str">
        <f t="shared" si="11"/>
        <v/>
      </c>
    </row>
    <row r="237" spans="2:14" x14ac:dyDescent="0.3">
      <c r="B237" s="30"/>
      <c r="G237" s="29" t="str">
        <f>IF(A237="","",IFERROR(INDEX(Criterios!$B$4:$C$83,MATCH(D237,Criterios!$A$4:$A$83,0),IF(E237="Dentro horario",1,2)),""))</f>
        <v/>
      </c>
      <c r="H237" s="29"/>
      <c r="I237" s="29" t="str">
        <f t="shared" si="9"/>
        <v/>
      </c>
      <c r="J237" t="str">
        <f>IF(A237="","",COUNTIF(Detalle_Pagos!$A$5:$A$2004,A237))</f>
        <v/>
      </c>
      <c r="K237" s="29" t="str">
        <f t="shared" si="10"/>
        <v/>
      </c>
      <c r="L237" s="29" t="str">
        <f>IF(A237="","",SUMIF(Detalle_Pagos!$A$5:$A$2004,A237,Detalle_Pagos!$I$5:$I$2004))</f>
        <v/>
      </c>
      <c r="M237" s="29" t="str">
        <f>IF(A237="","",SUMIFS(Detalle_Pagos!$I$5:$I$2004,Detalle_Pagos!$A$5:$A$2004,A237,Detalle_Pagos!$J$5:$J$2004,"No"))</f>
        <v/>
      </c>
      <c r="N237" t="str">
        <f t="shared" si="11"/>
        <v/>
      </c>
    </row>
    <row r="238" spans="2:14" x14ac:dyDescent="0.3">
      <c r="B238" s="30"/>
      <c r="G238" s="29" t="str">
        <f>IF(A238="","",IFERROR(INDEX(Criterios!$B$4:$C$83,MATCH(D238,Criterios!$A$4:$A$83,0),IF(E238="Dentro horario",1,2)),""))</f>
        <v/>
      </c>
      <c r="H238" s="29"/>
      <c r="I238" s="29" t="str">
        <f t="shared" si="9"/>
        <v/>
      </c>
      <c r="J238" t="str">
        <f>IF(A238="","",COUNTIF(Detalle_Pagos!$A$5:$A$2004,A238))</f>
        <v/>
      </c>
      <c r="K238" s="29" t="str">
        <f t="shared" si="10"/>
        <v/>
      </c>
      <c r="L238" s="29" t="str">
        <f>IF(A238="","",SUMIF(Detalle_Pagos!$A$5:$A$2004,A238,Detalle_Pagos!$I$5:$I$2004))</f>
        <v/>
      </c>
      <c r="M238" s="29" t="str">
        <f>IF(A238="","",SUMIFS(Detalle_Pagos!$I$5:$I$2004,Detalle_Pagos!$A$5:$A$2004,A238,Detalle_Pagos!$J$5:$J$2004,"No"))</f>
        <v/>
      </c>
      <c r="N238" t="str">
        <f t="shared" si="11"/>
        <v/>
      </c>
    </row>
    <row r="239" spans="2:14" x14ac:dyDescent="0.3">
      <c r="B239" s="30"/>
      <c r="G239" s="29" t="str">
        <f>IF(A239="","",IFERROR(INDEX(Criterios!$B$4:$C$83,MATCH(D239,Criterios!$A$4:$A$83,0),IF(E239="Dentro horario",1,2)),""))</f>
        <v/>
      </c>
      <c r="H239" s="29"/>
      <c r="I239" s="29" t="str">
        <f t="shared" si="9"/>
        <v/>
      </c>
      <c r="J239" t="str">
        <f>IF(A239="","",COUNTIF(Detalle_Pagos!$A$5:$A$2004,A239))</f>
        <v/>
      </c>
      <c r="K239" s="29" t="str">
        <f t="shared" si="10"/>
        <v/>
      </c>
      <c r="L239" s="29" t="str">
        <f>IF(A239="","",SUMIF(Detalle_Pagos!$A$5:$A$2004,A239,Detalle_Pagos!$I$5:$I$2004))</f>
        <v/>
      </c>
      <c r="M239" s="29" t="str">
        <f>IF(A239="","",SUMIFS(Detalle_Pagos!$I$5:$I$2004,Detalle_Pagos!$A$5:$A$2004,A239,Detalle_Pagos!$J$5:$J$2004,"No"))</f>
        <v/>
      </c>
      <c r="N239" t="str">
        <f t="shared" si="11"/>
        <v/>
      </c>
    </row>
    <row r="240" spans="2:14" x14ac:dyDescent="0.3">
      <c r="B240" s="30"/>
      <c r="G240" s="29" t="str">
        <f>IF(A240="","",IFERROR(INDEX(Criterios!$B$4:$C$83,MATCH(D240,Criterios!$A$4:$A$83,0),IF(E240="Dentro horario",1,2)),""))</f>
        <v/>
      </c>
      <c r="H240" s="29"/>
      <c r="I240" s="29" t="str">
        <f t="shared" si="9"/>
        <v/>
      </c>
      <c r="J240" t="str">
        <f>IF(A240="","",COUNTIF(Detalle_Pagos!$A$5:$A$2004,A240))</f>
        <v/>
      </c>
      <c r="K240" s="29" t="str">
        <f t="shared" si="10"/>
        <v/>
      </c>
      <c r="L240" s="29" t="str">
        <f>IF(A240="","",SUMIF(Detalle_Pagos!$A$5:$A$2004,A240,Detalle_Pagos!$I$5:$I$2004))</f>
        <v/>
      </c>
      <c r="M240" s="29" t="str">
        <f>IF(A240="","",SUMIFS(Detalle_Pagos!$I$5:$I$2004,Detalle_Pagos!$A$5:$A$2004,A240,Detalle_Pagos!$J$5:$J$2004,"No"))</f>
        <v/>
      </c>
      <c r="N240" t="str">
        <f t="shared" si="11"/>
        <v/>
      </c>
    </row>
    <row r="241" spans="2:14" x14ac:dyDescent="0.3">
      <c r="B241" s="30"/>
      <c r="G241" s="29" t="str">
        <f>IF(A241="","",IFERROR(INDEX(Criterios!$B$4:$C$83,MATCH(D241,Criterios!$A$4:$A$83,0),IF(E241="Dentro horario",1,2)),""))</f>
        <v/>
      </c>
      <c r="H241" s="29"/>
      <c r="I241" s="29" t="str">
        <f t="shared" si="9"/>
        <v/>
      </c>
      <c r="J241" t="str">
        <f>IF(A241="","",COUNTIF(Detalle_Pagos!$A$5:$A$2004,A241))</f>
        <v/>
      </c>
      <c r="K241" s="29" t="str">
        <f t="shared" si="10"/>
        <v/>
      </c>
      <c r="L241" s="29" t="str">
        <f>IF(A241="","",SUMIF(Detalle_Pagos!$A$5:$A$2004,A241,Detalle_Pagos!$I$5:$I$2004))</f>
        <v/>
      </c>
      <c r="M241" s="29" t="str">
        <f>IF(A241="","",SUMIFS(Detalle_Pagos!$I$5:$I$2004,Detalle_Pagos!$A$5:$A$2004,A241,Detalle_Pagos!$J$5:$J$2004,"No"))</f>
        <v/>
      </c>
      <c r="N241" t="str">
        <f t="shared" si="11"/>
        <v/>
      </c>
    </row>
    <row r="242" spans="2:14" x14ac:dyDescent="0.3">
      <c r="B242" s="30"/>
      <c r="G242" s="29" t="str">
        <f>IF(A242="","",IFERROR(INDEX(Criterios!$B$4:$C$83,MATCH(D242,Criterios!$A$4:$A$83,0),IF(E242="Dentro horario",1,2)),""))</f>
        <v/>
      </c>
      <c r="H242" s="29"/>
      <c r="I242" s="29" t="str">
        <f t="shared" si="9"/>
        <v/>
      </c>
      <c r="J242" t="str">
        <f>IF(A242="","",COUNTIF(Detalle_Pagos!$A$5:$A$2004,A242))</f>
        <v/>
      </c>
      <c r="K242" s="29" t="str">
        <f t="shared" si="10"/>
        <v/>
      </c>
      <c r="L242" s="29" t="str">
        <f>IF(A242="","",SUMIF(Detalle_Pagos!$A$5:$A$2004,A242,Detalle_Pagos!$I$5:$I$2004))</f>
        <v/>
      </c>
      <c r="M242" s="29" t="str">
        <f>IF(A242="","",SUMIFS(Detalle_Pagos!$I$5:$I$2004,Detalle_Pagos!$A$5:$A$2004,A242,Detalle_Pagos!$J$5:$J$2004,"No"))</f>
        <v/>
      </c>
      <c r="N242" t="str">
        <f t="shared" si="11"/>
        <v/>
      </c>
    </row>
    <row r="243" spans="2:14" x14ac:dyDescent="0.3">
      <c r="B243" s="30"/>
      <c r="G243" s="29" t="str">
        <f>IF(A243="","",IFERROR(INDEX(Criterios!$B$4:$C$83,MATCH(D243,Criterios!$A$4:$A$83,0),IF(E243="Dentro horario",1,2)),""))</f>
        <v/>
      </c>
      <c r="H243" s="29"/>
      <c r="I243" s="29" t="str">
        <f t="shared" si="9"/>
        <v/>
      </c>
      <c r="J243" t="str">
        <f>IF(A243="","",COUNTIF(Detalle_Pagos!$A$5:$A$2004,A243))</f>
        <v/>
      </c>
      <c r="K243" s="29" t="str">
        <f t="shared" si="10"/>
        <v/>
      </c>
      <c r="L243" s="29" t="str">
        <f>IF(A243="","",SUMIF(Detalle_Pagos!$A$5:$A$2004,A243,Detalle_Pagos!$I$5:$I$2004))</f>
        <v/>
      </c>
      <c r="M243" s="29" t="str">
        <f>IF(A243="","",SUMIFS(Detalle_Pagos!$I$5:$I$2004,Detalle_Pagos!$A$5:$A$2004,A243,Detalle_Pagos!$J$5:$J$2004,"No"))</f>
        <v/>
      </c>
      <c r="N243" t="str">
        <f t="shared" si="11"/>
        <v/>
      </c>
    </row>
    <row r="244" spans="2:14" x14ac:dyDescent="0.3">
      <c r="B244" s="30"/>
      <c r="G244" s="29" t="str">
        <f>IF(A244="","",IFERROR(INDEX(Criterios!$B$4:$C$83,MATCH(D244,Criterios!$A$4:$A$83,0),IF(E244="Dentro horario",1,2)),""))</f>
        <v/>
      </c>
      <c r="H244" s="29"/>
      <c r="I244" s="29" t="str">
        <f t="shared" si="9"/>
        <v/>
      </c>
      <c r="J244" t="str">
        <f>IF(A244="","",COUNTIF(Detalle_Pagos!$A$5:$A$2004,A244))</f>
        <v/>
      </c>
      <c r="K244" s="29" t="str">
        <f t="shared" si="10"/>
        <v/>
      </c>
      <c r="L244" s="29" t="str">
        <f>IF(A244="","",SUMIF(Detalle_Pagos!$A$5:$A$2004,A244,Detalle_Pagos!$I$5:$I$2004))</f>
        <v/>
      </c>
      <c r="M244" s="29" t="str">
        <f>IF(A244="","",SUMIFS(Detalle_Pagos!$I$5:$I$2004,Detalle_Pagos!$A$5:$A$2004,A244,Detalle_Pagos!$J$5:$J$2004,"No"))</f>
        <v/>
      </c>
      <c r="N244" t="str">
        <f t="shared" si="11"/>
        <v/>
      </c>
    </row>
    <row r="245" spans="2:14" x14ac:dyDescent="0.3">
      <c r="B245" s="30"/>
      <c r="G245" s="29" t="str">
        <f>IF(A245="","",IFERROR(INDEX(Criterios!$B$4:$C$83,MATCH(D245,Criterios!$A$4:$A$83,0),IF(E245="Dentro horario",1,2)),""))</f>
        <v/>
      </c>
      <c r="H245" s="29"/>
      <c r="I245" s="29" t="str">
        <f t="shared" si="9"/>
        <v/>
      </c>
      <c r="J245" t="str">
        <f>IF(A245="","",COUNTIF(Detalle_Pagos!$A$5:$A$2004,A245))</f>
        <v/>
      </c>
      <c r="K245" s="29" t="str">
        <f t="shared" si="10"/>
        <v/>
      </c>
      <c r="L245" s="29" t="str">
        <f>IF(A245="","",SUMIF(Detalle_Pagos!$A$5:$A$2004,A245,Detalle_Pagos!$I$5:$I$2004))</f>
        <v/>
      </c>
      <c r="M245" s="29" t="str">
        <f>IF(A245="","",SUMIFS(Detalle_Pagos!$I$5:$I$2004,Detalle_Pagos!$A$5:$A$2004,A245,Detalle_Pagos!$J$5:$J$2004,"No"))</f>
        <v/>
      </c>
      <c r="N245" t="str">
        <f t="shared" si="11"/>
        <v/>
      </c>
    </row>
    <row r="246" spans="2:14" x14ac:dyDescent="0.3">
      <c r="B246" s="30"/>
      <c r="G246" s="29" t="str">
        <f>IF(A246="","",IFERROR(INDEX(Criterios!$B$4:$C$83,MATCH(D246,Criterios!$A$4:$A$83,0),IF(E246="Dentro horario",1,2)),""))</f>
        <v/>
      </c>
      <c r="H246" s="29"/>
      <c r="I246" s="29" t="str">
        <f t="shared" si="9"/>
        <v/>
      </c>
      <c r="J246" t="str">
        <f>IF(A246="","",COUNTIF(Detalle_Pagos!$A$5:$A$2004,A246))</f>
        <v/>
      </c>
      <c r="K246" s="29" t="str">
        <f t="shared" si="10"/>
        <v/>
      </c>
      <c r="L246" s="29" t="str">
        <f>IF(A246="","",SUMIF(Detalle_Pagos!$A$5:$A$2004,A246,Detalle_Pagos!$I$5:$I$2004))</f>
        <v/>
      </c>
      <c r="M246" s="29" t="str">
        <f>IF(A246="","",SUMIFS(Detalle_Pagos!$I$5:$I$2004,Detalle_Pagos!$A$5:$A$2004,A246,Detalle_Pagos!$J$5:$J$2004,"No"))</f>
        <v/>
      </c>
      <c r="N246" t="str">
        <f t="shared" si="11"/>
        <v/>
      </c>
    </row>
    <row r="247" spans="2:14" x14ac:dyDescent="0.3">
      <c r="B247" s="30"/>
      <c r="G247" s="29" t="str">
        <f>IF(A247="","",IFERROR(INDEX(Criterios!$B$4:$C$83,MATCH(D247,Criterios!$A$4:$A$83,0),IF(E247="Dentro horario",1,2)),""))</f>
        <v/>
      </c>
      <c r="H247" s="29"/>
      <c r="I247" s="29" t="str">
        <f t="shared" si="9"/>
        <v/>
      </c>
      <c r="J247" t="str">
        <f>IF(A247="","",COUNTIF(Detalle_Pagos!$A$5:$A$2004,A247))</f>
        <v/>
      </c>
      <c r="K247" s="29" t="str">
        <f t="shared" si="10"/>
        <v/>
      </c>
      <c r="L247" s="29" t="str">
        <f>IF(A247="","",SUMIF(Detalle_Pagos!$A$5:$A$2004,A247,Detalle_Pagos!$I$5:$I$2004))</f>
        <v/>
      </c>
      <c r="M247" s="29" t="str">
        <f>IF(A247="","",SUMIFS(Detalle_Pagos!$I$5:$I$2004,Detalle_Pagos!$A$5:$A$2004,A247,Detalle_Pagos!$J$5:$J$2004,"No"))</f>
        <v/>
      </c>
      <c r="N247" t="str">
        <f t="shared" si="11"/>
        <v/>
      </c>
    </row>
    <row r="248" spans="2:14" x14ac:dyDescent="0.3">
      <c r="B248" s="30"/>
      <c r="G248" s="29" t="str">
        <f>IF(A248="","",IFERROR(INDEX(Criterios!$B$4:$C$83,MATCH(D248,Criterios!$A$4:$A$83,0),IF(E248="Dentro horario",1,2)),""))</f>
        <v/>
      </c>
      <c r="H248" s="29"/>
      <c r="I248" s="29" t="str">
        <f t="shared" si="9"/>
        <v/>
      </c>
      <c r="J248" t="str">
        <f>IF(A248="","",COUNTIF(Detalle_Pagos!$A$5:$A$2004,A248))</f>
        <v/>
      </c>
      <c r="K248" s="29" t="str">
        <f t="shared" si="10"/>
        <v/>
      </c>
      <c r="L248" s="29" t="str">
        <f>IF(A248="","",SUMIF(Detalle_Pagos!$A$5:$A$2004,A248,Detalle_Pagos!$I$5:$I$2004))</f>
        <v/>
      </c>
      <c r="M248" s="29" t="str">
        <f>IF(A248="","",SUMIFS(Detalle_Pagos!$I$5:$I$2004,Detalle_Pagos!$A$5:$A$2004,A248,Detalle_Pagos!$J$5:$J$2004,"No"))</f>
        <v/>
      </c>
      <c r="N248" t="str">
        <f t="shared" si="11"/>
        <v/>
      </c>
    </row>
    <row r="249" spans="2:14" x14ac:dyDescent="0.3">
      <c r="B249" s="30"/>
      <c r="G249" s="29" t="str">
        <f>IF(A249="","",IFERROR(INDEX(Criterios!$B$4:$C$83,MATCH(D249,Criterios!$A$4:$A$83,0),IF(E249="Dentro horario",1,2)),""))</f>
        <v/>
      </c>
      <c r="H249" s="29"/>
      <c r="I249" s="29" t="str">
        <f t="shared" si="9"/>
        <v/>
      </c>
      <c r="J249" t="str">
        <f>IF(A249="","",COUNTIF(Detalle_Pagos!$A$5:$A$2004,A249))</f>
        <v/>
      </c>
      <c r="K249" s="29" t="str">
        <f t="shared" si="10"/>
        <v/>
      </c>
      <c r="L249" s="29" t="str">
        <f>IF(A249="","",SUMIF(Detalle_Pagos!$A$5:$A$2004,A249,Detalle_Pagos!$I$5:$I$2004))</f>
        <v/>
      </c>
      <c r="M249" s="29" t="str">
        <f>IF(A249="","",SUMIFS(Detalle_Pagos!$I$5:$I$2004,Detalle_Pagos!$A$5:$A$2004,A249,Detalle_Pagos!$J$5:$J$2004,"No"))</f>
        <v/>
      </c>
      <c r="N249" t="str">
        <f t="shared" si="11"/>
        <v/>
      </c>
    </row>
    <row r="250" spans="2:14" x14ac:dyDescent="0.3">
      <c r="B250" s="30"/>
      <c r="G250" s="29" t="str">
        <f>IF(A250="","",IFERROR(INDEX(Criterios!$B$4:$C$83,MATCH(D250,Criterios!$A$4:$A$83,0),IF(E250="Dentro horario",1,2)),""))</f>
        <v/>
      </c>
      <c r="H250" s="29"/>
      <c r="I250" s="29" t="str">
        <f t="shared" si="9"/>
        <v/>
      </c>
      <c r="J250" t="str">
        <f>IF(A250="","",COUNTIF(Detalle_Pagos!$A$5:$A$2004,A250))</f>
        <v/>
      </c>
      <c r="K250" s="29" t="str">
        <f t="shared" si="10"/>
        <v/>
      </c>
      <c r="L250" s="29" t="str">
        <f>IF(A250="","",SUMIF(Detalle_Pagos!$A$5:$A$2004,A250,Detalle_Pagos!$I$5:$I$2004))</f>
        <v/>
      </c>
      <c r="M250" s="29" t="str">
        <f>IF(A250="","",SUMIFS(Detalle_Pagos!$I$5:$I$2004,Detalle_Pagos!$A$5:$A$2004,A250,Detalle_Pagos!$J$5:$J$2004,"No"))</f>
        <v/>
      </c>
      <c r="N250" t="str">
        <f t="shared" si="11"/>
        <v/>
      </c>
    </row>
    <row r="251" spans="2:14" x14ac:dyDescent="0.3">
      <c r="B251" s="30"/>
      <c r="G251" s="29" t="str">
        <f>IF(A251="","",IFERROR(INDEX(Criterios!$B$4:$C$83,MATCH(D251,Criterios!$A$4:$A$83,0),IF(E251="Dentro horario",1,2)),""))</f>
        <v/>
      </c>
      <c r="H251" s="29"/>
      <c r="I251" s="29" t="str">
        <f t="shared" si="9"/>
        <v/>
      </c>
      <c r="J251" t="str">
        <f>IF(A251="","",COUNTIF(Detalle_Pagos!$A$5:$A$2004,A251))</f>
        <v/>
      </c>
      <c r="K251" s="29" t="str">
        <f t="shared" si="10"/>
        <v/>
      </c>
      <c r="L251" s="29" t="str">
        <f>IF(A251="","",SUMIF(Detalle_Pagos!$A$5:$A$2004,A251,Detalle_Pagos!$I$5:$I$2004))</f>
        <v/>
      </c>
      <c r="M251" s="29" t="str">
        <f>IF(A251="","",SUMIFS(Detalle_Pagos!$I$5:$I$2004,Detalle_Pagos!$A$5:$A$2004,A251,Detalle_Pagos!$J$5:$J$2004,"No"))</f>
        <v/>
      </c>
      <c r="N251" t="str">
        <f t="shared" si="11"/>
        <v/>
      </c>
    </row>
    <row r="252" spans="2:14" x14ac:dyDescent="0.3">
      <c r="B252" s="30"/>
      <c r="G252" s="29" t="str">
        <f>IF(A252="","",IFERROR(INDEX(Criterios!$B$4:$C$83,MATCH(D252,Criterios!$A$4:$A$83,0),IF(E252="Dentro horario",1,2)),""))</f>
        <v/>
      </c>
      <c r="H252" s="29"/>
      <c r="I252" s="29" t="str">
        <f t="shared" si="9"/>
        <v/>
      </c>
      <c r="J252" t="str">
        <f>IF(A252="","",COUNTIF(Detalle_Pagos!$A$5:$A$2004,A252))</f>
        <v/>
      </c>
      <c r="K252" s="29" t="str">
        <f t="shared" si="10"/>
        <v/>
      </c>
      <c r="L252" s="29" t="str">
        <f>IF(A252="","",SUMIF(Detalle_Pagos!$A$5:$A$2004,A252,Detalle_Pagos!$I$5:$I$2004))</f>
        <v/>
      </c>
      <c r="M252" s="29" t="str">
        <f>IF(A252="","",SUMIFS(Detalle_Pagos!$I$5:$I$2004,Detalle_Pagos!$A$5:$A$2004,A252,Detalle_Pagos!$J$5:$J$2004,"No"))</f>
        <v/>
      </c>
      <c r="N252" t="str">
        <f t="shared" si="11"/>
        <v/>
      </c>
    </row>
    <row r="253" spans="2:14" x14ac:dyDescent="0.3">
      <c r="B253" s="30"/>
      <c r="G253" s="29" t="str">
        <f>IF(A253="","",IFERROR(INDEX(Criterios!$B$4:$C$83,MATCH(D253,Criterios!$A$4:$A$83,0),IF(E253="Dentro horario",1,2)),""))</f>
        <v/>
      </c>
      <c r="H253" s="29"/>
      <c r="I253" s="29" t="str">
        <f t="shared" si="9"/>
        <v/>
      </c>
      <c r="J253" t="str">
        <f>IF(A253="","",COUNTIF(Detalle_Pagos!$A$5:$A$2004,A253))</f>
        <v/>
      </c>
      <c r="K253" s="29" t="str">
        <f t="shared" si="10"/>
        <v/>
      </c>
      <c r="L253" s="29" t="str">
        <f>IF(A253="","",SUMIF(Detalle_Pagos!$A$5:$A$2004,A253,Detalle_Pagos!$I$5:$I$2004))</f>
        <v/>
      </c>
      <c r="M253" s="29" t="str">
        <f>IF(A253="","",SUMIFS(Detalle_Pagos!$I$5:$I$2004,Detalle_Pagos!$A$5:$A$2004,A253,Detalle_Pagos!$J$5:$J$2004,"No"))</f>
        <v/>
      </c>
      <c r="N253" t="str">
        <f t="shared" si="11"/>
        <v/>
      </c>
    </row>
    <row r="254" spans="2:14" x14ac:dyDescent="0.3">
      <c r="B254" s="30"/>
      <c r="G254" s="29" t="str">
        <f>IF(A254="","",IFERROR(INDEX(Criterios!$B$4:$C$83,MATCH(D254,Criterios!$A$4:$A$83,0),IF(E254="Dentro horario",1,2)),""))</f>
        <v/>
      </c>
      <c r="H254" s="29"/>
      <c r="I254" s="29" t="str">
        <f t="shared" si="9"/>
        <v/>
      </c>
      <c r="J254" t="str">
        <f>IF(A254="","",COUNTIF(Detalle_Pagos!$A$5:$A$2004,A254))</f>
        <v/>
      </c>
      <c r="K254" s="29" t="str">
        <f t="shared" si="10"/>
        <v/>
      </c>
      <c r="L254" s="29" t="str">
        <f>IF(A254="","",SUMIF(Detalle_Pagos!$A$5:$A$2004,A254,Detalle_Pagos!$I$5:$I$2004))</f>
        <v/>
      </c>
      <c r="M254" s="29" t="str">
        <f>IF(A254="","",SUMIFS(Detalle_Pagos!$I$5:$I$2004,Detalle_Pagos!$A$5:$A$2004,A254,Detalle_Pagos!$J$5:$J$2004,"No"))</f>
        <v/>
      </c>
      <c r="N254" t="str">
        <f t="shared" si="11"/>
        <v/>
      </c>
    </row>
    <row r="255" spans="2:14" x14ac:dyDescent="0.3">
      <c r="B255" s="30"/>
      <c r="G255" s="29" t="str">
        <f>IF(A255="","",IFERROR(INDEX(Criterios!$B$4:$C$83,MATCH(D255,Criterios!$A$4:$A$83,0),IF(E255="Dentro horario",1,2)),""))</f>
        <v/>
      </c>
      <c r="H255" s="29"/>
      <c r="I255" s="29" t="str">
        <f t="shared" si="9"/>
        <v/>
      </c>
      <c r="J255" t="str">
        <f>IF(A255="","",COUNTIF(Detalle_Pagos!$A$5:$A$2004,A255))</f>
        <v/>
      </c>
      <c r="K255" s="29" t="str">
        <f t="shared" si="10"/>
        <v/>
      </c>
      <c r="L255" s="29" t="str">
        <f>IF(A255="","",SUMIF(Detalle_Pagos!$A$5:$A$2004,A255,Detalle_Pagos!$I$5:$I$2004))</f>
        <v/>
      </c>
      <c r="M255" s="29" t="str">
        <f>IF(A255="","",SUMIFS(Detalle_Pagos!$I$5:$I$2004,Detalle_Pagos!$A$5:$A$2004,A255,Detalle_Pagos!$J$5:$J$2004,"No"))</f>
        <v/>
      </c>
      <c r="N255" t="str">
        <f t="shared" si="11"/>
        <v/>
      </c>
    </row>
    <row r="256" spans="2:14" x14ac:dyDescent="0.3">
      <c r="B256" s="30"/>
      <c r="G256" s="29" t="str">
        <f>IF(A256="","",IFERROR(INDEX(Criterios!$B$4:$C$83,MATCH(D256,Criterios!$A$4:$A$83,0),IF(E256="Dentro horario",1,2)),""))</f>
        <v/>
      </c>
      <c r="H256" s="29"/>
      <c r="I256" s="29" t="str">
        <f t="shared" si="9"/>
        <v/>
      </c>
      <c r="J256" t="str">
        <f>IF(A256="","",COUNTIF(Detalle_Pagos!$A$5:$A$2004,A256))</f>
        <v/>
      </c>
      <c r="K256" s="29" t="str">
        <f t="shared" si="10"/>
        <v/>
      </c>
      <c r="L256" s="29" t="str">
        <f>IF(A256="","",SUMIF(Detalle_Pagos!$A$5:$A$2004,A256,Detalle_Pagos!$I$5:$I$2004))</f>
        <v/>
      </c>
      <c r="M256" s="29" t="str">
        <f>IF(A256="","",SUMIFS(Detalle_Pagos!$I$5:$I$2004,Detalle_Pagos!$A$5:$A$2004,A256,Detalle_Pagos!$J$5:$J$2004,"No"))</f>
        <v/>
      </c>
      <c r="N256" t="str">
        <f t="shared" si="11"/>
        <v/>
      </c>
    </row>
    <row r="257" spans="2:14" x14ac:dyDescent="0.3">
      <c r="B257" s="30"/>
      <c r="G257" s="29" t="str">
        <f>IF(A257="","",IFERROR(INDEX(Criterios!$B$4:$C$83,MATCH(D257,Criterios!$A$4:$A$83,0),IF(E257="Dentro horario",1,2)),""))</f>
        <v/>
      </c>
      <c r="H257" s="29"/>
      <c r="I257" s="29" t="str">
        <f t="shared" si="9"/>
        <v/>
      </c>
      <c r="J257" t="str">
        <f>IF(A257="","",COUNTIF(Detalle_Pagos!$A$5:$A$2004,A257))</f>
        <v/>
      </c>
      <c r="K257" s="29" t="str">
        <f t="shared" si="10"/>
        <v/>
      </c>
      <c r="L257" s="29" t="str">
        <f>IF(A257="","",SUMIF(Detalle_Pagos!$A$5:$A$2004,A257,Detalle_Pagos!$I$5:$I$2004))</f>
        <v/>
      </c>
      <c r="M257" s="29" t="str">
        <f>IF(A257="","",SUMIFS(Detalle_Pagos!$I$5:$I$2004,Detalle_Pagos!$A$5:$A$2004,A257,Detalle_Pagos!$J$5:$J$2004,"No"))</f>
        <v/>
      </c>
      <c r="N257" t="str">
        <f t="shared" si="11"/>
        <v/>
      </c>
    </row>
    <row r="258" spans="2:14" x14ac:dyDescent="0.3">
      <c r="B258" s="30"/>
      <c r="G258" s="29" t="str">
        <f>IF(A258="","",IFERROR(INDEX(Criterios!$B$4:$C$83,MATCH(D258,Criterios!$A$4:$A$83,0),IF(E258="Dentro horario",1,2)),""))</f>
        <v/>
      </c>
      <c r="H258" s="29"/>
      <c r="I258" s="29" t="str">
        <f t="shared" si="9"/>
        <v/>
      </c>
      <c r="J258" t="str">
        <f>IF(A258="","",COUNTIF(Detalle_Pagos!$A$5:$A$2004,A258))</f>
        <v/>
      </c>
      <c r="K258" s="29" t="str">
        <f t="shared" si="10"/>
        <v/>
      </c>
      <c r="L258" s="29" t="str">
        <f>IF(A258="","",SUMIF(Detalle_Pagos!$A$5:$A$2004,A258,Detalle_Pagos!$I$5:$I$2004))</f>
        <v/>
      </c>
      <c r="M258" s="29" t="str">
        <f>IF(A258="","",SUMIFS(Detalle_Pagos!$I$5:$I$2004,Detalle_Pagos!$A$5:$A$2004,A258,Detalle_Pagos!$J$5:$J$2004,"No"))</f>
        <v/>
      </c>
      <c r="N258" t="str">
        <f t="shared" si="11"/>
        <v/>
      </c>
    </row>
    <row r="259" spans="2:14" x14ac:dyDescent="0.3">
      <c r="B259" s="30"/>
      <c r="G259" s="29" t="str">
        <f>IF(A259="","",IFERROR(INDEX(Criterios!$B$4:$C$83,MATCH(D259,Criterios!$A$4:$A$83,0),IF(E259="Dentro horario",1,2)),""))</f>
        <v/>
      </c>
      <c r="H259" s="29"/>
      <c r="I259" s="29" t="str">
        <f t="shared" si="9"/>
        <v/>
      </c>
      <c r="J259" t="str">
        <f>IF(A259="","",COUNTIF(Detalle_Pagos!$A$5:$A$2004,A259))</f>
        <v/>
      </c>
      <c r="K259" s="29" t="str">
        <f t="shared" si="10"/>
        <v/>
      </c>
      <c r="L259" s="29" t="str">
        <f>IF(A259="","",SUMIF(Detalle_Pagos!$A$5:$A$2004,A259,Detalle_Pagos!$I$5:$I$2004))</f>
        <v/>
      </c>
      <c r="M259" s="29" t="str">
        <f>IF(A259="","",SUMIFS(Detalle_Pagos!$I$5:$I$2004,Detalle_Pagos!$A$5:$A$2004,A259,Detalle_Pagos!$J$5:$J$2004,"No"))</f>
        <v/>
      </c>
      <c r="N259" t="str">
        <f t="shared" si="11"/>
        <v/>
      </c>
    </row>
    <row r="260" spans="2:14" x14ac:dyDescent="0.3">
      <c r="B260" s="30"/>
      <c r="G260" s="29" t="str">
        <f>IF(A260="","",IFERROR(INDEX(Criterios!$B$4:$C$83,MATCH(D260,Criterios!$A$4:$A$83,0),IF(E260="Dentro horario",1,2)),""))</f>
        <v/>
      </c>
      <c r="H260" s="29"/>
      <c r="I260" s="29" t="str">
        <f t="shared" si="9"/>
        <v/>
      </c>
      <c r="J260" t="str">
        <f>IF(A260="","",COUNTIF(Detalle_Pagos!$A$5:$A$2004,A260))</f>
        <v/>
      </c>
      <c r="K260" s="29" t="str">
        <f t="shared" si="10"/>
        <v/>
      </c>
      <c r="L260" s="29" t="str">
        <f>IF(A260="","",SUMIF(Detalle_Pagos!$A$5:$A$2004,A260,Detalle_Pagos!$I$5:$I$2004))</f>
        <v/>
      </c>
      <c r="M260" s="29" t="str">
        <f>IF(A260="","",SUMIFS(Detalle_Pagos!$I$5:$I$2004,Detalle_Pagos!$A$5:$A$2004,A260,Detalle_Pagos!$J$5:$J$2004,"No"))</f>
        <v/>
      </c>
      <c r="N260" t="str">
        <f t="shared" si="11"/>
        <v/>
      </c>
    </row>
    <row r="261" spans="2:14" x14ac:dyDescent="0.3">
      <c r="B261" s="30"/>
      <c r="G261" s="29" t="str">
        <f>IF(A261="","",IFERROR(INDEX(Criterios!$B$4:$C$83,MATCH(D261,Criterios!$A$4:$A$83,0),IF(E261="Dentro horario",1,2)),""))</f>
        <v/>
      </c>
      <c r="H261" s="29"/>
      <c r="I261" s="29" t="str">
        <f t="shared" ref="I261:I324" si="12">IF(A261="","",IF(OR(F261="",G261=""),"",F261*G261+N(H261)))</f>
        <v/>
      </c>
      <c r="J261" t="str">
        <f>IF(A261="","",COUNTIF(Detalle_Pagos!$A$5:$A$2004,A261))</f>
        <v/>
      </c>
      <c r="K261" s="29" t="str">
        <f t="shared" ref="K261:K324" si="13">IF(A261="","",IF(OR(J261=0,I261=""),"",I261/J261))</f>
        <v/>
      </c>
      <c r="L261" s="29" t="str">
        <f>IF(A261="","",SUMIF(Detalle_Pagos!$A$5:$A$2004,A261,Detalle_Pagos!$I$5:$I$2004))</f>
        <v/>
      </c>
      <c r="M261" s="29" t="str">
        <f>IF(A261="","",SUMIFS(Detalle_Pagos!$I$5:$I$2004,Detalle_Pagos!$A$5:$A$2004,A261,Detalle_Pagos!$J$5:$J$2004,"No"))</f>
        <v/>
      </c>
      <c r="N261" t="str">
        <f t="shared" ref="N261:N324" si="14">IF(A261="","",IF(J261=0,"Sin detalle",IF(M261=0,"Pagada","Pendiente")))</f>
        <v/>
      </c>
    </row>
    <row r="262" spans="2:14" x14ac:dyDescent="0.3">
      <c r="B262" s="30"/>
      <c r="G262" s="29" t="str">
        <f>IF(A262="","",IFERROR(INDEX(Criterios!$B$4:$C$83,MATCH(D262,Criterios!$A$4:$A$83,0),IF(E262="Dentro horario",1,2)),""))</f>
        <v/>
      </c>
      <c r="H262" s="29"/>
      <c r="I262" s="29" t="str">
        <f t="shared" si="12"/>
        <v/>
      </c>
      <c r="J262" t="str">
        <f>IF(A262="","",COUNTIF(Detalle_Pagos!$A$5:$A$2004,A262))</f>
        <v/>
      </c>
      <c r="K262" s="29" t="str">
        <f t="shared" si="13"/>
        <v/>
      </c>
      <c r="L262" s="29" t="str">
        <f>IF(A262="","",SUMIF(Detalle_Pagos!$A$5:$A$2004,A262,Detalle_Pagos!$I$5:$I$2004))</f>
        <v/>
      </c>
      <c r="M262" s="29" t="str">
        <f>IF(A262="","",SUMIFS(Detalle_Pagos!$I$5:$I$2004,Detalle_Pagos!$A$5:$A$2004,A262,Detalle_Pagos!$J$5:$J$2004,"No"))</f>
        <v/>
      </c>
      <c r="N262" t="str">
        <f t="shared" si="14"/>
        <v/>
      </c>
    </row>
    <row r="263" spans="2:14" x14ac:dyDescent="0.3">
      <c r="B263" s="30"/>
      <c r="G263" s="29" t="str">
        <f>IF(A263="","",IFERROR(INDEX(Criterios!$B$4:$C$83,MATCH(D263,Criterios!$A$4:$A$83,0),IF(E263="Dentro horario",1,2)),""))</f>
        <v/>
      </c>
      <c r="H263" s="29"/>
      <c r="I263" s="29" t="str">
        <f t="shared" si="12"/>
        <v/>
      </c>
      <c r="J263" t="str">
        <f>IF(A263="","",COUNTIF(Detalle_Pagos!$A$5:$A$2004,A263))</f>
        <v/>
      </c>
      <c r="K263" s="29" t="str">
        <f t="shared" si="13"/>
        <v/>
      </c>
      <c r="L263" s="29" t="str">
        <f>IF(A263="","",SUMIF(Detalle_Pagos!$A$5:$A$2004,A263,Detalle_Pagos!$I$5:$I$2004))</f>
        <v/>
      </c>
      <c r="M263" s="29" t="str">
        <f>IF(A263="","",SUMIFS(Detalle_Pagos!$I$5:$I$2004,Detalle_Pagos!$A$5:$A$2004,A263,Detalle_Pagos!$J$5:$J$2004,"No"))</f>
        <v/>
      </c>
      <c r="N263" t="str">
        <f t="shared" si="14"/>
        <v/>
      </c>
    </row>
    <row r="264" spans="2:14" x14ac:dyDescent="0.3">
      <c r="B264" s="30"/>
      <c r="G264" s="29" t="str">
        <f>IF(A264="","",IFERROR(INDEX(Criterios!$B$4:$C$83,MATCH(D264,Criterios!$A$4:$A$83,0),IF(E264="Dentro horario",1,2)),""))</f>
        <v/>
      </c>
      <c r="H264" s="29"/>
      <c r="I264" s="29" t="str">
        <f t="shared" si="12"/>
        <v/>
      </c>
      <c r="J264" t="str">
        <f>IF(A264="","",COUNTIF(Detalle_Pagos!$A$5:$A$2004,A264))</f>
        <v/>
      </c>
      <c r="K264" s="29" t="str">
        <f t="shared" si="13"/>
        <v/>
      </c>
      <c r="L264" s="29" t="str">
        <f>IF(A264="","",SUMIF(Detalle_Pagos!$A$5:$A$2004,A264,Detalle_Pagos!$I$5:$I$2004))</f>
        <v/>
      </c>
      <c r="M264" s="29" t="str">
        <f>IF(A264="","",SUMIFS(Detalle_Pagos!$I$5:$I$2004,Detalle_Pagos!$A$5:$A$2004,A264,Detalle_Pagos!$J$5:$J$2004,"No"))</f>
        <v/>
      </c>
      <c r="N264" t="str">
        <f t="shared" si="14"/>
        <v/>
      </c>
    </row>
    <row r="265" spans="2:14" x14ac:dyDescent="0.3">
      <c r="B265" s="30"/>
      <c r="G265" s="29" t="str">
        <f>IF(A265="","",IFERROR(INDEX(Criterios!$B$4:$C$83,MATCH(D265,Criterios!$A$4:$A$83,0),IF(E265="Dentro horario",1,2)),""))</f>
        <v/>
      </c>
      <c r="H265" s="29"/>
      <c r="I265" s="29" t="str">
        <f t="shared" si="12"/>
        <v/>
      </c>
      <c r="J265" t="str">
        <f>IF(A265="","",COUNTIF(Detalle_Pagos!$A$5:$A$2004,A265))</f>
        <v/>
      </c>
      <c r="K265" s="29" t="str">
        <f t="shared" si="13"/>
        <v/>
      </c>
      <c r="L265" s="29" t="str">
        <f>IF(A265="","",SUMIF(Detalle_Pagos!$A$5:$A$2004,A265,Detalle_Pagos!$I$5:$I$2004))</f>
        <v/>
      </c>
      <c r="M265" s="29" t="str">
        <f>IF(A265="","",SUMIFS(Detalle_Pagos!$I$5:$I$2004,Detalle_Pagos!$A$5:$A$2004,A265,Detalle_Pagos!$J$5:$J$2004,"No"))</f>
        <v/>
      </c>
      <c r="N265" t="str">
        <f t="shared" si="14"/>
        <v/>
      </c>
    </row>
    <row r="266" spans="2:14" x14ac:dyDescent="0.3">
      <c r="B266" s="30"/>
      <c r="G266" s="29" t="str">
        <f>IF(A266="","",IFERROR(INDEX(Criterios!$B$4:$C$83,MATCH(D266,Criterios!$A$4:$A$83,0),IF(E266="Dentro horario",1,2)),""))</f>
        <v/>
      </c>
      <c r="H266" s="29"/>
      <c r="I266" s="29" t="str">
        <f t="shared" si="12"/>
        <v/>
      </c>
      <c r="J266" t="str">
        <f>IF(A266="","",COUNTIF(Detalle_Pagos!$A$5:$A$2004,A266))</f>
        <v/>
      </c>
      <c r="K266" s="29" t="str">
        <f t="shared" si="13"/>
        <v/>
      </c>
      <c r="L266" s="29" t="str">
        <f>IF(A266="","",SUMIF(Detalle_Pagos!$A$5:$A$2004,A266,Detalle_Pagos!$I$5:$I$2004))</f>
        <v/>
      </c>
      <c r="M266" s="29" t="str">
        <f>IF(A266="","",SUMIFS(Detalle_Pagos!$I$5:$I$2004,Detalle_Pagos!$A$5:$A$2004,A266,Detalle_Pagos!$J$5:$J$2004,"No"))</f>
        <v/>
      </c>
      <c r="N266" t="str">
        <f t="shared" si="14"/>
        <v/>
      </c>
    </row>
    <row r="267" spans="2:14" x14ac:dyDescent="0.3">
      <c r="B267" s="30"/>
      <c r="G267" s="29" t="str">
        <f>IF(A267="","",IFERROR(INDEX(Criterios!$B$4:$C$83,MATCH(D267,Criterios!$A$4:$A$83,0),IF(E267="Dentro horario",1,2)),""))</f>
        <v/>
      </c>
      <c r="H267" s="29"/>
      <c r="I267" s="29" t="str">
        <f t="shared" si="12"/>
        <v/>
      </c>
      <c r="J267" t="str">
        <f>IF(A267="","",COUNTIF(Detalle_Pagos!$A$5:$A$2004,A267))</f>
        <v/>
      </c>
      <c r="K267" s="29" t="str">
        <f t="shared" si="13"/>
        <v/>
      </c>
      <c r="L267" s="29" t="str">
        <f>IF(A267="","",SUMIF(Detalle_Pagos!$A$5:$A$2004,A267,Detalle_Pagos!$I$5:$I$2004))</f>
        <v/>
      </c>
      <c r="M267" s="29" t="str">
        <f>IF(A267="","",SUMIFS(Detalle_Pagos!$I$5:$I$2004,Detalle_Pagos!$A$5:$A$2004,A267,Detalle_Pagos!$J$5:$J$2004,"No"))</f>
        <v/>
      </c>
      <c r="N267" t="str">
        <f t="shared" si="14"/>
        <v/>
      </c>
    </row>
    <row r="268" spans="2:14" x14ac:dyDescent="0.3">
      <c r="B268" s="30"/>
      <c r="G268" s="29" t="str">
        <f>IF(A268="","",IFERROR(INDEX(Criterios!$B$4:$C$83,MATCH(D268,Criterios!$A$4:$A$83,0),IF(E268="Dentro horario",1,2)),""))</f>
        <v/>
      </c>
      <c r="H268" s="29"/>
      <c r="I268" s="29" t="str">
        <f t="shared" si="12"/>
        <v/>
      </c>
      <c r="J268" t="str">
        <f>IF(A268="","",COUNTIF(Detalle_Pagos!$A$5:$A$2004,A268))</f>
        <v/>
      </c>
      <c r="K268" s="29" t="str">
        <f t="shared" si="13"/>
        <v/>
      </c>
      <c r="L268" s="29" t="str">
        <f>IF(A268="","",SUMIF(Detalle_Pagos!$A$5:$A$2004,A268,Detalle_Pagos!$I$5:$I$2004))</f>
        <v/>
      </c>
      <c r="M268" s="29" t="str">
        <f>IF(A268="","",SUMIFS(Detalle_Pagos!$I$5:$I$2004,Detalle_Pagos!$A$5:$A$2004,A268,Detalle_Pagos!$J$5:$J$2004,"No"))</f>
        <v/>
      </c>
      <c r="N268" t="str">
        <f t="shared" si="14"/>
        <v/>
      </c>
    </row>
    <row r="269" spans="2:14" x14ac:dyDescent="0.3">
      <c r="B269" s="30"/>
      <c r="G269" s="29" t="str">
        <f>IF(A269="","",IFERROR(INDEX(Criterios!$B$4:$C$83,MATCH(D269,Criterios!$A$4:$A$83,0),IF(E269="Dentro horario",1,2)),""))</f>
        <v/>
      </c>
      <c r="H269" s="29"/>
      <c r="I269" s="29" t="str">
        <f t="shared" si="12"/>
        <v/>
      </c>
      <c r="J269" t="str">
        <f>IF(A269="","",COUNTIF(Detalle_Pagos!$A$5:$A$2004,A269))</f>
        <v/>
      </c>
      <c r="K269" s="29" t="str">
        <f t="shared" si="13"/>
        <v/>
      </c>
      <c r="L269" s="29" t="str">
        <f>IF(A269="","",SUMIF(Detalle_Pagos!$A$5:$A$2004,A269,Detalle_Pagos!$I$5:$I$2004))</f>
        <v/>
      </c>
      <c r="M269" s="29" t="str">
        <f>IF(A269="","",SUMIFS(Detalle_Pagos!$I$5:$I$2004,Detalle_Pagos!$A$5:$A$2004,A269,Detalle_Pagos!$J$5:$J$2004,"No"))</f>
        <v/>
      </c>
      <c r="N269" t="str">
        <f t="shared" si="14"/>
        <v/>
      </c>
    </row>
    <row r="270" spans="2:14" x14ac:dyDescent="0.3">
      <c r="B270" s="30"/>
      <c r="G270" s="29" t="str">
        <f>IF(A270="","",IFERROR(INDEX(Criterios!$B$4:$C$83,MATCH(D270,Criterios!$A$4:$A$83,0),IF(E270="Dentro horario",1,2)),""))</f>
        <v/>
      </c>
      <c r="H270" s="29"/>
      <c r="I270" s="29" t="str">
        <f t="shared" si="12"/>
        <v/>
      </c>
      <c r="J270" t="str">
        <f>IF(A270="","",COUNTIF(Detalle_Pagos!$A$5:$A$2004,A270))</f>
        <v/>
      </c>
      <c r="K270" s="29" t="str">
        <f t="shared" si="13"/>
        <v/>
      </c>
      <c r="L270" s="29" t="str">
        <f>IF(A270="","",SUMIF(Detalle_Pagos!$A$5:$A$2004,A270,Detalle_Pagos!$I$5:$I$2004))</f>
        <v/>
      </c>
      <c r="M270" s="29" t="str">
        <f>IF(A270="","",SUMIFS(Detalle_Pagos!$I$5:$I$2004,Detalle_Pagos!$A$5:$A$2004,A270,Detalle_Pagos!$J$5:$J$2004,"No"))</f>
        <v/>
      </c>
      <c r="N270" t="str">
        <f t="shared" si="14"/>
        <v/>
      </c>
    </row>
    <row r="271" spans="2:14" x14ac:dyDescent="0.3">
      <c r="B271" s="30"/>
      <c r="G271" s="29" t="str">
        <f>IF(A271="","",IFERROR(INDEX(Criterios!$B$4:$C$83,MATCH(D271,Criterios!$A$4:$A$83,0),IF(E271="Dentro horario",1,2)),""))</f>
        <v/>
      </c>
      <c r="H271" s="29"/>
      <c r="I271" s="29" t="str">
        <f t="shared" si="12"/>
        <v/>
      </c>
      <c r="J271" t="str">
        <f>IF(A271="","",COUNTIF(Detalle_Pagos!$A$5:$A$2004,A271))</f>
        <v/>
      </c>
      <c r="K271" s="29" t="str">
        <f t="shared" si="13"/>
        <v/>
      </c>
      <c r="L271" s="29" t="str">
        <f>IF(A271="","",SUMIF(Detalle_Pagos!$A$5:$A$2004,A271,Detalle_Pagos!$I$5:$I$2004))</f>
        <v/>
      </c>
      <c r="M271" s="29" t="str">
        <f>IF(A271="","",SUMIFS(Detalle_Pagos!$I$5:$I$2004,Detalle_Pagos!$A$5:$A$2004,A271,Detalle_Pagos!$J$5:$J$2004,"No"))</f>
        <v/>
      </c>
      <c r="N271" t="str">
        <f t="shared" si="14"/>
        <v/>
      </c>
    </row>
    <row r="272" spans="2:14" x14ac:dyDescent="0.3">
      <c r="B272" s="30"/>
      <c r="G272" s="29" t="str">
        <f>IF(A272="","",IFERROR(INDEX(Criterios!$B$4:$C$83,MATCH(D272,Criterios!$A$4:$A$83,0),IF(E272="Dentro horario",1,2)),""))</f>
        <v/>
      </c>
      <c r="H272" s="29"/>
      <c r="I272" s="29" t="str">
        <f t="shared" si="12"/>
        <v/>
      </c>
      <c r="J272" t="str">
        <f>IF(A272="","",COUNTIF(Detalle_Pagos!$A$5:$A$2004,A272))</f>
        <v/>
      </c>
      <c r="K272" s="29" t="str">
        <f t="shared" si="13"/>
        <v/>
      </c>
      <c r="L272" s="29" t="str">
        <f>IF(A272="","",SUMIF(Detalle_Pagos!$A$5:$A$2004,A272,Detalle_Pagos!$I$5:$I$2004))</f>
        <v/>
      </c>
      <c r="M272" s="29" t="str">
        <f>IF(A272="","",SUMIFS(Detalle_Pagos!$I$5:$I$2004,Detalle_Pagos!$A$5:$A$2004,A272,Detalle_Pagos!$J$5:$J$2004,"No"))</f>
        <v/>
      </c>
      <c r="N272" t="str">
        <f t="shared" si="14"/>
        <v/>
      </c>
    </row>
    <row r="273" spans="2:14" x14ac:dyDescent="0.3">
      <c r="B273" s="30"/>
      <c r="G273" s="29" t="str">
        <f>IF(A273="","",IFERROR(INDEX(Criterios!$B$4:$C$83,MATCH(D273,Criterios!$A$4:$A$83,0),IF(E273="Dentro horario",1,2)),""))</f>
        <v/>
      </c>
      <c r="H273" s="29"/>
      <c r="I273" s="29" t="str">
        <f t="shared" si="12"/>
        <v/>
      </c>
      <c r="J273" t="str">
        <f>IF(A273="","",COUNTIF(Detalle_Pagos!$A$5:$A$2004,A273))</f>
        <v/>
      </c>
      <c r="K273" s="29" t="str">
        <f t="shared" si="13"/>
        <v/>
      </c>
      <c r="L273" s="29" t="str">
        <f>IF(A273="","",SUMIF(Detalle_Pagos!$A$5:$A$2004,A273,Detalle_Pagos!$I$5:$I$2004))</f>
        <v/>
      </c>
      <c r="M273" s="29" t="str">
        <f>IF(A273="","",SUMIFS(Detalle_Pagos!$I$5:$I$2004,Detalle_Pagos!$A$5:$A$2004,A273,Detalle_Pagos!$J$5:$J$2004,"No"))</f>
        <v/>
      </c>
      <c r="N273" t="str">
        <f t="shared" si="14"/>
        <v/>
      </c>
    </row>
    <row r="274" spans="2:14" x14ac:dyDescent="0.3">
      <c r="B274" s="30"/>
      <c r="G274" s="29" t="str">
        <f>IF(A274="","",IFERROR(INDEX(Criterios!$B$4:$C$83,MATCH(D274,Criterios!$A$4:$A$83,0),IF(E274="Dentro horario",1,2)),""))</f>
        <v/>
      </c>
      <c r="H274" s="29"/>
      <c r="I274" s="29" t="str">
        <f t="shared" si="12"/>
        <v/>
      </c>
      <c r="J274" t="str">
        <f>IF(A274="","",COUNTIF(Detalle_Pagos!$A$5:$A$2004,A274))</f>
        <v/>
      </c>
      <c r="K274" s="29" t="str">
        <f t="shared" si="13"/>
        <v/>
      </c>
      <c r="L274" s="29" t="str">
        <f>IF(A274="","",SUMIF(Detalle_Pagos!$A$5:$A$2004,A274,Detalle_Pagos!$I$5:$I$2004))</f>
        <v/>
      </c>
      <c r="M274" s="29" t="str">
        <f>IF(A274="","",SUMIFS(Detalle_Pagos!$I$5:$I$2004,Detalle_Pagos!$A$5:$A$2004,A274,Detalle_Pagos!$J$5:$J$2004,"No"))</f>
        <v/>
      </c>
      <c r="N274" t="str">
        <f t="shared" si="14"/>
        <v/>
      </c>
    </row>
    <row r="275" spans="2:14" x14ac:dyDescent="0.3">
      <c r="B275" s="30"/>
      <c r="G275" s="29" t="str">
        <f>IF(A275="","",IFERROR(INDEX(Criterios!$B$4:$C$83,MATCH(D275,Criterios!$A$4:$A$83,0),IF(E275="Dentro horario",1,2)),""))</f>
        <v/>
      </c>
      <c r="H275" s="29"/>
      <c r="I275" s="29" t="str">
        <f t="shared" si="12"/>
        <v/>
      </c>
      <c r="J275" t="str">
        <f>IF(A275="","",COUNTIF(Detalle_Pagos!$A$5:$A$2004,A275))</f>
        <v/>
      </c>
      <c r="K275" s="29" t="str">
        <f t="shared" si="13"/>
        <v/>
      </c>
      <c r="L275" s="29" t="str">
        <f>IF(A275="","",SUMIF(Detalle_Pagos!$A$5:$A$2004,A275,Detalle_Pagos!$I$5:$I$2004))</f>
        <v/>
      </c>
      <c r="M275" s="29" t="str">
        <f>IF(A275="","",SUMIFS(Detalle_Pagos!$I$5:$I$2004,Detalle_Pagos!$A$5:$A$2004,A275,Detalle_Pagos!$J$5:$J$2004,"No"))</f>
        <v/>
      </c>
      <c r="N275" t="str">
        <f t="shared" si="14"/>
        <v/>
      </c>
    </row>
    <row r="276" spans="2:14" x14ac:dyDescent="0.3">
      <c r="B276" s="30"/>
      <c r="G276" s="29" t="str">
        <f>IF(A276="","",IFERROR(INDEX(Criterios!$B$4:$C$83,MATCH(D276,Criterios!$A$4:$A$83,0),IF(E276="Dentro horario",1,2)),""))</f>
        <v/>
      </c>
      <c r="H276" s="29"/>
      <c r="I276" s="29" t="str">
        <f t="shared" si="12"/>
        <v/>
      </c>
      <c r="J276" t="str">
        <f>IF(A276="","",COUNTIF(Detalle_Pagos!$A$5:$A$2004,A276))</f>
        <v/>
      </c>
      <c r="K276" s="29" t="str">
        <f t="shared" si="13"/>
        <v/>
      </c>
      <c r="L276" s="29" t="str">
        <f>IF(A276="","",SUMIF(Detalle_Pagos!$A$5:$A$2004,A276,Detalle_Pagos!$I$5:$I$2004))</f>
        <v/>
      </c>
      <c r="M276" s="29" t="str">
        <f>IF(A276="","",SUMIFS(Detalle_Pagos!$I$5:$I$2004,Detalle_Pagos!$A$5:$A$2004,A276,Detalle_Pagos!$J$5:$J$2004,"No"))</f>
        <v/>
      </c>
      <c r="N276" t="str">
        <f t="shared" si="14"/>
        <v/>
      </c>
    </row>
    <row r="277" spans="2:14" x14ac:dyDescent="0.3">
      <c r="B277" s="30"/>
      <c r="G277" s="29" t="str">
        <f>IF(A277="","",IFERROR(INDEX(Criterios!$B$4:$C$83,MATCH(D277,Criterios!$A$4:$A$83,0),IF(E277="Dentro horario",1,2)),""))</f>
        <v/>
      </c>
      <c r="H277" s="29"/>
      <c r="I277" s="29" t="str">
        <f t="shared" si="12"/>
        <v/>
      </c>
      <c r="J277" t="str">
        <f>IF(A277="","",COUNTIF(Detalle_Pagos!$A$5:$A$2004,A277))</f>
        <v/>
      </c>
      <c r="K277" s="29" t="str">
        <f t="shared" si="13"/>
        <v/>
      </c>
      <c r="L277" s="29" t="str">
        <f>IF(A277="","",SUMIF(Detalle_Pagos!$A$5:$A$2004,A277,Detalle_Pagos!$I$5:$I$2004))</f>
        <v/>
      </c>
      <c r="M277" s="29" t="str">
        <f>IF(A277="","",SUMIFS(Detalle_Pagos!$I$5:$I$2004,Detalle_Pagos!$A$5:$A$2004,A277,Detalle_Pagos!$J$5:$J$2004,"No"))</f>
        <v/>
      </c>
      <c r="N277" t="str">
        <f t="shared" si="14"/>
        <v/>
      </c>
    </row>
    <row r="278" spans="2:14" x14ac:dyDescent="0.3">
      <c r="B278" s="30"/>
      <c r="G278" s="29" t="str">
        <f>IF(A278="","",IFERROR(INDEX(Criterios!$B$4:$C$83,MATCH(D278,Criterios!$A$4:$A$83,0),IF(E278="Dentro horario",1,2)),""))</f>
        <v/>
      </c>
      <c r="H278" s="29"/>
      <c r="I278" s="29" t="str">
        <f t="shared" si="12"/>
        <v/>
      </c>
      <c r="J278" t="str">
        <f>IF(A278="","",COUNTIF(Detalle_Pagos!$A$5:$A$2004,A278))</f>
        <v/>
      </c>
      <c r="K278" s="29" t="str">
        <f t="shared" si="13"/>
        <v/>
      </c>
      <c r="L278" s="29" t="str">
        <f>IF(A278="","",SUMIF(Detalle_Pagos!$A$5:$A$2004,A278,Detalle_Pagos!$I$5:$I$2004))</f>
        <v/>
      </c>
      <c r="M278" s="29" t="str">
        <f>IF(A278="","",SUMIFS(Detalle_Pagos!$I$5:$I$2004,Detalle_Pagos!$A$5:$A$2004,A278,Detalle_Pagos!$J$5:$J$2004,"No"))</f>
        <v/>
      </c>
      <c r="N278" t="str">
        <f t="shared" si="14"/>
        <v/>
      </c>
    </row>
    <row r="279" spans="2:14" x14ac:dyDescent="0.3">
      <c r="B279" s="30"/>
      <c r="G279" s="29" t="str">
        <f>IF(A279="","",IFERROR(INDEX(Criterios!$B$4:$C$83,MATCH(D279,Criterios!$A$4:$A$83,0),IF(E279="Dentro horario",1,2)),""))</f>
        <v/>
      </c>
      <c r="H279" s="29"/>
      <c r="I279" s="29" t="str">
        <f t="shared" si="12"/>
        <v/>
      </c>
      <c r="J279" t="str">
        <f>IF(A279="","",COUNTIF(Detalle_Pagos!$A$5:$A$2004,A279))</f>
        <v/>
      </c>
      <c r="K279" s="29" t="str">
        <f t="shared" si="13"/>
        <v/>
      </c>
      <c r="L279" s="29" t="str">
        <f>IF(A279="","",SUMIF(Detalle_Pagos!$A$5:$A$2004,A279,Detalle_Pagos!$I$5:$I$2004))</f>
        <v/>
      </c>
      <c r="M279" s="29" t="str">
        <f>IF(A279="","",SUMIFS(Detalle_Pagos!$I$5:$I$2004,Detalle_Pagos!$A$5:$A$2004,A279,Detalle_Pagos!$J$5:$J$2004,"No"))</f>
        <v/>
      </c>
      <c r="N279" t="str">
        <f t="shared" si="14"/>
        <v/>
      </c>
    </row>
    <row r="280" spans="2:14" x14ac:dyDescent="0.3">
      <c r="B280" s="30"/>
      <c r="G280" s="29" t="str">
        <f>IF(A280="","",IFERROR(INDEX(Criterios!$B$4:$C$83,MATCH(D280,Criterios!$A$4:$A$83,0),IF(E280="Dentro horario",1,2)),""))</f>
        <v/>
      </c>
      <c r="H280" s="29"/>
      <c r="I280" s="29" t="str">
        <f t="shared" si="12"/>
        <v/>
      </c>
      <c r="J280" t="str">
        <f>IF(A280="","",COUNTIF(Detalle_Pagos!$A$5:$A$2004,A280))</f>
        <v/>
      </c>
      <c r="K280" s="29" t="str">
        <f t="shared" si="13"/>
        <v/>
      </c>
      <c r="L280" s="29" t="str">
        <f>IF(A280="","",SUMIF(Detalle_Pagos!$A$5:$A$2004,A280,Detalle_Pagos!$I$5:$I$2004))</f>
        <v/>
      </c>
      <c r="M280" s="29" t="str">
        <f>IF(A280="","",SUMIFS(Detalle_Pagos!$I$5:$I$2004,Detalle_Pagos!$A$5:$A$2004,A280,Detalle_Pagos!$J$5:$J$2004,"No"))</f>
        <v/>
      </c>
      <c r="N280" t="str">
        <f t="shared" si="14"/>
        <v/>
      </c>
    </row>
    <row r="281" spans="2:14" x14ac:dyDescent="0.3">
      <c r="B281" s="30"/>
      <c r="G281" s="29" t="str">
        <f>IF(A281="","",IFERROR(INDEX(Criterios!$B$4:$C$83,MATCH(D281,Criterios!$A$4:$A$83,0),IF(E281="Dentro horario",1,2)),""))</f>
        <v/>
      </c>
      <c r="H281" s="29"/>
      <c r="I281" s="29" t="str">
        <f t="shared" si="12"/>
        <v/>
      </c>
      <c r="J281" t="str">
        <f>IF(A281="","",COUNTIF(Detalle_Pagos!$A$5:$A$2004,A281))</f>
        <v/>
      </c>
      <c r="K281" s="29" t="str">
        <f t="shared" si="13"/>
        <v/>
      </c>
      <c r="L281" s="29" t="str">
        <f>IF(A281="","",SUMIF(Detalle_Pagos!$A$5:$A$2004,A281,Detalle_Pagos!$I$5:$I$2004))</f>
        <v/>
      </c>
      <c r="M281" s="29" t="str">
        <f>IF(A281="","",SUMIFS(Detalle_Pagos!$I$5:$I$2004,Detalle_Pagos!$A$5:$A$2004,A281,Detalle_Pagos!$J$5:$J$2004,"No"))</f>
        <v/>
      </c>
      <c r="N281" t="str">
        <f t="shared" si="14"/>
        <v/>
      </c>
    </row>
    <row r="282" spans="2:14" x14ac:dyDescent="0.3">
      <c r="B282" s="30"/>
      <c r="G282" s="29" t="str">
        <f>IF(A282="","",IFERROR(INDEX(Criterios!$B$4:$C$83,MATCH(D282,Criterios!$A$4:$A$83,0),IF(E282="Dentro horario",1,2)),""))</f>
        <v/>
      </c>
      <c r="H282" s="29"/>
      <c r="I282" s="29" t="str">
        <f t="shared" si="12"/>
        <v/>
      </c>
      <c r="J282" t="str">
        <f>IF(A282="","",COUNTIF(Detalle_Pagos!$A$5:$A$2004,A282))</f>
        <v/>
      </c>
      <c r="K282" s="29" t="str">
        <f t="shared" si="13"/>
        <v/>
      </c>
      <c r="L282" s="29" t="str">
        <f>IF(A282="","",SUMIF(Detalle_Pagos!$A$5:$A$2004,A282,Detalle_Pagos!$I$5:$I$2004))</f>
        <v/>
      </c>
      <c r="M282" s="29" t="str">
        <f>IF(A282="","",SUMIFS(Detalle_Pagos!$I$5:$I$2004,Detalle_Pagos!$A$5:$A$2004,A282,Detalle_Pagos!$J$5:$J$2004,"No"))</f>
        <v/>
      </c>
      <c r="N282" t="str">
        <f t="shared" si="14"/>
        <v/>
      </c>
    </row>
    <row r="283" spans="2:14" x14ac:dyDescent="0.3">
      <c r="B283" s="30"/>
      <c r="G283" s="29" t="str">
        <f>IF(A283="","",IFERROR(INDEX(Criterios!$B$4:$C$83,MATCH(D283,Criterios!$A$4:$A$83,0),IF(E283="Dentro horario",1,2)),""))</f>
        <v/>
      </c>
      <c r="H283" s="29"/>
      <c r="I283" s="29" t="str">
        <f t="shared" si="12"/>
        <v/>
      </c>
      <c r="J283" t="str">
        <f>IF(A283="","",COUNTIF(Detalle_Pagos!$A$5:$A$2004,A283))</f>
        <v/>
      </c>
      <c r="K283" s="29" t="str">
        <f t="shared" si="13"/>
        <v/>
      </c>
      <c r="L283" s="29" t="str">
        <f>IF(A283="","",SUMIF(Detalle_Pagos!$A$5:$A$2004,A283,Detalle_Pagos!$I$5:$I$2004))</f>
        <v/>
      </c>
      <c r="M283" s="29" t="str">
        <f>IF(A283="","",SUMIFS(Detalle_Pagos!$I$5:$I$2004,Detalle_Pagos!$A$5:$A$2004,A283,Detalle_Pagos!$J$5:$J$2004,"No"))</f>
        <v/>
      </c>
      <c r="N283" t="str">
        <f t="shared" si="14"/>
        <v/>
      </c>
    </row>
    <row r="284" spans="2:14" x14ac:dyDescent="0.3">
      <c r="B284" s="30"/>
      <c r="G284" s="29" t="str">
        <f>IF(A284="","",IFERROR(INDEX(Criterios!$B$4:$C$83,MATCH(D284,Criterios!$A$4:$A$83,0),IF(E284="Dentro horario",1,2)),""))</f>
        <v/>
      </c>
      <c r="H284" s="29"/>
      <c r="I284" s="29" t="str">
        <f t="shared" si="12"/>
        <v/>
      </c>
      <c r="J284" t="str">
        <f>IF(A284="","",COUNTIF(Detalle_Pagos!$A$5:$A$2004,A284))</f>
        <v/>
      </c>
      <c r="K284" s="29" t="str">
        <f t="shared" si="13"/>
        <v/>
      </c>
      <c r="L284" s="29" t="str">
        <f>IF(A284="","",SUMIF(Detalle_Pagos!$A$5:$A$2004,A284,Detalle_Pagos!$I$5:$I$2004))</f>
        <v/>
      </c>
      <c r="M284" s="29" t="str">
        <f>IF(A284="","",SUMIFS(Detalle_Pagos!$I$5:$I$2004,Detalle_Pagos!$A$5:$A$2004,A284,Detalle_Pagos!$J$5:$J$2004,"No"))</f>
        <v/>
      </c>
      <c r="N284" t="str">
        <f t="shared" si="14"/>
        <v/>
      </c>
    </row>
    <row r="285" spans="2:14" x14ac:dyDescent="0.3">
      <c r="B285" s="30"/>
      <c r="G285" s="29" t="str">
        <f>IF(A285="","",IFERROR(INDEX(Criterios!$B$4:$C$83,MATCH(D285,Criterios!$A$4:$A$83,0),IF(E285="Dentro horario",1,2)),""))</f>
        <v/>
      </c>
      <c r="H285" s="29"/>
      <c r="I285" s="29" t="str">
        <f t="shared" si="12"/>
        <v/>
      </c>
      <c r="J285" t="str">
        <f>IF(A285="","",COUNTIF(Detalle_Pagos!$A$5:$A$2004,A285))</f>
        <v/>
      </c>
      <c r="K285" s="29" t="str">
        <f t="shared" si="13"/>
        <v/>
      </c>
      <c r="L285" s="29" t="str">
        <f>IF(A285="","",SUMIF(Detalle_Pagos!$A$5:$A$2004,A285,Detalle_Pagos!$I$5:$I$2004))</f>
        <v/>
      </c>
      <c r="M285" s="29" t="str">
        <f>IF(A285="","",SUMIFS(Detalle_Pagos!$I$5:$I$2004,Detalle_Pagos!$A$5:$A$2004,A285,Detalle_Pagos!$J$5:$J$2004,"No"))</f>
        <v/>
      </c>
      <c r="N285" t="str">
        <f t="shared" si="14"/>
        <v/>
      </c>
    </row>
    <row r="286" spans="2:14" x14ac:dyDescent="0.3">
      <c r="B286" s="30"/>
      <c r="G286" s="29" t="str">
        <f>IF(A286="","",IFERROR(INDEX(Criterios!$B$4:$C$83,MATCH(D286,Criterios!$A$4:$A$83,0),IF(E286="Dentro horario",1,2)),""))</f>
        <v/>
      </c>
      <c r="H286" s="29"/>
      <c r="I286" s="29" t="str">
        <f t="shared" si="12"/>
        <v/>
      </c>
      <c r="J286" t="str">
        <f>IF(A286="","",COUNTIF(Detalle_Pagos!$A$5:$A$2004,A286))</f>
        <v/>
      </c>
      <c r="K286" s="29" t="str">
        <f t="shared" si="13"/>
        <v/>
      </c>
      <c r="L286" s="29" t="str">
        <f>IF(A286="","",SUMIF(Detalle_Pagos!$A$5:$A$2004,A286,Detalle_Pagos!$I$5:$I$2004))</f>
        <v/>
      </c>
      <c r="M286" s="29" t="str">
        <f>IF(A286="","",SUMIFS(Detalle_Pagos!$I$5:$I$2004,Detalle_Pagos!$A$5:$A$2004,A286,Detalle_Pagos!$J$5:$J$2004,"No"))</f>
        <v/>
      </c>
      <c r="N286" t="str">
        <f t="shared" si="14"/>
        <v/>
      </c>
    </row>
    <row r="287" spans="2:14" x14ac:dyDescent="0.3">
      <c r="B287" s="30"/>
      <c r="G287" s="29" t="str">
        <f>IF(A287="","",IFERROR(INDEX(Criterios!$B$4:$C$83,MATCH(D287,Criterios!$A$4:$A$83,0),IF(E287="Dentro horario",1,2)),""))</f>
        <v/>
      </c>
      <c r="H287" s="29"/>
      <c r="I287" s="29" t="str">
        <f t="shared" si="12"/>
        <v/>
      </c>
      <c r="J287" t="str">
        <f>IF(A287="","",COUNTIF(Detalle_Pagos!$A$5:$A$2004,A287))</f>
        <v/>
      </c>
      <c r="K287" s="29" t="str">
        <f t="shared" si="13"/>
        <v/>
      </c>
      <c r="L287" s="29" t="str">
        <f>IF(A287="","",SUMIF(Detalle_Pagos!$A$5:$A$2004,A287,Detalle_Pagos!$I$5:$I$2004))</f>
        <v/>
      </c>
      <c r="M287" s="29" t="str">
        <f>IF(A287="","",SUMIFS(Detalle_Pagos!$I$5:$I$2004,Detalle_Pagos!$A$5:$A$2004,A287,Detalle_Pagos!$J$5:$J$2004,"No"))</f>
        <v/>
      </c>
      <c r="N287" t="str">
        <f t="shared" si="14"/>
        <v/>
      </c>
    </row>
    <row r="288" spans="2:14" x14ac:dyDescent="0.3">
      <c r="B288" s="30"/>
      <c r="G288" s="29" t="str">
        <f>IF(A288="","",IFERROR(INDEX(Criterios!$B$4:$C$83,MATCH(D288,Criterios!$A$4:$A$83,0),IF(E288="Dentro horario",1,2)),""))</f>
        <v/>
      </c>
      <c r="H288" s="29"/>
      <c r="I288" s="29" t="str">
        <f t="shared" si="12"/>
        <v/>
      </c>
      <c r="J288" t="str">
        <f>IF(A288="","",COUNTIF(Detalle_Pagos!$A$5:$A$2004,A288))</f>
        <v/>
      </c>
      <c r="K288" s="29" t="str">
        <f t="shared" si="13"/>
        <v/>
      </c>
      <c r="L288" s="29" t="str">
        <f>IF(A288="","",SUMIF(Detalle_Pagos!$A$5:$A$2004,A288,Detalle_Pagos!$I$5:$I$2004))</f>
        <v/>
      </c>
      <c r="M288" s="29" t="str">
        <f>IF(A288="","",SUMIFS(Detalle_Pagos!$I$5:$I$2004,Detalle_Pagos!$A$5:$A$2004,A288,Detalle_Pagos!$J$5:$J$2004,"No"))</f>
        <v/>
      </c>
      <c r="N288" t="str">
        <f t="shared" si="14"/>
        <v/>
      </c>
    </row>
    <row r="289" spans="2:14" x14ac:dyDescent="0.3">
      <c r="B289" s="30"/>
      <c r="G289" s="29" t="str">
        <f>IF(A289="","",IFERROR(INDEX(Criterios!$B$4:$C$83,MATCH(D289,Criterios!$A$4:$A$83,0),IF(E289="Dentro horario",1,2)),""))</f>
        <v/>
      </c>
      <c r="H289" s="29"/>
      <c r="I289" s="29" t="str">
        <f t="shared" si="12"/>
        <v/>
      </c>
      <c r="J289" t="str">
        <f>IF(A289="","",COUNTIF(Detalle_Pagos!$A$5:$A$2004,A289))</f>
        <v/>
      </c>
      <c r="K289" s="29" t="str">
        <f t="shared" si="13"/>
        <v/>
      </c>
      <c r="L289" s="29" t="str">
        <f>IF(A289="","",SUMIF(Detalle_Pagos!$A$5:$A$2004,A289,Detalle_Pagos!$I$5:$I$2004))</f>
        <v/>
      </c>
      <c r="M289" s="29" t="str">
        <f>IF(A289="","",SUMIFS(Detalle_Pagos!$I$5:$I$2004,Detalle_Pagos!$A$5:$A$2004,A289,Detalle_Pagos!$J$5:$J$2004,"No"))</f>
        <v/>
      </c>
      <c r="N289" t="str">
        <f t="shared" si="14"/>
        <v/>
      </c>
    </row>
    <row r="290" spans="2:14" x14ac:dyDescent="0.3">
      <c r="B290" s="30"/>
      <c r="G290" s="29" t="str">
        <f>IF(A290="","",IFERROR(INDEX(Criterios!$B$4:$C$83,MATCH(D290,Criterios!$A$4:$A$83,0),IF(E290="Dentro horario",1,2)),""))</f>
        <v/>
      </c>
      <c r="H290" s="29"/>
      <c r="I290" s="29" t="str">
        <f t="shared" si="12"/>
        <v/>
      </c>
      <c r="J290" t="str">
        <f>IF(A290="","",COUNTIF(Detalle_Pagos!$A$5:$A$2004,A290))</f>
        <v/>
      </c>
      <c r="K290" s="29" t="str">
        <f t="shared" si="13"/>
        <v/>
      </c>
      <c r="L290" s="29" t="str">
        <f>IF(A290="","",SUMIF(Detalle_Pagos!$A$5:$A$2004,A290,Detalle_Pagos!$I$5:$I$2004))</f>
        <v/>
      </c>
      <c r="M290" s="29" t="str">
        <f>IF(A290="","",SUMIFS(Detalle_Pagos!$I$5:$I$2004,Detalle_Pagos!$A$5:$A$2004,A290,Detalle_Pagos!$J$5:$J$2004,"No"))</f>
        <v/>
      </c>
      <c r="N290" t="str">
        <f t="shared" si="14"/>
        <v/>
      </c>
    </row>
    <row r="291" spans="2:14" x14ac:dyDescent="0.3">
      <c r="B291" s="30"/>
      <c r="G291" s="29" t="str">
        <f>IF(A291="","",IFERROR(INDEX(Criterios!$B$4:$C$83,MATCH(D291,Criterios!$A$4:$A$83,0),IF(E291="Dentro horario",1,2)),""))</f>
        <v/>
      </c>
      <c r="H291" s="29"/>
      <c r="I291" s="29" t="str">
        <f t="shared" si="12"/>
        <v/>
      </c>
      <c r="J291" t="str">
        <f>IF(A291="","",COUNTIF(Detalle_Pagos!$A$5:$A$2004,A291))</f>
        <v/>
      </c>
      <c r="K291" s="29" t="str">
        <f t="shared" si="13"/>
        <v/>
      </c>
      <c r="L291" s="29" t="str">
        <f>IF(A291="","",SUMIF(Detalle_Pagos!$A$5:$A$2004,A291,Detalle_Pagos!$I$5:$I$2004))</f>
        <v/>
      </c>
      <c r="M291" s="29" t="str">
        <f>IF(A291="","",SUMIFS(Detalle_Pagos!$I$5:$I$2004,Detalle_Pagos!$A$5:$A$2004,A291,Detalle_Pagos!$J$5:$J$2004,"No"))</f>
        <v/>
      </c>
      <c r="N291" t="str">
        <f t="shared" si="14"/>
        <v/>
      </c>
    </row>
    <row r="292" spans="2:14" x14ac:dyDescent="0.3">
      <c r="B292" s="30"/>
      <c r="G292" s="29" t="str">
        <f>IF(A292="","",IFERROR(INDEX(Criterios!$B$4:$C$83,MATCH(D292,Criterios!$A$4:$A$83,0),IF(E292="Dentro horario",1,2)),""))</f>
        <v/>
      </c>
      <c r="H292" s="29"/>
      <c r="I292" s="29" t="str">
        <f t="shared" si="12"/>
        <v/>
      </c>
      <c r="J292" t="str">
        <f>IF(A292="","",COUNTIF(Detalle_Pagos!$A$5:$A$2004,A292))</f>
        <v/>
      </c>
      <c r="K292" s="29" t="str">
        <f t="shared" si="13"/>
        <v/>
      </c>
      <c r="L292" s="29" t="str">
        <f>IF(A292="","",SUMIF(Detalle_Pagos!$A$5:$A$2004,A292,Detalle_Pagos!$I$5:$I$2004))</f>
        <v/>
      </c>
      <c r="M292" s="29" t="str">
        <f>IF(A292="","",SUMIFS(Detalle_Pagos!$I$5:$I$2004,Detalle_Pagos!$A$5:$A$2004,A292,Detalle_Pagos!$J$5:$J$2004,"No"))</f>
        <v/>
      </c>
      <c r="N292" t="str">
        <f t="shared" si="14"/>
        <v/>
      </c>
    </row>
    <row r="293" spans="2:14" x14ac:dyDescent="0.3">
      <c r="B293" s="30"/>
      <c r="G293" s="29" t="str">
        <f>IF(A293="","",IFERROR(INDEX(Criterios!$B$4:$C$83,MATCH(D293,Criterios!$A$4:$A$83,0),IF(E293="Dentro horario",1,2)),""))</f>
        <v/>
      </c>
      <c r="H293" s="29"/>
      <c r="I293" s="29" t="str">
        <f t="shared" si="12"/>
        <v/>
      </c>
      <c r="J293" t="str">
        <f>IF(A293="","",COUNTIF(Detalle_Pagos!$A$5:$A$2004,A293))</f>
        <v/>
      </c>
      <c r="K293" s="29" t="str">
        <f t="shared" si="13"/>
        <v/>
      </c>
      <c r="L293" s="29" t="str">
        <f>IF(A293="","",SUMIF(Detalle_Pagos!$A$5:$A$2004,A293,Detalle_Pagos!$I$5:$I$2004))</f>
        <v/>
      </c>
      <c r="M293" s="29" t="str">
        <f>IF(A293="","",SUMIFS(Detalle_Pagos!$I$5:$I$2004,Detalle_Pagos!$A$5:$A$2004,A293,Detalle_Pagos!$J$5:$J$2004,"No"))</f>
        <v/>
      </c>
      <c r="N293" t="str">
        <f t="shared" si="14"/>
        <v/>
      </c>
    </row>
    <row r="294" spans="2:14" x14ac:dyDescent="0.3">
      <c r="B294" s="30"/>
      <c r="G294" s="29" t="str">
        <f>IF(A294="","",IFERROR(INDEX(Criterios!$B$4:$C$83,MATCH(D294,Criterios!$A$4:$A$83,0),IF(E294="Dentro horario",1,2)),""))</f>
        <v/>
      </c>
      <c r="H294" s="29"/>
      <c r="I294" s="29" t="str">
        <f t="shared" si="12"/>
        <v/>
      </c>
      <c r="J294" t="str">
        <f>IF(A294="","",COUNTIF(Detalle_Pagos!$A$5:$A$2004,A294))</f>
        <v/>
      </c>
      <c r="K294" s="29" t="str">
        <f t="shared" si="13"/>
        <v/>
      </c>
      <c r="L294" s="29" t="str">
        <f>IF(A294="","",SUMIF(Detalle_Pagos!$A$5:$A$2004,A294,Detalle_Pagos!$I$5:$I$2004))</f>
        <v/>
      </c>
      <c r="M294" s="29" t="str">
        <f>IF(A294="","",SUMIFS(Detalle_Pagos!$I$5:$I$2004,Detalle_Pagos!$A$5:$A$2004,A294,Detalle_Pagos!$J$5:$J$2004,"No"))</f>
        <v/>
      </c>
      <c r="N294" t="str">
        <f t="shared" si="14"/>
        <v/>
      </c>
    </row>
    <row r="295" spans="2:14" x14ac:dyDescent="0.3">
      <c r="B295" s="30"/>
      <c r="G295" s="29" t="str">
        <f>IF(A295="","",IFERROR(INDEX(Criterios!$B$4:$C$83,MATCH(D295,Criterios!$A$4:$A$83,0),IF(E295="Dentro horario",1,2)),""))</f>
        <v/>
      </c>
      <c r="H295" s="29"/>
      <c r="I295" s="29" t="str">
        <f t="shared" si="12"/>
        <v/>
      </c>
      <c r="J295" t="str">
        <f>IF(A295="","",COUNTIF(Detalle_Pagos!$A$5:$A$2004,A295))</f>
        <v/>
      </c>
      <c r="K295" s="29" t="str">
        <f t="shared" si="13"/>
        <v/>
      </c>
      <c r="L295" s="29" t="str">
        <f>IF(A295="","",SUMIF(Detalle_Pagos!$A$5:$A$2004,A295,Detalle_Pagos!$I$5:$I$2004))</f>
        <v/>
      </c>
      <c r="M295" s="29" t="str">
        <f>IF(A295="","",SUMIFS(Detalle_Pagos!$I$5:$I$2004,Detalle_Pagos!$A$5:$A$2004,A295,Detalle_Pagos!$J$5:$J$2004,"No"))</f>
        <v/>
      </c>
      <c r="N295" t="str">
        <f t="shared" si="14"/>
        <v/>
      </c>
    </row>
    <row r="296" spans="2:14" x14ac:dyDescent="0.3">
      <c r="B296" s="30"/>
      <c r="G296" s="29" t="str">
        <f>IF(A296="","",IFERROR(INDEX(Criterios!$B$4:$C$83,MATCH(D296,Criterios!$A$4:$A$83,0),IF(E296="Dentro horario",1,2)),""))</f>
        <v/>
      </c>
      <c r="H296" s="29"/>
      <c r="I296" s="29" t="str">
        <f t="shared" si="12"/>
        <v/>
      </c>
      <c r="J296" t="str">
        <f>IF(A296="","",COUNTIF(Detalle_Pagos!$A$5:$A$2004,A296))</f>
        <v/>
      </c>
      <c r="K296" s="29" t="str">
        <f t="shared" si="13"/>
        <v/>
      </c>
      <c r="L296" s="29" t="str">
        <f>IF(A296="","",SUMIF(Detalle_Pagos!$A$5:$A$2004,A296,Detalle_Pagos!$I$5:$I$2004))</f>
        <v/>
      </c>
      <c r="M296" s="29" t="str">
        <f>IF(A296="","",SUMIFS(Detalle_Pagos!$I$5:$I$2004,Detalle_Pagos!$A$5:$A$2004,A296,Detalle_Pagos!$J$5:$J$2004,"No"))</f>
        <v/>
      </c>
      <c r="N296" t="str">
        <f t="shared" si="14"/>
        <v/>
      </c>
    </row>
    <row r="297" spans="2:14" x14ac:dyDescent="0.3">
      <c r="B297" s="30"/>
      <c r="G297" s="29" t="str">
        <f>IF(A297="","",IFERROR(INDEX(Criterios!$B$4:$C$83,MATCH(D297,Criterios!$A$4:$A$83,0),IF(E297="Dentro horario",1,2)),""))</f>
        <v/>
      </c>
      <c r="H297" s="29"/>
      <c r="I297" s="29" t="str">
        <f t="shared" si="12"/>
        <v/>
      </c>
      <c r="J297" t="str">
        <f>IF(A297="","",COUNTIF(Detalle_Pagos!$A$5:$A$2004,A297))</f>
        <v/>
      </c>
      <c r="K297" s="29" t="str">
        <f t="shared" si="13"/>
        <v/>
      </c>
      <c r="L297" s="29" t="str">
        <f>IF(A297="","",SUMIF(Detalle_Pagos!$A$5:$A$2004,A297,Detalle_Pagos!$I$5:$I$2004))</f>
        <v/>
      </c>
      <c r="M297" s="29" t="str">
        <f>IF(A297="","",SUMIFS(Detalle_Pagos!$I$5:$I$2004,Detalle_Pagos!$A$5:$A$2004,A297,Detalle_Pagos!$J$5:$J$2004,"No"))</f>
        <v/>
      </c>
      <c r="N297" t="str">
        <f t="shared" si="14"/>
        <v/>
      </c>
    </row>
    <row r="298" spans="2:14" x14ac:dyDescent="0.3">
      <c r="B298" s="30"/>
      <c r="G298" s="29" t="str">
        <f>IF(A298="","",IFERROR(INDEX(Criterios!$B$4:$C$83,MATCH(D298,Criterios!$A$4:$A$83,0),IF(E298="Dentro horario",1,2)),""))</f>
        <v/>
      </c>
      <c r="H298" s="29"/>
      <c r="I298" s="29" t="str">
        <f t="shared" si="12"/>
        <v/>
      </c>
      <c r="J298" t="str">
        <f>IF(A298="","",COUNTIF(Detalle_Pagos!$A$5:$A$2004,A298))</f>
        <v/>
      </c>
      <c r="K298" s="29" t="str">
        <f t="shared" si="13"/>
        <v/>
      </c>
      <c r="L298" s="29" t="str">
        <f>IF(A298="","",SUMIF(Detalle_Pagos!$A$5:$A$2004,A298,Detalle_Pagos!$I$5:$I$2004))</f>
        <v/>
      </c>
      <c r="M298" s="29" t="str">
        <f>IF(A298="","",SUMIFS(Detalle_Pagos!$I$5:$I$2004,Detalle_Pagos!$A$5:$A$2004,A298,Detalle_Pagos!$J$5:$J$2004,"No"))</f>
        <v/>
      </c>
      <c r="N298" t="str">
        <f t="shared" si="14"/>
        <v/>
      </c>
    </row>
    <row r="299" spans="2:14" x14ac:dyDescent="0.3">
      <c r="B299" s="30"/>
      <c r="G299" s="29" t="str">
        <f>IF(A299="","",IFERROR(INDEX(Criterios!$B$4:$C$83,MATCH(D299,Criterios!$A$4:$A$83,0),IF(E299="Dentro horario",1,2)),""))</f>
        <v/>
      </c>
      <c r="H299" s="29"/>
      <c r="I299" s="29" t="str">
        <f t="shared" si="12"/>
        <v/>
      </c>
      <c r="J299" t="str">
        <f>IF(A299="","",COUNTIF(Detalle_Pagos!$A$5:$A$2004,A299))</f>
        <v/>
      </c>
      <c r="K299" s="29" t="str">
        <f t="shared" si="13"/>
        <v/>
      </c>
      <c r="L299" s="29" t="str">
        <f>IF(A299="","",SUMIF(Detalle_Pagos!$A$5:$A$2004,A299,Detalle_Pagos!$I$5:$I$2004))</f>
        <v/>
      </c>
      <c r="M299" s="29" t="str">
        <f>IF(A299="","",SUMIFS(Detalle_Pagos!$I$5:$I$2004,Detalle_Pagos!$A$5:$A$2004,A299,Detalle_Pagos!$J$5:$J$2004,"No"))</f>
        <v/>
      </c>
      <c r="N299" t="str">
        <f t="shared" si="14"/>
        <v/>
      </c>
    </row>
    <row r="300" spans="2:14" x14ac:dyDescent="0.3">
      <c r="B300" s="30"/>
      <c r="G300" s="29" t="str">
        <f>IF(A300="","",IFERROR(INDEX(Criterios!$B$4:$C$83,MATCH(D300,Criterios!$A$4:$A$83,0),IF(E300="Dentro horario",1,2)),""))</f>
        <v/>
      </c>
      <c r="H300" s="29"/>
      <c r="I300" s="29" t="str">
        <f t="shared" si="12"/>
        <v/>
      </c>
      <c r="J300" t="str">
        <f>IF(A300="","",COUNTIF(Detalle_Pagos!$A$5:$A$2004,A300))</f>
        <v/>
      </c>
      <c r="K300" s="29" t="str">
        <f t="shared" si="13"/>
        <v/>
      </c>
      <c r="L300" s="29" t="str">
        <f>IF(A300="","",SUMIF(Detalle_Pagos!$A$5:$A$2004,A300,Detalle_Pagos!$I$5:$I$2004))</f>
        <v/>
      </c>
      <c r="M300" s="29" t="str">
        <f>IF(A300="","",SUMIFS(Detalle_Pagos!$I$5:$I$2004,Detalle_Pagos!$A$5:$A$2004,A300,Detalle_Pagos!$J$5:$J$2004,"No"))</f>
        <v/>
      </c>
      <c r="N300" t="str">
        <f t="shared" si="14"/>
        <v/>
      </c>
    </row>
    <row r="301" spans="2:14" x14ac:dyDescent="0.3">
      <c r="B301" s="30"/>
      <c r="G301" s="29" t="str">
        <f>IF(A301="","",IFERROR(INDEX(Criterios!$B$4:$C$83,MATCH(D301,Criterios!$A$4:$A$83,0),IF(E301="Dentro horario",1,2)),""))</f>
        <v/>
      </c>
      <c r="H301" s="29"/>
      <c r="I301" s="29" t="str">
        <f t="shared" si="12"/>
        <v/>
      </c>
      <c r="J301" t="str">
        <f>IF(A301="","",COUNTIF(Detalle_Pagos!$A$5:$A$2004,A301))</f>
        <v/>
      </c>
      <c r="K301" s="29" t="str">
        <f t="shared" si="13"/>
        <v/>
      </c>
      <c r="L301" s="29" t="str">
        <f>IF(A301="","",SUMIF(Detalle_Pagos!$A$5:$A$2004,A301,Detalle_Pagos!$I$5:$I$2004))</f>
        <v/>
      </c>
      <c r="M301" s="29" t="str">
        <f>IF(A301="","",SUMIFS(Detalle_Pagos!$I$5:$I$2004,Detalle_Pagos!$A$5:$A$2004,A301,Detalle_Pagos!$J$5:$J$2004,"No"))</f>
        <v/>
      </c>
      <c r="N301" t="str">
        <f t="shared" si="14"/>
        <v/>
      </c>
    </row>
    <row r="302" spans="2:14" x14ac:dyDescent="0.3">
      <c r="B302" s="30"/>
      <c r="G302" s="29" t="str">
        <f>IF(A302="","",IFERROR(INDEX(Criterios!$B$4:$C$83,MATCH(D302,Criterios!$A$4:$A$83,0),IF(E302="Dentro horario",1,2)),""))</f>
        <v/>
      </c>
      <c r="H302" s="29"/>
      <c r="I302" s="29" t="str">
        <f t="shared" si="12"/>
        <v/>
      </c>
      <c r="J302" t="str">
        <f>IF(A302="","",COUNTIF(Detalle_Pagos!$A$5:$A$2004,A302))</f>
        <v/>
      </c>
      <c r="K302" s="29" t="str">
        <f t="shared" si="13"/>
        <v/>
      </c>
      <c r="L302" s="29" t="str">
        <f>IF(A302="","",SUMIF(Detalle_Pagos!$A$5:$A$2004,A302,Detalle_Pagos!$I$5:$I$2004))</f>
        <v/>
      </c>
      <c r="M302" s="29" t="str">
        <f>IF(A302="","",SUMIFS(Detalle_Pagos!$I$5:$I$2004,Detalle_Pagos!$A$5:$A$2004,A302,Detalle_Pagos!$J$5:$J$2004,"No"))</f>
        <v/>
      </c>
      <c r="N302" t="str">
        <f t="shared" si="14"/>
        <v/>
      </c>
    </row>
    <row r="303" spans="2:14" x14ac:dyDescent="0.3">
      <c r="B303" s="30"/>
      <c r="G303" s="29" t="str">
        <f>IF(A303="","",IFERROR(INDEX(Criterios!$B$4:$C$83,MATCH(D303,Criterios!$A$4:$A$83,0),IF(E303="Dentro horario",1,2)),""))</f>
        <v/>
      </c>
      <c r="H303" s="29"/>
      <c r="I303" s="29" t="str">
        <f t="shared" si="12"/>
        <v/>
      </c>
      <c r="J303" t="str">
        <f>IF(A303="","",COUNTIF(Detalle_Pagos!$A$5:$A$2004,A303))</f>
        <v/>
      </c>
      <c r="K303" s="29" t="str">
        <f t="shared" si="13"/>
        <v/>
      </c>
      <c r="L303" s="29" t="str">
        <f>IF(A303="","",SUMIF(Detalle_Pagos!$A$5:$A$2004,A303,Detalle_Pagos!$I$5:$I$2004))</f>
        <v/>
      </c>
      <c r="M303" s="29" t="str">
        <f>IF(A303="","",SUMIFS(Detalle_Pagos!$I$5:$I$2004,Detalle_Pagos!$A$5:$A$2004,A303,Detalle_Pagos!$J$5:$J$2004,"No"))</f>
        <v/>
      </c>
      <c r="N303" t="str">
        <f t="shared" si="14"/>
        <v/>
      </c>
    </row>
    <row r="304" spans="2:14" x14ac:dyDescent="0.3">
      <c r="B304" s="30"/>
      <c r="G304" s="29" t="str">
        <f>IF(A304="","",IFERROR(INDEX(Criterios!$B$4:$C$83,MATCH(D304,Criterios!$A$4:$A$83,0),IF(E304="Dentro horario",1,2)),""))</f>
        <v/>
      </c>
      <c r="H304" s="29"/>
      <c r="I304" s="29" t="str">
        <f t="shared" si="12"/>
        <v/>
      </c>
      <c r="J304" t="str">
        <f>IF(A304="","",COUNTIF(Detalle_Pagos!$A$5:$A$2004,A304))</f>
        <v/>
      </c>
      <c r="K304" s="29" t="str">
        <f t="shared" si="13"/>
        <v/>
      </c>
      <c r="L304" s="29" t="str">
        <f>IF(A304="","",SUMIF(Detalle_Pagos!$A$5:$A$2004,A304,Detalle_Pagos!$I$5:$I$2004))</f>
        <v/>
      </c>
      <c r="M304" s="29" t="str">
        <f>IF(A304="","",SUMIFS(Detalle_Pagos!$I$5:$I$2004,Detalle_Pagos!$A$5:$A$2004,A304,Detalle_Pagos!$J$5:$J$2004,"No"))</f>
        <v/>
      </c>
      <c r="N304" t="str">
        <f t="shared" si="14"/>
        <v/>
      </c>
    </row>
    <row r="305" spans="2:14" x14ac:dyDescent="0.3">
      <c r="B305" s="30"/>
      <c r="G305" s="29" t="str">
        <f>IF(A305="","",IFERROR(INDEX(Criterios!$B$4:$C$83,MATCH(D305,Criterios!$A$4:$A$83,0),IF(E305="Dentro horario",1,2)),""))</f>
        <v/>
      </c>
      <c r="H305" s="29"/>
      <c r="I305" s="29" t="str">
        <f t="shared" si="12"/>
        <v/>
      </c>
      <c r="J305" t="str">
        <f>IF(A305="","",COUNTIF(Detalle_Pagos!$A$5:$A$2004,A305))</f>
        <v/>
      </c>
      <c r="K305" s="29" t="str">
        <f t="shared" si="13"/>
        <v/>
      </c>
      <c r="L305" s="29" t="str">
        <f>IF(A305="","",SUMIF(Detalle_Pagos!$A$5:$A$2004,A305,Detalle_Pagos!$I$5:$I$2004))</f>
        <v/>
      </c>
      <c r="M305" s="29" t="str">
        <f>IF(A305="","",SUMIFS(Detalle_Pagos!$I$5:$I$2004,Detalle_Pagos!$A$5:$A$2004,A305,Detalle_Pagos!$J$5:$J$2004,"No"))</f>
        <v/>
      </c>
      <c r="N305" t="str">
        <f t="shared" si="14"/>
        <v/>
      </c>
    </row>
    <row r="306" spans="2:14" x14ac:dyDescent="0.3">
      <c r="B306" s="30"/>
      <c r="G306" s="29" t="str">
        <f>IF(A306="","",IFERROR(INDEX(Criterios!$B$4:$C$83,MATCH(D306,Criterios!$A$4:$A$83,0),IF(E306="Dentro horario",1,2)),""))</f>
        <v/>
      </c>
      <c r="H306" s="29"/>
      <c r="I306" s="29" t="str">
        <f t="shared" si="12"/>
        <v/>
      </c>
      <c r="J306" t="str">
        <f>IF(A306="","",COUNTIF(Detalle_Pagos!$A$5:$A$2004,A306))</f>
        <v/>
      </c>
      <c r="K306" s="29" t="str">
        <f t="shared" si="13"/>
        <v/>
      </c>
      <c r="L306" s="29" t="str">
        <f>IF(A306="","",SUMIF(Detalle_Pagos!$A$5:$A$2004,A306,Detalle_Pagos!$I$5:$I$2004))</f>
        <v/>
      </c>
      <c r="M306" s="29" t="str">
        <f>IF(A306="","",SUMIFS(Detalle_Pagos!$I$5:$I$2004,Detalle_Pagos!$A$5:$A$2004,A306,Detalle_Pagos!$J$5:$J$2004,"No"))</f>
        <v/>
      </c>
      <c r="N306" t="str">
        <f t="shared" si="14"/>
        <v/>
      </c>
    </row>
    <row r="307" spans="2:14" x14ac:dyDescent="0.3">
      <c r="B307" s="30"/>
      <c r="G307" s="29" t="str">
        <f>IF(A307="","",IFERROR(INDEX(Criterios!$B$4:$C$83,MATCH(D307,Criterios!$A$4:$A$83,0),IF(E307="Dentro horario",1,2)),""))</f>
        <v/>
      </c>
      <c r="H307" s="29"/>
      <c r="I307" s="29" t="str">
        <f t="shared" si="12"/>
        <v/>
      </c>
      <c r="J307" t="str">
        <f>IF(A307="","",COUNTIF(Detalle_Pagos!$A$5:$A$2004,A307))</f>
        <v/>
      </c>
      <c r="K307" s="29" t="str">
        <f t="shared" si="13"/>
        <v/>
      </c>
      <c r="L307" s="29" t="str">
        <f>IF(A307="","",SUMIF(Detalle_Pagos!$A$5:$A$2004,A307,Detalle_Pagos!$I$5:$I$2004))</f>
        <v/>
      </c>
      <c r="M307" s="29" t="str">
        <f>IF(A307="","",SUMIFS(Detalle_Pagos!$I$5:$I$2004,Detalle_Pagos!$A$5:$A$2004,A307,Detalle_Pagos!$J$5:$J$2004,"No"))</f>
        <v/>
      </c>
      <c r="N307" t="str">
        <f t="shared" si="14"/>
        <v/>
      </c>
    </row>
    <row r="308" spans="2:14" x14ac:dyDescent="0.3">
      <c r="B308" s="30"/>
      <c r="G308" s="29" t="str">
        <f>IF(A308="","",IFERROR(INDEX(Criterios!$B$4:$C$83,MATCH(D308,Criterios!$A$4:$A$83,0),IF(E308="Dentro horario",1,2)),""))</f>
        <v/>
      </c>
      <c r="H308" s="29"/>
      <c r="I308" s="29" t="str">
        <f t="shared" si="12"/>
        <v/>
      </c>
      <c r="J308" t="str">
        <f>IF(A308="","",COUNTIF(Detalle_Pagos!$A$5:$A$2004,A308))</f>
        <v/>
      </c>
      <c r="K308" s="29" t="str">
        <f t="shared" si="13"/>
        <v/>
      </c>
      <c r="L308" s="29" t="str">
        <f>IF(A308="","",SUMIF(Detalle_Pagos!$A$5:$A$2004,A308,Detalle_Pagos!$I$5:$I$2004))</f>
        <v/>
      </c>
      <c r="M308" s="29" t="str">
        <f>IF(A308="","",SUMIFS(Detalle_Pagos!$I$5:$I$2004,Detalle_Pagos!$A$5:$A$2004,A308,Detalle_Pagos!$J$5:$J$2004,"No"))</f>
        <v/>
      </c>
      <c r="N308" t="str">
        <f t="shared" si="14"/>
        <v/>
      </c>
    </row>
    <row r="309" spans="2:14" x14ac:dyDescent="0.3">
      <c r="B309" s="30"/>
      <c r="G309" s="29" t="str">
        <f>IF(A309="","",IFERROR(INDEX(Criterios!$B$4:$C$83,MATCH(D309,Criterios!$A$4:$A$83,0),IF(E309="Dentro horario",1,2)),""))</f>
        <v/>
      </c>
      <c r="H309" s="29"/>
      <c r="I309" s="29" t="str">
        <f t="shared" si="12"/>
        <v/>
      </c>
      <c r="J309" t="str">
        <f>IF(A309="","",COUNTIF(Detalle_Pagos!$A$5:$A$2004,A309))</f>
        <v/>
      </c>
      <c r="K309" s="29" t="str">
        <f t="shared" si="13"/>
        <v/>
      </c>
      <c r="L309" s="29" t="str">
        <f>IF(A309="","",SUMIF(Detalle_Pagos!$A$5:$A$2004,A309,Detalle_Pagos!$I$5:$I$2004))</f>
        <v/>
      </c>
      <c r="M309" s="29" t="str">
        <f>IF(A309="","",SUMIFS(Detalle_Pagos!$I$5:$I$2004,Detalle_Pagos!$A$5:$A$2004,A309,Detalle_Pagos!$J$5:$J$2004,"No"))</f>
        <v/>
      </c>
      <c r="N309" t="str">
        <f t="shared" si="14"/>
        <v/>
      </c>
    </row>
    <row r="310" spans="2:14" x14ac:dyDescent="0.3">
      <c r="B310" s="30"/>
      <c r="G310" s="29" t="str">
        <f>IF(A310="","",IFERROR(INDEX(Criterios!$B$4:$C$83,MATCH(D310,Criterios!$A$4:$A$83,0),IF(E310="Dentro horario",1,2)),""))</f>
        <v/>
      </c>
      <c r="H310" s="29"/>
      <c r="I310" s="29" t="str">
        <f t="shared" si="12"/>
        <v/>
      </c>
      <c r="J310" t="str">
        <f>IF(A310="","",COUNTIF(Detalle_Pagos!$A$5:$A$2004,A310))</f>
        <v/>
      </c>
      <c r="K310" s="29" t="str">
        <f t="shared" si="13"/>
        <v/>
      </c>
      <c r="L310" s="29" t="str">
        <f>IF(A310="","",SUMIF(Detalle_Pagos!$A$5:$A$2004,A310,Detalle_Pagos!$I$5:$I$2004))</f>
        <v/>
      </c>
      <c r="M310" s="29" t="str">
        <f>IF(A310="","",SUMIFS(Detalle_Pagos!$I$5:$I$2004,Detalle_Pagos!$A$5:$A$2004,A310,Detalle_Pagos!$J$5:$J$2004,"No"))</f>
        <v/>
      </c>
      <c r="N310" t="str">
        <f t="shared" si="14"/>
        <v/>
      </c>
    </row>
    <row r="311" spans="2:14" x14ac:dyDescent="0.3">
      <c r="B311" s="30"/>
      <c r="G311" s="29" t="str">
        <f>IF(A311="","",IFERROR(INDEX(Criterios!$B$4:$C$83,MATCH(D311,Criterios!$A$4:$A$83,0),IF(E311="Dentro horario",1,2)),""))</f>
        <v/>
      </c>
      <c r="H311" s="29"/>
      <c r="I311" s="29" t="str">
        <f t="shared" si="12"/>
        <v/>
      </c>
      <c r="J311" t="str">
        <f>IF(A311="","",COUNTIF(Detalle_Pagos!$A$5:$A$2004,A311))</f>
        <v/>
      </c>
      <c r="K311" s="29" t="str">
        <f t="shared" si="13"/>
        <v/>
      </c>
      <c r="L311" s="29" t="str">
        <f>IF(A311="","",SUMIF(Detalle_Pagos!$A$5:$A$2004,A311,Detalle_Pagos!$I$5:$I$2004))</f>
        <v/>
      </c>
      <c r="M311" s="29" t="str">
        <f>IF(A311="","",SUMIFS(Detalle_Pagos!$I$5:$I$2004,Detalle_Pagos!$A$5:$A$2004,A311,Detalle_Pagos!$J$5:$J$2004,"No"))</f>
        <v/>
      </c>
      <c r="N311" t="str">
        <f t="shared" si="14"/>
        <v/>
      </c>
    </row>
    <row r="312" spans="2:14" x14ac:dyDescent="0.3">
      <c r="B312" s="30"/>
      <c r="G312" s="29" t="str">
        <f>IF(A312="","",IFERROR(INDEX(Criterios!$B$4:$C$83,MATCH(D312,Criterios!$A$4:$A$83,0),IF(E312="Dentro horario",1,2)),""))</f>
        <v/>
      </c>
      <c r="H312" s="29"/>
      <c r="I312" s="29" t="str">
        <f t="shared" si="12"/>
        <v/>
      </c>
      <c r="J312" t="str">
        <f>IF(A312="","",COUNTIF(Detalle_Pagos!$A$5:$A$2004,A312))</f>
        <v/>
      </c>
      <c r="K312" s="29" t="str">
        <f t="shared" si="13"/>
        <v/>
      </c>
      <c r="L312" s="29" t="str">
        <f>IF(A312="","",SUMIF(Detalle_Pagos!$A$5:$A$2004,A312,Detalle_Pagos!$I$5:$I$2004))</f>
        <v/>
      </c>
      <c r="M312" s="29" t="str">
        <f>IF(A312="","",SUMIFS(Detalle_Pagos!$I$5:$I$2004,Detalle_Pagos!$A$5:$A$2004,A312,Detalle_Pagos!$J$5:$J$2004,"No"))</f>
        <v/>
      </c>
      <c r="N312" t="str">
        <f t="shared" si="14"/>
        <v/>
      </c>
    </row>
    <row r="313" spans="2:14" x14ac:dyDescent="0.3">
      <c r="B313" s="30"/>
      <c r="G313" s="29" t="str">
        <f>IF(A313="","",IFERROR(INDEX(Criterios!$B$4:$C$83,MATCH(D313,Criterios!$A$4:$A$83,0),IF(E313="Dentro horario",1,2)),""))</f>
        <v/>
      </c>
      <c r="H313" s="29"/>
      <c r="I313" s="29" t="str">
        <f t="shared" si="12"/>
        <v/>
      </c>
      <c r="J313" t="str">
        <f>IF(A313="","",COUNTIF(Detalle_Pagos!$A$5:$A$2004,A313))</f>
        <v/>
      </c>
      <c r="K313" s="29" t="str">
        <f t="shared" si="13"/>
        <v/>
      </c>
      <c r="L313" s="29" t="str">
        <f>IF(A313="","",SUMIF(Detalle_Pagos!$A$5:$A$2004,A313,Detalle_Pagos!$I$5:$I$2004))</f>
        <v/>
      </c>
      <c r="M313" s="29" t="str">
        <f>IF(A313="","",SUMIFS(Detalle_Pagos!$I$5:$I$2004,Detalle_Pagos!$A$5:$A$2004,A313,Detalle_Pagos!$J$5:$J$2004,"No"))</f>
        <v/>
      </c>
      <c r="N313" t="str">
        <f t="shared" si="14"/>
        <v/>
      </c>
    </row>
    <row r="314" spans="2:14" x14ac:dyDescent="0.3">
      <c r="B314" s="30"/>
      <c r="G314" s="29" t="str">
        <f>IF(A314="","",IFERROR(INDEX(Criterios!$B$4:$C$83,MATCH(D314,Criterios!$A$4:$A$83,0),IF(E314="Dentro horario",1,2)),""))</f>
        <v/>
      </c>
      <c r="H314" s="29"/>
      <c r="I314" s="29" t="str">
        <f t="shared" si="12"/>
        <v/>
      </c>
      <c r="J314" t="str">
        <f>IF(A314="","",COUNTIF(Detalle_Pagos!$A$5:$A$2004,A314))</f>
        <v/>
      </c>
      <c r="K314" s="29" t="str">
        <f t="shared" si="13"/>
        <v/>
      </c>
      <c r="L314" s="29" t="str">
        <f>IF(A314="","",SUMIF(Detalle_Pagos!$A$5:$A$2004,A314,Detalle_Pagos!$I$5:$I$2004))</f>
        <v/>
      </c>
      <c r="M314" s="29" t="str">
        <f>IF(A314="","",SUMIFS(Detalle_Pagos!$I$5:$I$2004,Detalle_Pagos!$A$5:$A$2004,A314,Detalle_Pagos!$J$5:$J$2004,"No"))</f>
        <v/>
      </c>
      <c r="N314" t="str">
        <f t="shared" si="14"/>
        <v/>
      </c>
    </row>
    <row r="315" spans="2:14" x14ac:dyDescent="0.3">
      <c r="B315" s="30"/>
      <c r="G315" s="29" t="str">
        <f>IF(A315="","",IFERROR(INDEX(Criterios!$B$4:$C$83,MATCH(D315,Criterios!$A$4:$A$83,0),IF(E315="Dentro horario",1,2)),""))</f>
        <v/>
      </c>
      <c r="H315" s="29"/>
      <c r="I315" s="29" t="str">
        <f t="shared" si="12"/>
        <v/>
      </c>
      <c r="J315" t="str">
        <f>IF(A315="","",COUNTIF(Detalle_Pagos!$A$5:$A$2004,A315))</f>
        <v/>
      </c>
      <c r="K315" s="29" t="str">
        <f t="shared" si="13"/>
        <v/>
      </c>
      <c r="L315" s="29" t="str">
        <f>IF(A315="","",SUMIF(Detalle_Pagos!$A$5:$A$2004,A315,Detalle_Pagos!$I$5:$I$2004))</f>
        <v/>
      </c>
      <c r="M315" s="29" t="str">
        <f>IF(A315="","",SUMIFS(Detalle_Pagos!$I$5:$I$2004,Detalle_Pagos!$A$5:$A$2004,A315,Detalle_Pagos!$J$5:$J$2004,"No"))</f>
        <v/>
      </c>
      <c r="N315" t="str">
        <f t="shared" si="14"/>
        <v/>
      </c>
    </row>
    <row r="316" spans="2:14" x14ac:dyDescent="0.3">
      <c r="B316" s="30"/>
      <c r="G316" s="29" t="str">
        <f>IF(A316="","",IFERROR(INDEX(Criterios!$B$4:$C$83,MATCH(D316,Criterios!$A$4:$A$83,0),IF(E316="Dentro horario",1,2)),""))</f>
        <v/>
      </c>
      <c r="H316" s="29"/>
      <c r="I316" s="29" t="str">
        <f t="shared" si="12"/>
        <v/>
      </c>
      <c r="J316" t="str">
        <f>IF(A316="","",COUNTIF(Detalle_Pagos!$A$5:$A$2004,A316))</f>
        <v/>
      </c>
      <c r="K316" s="29" t="str">
        <f t="shared" si="13"/>
        <v/>
      </c>
      <c r="L316" s="29" t="str">
        <f>IF(A316="","",SUMIF(Detalle_Pagos!$A$5:$A$2004,A316,Detalle_Pagos!$I$5:$I$2004))</f>
        <v/>
      </c>
      <c r="M316" s="29" t="str">
        <f>IF(A316="","",SUMIFS(Detalle_Pagos!$I$5:$I$2004,Detalle_Pagos!$A$5:$A$2004,A316,Detalle_Pagos!$J$5:$J$2004,"No"))</f>
        <v/>
      </c>
      <c r="N316" t="str">
        <f t="shared" si="14"/>
        <v/>
      </c>
    </row>
    <row r="317" spans="2:14" x14ac:dyDescent="0.3">
      <c r="B317" s="30"/>
      <c r="G317" s="29" t="str">
        <f>IF(A317="","",IFERROR(INDEX(Criterios!$B$4:$C$83,MATCH(D317,Criterios!$A$4:$A$83,0),IF(E317="Dentro horario",1,2)),""))</f>
        <v/>
      </c>
      <c r="H317" s="29"/>
      <c r="I317" s="29" t="str">
        <f t="shared" si="12"/>
        <v/>
      </c>
      <c r="J317" t="str">
        <f>IF(A317="","",COUNTIF(Detalle_Pagos!$A$5:$A$2004,A317))</f>
        <v/>
      </c>
      <c r="K317" s="29" t="str">
        <f t="shared" si="13"/>
        <v/>
      </c>
      <c r="L317" s="29" t="str">
        <f>IF(A317="","",SUMIF(Detalle_Pagos!$A$5:$A$2004,A317,Detalle_Pagos!$I$5:$I$2004))</f>
        <v/>
      </c>
      <c r="M317" s="29" t="str">
        <f>IF(A317="","",SUMIFS(Detalle_Pagos!$I$5:$I$2004,Detalle_Pagos!$A$5:$A$2004,A317,Detalle_Pagos!$J$5:$J$2004,"No"))</f>
        <v/>
      </c>
      <c r="N317" t="str">
        <f t="shared" si="14"/>
        <v/>
      </c>
    </row>
    <row r="318" spans="2:14" x14ac:dyDescent="0.3">
      <c r="B318" s="30"/>
      <c r="G318" s="29" t="str">
        <f>IF(A318="","",IFERROR(INDEX(Criterios!$B$4:$C$83,MATCH(D318,Criterios!$A$4:$A$83,0),IF(E318="Dentro horario",1,2)),""))</f>
        <v/>
      </c>
      <c r="H318" s="29"/>
      <c r="I318" s="29" t="str">
        <f t="shared" si="12"/>
        <v/>
      </c>
      <c r="J318" t="str">
        <f>IF(A318="","",COUNTIF(Detalle_Pagos!$A$5:$A$2004,A318))</f>
        <v/>
      </c>
      <c r="K318" s="29" t="str">
        <f t="shared" si="13"/>
        <v/>
      </c>
      <c r="L318" s="29" t="str">
        <f>IF(A318="","",SUMIF(Detalle_Pagos!$A$5:$A$2004,A318,Detalle_Pagos!$I$5:$I$2004))</f>
        <v/>
      </c>
      <c r="M318" s="29" t="str">
        <f>IF(A318="","",SUMIFS(Detalle_Pagos!$I$5:$I$2004,Detalle_Pagos!$A$5:$A$2004,A318,Detalle_Pagos!$J$5:$J$2004,"No"))</f>
        <v/>
      </c>
      <c r="N318" t="str">
        <f t="shared" si="14"/>
        <v/>
      </c>
    </row>
    <row r="319" spans="2:14" x14ac:dyDescent="0.3">
      <c r="B319" s="30"/>
      <c r="G319" s="29" t="str">
        <f>IF(A319="","",IFERROR(INDEX(Criterios!$B$4:$C$83,MATCH(D319,Criterios!$A$4:$A$83,0),IF(E319="Dentro horario",1,2)),""))</f>
        <v/>
      </c>
      <c r="H319" s="29"/>
      <c r="I319" s="29" t="str">
        <f t="shared" si="12"/>
        <v/>
      </c>
      <c r="J319" t="str">
        <f>IF(A319="","",COUNTIF(Detalle_Pagos!$A$5:$A$2004,A319))</f>
        <v/>
      </c>
      <c r="K319" s="29" t="str">
        <f t="shared" si="13"/>
        <v/>
      </c>
      <c r="L319" s="29" t="str">
        <f>IF(A319="","",SUMIF(Detalle_Pagos!$A$5:$A$2004,A319,Detalle_Pagos!$I$5:$I$2004))</f>
        <v/>
      </c>
      <c r="M319" s="29" t="str">
        <f>IF(A319="","",SUMIFS(Detalle_Pagos!$I$5:$I$2004,Detalle_Pagos!$A$5:$A$2004,A319,Detalle_Pagos!$J$5:$J$2004,"No"))</f>
        <v/>
      </c>
      <c r="N319" t="str">
        <f t="shared" si="14"/>
        <v/>
      </c>
    </row>
    <row r="320" spans="2:14" x14ac:dyDescent="0.3">
      <c r="B320" s="30"/>
      <c r="G320" s="29" t="str">
        <f>IF(A320="","",IFERROR(INDEX(Criterios!$B$4:$C$83,MATCH(D320,Criterios!$A$4:$A$83,0),IF(E320="Dentro horario",1,2)),""))</f>
        <v/>
      </c>
      <c r="H320" s="29"/>
      <c r="I320" s="29" t="str">
        <f t="shared" si="12"/>
        <v/>
      </c>
      <c r="J320" t="str">
        <f>IF(A320="","",COUNTIF(Detalle_Pagos!$A$5:$A$2004,A320))</f>
        <v/>
      </c>
      <c r="K320" s="29" t="str">
        <f t="shared" si="13"/>
        <v/>
      </c>
      <c r="L320" s="29" t="str">
        <f>IF(A320="","",SUMIF(Detalle_Pagos!$A$5:$A$2004,A320,Detalle_Pagos!$I$5:$I$2004))</f>
        <v/>
      </c>
      <c r="M320" s="29" t="str">
        <f>IF(A320="","",SUMIFS(Detalle_Pagos!$I$5:$I$2004,Detalle_Pagos!$A$5:$A$2004,A320,Detalle_Pagos!$J$5:$J$2004,"No"))</f>
        <v/>
      </c>
      <c r="N320" t="str">
        <f t="shared" si="14"/>
        <v/>
      </c>
    </row>
    <row r="321" spans="2:14" x14ac:dyDescent="0.3">
      <c r="B321" s="30"/>
      <c r="G321" s="29" t="str">
        <f>IF(A321="","",IFERROR(INDEX(Criterios!$B$4:$C$83,MATCH(D321,Criterios!$A$4:$A$83,0),IF(E321="Dentro horario",1,2)),""))</f>
        <v/>
      </c>
      <c r="H321" s="29"/>
      <c r="I321" s="29" t="str">
        <f t="shared" si="12"/>
        <v/>
      </c>
      <c r="J321" t="str">
        <f>IF(A321="","",COUNTIF(Detalle_Pagos!$A$5:$A$2004,A321))</f>
        <v/>
      </c>
      <c r="K321" s="29" t="str">
        <f t="shared" si="13"/>
        <v/>
      </c>
      <c r="L321" s="29" t="str">
        <f>IF(A321="","",SUMIF(Detalle_Pagos!$A$5:$A$2004,A321,Detalle_Pagos!$I$5:$I$2004))</f>
        <v/>
      </c>
      <c r="M321" s="29" t="str">
        <f>IF(A321="","",SUMIFS(Detalle_Pagos!$I$5:$I$2004,Detalle_Pagos!$A$5:$A$2004,A321,Detalle_Pagos!$J$5:$J$2004,"No"))</f>
        <v/>
      </c>
      <c r="N321" t="str">
        <f t="shared" si="14"/>
        <v/>
      </c>
    </row>
    <row r="322" spans="2:14" x14ac:dyDescent="0.3">
      <c r="B322" s="30"/>
      <c r="G322" s="29" t="str">
        <f>IF(A322="","",IFERROR(INDEX(Criterios!$B$4:$C$83,MATCH(D322,Criterios!$A$4:$A$83,0),IF(E322="Dentro horario",1,2)),""))</f>
        <v/>
      </c>
      <c r="H322" s="29"/>
      <c r="I322" s="29" t="str">
        <f t="shared" si="12"/>
        <v/>
      </c>
      <c r="J322" t="str">
        <f>IF(A322="","",COUNTIF(Detalle_Pagos!$A$5:$A$2004,A322))</f>
        <v/>
      </c>
      <c r="K322" s="29" t="str">
        <f t="shared" si="13"/>
        <v/>
      </c>
      <c r="L322" s="29" t="str">
        <f>IF(A322="","",SUMIF(Detalle_Pagos!$A$5:$A$2004,A322,Detalle_Pagos!$I$5:$I$2004))</f>
        <v/>
      </c>
      <c r="M322" s="29" t="str">
        <f>IF(A322="","",SUMIFS(Detalle_Pagos!$I$5:$I$2004,Detalle_Pagos!$A$5:$A$2004,A322,Detalle_Pagos!$J$5:$J$2004,"No"))</f>
        <v/>
      </c>
      <c r="N322" t="str">
        <f t="shared" si="14"/>
        <v/>
      </c>
    </row>
    <row r="323" spans="2:14" x14ac:dyDescent="0.3">
      <c r="B323" s="30"/>
      <c r="G323" s="29" t="str">
        <f>IF(A323="","",IFERROR(INDEX(Criterios!$B$4:$C$83,MATCH(D323,Criterios!$A$4:$A$83,0),IF(E323="Dentro horario",1,2)),""))</f>
        <v/>
      </c>
      <c r="H323" s="29"/>
      <c r="I323" s="29" t="str">
        <f t="shared" si="12"/>
        <v/>
      </c>
      <c r="J323" t="str">
        <f>IF(A323="","",COUNTIF(Detalle_Pagos!$A$5:$A$2004,A323))</f>
        <v/>
      </c>
      <c r="K323" s="29" t="str">
        <f t="shared" si="13"/>
        <v/>
      </c>
      <c r="L323" s="29" t="str">
        <f>IF(A323="","",SUMIF(Detalle_Pagos!$A$5:$A$2004,A323,Detalle_Pagos!$I$5:$I$2004))</f>
        <v/>
      </c>
      <c r="M323" s="29" t="str">
        <f>IF(A323="","",SUMIFS(Detalle_Pagos!$I$5:$I$2004,Detalle_Pagos!$A$5:$A$2004,A323,Detalle_Pagos!$J$5:$J$2004,"No"))</f>
        <v/>
      </c>
      <c r="N323" t="str">
        <f t="shared" si="14"/>
        <v/>
      </c>
    </row>
    <row r="324" spans="2:14" x14ac:dyDescent="0.3">
      <c r="B324" s="30"/>
      <c r="G324" s="29" t="str">
        <f>IF(A324="","",IFERROR(INDEX(Criterios!$B$4:$C$83,MATCH(D324,Criterios!$A$4:$A$83,0),IF(E324="Dentro horario",1,2)),""))</f>
        <v/>
      </c>
      <c r="H324" s="29"/>
      <c r="I324" s="29" t="str">
        <f t="shared" si="12"/>
        <v/>
      </c>
      <c r="J324" t="str">
        <f>IF(A324="","",COUNTIF(Detalle_Pagos!$A$5:$A$2004,A324))</f>
        <v/>
      </c>
      <c r="K324" s="29" t="str">
        <f t="shared" si="13"/>
        <v/>
      </c>
      <c r="L324" s="29" t="str">
        <f>IF(A324="","",SUMIF(Detalle_Pagos!$A$5:$A$2004,A324,Detalle_Pagos!$I$5:$I$2004))</f>
        <v/>
      </c>
      <c r="M324" s="29" t="str">
        <f>IF(A324="","",SUMIFS(Detalle_Pagos!$I$5:$I$2004,Detalle_Pagos!$A$5:$A$2004,A324,Detalle_Pagos!$J$5:$J$2004,"No"))</f>
        <v/>
      </c>
      <c r="N324" t="str">
        <f t="shared" si="14"/>
        <v/>
      </c>
    </row>
    <row r="325" spans="2:14" x14ac:dyDescent="0.3">
      <c r="B325" s="30"/>
      <c r="G325" s="29" t="str">
        <f>IF(A325="","",IFERROR(INDEX(Criterios!$B$4:$C$83,MATCH(D325,Criterios!$A$4:$A$83,0),IF(E325="Dentro horario",1,2)),""))</f>
        <v/>
      </c>
      <c r="H325" s="29"/>
      <c r="I325" s="29" t="str">
        <f t="shared" ref="I325:I388" si="15">IF(A325="","",IF(OR(F325="",G325=""),"",F325*G325+N(H325)))</f>
        <v/>
      </c>
      <c r="J325" t="str">
        <f>IF(A325="","",COUNTIF(Detalle_Pagos!$A$5:$A$2004,A325))</f>
        <v/>
      </c>
      <c r="K325" s="29" t="str">
        <f t="shared" ref="K325:K388" si="16">IF(A325="","",IF(OR(J325=0,I325=""),"",I325/J325))</f>
        <v/>
      </c>
      <c r="L325" s="29" t="str">
        <f>IF(A325="","",SUMIF(Detalle_Pagos!$A$5:$A$2004,A325,Detalle_Pagos!$I$5:$I$2004))</f>
        <v/>
      </c>
      <c r="M325" s="29" t="str">
        <f>IF(A325="","",SUMIFS(Detalle_Pagos!$I$5:$I$2004,Detalle_Pagos!$A$5:$A$2004,A325,Detalle_Pagos!$J$5:$J$2004,"No"))</f>
        <v/>
      </c>
      <c r="N325" t="str">
        <f t="shared" ref="N325:N388" si="17">IF(A325="","",IF(J325=0,"Sin detalle",IF(M325=0,"Pagada","Pendiente")))</f>
        <v/>
      </c>
    </row>
    <row r="326" spans="2:14" x14ac:dyDescent="0.3">
      <c r="B326" s="30"/>
      <c r="G326" s="29" t="str">
        <f>IF(A326="","",IFERROR(INDEX(Criterios!$B$4:$C$83,MATCH(D326,Criterios!$A$4:$A$83,0),IF(E326="Dentro horario",1,2)),""))</f>
        <v/>
      </c>
      <c r="H326" s="29"/>
      <c r="I326" s="29" t="str">
        <f t="shared" si="15"/>
        <v/>
      </c>
      <c r="J326" t="str">
        <f>IF(A326="","",COUNTIF(Detalle_Pagos!$A$5:$A$2004,A326))</f>
        <v/>
      </c>
      <c r="K326" s="29" t="str">
        <f t="shared" si="16"/>
        <v/>
      </c>
      <c r="L326" s="29" t="str">
        <f>IF(A326="","",SUMIF(Detalle_Pagos!$A$5:$A$2004,A326,Detalle_Pagos!$I$5:$I$2004))</f>
        <v/>
      </c>
      <c r="M326" s="29" t="str">
        <f>IF(A326="","",SUMIFS(Detalle_Pagos!$I$5:$I$2004,Detalle_Pagos!$A$5:$A$2004,A326,Detalle_Pagos!$J$5:$J$2004,"No"))</f>
        <v/>
      </c>
      <c r="N326" t="str">
        <f t="shared" si="17"/>
        <v/>
      </c>
    </row>
    <row r="327" spans="2:14" x14ac:dyDescent="0.3">
      <c r="B327" s="30"/>
      <c r="G327" s="29" t="str">
        <f>IF(A327="","",IFERROR(INDEX(Criterios!$B$4:$C$83,MATCH(D327,Criterios!$A$4:$A$83,0),IF(E327="Dentro horario",1,2)),""))</f>
        <v/>
      </c>
      <c r="H327" s="29"/>
      <c r="I327" s="29" t="str">
        <f t="shared" si="15"/>
        <v/>
      </c>
      <c r="J327" t="str">
        <f>IF(A327="","",COUNTIF(Detalle_Pagos!$A$5:$A$2004,A327))</f>
        <v/>
      </c>
      <c r="K327" s="29" t="str">
        <f t="shared" si="16"/>
        <v/>
      </c>
      <c r="L327" s="29" t="str">
        <f>IF(A327="","",SUMIF(Detalle_Pagos!$A$5:$A$2004,A327,Detalle_Pagos!$I$5:$I$2004))</f>
        <v/>
      </c>
      <c r="M327" s="29" t="str">
        <f>IF(A327="","",SUMIFS(Detalle_Pagos!$I$5:$I$2004,Detalle_Pagos!$A$5:$A$2004,A327,Detalle_Pagos!$J$5:$J$2004,"No"))</f>
        <v/>
      </c>
      <c r="N327" t="str">
        <f t="shared" si="17"/>
        <v/>
      </c>
    </row>
    <row r="328" spans="2:14" x14ac:dyDescent="0.3">
      <c r="B328" s="30"/>
      <c r="G328" s="29" t="str">
        <f>IF(A328="","",IFERROR(INDEX(Criterios!$B$4:$C$83,MATCH(D328,Criterios!$A$4:$A$83,0),IF(E328="Dentro horario",1,2)),""))</f>
        <v/>
      </c>
      <c r="H328" s="29"/>
      <c r="I328" s="29" t="str">
        <f t="shared" si="15"/>
        <v/>
      </c>
      <c r="J328" t="str">
        <f>IF(A328="","",COUNTIF(Detalle_Pagos!$A$5:$A$2004,A328))</f>
        <v/>
      </c>
      <c r="K328" s="29" t="str">
        <f t="shared" si="16"/>
        <v/>
      </c>
      <c r="L328" s="29" t="str">
        <f>IF(A328="","",SUMIF(Detalle_Pagos!$A$5:$A$2004,A328,Detalle_Pagos!$I$5:$I$2004))</f>
        <v/>
      </c>
      <c r="M328" s="29" t="str">
        <f>IF(A328="","",SUMIFS(Detalle_Pagos!$I$5:$I$2004,Detalle_Pagos!$A$5:$A$2004,A328,Detalle_Pagos!$J$5:$J$2004,"No"))</f>
        <v/>
      </c>
      <c r="N328" t="str">
        <f t="shared" si="17"/>
        <v/>
      </c>
    </row>
    <row r="329" spans="2:14" x14ac:dyDescent="0.3">
      <c r="B329" s="30"/>
      <c r="G329" s="29" t="str">
        <f>IF(A329="","",IFERROR(INDEX(Criterios!$B$4:$C$83,MATCH(D329,Criterios!$A$4:$A$83,0),IF(E329="Dentro horario",1,2)),""))</f>
        <v/>
      </c>
      <c r="H329" s="29"/>
      <c r="I329" s="29" t="str">
        <f t="shared" si="15"/>
        <v/>
      </c>
      <c r="J329" t="str">
        <f>IF(A329="","",COUNTIF(Detalle_Pagos!$A$5:$A$2004,A329))</f>
        <v/>
      </c>
      <c r="K329" s="29" t="str">
        <f t="shared" si="16"/>
        <v/>
      </c>
      <c r="L329" s="29" t="str">
        <f>IF(A329="","",SUMIF(Detalle_Pagos!$A$5:$A$2004,A329,Detalle_Pagos!$I$5:$I$2004))</f>
        <v/>
      </c>
      <c r="M329" s="29" t="str">
        <f>IF(A329="","",SUMIFS(Detalle_Pagos!$I$5:$I$2004,Detalle_Pagos!$A$5:$A$2004,A329,Detalle_Pagos!$J$5:$J$2004,"No"))</f>
        <v/>
      </c>
      <c r="N329" t="str">
        <f t="shared" si="17"/>
        <v/>
      </c>
    </row>
    <row r="330" spans="2:14" x14ac:dyDescent="0.3">
      <c r="B330" s="30"/>
      <c r="G330" s="29" t="str">
        <f>IF(A330="","",IFERROR(INDEX(Criterios!$B$4:$C$83,MATCH(D330,Criterios!$A$4:$A$83,0),IF(E330="Dentro horario",1,2)),""))</f>
        <v/>
      </c>
      <c r="H330" s="29"/>
      <c r="I330" s="29" t="str">
        <f t="shared" si="15"/>
        <v/>
      </c>
      <c r="J330" t="str">
        <f>IF(A330="","",COUNTIF(Detalle_Pagos!$A$5:$A$2004,A330))</f>
        <v/>
      </c>
      <c r="K330" s="29" t="str">
        <f t="shared" si="16"/>
        <v/>
      </c>
      <c r="L330" s="29" t="str">
        <f>IF(A330="","",SUMIF(Detalle_Pagos!$A$5:$A$2004,A330,Detalle_Pagos!$I$5:$I$2004))</f>
        <v/>
      </c>
      <c r="M330" s="29" t="str">
        <f>IF(A330="","",SUMIFS(Detalle_Pagos!$I$5:$I$2004,Detalle_Pagos!$A$5:$A$2004,A330,Detalle_Pagos!$J$5:$J$2004,"No"))</f>
        <v/>
      </c>
      <c r="N330" t="str">
        <f t="shared" si="17"/>
        <v/>
      </c>
    </row>
    <row r="331" spans="2:14" x14ac:dyDescent="0.3">
      <c r="B331" s="30"/>
      <c r="G331" s="29" t="str">
        <f>IF(A331="","",IFERROR(INDEX(Criterios!$B$4:$C$83,MATCH(D331,Criterios!$A$4:$A$83,0),IF(E331="Dentro horario",1,2)),""))</f>
        <v/>
      </c>
      <c r="H331" s="29"/>
      <c r="I331" s="29" t="str">
        <f t="shared" si="15"/>
        <v/>
      </c>
      <c r="J331" t="str">
        <f>IF(A331="","",COUNTIF(Detalle_Pagos!$A$5:$A$2004,A331))</f>
        <v/>
      </c>
      <c r="K331" s="29" t="str">
        <f t="shared" si="16"/>
        <v/>
      </c>
      <c r="L331" s="29" t="str">
        <f>IF(A331="","",SUMIF(Detalle_Pagos!$A$5:$A$2004,A331,Detalle_Pagos!$I$5:$I$2004))</f>
        <v/>
      </c>
      <c r="M331" s="29" t="str">
        <f>IF(A331="","",SUMIFS(Detalle_Pagos!$I$5:$I$2004,Detalle_Pagos!$A$5:$A$2004,A331,Detalle_Pagos!$J$5:$J$2004,"No"))</f>
        <v/>
      </c>
      <c r="N331" t="str">
        <f t="shared" si="17"/>
        <v/>
      </c>
    </row>
    <row r="332" spans="2:14" x14ac:dyDescent="0.3">
      <c r="B332" s="30"/>
      <c r="G332" s="29" t="str">
        <f>IF(A332="","",IFERROR(INDEX(Criterios!$B$4:$C$83,MATCH(D332,Criterios!$A$4:$A$83,0),IF(E332="Dentro horario",1,2)),""))</f>
        <v/>
      </c>
      <c r="H332" s="29"/>
      <c r="I332" s="29" t="str">
        <f t="shared" si="15"/>
        <v/>
      </c>
      <c r="J332" t="str">
        <f>IF(A332="","",COUNTIF(Detalle_Pagos!$A$5:$A$2004,A332))</f>
        <v/>
      </c>
      <c r="K332" s="29" t="str">
        <f t="shared" si="16"/>
        <v/>
      </c>
      <c r="L332" s="29" t="str">
        <f>IF(A332="","",SUMIF(Detalle_Pagos!$A$5:$A$2004,A332,Detalle_Pagos!$I$5:$I$2004))</f>
        <v/>
      </c>
      <c r="M332" s="29" t="str">
        <f>IF(A332="","",SUMIFS(Detalle_Pagos!$I$5:$I$2004,Detalle_Pagos!$A$5:$A$2004,A332,Detalle_Pagos!$J$5:$J$2004,"No"))</f>
        <v/>
      </c>
      <c r="N332" t="str">
        <f t="shared" si="17"/>
        <v/>
      </c>
    </row>
    <row r="333" spans="2:14" x14ac:dyDescent="0.3">
      <c r="B333" s="30"/>
      <c r="G333" s="29" t="str">
        <f>IF(A333="","",IFERROR(INDEX(Criterios!$B$4:$C$83,MATCH(D333,Criterios!$A$4:$A$83,0),IF(E333="Dentro horario",1,2)),""))</f>
        <v/>
      </c>
      <c r="H333" s="29"/>
      <c r="I333" s="29" t="str">
        <f t="shared" si="15"/>
        <v/>
      </c>
      <c r="J333" t="str">
        <f>IF(A333="","",COUNTIF(Detalle_Pagos!$A$5:$A$2004,A333))</f>
        <v/>
      </c>
      <c r="K333" s="29" t="str">
        <f t="shared" si="16"/>
        <v/>
      </c>
      <c r="L333" s="29" t="str">
        <f>IF(A333="","",SUMIF(Detalle_Pagos!$A$5:$A$2004,A333,Detalle_Pagos!$I$5:$I$2004))</f>
        <v/>
      </c>
      <c r="M333" s="29" t="str">
        <f>IF(A333="","",SUMIFS(Detalle_Pagos!$I$5:$I$2004,Detalle_Pagos!$A$5:$A$2004,A333,Detalle_Pagos!$J$5:$J$2004,"No"))</f>
        <v/>
      </c>
      <c r="N333" t="str">
        <f t="shared" si="17"/>
        <v/>
      </c>
    </row>
    <row r="334" spans="2:14" x14ac:dyDescent="0.3">
      <c r="B334" s="30"/>
      <c r="G334" s="29" t="str">
        <f>IF(A334="","",IFERROR(INDEX(Criterios!$B$4:$C$83,MATCH(D334,Criterios!$A$4:$A$83,0),IF(E334="Dentro horario",1,2)),""))</f>
        <v/>
      </c>
      <c r="H334" s="29"/>
      <c r="I334" s="29" t="str">
        <f t="shared" si="15"/>
        <v/>
      </c>
      <c r="J334" t="str">
        <f>IF(A334="","",COUNTIF(Detalle_Pagos!$A$5:$A$2004,A334))</f>
        <v/>
      </c>
      <c r="K334" s="29" t="str">
        <f t="shared" si="16"/>
        <v/>
      </c>
      <c r="L334" s="29" t="str">
        <f>IF(A334="","",SUMIF(Detalle_Pagos!$A$5:$A$2004,A334,Detalle_Pagos!$I$5:$I$2004))</f>
        <v/>
      </c>
      <c r="M334" s="29" t="str">
        <f>IF(A334="","",SUMIFS(Detalle_Pagos!$I$5:$I$2004,Detalle_Pagos!$A$5:$A$2004,A334,Detalle_Pagos!$J$5:$J$2004,"No"))</f>
        <v/>
      </c>
      <c r="N334" t="str">
        <f t="shared" si="17"/>
        <v/>
      </c>
    </row>
    <row r="335" spans="2:14" x14ac:dyDescent="0.3">
      <c r="B335" s="30"/>
      <c r="G335" s="29" t="str">
        <f>IF(A335="","",IFERROR(INDEX(Criterios!$B$4:$C$83,MATCH(D335,Criterios!$A$4:$A$83,0),IF(E335="Dentro horario",1,2)),""))</f>
        <v/>
      </c>
      <c r="H335" s="29"/>
      <c r="I335" s="29" t="str">
        <f t="shared" si="15"/>
        <v/>
      </c>
      <c r="J335" t="str">
        <f>IF(A335="","",COUNTIF(Detalle_Pagos!$A$5:$A$2004,A335))</f>
        <v/>
      </c>
      <c r="K335" s="29" t="str">
        <f t="shared" si="16"/>
        <v/>
      </c>
      <c r="L335" s="29" t="str">
        <f>IF(A335="","",SUMIF(Detalle_Pagos!$A$5:$A$2004,A335,Detalle_Pagos!$I$5:$I$2004))</f>
        <v/>
      </c>
      <c r="M335" s="29" t="str">
        <f>IF(A335="","",SUMIFS(Detalle_Pagos!$I$5:$I$2004,Detalle_Pagos!$A$5:$A$2004,A335,Detalle_Pagos!$J$5:$J$2004,"No"))</f>
        <v/>
      </c>
      <c r="N335" t="str">
        <f t="shared" si="17"/>
        <v/>
      </c>
    </row>
    <row r="336" spans="2:14" x14ac:dyDescent="0.3">
      <c r="B336" s="30"/>
      <c r="G336" s="29" t="str">
        <f>IF(A336="","",IFERROR(INDEX(Criterios!$B$4:$C$83,MATCH(D336,Criterios!$A$4:$A$83,0),IF(E336="Dentro horario",1,2)),""))</f>
        <v/>
      </c>
      <c r="H336" s="29"/>
      <c r="I336" s="29" t="str">
        <f t="shared" si="15"/>
        <v/>
      </c>
      <c r="J336" t="str">
        <f>IF(A336="","",COUNTIF(Detalle_Pagos!$A$5:$A$2004,A336))</f>
        <v/>
      </c>
      <c r="K336" s="29" t="str">
        <f t="shared" si="16"/>
        <v/>
      </c>
      <c r="L336" s="29" t="str">
        <f>IF(A336="","",SUMIF(Detalle_Pagos!$A$5:$A$2004,A336,Detalle_Pagos!$I$5:$I$2004))</f>
        <v/>
      </c>
      <c r="M336" s="29" t="str">
        <f>IF(A336="","",SUMIFS(Detalle_Pagos!$I$5:$I$2004,Detalle_Pagos!$A$5:$A$2004,A336,Detalle_Pagos!$J$5:$J$2004,"No"))</f>
        <v/>
      </c>
      <c r="N336" t="str">
        <f t="shared" si="17"/>
        <v/>
      </c>
    </row>
    <row r="337" spans="2:14" x14ac:dyDescent="0.3">
      <c r="B337" s="30"/>
      <c r="G337" s="29" t="str">
        <f>IF(A337="","",IFERROR(INDEX(Criterios!$B$4:$C$83,MATCH(D337,Criterios!$A$4:$A$83,0),IF(E337="Dentro horario",1,2)),""))</f>
        <v/>
      </c>
      <c r="H337" s="29"/>
      <c r="I337" s="29" t="str">
        <f t="shared" si="15"/>
        <v/>
      </c>
      <c r="J337" t="str">
        <f>IF(A337="","",COUNTIF(Detalle_Pagos!$A$5:$A$2004,A337))</f>
        <v/>
      </c>
      <c r="K337" s="29" t="str">
        <f t="shared" si="16"/>
        <v/>
      </c>
      <c r="L337" s="29" t="str">
        <f>IF(A337="","",SUMIF(Detalle_Pagos!$A$5:$A$2004,A337,Detalle_Pagos!$I$5:$I$2004))</f>
        <v/>
      </c>
      <c r="M337" s="29" t="str">
        <f>IF(A337="","",SUMIFS(Detalle_Pagos!$I$5:$I$2004,Detalle_Pagos!$A$5:$A$2004,A337,Detalle_Pagos!$J$5:$J$2004,"No"))</f>
        <v/>
      </c>
      <c r="N337" t="str">
        <f t="shared" si="17"/>
        <v/>
      </c>
    </row>
    <row r="338" spans="2:14" x14ac:dyDescent="0.3">
      <c r="B338" s="30"/>
      <c r="G338" s="29" t="str">
        <f>IF(A338="","",IFERROR(INDEX(Criterios!$B$4:$C$83,MATCH(D338,Criterios!$A$4:$A$83,0),IF(E338="Dentro horario",1,2)),""))</f>
        <v/>
      </c>
      <c r="H338" s="29"/>
      <c r="I338" s="29" t="str">
        <f t="shared" si="15"/>
        <v/>
      </c>
      <c r="J338" t="str">
        <f>IF(A338="","",COUNTIF(Detalle_Pagos!$A$5:$A$2004,A338))</f>
        <v/>
      </c>
      <c r="K338" s="29" t="str">
        <f t="shared" si="16"/>
        <v/>
      </c>
      <c r="L338" s="29" t="str">
        <f>IF(A338="","",SUMIF(Detalle_Pagos!$A$5:$A$2004,A338,Detalle_Pagos!$I$5:$I$2004))</f>
        <v/>
      </c>
      <c r="M338" s="29" t="str">
        <f>IF(A338="","",SUMIFS(Detalle_Pagos!$I$5:$I$2004,Detalle_Pagos!$A$5:$A$2004,A338,Detalle_Pagos!$J$5:$J$2004,"No"))</f>
        <v/>
      </c>
      <c r="N338" t="str">
        <f t="shared" si="17"/>
        <v/>
      </c>
    </row>
    <row r="339" spans="2:14" x14ac:dyDescent="0.3">
      <c r="B339" s="30"/>
      <c r="G339" s="29" t="str">
        <f>IF(A339="","",IFERROR(INDEX(Criterios!$B$4:$C$83,MATCH(D339,Criterios!$A$4:$A$83,0),IF(E339="Dentro horario",1,2)),""))</f>
        <v/>
      </c>
      <c r="H339" s="29"/>
      <c r="I339" s="29" t="str">
        <f t="shared" si="15"/>
        <v/>
      </c>
      <c r="J339" t="str">
        <f>IF(A339="","",COUNTIF(Detalle_Pagos!$A$5:$A$2004,A339))</f>
        <v/>
      </c>
      <c r="K339" s="29" t="str">
        <f t="shared" si="16"/>
        <v/>
      </c>
      <c r="L339" s="29" t="str">
        <f>IF(A339="","",SUMIF(Detalle_Pagos!$A$5:$A$2004,A339,Detalle_Pagos!$I$5:$I$2004))</f>
        <v/>
      </c>
      <c r="M339" s="29" t="str">
        <f>IF(A339="","",SUMIFS(Detalle_Pagos!$I$5:$I$2004,Detalle_Pagos!$A$5:$A$2004,A339,Detalle_Pagos!$J$5:$J$2004,"No"))</f>
        <v/>
      </c>
      <c r="N339" t="str">
        <f t="shared" si="17"/>
        <v/>
      </c>
    </row>
    <row r="340" spans="2:14" x14ac:dyDescent="0.3">
      <c r="B340" s="30"/>
      <c r="G340" s="29" t="str">
        <f>IF(A340="","",IFERROR(INDEX(Criterios!$B$4:$C$83,MATCH(D340,Criterios!$A$4:$A$83,0),IF(E340="Dentro horario",1,2)),""))</f>
        <v/>
      </c>
      <c r="H340" s="29"/>
      <c r="I340" s="29" t="str">
        <f t="shared" si="15"/>
        <v/>
      </c>
      <c r="J340" t="str">
        <f>IF(A340="","",COUNTIF(Detalle_Pagos!$A$5:$A$2004,A340))</f>
        <v/>
      </c>
      <c r="K340" s="29" t="str">
        <f t="shared" si="16"/>
        <v/>
      </c>
      <c r="L340" s="29" t="str">
        <f>IF(A340="","",SUMIF(Detalle_Pagos!$A$5:$A$2004,A340,Detalle_Pagos!$I$5:$I$2004))</f>
        <v/>
      </c>
      <c r="M340" s="29" t="str">
        <f>IF(A340="","",SUMIFS(Detalle_Pagos!$I$5:$I$2004,Detalle_Pagos!$A$5:$A$2004,A340,Detalle_Pagos!$J$5:$J$2004,"No"))</f>
        <v/>
      </c>
      <c r="N340" t="str">
        <f t="shared" si="17"/>
        <v/>
      </c>
    </row>
    <row r="341" spans="2:14" x14ac:dyDescent="0.3">
      <c r="B341" s="30"/>
      <c r="G341" s="29" t="str">
        <f>IF(A341="","",IFERROR(INDEX(Criterios!$B$4:$C$83,MATCH(D341,Criterios!$A$4:$A$83,0),IF(E341="Dentro horario",1,2)),""))</f>
        <v/>
      </c>
      <c r="H341" s="29"/>
      <c r="I341" s="29" t="str">
        <f t="shared" si="15"/>
        <v/>
      </c>
      <c r="J341" t="str">
        <f>IF(A341="","",COUNTIF(Detalle_Pagos!$A$5:$A$2004,A341))</f>
        <v/>
      </c>
      <c r="K341" s="29" t="str">
        <f t="shared" si="16"/>
        <v/>
      </c>
      <c r="L341" s="29" t="str">
        <f>IF(A341="","",SUMIF(Detalle_Pagos!$A$5:$A$2004,A341,Detalle_Pagos!$I$5:$I$2004))</f>
        <v/>
      </c>
      <c r="M341" s="29" t="str">
        <f>IF(A341="","",SUMIFS(Detalle_Pagos!$I$5:$I$2004,Detalle_Pagos!$A$5:$A$2004,A341,Detalle_Pagos!$J$5:$J$2004,"No"))</f>
        <v/>
      </c>
      <c r="N341" t="str">
        <f t="shared" si="17"/>
        <v/>
      </c>
    </row>
    <row r="342" spans="2:14" x14ac:dyDescent="0.3">
      <c r="B342" s="30"/>
      <c r="G342" s="29" t="str">
        <f>IF(A342="","",IFERROR(INDEX(Criterios!$B$4:$C$83,MATCH(D342,Criterios!$A$4:$A$83,0),IF(E342="Dentro horario",1,2)),""))</f>
        <v/>
      </c>
      <c r="H342" s="29"/>
      <c r="I342" s="29" t="str">
        <f t="shared" si="15"/>
        <v/>
      </c>
      <c r="J342" t="str">
        <f>IF(A342="","",COUNTIF(Detalle_Pagos!$A$5:$A$2004,A342))</f>
        <v/>
      </c>
      <c r="K342" s="29" t="str">
        <f t="shared" si="16"/>
        <v/>
      </c>
      <c r="L342" s="29" t="str">
        <f>IF(A342="","",SUMIF(Detalle_Pagos!$A$5:$A$2004,A342,Detalle_Pagos!$I$5:$I$2004))</f>
        <v/>
      </c>
      <c r="M342" s="29" t="str">
        <f>IF(A342="","",SUMIFS(Detalle_Pagos!$I$5:$I$2004,Detalle_Pagos!$A$5:$A$2004,A342,Detalle_Pagos!$J$5:$J$2004,"No"))</f>
        <v/>
      </c>
      <c r="N342" t="str">
        <f t="shared" si="17"/>
        <v/>
      </c>
    </row>
    <row r="343" spans="2:14" x14ac:dyDescent="0.3">
      <c r="B343" s="30"/>
      <c r="G343" s="29" t="str">
        <f>IF(A343="","",IFERROR(INDEX(Criterios!$B$4:$C$83,MATCH(D343,Criterios!$A$4:$A$83,0),IF(E343="Dentro horario",1,2)),""))</f>
        <v/>
      </c>
      <c r="H343" s="29"/>
      <c r="I343" s="29" t="str">
        <f t="shared" si="15"/>
        <v/>
      </c>
      <c r="J343" t="str">
        <f>IF(A343="","",COUNTIF(Detalle_Pagos!$A$5:$A$2004,A343))</f>
        <v/>
      </c>
      <c r="K343" s="29" t="str">
        <f t="shared" si="16"/>
        <v/>
      </c>
      <c r="L343" s="29" t="str">
        <f>IF(A343="","",SUMIF(Detalle_Pagos!$A$5:$A$2004,A343,Detalle_Pagos!$I$5:$I$2004))</f>
        <v/>
      </c>
      <c r="M343" s="29" t="str">
        <f>IF(A343="","",SUMIFS(Detalle_Pagos!$I$5:$I$2004,Detalle_Pagos!$A$5:$A$2004,A343,Detalle_Pagos!$J$5:$J$2004,"No"))</f>
        <v/>
      </c>
      <c r="N343" t="str">
        <f t="shared" si="17"/>
        <v/>
      </c>
    </row>
    <row r="344" spans="2:14" x14ac:dyDescent="0.3">
      <c r="B344" s="30"/>
      <c r="G344" s="29" t="str">
        <f>IF(A344="","",IFERROR(INDEX(Criterios!$B$4:$C$83,MATCH(D344,Criterios!$A$4:$A$83,0),IF(E344="Dentro horario",1,2)),""))</f>
        <v/>
      </c>
      <c r="H344" s="29"/>
      <c r="I344" s="29" t="str">
        <f t="shared" si="15"/>
        <v/>
      </c>
      <c r="J344" t="str">
        <f>IF(A344="","",COUNTIF(Detalle_Pagos!$A$5:$A$2004,A344))</f>
        <v/>
      </c>
      <c r="K344" s="29" t="str">
        <f t="shared" si="16"/>
        <v/>
      </c>
      <c r="L344" s="29" t="str">
        <f>IF(A344="","",SUMIF(Detalle_Pagos!$A$5:$A$2004,A344,Detalle_Pagos!$I$5:$I$2004))</f>
        <v/>
      </c>
      <c r="M344" s="29" t="str">
        <f>IF(A344="","",SUMIFS(Detalle_Pagos!$I$5:$I$2004,Detalle_Pagos!$A$5:$A$2004,A344,Detalle_Pagos!$J$5:$J$2004,"No"))</f>
        <v/>
      </c>
      <c r="N344" t="str">
        <f t="shared" si="17"/>
        <v/>
      </c>
    </row>
    <row r="345" spans="2:14" x14ac:dyDescent="0.3">
      <c r="B345" s="30"/>
      <c r="G345" s="29" t="str">
        <f>IF(A345="","",IFERROR(INDEX(Criterios!$B$4:$C$83,MATCH(D345,Criterios!$A$4:$A$83,0),IF(E345="Dentro horario",1,2)),""))</f>
        <v/>
      </c>
      <c r="H345" s="29"/>
      <c r="I345" s="29" t="str">
        <f t="shared" si="15"/>
        <v/>
      </c>
      <c r="J345" t="str">
        <f>IF(A345="","",COUNTIF(Detalle_Pagos!$A$5:$A$2004,A345))</f>
        <v/>
      </c>
      <c r="K345" s="29" t="str">
        <f t="shared" si="16"/>
        <v/>
      </c>
      <c r="L345" s="29" t="str">
        <f>IF(A345="","",SUMIF(Detalle_Pagos!$A$5:$A$2004,A345,Detalle_Pagos!$I$5:$I$2004))</f>
        <v/>
      </c>
      <c r="M345" s="29" t="str">
        <f>IF(A345="","",SUMIFS(Detalle_Pagos!$I$5:$I$2004,Detalle_Pagos!$A$5:$A$2004,A345,Detalle_Pagos!$J$5:$J$2004,"No"))</f>
        <v/>
      </c>
      <c r="N345" t="str">
        <f t="shared" si="17"/>
        <v/>
      </c>
    </row>
    <row r="346" spans="2:14" x14ac:dyDescent="0.3">
      <c r="B346" s="30"/>
      <c r="G346" s="29" t="str">
        <f>IF(A346="","",IFERROR(INDEX(Criterios!$B$4:$C$83,MATCH(D346,Criterios!$A$4:$A$83,0),IF(E346="Dentro horario",1,2)),""))</f>
        <v/>
      </c>
      <c r="H346" s="29"/>
      <c r="I346" s="29" t="str">
        <f t="shared" si="15"/>
        <v/>
      </c>
      <c r="J346" t="str">
        <f>IF(A346="","",COUNTIF(Detalle_Pagos!$A$5:$A$2004,A346))</f>
        <v/>
      </c>
      <c r="K346" s="29" t="str">
        <f t="shared" si="16"/>
        <v/>
      </c>
      <c r="L346" s="29" t="str">
        <f>IF(A346="","",SUMIF(Detalle_Pagos!$A$5:$A$2004,A346,Detalle_Pagos!$I$5:$I$2004))</f>
        <v/>
      </c>
      <c r="M346" s="29" t="str">
        <f>IF(A346="","",SUMIFS(Detalle_Pagos!$I$5:$I$2004,Detalle_Pagos!$A$5:$A$2004,A346,Detalle_Pagos!$J$5:$J$2004,"No"))</f>
        <v/>
      </c>
      <c r="N346" t="str">
        <f t="shared" si="17"/>
        <v/>
      </c>
    </row>
    <row r="347" spans="2:14" x14ac:dyDescent="0.3">
      <c r="B347" s="30"/>
      <c r="G347" s="29" t="str">
        <f>IF(A347="","",IFERROR(INDEX(Criterios!$B$4:$C$83,MATCH(D347,Criterios!$A$4:$A$83,0),IF(E347="Dentro horario",1,2)),""))</f>
        <v/>
      </c>
      <c r="H347" s="29"/>
      <c r="I347" s="29" t="str">
        <f t="shared" si="15"/>
        <v/>
      </c>
      <c r="J347" t="str">
        <f>IF(A347="","",COUNTIF(Detalle_Pagos!$A$5:$A$2004,A347))</f>
        <v/>
      </c>
      <c r="K347" s="29" t="str">
        <f t="shared" si="16"/>
        <v/>
      </c>
      <c r="L347" s="29" t="str">
        <f>IF(A347="","",SUMIF(Detalle_Pagos!$A$5:$A$2004,A347,Detalle_Pagos!$I$5:$I$2004))</f>
        <v/>
      </c>
      <c r="M347" s="29" t="str">
        <f>IF(A347="","",SUMIFS(Detalle_Pagos!$I$5:$I$2004,Detalle_Pagos!$A$5:$A$2004,A347,Detalle_Pagos!$J$5:$J$2004,"No"))</f>
        <v/>
      </c>
      <c r="N347" t="str">
        <f t="shared" si="17"/>
        <v/>
      </c>
    </row>
    <row r="348" spans="2:14" x14ac:dyDescent="0.3">
      <c r="B348" s="30"/>
      <c r="G348" s="29" t="str">
        <f>IF(A348="","",IFERROR(INDEX(Criterios!$B$4:$C$83,MATCH(D348,Criterios!$A$4:$A$83,0),IF(E348="Dentro horario",1,2)),""))</f>
        <v/>
      </c>
      <c r="H348" s="29"/>
      <c r="I348" s="29" t="str">
        <f t="shared" si="15"/>
        <v/>
      </c>
      <c r="J348" t="str">
        <f>IF(A348="","",COUNTIF(Detalle_Pagos!$A$5:$A$2004,A348))</f>
        <v/>
      </c>
      <c r="K348" s="29" t="str">
        <f t="shared" si="16"/>
        <v/>
      </c>
      <c r="L348" s="29" t="str">
        <f>IF(A348="","",SUMIF(Detalle_Pagos!$A$5:$A$2004,A348,Detalle_Pagos!$I$5:$I$2004))</f>
        <v/>
      </c>
      <c r="M348" s="29" t="str">
        <f>IF(A348="","",SUMIFS(Detalle_Pagos!$I$5:$I$2004,Detalle_Pagos!$A$5:$A$2004,A348,Detalle_Pagos!$J$5:$J$2004,"No"))</f>
        <v/>
      </c>
      <c r="N348" t="str">
        <f t="shared" si="17"/>
        <v/>
      </c>
    </row>
    <row r="349" spans="2:14" x14ac:dyDescent="0.3">
      <c r="B349" s="30"/>
      <c r="G349" s="29" t="str">
        <f>IF(A349="","",IFERROR(INDEX(Criterios!$B$4:$C$83,MATCH(D349,Criterios!$A$4:$A$83,0),IF(E349="Dentro horario",1,2)),""))</f>
        <v/>
      </c>
      <c r="H349" s="29"/>
      <c r="I349" s="29" t="str">
        <f t="shared" si="15"/>
        <v/>
      </c>
      <c r="J349" t="str">
        <f>IF(A349="","",COUNTIF(Detalle_Pagos!$A$5:$A$2004,A349))</f>
        <v/>
      </c>
      <c r="K349" s="29" t="str">
        <f t="shared" si="16"/>
        <v/>
      </c>
      <c r="L349" s="29" t="str">
        <f>IF(A349="","",SUMIF(Detalle_Pagos!$A$5:$A$2004,A349,Detalle_Pagos!$I$5:$I$2004))</f>
        <v/>
      </c>
      <c r="M349" s="29" t="str">
        <f>IF(A349="","",SUMIFS(Detalle_Pagos!$I$5:$I$2004,Detalle_Pagos!$A$5:$A$2004,A349,Detalle_Pagos!$J$5:$J$2004,"No"))</f>
        <v/>
      </c>
      <c r="N349" t="str">
        <f t="shared" si="17"/>
        <v/>
      </c>
    </row>
    <row r="350" spans="2:14" x14ac:dyDescent="0.3">
      <c r="B350" s="30"/>
      <c r="G350" s="29" t="str">
        <f>IF(A350="","",IFERROR(INDEX(Criterios!$B$4:$C$83,MATCH(D350,Criterios!$A$4:$A$83,0),IF(E350="Dentro horario",1,2)),""))</f>
        <v/>
      </c>
      <c r="H350" s="29"/>
      <c r="I350" s="29" t="str">
        <f t="shared" si="15"/>
        <v/>
      </c>
      <c r="J350" t="str">
        <f>IF(A350="","",COUNTIF(Detalle_Pagos!$A$5:$A$2004,A350))</f>
        <v/>
      </c>
      <c r="K350" s="29" t="str">
        <f t="shared" si="16"/>
        <v/>
      </c>
      <c r="L350" s="29" t="str">
        <f>IF(A350="","",SUMIF(Detalle_Pagos!$A$5:$A$2004,A350,Detalle_Pagos!$I$5:$I$2004))</f>
        <v/>
      </c>
      <c r="M350" s="29" t="str">
        <f>IF(A350="","",SUMIFS(Detalle_Pagos!$I$5:$I$2004,Detalle_Pagos!$A$5:$A$2004,A350,Detalle_Pagos!$J$5:$J$2004,"No"))</f>
        <v/>
      </c>
      <c r="N350" t="str">
        <f t="shared" si="17"/>
        <v/>
      </c>
    </row>
    <row r="351" spans="2:14" x14ac:dyDescent="0.3">
      <c r="B351" s="30"/>
      <c r="G351" s="29" t="str">
        <f>IF(A351="","",IFERROR(INDEX(Criterios!$B$4:$C$83,MATCH(D351,Criterios!$A$4:$A$83,0),IF(E351="Dentro horario",1,2)),""))</f>
        <v/>
      </c>
      <c r="H351" s="29"/>
      <c r="I351" s="29" t="str">
        <f t="shared" si="15"/>
        <v/>
      </c>
      <c r="J351" t="str">
        <f>IF(A351="","",COUNTIF(Detalle_Pagos!$A$5:$A$2004,A351))</f>
        <v/>
      </c>
      <c r="K351" s="29" t="str">
        <f t="shared" si="16"/>
        <v/>
      </c>
      <c r="L351" s="29" t="str">
        <f>IF(A351="","",SUMIF(Detalle_Pagos!$A$5:$A$2004,A351,Detalle_Pagos!$I$5:$I$2004))</f>
        <v/>
      </c>
      <c r="M351" s="29" t="str">
        <f>IF(A351="","",SUMIFS(Detalle_Pagos!$I$5:$I$2004,Detalle_Pagos!$A$5:$A$2004,A351,Detalle_Pagos!$J$5:$J$2004,"No"))</f>
        <v/>
      </c>
      <c r="N351" t="str">
        <f t="shared" si="17"/>
        <v/>
      </c>
    </row>
    <row r="352" spans="2:14" x14ac:dyDescent="0.3">
      <c r="B352" s="30"/>
      <c r="G352" s="29" t="str">
        <f>IF(A352="","",IFERROR(INDEX(Criterios!$B$4:$C$83,MATCH(D352,Criterios!$A$4:$A$83,0),IF(E352="Dentro horario",1,2)),""))</f>
        <v/>
      </c>
      <c r="H352" s="29"/>
      <c r="I352" s="29" t="str">
        <f t="shared" si="15"/>
        <v/>
      </c>
      <c r="J352" t="str">
        <f>IF(A352="","",COUNTIF(Detalle_Pagos!$A$5:$A$2004,A352))</f>
        <v/>
      </c>
      <c r="K352" s="29" t="str">
        <f t="shared" si="16"/>
        <v/>
      </c>
      <c r="L352" s="29" t="str">
        <f>IF(A352="","",SUMIF(Detalle_Pagos!$A$5:$A$2004,A352,Detalle_Pagos!$I$5:$I$2004))</f>
        <v/>
      </c>
      <c r="M352" s="29" t="str">
        <f>IF(A352="","",SUMIFS(Detalle_Pagos!$I$5:$I$2004,Detalle_Pagos!$A$5:$A$2004,A352,Detalle_Pagos!$J$5:$J$2004,"No"))</f>
        <v/>
      </c>
      <c r="N352" t="str">
        <f t="shared" si="17"/>
        <v/>
      </c>
    </row>
    <row r="353" spans="2:14" x14ac:dyDescent="0.3">
      <c r="B353" s="30"/>
      <c r="G353" s="29" t="str">
        <f>IF(A353="","",IFERROR(INDEX(Criterios!$B$4:$C$83,MATCH(D353,Criterios!$A$4:$A$83,0),IF(E353="Dentro horario",1,2)),""))</f>
        <v/>
      </c>
      <c r="H353" s="29"/>
      <c r="I353" s="29" t="str">
        <f t="shared" si="15"/>
        <v/>
      </c>
      <c r="J353" t="str">
        <f>IF(A353="","",COUNTIF(Detalle_Pagos!$A$5:$A$2004,A353))</f>
        <v/>
      </c>
      <c r="K353" s="29" t="str">
        <f t="shared" si="16"/>
        <v/>
      </c>
      <c r="L353" s="29" t="str">
        <f>IF(A353="","",SUMIF(Detalle_Pagos!$A$5:$A$2004,A353,Detalle_Pagos!$I$5:$I$2004))</f>
        <v/>
      </c>
      <c r="M353" s="29" t="str">
        <f>IF(A353="","",SUMIFS(Detalle_Pagos!$I$5:$I$2004,Detalle_Pagos!$A$5:$A$2004,A353,Detalle_Pagos!$J$5:$J$2004,"No"))</f>
        <v/>
      </c>
      <c r="N353" t="str">
        <f t="shared" si="17"/>
        <v/>
      </c>
    </row>
    <row r="354" spans="2:14" x14ac:dyDescent="0.3">
      <c r="B354" s="30"/>
      <c r="G354" s="29" t="str">
        <f>IF(A354="","",IFERROR(INDEX(Criterios!$B$4:$C$83,MATCH(D354,Criterios!$A$4:$A$83,0),IF(E354="Dentro horario",1,2)),""))</f>
        <v/>
      </c>
      <c r="H354" s="29"/>
      <c r="I354" s="29" t="str">
        <f t="shared" si="15"/>
        <v/>
      </c>
      <c r="J354" t="str">
        <f>IF(A354="","",COUNTIF(Detalle_Pagos!$A$5:$A$2004,A354))</f>
        <v/>
      </c>
      <c r="K354" s="29" t="str">
        <f t="shared" si="16"/>
        <v/>
      </c>
      <c r="L354" s="29" t="str">
        <f>IF(A354="","",SUMIF(Detalle_Pagos!$A$5:$A$2004,A354,Detalle_Pagos!$I$5:$I$2004))</f>
        <v/>
      </c>
      <c r="M354" s="29" t="str">
        <f>IF(A354="","",SUMIFS(Detalle_Pagos!$I$5:$I$2004,Detalle_Pagos!$A$5:$A$2004,A354,Detalle_Pagos!$J$5:$J$2004,"No"))</f>
        <v/>
      </c>
      <c r="N354" t="str">
        <f t="shared" si="17"/>
        <v/>
      </c>
    </row>
    <row r="355" spans="2:14" x14ac:dyDescent="0.3">
      <c r="B355" s="30"/>
      <c r="G355" s="29" t="str">
        <f>IF(A355="","",IFERROR(INDEX(Criterios!$B$4:$C$83,MATCH(D355,Criterios!$A$4:$A$83,0),IF(E355="Dentro horario",1,2)),""))</f>
        <v/>
      </c>
      <c r="H355" s="29"/>
      <c r="I355" s="29" t="str">
        <f t="shared" si="15"/>
        <v/>
      </c>
      <c r="J355" t="str">
        <f>IF(A355="","",COUNTIF(Detalle_Pagos!$A$5:$A$2004,A355))</f>
        <v/>
      </c>
      <c r="K355" s="29" t="str">
        <f t="shared" si="16"/>
        <v/>
      </c>
      <c r="L355" s="29" t="str">
        <f>IF(A355="","",SUMIF(Detalle_Pagos!$A$5:$A$2004,A355,Detalle_Pagos!$I$5:$I$2004))</f>
        <v/>
      </c>
      <c r="M355" s="29" t="str">
        <f>IF(A355="","",SUMIFS(Detalle_Pagos!$I$5:$I$2004,Detalle_Pagos!$A$5:$A$2004,A355,Detalle_Pagos!$J$5:$J$2004,"No"))</f>
        <v/>
      </c>
      <c r="N355" t="str">
        <f t="shared" si="17"/>
        <v/>
      </c>
    </row>
    <row r="356" spans="2:14" x14ac:dyDescent="0.3">
      <c r="B356" s="30"/>
      <c r="G356" s="29" t="str">
        <f>IF(A356="","",IFERROR(INDEX(Criterios!$B$4:$C$83,MATCH(D356,Criterios!$A$4:$A$83,0),IF(E356="Dentro horario",1,2)),""))</f>
        <v/>
      </c>
      <c r="H356" s="29"/>
      <c r="I356" s="29" t="str">
        <f t="shared" si="15"/>
        <v/>
      </c>
      <c r="J356" t="str">
        <f>IF(A356="","",COUNTIF(Detalle_Pagos!$A$5:$A$2004,A356))</f>
        <v/>
      </c>
      <c r="K356" s="29" t="str">
        <f t="shared" si="16"/>
        <v/>
      </c>
      <c r="L356" s="29" t="str">
        <f>IF(A356="","",SUMIF(Detalle_Pagos!$A$5:$A$2004,A356,Detalle_Pagos!$I$5:$I$2004))</f>
        <v/>
      </c>
      <c r="M356" s="29" t="str">
        <f>IF(A356="","",SUMIFS(Detalle_Pagos!$I$5:$I$2004,Detalle_Pagos!$A$5:$A$2004,A356,Detalle_Pagos!$J$5:$J$2004,"No"))</f>
        <v/>
      </c>
      <c r="N356" t="str">
        <f t="shared" si="17"/>
        <v/>
      </c>
    </row>
    <row r="357" spans="2:14" x14ac:dyDescent="0.3">
      <c r="B357" s="30"/>
      <c r="G357" s="29" t="str">
        <f>IF(A357="","",IFERROR(INDEX(Criterios!$B$4:$C$83,MATCH(D357,Criterios!$A$4:$A$83,0),IF(E357="Dentro horario",1,2)),""))</f>
        <v/>
      </c>
      <c r="H357" s="29"/>
      <c r="I357" s="29" t="str">
        <f t="shared" si="15"/>
        <v/>
      </c>
      <c r="J357" t="str">
        <f>IF(A357="","",COUNTIF(Detalle_Pagos!$A$5:$A$2004,A357))</f>
        <v/>
      </c>
      <c r="K357" s="29" t="str">
        <f t="shared" si="16"/>
        <v/>
      </c>
      <c r="L357" s="29" t="str">
        <f>IF(A357="","",SUMIF(Detalle_Pagos!$A$5:$A$2004,A357,Detalle_Pagos!$I$5:$I$2004))</f>
        <v/>
      </c>
      <c r="M357" s="29" t="str">
        <f>IF(A357="","",SUMIFS(Detalle_Pagos!$I$5:$I$2004,Detalle_Pagos!$A$5:$A$2004,A357,Detalle_Pagos!$J$5:$J$2004,"No"))</f>
        <v/>
      </c>
      <c r="N357" t="str">
        <f t="shared" si="17"/>
        <v/>
      </c>
    </row>
    <row r="358" spans="2:14" x14ac:dyDescent="0.3">
      <c r="B358" s="30"/>
      <c r="G358" s="29" t="str">
        <f>IF(A358="","",IFERROR(INDEX(Criterios!$B$4:$C$83,MATCH(D358,Criterios!$A$4:$A$83,0),IF(E358="Dentro horario",1,2)),""))</f>
        <v/>
      </c>
      <c r="H358" s="29"/>
      <c r="I358" s="29" t="str">
        <f t="shared" si="15"/>
        <v/>
      </c>
      <c r="J358" t="str">
        <f>IF(A358="","",COUNTIF(Detalle_Pagos!$A$5:$A$2004,A358))</f>
        <v/>
      </c>
      <c r="K358" s="29" t="str">
        <f t="shared" si="16"/>
        <v/>
      </c>
      <c r="L358" s="29" t="str">
        <f>IF(A358="","",SUMIF(Detalle_Pagos!$A$5:$A$2004,A358,Detalle_Pagos!$I$5:$I$2004))</f>
        <v/>
      </c>
      <c r="M358" s="29" t="str">
        <f>IF(A358="","",SUMIFS(Detalle_Pagos!$I$5:$I$2004,Detalle_Pagos!$A$5:$A$2004,A358,Detalle_Pagos!$J$5:$J$2004,"No"))</f>
        <v/>
      </c>
      <c r="N358" t="str">
        <f t="shared" si="17"/>
        <v/>
      </c>
    </row>
    <row r="359" spans="2:14" x14ac:dyDescent="0.3">
      <c r="B359" s="30"/>
      <c r="G359" s="29" t="str">
        <f>IF(A359="","",IFERROR(INDEX(Criterios!$B$4:$C$83,MATCH(D359,Criterios!$A$4:$A$83,0),IF(E359="Dentro horario",1,2)),""))</f>
        <v/>
      </c>
      <c r="H359" s="29"/>
      <c r="I359" s="29" t="str">
        <f t="shared" si="15"/>
        <v/>
      </c>
      <c r="J359" t="str">
        <f>IF(A359="","",COUNTIF(Detalle_Pagos!$A$5:$A$2004,A359))</f>
        <v/>
      </c>
      <c r="K359" s="29" t="str">
        <f t="shared" si="16"/>
        <v/>
      </c>
      <c r="L359" s="29" t="str">
        <f>IF(A359="","",SUMIF(Detalle_Pagos!$A$5:$A$2004,A359,Detalle_Pagos!$I$5:$I$2004))</f>
        <v/>
      </c>
      <c r="M359" s="29" t="str">
        <f>IF(A359="","",SUMIFS(Detalle_Pagos!$I$5:$I$2004,Detalle_Pagos!$A$5:$A$2004,A359,Detalle_Pagos!$J$5:$J$2004,"No"))</f>
        <v/>
      </c>
      <c r="N359" t="str">
        <f t="shared" si="17"/>
        <v/>
      </c>
    </row>
    <row r="360" spans="2:14" x14ac:dyDescent="0.3">
      <c r="B360" s="30"/>
      <c r="G360" s="29" t="str">
        <f>IF(A360="","",IFERROR(INDEX(Criterios!$B$4:$C$83,MATCH(D360,Criterios!$A$4:$A$83,0),IF(E360="Dentro horario",1,2)),""))</f>
        <v/>
      </c>
      <c r="H360" s="29"/>
      <c r="I360" s="29" t="str">
        <f t="shared" si="15"/>
        <v/>
      </c>
      <c r="J360" t="str">
        <f>IF(A360="","",COUNTIF(Detalle_Pagos!$A$5:$A$2004,A360))</f>
        <v/>
      </c>
      <c r="K360" s="29" t="str">
        <f t="shared" si="16"/>
        <v/>
      </c>
      <c r="L360" s="29" t="str">
        <f>IF(A360="","",SUMIF(Detalle_Pagos!$A$5:$A$2004,A360,Detalle_Pagos!$I$5:$I$2004))</f>
        <v/>
      </c>
      <c r="M360" s="29" t="str">
        <f>IF(A360="","",SUMIFS(Detalle_Pagos!$I$5:$I$2004,Detalle_Pagos!$A$5:$A$2004,A360,Detalle_Pagos!$J$5:$J$2004,"No"))</f>
        <v/>
      </c>
      <c r="N360" t="str">
        <f t="shared" si="17"/>
        <v/>
      </c>
    </row>
    <row r="361" spans="2:14" x14ac:dyDescent="0.3">
      <c r="B361" s="30"/>
      <c r="G361" s="29" t="str">
        <f>IF(A361="","",IFERROR(INDEX(Criterios!$B$4:$C$83,MATCH(D361,Criterios!$A$4:$A$83,0),IF(E361="Dentro horario",1,2)),""))</f>
        <v/>
      </c>
      <c r="H361" s="29"/>
      <c r="I361" s="29" t="str">
        <f t="shared" si="15"/>
        <v/>
      </c>
      <c r="J361" t="str">
        <f>IF(A361="","",COUNTIF(Detalle_Pagos!$A$5:$A$2004,A361))</f>
        <v/>
      </c>
      <c r="K361" s="29" t="str">
        <f t="shared" si="16"/>
        <v/>
      </c>
      <c r="L361" s="29" t="str">
        <f>IF(A361="","",SUMIF(Detalle_Pagos!$A$5:$A$2004,A361,Detalle_Pagos!$I$5:$I$2004))</f>
        <v/>
      </c>
      <c r="M361" s="29" t="str">
        <f>IF(A361="","",SUMIFS(Detalle_Pagos!$I$5:$I$2004,Detalle_Pagos!$A$5:$A$2004,A361,Detalle_Pagos!$J$5:$J$2004,"No"))</f>
        <v/>
      </c>
      <c r="N361" t="str">
        <f t="shared" si="17"/>
        <v/>
      </c>
    </row>
    <row r="362" spans="2:14" x14ac:dyDescent="0.3">
      <c r="B362" s="30"/>
      <c r="G362" s="29" t="str">
        <f>IF(A362="","",IFERROR(INDEX(Criterios!$B$4:$C$83,MATCH(D362,Criterios!$A$4:$A$83,0),IF(E362="Dentro horario",1,2)),""))</f>
        <v/>
      </c>
      <c r="H362" s="29"/>
      <c r="I362" s="29" t="str">
        <f t="shared" si="15"/>
        <v/>
      </c>
      <c r="J362" t="str">
        <f>IF(A362="","",COUNTIF(Detalle_Pagos!$A$5:$A$2004,A362))</f>
        <v/>
      </c>
      <c r="K362" s="29" t="str">
        <f t="shared" si="16"/>
        <v/>
      </c>
      <c r="L362" s="29" t="str">
        <f>IF(A362="","",SUMIF(Detalle_Pagos!$A$5:$A$2004,A362,Detalle_Pagos!$I$5:$I$2004))</f>
        <v/>
      </c>
      <c r="M362" s="29" t="str">
        <f>IF(A362="","",SUMIFS(Detalle_Pagos!$I$5:$I$2004,Detalle_Pagos!$A$5:$A$2004,A362,Detalle_Pagos!$J$5:$J$2004,"No"))</f>
        <v/>
      </c>
      <c r="N362" t="str">
        <f t="shared" si="17"/>
        <v/>
      </c>
    </row>
    <row r="363" spans="2:14" x14ac:dyDescent="0.3">
      <c r="B363" s="30"/>
      <c r="G363" s="29" t="str">
        <f>IF(A363="","",IFERROR(INDEX(Criterios!$B$4:$C$83,MATCH(D363,Criterios!$A$4:$A$83,0),IF(E363="Dentro horario",1,2)),""))</f>
        <v/>
      </c>
      <c r="H363" s="29"/>
      <c r="I363" s="29" t="str">
        <f t="shared" si="15"/>
        <v/>
      </c>
      <c r="J363" t="str">
        <f>IF(A363="","",COUNTIF(Detalle_Pagos!$A$5:$A$2004,A363))</f>
        <v/>
      </c>
      <c r="K363" s="29" t="str">
        <f t="shared" si="16"/>
        <v/>
      </c>
      <c r="L363" s="29" t="str">
        <f>IF(A363="","",SUMIF(Detalle_Pagos!$A$5:$A$2004,A363,Detalle_Pagos!$I$5:$I$2004))</f>
        <v/>
      </c>
      <c r="M363" s="29" t="str">
        <f>IF(A363="","",SUMIFS(Detalle_Pagos!$I$5:$I$2004,Detalle_Pagos!$A$5:$A$2004,A363,Detalle_Pagos!$J$5:$J$2004,"No"))</f>
        <v/>
      </c>
      <c r="N363" t="str">
        <f t="shared" si="17"/>
        <v/>
      </c>
    </row>
    <row r="364" spans="2:14" x14ac:dyDescent="0.3">
      <c r="B364" s="30"/>
      <c r="G364" s="29" t="str">
        <f>IF(A364="","",IFERROR(INDEX(Criterios!$B$4:$C$83,MATCH(D364,Criterios!$A$4:$A$83,0),IF(E364="Dentro horario",1,2)),""))</f>
        <v/>
      </c>
      <c r="H364" s="29"/>
      <c r="I364" s="29" t="str">
        <f t="shared" si="15"/>
        <v/>
      </c>
      <c r="J364" t="str">
        <f>IF(A364="","",COUNTIF(Detalle_Pagos!$A$5:$A$2004,A364))</f>
        <v/>
      </c>
      <c r="K364" s="29" t="str">
        <f t="shared" si="16"/>
        <v/>
      </c>
      <c r="L364" s="29" t="str">
        <f>IF(A364="","",SUMIF(Detalle_Pagos!$A$5:$A$2004,A364,Detalle_Pagos!$I$5:$I$2004))</f>
        <v/>
      </c>
      <c r="M364" s="29" t="str">
        <f>IF(A364="","",SUMIFS(Detalle_Pagos!$I$5:$I$2004,Detalle_Pagos!$A$5:$A$2004,A364,Detalle_Pagos!$J$5:$J$2004,"No"))</f>
        <v/>
      </c>
      <c r="N364" t="str">
        <f t="shared" si="17"/>
        <v/>
      </c>
    </row>
    <row r="365" spans="2:14" x14ac:dyDescent="0.3">
      <c r="B365" s="30"/>
      <c r="G365" s="29" t="str">
        <f>IF(A365="","",IFERROR(INDEX(Criterios!$B$4:$C$83,MATCH(D365,Criterios!$A$4:$A$83,0),IF(E365="Dentro horario",1,2)),""))</f>
        <v/>
      </c>
      <c r="H365" s="29"/>
      <c r="I365" s="29" t="str">
        <f t="shared" si="15"/>
        <v/>
      </c>
      <c r="J365" t="str">
        <f>IF(A365="","",COUNTIF(Detalle_Pagos!$A$5:$A$2004,A365))</f>
        <v/>
      </c>
      <c r="K365" s="29" t="str">
        <f t="shared" si="16"/>
        <v/>
      </c>
      <c r="L365" s="29" t="str">
        <f>IF(A365="","",SUMIF(Detalle_Pagos!$A$5:$A$2004,A365,Detalle_Pagos!$I$5:$I$2004))</f>
        <v/>
      </c>
      <c r="M365" s="29" t="str">
        <f>IF(A365="","",SUMIFS(Detalle_Pagos!$I$5:$I$2004,Detalle_Pagos!$A$5:$A$2004,A365,Detalle_Pagos!$J$5:$J$2004,"No"))</f>
        <v/>
      </c>
      <c r="N365" t="str">
        <f t="shared" si="17"/>
        <v/>
      </c>
    </row>
    <row r="366" spans="2:14" x14ac:dyDescent="0.3">
      <c r="B366" s="30"/>
      <c r="G366" s="29" t="str">
        <f>IF(A366="","",IFERROR(INDEX(Criterios!$B$4:$C$83,MATCH(D366,Criterios!$A$4:$A$83,0),IF(E366="Dentro horario",1,2)),""))</f>
        <v/>
      </c>
      <c r="H366" s="29"/>
      <c r="I366" s="29" t="str">
        <f t="shared" si="15"/>
        <v/>
      </c>
      <c r="J366" t="str">
        <f>IF(A366="","",COUNTIF(Detalle_Pagos!$A$5:$A$2004,A366))</f>
        <v/>
      </c>
      <c r="K366" s="29" t="str">
        <f t="shared" si="16"/>
        <v/>
      </c>
      <c r="L366" s="29" t="str">
        <f>IF(A366="","",SUMIF(Detalle_Pagos!$A$5:$A$2004,A366,Detalle_Pagos!$I$5:$I$2004))</f>
        <v/>
      </c>
      <c r="M366" s="29" t="str">
        <f>IF(A366="","",SUMIFS(Detalle_Pagos!$I$5:$I$2004,Detalle_Pagos!$A$5:$A$2004,A366,Detalle_Pagos!$J$5:$J$2004,"No"))</f>
        <v/>
      </c>
      <c r="N366" t="str">
        <f t="shared" si="17"/>
        <v/>
      </c>
    </row>
    <row r="367" spans="2:14" x14ac:dyDescent="0.3">
      <c r="B367" s="30"/>
      <c r="G367" s="29" t="str">
        <f>IF(A367="","",IFERROR(INDEX(Criterios!$B$4:$C$83,MATCH(D367,Criterios!$A$4:$A$83,0),IF(E367="Dentro horario",1,2)),""))</f>
        <v/>
      </c>
      <c r="H367" s="29"/>
      <c r="I367" s="29" t="str">
        <f t="shared" si="15"/>
        <v/>
      </c>
      <c r="J367" t="str">
        <f>IF(A367="","",COUNTIF(Detalle_Pagos!$A$5:$A$2004,A367))</f>
        <v/>
      </c>
      <c r="K367" s="29" t="str">
        <f t="shared" si="16"/>
        <v/>
      </c>
      <c r="L367" s="29" t="str">
        <f>IF(A367="","",SUMIF(Detalle_Pagos!$A$5:$A$2004,A367,Detalle_Pagos!$I$5:$I$2004))</f>
        <v/>
      </c>
      <c r="M367" s="29" t="str">
        <f>IF(A367="","",SUMIFS(Detalle_Pagos!$I$5:$I$2004,Detalle_Pagos!$A$5:$A$2004,A367,Detalle_Pagos!$J$5:$J$2004,"No"))</f>
        <v/>
      </c>
      <c r="N367" t="str">
        <f t="shared" si="17"/>
        <v/>
      </c>
    </row>
    <row r="368" spans="2:14" x14ac:dyDescent="0.3">
      <c r="B368" s="30"/>
      <c r="G368" s="29" t="str">
        <f>IF(A368="","",IFERROR(INDEX(Criterios!$B$4:$C$83,MATCH(D368,Criterios!$A$4:$A$83,0),IF(E368="Dentro horario",1,2)),""))</f>
        <v/>
      </c>
      <c r="H368" s="29"/>
      <c r="I368" s="29" t="str">
        <f t="shared" si="15"/>
        <v/>
      </c>
      <c r="J368" t="str">
        <f>IF(A368="","",COUNTIF(Detalle_Pagos!$A$5:$A$2004,A368))</f>
        <v/>
      </c>
      <c r="K368" s="29" t="str">
        <f t="shared" si="16"/>
        <v/>
      </c>
      <c r="L368" s="29" t="str">
        <f>IF(A368="","",SUMIF(Detalle_Pagos!$A$5:$A$2004,A368,Detalle_Pagos!$I$5:$I$2004))</f>
        <v/>
      </c>
      <c r="M368" s="29" t="str">
        <f>IF(A368="","",SUMIFS(Detalle_Pagos!$I$5:$I$2004,Detalle_Pagos!$A$5:$A$2004,A368,Detalle_Pagos!$J$5:$J$2004,"No"))</f>
        <v/>
      </c>
      <c r="N368" t="str">
        <f t="shared" si="17"/>
        <v/>
      </c>
    </row>
    <row r="369" spans="2:14" x14ac:dyDescent="0.3">
      <c r="B369" s="30"/>
      <c r="G369" s="29" t="str">
        <f>IF(A369="","",IFERROR(INDEX(Criterios!$B$4:$C$83,MATCH(D369,Criterios!$A$4:$A$83,0),IF(E369="Dentro horario",1,2)),""))</f>
        <v/>
      </c>
      <c r="H369" s="29"/>
      <c r="I369" s="29" t="str">
        <f t="shared" si="15"/>
        <v/>
      </c>
      <c r="J369" t="str">
        <f>IF(A369="","",COUNTIF(Detalle_Pagos!$A$5:$A$2004,A369))</f>
        <v/>
      </c>
      <c r="K369" s="29" t="str">
        <f t="shared" si="16"/>
        <v/>
      </c>
      <c r="L369" s="29" t="str">
        <f>IF(A369="","",SUMIF(Detalle_Pagos!$A$5:$A$2004,A369,Detalle_Pagos!$I$5:$I$2004))</f>
        <v/>
      </c>
      <c r="M369" s="29" t="str">
        <f>IF(A369="","",SUMIFS(Detalle_Pagos!$I$5:$I$2004,Detalle_Pagos!$A$5:$A$2004,A369,Detalle_Pagos!$J$5:$J$2004,"No"))</f>
        <v/>
      </c>
      <c r="N369" t="str">
        <f t="shared" si="17"/>
        <v/>
      </c>
    </row>
    <row r="370" spans="2:14" x14ac:dyDescent="0.3">
      <c r="B370" s="30"/>
      <c r="G370" s="29" t="str">
        <f>IF(A370="","",IFERROR(INDEX(Criterios!$B$4:$C$83,MATCH(D370,Criterios!$A$4:$A$83,0),IF(E370="Dentro horario",1,2)),""))</f>
        <v/>
      </c>
      <c r="H370" s="29"/>
      <c r="I370" s="29" t="str">
        <f t="shared" si="15"/>
        <v/>
      </c>
      <c r="J370" t="str">
        <f>IF(A370="","",COUNTIF(Detalle_Pagos!$A$5:$A$2004,A370))</f>
        <v/>
      </c>
      <c r="K370" s="29" t="str">
        <f t="shared" si="16"/>
        <v/>
      </c>
      <c r="L370" s="29" t="str">
        <f>IF(A370="","",SUMIF(Detalle_Pagos!$A$5:$A$2004,A370,Detalle_Pagos!$I$5:$I$2004))</f>
        <v/>
      </c>
      <c r="M370" s="29" t="str">
        <f>IF(A370="","",SUMIFS(Detalle_Pagos!$I$5:$I$2004,Detalle_Pagos!$A$5:$A$2004,A370,Detalle_Pagos!$J$5:$J$2004,"No"))</f>
        <v/>
      </c>
      <c r="N370" t="str">
        <f t="shared" si="17"/>
        <v/>
      </c>
    </row>
    <row r="371" spans="2:14" x14ac:dyDescent="0.3">
      <c r="B371" s="30"/>
      <c r="G371" s="29" t="str">
        <f>IF(A371="","",IFERROR(INDEX(Criterios!$B$4:$C$83,MATCH(D371,Criterios!$A$4:$A$83,0),IF(E371="Dentro horario",1,2)),""))</f>
        <v/>
      </c>
      <c r="H371" s="29"/>
      <c r="I371" s="29" t="str">
        <f t="shared" si="15"/>
        <v/>
      </c>
      <c r="J371" t="str">
        <f>IF(A371="","",COUNTIF(Detalle_Pagos!$A$5:$A$2004,A371))</f>
        <v/>
      </c>
      <c r="K371" s="29" t="str">
        <f t="shared" si="16"/>
        <v/>
      </c>
      <c r="L371" s="29" t="str">
        <f>IF(A371="","",SUMIF(Detalle_Pagos!$A$5:$A$2004,A371,Detalle_Pagos!$I$5:$I$2004))</f>
        <v/>
      </c>
      <c r="M371" s="29" t="str">
        <f>IF(A371="","",SUMIFS(Detalle_Pagos!$I$5:$I$2004,Detalle_Pagos!$A$5:$A$2004,A371,Detalle_Pagos!$J$5:$J$2004,"No"))</f>
        <v/>
      </c>
      <c r="N371" t="str">
        <f t="shared" si="17"/>
        <v/>
      </c>
    </row>
    <row r="372" spans="2:14" x14ac:dyDescent="0.3">
      <c r="B372" s="30"/>
      <c r="G372" s="29" t="str">
        <f>IF(A372="","",IFERROR(INDEX(Criterios!$B$4:$C$83,MATCH(D372,Criterios!$A$4:$A$83,0),IF(E372="Dentro horario",1,2)),""))</f>
        <v/>
      </c>
      <c r="H372" s="29"/>
      <c r="I372" s="29" t="str">
        <f t="shared" si="15"/>
        <v/>
      </c>
      <c r="J372" t="str">
        <f>IF(A372="","",COUNTIF(Detalle_Pagos!$A$5:$A$2004,A372))</f>
        <v/>
      </c>
      <c r="K372" s="29" t="str">
        <f t="shared" si="16"/>
        <v/>
      </c>
      <c r="L372" s="29" t="str">
        <f>IF(A372="","",SUMIF(Detalle_Pagos!$A$5:$A$2004,A372,Detalle_Pagos!$I$5:$I$2004))</f>
        <v/>
      </c>
      <c r="M372" s="29" t="str">
        <f>IF(A372="","",SUMIFS(Detalle_Pagos!$I$5:$I$2004,Detalle_Pagos!$A$5:$A$2004,A372,Detalle_Pagos!$J$5:$J$2004,"No"))</f>
        <v/>
      </c>
      <c r="N372" t="str">
        <f t="shared" si="17"/>
        <v/>
      </c>
    </row>
    <row r="373" spans="2:14" x14ac:dyDescent="0.3">
      <c r="B373" s="30"/>
      <c r="G373" s="29" t="str">
        <f>IF(A373="","",IFERROR(INDEX(Criterios!$B$4:$C$83,MATCH(D373,Criterios!$A$4:$A$83,0),IF(E373="Dentro horario",1,2)),""))</f>
        <v/>
      </c>
      <c r="H373" s="29"/>
      <c r="I373" s="29" t="str">
        <f t="shared" si="15"/>
        <v/>
      </c>
      <c r="J373" t="str">
        <f>IF(A373="","",COUNTIF(Detalle_Pagos!$A$5:$A$2004,A373))</f>
        <v/>
      </c>
      <c r="K373" s="29" t="str">
        <f t="shared" si="16"/>
        <v/>
      </c>
      <c r="L373" s="29" t="str">
        <f>IF(A373="","",SUMIF(Detalle_Pagos!$A$5:$A$2004,A373,Detalle_Pagos!$I$5:$I$2004))</f>
        <v/>
      </c>
      <c r="M373" s="29" t="str">
        <f>IF(A373="","",SUMIFS(Detalle_Pagos!$I$5:$I$2004,Detalle_Pagos!$A$5:$A$2004,A373,Detalle_Pagos!$J$5:$J$2004,"No"))</f>
        <v/>
      </c>
      <c r="N373" t="str">
        <f t="shared" si="17"/>
        <v/>
      </c>
    </row>
    <row r="374" spans="2:14" x14ac:dyDescent="0.3">
      <c r="B374" s="30"/>
      <c r="G374" s="29" t="str">
        <f>IF(A374="","",IFERROR(INDEX(Criterios!$B$4:$C$83,MATCH(D374,Criterios!$A$4:$A$83,0),IF(E374="Dentro horario",1,2)),""))</f>
        <v/>
      </c>
      <c r="H374" s="29"/>
      <c r="I374" s="29" t="str">
        <f t="shared" si="15"/>
        <v/>
      </c>
      <c r="J374" t="str">
        <f>IF(A374="","",COUNTIF(Detalle_Pagos!$A$5:$A$2004,A374))</f>
        <v/>
      </c>
      <c r="K374" s="29" t="str">
        <f t="shared" si="16"/>
        <v/>
      </c>
      <c r="L374" s="29" t="str">
        <f>IF(A374="","",SUMIF(Detalle_Pagos!$A$5:$A$2004,A374,Detalle_Pagos!$I$5:$I$2004))</f>
        <v/>
      </c>
      <c r="M374" s="29" t="str">
        <f>IF(A374="","",SUMIFS(Detalle_Pagos!$I$5:$I$2004,Detalle_Pagos!$A$5:$A$2004,A374,Detalle_Pagos!$J$5:$J$2004,"No"))</f>
        <v/>
      </c>
      <c r="N374" t="str">
        <f t="shared" si="17"/>
        <v/>
      </c>
    </row>
    <row r="375" spans="2:14" x14ac:dyDescent="0.3">
      <c r="B375" s="30"/>
      <c r="G375" s="29" t="str">
        <f>IF(A375="","",IFERROR(INDEX(Criterios!$B$4:$C$83,MATCH(D375,Criterios!$A$4:$A$83,0),IF(E375="Dentro horario",1,2)),""))</f>
        <v/>
      </c>
      <c r="H375" s="29"/>
      <c r="I375" s="29" t="str">
        <f t="shared" si="15"/>
        <v/>
      </c>
      <c r="J375" t="str">
        <f>IF(A375="","",COUNTIF(Detalle_Pagos!$A$5:$A$2004,A375))</f>
        <v/>
      </c>
      <c r="K375" s="29" t="str">
        <f t="shared" si="16"/>
        <v/>
      </c>
      <c r="L375" s="29" t="str">
        <f>IF(A375="","",SUMIF(Detalle_Pagos!$A$5:$A$2004,A375,Detalle_Pagos!$I$5:$I$2004))</f>
        <v/>
      </c>
      <c r="M375" s="29" t="str">
        <f>IF(A375="","",SUMIFS(Detalle_Pagos!$I$5:$I$2004,Detalle_Pagos!$A$5:$A$2004,A375,Detalle_Pagos!$J$5:$J$2004,"No"))</f>
        <v/>
      </c>
      <c r="N375" t="str">
        <f t="shared" si="17"/>
        <v/>
      </c>
    </row>
    <row r="376" spans="2:14" x14ac:dyDescent="0.3">
      <c r="B376" s="30"/>
      <c r="G376" s="29" t="str">
        <f>IF(A376="","",IFERROR(INDEX(Criterios!$B$4:$C$83,MATCH(D376,Criterios!$A$4:$A$83,0),IF(E376="Dentro horario",1,2)),""))</f>
        <v/>
      </c>
      <c r="H376" s="29"/>
      <c r="I376" s="29" t="str">
        <f t="shared" si="15"/>
        <v/>
      </c>
      <c r="J376" t="str">
        <f>IF(A376="","",COUNTIF(Detalle_Pagos!$A$5:$A$2004,A376))</f>
        <v/>
      </c>
      <c r="K376" s="29" t="str">
        <f t="shared" si="16"/>
        <v/>
      </c>
      <c r="L376" s="29" t="str">
        <f>IF(A376="","",SUMIF(Detalle_Pagos!$A$5:$A$2004,A376,Detalle_Pagos!$I$5:$I$2004))</f>
        <v/>
      </c>
      <c r="M376" s="29" t="str">
        <f>IF(A376="","",SUMIFS(Detalle_Pagos!$I$5:$I$2004,Detalle_Pagos!$A$5:$A$2004,A376,Detalle_Pagos!$J$5:$J$2004,"No"))</f>
        <v/>
      </c>
      <c r="N376" t="str">
        <f t="shared" si="17"/>
        <v/>
      </c>
    </row>
    <row r="377" spans="2:14" x14ac:dyDescent="0.3">
      <c r="B377" s="30"/>
      <c r="G377" s="29" t="str">
        <f>IF(A377="","",IFERROR(INDEX(Criterios!$B$4:$C$83,MATCH(D377,Criterios!$A$4:$A$83,0),IF(E377="Dentro horario",1,2)),""))</f>
        <v/>
      </c>
      <c r="H377" s="29"/>
      <c r="I377" s="29" t="str">
        <f t="shared" si="15"/>
        <v/>
      </c>
      <c r="J377" t="str">
        <f>IF(A377="","",COUNTIF(Detalle_Pagos!$A$5:$A$2004,A377))</f>
        <v/>
      </c>
      <c r="K377" s="29" t="str">
        <f t="shared" si="16"/>
        <v/>
      </c>
      <c r="L377" s="29" t="str">
        <f>IF(A377="","",SUMIF(Detalle_Pagos!$A$5:$A$2004,A377,Detalle_Pagos!$I$5:$I$2004))</f>
        <v/>
      </c>
      <c r="M377" s="29" t="str">
        <f>IF(A377="","",SUMIFS(Detalle_Pagos!$I$5:$I$2004,Detalle_Pagos!$A$5:$A$2004,A377,Detalle_Pagos!$J$5:$J$2004,"No"))</f>
        <v/>
      </c>
      <c r="N377" t="str">
        <f t="shared" si="17"/>
        <v/>
      </c>
    </row>
    <row r="378" spans="2:14" x14ac:dyDescent="0.3">
      <c r="B378" s="30"/>
      <c r="G378" s="29" t="str">
        <f>IF(A378="","",IFERROR(INDEX(Criterios!$B$4:$C$83,MATCH(D378,Criterios!$A$4:$A$83,0),IF(E378="Dentro horario",1,2)),""))</f>
        <v/>
      </c>
      <c r="H378" s="29"/>
      <c r="I378" s="29" t="str">
        <f t="shared" si="15"/>
        <v/>
      </c>
      <c r="J378" t="str">
        <f>IF(A378="","",COUNTIF(Detalle_Pagos!$A$5:$A$2004,A378))</f>
        <v/>
      </c>
      <c r="K378" s="29" t="str">
        <f t="shared" si="16"/>
        <v/>
      </c>
      <c r="L378" s="29" t="str">
        <f>IF(A378="","",SUMIF(Detalle_Pagos!$A$5:$A$2004,A378,Detalle_Pagos!$I$5:$I$2004))</f>
        <v/>
      </c>
      <c r="M378" s="29" t="str">
        <f>IF(A378="","",SUMIFS(Detalle_Pagos!$I$5:$I$2004,Detalle_Pagos!$A$5:$A$2004,A378,Detalle_Pagos!$J$5:$J$2004,"No"))</f>
        <v/>
      </c>
      <c r="N378" t="str">
        <f t="shared" si="17"/>
        <v/>
      </c>
    </row>
    <row r="379" spans="2:14" x14ac:dyDescent="0.3">
      <c r="B379" s="30"/>
      <c r="G379" s="29" t="str">
        <f>IF(A379="","",IFERROR(INDEX(Criterios!$B$4:$C$83,MATCH(D379,Criterios!$A$4:$A$83,0),IF(E379="Dentro horario",1,2)),""))</f>
        <v/>
      </c>
      <c r="H379" s="29"/>
      <c r="I379" s="29" t="str">
        <f t="shared" si="15"/>
        <v/>
      </c>
      <c r="J379" t="str">
        <f>IF(A379="","",COUNTIF(Detalle_Pagos!$A$5:$A$2004,A379))</f>
        <v/>
      </c>
      <c r="K379" s="29" t="str">
        <f t="shared" si="16"/>
        <v/>
      </c>
      <c r="L379" s="29" t="str">
        <f>IF(A379="","",SUMIF(Detalle_Pagos!$A$5:$A$2004,A379,Detalle_Pagos!$I$5:$I$2004))</f>
        <v/>
      </c>
      <c r="M379" s="29" t="str">
        <f>IF(A379="","",SUMIFS(Detalle_Pagos!$I$5:$I$2004,Detalle_Pagos!$A$5:$A$2004,A379,Detalle_Pagos!$J$5:$J$2004,"No"))</f>
        <v/>
      </c>
      <c r="N379" t="str">
        <f t="shared" si="17"/>
        <v/>
      </c>
    </row>
    <row r="380" spans="2:14" x14ac:dyDescent="0.3">
      <c r="B380" s="30"/>
      <c r="G380" s="29" t="str">
        <f>IF(A380="","",IFERROR(INDEX(Criterios!$B$4:$C$83,MATCH(D380,Criterios!$A$4:$A$83,0),IF(E380="Dentro horario",1,2)),""))</f>
        <v/>
      </c>
      <c r="H380" s="29"/>
      <c r="I380" s="29" t="str">
        <f t="shared" si="15"/>
        <v/>
      </c>
      <c r="J380" t="str">
        <f>IF(A380="","",COUNTIF(Detalle_Pagos!$A$5:$A$2004,A380))</f>
        <v/>
      </c>
      <c r="K380" s="29" t="str">
        <f t="shared" si="16"/>
        <v/>
      </c>
      <c r="L380" s="29" t="str">
        <f>IF(A380="","",SUMIF(Detalle_Pagos!$A$5:$A$2004,A380,Detalle_Pagos!$I$5:$I$2004))</f>
        <v/>
      </c>
      <c r="M380" s="29" t="str">
        <f>IF(A380="","",SUMIFS(Detalle_Pagos!$I$5:$I$2004,Detalle_Pagos!$A$5:$A$2004,A380,Detalle_Pagos!$J$5:$J$2004,"No"))</f>
        <v/>
      </c>
      <c r="N380" t="str">
        <f t="shared" si="17"/>
        <v/>
      </c>
    </row>
    <row r="381" spans="2:14" x14ac:dyDescent="0.3">
      <c r="B381" s="30"/>
      <c r="G381" s="29" t="str">
        <f>IF(A381="","",IFERROR(INDEX(Criterios!$B$4:$C$83,MATCH(D381,Criterios!$A$4:$A$83,0),IF(E381="Dentro horario",1,2)),""))</f>
        <v/>
      </c>
      <c r="H381" s="29"/>
      <c r="I381" s="29" t="str">
        <f t="shared" si="15"/>
        <v/>
      </c>
      <c r="J381" t="str">
        <f>IF(A381="","",COUNTIF(Detalle_Pagos!$A$5:$A$2004,A381))</f>
        <v/>
      </c>
      <c r="K381" s="29" t="str">
        <f t="shared" si="16"/>
        <v/>
      </c>
      <c r="L381" s="29" t="str">
        <f>IF(A381="","",SUMIF(Detalle_Pagos!$A$5:$A$2004,A381,Detalle_Pagos!$I$5:$I$2004))</f>
        <v/>
      </c>
      <c r="M381" s="29" t="str">
        <f>IF(A381="","",SUMIFS(Detalle_Pagos!$I$5:$I$2004,Detalle_Pagos!$A$5:$A$2004,A381,Detalle_Pagos!$J$5:$J$2004,"No"))</f>
        <v/>
      </c>
      <c r="N381" t="str">
        <f t="shared" si="17"/>
        <v/>
      </c>
    </row>
    <row r="382" spans="2:14" x14ac:dyDescent="0.3">
      <c r="B382" s="30"/>
      <c r="G382" s="29" t="str">
        <f>IF(A382="","",IFERROR(INDEX(Criterios!$B$4:$C$83,MATCH(D382,Criterios!$A$4:$A$83,0),IF(E382="Dentro horario",1,2)),""))</f>
        <v/>
      </c>
      <c r="H382" s="29"/>
      <c r="I382" s="29" t="str">
        <f t="shared" si="15"/>
        <v/>
      </c>
      <c r="J382" t="str">
        <f>IF(A382="","",COUNTIF(Detalle_Pagos!$A$5:$A$2004,A382))</f>
        <v/>
      </c>
      <c r="K382" s="29" t="str">
        <f t="shared" si="16"/>
        <v/>
      </c>
      <c r="L382" s="29" t="str">
        <f>IF(A382="","",SUMIF(Detalle_Pagos!$A$5:$A$2004,A382,Detalle_Pagos!$I$5:$I$2004))</f>
        <v/>
      </c>
      <c r="M382" s="29" t="str">
        <f>IF(A382="","",SUMIFS(Detalle_Pagos!$I$5:$I$2004,Detalle_Pagos!$A$5:$A$2004,A382,Detalle_Pagos!$J$5:$J$2004,"No"))</f>
        <v/>
      </c>
      <c r="N382" t="str">
        <f t="shared" si="17"/>
        <v/>
      </c>
    </row>
    <row r="383" spans="2:14" x14ac:dyDescent="0.3">
      <c r="B383" s="30"/>
      <c r="G383" s="29" t="str">
        <f>IF(A383="","",IFERROR(INDEX(Criterios!$B$4:$C$83,MATCH(D383,Criterios!$A$4:$A$83,0),IF(E383="Dentro horario",1,2)),""))</f>
        <v/>
      </c>
      <c r="H383" s="29"/>
      <c r="I383" s="29" t="str">
        <f t="shared" si="15"/>
        <v/>
      </c>
      <c r="J383" t="str">
        <f>IF(A383="","",COUNTIF(Detalle_Pagos!$A$5:$A$2004,A383))</f>
        <v/>
      </c>
      <c r="K383" s="29" t="str">
        <f t="shared" si="16"/>
        <v/>
      </c>
      <c r="L383" s="29" t="str">
        <f>IF(A383="","",SUMIF(Detalle_Pagos!$A$5:$A$2004,A383,Detalle_Pagos!$I$5:$I$2004))</f>
        <v/>
      </c>
      <c r="M383" s="29" t="str">
        <f>IF(A383="","",SUMIFS(Detalle_Pagos!$I$5:$I$2004,Detalle_Pagos!$A$5:$A$2004,A383,Detalle_Pagos!$J$5:$J$2004,"No"))</f>
        <v/>
      </c>
      <c r="N383" t="str">
        <f t="shared" si="17"/>
        <v/>
      </c>
    </row>
    <row r="384" spans="2:14" x14ac:dyDescent="0.3">
      <c r="B384" s="30"/>
      <c r="G384" s="29" t="str">
        <f>IF(A384="","",IFERROR(INDEX(Criterios!$B$4:$C$83,MATCH(D384,Criterios!$A$4:$A$83,0),IF(E384="Dentro horario",1,2)),""))</f>
        <v/>
      </c>
      <c r="H384" s="29"/>
      <c r="I384" s="29" t="str">
        <f t="shared" si="15"/>
        <v/>
      </c>
      <c r="J384" t="str">
        <f>IF(A384="","",COUNTIF(Detalle_Pagos!$A$5:$A$2004,A384))</f>
        <v/>
      </c>
      <c r="K384" s="29" t="str">
        <f t="shared" si="16"/>
        <v/>
      </c>
      <c r="L384" s="29" t="str">
        <f>IF(A384="","",SUMIF(Detalle_Pagos!$A$5:$A$2004,A384,Detalle_Pagos!$I$5:$I$2004))</f>
        <v/>
      </c>
      <c r="M384" s="29" t="str">
        <f>IF(A384="","",SUMIFS(Detalle_Pagos!$I$5:$I$2004,Detalle_Pagos!$A$5:$A$2004,A384,Detalle_Pagos!$J$5:$J$2004,"No"))</f>
        <v/>
      </c>
      <c r="N384" t="str">
        <f t="shared" si="17"/>
        <v/>
      </c>
    </row>
    <row r="385" spans="2:14" x14ac:dyDescent="0.3">
      <c r="B385" s="30"/>
      <c r="G385" s="29" t="str">
        <f>IF(A385="","",IFERROR(INDEX(Criterios!$B$4:$C$83,MATCH(D385,Criterios!$A$4:$A$83,0),IF(E385="Dentro horario",1,2)),""))</f>
        <v/>
      </c>
      <c r="H385" s="29"/>
      <c r="I385" s="29" t="str">
        <f t="shared" si="15"/>
        <v/>
      </c>
      <c r="J385" t="str">
        <f>IF(A385="","",COUNTIF(Detalle_Pagos!$A$5:$A$2004,A385))</f>
        <v/>
      </c>
      <c r="K385" s="29" t="str">
        <f t="shared" si="16"/>
        <v/>
      </c>
      <c r="L385" s="29" t="str">
        <f>IF(A385="","",SUMIF(Detalle_Pagos!$A$5:$A$2004,A385,Detalle_Pagos!$I$5:$I$2004))</f>
        <v/>
      </c>
      <c r="M385" s="29" t="str">
        <f>IF(A385="","",SUMIFS(Detalle_Pagos!$I$5:$I$2004,Detalle_Pagos!$A$5:$A$2004,A385,Detalle_Pagos!$J$5:$J$2004,"No"))</f>
        <v/>
      </c>
      <c r="N385" t="str">
        <f t="shared" si="17"/>
        <v/>
      </c>
    </row>
    <row r="386" spans="2:14" x14ac:dyDescent="0.3">
      <c r="B386" s="30"/>
      <c r="G386" s="29" t="str">
        <f>IF(A386="","",IFERROR(INDEX(Criterios!$B$4:$C$83,MATCH(D386,Criterios!$A$4:$A$83,0),IF(E386="Dentro horario",1,2)),""))</f>
        <v/>
      </c>
      <c r="H386" s="29"/>
      <c r="I386" s="29" t="str">
        <f t="shared" si="15"/>
        <v/>
      </c>
      <c r="J386" t="str">
        <f>IF(A386="","",COUNTIF(Detalle_Pagos!$A$5:$A$2004,A386))</f>
        <v/>
      </c>
      <c r="K386" s="29" t="str">
        <f t="shared" si="16"/>
        <v/>
      </c>
      <c r="L386" s="29" t="str">
        <f>IF(A386="","",SUMIF(Detalle_Pagos!$A$5:$A$2004,A386,Detalle_Pagos!$I$5:$I$2004))</f>
        <v/>
      </c>
      <c r="M386" s="29" t="str">
        <f>IF(A386="","",SUMIFS(Detalle_Pagos!$I$5:$I$2004,Detalle_Pagos!$A$5:$A$2004,A386,Detalle_Pagos!$J$5:$J$2004,"No"))</f>
        <v/>
      </c>
      <c r="N386" t="str">
        <f t="shared" si="17"/>
        <v/>
      </c>
    </row>
    <row r="387" spans="2:14" x14ac:dyDescent="0.3">
      <c r="B387" s="30"/>
      <c r="G387" s="29" t="str">
        <f>IF(A387="","",IFERROR(INDEX(Criterios!$B$4:$C$83,MATCH(D387,Criterios!$A$4:$A$83,0),IF(E387="Dentro horario",1,2)),""))</f>
        <v/>
      </c>
      <c r="H387" s="29"/>
      <c r="I387" s="29" t="str">
        <f t="shared" si="15"/>
        <v/>
      </c>
      <c r="J387" t="str">
        <f>IF(A387="","",COUNTIF(Detalle_Pagos!$A$5:$A$2004,A387))</f>
        <v/>
      </c>
      <c r="K387" s="29" t="str">
        <f t="shared" si="16"/>
        <v/>
      </c>
      <c r="L387" s="29" t="str">
        <f>IF(A387="","",SUMIF(Detalle_Pagos!$A$5:$A$2004,A387,Detalle_Pagos!$I$5:$I$2004))</f>
        <v/>
      </c>
      <c r="M387" s="29" t="str">
        <f>IF(A387="","",SUMIFS(Detalle_Pagos!$I$5:$I$2004,Detalle_Pagos!$A$5:$A$2004,A387,Detalle_Pagos!$J$5:$J$2004,"No"))</f>
        <v/>
      </c>
      <c r="N387" t="str">
        <f t="shared" si="17"/>
        <v/>
      </c>
    </row>
    <row r="388" spans="2:14" x14ac:dyDescent="0.3">
      <c r="B388" s="30"/>
      <c r="G388" s="29" t="str">
        <f>IF(A388="","",IFERROR(INDEX(Criterios!$B$4:$C$83,MATCH(D388,Criterios!$A$4:$A$83,0),IF(E388="Dentro horario",1,2)),""))</f>
        <v/>
      </c>
      <c r="H388" s="29"/>
      <c r="I388" s="29" t="str">
        <f t="shared" si="15"/>
        <v/>
      </c>
      <c r="J388" t="str">
        <f>IF(A388="","",COUNTIF(Detalle_Pagos!$A$5:$A$2004,A388))</f>
        <v/>
      </c>
      <c r="K388" s="29" t="str">
        <f t="shared" si="16"/>
        <v/>
      </c>
      <c r="L388" s="29" t="str">
        <f>IF(A388="","",SUMIF(Detalle_Pagos!$A$5:$A$2004,A388,Detalle_Pagos!$I$5:$I$2004))</f>
        <v/>
      </c>
      <c r="M388" s="29" t="str">
        <f>IF(A388="","",SUMIFS(Detalle_Pagos!$I$5:$I$2004,Detalle_Pagos!$A$5:$A$2004,A388,Detalle_Pagos!$J$5:$J$2004,"No"))</f>
        <v/>
      </c>
      <c r="N388" t="str">
        <f t="shared" si="17"/>
        <v/>
      </c>
    </row>
    <row r="389" spans="2:14" x14ac:dyDescent="0.3">
      <c r="B389" s="30"/>
      <c r="G389" s="29" t="str">
        <f>IF(A389="","",IFERROR(INDEX(Criterios!$B$4:$C$83,MATCH(D389,Criterios!$A$4:$A$83,0),IF(E389="Dentro horario",1,2)),""))</f>
        <v/>
      </c>
      <c r="H389" s="29"/>
      <c r="I389" s="29" t="str">
        <f t="shared" ref="I389:I452" si="18">IF(A389="","",IF(OR(F389="",G389=""),"",F389*G389+N(H389)))</f>
        <v/>
      </c>
      <c r="J389" t="str">
        <f>IF(A389="","",COUNTIF(Detalle_Pagos!$A$5:$A$2004,A389))</f>
        <v/>
      </c>
      <c r="K389" s="29" t="str">
        <f t="shared" ref="K389:K452" si="19">IF(A389="","",IF(OR(J389=0,I389=""),"",I389/J389))</f>
        <v/>
      </c>
      <c r="L389" s="29" t="str">
        <f>IF(A389="","",SUMIF(Detalle_Pagos!$A$5:$A$2004,A389,Detalle_Pagos!$I$5:$I$2004))</f>
        <v/>
      </c>
      <c r="M389" s="29" t="str">
        <f>IF(A389="","",SUMIFS(Detalle_Pagos!$I$5:$I$2004,Detalle_Pagos!$A$5:$A$2004,A389,Detalle_Pagos!$J$5:$J$2004,"No"))</f>
        <v/>
      </c>
      <c r="N389" t="str">
        <f t="shared" ref="N389:N452" si="20">IF(A389="","",IF(J389=0,"Sin detalle",IF(M389=0,"Pagada","Pendiente")))</f>
        <v/>
      </c>
    </row>
    <row r="390" spans="2:14" x14ac:dyDescent="0.3">
      <c r="B390" s="30"/>
      <c r="G390" s="29" t="str">
        <f>IF(A390="","",IFERROR(INDEX(Criterios!$B$4:$C$83,MATCH(D390,Criterios!$A$4:$A$83,0),IF(E390="Dentro horario",1,2)),""))</f>
        <v/>
      </c>
      <c r="H390" s="29"/>
      <c r="I390" s="29" t="str">
        <f t="shared" si="18"/>
        <v/>
      </c>
      <c r="J390" t="str">
        <f>IF(A390="","",COUNTIF(Detalle_Pagos!$A$5:$A$2004,A390))</f>
        <v/>
      </c>
      <c r="K390" s="29" t="str">
        <f t="shared" si="19"/>
        <v/>
      </c>
      <c r="L390" s="29" t="str">
        <f>IF(A390="","",SUMIF(Detalle_Pagos!$A$5:$A$2004,A390,Detalle_Pagos!$I$5:$I$2004))</f>
        <v/>
      </c>
      <c r="M390" s="29" t="str">
        <f>IF(A390="","",SUMIFS(Detalle_Pagos!$I$5:$I$2004,Detalle_Pagos!$A$5:$A$2004,A390,Detalle_Pagos!$J$5:$J$2004,"No"))</f>
        <v/>
      </c>
      <c r="N390" t="str">
        <f t="shared" si="20"/>
        <v/>
      </c>
    </row>
    <row r="391" spans="2:14" x14ac:dyDescent="0.3">
      <c r="B391" s="30"/>
      <c r="G391" s="29" t="str">
        <f>IF(A391="","",IFERROR(INDEX(Criterios!$B$4:$C$83,MATCH(D391,Criterios!$A$4:$A$83,0),IF(E391="Dentro horario",1,2)),""))</f>
        <v/>
      </c>
      <c r="H391" s="29"/>
      <c r="I391" s="29" t="str">
        <f t="shared" si="18"/>
        <v/>
      </c>
      <c r="J391" t="str">
        <f>IF(A391="","",COUNTIF(Detalle_Pagos!$A$5:$A$2004,A391))</f>
        <v/>
      </c>
      <c r="K391" s="29" t="str">
        <f t="shared" si="19"/>
        <v/>
      </c>
      <c r="L391" s="29" t="str">
        <f>IF(A391="","",SUMIF(Detalle_Pagos!$A$5:$A$2004,A391,Detalle_Pagos!$I$5:$I$2004))</f>
        <v/>
      </c>
      <c r="M391" s="29" t="str">
        <f>IF(A391="","",SUMIFS(Detalle_Pagos!$I$5:$I$2004,Detalle_Pagos!$A$5:$A$2004,A391,Detalle_Pagos!$J$5:$J$2004,"No"))</f>
        <v/>
      </c>
      <c r="N391" t="str">
        <f t="shared" si="20"/>
        <v/>
      </c>
    </row>
    <row r="392" spans="2:14" x14ac:dyDescent="0.3">
      <c r="B392" s="30"/>
      <c r="G392" s="29" t="str">
        <f>IF(A392="","",IFERROR(INDEX(Criterios!$B$4:$C$83,MATCH(D392,Criterios!$A$4:$A$83,0),IF(E392="Dentro horario",1,2)),""))</f>
        <v/>
      </c>
      <c r="H392" s="29"/>
      <c r="I392" s="29" t="str">
        <f t="shared" si="18"/>
        <v/>
      </c>
      <c r="J392" t="str">
        <f>IF(A392="","",COUNTIF(Detalle_Pagos!$A$5:$A$2004,A392))</f>
        <v/>
      </c>
      <c r="K392" s="29" t="str">
        <f t="shared" si="19"/>
        <v/>
      </c>
      <c r="L392" s="29" t="str">
        <f>IF(A392="","",SUMIF(Detalle_Pagos!$A$5:$A$2004,A392,Detalle_Pagos!$I$5:$I$2004))</f>
        <v/>
      </c>
      <c r="M392" s="29" t="str">
        <f>IF(A392="","",SUMIFS(Detalle_Pagos!$I$5:$I$2004,Detalle_Pagos!$A$5:$A$2004,A392,Detalle_Pagos!$J$5:$J$2004,"No"))</f>
        <v/>
      </c>
      <c r="N392" t="str">
        <f t="shared" si="20"/>
        <v/>
      </c>
    </row>
    <row r="393" spans="2:14" x14ac:dyDescent="0.3">
      <c r="B393" s="30"/>
      <c r="G393" s="29" t="str">
        <f>IF(A393="","",IFERROR(INDEX(Criterios!$B$4:$C$83,MATCH(D393,Criterios!$A$4:$A$83,0),IF(E393="Dentro horario",1,2)),""))</f>
        <v/>
      </c>
      <c r="H393" s="29"/>
      <c r="I393" s="29" t="str">
        <f t="shared" si="18"/>
        <v/>
      </c>
      <c r="J393" t="str">
        <f>IF(A393="","",COUNTIF(Detalle_Pagos!$A$5:$A$2004,A393))</f>
        <v/>
      </c>
      <c r="K393" s="29" t="str">
        <f t="shared" si="19"/>
        <v/>
      </c>
      <c r="L393" s="29" t="str">
        <f>IF(A393="","",SUMIF(Detalle_Pagos!$A$5:$A$2004,A393,Detalle_Pagos!$I$5:$I$2004))</f>
        <v/>
      </c>
      <c r="M393" s="29" t="str">
        <f>IF(A393="","",SUMIFS(Detalle_Pagos!$I$5:$I$2004,Detalle_Pagos!$A$5:$A$2004,A393,Detalle_Pagos!$J$5:$J$2004,"No"))</f>
        <v/>
      </c>
      <c r="N393" t="str">
        <f t="shared" si="20"/>
        <v/>
      </c>
    </row>
    <row r="394" spans="2:14" x14ac:dyDescent="0.3">
      <c r="B394" s="30"/>
      <c r="G394" s="29" t="str">
        <f>IF(A394="","",IFERROR(INDEX(Criterios!$B$4:$C$83,MATCH(D394,Criterios!$A$4:$A$83,0),IF(E394="Dentro horario",1,2)),""))</f>
        <v/>
      </c>
      <c r="H394" s="29"/>
      <c r="I394" s="29" t="str">
        <f t="shared" si="18"/>
        <v/>
      </c>
      <c r="J394" t="str">
        <f>IF(A394="","",COUNTIF(Detalle_Pagos!$A$5:$A$2004,A394))</f>
        <v/>
      </c>
      <c r="K394" s="29" t="str">
        <f t="shared" si="19"/>
        <v/>
      </c>
      <c r="L394" s="29" t="str">
        <f>IF(A394="","",SUMIF(Detalle_Pagos!$A$5:$A$2004,A394,Detalle_Pagos!$I$5:$I$2004))</f>
        <v/>
      </c>
      <c r="M394" s="29" t="str">
        <f>IF(A394="","",SUMIFS(Detalle_Pagos!$I$5:$I$2004,Detalle_Pagos!$A$5:$A$2004,A394,Detalle_Pagos!$J$5:$J$2004,"No"))</f>
        <v/>
      </c>
      <c r="N394" t="str">
        <f t="shared" si="20"/>
        <v/>
      </c>
    </row>
    <row r="395" spans="2:14" x14ac:dyDescent="0.3">
      <c r="B395" s="30"/>
      <c r="G395" s="29" t="str">
        <f>IF(A395="","",IFERROR(INDEX(Criterios!$B$4:$C$83,MATCH(D395,Criterios!$A$4:$A$83,0),IF(E395="Dentro horario",1,2)),""))</f>
        <v/>
      </c>
      <c r="H395" s="29"/>
      <c r="I395" s="29" t="str">
        <f t="shared" si="18"/>
        <v/>
      </c>
      <c r="J395" t="str">
        <f>IF(A395="","",COUNTIF(Detalle_Pagos!$A$5:$A$2004,A395))</f>
        <v/>
      </c>
      <c r="K395" s="29" t="str">
        <f t="shared" si="19"/>
        <v/>
      </c>
      <c r="L395" s="29" t="str">
        <f>IF(A395="","",SUMIF(Detalle_Pagos!$A$5:$A$2004,A395,Detalle_Pagos!$I$5:$I$2004))</f>
        <v/>
      </c>
      <c r="M395" s="29" t="str">
        <f>IF(A395="","",SUMIFS(Detalle_Pagos!$I$5:$I$2004,Detalle_Pagos!$A$5:$A$2004,A395,Detalle_Pagos!$J$5:$J$2004,"No"))</f>
        <v/>
      </c>
      <c r="N395" t="str">
        <f t="shared" si="20"/>
        <v/>
      </c>
    </row>
    <row r="396" spans="2:14" x14ac:dyDescent="0.3">
      <c r="B396" s="30"/>
      <c r="G396" s="29" t="str">
        <f>IF(A396="","",IFERROR(INDEX(Criterios!$B$4:$C$83,MATCH(D396,Criterios!$A$4:$A$83,0),IF(E396="Dentro horario",1,2)),""))</f>
        <v/>
      </c>
      <c r="H396" s="29"/>
      <c r="I396" s="29" t="str">
        <f t="shared" si="18"/>
        <v/>
      </c>
      <c r="J396" t="str">
        <f>IF(A396="","",COUNTIF(Detalle_Pagos!$A$5:$A$2004,A396))</f>
        <v/>
      </c>
      <c r="K396" s="29" t="str">
        <f t="shared" si="19"/>
        <v/>
      </c>
      <c r="L396" s="29" t="str">
        <f>IF(A396="","",SUMIF(Detalle_Pagos!$A$5:$A$2004,A396,Detalle_Pagos!$I$5:$I$2004))</f>
        <v/>
      </c>
      <c r="M396" s="29" t="str">
        <f>IF(A396="","",SUMIFS(Detalle_Pagos!$I$5:$I$2004,Detalle_Pagos!$A$5:$A$2004,A396,Detalle_Pagos!$J$5:$J$2004,"No"))</f>
        <v/>
      </c>
      <c r="N396" t="str">
        <f t="shared" si="20"/>
        <v/>
      </c>
    </row>
    <row r="397" spans="2:14" x14ac:dyDescent="0.3">
      <c r="B397" s="30"/>
      <c r="G397" s="29" t="str">
        <f>IF(A397="","",IFERROR(INDEX(Criterios!$B$4:$C$83,MATCH(D397,Criterios!$A$4:$A$83,0),IF(E397="Dentro horario",1,2)),""))</f>
        <v/>
      </c>
      <c r="H397" s="29"/>
      <c r="I397" s="29" t="str">
        <f t="shared" si="18"/>
        <v/>
      </c>
      <c r="J397" t="str">
        <f>IF(A397="","",COUNTIF(Detalle_Pagos!$A$5:$A$2004,A397))</f>
        <v/>
      </c>
      <c r="K397" s="29" t="str">
        <f t="shared" si="19"/>
        <v/>
      </c>
      <c r="L397" s="29" t="str">
        <f>IF(A397="","",SUMIF(Detalle_Pagos!$A$5:$A$2004,A397,Detalle_Pagos!$I$5:$I$2004))</f>
        <v/>
      </c>
      <c r="M397" s="29" t="str">
        <f>IF(A397="","",SUMIFS(Detalle_Pagos!$I$5:$I$2004,Detalle_Pagos!$A$5:$A$2004,A397,Detalle_Pagos!$J$5:$J$2004,"No"))</f>
        <v/>
      </c>
      <c r="N397" t="str">
        <f t="shared" si="20"/>
        <v/>
      </c>
    </row>
    <row r="398" spans="2:14" x14ac:dyDescent="0.3">
      <c r="B398" s="30"/>
      <c r="G398" s="29" t="str">
        <f>IF(A398="","",IFERROR(INDEX(Criterios!$B$4:$C$83,MATCH(D398,Criterios!$A$4:$A$83,0),IF(E398="Dentro horario",1,2)),""))</f>
        <v/>
      </c>
      <c r="H398" s="29"/>
      <c r="I398" s="29" t="str">
        <f t="shared" si="18"/>
        <v/>
      </c>
      <c r="J398" t="str">
        <f>IF(A398="","",COUNTIF(Detalle_Pagos!$A$5:$A$2004,A398))</f>
        <v/>
      </c>
      <c r="K398" s="29" t="str">
        <f t="shared" si="19"/>
        <v/>
      </c>
      <c r="L398" s="29" t="str">
        <f>IF(A398="","",SUMIF(Detalle_Pagos!$A$5:$A$2004,A398,Detalle_Pagos!$I$5:$I$2004))</f>
        <v/>
      </c>
      <c r="M398" s="29" t="str">
        <f>IF(A398="","",SUMIFS(Detalle_Pagos!$I$5:$I$2004,Detalle_Pagos!$A$5:$A$2004,A398,Detalle_Pagos!$J$5:$J$2004,"No"))</f>
        <v/>
      </c>
      <c r="N398" t="str">
        <f t="shared" si="20"/>
        <v/>
      </c>
    </row>
    <row r="399" spans="2:14" x14ac:dyDescent="0.3">
      <c r="B399" s="30"/>
      <c r="G399" s="29" t="str">
        <f>IF(A399="","",IFERROR(INDEX(Criterios!$B$4:$C$83,MATCH(D399,Criterios!$A$4:$A$83,0),IF(E399="Dentro horario",1,2)),""))</f>
        <v/>
      </c>
      <c r="H399" s="29"/>
      <c r="I399" s="29" t="str">
        <f t="shared" si="18"/>
        <v/>
      </c>
      <c r="J399" t="str">
        <f>IF(A399="","",COUNTIF(Detalle_Pagos!$A$5:$A$2004,A399))</f>
        <v/>
      </c>
      <c r="K399" s="29" t="str">
        <f t="shared" si="19"/>
        <v/>
      </c>
      <c r="L399" s="29" t="str">
        <f>IF(A399="","",SUMIF(Detalle_Pagos!$A$5:$A$2004,A399,Detalle_Pagos!$I$5:$I$2004))</f>
        <v/>
      </c>
      <c r="M399" s="29" t="str">
        <f>IF(A399="","",SUMIFS(Detalle_Pagos!$I$5:$I$2004,Detalle_Pagos!$A$5:$A$2004,A399,Detalle_Pagos!$J$5:$J$2004,"No"))</f>
        <v/>
      </c>
      <c r="N399" t="str">
        <f t="shared" si="20"/>
        <v/>
      </c>
    </row>
    <row r="400" spans="2:14" x14ac:dyDescent="0.3">
      <c r="B400" s="30"/>
      <c r="G400" s="29" t="str">
        <f>IF(A400="","",IFERROR(INDEX(Criterios!$B$4:$C$83,MATCH(D400,Criterios!$A$4:$A$83,0),IF(E400="Dentro horario",1,2)),""))</f>
        <v/>
      </c>
      <c r="H400" s="29"/>
      <c r="I400" s="29" t="str">
        <f t="shared" si="18"/>
        <v/>
      </c>
      <c r="J400" t="str">
        <f>IF(A400="","",COUNTIF(Detalle_Pagos!$A$5:$A$2004,A400))</f>
        <v/>
      </c>
      <c r="K400" s="29" t="str">
        <f t="shared" si="19"/>
        <v/>
      </c>
      <c r="L400" s="29" t="str">
        <f>IF(A400="","",SUMIF(Detalle_Pagos!$A$5:$A$2004,A400,Detalle_Pagos!$I$5:$I$2004))</f>
        <v/>
      </c>
      <c r="M400" s="29" t="str">
        <f>IF(A400="","",SUMIFS(Detalle_Pagos!$I$5:$I$2004,Detalle_Pagos!$A$5:$A$2004,A400,Detalle_Pagos!$J$5:$J$2004,"No"))</f>
        <v/>
      </c>
      <c r="N400" t="str">
        <f t="shared" si="20"/>
        <v/>
      </c>
    </row>
    <row r="401" spans="2:14" x14ac:dyDescent="0.3">
      <c r="B401" s="30"/>
      <c r="G401" s="29" t="str">
        <f>IF(A401="","",IFERROR(INDEX(Criterios!$B$4:$C$83,MATCH(D401,Criterios!$A$4:$A$83,0),IF(E401="Dentro horario",1,2)),""))</f>
        <v/>
      </c>
      <c r="H401" s="29"/>
      <c r="I401" s="29" t="str">
        <f t="shared" si="18"/>
        <v/>
      </c>
      <c r="J401" t="str">
        <f>IF(A401="","",COUNTIF(Detalle_Pagos!$A$5:$A$2004,A401))</f>
        <v/>
      </c>
      <c r="K401" s="29" t="str">
        <f t="shared" si="19"/>
        <v/>
      </c>
      <c r="L401" s="29" t="str">
        <f>IF(A401="","",SUMIF(Detalle_Pagos!$A$5:$A$2004,A401,Detalle_Pagos!$I$5:$I$2004))</f>
        <v/>
      </c>
      <c r="M401" s="29" t="str">
        <f>IF(A401="","",SUMIFS(Detalle_Pagos!$I$5:$I$2004,Detalle_Pagos!$A$5:$A$2004,A401,Detalle_Pagos!$J$5:$J$2004,"No"))</f>
        <v/>
      </c>
      <c r="N401" t="str">
        <f t="shared" si="20"/>
        <v/>
      </c>
    </row>
    <row r="402" spans="2:14" x14ac:dyDescent="0.3">
      <c r="B402" s="30"/>
      <c r="G402" s="29" t="str">
        <f>IF(A402="","",IFERROR(INDEX(Criterios!$B$4:$C$83,MATCH(D402,Criterios!$A$4:$A$83,0),IF(E402="Dentro horario",1,2)),""))</f>
        <v/>
      </c>
      <c r="H402" s="29"/>
      <c r="I402" s="29" t="str">
        <f t="shared" si="18"/>
        <v/>
      </c>
      <c r="J402" t="str">
        <f>IF(A402="","",COUNTIF(Detalle_Pagos!$A$5:$A$2004,A402))</f>
        <v/>
      </c>
      <c r="K402" s="29" t="str">
        <f t="shared" si="19"/>
        <v/>
      </c>
      <c r="L402" s="29" t="str">
        <f>IF(A402="","",SUMIF(Detalle_Pagos!$A$5:$A$2004,A402,Detalle_Pagos!$I$5:$I$2004))</f>
        <v/>
      </c>
      <c r="M402" s="29" t="str">
        <f>IF(A402="","",SUMIFS(Detalle_Pagos!$I$5:$I$2004,Detalle_Pagos!$A$5:$A$2004,A402,Detalle_Pagos!$J$5:$J$2004,"No"))</f>
        <v/>
      </c>
      <c r="N402" t="str">
        <f t="shared" si="20"/>
        <v/>
      </c>
    </row>
    <row r="403" spans="2:14" x14ac:dyDescent="0.3">
      <c r="B403" s="30"/>
      <c r="G403" s="29" t="str">
        <f>IF(A403="","",IFERROR(INDEX(Criterios!$B$4:$C$83,MATCH(D403,Criterios!$A$4:$A$83,0),IF(E403="Dentro horario",1,2)),""))</f>
        <v/>
      </c>
      <c r="H403" s="29"/>
      <c r="I403" s="29" t="str">
        <f t="shared" si="18"/>
        <v/>
      </c>
      <c r="J403" t="str">
        <f>IF(A403="","",COUNTIF(Detalle_Pagos!$A$5:$A$2004,A403))</f>
        <v/>
      </c>
      <c r="K403" s="29" t="str">
        <f t="shared" si="19"/>
        <v/>
      </c>
      <c r="L403" s="29" t="str">
        <f>IF(A403="","",SUMIF(Detalle_Pagos!$A$5:$A$2004,A403,Detalle_Pagos!$I$5:$I$2004))</f>
        <v/>
      </c>
      <c r="M403" s="29" t="str">
        <f>IF(A403="","",SUMIFS(Detalle_Pagos!$I$5:$I$2004,Detalle_Pagos!$A$5:$A$2004,A403,Detalle_Pagos!$J$5:$J$2004,"No"))</f>
        <v/>
      </c>
      <c r="N403" t="str">
        <f t="shared" si="20"/>
        <v/>
      </c>
    </row>
    <row r="404" spans="2:14" x14ac:dyDescent="0.3">
      <c r="B404" s="30"/>
      <c r="G404" s="29" t="str">
        <f>IF(A404="","",IFERROR(INDEX(Criterios!$B$4:$C$83,MATCH(D404,Criterios!$A$4:$A$83,0),IF(E404="Dentro horario",1,2)),""))</f>
        <v/>
      </c>
      <c r="H404" s="29"/>
      <c r="I404" s="29" t="str">
        <f t="shared" si="18"/>
        <v/>
      </c>
      <c r="J404" t="str">
        <f>IF(A404="","",COUNTIF(Detalle_Pagos!$A$5:$A$2004,A404))</f>
        <v/>
      </c>
      <c r="K404" s="29" t="str">
        <f t="shared" si="19"/>
        <v/>
      </c>
      <c r="L404" s="29" t="str">
        <f>IF(A404="","",SUMIF(Detalle_Pagos!$A$5:$A$2004,A404,Detalle_Pagos!$I$5:$I$2004))</f>
        <v/>
      </c>
      <c r="M404" s="29" t="str">
        <f>IF(A404="","",SUMIFS(Detalle_Pagos!$I$5:$I$2004,Detalle_Pagos!$A$5:$A$2004,A404,Detalle_Pagos!$J$5:$J$2004,"No"))</f>
        <v/>
      </c>
      <c r="N404" t="str">
        <f t="shared" si="20"/>
        <v/>
      </c>
    </row>
    <row r="405" spans="2:14" x14ac:dyDescent="0.3">
      <c r="B405" s="30"/>
      <c r="G405" s="29" t="str">
        <f>IF(A405="","",IFERROR(INDEX(Criterios!$B$4:$C$83,MATCH(D405,Criterios!$A$4:$A$83,0),IF(E405="Dentro horario",1,2)),""))</f>
        <v/>
      </c>
      <c r="H405" s="29"/>
      <c r="I405" s="29" t="str">
        <f t="shared" si="18"/>
        <v/>
      </c>
      <c r="J405" t="str">
        <f>IF(A405="","",COUNTIF(Detalle_Pagos!$A$5:$A$2004,A405))</f>
        <v/>
      </c>
      <c r="K405" s="29" t="str">
        <f t="shared" si="19"/>
        <v/>
      </c>
      <c r="L405" s="29" t="str">
        <f>IF(A405="","",SUMIF(Detalle_Pagos!$A$5:$A$2004,A405,Detalle_Pagos!$I$5:$I$2004))</f>
        <v/>
      </c>
      <c r="M405" s="29" t="str">
        <f>IF(A405="","",SUMIFS(Detalle_Pagos!$I$5:$I$2004,Detalle_Pagos!$A$5:$A$2004,A405,Detalle_Pagos!$J$5:$J$2004,"No"))</f>
        <v/>
      </c>
      <c r="N405" t="str">
        <f t="shared" si="20"/>
        <v/>
      </c>
    </row>
    <row r="406" spans="2:14" x14ac:dyDescent="0.3">
      <c r="B406" s="30"/>
      <c r="G406" s="29" t="str">
        <f>IF(A406="","",IFERROR(INDEX(Criterios!$B$4:$C$83,MATCH(D406,Criterios!$A$4:$A$83,0),IF(E406="Dentro horario",1,2)),""))</f>
        <v/>
      </c>
      <c r="H406" s="29"/>
      <c r="I406" s="29" t="str">
        <f t="shared" si="18"/>
        <v/>
      </c>
      <c r="J406" t="str">
        <f>IF(A406="","",COUNTIF(Detalle_Pagos!$A$5:$A$2004,A406))</f>
        <v/>
      </c>
      <c r="K406" s="29" t="str">
        <f t="shared" si="19"/>
        <v/>
      </c>
      <c r="L406" s="29" t="str">
        <f>IF(A406="","",SUMIF(Detalle_Pagos!$A$5:$A$2004,A406,Detalle_Pagos!$I$5:$I$2004))</f>
        <v/>
      </c>
      <c r="M406" s="29" t="str">
        <f>IF(A406="","",SUMIFS(Detalle_Pagos!$I$5:$I$2004,Detalle_Pagos!$A$5:$A$2004,A406,Detalle_Pagos!$J$5:$J$2004,"No"))</f>
        <v/>
      </c>
      <c r="N406" t="str">
        <f t="shared" si="20"/>
        <v/>
      </c>
    </row>
    <row r="407" spans="2:14" x14ac:dyDescent="0.3">
      <c r="B407" s="30"/>
      <c r="G407" s="29" t="str">
        <f>IF(A407="","",IFERROR(INDEX(Criterios!$B$4:$C$83,MATCH(D407,Criterios!$A$4:$A$83,0),IF(E407="Dentro horario",1,2)),""))</f>
        <v/>
      </c>
      <c r="H407" s="29"/>
      <c r="I407" s="29" t="str">
        <f t="shared" si="18"/>
        <v/>
      </c>
      <c r="J407" t="str">
        <f>IF(A407="","",COUNTIF(Detalle_Pagos!$A$5:$A$2004,A407))</f>
        <v/>
      </c>
      <c r="K407" s="29" t="str">
        <f t="shared" si="19"/>
        <v/>
      </c>
      <c r="L407" s="29" t="str">
        <f>IF(A407="","",SUMIF(Detalle_Pagos!$A$5:$A$2004,A407,Detalle_Pagos!$I$5:$I$2004))</f>
        <v/>
      </c>
      <c r="M407" s="29" t="str">
        <f>IF(A407="","",SUMIFS(Detalle_Pagos!$I$5:$I$2004,Detalle_Pagos!$A$5:$A$2004,A407,Detalle_Pagos!$J$5:$J$2004,"No"))</f>
        <v/>
      </c>
      <c r="N407" t="str">
        <f t="shared" si="20"/>
        <v/>
      </c>
    </row>
    <row r="408" spans="2:14" x14ac:dyDescent="0.3">
      <c r="B408" s="30"/>
      <c r="G408" s="29" t="str">
        <f>IF(A408="","",IFERROR(INDEX(Criterios!$B$4:$C$83,MATCH(D408,Criterios!$A$4:$A$83,0),IF(E408="Dentro horario",1,2)),""))</f>
        <v/>
      </c>
      <c r="H408" s="29"/>
      <c r="I408" s="29" t="str">
        <f t="shared" si="18"/>
        <v/>
      </c>
      <c r="J408" t="str">
        <f>IF(A408="","",COUNTIF(Detalle_Pagos!$A$5:$A$2004,A408))</f>
        <v/>
      </c>
      <c r="K408" s="29" t="str">
        <f t="shared" si="19"/>
        <v/>
      </c>
      <c r="L408" s="29" t="str">
        <f>IF(A408="","",SUMIF(Detalle_Pagos!$A$5:$A$2004,A408,Detalle_Pagos!$I$5:$I$2004))</f>
        <v/>
      </c>
      <c r="M408" s="29" t="str">
        <f>IF(A408="","",SUMIFS(Detalle_Pagos!$I$5:$I$2004,Detalle_Pagos!$A$5:$A$2004,A408,Detalle_Pagos!$J$5:$J$2004,"No"))</f>
        <v/>
      </c>
      <c r="N408" t="str">
        <f t="shared" si="20"/>
        <v/>
      </c>
    </row>
    <row r="409" spans="2:14" x14ac:dyDescent="0.3">
      <c r="B409" s="30"/>
      <c r="G409" s="29" t="str">
        <f>IF(A409="","",IFERROR(INDEX(Criterios!$B$4:$C$83,MATCH(D409,Criterios!$A$4:$A$83,0),IF(E409="Dentro horario",1,2)),""))</f>
        <v/>
      </c>
      <c r="H409" s="29"/>
      <c r="I409" s="29" t="str">
        <f t="shared" si="18"/>
        <v/>
      </c>
      <c r="J409" t="str">
        <f>IF(A409="","",COUNTIF(Detalle_Pagos!$A$5:$A$2004,A409))</f>
        <v/>
      </c>
      <c r="K409" s="29" t="str">
        <f t="shared" si="19"/>
        <v/>
      </c>
      <c r="L409" s="29" t="str">
        <f>IF(A409="","",SUMIF(Detalle_Pagos!$A$5:$A$2004,A409,Detalle_Pagos!$I$5:$I$2004))</f>
        <v/>
      </c>
      <c r="M409" s="29" t="str">
        <f>IF(A409="","",SUMIFS(Detalle_Pagos!$I$5:$I$2004,Detalle_Pagos!$A$5:$A$2004,A409,Detalle_Pagos!$J$5:$J$2004,"No"))</f>
        <v/>
      </c>
      <c r="N409" t="str">
        <f t="shared" si="20"/>
        <v/>
      </c>
    </row>
    <row r="410" spans="2:14" x14ac:dyDescent="0.3">
      <c r="B410" s="30"/>
      <c r="G410" s="29" t="str">
        <f>IF(A410="","",IFERROR(INDEX(Criterios!$B$4:$C$83,MATCH(D410,Criterios!$A$4:$A$83,0),IF(E410="Dentro horario",1,2)),""))</f>
        <v/>
      </c>
      <c r="H410" s="29"/>
      <c r="I410" s="29" t="str">
        <f t="shared" si="18"/>
        <v/>
      </c>
      <c r="J410" t="str">
        <f>IF(A410="","",COUNTIF(Detalle_Pagos!$A$5:$A$2004,A410))</f>
        <v/>
      </c>
      <c r="K410" s="29" t="str">
        <f t="shared" si="19"/>
        <v/>
      </c>
      <c r="L410" s="29" t="str">
        <f>IF(A410="","",SUMIF(Detalle_Pagos!$A$5:$A$2004,A410,Detalle_Pagos!$I$5:$I$2004))</f>
        <v/>
      </c>
      <c r="M410" s="29" t="str">
        <f>IF(A410="","",SUMIFS(Detalle_Pagos!$I$5:$I$2004,Detalle_Pagos!$A$5:$A$2004,A410,Detalle_Pagos!$J$5:$J$2004,"No"))</f>
        <v/>
      </c>
      <c r="N410" t="str">
        <f t="shared" si="20"/>
        <v/>
      </c>
    </row>
    <row r="411" spans="2:14" x14ac:dyDescent="0.3">
      <c r="B411" s="30"/>
      <c r="G411" s="29" t="str">
        <f>IF(A411="","",IFERROR(INDEX(Criterios!$B$4:$C$83,MATCH(D411,Criterios!$A$4:$A$83,0),IF(E411="Dentro horario",1,2)),""))</f>
        <v/>
      </c>
      <c r="H411" s="29"/>
      <c r="I411" s="29" t="str">
        <f t="shared" si="18"/>
        <v/>
      </c>
      <c r="J411" t="str">
        <f>IF(A411="","",COUNTIF(Detalle_Pagos!$A$5:$A$2004,A411))</f>
        <v/>
      </c>
      <c r="K411" s="29" t="str">
        <f t="shared" si="19"/>
        <v/>
      </c>
      <c r="L411" s="29" t="str">
        <f>IF(A411="","",SUMIF(Detalle_Pagos!$A$5:$A$2004,A411,Detalle_Pagos!$I$5:$I$2004))</f>
        <v/>
      </c>
      <c r="M411" s="29" t="str">
        <f>IF(A411="","",SUMIFS(Detalle_Pagos!$I$5:$I$2004,Detalle_Pagos!$A$5:$A$2004,A411,Detalle_Pagos!$J$5:$J$2004,"No"))</f>
        <v/>
      </c>
      <c r="N411" t="str">
        <f t="shared" si="20"/>
        <v/>
      </c>
    </row>
    <row r="412" spans="2:14" x14ac:dyDescent="0.3">
      <c r="B412" s="30"/>
      <c r="G412" s="29" t="str">
        <f>IF(A412="","",IFERROR(INDEX(Criterios!$B$4:$C$83,MATCH(D412,Criterios!$A$4:$A$83,0),IF(E412="Dentro horario",1,2)),""))</f>
        <v/>
      </c>
      <c r="H412" s="29"/>
      <c r="I412" s="29" t="str">
        <f t="shared" si="18"/>
        <v/>
      </c>
      <c r="J412" t="str">
        <f>IF(A412="","",COUNTIF(Detalle_Pagos!$A$5:$A$2004,A412))</f>
        <v/>
      </c>
      <c r="K412" s="29" t="str">
        <f t="shared" si="19"/>
        <v/>
      </c>
      <c r="L412" s="29" t="str">
        <f>IF(A412="","",SUMIF(Detalle_Pagos!$A$5:$A$2004,A412,Detalle_Pagos!$I$5:$I$2004))</f>
        <v/>
      </c>
      <c r="M412" s="29" t="str">
        <f>IF(A412="","",SUMIFS(Detalle_Pagos!$I$5:$I$2004,Detalle_Pagos!$A$5:$A$2004,A412,Detalle_Pagos!$J$5:$J$2004,"No"))</f>
        <v/>
      </c>
      <c r="N412" t="str">
        <f t="shared" si="20"/>
        <v/>
      </c>
    </row>
    <row r="413" spans="2:14" x14ac:dyDescent="0.3">
      <c r="B413" s="30"/>
      <c r="G413" s="29" t="str">
        <f>IF(A413="","",IFERROR(INDEX(Criterios!$B$4:$C$83,MATCH(D413,Criterios!$A$4:$A$83,0),IF(E413="Dentro horario",1,2)),""))</f>
        <v/>
      </c>
      <c r="H413" s="29"/>
      <c r="I413" s="29" t="str">
        <f t="shared" si="18"/>
        <v/>
      </c>
      <c r="J413" t="str">
        <f>IF(A413="","",COUNTIF(Detalle_Pagos!$A$5:$A$2004,A413))</f>
        <v/>
      </c>
      <c r="K413" s="29" t="str">
        <f t="shared" si="19"/>
        <v/>
      </c>
      <c r="L413" s="29" t="str">
        <f>IF(A413="","",SUMIF(Detalle_Pagos!$A$5:$A$2004,A413,Detalle_Pagos!$I$5:$I$2004))</f>
        <v/>
      </c>
      <c r="M413" s="29" t="str">
        <f>IF(A413="","",SUMIFS(Detalle_Pagos!$I$5:$I$2004,Detalle_Pagos!$A$5:$A$2004,A413,Detalle_Pagos!$J$5:$J$2004,"No"))</f>
        <v/>
      </c>
      <c r="N413" t="str">
        <f t="shared" si="20"/>
        <v/>
      </c>
    </row>
    <row r="414" spans="2:14" x14ac:dyDescent="0.3">
      <c r="B414" s="30"/>
      <c r="G414" s="29" t="str">
        <f>IF(A414="","",IFERROR(INDEX(Criterios!$B$4:$C$83,MATCH(D414,Criterios!$A$4:$A$83,0),IF(E414="Dentro horario",1,2)),""))</f>
        <v/>
      </c>
      <c r="H414" s="29"/>
      <c r="I414" s="29" t="str">
        <f t="shared" si="18"/>
        <v/>
      </c>
      <c r="J414" t="str">
        <f>IF(A414="","",COUNTIF(Detalle_Pagos!$A$5:$A$2004,A414))</f>
        <v/>
      </c>
      <c r="K414" s="29" t="str">
        <f t="shared" si="19"/>
        <v/>
      </c>
      <c r="L414" s="29" t="str">
        <f>IF(A414="","",SUMIF(Detalle_Pagos!$A$5:$A$2004,A414,Detalle_Pagos!$I$5:$I$2004))</f>
        <v/>
      </c>
      <c r="M414" s="29" t="str">
        <f>IF(A414="","",SUMIFS(Detalle_Pagos!$I$5:$I$2004,Detalle_Pagos!$A$5:$A$2004,A414,Detalle_Pagos!$J$5:$J$2004,"No"))</f>
        <v/>
      </c>
      <c r="N414" t="str">
        <f t="shared" si="20"/>
        <v/>
      </c>
    </row>
    <row r="415" spans="2:14" x14ac:dyDescent="0.3">
      <c r="B415" s="30"/>
      <c r="G415" s="29" t="str">
        <f>IF(A415="","",IFERROR(INDEX(Criterios!$B$4:$C$83,MATCH(D415,Criterios!$A$4:$A$83,0),IF(E415="Dentro horario",1,2)),""))</f>
        <v/>
      </c>
      <c r="H415" s="29"/>
      <c r="I415" s="29" t="str">
        <f t="shared" si="18"/>
        <v/>
      </c>
      <c r="J415" t="str">
        <f>IF(A415="","",COUNTIF(Detalle_Pagos!$A$5:$A$2004,A415))</f>
        <v/>
      </c>
      <c r="K415" s="29" t="str">
        <f t="shared" si="19"/>
        <v/>
      </c>
      <c r="L415" s="29" t="str">
        <f>IF(A415="","",SUMIF(Detalle_Pagos!$A$5:$A$2004,A415,Detalle_Pagos!$I$5:$I$2004))</f>
        <v/>
      </c>
      <c r="M415" s="29" t="str">
        <f>IF(A415="","",SUMIFS(Detalle_Pagos!$I$5:$I$2004,Detalle_Pagos!$A$5:$A$2004,A415,Detalle_Pagos!$J$5:$J$2004,"No"))</f>
        <v/>
      </c>
      <c r="N415" t="str">
        <f t="shared" si="20"/>
        <v/>
      </c>
    </row>
    <row r="416" spans="2:14" x14ac:dyDescent="0.3">
      <c r="B416" s="30"/>
      <c r="G416" s="29" t="str">
        <f>IF(A416="","",IFERROR(INDEX(Criterios!$B$4:$C$83,MATCH(D416,Criterios!$A$4:$A$83,0),IF(E416="Dentro horario",1,2)),""))</f>
        <v/>
      </c>
      <c r="H416" s="29"/>
      <c r="I416" s="29" t="str">
        <f t="shared" si="18"/>
        <v/>
      </c>
      <c r="J416" t="str">
        <f>IF(A416="","",COUNTIF(Detalle_Pagos!$A$5:$A$2004,A416))</f>
        <v/>
      </c>
      <c r="K416" s="29" t="str">
        <f t="shared" si="19"/>
        <v/>
      </c>
      <c r="L416" s="29" t="str">
        <f>IF(A416="","",SUMIF(Detalle_Pagos!$A$5:$A$2004,A416,Detalle_Pagos!$I$5:$I$2004))</f>
        <v/>
      </c>
      <c r="M416" s="29" t="str">
        <f>IF(A416="","",SUMIFS(Detalle_Pagos!$I$5:$I$2004,Detalle_Pagos!$A$5:$A$2004,A416,Detalle_Pagos!$J$5:$J$2004,"No"))</f>
        <v/>
      </c>
      <c r="N416" t="str">
        <f t="shared" si="20"/>
        <v/>
      </c>
    </row>
    <row r="417" spans="2:14" x14ac:dyDescent="0.3">
      <c r="B417" s="30"/>
      <c r="G417" s="29" t="str">
        <f>IF(A417="","",IFERROR(INDEX(Criterios!$B$4:$C$83,MATCH(D417,Criterios!$A$4:$A$83,0),IF(E417="Dentro horario",1,2)),""))</f>
        <v/>
      </c>
      <c r="H417" s="29"/>
      <c r="I417" s="29" t="str">
        <f t="shared" si="18"/>
        <v/>
      </c>
      <c r="J417" t="str">
        <f>IF(A417="","",COUNTIF(Detalle_Pagos!$A$5:$A$2004,A417))</f>
        <v/>
      </c>
      <c r="K417" s="29" t="str">
        <f t="shared" si="19"/>
        <v/>
      </c>
      <c r="L417" s="29" t="str">
        <f>IF(A417="","",SUMIF(Detalle_Pagos!$A$5:$A$2004,A417,Detalle_Pagos!$I$5:$I$2004))</f>
        <v/>
      </c>
      <c r="M417" s="29" t="str">
        <f>IF(A417="","",SUMIFS(Detalle_Pagos!$I$5:$I$2004,Detalle_Pagos!$A$5:$A$2004,A417,Detalle_Pagos!$J$5:$J$2004,"No"))</f>
        <v/>
      </c>
      <c r="N417" t="str">
        <f t="shared" si="20"/>
        <v/>
      </c>
    </row>
    <row r="418" spans="2:14" x14ac:dyDescent="0.3">
      <c r="B418" s="30"/>
      <c r="G418" s="29" t="str">
        <f>IF(A418="","",IFERROR(INDEX(Criterios!$B$4:$C$83,MATCH(D418,Criterios!$A$4:$A$83,0),IF(E418="Dentro horario",1,2)),""))</f>
        <v/>
      </c>
      <c r="H418" s="29"/>
      <c r="I418" s="29" t="str">
        <f t="shared" si="18"/>
        <v/>
      </c>
      <c r="J418" t="str">
        <f>IF(A418="","",COUNTIF(Detalle_Pagos!$A$5:$A$2004,A418))</f>
        <v/>
      </c>
      <c r="K418" s="29" t="str">
        <f t="shared" si="19"/>
        <v/>
      </c>
      <c r="L418" s="29" t="str">
        <f>IF(A418="","",SUMIF(Detalle_Pagos!$A$5:$A$2004,A418,Detalle_Pagos!$I$5:$I$2004))</f>
        <v/>
      </c>
      <c r="M418" s="29" t="str">
        <f>IF(A418="","",SUMIFS(Detalle_Pagos!$I$5:$I$2004,Detalle_Pagos!$A$5:$A$2004,A418,Detalle_Pagos!$J$5:$J$2004,"No"))</f>
        <v/>
      </c>
      <c r="N418" t="str">
        <f t="shared" si="20"/>
        <v/>
      </c>
    </row>
    <row r="419" spans="2:14" x14ac:dyDescent="0.3">
      <c r="B419" s="30"/>
      <c r="G419" s="29" t="str">
        <f>IF(A419="","",IFERROR(INDEX(Criterios!$B$4:$C$83,MATCH(D419,Criterios!$A$4:$A$83,0),IF(E419="Dentro horario",1,2)),""))</f>
        <v/>
      </c>
      <c r="H419" s="29"/>
      <c r="I419" s="29" t="str">
        <f t="shared" si="18"/>
        <v/>
      </c>
      <c r="J419" t="str">
        <f>IF(A419="","",COUNTIF(Detalle_Pagos!$A$5:$A$2004,A419))</f>
        <v/>
      </c>
      <c r="K419" s="29" t="str">
        <f t="shared" si="19"/>
        <v/>
      </c>
      <c r="L419" s="29" t="str">
        <f>IF(A419="","",SUMIF(Detalle_Pagos!$A$5:$A$2004,A419,Detalle_Pagos!$I$5:$I$2004))</f>
        <v/>
      </c>
      <c r="M419" s="29" t="str">
        <f>IF(A419="","",SUMIFS(Detalle_Pagos!$I$5:$I$2004,Detalle_Pagos!$A$5:$A$2004,A419,Detalle_Pagos!$J$5:$J$2004,"No"))</f>
        <v/>
      </c>
      <c r="N419" t="str">
        <f t="shared" si="20"/>
        <v/>
      </c>
    </row>
    <row r="420" spans="2:14" x14ac:dyDescent="0.3">
      <c r="B420" s="30"/>
      <c r="G420" s="29" t="str">
        <f>IF(A420="","",IFERROR(INDEX(Criterios!$B$4:$C$83,MATCH(D420,Criterios!$A$4:$A$83,0),IF(E420="Dentro horario",1,2)),""))</f>
        <v/>
      </c>
      <c r="H420" s="29"/>
      <c r="I420" s="29" t="str">
        <f t="shared" si="18"/>
        <v/>
      </c>
      <c r="J420" t="str">
        <f>IF(A420="","",COUNTIF(Detalle_Pagos!$A$5:$A$2004,A420))</f>
        <v/>
      </c>
      <c r="K420" s="29" t="str">
        <f t="shared" si="19"/>
        <v/>
      </c>
      <c r="L420" s="29" t="str">
        <f>IF(A420="","",SUMIF(Detalle_Pagos!$A$5:$A$2004,A420,Detalle_Pagos!$I$5:$I$2004))</f>
        <v/>
      </c>
      <c r="M420" s="29" t="str">
        <f>IF(A420="","",SUMIFS(Detalle_Pagos!$I$5:$I$2004,Detalle_Pagos!$A$5:$A$2004,A420,Detalle_Pagos!$J$5:$J$2004,"No"))</f>
        <v/>
      </c>
      <c r="N420" t="str">
        <f t="shared" si="20"/>
        <v/>
      </c>
    </row>
    <row r="421" spans="2:14" x14ac:dyDescent="0.3">
      <c r="B421" s="30"/>
      <c r="G421" s="29" t="str">
        <f>IF(A421="","",IFERROR(INDEX(Criterios!$B$4:$C$83,MATCH(D421,Criterios!$A$4:$A$83,0),IF(E421="Dentro horario",1,2)),""))</f>
        <v/>
      </c>
      <c r="H421" s="29"/>
      <c r="I421" s="29" t="str">
        <f t="shared" si="18"/>
        <v/>
      </c>
      <c r="J421" t="str">
        <f>IF(A421="","",COUNTIF(Detalle_Pagos!$A$5:$A$2004,A421))</f>
        <v/>
      </c>
      <c r="K421" s="29" t="str">
        <f t="shared" si="19"/>
        <v/>
      </c>
      <c r="L421" s="29" t="str">
        <f>IF(A421="","",SUMIF(Detalle_Pagos!$A$5:$A$2004,A421,Detalle_Pagos!$I$5:$I$2004))</f>
        <v/>
      </c>
      <c r="M421" s="29" t="str">
        <f>IF(A421="","",SUMIFS(Detalle_Pagos!$I$5:$I$2004,Detalle_Pagos!$A$5:$A$2004,A421,Detalle_Pagos!$J$5:$J$2004,"No"))</f>
        <v/>
      </c>
      <c r="N421" t="str">
        <f t="shared" si="20"/>
        <v/>
      </c>
    </row>
    <row r="422" spans="2:14" x14ac:dyDescent="0.3">
      <c r="B422" s="30"/>
      <c r="G422" s="29" t="str">
        <f>IF(A422="","",IFERROR(INDEX(Criterios!$B$4:$C$83,MATCH(D422,Criterios!$A$4:$A$83,0),IF(E422="Dentro horario",1,2)),""))</f>
        <v/>
      </c>
      <c r="H422" s="29"/>
      <c r="I422" s="29" t="str">
        <f t="shared" si="18"/>
        <v/>
      </c>
      <c r="J422" t="str">
        <f>IF(A422="","",COUNTIF(Detalle_Pagos!$A$5:$A$2004,A422))</f>
        <v/>
      </c>
      <c r="K422" s="29" t="str">
        <f t="shared" si="19"/>
        <v/>
      </c>
      <c r="L422" s="29" t="str">
        <f>IF(A422="","",SUMIF(Detalle_Pagos!$A$5:$A$2004,A422,Detalle_Pagos!$I$5:$I$2004))</f>
        <v/>
      </c>
      <c r="M422" s="29" t="str">
        <f>IF(A422="","",SUMIFS(Detalle_Pagos!$I$5:$I$2004,Detalle_Pagos!$A$5:$A$2004,A422,Detalle_Pagos!$J$5:$J$2004,"No"))</f>
        <v/>
      </c>
      <c r="N422" t="str">
        <f t="shared" si="20"/>
        <v/>
      </c>
    </row>
    <row r="423" spans="2:14" x14ac:dyDescent="0.3">
      <c r="B423" s="30"/>
      <c r="G423" s="29" t="str">
        <f>IF(A423="","",IFERROR(INDEX(Criterios!$B$4:$C$83,MATCH(D423,Criterios!$A$4:$A$83,0),IF(E423="Dentro horario",1,2)),""))</f>
        <v/>
      </c>
      <c r="H423" s="29"/>
      <c r="I423" s="29" t="str">
        <f t="shared" si="18"/>
        <v/>
      </c>
      <c r="J423" t="str">
        <f>IF(A423="","",COUNTIF(Detalle_Pagos!$A$5:$A$2004,A423))</f>
        <v/>
      </c>
      <c r="K423" s="29" t="str">
        <f t="shared" si="19"/>
        <v/>
      </c>
      <c r="L423" s="29" t="str">
        <f>IF(A423="","",SUMIF(Detalle_Pagos!$A$5:$A$2004,A423,Detalle_Pagos!$I$5:$I$2004))</f>
        <v/>
      </c>
      <c r="M423" s="29" t="str">
        <f>IF(A423="","",SUMIFS(Detalle_Pagos!$I$5:$I$2004,Detalle_Pagos!$A$5:$A$2004,A423,Detalle_Pagos!$J$5:$J$2004,"No"))</f>
        <v/>
      </c>
      <c r="N423" t="str">
        <f t="shared" si="20"/>
        <v/>
      </c>
    </row>
    <row r="424" spans="2:14" x14ac:dyDescent="0.3">
      <c r="B424" s="30"/>
      <c r="G424" s="29" t="str">
        <f>IF(A424="","",IFERROR(INDEX(Criterios!$B$4:$C$83,MATCH(D424,Criterios!$A$4:$A$83,0),IF(E424="Dentro horario",1,2)),""))</f>
        <v/>
      </c>
      <c r="H424" s="29"/>
      <c r="I424" s="29" t="str">
        <f t="shared" si="18"/>
        <v/>
      </c>
      <c r="J424" t="str">
        <f>IF(A424="","",COUNTIF(Detalle_Pagos!$A$5:$A$2004,A424))</f>
        <v/>
      </c>
      <c r="K424" s="29" t="str">
        <f t="shared" si="19"/>
        <v/>
      </c>
      <c r="L424" s="29" t="str">
        <f>IF(A424="","",SUMIF(Detalle_Pagos!$A$5:$A$2004,A424,Detalle_Pagos!$I$5:$I$2004))</f>
        <v/>
      </c>
      <c r="M424" s="29" t="str">
        <f>IF(A424="","",SUMIFS(Detalle_Pagos!$I$5:$I$2004,Detalle_Pagos!$A$5:$A$2004,A424,Detalle_Pagos!$J$5:$J$2004,"No"))</f>
        <v/>
      </c>
      <c r="N424" t="str">
        <f t="shared" si="20"/>
        <v/>
      </c>
    </row>
    <row r="425" spans="2:14" x14ac:dyDescent="0.3">
      <c r="B425" s="30"/>
      <c r="G425" s="29" t="str">
        <f>IF(A425="","",IFERROR(INDEX(Criterios!$B$4:$C$83,MATCH(D425,Criterios!$A$4:$A$83,0),IF(E425="Dentro horario",1,2)),""))</f>
        <v/>
      </c>
      <c r="H425" s="29"/>
      <c r="I425" s="29" t="str">
        <f t="shared" si="18"/>
        <v/>
      </c>
      <c r="J425" t="str">
        <f>IF(A425="","",COUNTIF(Detalle_Pagos!$A$5:$A$2004,A425))</f>
        <v/>
      </c>
      <c r="K425" s="29" t="str">
        <f t="shared" si="19"/>
        <v/>
      </c>
      <c r="L425" s="29" t="str">
        <f>IF(A425="","",SUMIF(Detalle_Pagos!$A$5:$A$2004,A425,Detalle_Pagos!$I$5:$I$2004))</f>
        <v/>
      </c>
      <c r="M425" s="29" t="str">
        <f>IF(A425="","",SUMIFS(Detalle_Pagos!$I$5:$I$2004,Detalle_Pagos!$A$5:$A$2004,A425,Detalle_Pagos!$J$5:$J$2004,"No"))</f>
        <v/>
      </c>
      <c r="N425" t="str">
        <f t="shared" si="20"/>
        <v/>
      </c>
    </row>
    <row r="426" spans="2:14" x14ac:dyDescent="0.3">
      <c r="B426" s="30"/>
      <c r="G426" s="29" t="str">
        <f>IF(A426="","",IFERROR(INDEX(Criterios!$B$4:$C$83,MATCH(D426,Criterios!$A$4:$A$83,0),IF(E426="Dentro horario",1,2)),""))</f>
        <v/>
      </c>
      <c r="H426" s="29"/>
      <c r="I426" s="29" t="str">
        <f t="shared" si="18"/>
        <v/>
      </c>
      <c r="J426" t="str">
        <f>IF(A426="","",COUNTIF(Detalle_Pagos!$A$5:$A$2004,A426))</f>
        <v/>
      </c>
      <c r="K426" s="29" t="str">
        <f t="shared" si="19"/>
        <v/>
      </c>
      <c r="L426" s="29" t="str">
        <f>IF(A426="","",SUMIF(Detalle_Pagos!$A$5:$A$2004,A426,Detalle_Pagos!$I$5:$I$2004))</f>
        <v/>
      </c>
      <c r="M426" s="29" t="str">
        <f>IF(A426="","",SUMIFS(Detalle_Pagos!$I$5:$I$2004,Detalle_Pagos!$A$5:$A$2004,A426,Detalle_Pagos!$J$5:$J$2004,"No"))</f>
        <v/>
      </c>
      <c r="N426" t="str">
        <f t="shared" si="20"/>
        <v/>
      </c>
    </row>
    <row r="427" spans="2:14" x14ac:dyDescent="0.3">
      <c r="B427" s="30"/>
      <c r="G427" s="29" t="str">
        <f>IF(A427="","",IFERROR(INDEX(Criterios!$B$4:$C$83,MATCH(D427,Criterios!$A$4:$A$83,0),IF(E427="Dentro horario",1,2)),""))</f>
        <v/>
      </c>
      <c r="H427" s="29"/>
      <c r="I427" s="29" t="str">
        <f t="shared" si="18"/>
        <v/>
      </c>
      <c r="J427" t="str">
        <f>IF(A427="","",COUNTIF(Detalle_Pagos!$A$5:$A$2004,A427))</f>
        <v/>
      </c>
      <c r="K427" s="29" t="str">
        <f t="shared" si="19"/>
        <v/>
      </c>
      <c r="L427" s="29" t="str">
        <f>IF(A427="","",SUMIF(Detalle_Pagos!$A$5:$A$2004,A427,Detalle_Pagos!$I$5:$I$2004))</f>
        <v/>
      </c>
      <c r="M427" s="29" t="str">
        <f>IF(A427="","",SUMIFS(Detalle_Pagos!$I$5:$I$2004,Detalle_Pagos!$A$5:$A$2004,A427,Detalle_Pagos!$J$5:$J$2004,"No"))</f>
        <v/>
      </c>
      <c r="N427" t="str">
        <f t="shared" si="20"/>
        <v/>
      </c>
    </row>
    <row r="428" spans="2:14" x14ac:dyDescent="0.3">
      <c r="B428" s="30"/>
      <c r="G428" s="29" t="str">
        <f>IF(A428="","",IFERROR(INDEX(Criterios!$B$4:$C$83,MATCH(D428,Criterios!$A$4:$A$83,0),IF(E428="Dentro horario",1,2)),""))</f>
        <v/>
      </c>
      <c r="H428" s="29"/>
      <c r="I428" s="29" t="str">
        <f t="shared" si="18"/>
        <v/>
      </c>
      <c r="J428" t="str">
        <f>IF(A428="","",COUNTIF(Detalle_Pagos!$A$5:$A$2004,A428))</f>
        <v/>
      </c>
      <c r="K428" s="29" t="str">
        <f t="shared" si="19"/>
        <v/>
      </c>
      <c r="L428" s="29" t="str">
        <f>IF(A428="","",SUMIF(Detalle_Pagos!$A$5:$A$2004,A428,Detalle_Pagos!$I$5:$I$2004))</f>
        <v/>
      </c>
      <c r="M428" s="29" t="str">
        <f>IF(A428="","",SUMIFS(Detalle_Pagos!$I$5:$I$2004,Detalle_Pagos!$A$5:$A$2004,A428,Detalle_Pagos!$J$5:$J$2004,"No"))</f>
        <v/>
      </c>
      <c r="N428" t="str">
        <f t="shared" si="20"/>
        <v/>
      </c>
    </row>
    <row r="429" spans="2:14" x14ac:dyDescent="0.3">
      <c r="B429" s="30"/>
      <c r="G429" s="29" t="str">
        <f>IF(A429="","",IFERROR(INDEX(Criterios!$B$4:$C$83,MATCH(D429,Criterios!$A$4:$A$83,0),IF(E429="Dentro horario",1,2)),""))</f>
        <v/>
      </c>
      <c r="H429" s="29"/>
      <c r="I429" s="29" t="str">
        <f t="shared" si="18"/>
        <v/>
      </c>
      <c r="J429" t="str">
        <f>IF(A429="","",COUNTIF(Detalle_Pagos!$A$5:$A$2004,A429))</f>
        <v/>
      </c>
      <c r="K429" s="29" t="str">
        <f t="shared" si="19"/>
        <v/>
      </c>
      <c r="L429" s="29" t="str">
        <f>IF(A429="","",SUMIF(Detalle_Pagos!$A$5:$A$2004,A429,Detalle_Pagos!$I$5:$I$2004))</f>
        <v/>
      </c>
      <c r="M429" s="29" t="str">
        <f>IF(A429="","",SUMIFS(Detalle_Pagos!$I$5:$I$2004,Detalle_Pagos!$A$5:$A$2004,A429,Detalle_Pagos!$J$5:$J$2004,"No"))</f>
        <v/>
      </c>
      <c r="N429" t="str">
        <f t="shared" si="20"/>
        <v/>
      </c>
    </row>
    <row r="430" spans="2:14" x14ac:dyDescent="0.3">
      <c r="B430" s="30"/>
      <c r="G430" s="29" t="str">
        <f>IF(A430="","",IFERROR(INDEX(Criterios!$B$4:$C$83,MATCH(D430,Criterios!$A$4:$A$83,0),IF(E430="Dentro horario",1,2)),""))</f>
        <v/>
      </c>
      <c r="H430" s="29"/>
      <c r="I430" s="29" t="str">
        <f t="shared" si="18"/>
        <v/>
      </c>
      <c r="J430" t="str">
        <f>IF(A430="","",COUNTIF(Detalle_Pagos!$A$5:$A$2004,A430))</f>
        <v/>
      </c>
      <c r="K430" s="29" t="str">
        <f t="shared" si="19"/>
        <v/>
      </c>
      <c r="L430" s="29" t="str">
        <f>IF(A430="","",SUMIF(Detalle_Pagos!$A$5:$A$2004,A430,Detalle_Pagos!$I$5:$I$2004))</f>
        <v/>
      </c>
      <c r="M430" s="29" t="str">
        <f>IF(A430="","",SUMIFS(Detalle_Pagos!$I$5:$I$2004,Detalle_Pagos!$A$5:$A$2004,A430,Detalle_Pagos!$J$5:$J$2004,"No"))</f>
        <v/>
      </c>
      <c r="N430" t="str">
        <f t="shared" si="20"/>
        <v/>
      </c>
    </row>
    <row r="431" spans="2:14" x14ac:dyDescent="0.3">
      <c r="B431" s="30"/>
      <c r="G431" s="29" t="str">
        <f>IF(A431="","",IFERROR(INDEX(Criterios!$B$4:$C$83,MATCH(D431,Criterios!$A$4:$A$83,0),IF(E431="Dentro horario",1,2)),""))</f>
        <v/>
      </c>
      <c r="H431" s="29"/>
      <c r="I431" s="29" t="str">
        <f t="shared" si="18"/>
        <v/>
      </c>
      <c r="J431" t="str">
        <f>IF(A431="","",COUNTIF(Detalle_Pagos!$A$5:$A$2004,A431))</f>
        <v/>
      </c>
      <c r="K431" s="29" t="str">
        <f t="shared" si="19"/>
        <v/>
      </c>
      <c r="L431" s="29" t="str">
        <f>IF(A431="","",SUMIF(Detalle_Pagos!$A$5:$A$2004,A431,Detalle_Pagos!$I$5:$I$2004))</f>
        <v/>
      </c>
      <c r="M431" s="29" t="str">
        <f>IF(A431="","",SUMIFS(Detalle_Pagos!$I$5:$I$2004,Detalle_Pagos!$A$5:$A$2004,A431,Detalle_Pagos!$J$5:$J$2004,"No"))</f>
        <v/>
      </c>
      <c r="N431" t="str">
        <f t="shared" si="20"/>
        <v/>
      </c>
    </row>
    <row r="432" spans="2:14" x14ac:dyDescent="0.3">
      <c r="B432" s="30"/>
      <c r="G432" s="29" t="str">
        <f>IF(A432="","",IFERROR(INDEX(Criterios!$B$4:$C$83,MATCH(D432,Criterios!$A$4:$A$83,0),IF(E432="Dentro horario",1,2)),""))</f>
        <v/>
      </c>
      <c r="H432" s="29"/>
      <c r="I432" s="29" t="str">
        <f t="shared" si="18"/>
        <v/>
      </c>
      <c r="J432" t="str">
        <f>IF(A432="","",COUNTIF(Detalle_Pagos!$A$5:$A$2004,A432))</f>
        <v/>
      </c>
      <c r="K432" s="29" t="str">
        <f t="shared" si="19"/>
        <v/>
      </c>
      <c r="L432" s="29" t="str">
        <f>IF(A432="","",SUMIF(Detalle_Pagos!$A$5:$A$2004,A432,Detalle_Pagos!$I$5:$I$2004))</f>
        <v/>
      </c>
      <c r="M432" s="29" t="str">
        <f>IF(A432="","",SUMIFS(Detalle_Pagos!$I$5:$I$2004,Detalle_Pagos!$A$5:$A$2004,A432,Detalle_Pagos!$J$5:$J$2004,"No"))</f>
        <v/>
      </c>
      <c r="N432" t="str">
        <f t="shared" si="20"/>
        <v/>
      </c>
    </row>
    <row r="433" spans="2:14" x14ac:dyDescent="0.3">
      <c r="B433" s="30"/>
      <c r="G433" s="29" t="str">
        <f>IF(A433="","",IFERROR(INDEX(Criterios!$B$4:$C$83,MATCH(D433,Criterios!$A$4:$A$83,0),IF(E433="Dentro horario",1,2)),""))</f>
        <v/>
      </c>
      <c r="H433" s="29"/>
      <c r="I433" s="29" t="str">
        <f t="shared" si="18"/>
        <v/>
      </c>
      <c r="J433" t="str">
        <f>IF(A433="","",COUNTIF(Detalle_Pagos!$A$5:$A$2004,A433))</f>
        <v/>
      </c>
      <c r="K433" s="29" t="str">
        <f t="shared" si="19"/>
        <v/>
      </c>
      <c r="L433" s="29" t="str">
        <f>IF(A433="","",SUMIF(Detalle_Pagos!$A$5:$A$2004,A433,Detalle_Pagos!$I$5:$I$2004))</f>
        <v/>
      </c>
      <c r="M433" s="29" t="str">
        <f>IF(A433="","",SUMIFS(Detalle_Pagos!$I$5:$I$2004,Detalle_Pagos!$A$5:$A$2004,A433,Detalle_Pagos!$J$5:$J$2004,"No"))</f>
        <v/>
      </c>
      <c r="N433" t="str">
        <f t="shared" si="20"/>
        <v/>
      </c>
    </row>
    <row r="434" spans="2:14" x14ac:dyDescent="0.3">
      <c r="B434" s="30"/>
      <c r="G434" s="29" t="str">
        <f>IF(A434="","",IFERROR(INDEX(Criterios!$B$4:$C$83,MATCH(D434,Criterios!$A$4:$A$83,0),IF(E434="Dentro horario",1,2)),""))</f>
        <v/>
      </c>
      <c r="H434" s="29"/>
      <c r="I434" s="29" t="str">
        <f t="shared" si="18"/>
        <v/>
      </c>
      <c r="J434" t="str">
        <f>IF(A434="","",COUNTIF(Detalle_Pagos!$A$5:$A$2004,A434))</f>
        <v/>
      </c>
      <c r="K434" s="29" t="str">
        <f t="shared" si="19"/>
        <v/>
      </c>
      <c r="L434" s="29" t="str">
        <f>IF(A434="","",SUMIF(Detalle_Pagos!$A$5:$A$2004,A434,Detalle_Pagos!$I$5:$I$2004))</f>
        <v/>
      </c>
      <c r="M434" s="29" t="str">
        <f>IF(A434="","",SUMIFS(Detalle_Pagos!$I$5:$I$2004,Detalle_Pagos!$A$5:$A$2004,A434,Detalle_Pagos!$J$5:$J$2004,"No"))</f>
        <v/>
      </c>
      <c r="N434" t="str">
        <f t="shared" si="20"/>
        <v/>
      </c>
    </row>
    <row r="435" spans="2:14" x14ac:dyDescent="0.3">
      <c r="B435" s="30"/>
      <c r="G435" s="29" t="str">
        <f>IF(A435="","",IFERROR(INDEX(Criterios!$B$4:$C$83,MATCH(D435,Criterios!$A$4:$A$83,0),IF(E435="Dentro horario",1,2)),""))</f>
        <v/>
      </c>
      <c r="H435" s="29"/>
      <c r="I435" s="29" t="str">
        <f t="shared" si="18"/>
        <v/>
      </c>
      <c r="J435" t="str">
        <f>IF(A435="","",COUNTIF(Detalle_Pagos!$A$5:$A$2004,A435))</f>
        <v/>
      </c>
      <c r="K435" s="29" t="str">
        <f t="shared" si="19"/>
        <v/>
      </c>
      <c r="L435" s="29" t="str">
        <f>IF(A435="","",SUMIF(Detalle_Pagos!$A$5:$A$2004,A435,Detalle_Pagos!$I$5:$I$2004))</f>
        <v/>
      </c>
      <c r="M435" s="29" t="str">
        <f>IF(A435="","",SUMIFS(Detalle_Pagos!$I$5:$I$2004,Detalle_Pagos!$A$5:$A$2004,A435,Detalle_Pagos!$J$5:$J$2004,"No"))</f>
        <v/>
      </c>
      <c r="N435" t="str">
        <f t="shared" si="20"/>
        <v/>
      </c>
    </row>
    <row r="436" spans="2:14" x14ac:dyDescent="0.3">
      <c r="B436" s="30"/>
      <c r="G436" s="29" t="str">
        <f>IF(A436="","",IFERROR(INDEX(Criterios!$B$4:$C$83,MATCH(D436,Criterios!$A$4:$A$83,0),IF(E436="Dentro horario",1,2)),""))</f>
        <v/>
      </c>
      <c r="H436" s="29"/>
      <c r="I436" s="29" t="str">
        <f t="shared" si="18"/>
        <v/>
      </c>
      <c r="J436" t="str">
        <f>IF(A436="","",COUNTIF(Detalle_Pagos!$A$5:$A$2004,A436))</f>
        <v/>
      </c>
      <c r="K436" s="29" t="str">
        <f t="shared" si="19"/>
        <v/>
      </c>
      <c r="L436" s="29" t="str">
        <f>IF(A436="","",SUMIF(Detalle_Pagos!$A$5:$A$2004,A436,Detalle_Pagos!$I$5:$I$2004))</f>
        <v/>
      </c>
      <c r="M436" s="29" t="str">
        <f>IF(A436="","",SUMIFS(Detalle_Pagos!$I$5:$I$2004,Detalle_Pagos!$A$5:$A$2004,A436,Detalle_Pagos!$J$5:$J$2004,"No"))</f>
        <v/>
      </c>
      <c r="N436" t="str">
        <f t="shared" si="20"/>
        <v/>
      </c>
    </row>
    <row r="437" spans="2:14" x14ac:dyDescent="0.3">
      <c r="B437" s="30"/>
      <c r="G437" s="29" t="str">
        <f>IF(A437="","",IFERROR(INDEX(Criterios!$B$4:$C$83,MATCH(D437,Criterios!$A$4:$A$83,0),IF(E437="Dentro horario",1,2)),""))</f>
        <v/>
      </c>
      <c r="H437" s="29"/>
      <c r="I437" s="29" t="str">
        <f t="shared" si="18"/>
        <v/>
      </c>
      <c r="J437" t="str">
        <f>IF(A437="","",COUNTIF(Detalle_Pagos!$A$5:$A$2004,A437))</f>
        <v/>
      </c>
      <c r="K437" s="29" t="str">
        <f t="shared" si="19"/>
        <v/>
      </c>
      <c r="L437" s="29" t="str">
        <f>IF(A437="","",SUMIF(Detalle_Pagos!$A$5:$A$2004,A437,Detalle_Pagos!$I$5:$I$2004))</f>
        <v/>
      </c>
      <c r="M437" s="29" t="str">
        <f>IF(A437="","",SUMIFS(Detalle_Pagos!$I$5:$I$2004,Detalle_Pagos!$A$5:$A$2004,A437,Detalle_Pagos!$J$5:$J$2004,"No"))</f>
        <v/>
      </c>
      <c r="N437" t="str">
        <f t="shared" si="20"/>
        <v/>
      </c>
    </row>
    <row r="438" spans="2:14" x14ac:dyDescent="0.3">
      <c r="B438" s="30"/>
      <c r="G438" s="29" t="str">
        <f>IF(A438="","",IFERROR(INDEX(Criterios!$B$4:$C$83,MATCH(D438,Criterios!$A$4:$A$83,0),IF(E438="Dentro horario",1,2)),""))</f>
        <v/>
      </c>
      <c r="H438" s="29"/>
      <c r="I438" s="29" t="str">
        <f t="shared" si="18"/>
        <v/>
      </c>
      <c r="J438" t="str">
        <f>IF(A438="","",COUNTIF(Detalle_Pagos!$A$5:$A$2004,A438))</f>
        <v/>
      </c>
      <c r="K438" s="29" t="str">
        <f t="shared" si="19"/>
        <v/>
      </c>
      <c r="L438" s="29" t="str">
        <f>IF(A438="","",SUMIF(Detalle_Pagos!$A$5:$A$2004,A438,Detalle_Pagos!$I$5:$I$2004))</f>
        <v/>
      </c>
      <c r="M438" s="29" t="str">
        <f>IF(A438="","",SUMIFS(Detalle_Pagos!$I$5:$I$2004,Detalle_Pagos!$A$5:$A$2004,A438,Detalle_Pagos!$J$5:$J$2004,"No"))</f>
        <v/>
      </c>
      <c r="N438" t="str">
        <f t="shared" si="20"/>
        <v/>
      </c>
    </row>
    <row r="439" spans="2:14" x14ac:dyDescent="0.3">
      <c r="B439" s="30"/>
      <c r="G439" s="29" t="str">
        <f>IF(A439="","",IFERROR(INDEX(Criterios!$B$4:$C$83,MATCH(D439,Criterios!$A$4:$A$83,0),IF(E439="Dentro horario",1,2)),""))</f>
        <v/>
      </c>
      <c r="H439" s="29"/>
      <c r="I439" s="29" t="str">
        <f t="shared" si="18"/>
        <v/>
      </c>
      <c r="J439" t="str">
        <f>IF(A439="","",COUNTIF(Detalle_Pagos!$A$5:$A$2004,A439))</f>
        <v/>
      </c>
      <c r="K439" s="29" t="str">
        <f t="shared" si="19"/>
        <v/>
      </c>
      <c r="L439" s="29" t="str">
        <f>IF(A439="","",SUMIF(Detalle_Pagos!$A$5:$A$2004,A439,Detalle_Pagos!$I$5:$I$2004))</f>
        <v/>
      </c>
      <c r="M439" s="29" t="str">
        <f>IF(A439="","",SUMIFS(Detalle_Pagos!$I$5:$I$2004,Detalle_Pagos!$A$5:$A$2004,A439,Detalle_Pagos!$J$5:$J$2004,"No"))</f>
        <v/>
      </c>
      <c r="N439" t="str">
        <f t="shared" si="20"/>
        <v/>
      </c>
    </row>
    <row r="440" spans="2:14" x14ac:dyDescent="0.3">
      <c r="B440" s="30"/>
      <c r="G440" s="29" t="str">
        <f>IF(A440="","",IFERROR(INDEX(Criterios!$B$4:$C$83,MATCH(D440,Criterios!$A$4:$A$83,0),IF(E440="Dentro horario",1,2)),""))</f>
        <v/>
      </c>
      <c r="H440" s="29"/>
      <c r="I440" s="29" t="str">
        <f t="shared" si="18"/>
        <v/>
      </c>
      <c r="J440" t="str">
        <f>IF(A440="","",COUNTIF(Detalle_Pagos!$A$5:$A$2004,A440))</f>
        <v/>
      </c>
      <c r="K440" s="29" t="str">
        <f t="shared" si="19"/>
        <v/>
      </c>
      <c r="L440" s="29" t="str">
        <f>IF(A440="","",SUMIF(Detalle_Pagos!$A$5:$A$2004,A440,Detalle_Pagos!$I$5:$I$2004))</f>
        <v/>
      </c>
      <c r="M440" s="29" t="str">
        <f>IF(A440="","",SUMIFS(Detalle_Pagos!$I$5:$I$2004,Detalle_Pagos!$A$5:$A$2004,A440,Detalle_Pagos!$J$5:$J$2004,"No"))</f>
        <v/>
      </c>
      <c r="N440" t="str">
        <f t="shared" si="20"/>
        <v/>
      </c>
    </row>
    <row r="441" spans="2:14" x14ac:dyDescent="0.3">
      <c r="B441" s="30"/>
      <c r="G441" s="29" t="str">
        <f>IF(A441="","",IFERROR(INDEX(Criterios!$B$4:$C$83,MATCH(D441,Criterios!$A$4:$A$83,0),IF(E441="Dentro horario",1,2)),""))</f>
        <v/>
      </c>
      <c r="H441" s="29"/>
      <c r="I441" s="29" t="str">
        <f t="shared" si="18"/>
        <v/>
      </c>
      <c r="J441" t="str">
        <f>IF(A441="","",COUNTIF(Detalle_Pagos!$A$5:$A$2004,A441))</f>
        <v/>
      </c>
      <c r="K441" s="29" t="str">
        <f t="shared" si="19"/>
        <v/>
      </c>
      <c r="L441" s="29" t="str">
        <f>IF(A441="","",SUMIF(Detalle_Pagos!$A$5:$A$2004,A441,Detalle_Pagos!$I$5:$I$2004))</f>
        <v/>
      </c>
      <c r="M441" s="29" t="str">
        <f>IF(A441="","",SUMIFS(Detalle_Pagos!$I$5:$I$2004,Detalle_Pagos!$A$5:$A$2004,A441,Detalle_Pagos!$J$5:$J$2004,"No"))</f>
        <v/>
      </c>
      <c r="N441" t="str">
        <f t="shared" si="20"/>
        <v/>
      </c>
    </row>
    <row r="442" spans="2:14" x14ac:dyDescent="0.3">
      <c r="B442" s="30"/>
      <c r="G442" s="29" t="str">
        <f>IF(A442="","",IFERROR(INDEX(Criterios!$B$4:$C$83,MATCH(D442,Criterios!$A$4:$A$83,0),IF(E442="Dentro horario",1,2)),""))</f>
        <v/>
      </c>
      <c r="H442" s="29"/>
      <c r="I442" s="29" t="str">
        <f t="shared" si="18"/>
        <v/>
      </c>
      <c r="J442" t="str">
        <f>IF(A442="","",COUNTIF(Detalle_Pagos!$A$5:$A$2004,A442))</f>
        <v/>
      </c>
      <c r="K442" s="29" t="str">
        <f t="shared" si="19"/>
        <v/>
      </c>
      <c r="L442" s="29" t="str">
        <f>IF(A442="","",SUMIF(Detalle_Pagos!$A$5:$A$2004,A442,Detalle_Pagos!$I$5:$I$2004))</f>
        <v/>
      </c>
      <c r="M442" s="29" t="str">
        <f>IF(A442="","",SUMIFS(Detalle_Pagos!$I$5:$I$2004,Detalle_Pagos!$A$5:$A$2004,A442,Detalle_Pagos!$J$5:$J$2004,"No"))</f>
        <v/>
      </c>
      <c r="N442" t="str">
        <f t="shared" si="20"/>
        <v/>
      </c>
    </row>
    <row r="443" spans="2:14" x14ac:dyDescent="0.3">
      <c r="B443" s="30"/>
      <c r="G443" s="29" t="str">
        <f>IF(A443="","",IFERROR(INDEX(Criterios!$B$4:$C$83,MATCH(D443,Criterios!$A$4:$A$83,0),IF(E443="Dentro horario",1,2)),""))</f>
        <v/>
      </c>
      <c r="H443" s="29"/>
      <c r="I443" s="29" t="str">
        <f t="shared" si="18"/>
        <v/>
      </c>
      <c r="J443" t="str">
        <f>IF(A443="","",COUNTIF(Detalle_Pagos!$A$5:$A$2004,A443))</f>
        <v/>
      </c>
      <c r="K443" s="29" t="str">
        <f t="shared" si="19"/>
        <v/>
      </c>
      <c r="L443" s="29" t="str">
        <f>IF(A443="","",SUMIF(Detalle_Pagos!$A$5:$A$2004,A443,Detalle_Pagos!$I$5:$I$2004))</f>
        <v/>
      </c>
      <c r="M443" s="29" t="str">
        <f>IF(A443="","",SUMIFS(Detalle_Pagos!$I$5:$I$2004,Detalle_Pagos!$A$5:$A$2004,A443,Detalle_Pagos!$J$5:$J$2004,"No"))</f>
        <v/>
      </c>
      <c r="N443" t="str">
        <f t="shared" si="20"/>
        <v/>
      </c>
    </row>
    <row r="444" spans="2:14" x14ac:dyDescent="0.3">
      <c r="B444" s="30"/>
      <c r="G444" s="29" t="str">
        <f>IF(A444="","",IFERROR(INDEX(Criterios!$B$4:$C$83,MATCH(D444,Criterios!$A$4:$A$83,0),IF(E444="Dentro horario",1,2)),""))</f>
        <v/>
      </c>
      <c r="H444" s="29"/>
      <c r="I444" s="29" t="str">
        <f t="shared" si="18"/>
        <v/>
      </c>
      <c r="J444" t="str">
        <f>IF(A444="","",COUNTIF(Detalle_Pagos!$A$5:$A$2004,A444))</f>
        <v/>
      </c>
      <c r="K444" s="29" t="str">
        <f t="shared" si="19"/>
        <v/>
      </c>
      <c r="L444" s="29" t="str">
        <f>IF(A444="","",SUMIF(Detalle_Pagos!$A$5:$A$2004,A444,Detalle_Pagos!$I$5:$I$2004))</f>
        <v/>
      </c>
      <c r="M444" s="29" t="str">
        <f>IF(A444="","",SUMIFS(Detalle_Pagos!$I$5:$I$2004,Detalle_Pagos!$A$5:$A$2004,A444,Detalle_Pagos!$J$5:$J$2004,"No"))</f>
        <v/>
      </c>
      <c r="N444" t="str">
        <f t="shared" si="20"/>
        <v/>
      </c>
    </row>
    <row r="445" spans="2:14" x14ac:dyDescent="0.3">
      <c r="B445" s="30"/>
      <c r="G445" s="29" t="str">
        <f>IF(A445="","",IFERROR(INDEX(Criterios!$B$4:$C$83,MATCH(D445,Criterios!$A$4:$A$83,0),IF(E445="Dentro horario",1,2)),""))</f>
        <v/>
      </c>
      <c r="H445" s="29"/>
      <c r="I445" s="29" t="str">
        <f t="shared" si="18"/>
        <v/>
      </c>
      <c r="J445" t="str">
        <f>IF(A445="","",COUNTIF(Detalle_Pagos!$A$5:$A$2004,A445))</f>
        <v/>
      </c>
      <c r="K445" s="29" t="str">
        <f t="shared" si="19"/>
        <v/>
      </c>
      <c r="L445" s="29" t="str">
        <f>IF(A445="","",SUMIF(Detalle_Pagos!$A$5:$A$2004,A445,Detalle_Pagos!$I$5:$I$2004))</f>
        <v/>
      </c>
      <c r="M445" s="29" t="str">
        <f>IF(A445="","",SUMIFS(Detalle_Pagos!$I$5:$I$2004,Detalle_Pagos!$A$5:$A$2004,A445,Detalle_Pagos!$J$5:$J$2004,"No"))</f>
        <v/>
      </c>
      <c r="N445" t="str">
        <f t="shared" si="20"/>
        <v/>
      </c>
    </row>
    <row r="446" spans="2:14" x14ac:dyDescent="0.3">
      <c r="B446" s="30"/>
      <c r="G446" s="29" t="str">
        <f>IF(A446="","",IFERROR(INDEX(Criterios!$B$4:$C$83,MATCH(D446,Criterios!$A$4:$A$83,0),IF(E446="Dentro horario",1,2)),""))</f>
        <v/>
      </c>
      <c r="H446" s="29"/>
      <c r="I446" s="29" t="str">
        <f t="shared" si="18"/>
        <v/>
      </c>
      <c r="J446" t="str">
        <f>IF(A446="","",COUNTIF(Detalle_Pagos!$A$5:$A$2004,A446))</f>
        <v/>
      </c>
      <c r="K446" s="29" t="str">
        <f t="shared" si="19"/>
        <v/>
      </c>
      <c r="L446" s="29" t="str">
        <f>IF(A446="","",SUMIF(Detalle_Pagos!$A$5:$A$2004,A446,Detalle_Pagos!$I$5:$I$2004))</f>
        <v/>
      </c>
      <c r="M446" s="29" t="str">
        <f>IF(A446="","",SUMIFS(Detalle_Pagos!$I$5:$I$2004,Detalle_Pagos!$A$5:$A$2004,A446,Detalle_Pagos!$J$5:$J$2004,"No"))</f>
        <v/>
      </c>
      <c r="N446" t="str">
        <f t="shared" si="20"/>
        <v/>
      </c>
    </row>
    <row r="447" spans="2:14" x14ac:dyDescent="0.3">
      <c r="B447" s="30"/>
      <c r="G447" s="29" t="str">
        <f>IF(A447="","",IFERROR(INDEX(Criterios!$B$4:$C$83,MATCH(D447,Criterios!$A$4:$A$83,0),IF(E447="Dentro horario",1,2)),""))</f>
        <v/>
      </c>
      <c r="H447" s="29"/>
      <c r="I447" s="29" t="str">
        <f t="shared" si="18"/>
        <v/>
      </c>
      <c r="J447" t="str">
        <f>IF(A447="","",COUNTIF(Detalle_Pagos!$A$5:$A$2004,A447))</f>
        <v/>
      </c>
      <c r="K447" s="29" t="str">
        <f t="shared" si="19"/>
        <v/>
      </c>
      <c r="L447" s="29" t="str">
        <f>IF(A447="","",SUMIF(Detalle_Pagos!$A$5:$A$2004,A447,Detalle_Pagos!$I$5:$I$2004))</f>
        <v/>
      </c>
      <c r="M447" s="29" t="str">
        <f>IF(A447="","",SUMIFS(Detalle_Pagos!$I$5:$I$2004,Detalle_Pagos!$A$5:$A$2004,A447,Detalle_Pagos!$J$5:$J$2004,"No"))</f>
        <v/>
      </c>
      <c r="N447" t="str">
        <f t="shared" si="20"/>
        <v/>
      </c>
    </row>
    <row r="448" spans="2:14" x14ac:dyDescent="0.3">
      <c r="B448" s="30"/>
      <c r="G448" s="29" t="str">
        <f>IF(A448="","",IFERROR(INDEX(Criterios!$B$4:$C$83,MATCH(D448,Criterios!$A$4:$A$83,0),IF(E448="Dentro horario",1,2)),""))</f>
        <v/>
      </c>
      <c r="H448" s="29"/>
      <c r="I448" s="29" t="str">
        <f t="shared" si="18"/>
        <v/>
      </c>
      <c r="J448" t="str">
        <f>IF(A448="","",COUNTIF(Detalle_Pagos!$A$5:$A$2004,A448))</f>
        <v/>
      </c>
      <c r="K448" s="29" t="str">
        <f t="shared" si="19"/>
        <v/>
      </c>
      <c r="L448" s="29" t="str">
        <f>IF(A448="","",SUMIF(Detalle_Pagos!$A$5:$A$2004,A448,Detalle_Pagos!$I$5:$I$2004))</f>
        <v/>
      </c>
      <c r="M448" s="29" t="str">
        <f>IF(A448="","",SUMIFS(Detalle_Pagos!$I$5:$I$2004,Detalle_Pagos!$A$5:$A$2004,A448,Detalle_Pagos!$J$5:$J$2004,"No"))</f>
        <v/>
      </c>
      <c r="N448" t="str">
        <f t="shared" si="20"/>
        <v/>
      </c>
    </row>
    <row r="449" spans="2:14" x14ac:dyDescent="0.3">
      <c r="B449" s="30"/>
      <c r="G449" s="29" t="str">
        <f>IF(A449="","",IFERROR(INDEX(Criterios!$B$4:$C$83,MATCH(D449,Criterios!$A$4:$A$83,0),IF(E449="Dentro horario",1,2)),""))</f>
        <v/>
      </c>
      <c r="H449" s="29"/>
      <c r="I449" s="29" t="str">
        <f t="shared" si="18"/>
        <v/>
      </c>
      <c r="J449" t="str">
        <f>IF(A449="","",COUNTIF(Detalle_Pagos!$A$5:$A$2004,A449))</f>
        <v/>
      </c>
      <c r="K449" s="29" t="str">
        <f t="shared" si="19"/>
        <v/>
      </c>
      <c r="L449" s="29" t="str">
        <f>IF(A449="","",SUMIF(Detalle_Pagos!$A$5:$A$2004,A449,Detalle_Pagos!$I$5:$I$2004))</f>
        <v/>
      </c>
      <c r="M449" s="29" t="str">
        <f>IF(A449="","",SUMIFS(Detalle_Pagos!$I$5:$I$2004,Detalle_Pagos!$A$5:$A$2004,A449,Detalle_Pagos!$J$5:$J$2004,"No"))</f>
        <v/>
      </c>
      <c r="N449" t="str">
        <f t="shared" si="20"/>
        <v/>
      </c>
    </row>
    <row r="450" spans="2:14" x14ac:dyDescent="0.3">
      <c r="B450" s="30"/>
      <c r="G450" s="29" t="str">
        <f>IF(A450="","",IFERROR(INDEX(Criterios!$B$4:$C$83,MATCH(D450,Criterios!$A$4:$A$83,0),IF(E450="Dentro horario",1,2)),""))</f>
        <v/>
      </c>
      <c r="H450" s="29"/>
      <c r="I450" s="29" t="str">
        <f t="shared" si="18"/>
        <v/>
      </c>
      <c r="J450" t="str">
        <f>IF(A450="","",COUNTIF(Detalle_Pagos!$A$5:$A$2004,A450))</f>
        <v/>
      </c>
      <c r="K450" s="29" t="str">
        <f t="shared" si="19"/>
        <v/>
      </c>
      <c r="L450" s="29" t="str">
        <f>IF(A450="","",SUMIF(Detalle_Pagos!$A$5:$A$2004,A450,Detalle_Pagos!$I$5:$I$2004))</f>
        <v/>
      </c>
      <c r="M450" s="29" t="str">
        <f>IF(A450="","",SUMIFS(Detalle_Pagos!$I$5:$I$2004,Detalle_Pagos!$A$5:$A$2004,A450,Detalle_Pagos!$J$5:$J$2004,"No"))</f>
        <v/>
      </c>
      <c r="N450" t="str">
        <f t="shared" si="20"/>
        <v/>
      </c>
    </row>
    <row r="451" spans="2:14" x14ac:dyDescent="0.3">
      <c r="B451" s="30"/>
      <c r="G451" s="29" t="str">
        <f>IF(A451="","",IFERROR(INDEX(Criterios!$B$4:$C$83,MATCH(D451,Criterios!$A$4:$A$83,0),IF(E451="Dentro horario",1,2)),""))</f>
        <v/>
      </c>
      <c r="H451" s="29"/>
      <c r="I451" s="29" t="str">
        <f t="shared" si="18"/>
        <v/>
      </c>
      <c r="J451" t="str">
        <f>IF(A451="","",COUNTIF(Detalle_Pagos!$A$5:$A$2004,A451))</f>
        <v/>
      </c>
      <c r="K451" s="29" t="str">
        <f t="shared" si="19"/>
        <v/>
      </c>
      <c r="L451" s="29" t="str">
        <f>IF(A451="","",SUMIF(Detalle_Pagos!$A$5:$A$2004,A451,Detalle_Pagos!$I$5:$I$2004))</f>
        <v/>
      </c>
      <c r="M451" s="29" t="str">
        <f>IF(A451="","",SUMIFS(Detalle_Pagos!$I$5:$I$2004,Detalle_Pagos!$A$5:$A$2004,A451,Detalle_Pagos!$J$5:$J$2004,"No"))</f>
        <v/>
      </c>
      <c r="N451" t="str">
        <f t="shared" si="20"/>
        <v/>
      </c>
    </row>
    <row r="452" spans="2:14" x14ac:dyDescent="0.3">
      <c r="B452" s="30"/>
      <c r="G452" s="29" t="str">
        <f>IF(A452="","",IFERROR(INDEX(Criterios!$B$4:$C$83,MATCH(D452,Criterios!$A$4:$A$83,0),IF(E452="Dentro horario",1,2)),""))</f>
        <v/>
      </c>
      <c r="H452" s="29"/>
      <c r="I452" s="29" t="str">
        <f t="shared" si="18"/>
        <v/>
      </c>
      <c r="J452" t="str">
        <f>IF(A452="","",COUNTIF(Detalle_Pagos!$A$5:$A$2004,A452))</f>
        <v/>
      </c>
      <c r="K452" s="29" t="str">
        <f t="shared" si="19"/>
        <v/>
      </c>
      <c r="L452" s="29" t="str">
        <f>IF(A452="","",SUMIF(Detalle_Pagos!$A$5:$A$2004,A452,Detalle_Pagos!$I$5:$I$2004))</f>
        <v/>
      </c>
      <c r="M452" s="29" t="str">
        <f>IF(A452="","",SUMIFS(Detalle_Pagos!$I$5:$I$2004,Detalle_Pagos!$A$5:$A$2004,A452,Detalle_Pagos!$J$5:$J$2004,"No"))</f>
        <v/>
      </c>
      <c r="N452" t="str">
        <f t="shared" si="20"/>
        <v/>
      </c>
    </row>
    <row r="453" spans="2:14" x14ac:dyDescent="0.3">
      <c r="B453" s="30"/>
      <c r="G453" s="29" t="str">
        <f>IF(A453="","",IFERROR(INDEX(Criterios!$B$4:$C$83,MATCH(D453,Criterios!$A$4:$A$83,0),IF(E453="Dentro horario",1,2)),""))</f>
        <v/>
      </c>
      <c r="H453" s="29"/>
      <c r="I453" s="29" t="str">
        <f t="shared" ref="I453:I516" si="21">IF(A453="","",IF(OR(F453="",G453=""),"",F453*G453+N(H453)))</f>
        <v/>
      </c>
      <c r="J453" t="str">
        <f>IF(A453="","",COUNTIF(Detalle_Pagos!$A$5:$A$2004,A453))</f>
        <v/>
      </c>
      <c r="K453" s="29" t="str">
        <f t="shared" ref="K453:K516" si="22">IF(A453="","",IF(OR(J453=0,I453=""),"",I453/J453))</f>
        <v/>
      </c>
      <c r="L453" s="29" t="str">
        <f>IF(A453="","",SUMIF(Detalle_Pagos!$A$5:$A$2004,A453,Detalle_Pagos!$I$5:$I$2004))</f>
        <v/>
      </c>
      <c r="M453" s="29" t="str">
        <f>IF(A453="","",SUMIFS(Detalle_Pagos!$I$5:$I$2004,Detalle_Pagos!$A$5:$A$2004,A453,Detalle_Pagos!$J$5:$J$2004,"No"))</f>
        <v/>
      </c>
      <c r="N453" t="str">
        <f t="shared" ref="N453:N516" si="23">IF(A453="","",IF(J453=0,"Sin detalle",IF(M453=0,"Pagada","Pendiente")))</f>
        <v/>
      </c>
    </row>
    <row r="454" spans="2:14" x14ac:dyDescent="0.3">
      <c r="B454" s="30"/>
      <c r="G454" s="29" t="str">
        <f>IF(A454="","",IFERROR(INDEX(Criterios!$B$4:$C$83,MATCH(D454,Criterios!$A$4:$A$83,0),IF(E454="Dentro horario",1,2)),""))</f>
        <v/>
      </c>
      <c r="H454" s="29"/>
      <c r="I454" s="29" t="str">
        <f t="shared" si="21"/>
        <v/>
      </c>
      <c r="J454" t="str">
        <f>IF(A454="","",COUNTIF(Detalle_Pagos!$A$5:$A$2004,A454))</f>
        <v/>
      </c>
      <c r="K454" s="29" t="str">
        <f t="shared" si="22"/>
        <v/>
      </c>
      <c r="L454" s="29" t="str">
        <f>IF(A454="","",SUMIF(Detalle_Pagos!$A$5:$A$2004,A454,Detalle_Pagos!$I$5:$I$2004))</f>
        <v/>
      </c>
      <c r="M454" s="29" t="str">
        <f>IF(A454="","",SUMIFS(Detalle_Pagos!$I$5:$I$2004,Detalle_Pagos!$A$5:$A$2004,A454,Detalle_Pagos!$J$5:$J$2004,"No"))</f>
        <v/>
      </c>
      <c r="N454" t="str">
        <f t="shared" si="23"/>
        <v/>
      </c>
    </row>
    <row r="455" spans="2:14" x14ac:dyDescent="0.3">
      <c r="B455" s="30"/>
      <c r="G455" s="29" t="str">
        <f>IF(A455="","",IFERROR(INDEX(Criterios!$B$4:$C$83,MATCH(D455,Criterios!$A$4:$A$83,0),IF(E455="Dentro horario",1,2)),""))</f>
        <v/>
      </c>
      <c r="H455" s="29"/>
      <c r="I455" s="29" t="str">
        <f t="shared" si="21"/>
        <v/>
      </c>
      <c r="J455" t="str">
        <f>IF(A455="","",COUNTIF(Detalle_Pagos!$A$5:$A$2004,A455))</f>
        <v/>
      </c>
      <c r="K455" s="29" t="str">
        <f t="shared" si="22"/>
        <v/>
      </c>
      <c r="L455" s="29" t="str">
        <f>IF(A455="","",SUMIF(Detalle_Pagos!$A$5:$A$2004,A455,Detalle_Pagos!$I$5:$I$2004))</f>
        <v/>
      </c>
      <c r="M455" s="29" t="str">
        <f>IF(A455="","",SUMIFS(Detalle_Pagos!$I$5:$I$2004,Detalle_Pagos!$A$5:$A$2004,A455,Detalle_Pagos!$J$5:$J$2004,"No"))</f>
        <v/>
      </c>
      <c r="N455" t="str">
        <f t="shared" si="23"/>
        <v/>
      </c>
    </row>
    <row r="456" spans="2:14" x14ac:dyDescent="0.3">
      <c r="B456" s="30"/>
      <c r="G456" s="29" t="str">
        <f>IF(A456="","",IFERROR(INDEX(Criterios!$B$4:$C$83,MATCH(D456,Criterios!$A$4:$A$83,0),IF(E456="Dentro horario",1,2)),""))</f>
        <v/>
      </c>
      <c r="H456" s="29"/>
      <c r="I456" s="29" t="str">
        <f t="shared" si="21"/>
        <v/>
      </c>
      <c r="J456" t="str">
        <f>IF(A456="","",COUNTIF(Detalle_Pagos!$A$5:$A$2004,A456))</f>
        <v/>
      </c>
      <c r="K456" s="29" t="str">
        <f t="shared" si="22"/>
        <v/>
      </c>
      <c r="L456" s="29" t="str">
        <f>IF(A456="","",SUMIF(Detalle_Pagos!$A$5:$A$2004,A456,Detalle_Pagos!$I$5:$I$2004))</f>
        <v/>
      </c>
      <c r="M456" s="29" t="str">
        <f>IF(A456="","",SUMIFS(Detalle_Pagos!$I$5:$I$2004,Detalle_Pagos!$A$5:$A$2004,A456,Detalle_Pagos!$J$5:$J$2004,"No"))</f>
        <v/>
      </c>
      <c r="N456" t="str">
        <f t="shared" si="23"/>
        <v/>
      </c>
    </row>
    <row r="457" spans="2:14" x14ac:dyDescent="0.3">
      <c r="B457" s="30"/>
      <c r="G457" s="29" t="str">
        <f>IF(A457="","",IFERROR(INDEX(Criterios!$B$4:$C$83,MATCH(D457,Criterios!$A$4:$A$83,0),IF(E457="Dentro horario",1,2)),""))</f>
        <v/>
      </c>
      <c r="H457" s="29"/>
      <c r="I457" s="29" t="str">
        <f t="shared" si="21"/>
        <v/>
      </c>
      <c r="J457" t="str">
        <f>IF(A457="","",COUNTIF(Detalle_Pagos!$A$5:$A$2004,A457))</f>
        <v/>
      </c>
      <c r="K457" s="29" t="str">
        <f t="shared" si="22"/>
        <v/>
      </c>
      <c r="L457" s="29" t="str">
        <f>IF(A457="","",SUMIF(Detalle_Pagos!$A$5:$A$2004,A457,Detalle_Pagos!$I$5:$I$2004))</f>
        <v/>
      </c>
      <c r="M457" s="29" t="str">
        <f>IF(A457="","",SUMIFS(Detalle_Pagos!$I$5:$I$2004,Detalle_Pagos!$A$5:$A$2004,A457,Detalle_Pagos!$J$5:$J$2004,"No"))</f>
        <v/>
      </c>
      <c r="N457" t="str">
        <f t="shared" si="23"/>
        <v/>
      </c>
    </row>
    <row r="458" spans="2:14" x14ac:dyDescent="0.3">
      <c r="B458" s="30"/>
      <c r="G458" s="29" t="str">
        <f>IF(A458="","",IFERROR(INDEX(Criterios!$B$4:$C$83,MATCH(D458,Criterios!$A$4:$A$83,0),IF(E458="Dentro horario",1,2)),""))</f>
        <v/>
      </c>
      <c r="H458" s="29"/>
      <c r="I458" s="29" t="str">
        <f t="shared" si="21"/>
        <v/>
      </c>
      <c r="J458" t="str">
        <f>IF(A458="","",COUNTIF(Detalle_Pagos!$A$5:$A$2004,A458))</f>
        <v/>
      </c>
      <c r="K458" s="29" t="str">
        <f t="shared" si="22"/>
        <v/>
      </c>
      <c r="L458" s="29" t="str">
        <f>IF(A458="","",SUMIF(Detalle_Pagos!$A$5:$A$2004,A458,Detalle_Pagos!$I$5:$I$2004))</f>
        <v/>
      </c>
      <c r="M458" s="29" t="str">
        <f>IF(A458="","",SUMIFS(Detalle_Pagos!$I$5:$I$2004,Detalle_Pagos!$A$5:$A$2004,A458,Detalle_Pagos!$J$5:$J$2004,"No"))</f>
        <v/>
      </c>
      <c r="N458" t="str">
        <f t="shared" si="23"/>
        <v/>
      </c>
    </row>
    <row r="459" spans="2:14" x14ac:dyDescent="0.3">
      <c r="B459" s="30"/>
      <c r="G459" s="29" t="str">
        <f>IF(A459="","",IFERROR(INDEX(Criterios!$B$4:$C$83,MATCH(D459,Criterios!$A$4:$A$83,0),IF(E459="Dentro horario",1,2)),""))</f>
        <v/>
      </c>
      <c r="H459" s="29"/>
      <c r="I459" s="29" t="str">
        <f t="shared" si="21"/>
        <v/>
      </c>
      <c r="J459" t="str">
        <f>IF(A459="","",COUNTIF(Detalle_Pagos!$A$5:$A$2004,A459))</f>
        <v/>
      </c>
      <c r="K459" s="29" t="str">
        <f t="shared" si="22"/>
        <v/>
      </c>
      <c r="L459" s="29" t="str">
        <f>IF(A459="","",SUMIF(Detalle_Pagos!$A$5:$A$2004,A459,Detalle_Pagos!$I$5:$I$2004))</f>
        <v/>
      </c>
      <c r="M459" s="29" t="str">
        <f>IF(A459="","",SUMIFS(Detalle_Pagos!$I$5:$I$2004,Detalle_Pagos!$A$5:$A$2004,A459,Detalle_Pagos!$J$5:$J$2004,"No"))</f>
        <v/>
      </c>
      <c r="N459" t="str">
        <f t="shared" si="23"/>
        <v/>
      </c>
    </row>
    <row r="460" spans="2:14" x14ac:dyDescent="0.3">
      <c r="B460" s="30"/>
      <c r="G460" s="29" t="str">
        <f>IF(A460="","",IFERROR(INDEX(Criterios!$B$4:$C$83,MATCH(D460,Criterios!$A$4:$A$83,0),IF(E460="Dentro horario",1,2)),""))</f>
        <v/>
      </c>
      <c r="H460" s="29"/>
      <c r="I460" s="29" t="str">
        <f t="shared" si="21"/>
        <v/>
      </c>
      <c r="J460" t="str">
        <f>IF(A460="","",COUNTIF(Detalle_Pagos!$A$5:$A$2004,A460))</f>
        <v/>
      </c>
      <c r="K460" s="29" t="str">
        <f t="shared" si="22"/>
        <v/>
      </c>
      <c r="L460" s="29" t="str">
        <f>IF(A460="","",SUMIF(Detalle_Pagos!$A$5:$A$2004,A460,Detalle_Pagos!$I$5:$I$2004))</f>
        <v/>
      </c>
      <c r="M460" s="29" t="str">
        <f>IF(A460="","",SUMIFS(Detalle_Pagos!$I$5:$I$2004,Detalle_Pagos!$A$5:$A$2004,A460,Detalle_Pagos!$J$5:$J$2004,"No"))</f>
        <v/>
      </c>
      <c r="N460" t="str">
        <f t="shared" si="23"/>
        <v/>
      </c>
    </row>
    <row r="461" spans="2:14" x14ac:dyDescent="0.3">
      <c r="B461" s="30"/>
      <c r="G461" s="29" t="str">
        <f>IF(A461="","",IFERROR(INDEX(Criterios!$B$4:$C$83,MATCH(D461,Criterios!$A$4:$A$83,0),IF(E461="Dentro horario",1,2)),""))</f>
        <v/>
      </c>
      <c r="H461" s="29"/>
      <c r="I461" s="29" t="str">
        <f t="shared" si="21"/>
        <v/>
      </c>
      <c r="J461" t="str">
        <f>IF(A461="","",COUNTIF(Detalle_Pagos!$A$5:$A$2004,A461))</f>
        <v/>
      </c>
      <c r="K461" s="29" t="str">
        <f t="shared" si="22"/>
        <v/>
      </c>
      <c r="L461" s="29" t="str">
        <f>IF(A461="","",SUMIF(Detalle_Pagos!$A$5:$A$2004,A461,Detalle_Pagos!$I$5:$I$2004))</f>
        <v/>
      </c>
      <c r="M461" s="29" t="str">
        <f>IF(A461="","",SUMIFS(Detalle_Pagos!$I$5:$I$2004,Detalle_Pagos!$A$5:$A$2004,A461,Detalle_Pagos!$J$5:$J$2004,"No"))</f>
        <v/>
      </c>
      <c r="N461" t="str">
        <f t="shared" si="23"/>
        <v/>
      </c>
    </row>
    <row r="462" spans="2:14" x14ac:dyDescent="0.3">
      <c r="B462" s="30"/>
      <c r="G462" s="29" t="str">
        <f>IF(A462="","",IFERROR(INDEX(Criterios!$B$4:$C$83,MATCH(D462,Criterios!$A$4:$A$83,0),IF(E462="Dentro horario",1,2)),""))</f>
        <v/>
      </c>
      <c r="H462" s="29"/>
      <c r="I462" s="29" t="str">
        <f t="shared" si="21"/>
        <v/>
      </c>
      <c r="J462" t="str">
        <f>IF(A462="","",COUNTIF(Detalle_Pagos!$A$5:$A$2004,A462))</f>
        <v/>
      </c>
      <c r="K462" s="29" t="str">
        <f t="shared" si="22"/>
        <v/>
      </c>
      <c r="L462" s="29" t="str">
        <f>IF(A462="","",SUMIF(Detalle_Pagos!$A$5:$A$2004,A462,Detalle_Pagos!$I$5:$I$2004))</f>
        <v/>
      </c>
      <c r="M462" s="29" t="str">
        <f>IF(A462="","",SUMIFS(Detalle_Pagos!$I$5:$I$2004,Detalle_Pagos!$A$5:$A$2004,A462,Detalle_Pagos!$J$5:$J$2004,"No"))</f>
        <v/>
      </c>
      <c r="N462" t="str">
        <f t="shared" si="23"/>
        <v/>
      </c>
    </row>
    <row r="463" spans="2:14" x14ac:dyDescent="0.3">
      <c r="B463" s="30"/>
      <c r="G463" s="29" t="str">
        <f>IF(A463="","",IFERROR(INDEX(Criterios!$B$4:$C$83,MATCH(D463,Criterios!$A$4:$A$83,0),IF(E463="Dentro horario",1,2)),""))</f>
        <v/>
      </c>
      <c r="H463" s="29"/>
      <c r="I463" s="29" t="str">
        <f t="shared" si="21"/>
        <v/>
      </c>
      <c r="J463" t="str">
        <f>IF(A463="","",COUNTIF(Detalle_Pagos!$A$5:$A$2004,A463))</f>
        <v/>
      </c>
      <c r="K463" s="29" t="str">
        <f t="shared" si="22"/>
        <v/>
      </c>
      <c r="L463" s="29" t="str">
        <f>IF(A463="","",SUMIF(Detalle_Pagos!$A$5:$A$2004,A463,Detalle_Pagos!$I$5:$I$2004))</f>
        <v/>
      </c>
      <c r="M463" s="29" t="str">
        <f>IF(A463="","",SUMIFS(Detalle_Pagos!$I$5:$I$2004,Detalle_Pagos!$A$5:$A$2004,A463,Detalle_Pagos!$J$5:$J$2004,"No"))</f>
        <v/>
      </c>
      <c r="N463" t="str">
        <f t="shared" si="23"/>
        <v/>
      </c>
    </row>
    <row r="464" spans="2:14" x14ac:dyDescent="0.3">
      <c r="B464" s="30"/>
      <c r="G464" s="29" t="str">
        <f>IF(A464="","",IFERROR(INDEX(Criterios!$B$4:$C$83,MATCH(D464,Criterios!$A$4:$A$83,0),IF(E464="Dentro horario",1,2)),""))</f>
        <v/>
      </c>
      <c r="H464" s="29"/>
      <c r="I464" s="29" t="str">
        <f t="shared" si="21"/>
        <v/>
      </c>
      <c r="J464" t="str">
        <f>IF(A464="","",COUNTIF(Detalle_Pagos!$A$5:$A$2004,A464))</f>
        <v/>
      </c>
      <c r="K464" s="29" t="str">
        <f t="shared" si="22"/>
        <v/>
      </c>
      <c r="L464" s="29" t="str">
        <f>IF(A464="","",SUMIF(Detalle_Pagos!$A$5:$A$2004,A464,Detalle_Pagos!$I$5:$I$2004))</f>
        <v/>
      </c>
      <c r="M464" s="29" t="str">
        <f>IF(A464="","",SUMIFS(Detalle_Pagos!$I$5:$I$2004,Detalle_Pagos!$A$5:$A$2004,A464,Detalle_Pagos!$J$5:$J$2004,"No"))</f>
        <v/>
      </c>
      <c r="N464" t="str">
        <f t="shared" si="23"/>
        <v/>
      </c>
    </row>
    <row r="465" spans="2:14" x14ac:dyDescent="0.3">
      <c r="B465" s="30"/>
      <c r="G465" s="29" t="str">
        <f>IF(A465="","",IFERROR(INDEX(Criterios!$B$4:$C$83,MATCH(D465,Criterios!$A$4:$A$83,0),IF(E465="Dentro horario",1,2)),""))</f>
        <v/>
      </c>
      <c r="H465" s="29"/>
      <c r="I465" s="29" t="str">
        <f t="shared" si="21"/>
        <v/>
      </c>
      <c r="J465" t="str">
        <f>IF(A465="","",COUNTIF(Detalle_Pagos!$A$5:$A$2004,A465))</f>
        <v/>
      </c>
      <c r="K465" s="29" t="str">
        <f t="shared" si="22"/>
        <v/>
      </c>
      <c r="L465" s="29" t="str">
        <f>IF(A465="","",SUMIF(Detalle_Pagos!$A$5:$A$2004,A465,Detalle_Pagos!$I$5:$I$2004))</f>
        <v/>
      </c>
      <c r="M465" s="29" t="str">
        <f>IF(A465="","",SUMIFS(Detalle_Pagos!$I$5:$I$2004,Detalle_Pagos!$A$5:$A$2004,A465,Detalle_Pagos!$J$5:$J$2004,"No"))</f>
        <v/>
      </c>
      <c r="N465" t="str">
        <f t="shared" si="23"/>
        <v/>
      </c>
    </row>
    <row r="466" spans="2:14" x14ac:dyDescent="0.3">
      <c r="B466" s="30"/>
      <c r="G466" s="29" t="str">
        <f>IF(A466="","",IFERROR(INDEX(Criterios!$B$4:$C$83,MATCH(D466,Criterios!$A$4:$A$83,0),IF(E466="Dentro horario",1,2)),""))</f>
        <v/>
      </c>
      <c r="H466" s="29"/>
      <c r="I466" s="29" t="str">
        <f t="shared" si="21"/>
        <v/>
      </c>
      <c r="J466" t="str">
        <f>IF(A466="","",COUNTIF(Detalle_Pagos!$A$5:$A$2004,A466))</f>
        <v/>
      </c>
      <c r="K466" s="29" t="str">
        <f t="shared" si="22"/>
        <v/>
      </c>
      <c r="L466" s="29" t="str">
        <f>IF(A466="","",SUMIF(Detalle_Pagos!$A$5:$A$2004,A466,Detalle_Pagos!$I$5:$I$2004))</f>
        <v/>
      </c>
      <c r="M466" s="29" t="str">
        <f>IF(A466="","",SUMIFS(Detalle_Pagos!$I$5:$I$2004,Detalle_Pagos!$A$5:$A$2004,A466,Detalle_Pagos!$J$5:$J$2004,"No"))</f>
        <v/>
      </c>
      <c r="N466" t="str">
        <f t="shared" si="23"/>
        <v/>
      </c>
    </row>
    <row r="467" spans="2:14" x14ac:dyDescent="0.3">
      <c r="B467" s="30"/>
      <c r="G467" s="29" t="str">
        <f>IF(A467="","",IFERROR(INDEX(Criterios!$B$4:$C$83,MATCH(D467,Criterios!$A$4:$A$83,0),IF(E467="Dentro horario",1,2)),""))</f>
        <v/>
      </c>
      <c r="H467" s="29"/>
      <c r="I467" s="29" t="str">
        <f t="shared" si="21"/>
        <v/>
      </c>
      <c r="J467" t="str">
        <f>IF(A467="","",COUNTIF(Detalle_Pagos!$A$5:$A$2004,A467))</f>
        <v/>
      </c>
      <c r="K467" s="29" t="str">
        <f t="shared" si="22"/>
        <v/>
      </c>
      <c r="L467" s="29" t="str">
        <f>IF(A467="","",SUMIF(Detalle_Pagos!$A$5:$A$2004,A467,Detalle_Pagos!$I$5:$I$2004))</f>
        <v/>
      </c>
      <c r="M467" s="29" t="str">
        <f>IF(A467="","",SUMIFS(Detalle_Pagos!$I$5:$I$2004,Detalle_Pagos!$A$5:$A$2004,A467,Detalle_Pagos!$J$5:$J$2004,"No"))</f>
        <v/>
      </c>
      <c r="N467" t="str">
        <f t="shared" si="23"/>
        <v/>
      </c>
    </row>
    <row r="468" spans="2:14" x14ac:dyDescent="0.3">
      <c r="B468" s="30"/>
      <c r="G468" s="29" t="str">
        <f>IF(A468="","",IFERROR(INDEX(Criterios!$B$4:$C$83,MATCH(D468,Criterios!$A$4:$A$83,0),IF(E468="Dentro horario",1,2)),""))</f>
        <v/>
      </c>
      <c r="H468" s="29"/>
      <c r="I468" s="29" t="str">
        <f t="shared" si="21"/>
        <v/>
      </c>
      <c r="J468" t="str">
        <f>IF(A468="","",COUNTIF(Detalle_Pagos!$A$5:$A$2004,A468))</f>
        <v/>
      </c>
      <c r="K468" s="29" t="str">
        <f t="shared" si="22"/>
        <v/>
      </c>
      <c r="L468" s="29" t="str">
        <f>IF(A468="","",SUMIF(Detalle_Pagos!$A$5:$A$2004,A468,Detalle_Pagos!$I$5:$I$2004))</f>
        <v/>
      </c>
      <c r="M468" s="29" t="str">
        <f>IF(A468="","",SUMIFS(Detalle_Pagos!$I$5:$I$2004,Detalle_Pagos!$A$5:$A$2004,A468,Detalle_Pagos!$J$5:$J$2004,"No"))</f>
        <v/>
      </c>
      <c r="N468" t="str">
        <f t="shared" si="23"/>
        <v/>
      </c>
    </row>
    <row r="469" spans="2:14" x14ac:dyDescent="0.3">
      <c r="B469" s="30"/>
      <c r="G469" s="29" t="str">
        <f>IF(A469="","",IFERROR(INDEX(Criterios!$B$4:$C$83,MATCH(D469,Criterios!$A$4:$A$83,0),IF(E469="Dentro horario",1,2)),""))</f>
        <v/>
      </c>
      <c r="H469" s="29"/>
      <c r="I469" s="29" t="str">
        <f t="shared" si="21"/>
        <v/>
      </c>
      <c r="J469" t="str">
        <f>IF(A469="","",COUNTIF(Detalle_Pagos!$A$5:$A$2004,A469))</f>
        <v/>
      </c>
      <c r="K469" s="29" t="str">
        <f t="shared" si="22"/>
        <v/>
      </c>
      <c r="L469" s="29" t="str">
        <f>IF(A469="","",SUMIF(Detalle_Pagos!$A$5:$A$2004,A469,Detalle_Pagos!$I$5:$I$2004))</f>
        <v/>
      </c>
      <c r="M469" s="29" t="str">
        <f>IF(A469="","",SUMIFS(Detalle_Pagos!$I$5:$I$2004,Detalle_Pagos!$A$5:$A$2004,A469,Detalle_Pagos!$J$5:$J$2004,"No"))</f>
        <v/>
      </c>
      <c r="N469" t="str">
        <f t="shared" si="23"/>
        <v/>
      </c>
    </row>
    <row r="470" spans="2:14" x14ac:dyDescent="0.3">
      <c r="B470" s="30"/>
      <c r="G470" s="29" t="str">
        <f>IF(A470="","",IFERROR(INDEX(Criterios!$B$4:$C$83,MATCH(D470,Criterios!$A$4:$A$83,0),IF(E470="Dentro horario",1,2)),""))</f>
        <v/>
      </c>
      <c r="H470" s="29"/>
      <c r="I470" s="29" t="str">
        <f t="shared" si="21"/>
        <v/>
      </c>
      <c r="J470" t="str">
        <f>IF(A470="","",COUNTIF(Detalle_Pagos!$A$5:$A$2004,A470))</f>
        <v/>
      </c>
      <c r="K470" s="29" t="str">
        <f t="shared" si="22"/>
        <v/>
      </c>
      <c r="L470" s="29" t="str">
        <f>IF(A470="","",SUMIF(Detalle_Pagos!$A$5:$A$2004,A470,Detalle_Pagos!$I$5:$I$2004))</f>
        <v/>
      </c>
      <c r="M470" s="29" t="str">
        <f>IF(A470="","",SUMIFS(Detalle_Pagos!$I$5:$I$2004,Detalle_Pagos!$A$5:$A$2004,A470,Detalle_Pagos!$J$5:$J$2004,"No"))</f>
        <v/>
      </c>
      <c r="N470" t="str">
        <f t="shared" si="23"/>
        <v/>
      </c>
    </row>
    <row r="471" spans="2:14" x14ac:dyDescent="0.3">
      <c r="B471" s="30"/>
      <c r="G471" s="29" t="str">
        <f>IF(A471="","",IFERROR(INDEX(Criterios!$B$4:$C$83,MATCH(D471,Criterios!$A$4:$A$83,0),IF(E471="Dentro horario",1,2)),""))</f>
        <v/>
      </c>
      <c r="H471" s="29"/>
      <c r="I471" s="29" t="str">
        <f t="shared" si="21"/>
        <v/>
      </c>
      <c r="J471" t="str">
        <f>IF(A471="","",COUNTIF(Detalle_Pagos!$A$5:$A$2004,A471))</f>
        <v/>
      </c>
      <c r="K471" s="29" t="str">
        <f t="shared" si="22"/>
        <v/>
      </c>
      <c r="L471" s="29" t="str">
        <f>IF(A471="","",SUMIF(Detalle_Pagos!$A$5:$A$2004,A471,Detalle_Pagos!$I$5:$I$2004))</f>
        <v/>
      </c>
      <c r="M471" s="29" t="str">
        <f>IF(A471="","",SUMIFS(Detalle_Pagos!$I$5:$I$2004,Detalle_Pagos!$A$5:$A$2004,A471,Detalle_Pagos!$J$5:$J$2004,"No"))</f>
        <v/>
      </c>
      <c r="N471" t="str">
        <f t="shared" si="23"/>
        <v/>
      </c>
    </row>
    <row r="472" spans="2:14" x14ac:dyDescent="0.3">
      <c r="B472" s="30"/>
      <c r="G472" s="29" t="str">
        <f>IF(A472="","",IFERROR(INDEX(Criterios!$B$4:$C$83,MATCH(D472,Criterios!$A$4:$A$83,0),IF(E472="Dentro horario",1,2)),""))</f>
        <v/>
      </c>
      <c r="H472" s="29"/>
      <c r="I472" s="29" t="str">
        <f t="shared" si="21"/>
        <v/>
      </c>
      <c r="J472" t="str">
        <f>IF(A472="","",COUNTIF(Detalle_Pagos!$A$5:$A$2004,A472))</f>
        <v/>
      </c>
      <c r="K472" s="29" t="str">
        <f t="shared" si="22"/>
        <v/>
      </c>
      <c r="L472" s="29" t="str">
        <f>IF(A472="","",SUMIF(Detalle_Pagos!$A$5:$A$2004,A472,Detalle_Pagos!$I$5:$I$2004))</f>
        <v/>
      </c>
      <c r="M472" s="29" t="str">
        <f>IF(A472="","",SUMIFS(Detalle_Pagos!$I$5:$I$2004,Detalle_Pagos!$A$5:$A$2004,A472,Detalle_Pagos!$J$5:$J$2004,"No"))</f>
        <v/>
      </c>
      <c r="N472" t="str">
        <f t="shared" si="23"/>
        <v/>
      </c>
    </row>
    <row r="473" spans="2:14" x14ac:dyDescent="0.3">
      <c r="B473" s="30"/>
      <c r="G473" s="29" t="str">
        <f>IF(A473="","",IFERROR(INDEX(Criterios!$B$4:$C$83,MATCH(D473,Criterios!$A$4:$A$83,0),IF(E473="Dentro horario",1,2)),""))</f>
        <v/>
      </c>
      <c r="H473" s="29"/>
      <c r="I473" s="29" t="str">
        <f t="shared" si="21"/>
        <v/>
      </c>
      <c r="J473" t="str">
        <f>IF(A473="","",COUNTIF(Detalle_Pagos!$A$5:$A$2004,A473))</f>
        <v/>
      </c>
      <c r="K473" s="29" t="str">
        <f t="shared" si="22"/>
        <v/>
      </c>
      <c r="L473" s="29" t="str">
        <f>IF(A473="","",SUMIF(Detalle_Pagos!$A$5:$A$2004,A473,Detalle_Pagos!$I$5:$I$2004))</f>
        <v/>
      </c>
      <c r="M473" s="29" t="str">
        <f>IF(A473="","",SUMIFS(Detalle_Pagos!$I$5:$I$2004,Detalle_Pagos!$A$5:$A$2004,A473,Detalle_Pagos!$J$5:$J$2004,"No"))</f>
        <v/>
      </c>
      <c r="N473" t="str">
        <f t="shared" si="23"/>
        <v/>
      </c>
    </row>
    <row r="474" spans="2:14" x14ac:dyDescent="0.3">
      <c r="B474" s="30"/>
      <c r="G474" s="29" t="str">
        <f>IF(A474="","",IFERROR(INDEX(Criterios!$B$4:$C$83,MATCH(D474,Criterios!$A$4:$A$83,0),IF(E474="Dentro horario",1,2)),""))</f>
        <v/>
      </c>
      <c r="H474" s="29"/>
      <c r="I474" s="29" t="str">
        <f t="shared" si="21"/>
        <v/>
      </c>
      <c r="J474" t="str">
        <f>IF(A474="","",COUNTIF(Detalle_Pagos!$A$5:$A$2004,A474))</f>
        <v/>
      </c>
      <c r="K474" s="29" t="str">
        <f t="shared" si="22"/>
        <v/>
      </c>
      <c r="L474" s="29" t="str">
        <f>IF(A474="","",SUMIF(Detalle_Pagos!$A$5:$A$2004,A474,Detalle_Pagos!$I$5:$I$2004))</f>
        <v/>
      </c>
      <c r="M474" s="29" t="str">
        <f>IF(A474="","",SUMIFS(Detalle_Pagos!$I$5:$I$2004,Detalle_Pagos!$A$5:$A$2004,A474,Detalle_Pagos!$J$5:$J$2004,"No"))</f>
        <v/>
      </c>
      <c r="N474" t="str">
        <f t="shared" si="23"/>
        <v/>
      </c>
    </row>
    <row r="475" spans="2:14" x14ac:dyDescent="0.3">
      <c r="B475" s="30"/>
      <c r="G475" s="29" t="str">
        <f>IF(A475="","",IFERROR(INDEX(Criterios!$B$4:$C$83,MATCH(D475,Criterios!$A$4:$A$83,0),IF(E475="Dentro horario",1,2)),""))</f>
        <v/>
      </c>
      <c r="H475" s="29"/>
      <c r="I475" s="29" t="str">
        <f t="shared" si="21"/>
        <v/>
      </c>
      <c r="J475" t="str">
        <f>IF(A475="","",COUNTIF(Detalle_Pagos!$A$5:$A$2004,A475))</f>
        <v/>
      </c>
      <c r="K475" s="29" t="str">
        <f t="shared" si="22"/>
        <v/>
      </c>
      <c r="L475" s="29" t="str">
        <f>IF(A475="","",SUMIF(Detalle_Pagos!$A$5:$A$2004,A475,Detalle_Pagos!$I$5:$I$2004))</f>
        <v/>
      </c>
      <c r="M475" s="29" t="str">
        <f>IF(A475="","",SUMIFS(Detalle_Pagos!$I$5:$I$2004,Detalle_Pagos!$A$5:$A$2004,A475,Detalle_Pagos!$J$5:$J$2004,"No"))</f>
        <v/>
      </c>
      <c r="N475" t="str">
        <f t="shared" si="23"/>
        <v/>
      </c>
    </row>
    <row r="476" spans="2:14" x14ac:dyDescent="0.3">
      <c r="B476" s="30"/>
      <c r="G476" s="29" t="str">
        <f>IF(A476="","",IFERROR(INDEX(Criterios!$B$4:$C$83,MATCH(D476,Criterios!$A$4:$A$83,0),IF(E476="Dentro horario",1,2)),""))</f>
        <v/>
      </c>
      <c r="H476" s="29"/>
      <c r="I476" s="29" t="str">
        <f t="shared" si="21"/>
        <v/>
      </c>
      <c r="J476" t="str">
        <f>IF(A476="","",COUNTIF(Detalle_Pagos!$A$5:$A$2004,A476))</f>
        <v/>
      </c>
      <c r="K476" s="29" t="str">
        <f t="shared" si="22"/>
        <v/>
      </c>
      <c r="L476" s="29" t="str">
        <f>IF(A476="","",SUMIF(Detalle_Pagos!$A$5:$A$2004,A476,Detalle_Pagos!$I$5:$I$2004))</f>
        <v/>
      </c>
      <c r="M476" s="29" t="str">
        <f>IF(A476="","",SUMIFS(Detalle_Pagos!$I$5:$I$2004,Detalle_Pagos!$A$5:$A$2004,A476,Detalle_Pagos!$J$5:$J$2004,"No"))</f>
        <v/>
      </c>
      <c r="N476" t="str">
        <f t="shared" si="23"/>
        <v/>
      </c>
    </row>
    <row r="477" spans="2:14" x14ac:dyDescent="0.3">
      <c r="B477" s="30"/>
      <c r="G477" s="29" t="str">
        <f>IF(A477="","",IFERROR(INDEX(Criterios!$B$4:$C$83,MATCH(D477,Criterios!$A$4:$A$83,0),IF(E477="Dentro horario",1,2)),""))</f>
        <v/>
      </c>
      <c r="H477" s="29"/>
      <c r="I477" s="29" t="str">
        <f t="shared" si="21"/>
        <v/>
      </c>
      <c r="J477" t="str">
        <f>IF(A477="","",COUNTIF(Detalle_Pagos!$A$5:$A$2004,A477))</f>
        <v/>
      </c>
      <c r="K477" s="29" t="str">
        <f t="shared" si="22"/>
        <v/>
      </c>
      <c r="L477" s="29" t="str">
        <f>IF(A477="","",SUMIF(Detalle_Pagos!$A$5:$A$2004,A477,Detalle_Pagos!$I$5:$I$2004))</f>
        <v/>
      </c>
      <c r="M477" s="29" t="str">
        <f>IF(A477="","",SUMIFS(Detalle_Pagos!$I$5:$I$2004,Detalle_Pagos!$A$5:$A$2004,A477,Detalle_Pagos!$J$5:$J$2004,"No"))</f>
        <v/>
      </c>
      <c r="N477" t="str">
        <f t="shared" si="23"/>
        <v/>
      </c>
    </row>
    <row r="478" spans="2:14" x14ac:dyDescent="0.3">
      <c r="B478" s="30"/>
      <c r="G478" s="29" t="str">
        <f>IF(A478="","",IFERROR(INDEX(Criterios!$B$4:$C$83,MATCH(D478,Criterios!$A$4:$A$83,0),IF(E478="Dentro horario",1,2)),""))</f>
        <v/>
      </c>
      <c r="H478" s="29"/>
      <c r="I478" s="29" t="str">
        <f t="shared" si="21"/>
        <v/>
      </c>
      <c r="J478" t="str">
        <f>IF(A478="","",COUNTIF(Detalle_Pagos!$A$5:$A$2004,A478))</f>
        <v/>
      </c>
      <c r="K478" s="29" t="str">
        <f t="shared" si="22"/>
        <v/>
      </c>
      <c r="L478" s="29" t="str">
        <f>IF(A478="","",SUMIF(Detalle_Pagos!$A$5:$A$2004,A478,Detalle_Pagos!$I$5:$I$2004))</f>
        <v/>
      </c>
      <c r="M478" s="29" t="str">
        <f>IF(A478="","",SUMIFS(Detalle_Pagos!$I$5:$I$2004,Detalle_Pagos!$A$5:$A$2004,A478,Detalle_Pagos!$J$5:$J$2004,"No"))</f>
        <v/>
      </c>
      <c r="N478" t="str">
        <f t="shared" si="23"/>
        <v/>
      </c>
    </row>
    <row r="479" spans="2:14" x14ac:dyDescent="0.3">
      <c r="B479" s="30"/>
      <c r="G479" s="29" t="str">
        <f>IF(A479="","",IFERROR(INDEX(Criterios!$B$4:$C$83,MATCH(D479,Criterios!$A$4:$A$83,0),IF(E479="Dentro horario",1,2)),""))</f>
        <v/>
      </c>
      <c r="H479" s="29"/>
      <c r="I479" s="29" t="str">
        <f t="shared" si="21"/>
        <v/>
      </c>
      <c r="J479" t="str">
        <f>IF(A479="","",COUNTIF(Detalle_Pagos!$A$5:$A$2004,A479))</f>
        <v/>
      </c>
      <c r="K479" s="29" t="str">
        <f t="shared" si="22"/>
        <v/>
      </c>
      <c r="L479" s="29" t="str">
        <f>IF(A479="","",SUMIF(Detalle_Pagos!$A$5:$A$2004,A479,Detalle_Pagos!$I$5:$I$2004))</f>
        <v/>
      </c>
      <c r="M479" s="29" t="str">
        <f>IF(A479="","",SUMIFS(Detalle_Pagos!$I$5:$I$2004,Detalle_Pagos!$A$5:$A$2004,A479,Detalle_Pagos!$J$5:$J$2004,"No"))</f>
        <v/>
      </c>
      <c r="N479" t="str">
        <f t="shared" si="23"/>
        <v/>
      </c>
    </row>
    <row r="480" spans="2:14" x14ac:dyDescent="0.3">
      <c r="B480" s="30"/>
      <c r="G480" s="29" t="str">
        <f>IF(A480="","",IFERROR(INDEX(Criterios!$B$4:$C$83,MATCH(D480,Criterios!$A$4:$A$83,0),IF(E480="Dentro horario",1,2)),""))</f>
        <v/>
      </c>
      <c r="H480" s="29"/>
      <c r="I480" s="29" t="str">
        <f t="shared" si="21"/>
        <v/>
      </c>
      <c r="J480" t="str">
        <f>IF(A480="","",COUNTIF(Detalle_Pagos!$A$5:$A$2004,A480))</f>
        <v/>
      </c>
      <c r="K480" s="29" t="str">
        <f t="shared" si="22"/>
        <v/>
      </c>
      <c r="L480" s="29" t="str">
        <f>IF(A480="","",SUMIF(Detalle_Pagos!$A$5:$A$2004,A480,Detalle_Pagos!$I$5:$I$2004))</f>
        <v/>
      </c>
      <c r="M480" s="29" t="str">
        <f>IF(A480="","",SUMIFS(Detalle_Pagos!$I$5:$I$2004,Detalle_Pagos!$A$5:$A$2004,A480,Detalle_Pagos!$J$5:$J$2004,"No"))</f>
        <v/>
      </c>
      <c r="N480" t="str">
        <f t="shared" si="23"/>
        <v/>
      </c>
    </row>
    <row r="481" spans="2:14" x14ac:dyDescent="0.3">
      <c r="B481" s="30"/>
      <c r="G481" s="29" t="str">
        <f>IF(A481="","",IFERROR(INDEX(Criterios!$B$4:$C$83,MATCH(D481,Criterios!$A$4:$A$83,0),IF(E481="Dentro horario",1,2)),""))</f>
        <v/>
      </c>
      <c r="H481" s="29"/>
      <c r="I481" s="29" t="str">
        <f t="shared" si="21"/>
        <v/>
      </c>
      <c r="J481" t="str">
        <f>IF(A481="","",COUNTIF(Detalle_Pagos!$A$5:$A$2004,A481))</f>
        <v/>
      </c>
      <c r="K481" s="29" t="str">
        <f t="shared" si="22"/>
        <v/>
      </c>
      <c r="L481" s="29" t="str">
        <f>IF(A481="","",SUMIF(Detalle_Pagos!$A$5:$A$2004,A481,Detalle_Pagos!$I$5:$I$2004))</f>
        <v/>
      </c>
      <c r="M481" s="29" t="str">
        <f>IF(A481="","",SUMIFS(Detalle_Pagos!$I$5:$I$2004,Detalle_Pagos!$A$5:$A$2004,A481,Detalle_Pagos!$J$5:$J$2004,"No"))</f>
        <v/>
      </c>
      <c r="N481" t="str">
        <f t="shared" si="23"/>
        <v/>
      </c>
    </row>
    <row r="482" spans="2:14" x14ac:dyDescent="0.3">
      <c r="B482" s="30"/>
      <c r="G482" s="29" t="str">
        <f>IF(A482="","",IFERROR(INDEX(Criterios!$B$4:$C$83,MATCH(D482,Criterios!$A$4:$A$83,0),IF(E482="Dentro horario",1,2)),""))</f>
        <v/>
      </c>
      <c r="H482" s="29"/>
      <c r="I482" s="29" t="str">
        <f t="shared" si="21"/>
        <v/>
      </c>
      <c r="J482" t="str">
        <f>IF(A482="","",COUNTIF(Detalle_Pagos!$A$5:$A$2004,A482))</f>
        <v/>
      </c>
      <c r="K482" s="29" t="str">
        <f t="shared" si="22"/>
        <v/>
      </c>
      <c r="L482" s="29" t="str">
        <f>IF(A482="","",SUMIF(Detalle_Pagos!$A$5:$A$2004,A482,Detalle_Pagos!$I$5:$I$2004))</f>
        <v/>
      </c>
      <c r="M482" s="29" t="str">
        <f>IF(A482="","",SUMIFS(Detalle_Pagos!$I$5:$I$2004,Detalle_Pagos!$A$5:$A$2004,A482,Detalle_Pagos!$J$5:$J$2004,"No"))</f>
        <v/>
      </c>
      <c r="N482" t="str">
        <f t="shared" si="23"/>
        <v/>
      </c>
    </row>
    <row r="483" spans="2:14" x14ac:dyDescent="0.3">
      <c r="B483" s="30"/>
      <c r="G483" s="29" t="str">
        <f>IF(A483="","",IFERROR(INDEX(Criterios!$B$4:$C$83,MATCH(D483,Criterios!$A$4:$A$83,0),IF(E483="Dentro horario",1,2)),""))</f>
        <v/>
      </c>
      <c r="H483" s="29"/>
      <c r="I483" s="29" t="str">
        <f t="shared" si="21"/>
        <v/>
      </c>
      <c r="J483" t="str">
        <f>IF(A483="","",COUNTIF(Detalle_Pagos!$A$5:$A$2004,A483))</f>
        <v/>
      </c>
      <c r="K483" s="29" t="str">
        <f t="shared" si="22"/>
        <v/>
      </c>
      <c r="L483" s="29" t="str">
        <f>IF(A483="","",SUMIF(Detalle_Pagos!$A$5:$A$2004,A483,Detalle_Pagos!$I$5:$I$2004))</f>
        <v/>
      </c>
      <c r="M483" s="29" t="str">
        <f>IF(A483="","",SUMIFS(Detalle_Pagos!$I$5:$I$2004,Detalle_Pagos!$A$5:$A$2004,A483,Detalle_Pagos!$J$5:$J$2004,"No"))</f>
        <v/>
      </c>
      <c r="N483" t="str">
        <f t="shared" si="23"/>
        <v/>
      </c>
    </row>
    <row r="484" spans="2:14" x14ac:dyDescent="0.3">
      <c r="B484" s="30"/>
      <c r="G484" s="29" t="str">
        <f>IF(A484="","",IFERROR(INDEX(Criterios!$B$4:$C$83,MATCH(D484,Criterios!$A$4:$A$83,0),IF(E484="Dentro horario",1,2)),""))</f>
        <v/>
      </c>
      <c r="H484" s="29"/>
      <c r="I484" s="29" t="str">
        <f t="shared" si="21"/>
        <v/>
      </c>
      <c r="J484" t="str">
        <f>IF(A484="","",COUNTIF(Detalle_Pagos!$A$5:$A$2004,A484))</f>
        <v/>
      </c>
      <c r="K484" s="29" t="str">
        <f t="shared" si="22"/>
        <v/>
      </c>
      <c r="L484" s="29" t="str">
        <f>IF(A484="","",SUMIF(Detalle_Pagos!$A$5:$A$2004,A484,Detalle_Pagos!$I$5:$I$2004))</f>
        <v/>
      </c>
      <c r="M484" s="29" t="str">
        <f>IF(A484="","",SUMIFS(Detalle_Pagos!$I$5:$I$2004,Detalle_Pagos!$A$5:$A$2004,A484,Detalle_Pagos!$J$5:$J$2004,"No"))</f>
        <v/>
      </c>
      <c r="N484" t="str">
        <f t="shared" si="23"/>
        <v/>
      </c>
    </row>
    <row r="485" spans="2:14" x14ac:dyDescent="0.3">
      <c r="B485" s="30"/>
      <c r="G485" s="29" t="str">
        <f>IF(A485="","",IFERROR(INDEX(Criterios!$B$4:$C$83,MATCH(D485,Criterios!$A$4:$A$83,0),IF(E485="Dentro horario",1,2)),""))</f>
        <v/>
      </c>
      <c r="H485" s="29"/>
      <c r="I485" s="29" t="str">
        <f t="shared" si="21"/>
        <v/>
      </c>
      <c r="J485" t="str">
        <f>IF(A485="","",COUNTIF(Detalle_Pagos!$A$5:$A$2004,A485))</f>
        <v/>
      </c>
      <c r="K485" s="29" t="str">
        <f t="shared" si="22"/>
        <v/>
      </c>
      <c r="L485" s="29" t="str">
        <f>IF(A485="","",SUMIF(Detalle_Pagos!$A$5:$A$2004,A485,Detalle_Pagos!$I$5:$I$2004))</f>
        <v/>
      </c>
      <c r="M485" s="29" t="str">
        <f>IF(A485="","",SUMIFS(Detalle_Pagos!$I$5:$I$2004,Detalle_Pagos!$A$5:$A$2004,A485,Detalle_Pagos!$J$5:$J$2004,"No"))</f>
        <v/>
      </c>
      <c r="N485" t="str">
        <f t="shared" si="23"/>
        <v/>
      </c>
    </row>
    <row r="486" spans="2:14" x14ac:dyDescent="0.3">
      <c r="B486" s="30"/>
      <c r="G486" s="29" t="str">
        <f>IF(A486="","",IFERROR(INDEX(Criterios!$B$4:$C$83,MATCH(D486,Criterios!$A$4:$A$83,0),IF(E486="Dentro horario",1,2)),""))</f>
        <v/>
      </c>
      <c r="H486" s="29"/>
      <c r="I486" s="29" t="str">
        <f t="shared" si="21"/>
        <v/>
      </c>
      <c r="J486" t="str">
        <f>IF(A486="","",COUNTIF(Detalle_Pagos!$A$5:$A$2004,A486))</f>
        <v/>
      </c>
      <c r="K486" s="29" t="str">
        <f t="shared" si="22"/>
        <v/>
      </c>
      <c r="L486" s="29" t="str">
        <f>IF(A486="","",SUMIF(Detalle_Pagos!$A$5:$A$2004,A486,Detalle_Pagos!$I$5:$I$2004))</f>
        <v/>
      </c>
      <c r="M486" s="29" t="str">
        <f>IF(A486="","",SUMIFS(Detalle_Pagos!$I$5:$I$2004,Detalle_Pagos!$A$5:$A$2004,A486,Detalle_Pagos!$J$5:$J$2004,"No"))</f>
        <v/>
      </c>
      <c r="N486" t="str">
        <f t="shared" si="23"/>
        <v/>
      </c>
    </row>
    <row r="487" spans="2:14" x14ac:dyDescent="0.3">
      <c r="B487" s="30"/>
      <c r="G487" s="29" t="str">
        <f>IF(A487="","",IFERROR(INDEX(Criterios!$B$4:$C$83,MATCH(D487,Criterios!$A$4:$A$83,0),IF(E487="Dentro horario",1,2)),""))</f>
        <v/>
      </c>
      <c r="H487" s="29"/>
      <c r="I487" s="29" t="str">
        <f t="shared" si="21"/>
        <v/>
      </c>
      <c r="J487" t="str">
        <f>IF(A487="","",COUNTIF(Detalle_Pagos!$A$5:$A$2004,A487))</f>
        <v/>
      </c>
      <c r="K487" s="29" t="str">
        <f t="shared" si="22"/>
        <v/>
      </c>
      <c r="L487" s="29" t="str">
        <f>IF(A487="","",SUMIF(Detalle_Pagos!$A$5:$A$2004,A487,Detalle_Pagos!$I$5:$I$2004))</f>
        <v/>
      </c>
      <c r="M487" s="29" t="str">
        <f>IF(A487="","",SUMIFS(Detalle_Pagos!$I$5:$I$2004,Detalle_Pagos!$A$5:$A$2004,A487,Detalle_Pagos!$J$5:$J$2004,"No"))</f>
        <v/>
      </c>
      <c r="N487" t="str">
        <f t="shared" si="23"/>
        <v/>
      </c>
    </row>
    <row r="488" spans="2:14" x14ac:dyDescent="0.3">
      <c r="B488" s="30"/>
      <c r="G488" s="29" t="str">
        <f>IF(A488="","",IFERROR(INDEX(Criterios!$B$4:$C$83,MATCH(D488,Criterios!$A$4:$A$83,0),IF(E488="Dentro horario",1,2)),""))</f>
        <v/>
      </c>
      <c r="H488" s="29"/>
      <c r="I488" s="29" t="str">
        <f t="shared" si="21"/>
        <v/>
      </c>
      <c r="J488" t="str">
        <f>IF(A488="","",COUNTIF(Detalle_Pagos!$A$5:$A$2004,A488))</f>
        <v/>
      </c>
      <c r="K488" s="29" t="str">
        <f t="shared" si="22"/>
        <v/>
      </c>
      <c r="L488" s="29" t="str">
        <f>IF(A488="","",SUMIF(Detalle_Pagos!$A$5:$A$2004,A488,Detalle_Pagos!$I$5:$I$2004))</f>
        <v/>
      </c>
      <c r="M488" s="29" t="str">
        <f>IF(A488="","",SUMIFS(Detalle_Pagos!$I$5:$I$2004,Detalle_Pagos!$A$5:$A$2004,A488,Detalle_Pagos!$J$5:$J$2004,"No"))</f>
        <v/>
      </c>
      <c r="N488" t="str">
        <f t="shared" si="23"/>
        <v/>
      </c>
    </row>
    <row r="489" spans="2:14" x14ac:dyDescent="0.3">
      <c r="B489" s="30"/>
      <c r="G489" s="29" t="str">
        <f>IF(A489="","",IFERROR(INDEX(Criterios!$B$4:$C$83,MATCH(D489,Criterios!$A$4:$A$83,0),IF(E489="Dentro horario",1,2)),""))</f>
        <v/>
      </c>
      <c r="H489" s="29"/>
      <c r="I489" s="29" t="str">
        <f t="shared" si="21"/>
        <v/>
      </c>
      <c r="J489" t="str">
        <f>IF(A489="","",COUNTIF(Detalle_Pagos!$A$5:$A$2004,A489))</f>
        <v/>
      </c>
      <c r="K489" s="29" t="str">
        <f t="shared" si="22"/>
        <v/>
      </c>
      <c r="L489" s="29" t="str">
        <f>IF(A489="","",SUMIF(Detalle_Pagos!$A$5:$A$2004,A489,Detalle_Pagos!$I$5:$I$2004))</f>
        <v/>
      </c>
      <c r="M489" s="29" t="str">
        <f>IF(A489="","",SUMIFS(Detalle_Pagos!$I$5:$I$2004,Detalle_Pagos!$A$5:$A$2004,A489,Detalle_Pagos!$J$5:$J$2004,"No"))</f>
        <v/>
      </c>
      <c r="N489" t="str">
        <f t="shared" si="23"/>
        <v/>
      </c>
    </row>
    <row r="490" spans="2:14" x14ac:dyDescent="0.3">
      <c r="B490" s="30"/>
      <c r="G490" s="29" t="str">
        <f>IF(A490="","",IFERROR(INDEX(Criterios!$B$4:$C$83,MATCH(D490,Criterios!$A$4:$A$83,0),IF(E490="Dentro horario",1,2)),""))</f>
        <v/>
      </c>
      <c r="H490" s="29"/>
      <c r="I490" s="29" t="str">
        <f t="shared" si="21"/>
        <v/>
      </c>
      <c r="J490" t="str">
        <f>IF(A490="","",COUNTIF(Detalle_Pagos!$A$5:$A$2004,A490))</f>
        <v/>
      </c>
      <c r="K490" s="29" t="str">
        <f t="shared" si="22"/>
        <v/>
      </c>
      <c r="L490" s="29" t="str">
        <f>IF(A490="","",SUMIF(Detalle_Pagos!$A$5:$A$2004,A490,Detalle_Pagos!$I$5:$I$2004))</f>
        <v/>
      </c>
      <c r="M490" s="29" t="str">
        <f>IF(A490="","",SUMIFS(Detalle_Pagos!$I$5:$I$2004,Detalle_Pagos!$A$5:$A$2004,A490,Detalle_Pagos!$J$5:$J$2004,"No"))</f>
        <v/>
      </c>
      <c r="N490" t="str">
        <f t="shared" si="23"/>
        <v/>
      </c>
    </row>
    <row r="491" spans="2:14" x14ac:dyDescent="0.3">
      <c r="B491" s="30"/>
      <c r="G491" s="29" t="str">
        <f>IF(A491="","",IFERROR(INDEX(Criterios!$B$4:$C$83,MATCH(D491,Criterios!$A$4:$A$83,0),IF(E491="Dentro horario",1,2)),""))</f>
        <v/>
      </c>
      <c r="H491" s="29"/>
      <c r="I491" s="29" t="str">
        <f t="shared" si="21"/>
        <v/>
      </c>
      <c r="J491" t="str">
        <f>IF(A491="","",COUNTIF(Detalle_Pagos!$A$5:$A$2004,A491))</f>
        <v/>
      </c>
      <c r="K491" s="29" t="str">
        <f t="shared" si="22"/>
        <v/>
      </c>
      <c r="L491" s="29" t="str">
        <f>IF(A491="","",SUMIF(Detalle_Pagos!$A$5:$A$2004,A491,Detalle_Pagos!$I$5:$I$2004))</f>
        <v/>
      </c>
      <c r="M491" s="29" t="str">
        <f>IF(A491="","",SUMIFS(Detalle_Pagos!$I$5:$I$2004,Detalle_Pagos!$A$5:$A$2004,A491,Detalle_Pagos!$J$5:$J$2004,"No"))</f>
        <v/>
      </c>
      <c r="N491" t="str">
        <f t="shared" si="23"/>
        <v/>
      </c>
    </row>
    <row r="492" spans="2:14" x14ac:dyDescent="0.3">
      <c r="B492" s="30"/>
      <c r="G492" s="29" t="str">
        <f>IF(A492="","",IFERROR(INDEX(Criterios!$B$4:$C$83,MATCH(D492,Criterios!$A$4:$A$83,0),IF(E492="Dentro horario",1,2)),""))</f>
        <v/>
      </c>
      <c r="H492" s="29"/>
      <c r="I492" s="29" t="str">
        <f t="shared" si="21"/>
        <v/>
      </c>
      <c r="J492" t="str">
        <f>IF(A492="","",COUNTIF(Detalle_Pagos!$A$5:$A$2004,A492))</f>
        <v/>
      </c>
      <c r="K492" s="29" t="str">
        <f t="shared" si="22"/>
        <v/>
      </c>
      <c r="L492" s="29" t="str">
        <f>IF(A492="","",SUMIF(Detalle_Pagos!$A$5:$A$2004,A492,Detalle_Pagos!$I$5:$I$2004))</f>
        <v/>
      </c>
      <c r="M492" s="29" t="str">
        <f>IF(A492="","",SUMIFS(Detalle_Pagos!$I$5:$I$2004,Detalle_Pagos!$A$5:$A$2004,A492,Detalle_Pagos!$J$5:$J$2004,"No"))</f>
        <v/>
      </c>
      <c r="N492" t="str">
        <f t="shared" si="23"/>
        <v/>
      </c>
    </row>
    <row r="493" spans="2:14" x14ac:dyDescent="0.3">
      <c r="B493" s="30"/>
      <c r="G493" s="29" t="str">
        <f>IF(A493="","",IFERROR(INDEX(Criterios!$B$4:$C$83,MATCH(D493,Criterios!$A$4:$A$83,0),IF(E493="Dentro horario",1,2)),""))</f>
        <v/>
      </c>
      <c r="H493" s="29"/>
      <c r="I493" s="29" t="str">
        <f t="shared" si="21"/>
        <v/>
      </c>
      <c r="J493" t="str">
        <f>IF(A493="","",COUNTIF(Detalle_Pagos!$A$5:$A$2004,A493))</f>
        <v/>
      </c>
      <c r="K493" s="29" t="str">
        <f t="shared" si="22"/>
        <v/>
      </c>
      <c r="L493" s="29" t="str">
        <f>IF(A493="","",SUMIF(Detalle_Pagos!$A$5:$A$2004,A493,Detalle_Pagos!$I$5:$I$2004))</f>
        <v/>
      </c>
      <c r="M493" s="29" t="str">
        <f>IF(A493="","",SUMIFS(Detalle_Pagos!$I$5:$I$2004,Detalle_Pagos!$A$5:$A$2004,A493,Detalle_Pagos!$J$5:$J$2004,"No"))</f>
        <v/>
      </c>
      <c r="N493" t="str">
        <f t="shared" si="23"/>
        <v/>
      </c>
    </row>
    <row r="494" spans="2:14" x14ac:dyDescent="0.3">
      <c r="B494" s="30"/>
      <c r="G494" s="29" t="str">
        <f>IF(A494="","",IFERROR(INDEX(Criterios!$B$4:$C$83,MATCH(D494,Criterios!$A$4:$A$83,0),IF(E494="Dentro horario",1,2)),""))</f>
        <v/>
      </c>
      <c r="H494" s="29"/>
      <c r="I494" s="29" t="str">
        <f t="shared" si="21"/>
        <v/>
      </c>
      <c r="J494" t="str">
        <f>IF(A494="","",COUNTIF(Detalle_Pagos!$A$5:$A$2004,A494))</f>
        <v/>
      </c>
      <c r="K494" s="29" t="str">
        <f t="shared" si="22"/>
        <v/>
      </c>
      <c r="L494" s="29" t="str">
        <f>IF(A494="","",SUMIF(Detalle_Pagos!$A$5:$A$2004,A494,Detalle_Pagos!$I$5:$I$2004))</f>
        <v/>
      </c>
      <c r="M494" s="29" t="str">
        <f>IF(A494="","",SUMIFS(Detalle_Pagos!$I$5:$I$2004,Detalle_Pagos!$A$5:$A$2004,A494,Detalle_Pagos!$J$5:$J$2004,"No"))</f>
        <v/>
      </c>
      <c r="N494" t="str">
        <f t="shared" si="23"/>
        <v/>
      </c>
    </row>
    <row r="495" spans="2:14" x14ac:dyDescent="0.3">
      <c r="B495" s="30"/>
      <c r="G495" s="29" t="str">
        <f>IF(A495="","",IFERROR(INDEX(Criterios!$B$4:$C$83,MATCH(D495,Criterios!$A$4:$A$83,0),IF(E495="Dentro horario",1,2)),""))</f>
        <v/>
      </c>
      <c r="H495" s="29"/>
      <c r="I495" s="29" t="str">
        <f t="shared" si="21"/>
        <v/>
      </c>
      <c r="J495" t="str">
        <f>IF(A495="","",COUNTIF(Detalle_Pagos!$A$5:$A$2004,A495))</f>
        <v/>
      </c>
      <c r="K495" s="29" t="str">
        <f t="shared" si="22"/>
        <v/>
      </c>
      <c r="L495" s="29" t="str">
        <f>IF(A495="","",SUMIF(Detalle_Pagos!$A$5:$A$2004,A495,Detalle_Pagos!$I$5:$I$2004))</f>
        <v/>
      </c>
      <c r="M495" s="29" t="str">
        <f>IF(A495="","",SUMIFS(Detalle_Pagos!$I$5:$I$2004,Detalle_Pagos!$A$5:$A$2004,A495,Detalle_Pagos!$J$5:$J$2004,"No"))</f>
        <v/>
      </c>
      <c r="N495" t="str">
        <f t="shared" si="23"/>
        <v/>
      </c>
    </row>
    <row r="496" spans="2:14" x14ac:dyDescent="0.3">
      <c r="B496" s="30"/>
      <c r="G496" s="29" t="str">
        <f>IF(A496="","",IFERROR(INDEX(Criterios!$B$4:$C$83,MATCH(D496,Criterios!$A$4:$A$83,0),IF(E496="Dentro horario",1,2)),""))</f>
        <v/>
      </c>
      <c r="H496" s="29"/>
      <c r="I496" s="29" t="str">
        <f t="shared" si="21"/>
        <v/>
      </c>
      <c r="J496" t="str">
        <f>IF(A496="","",COUNTIF(Detalle_Pagos!$A$5:$A$2004,A496))</f>
        <v/>
      </c>
      <c r="K496" s="29" t="str">
        <f t="shared" si="22"/>
        <v/>
      </c>
      <c r="L496" s="29" t="str">
        <f>IF(A496="","",SUMIF(Detalle_Pagos!$A$5:$A$2004,A496,Detalle_Pagos!$I$5:$I$2004))</f>
        <v/>
      </c>
      <c r="M496" s="29" t="str">
        <f>IF(A496="","",SUMIFS(Detalle_Pagos!$I$5:$I$2004,Detalle_Pagos!$A$5:$A$2004,A496,Detalle_Pagos!$J$5:$J$2004,"No"))</f>
        <v/>
      </c>
      <c r="N496" t="str">
        <f t="shared" si="23"/>
        <v/>
      </c>
    </row>
    <row r="497" spans="2:14" x14ac:dyDescent="0.3">
      <c r="B497" s="30"/>
      <c r="G497" s="29" t="str">
        <f>IF(A497="","",IFERROR(INDEX(Criterios!$B$4:$C$83,MATCH(D497,Criterios!$A$4:$A$83,0),IF(E497="Dentro horario",1,2)),""))</f>
        <v/>
      </c>
      <c r="H497" s="29"/>
      <c r="I497" s="29" t="str">
        <f t="shared" si="21"/>
        <v/>
      </c>
      <c r="J497" t="str">
        <f>IF(A497="","",COUNTIF(Detalle_Pagos!$A$5:$A$2004,A497))</f>
        <v/>
      </c>
      <c r="K497" s="29" t="str">
        <f t="shared" si="22"/>
        <v/>
      </c>
      <c r="L497" s="29" t="str">
        <f>IF(A497="","",SUMIF(Detalle_Pagos!$A$5:$A$2004,A497,Detalle_Pagos!$I$5:$I$2004))</f>
        <v/>
      </c>
      <c r="M497" s="29" t="str">
        <f>IF(A497="","",SUMIFS(Detalle_Pagos!$I$5:$I$2004,Detalle_Pagos!$A$5:$A$2004,A497,Detalle_Pagos!$J$5:$J$2004,"No"))</f>
        <v/>
      </c>
      <c r="N497" t="str">
        <f t="shared" si="23"/>
        <v/>
      </c>
    </row>
    <row r="498" spans="2:14" x14ac:dyDescent="0.3">
      <c r="B498" s="30"/>
      <c r="G498" s="29" t="str">
        <f>IF(A498="","",IFERROR(INDEX(Criterios!$B$4:$C$83,MATCH(D498,Criterios!$A$4:$A$83,0),IF(E498="Dentro horario",1,2)),""))</f>
        <v/>
      </c>
      <c r="H498" s="29"/>
      <c r="I498" s="29" t="str">
        <f t="shared" si="21"/>
        <v/>
      </c>
      <c r="J498" t="str">
        <f>IF(A498="","",COUNTIF(Detalle_Pagos!$A$5:$A$2004,A498))</f>
        <v/>
      </c>
      <c r="K498" s="29" t="str">
        <f t="shared" si="22"/>
        <v/>
      </c>
      <c r="L498" s="29" t="str">
        <f>IF(A498="","",SUMIF(Detalle_Pagos!$A$5:$A$2004,A498,Detalle_Pagos!$I$5:$I$2004))</f>
        <v/>
      </c>
      <c r="M498" s="29" t="str">
        <f>IF(A498="","",SUMIFS(Detalle_Pagos!$I$5:$I$2004,Detalle_Pagos!$A$5:$A$2004,A498,Detalle_Pagos!$J$5:$J$2004,"No"))</f>
        <v/>
      </c>
      <c r="N498" t="str">
        <f t="shared" si="23"/>
        <v/>
      </c>
    </row>
    <row r="499" spans="2:14" x14ac:dyDescent="0.3">
      <c r="B499" s="30"/>
      <c r="G499" s="29" t="str">
        <f>IF(A499="","",IFERROR(INDEX(Criterios!$B$4:$C$83,MATCH(D499,Criterios!$A$4:$A$83,0),IF(E499="Dentro horario",1,2)),""))</f>
        <v/>
      </c>
      <c r="H499" s="29"/>
      <c r="I499" s="29" t="str">
        <f t="shared" si="21"/>
        <v/>
      </c>
      <c r="J499" t="str">
        <f>IF(A499="","",COUNTIF(Detalle_Pagos!$A$5:$A$2004,A499))</f>
        <v/>
      </c>
      <c r="K499" s="29" t="str">
        <f t="shared" si="22"/>
        <v/>
      </c>
      <c r="L499" s="29" t="str">
        <f>IF(A499="","",SUMIF(Detalle_Pagos!$A$5:$A$2004,A499,Detalle_Pagos!$I$5:$I$2004))</f>
        <v/>
      </c>
      <c r="M499" s="29" t="str">
        <f>IF(A499="","",SUMIFS(Detalle_Pagos!$I$5:$I$2004,Detalle_Pagos!$A$5:$A$2004,A499,Detalle_Pagos!$J$5:$J$2004,"No"))</f>
        <v/>
      </c>
      <c r="N499" t="str">
        <f t="shared" si="23"/>
        <v/>
      </c>
    </row>
    <row r="500" spans="2:14" x14ac:dyDescent="0.3">
      <c r="B500" s="30"/>
      <c r="G500" s="29" t="str">
        <f>IF(A500="","",IFERROR(INDEX(Criterios!$B$4:$C$83,MATCH(D500,Criterios!$A$4:$A$83,0),IF(E500="Dentro horario",1,2)),""))</f>
        <v/>
      </c>
      <c r="H500" s="29"/>
      <c r="I500" s="29" t="str">
        <f t="shared" si="21"/>
        <v/>
      </c>
      <c r="J500" t="str">
        <f>IF(A500="","",COUNTIF(Detalle_Pagos!$A$5:$A$2004,A500))</f>
        <v/>
      </c>
      <c r="K500" s="29" t="str">
        <f t="shared" si="22"/>
        <v/>
      </c>
      <c r="L500" s="29" t="str">
        <f>IF(A500="","",SUMIF(Detalle_Pagos!$A$5:$A$2004,A500,Detalle_Pagos!$I$5:$I$2004))</f>
        <v/>
      </c>
      <c r="M500" s="29" t="str">
        <f>IF(A500="","",SUMIFS(Detalle_Pagos!$I$5:$I$2004,Detalle_Pagos!$A$5:$A$2004,A500,Detalle_Pagos!$J$5:$J$2004,"No"))</f>
        <v/>
      </c>
      <c r="N500" t="str">
        <f t="shared" si="23"/>
        <v/>
      </c>
    </row>
    <row r="501" spans="2:14" x14ac:dyDescent="0.3">
      <c r="B501" s="30"/>
      <c r="G501" s="29" t="str">
        <f>IF(A501="","",IFERROR(INDEX(Criterios!$B$4:$C$83,MATCH(D501,Criterios!$A$4:$A$83,0),IF(E501="Dentro horario",1,2)),""))</f>
        <v/>
      </c>
      <c r="H501" s="29"/>
      <c r="I501" s="29" t="str">
        <f t="shared" si="21"/>
        <v/>
      </c>
      <c r="J501" t="str">
        <f>IF(A501="","",COUNTIF(Detalle_Pagos!$A$5:$A$2004,A501))</f>
        <v/>
      </c>
      <c r="K501" s="29" t="str">
        <f t="shared" si="22"/>
        <v/>
      </c>
      <c r="L501" s="29" t="str">
        <f>IF(A501="","",SUMIF(Detalle_Pagos!$A$5:$A$2004,A501,Detalle_Pagos!$I$5:$I$2004))</f>
        <v/>
      </c>
      <c r="M501" s="29" t="str">
        <f>IF(A501="","",SUMIFS(Detalle_Pagos!$I$5:$I$2004,Detalle_Pagos!$A$5:$A$2004,A501,Detalle_Pagos!$J$5:$J$2004,"No"))</f>
        <v/>
      </c>
      <c r="N501" t="str">
        <f t="shared" si="23"/>
        <v/>
      </c>
    </row>
    <row r="502" spans="2:14" x14ac:dyDescent="0.3">
      <c r="B502" s="30"/>
      <c r="G502" s="29" t="str">
        <f>IF(A502="","",IFERROR(INDEX(Criterios!$B$4:$C$83,MATCH(D502,Criterios!$A$4:$A$83,0),IF(E502="Dentro horario",1,2)),""))</f>
        <v/>
      </c>
      <c r="H502" s="29"/>
      <c r="I502" s="29" t="str">
        <f t="shared" si="21"/>
        <v/>
      </c>
      <c r="J502" t="str">
        <f>IF(A502="","",COUNTIF(Detalle_Pagos!$A$5:$A$2004,A502))</f>
        <v/>
      </c>
      <c r="K502" s="29" t="str">
        <f t="shared" si="22"/>
        <v/>
      </c>
      <c r="L502" s="29" t="str">
        <f>IF(A502="","",SUMIF(Detalle_Pagos!$A$5:$A$2004,A502,Detalle_Pagos!$I$5:$I$2004))</f>
        <v/>
      </c>
      <c r="M502" s="29" t="str">
        <f>IF(A502="","",SUMIFS(Detalle_Pagos!$I$5:$I$2004,Detalle_Pagos!$A$5:$A$2004,A502,Detalle_Pagos!$J$5:$J$2004,"No"))</f>
        <v/>
      </c>
      <c r="N502" t="str">
        <f t="shared" si="23"/>
        <v/>
      </c>
    </row>
    <row r="503" spans="2:14" x14ac:dyDescent="0.3">
      <c r="B503" s="30"/>
      <c r="G503" s="29" t="str">
        <f>IF(A503="","",IFERROR(INDEX(Criterios!$B$4:$C$83,MATCH(D503,Criterios!$A$4:$A$83,0),IF(E503="Dentro horario",1,2)),""))</f>
        <v/>
      </c>
      <c r="H503" s="29"/>
      <c r="I503" s="29" t="str">
        <f t="shared" si="21"/>
        <v/>
      </c>
      <c r="J503" t="str">
        <f>IF(A503="","",COUNTIF(Detalle_Pagos!$A$5:$A$2004,A503))</f>
        <v/>
      </c>
      <c r="K503" s="29" t="str">
        <f t="shared" si="22"/>
        <v/>
      </c>
      <c r="L503" s="29" t="str">
        <f>IF(A503="","",SUMIF(Detalle_Pagos!$A$5:$A$2004,A503,Detalle_Pagos!$I$5:$I$2004))</f>
        <v/>
      </c>
      <c r="M503" s="29" t="str">
        <f>IF(A503="","",SUMIFS(Detalle_Pagos!$I$5:$I$2004,Detalle_Pagos!$A$5:$A$2004,A503,Detalle_Pagos!$J$5:$J$2004,"No"))</f>
        <v/>
      </c>
      <c r="N503" t="str">
        <f t="shared" si="23"/>
        <v/>
      </c>
    </row>
    <row r="504" spans="2:14" x14ac:dyDescent="0.3">
      <c r="B504" s="30"/>
      <c r="G504" s="29" t="str">
        <f>IF(A504="","",IFERROR(INDEX(Criterios!$B$4:$C$83,MATCH(D504,Criterios!$A$4:$A$83,0),IF(E504="Dentro horario",1,2)),""))</f>
        <v/>
      </c>
      <c r="H504" s="29"/>
      <c r="I504" s="29" t="str">
        <f t="shared" si="21"/>
        <v/>
      </c>
      <c r="J504" t="str">
        <f>IF(A504="","",COUNTIF(Detalle_Pagos!$A$5:$A$2004,A504))</f>
        <v/>
      </c>
      <c r="K504" s="29" t="str">
        <f t="shared" si="22"/>
        <v/>
      </c>
      <c r="L504" s="29" t="str">
        <f>IF(A504="","",SUMIF(Detalle_Pagos!$A$5:$A$2004,A504,Detalle_Pagos!$I$5:$I$2004))</f>
        <v/>
      </c>
      <c r="M504" s="29" t="str">
        <f>IF(A504="","",SUMIFS(Detalle_Pagos!$I$5:$I$2004,Detalle_Pagos!$A$5:$A$2004,A504,Detalle_Pagos!$J$5:$J$2004,"No"))</f>
        <v/>
      </c>
      <c r="N504" t="str">
        <f t="shared" si="23"/>
        <v/>
      </c>
    </row>
  </sheetData>
  <mergeCells count="1">
    <mergeCell ref="A1:O1"/>
  </mergeCells>
  <conditionalFormatting sqref="N5:N504">
    <cfRule type="expression" dxfId="3" priority="1">
      <formula>N5="Pendiente"</formula>
    </cfRule>
    <cfRule type="expression" dxfId="2" priority="2">
      <formula>N5="Pagada"</formula>
    </cfRule>
  </conditionalFormatting>
  <dataValidations count="1">
    <dataValidation type="list" allowBlank="1" sqref="E5:E504" xr:uid="{00000000-0002-0000-0300-000001000000}">
      <formula1>"Dentro horario,Fuera horario"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0000000}">
          <x14:formula1>
            <xm:f>Criterios!$A$4:$A$83</xm:f>
          </x14:formula1>
          <xm:sqref>D5:D504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04"/>
  <sheetViews>
    <sheetView showGridLines="0" workbookViewId="0">
      <pane ySplit="4" topLeftCell="A5" activePane="bottomLeft" state="frozen"/>
      <selection pane="bottomLeft"/>
    </sheetView>
  </sheetViews>
  <sheetFormatPr baseColWidth="10" defaultColWidth="8.796875" defaultRowHeight="15.6" x14ac:dyDescent="0.3"/>
  <cols>
    <col min="1" max="2" width="13" customWidth="1"/>
    <col min="3" max="3" width="11" customWidth="1"/>
    <col min="4" max="4" width="16" customWidth="1"/>
    <col min="5" max="5" width="25" customWidth="1"/>
    <col min="6" max="6" width="16" customWidth="1"/>
    <col min="7" max="7" width="15" customWidth="1"/>
    <col min="8" max="8" width="13" customWidth="1"/>
    <col min="9" max="9" width="14" customWidth="1"/>
    <col min="10" max="10" width="11" customWidth="1"/>
    <col min="11" max="11" width="13" customWidth="1"/>
    <col min="12" max="12" width="32" customWidth="1"/>
    <col min="13" max="13" width="13" hidden="1" customWidth="1"/>
  </cols>
  <sheetData>
    <row r="1" spans="1:13" ht="18" x14ac:dyDescent="0.35">
      <c r="A1" s="41" t="s">
        <v>61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4" spans="1:13" x14ac:dyDescent="0.3">
      <c r="A4" s="26" t="s">
        <v>45</v>
      </c>
      <c r="B4" s="26" t="s">
        <v>46</v>
      </c>
      <c r="C4" s="26" t="s">
        <v>62</v>
      </c>
      <c r="D4" s="26" t="s">
        <v>1</v>
      </c>
      <c r="E4" s="26" t="s">
        <v>28</v>
      </c>
      <c r="F4" s="26" t="s">
        <v>54</v>
      </c>
      <c r="G4" s="26" t="s">
        <v>63</v>
      </c>
      <c r="H4" s="26" t="s">
        <v>64</v>
      </c>
      <c r="I4" s="26" t="s">
        <v>65</v>
      </c>
      <c r="J4" s="26" t="s">
        <v>66</v>
      </c>
      <c r="K4" s="26" t="s">
        <v>67</v>
      </c>
      <c r="L4" s="26" t="s">
        <v>68</v>
      </c>
    </row>
    <row r="5" spans="1:13" x14ac:dyDescent="0.3">
      <c r="A5">
        <v>41</v>
      </c>
      <c r="B5" s="30">
        <f>IF(A5="","",IFERROR(INDEX(Maniobras!$B$5:$B$504,MATCH(A5,Maniobras!$A$5:$A$504,0)),""))</f>
        <v>46147</v>
      </c>
      <c r="C5" t="str">
        <f t="shared" ref="C5:C68" si="0">IF(B5="","",TEXT(B5,"yyyy-mm"))</f>
        <v>yyyy-05</v>
      </c>
      <c r="D5" t="str">
        <f>IF(A5="","",IFERROR(INDEX(Maniobras!$D$5:$D$504,MATCH(A5,Maniobras!$A$5:$A$504,0)),""))</f>
        <v>SORGO</v>
      </c>
      <c r="E5" t="s">
        <v>31</v>
      </c>
      <c r="F5" s="29">
        <f>IF(A5="","",IFERROR(INDEX(Maniobras!$K$5:$K$504,MATCH(A5,Maniobras!$A$5:$A$504,0)),""))</f>
        <v>152.85714285714286</v>
      </c>
      <c r="G5" s="29">
        <v>150</v>
      </c>
      <c r="H5" s="29">
        <v>0</v>
      </c>
      <c r="I5" s="29">
        <f t="shared" ref="I5:I68" si="1">IF(G5="","",G5+N(H5))</f>
        <v>150</v>
      </c>
      <c r="J5" t="s">
        <v>69</v>
      </c>
      <c r="K5" s="30"/>
      <c r="M5">
        <f>IF($A5=Ficha!$B$3,COUNTIF($A$5:$A5,Ficha!$B$3),"")</f>
        <v>1</v>
      </c>
    </row>
    <row r="6" spans="1:13" x14ac:dyDescent="0.3">
      <c r="A6">
        <v>41</v>
      </c>
      <c r="B6" s="30">
        <f>IF(A6="","",IFERROR(INDEX(Maniobras!$B$5:$B$504,MATCH(A6,Maniobras!$A$5:$A$504,0)),""))</f>
        <v>46147</v>
      </c>
      <c r="C6" t="str">
        <f t="shared" si="0"/>
        <v>yyyy-05</v>
      </c>
      <c r="D6" t="str">
        <f>IF(A6="","",IFERROR(INDEX(Maniobras!$D$5:$D$504,MATCH(A6,Maniobras!$A$5:$A$504,0)),""))</f>
        <v>SORGO</v>
      </c>
      <c r="E6" t="s">
        <v>32</v>
      </c>
      <c r="F6" s="29">
        <f>IF(A6="","",IFERROR(INDEX(Maniobras!$K$5:$K$504,MATCH(A6,Maniobras!$A$5:$A$504,0)),""))</f>
        <v>152.85714285714286</v>
      </c>
      <c r="G6" s="29">
        <v>150</v>
      </c>
      <c r="H6" s="29">
        <v>0</v>
      </c>
      <c r="I6" s="29">
        <f t="shared" si="1"/>
        <v>150</v>
      </c>
      <c r="J6" t="s">
        <v>69</v>
      </c>
      <c r="K6" s="30"/>
      <c r="M6">
        <f>IF($A6=Ficha!$B$3,COUNTIF($A$5:$A6,Ficha!$B$3),"")</f>
        <v>2</v>
      </c>
    </row>
    <row r="7" spans="1:13" x14ac:dyDescent="0.3">
      <c r="A7">
        <v>41</v>
      </c>
      <c r="B7" s="30">
        <f>IF(A7="","",IFERROR(INDEX(Maniobras!$B$5:$B$504,MATCH(A7,Maniobras!$A$5:$A$504,0)),""))</f>
        <v>46147</v>
      </c>
      <c r="C7" t="str">
        <f t="shared" si="0"/>
        <v>yyyy-05</v>
      </c>
      <c r="D7" t="str">
        <f>IF(A7="","",IFERROR(INDEX(Maniobras!$D$5:$D$504,MATCH(A7,Maniobras!$A$5:$A$504,0)),""))</f>
        <v>SORGO</v>
      </c>
      <c r="E7" t="s">
        <v>33</v>
      </c>
      <c r="F7" s="29">
        <f>IF(A7="","",IFERROR(INDEX(Maniobras!$K$5:$K$504,MATCH(A7,Maniobras!$A$5:$A$504,0)),""))</f>
        <v>152.85714285714286</v>
      </c>
      <c r="G7" s="29">
        <v>150</v>
      </c>
      <c r="H7" s="29">
        <v>0</v>
      </c>
      <c r="I7" s="29">
        <f t="shared" si="1"/>
        <v>150</v>
      </c>
      <c r="J7" t="s">
        <v>69</v>
      </c>
      <c r="K7" s="30"/>
      <c r="M7">
        <f>IF($A7=Ficha!$B$3,COUNTIF($A$5:$A7,Ficha!$B$3),"")</f>
        <v>3</v>
      </c>
    </row>
    <row r="8" spans="1:13" x14ac:dyDescent="0.3">
      <c r="A8">
        <v>41</v>
      </c>
      <c r="B8" s="30">
        <f>IF(A8="","",IFERROR(INDEX(Maniobras!$B$5:$B$504,MATCH(A8,Maniobras!$A$5:$A$504,0)),""))</f>
        <v>46147</v>
      </c>
      <c r="C8" t="str">
        <f t="shared" si="0"/>
        <v>yyyy-05</v>
      </c>
      <c r="D8" t="str">
        <f>IF(A8="","",IFERROR(INDEX(Maniobras!$D$5:$D$504,MATCH(A8,Maniobras!$A$5:$A$504,0)),""))</f>
        <v>SORGO</v>
      </c>
      <c r="E8" t="s">
        <v>34</v>
      </c>
      <c r="F8" s="29">
        <f>IF(A8="","",IFERROR(INDEX(Maniobras!$K$5:$K$504,MATCH(A8,Maniobras!$A$5:$A$504,0)),""))</f>
        <v>152.85714285714286</v>
      </c>
      <c r="G8" s="29">
        <v>150</v>
      </c>
      <c r="H8" s="29">
        <v>0</v>
      </c>
      <c r="I8" s="29">
        <f t="shared" si="1"/>
        <v>150</v>
      </c>
      <c r="J8" t="s">
        <v>69</v>
      </c>
      <c r="K8" s="30"/>
      <c r="M8">
        <f>IF($A8=Ficha!$B$3,COUNTIF($A$5:$A8,Ficha!$B$3),"")</f>
        <v>4</v>
      </c>
    </row>
    <row r="9" spans="1:13" x14ac:dyDescent="0.3">
      <c r="A9">
        <v>41</v>
      </c>
      <c r="B9" s="30">
        <f>IF(A9="","",IFERROR(INDEX(Maniobras!$B$5:$B$504,MATCH(A9,Maniobras!$A$5:$A$504,0)),""))</f>
        <v>46147</v>
      </c>
      <c r="C9" t="str">
        <f t="shared" si="0"/>
        <v>yyyy-05</v>
      </c>
      <c r="D9" t="str">
        <f>IF(A9="","",IFERROR(INDEX(Maniobras!$D$5:$D$504,MATCH(A9,Maniobras!$A$5:$A$504,0)),""))</f>
        <v>SORGO</v>
      </c>
      <c r="E9" t="s">
        <v>35</v>
      </c>
      <c r="F9" s="29">
        <f>IF(A9="","",IFERROR(INDEX(Maniobras!$K$5:$K$504,MATCH(A9,Maniobras!$A$5:$A$504,0)),""))</f>
        <v>152.85714285714286</v>
      </c>
      <c r="G9" s="29">
        <v>150</v>
      </c>
      <c r="H9" s="29">
        <v>0</v>
      </c>
      <c r="I9" s="29">
        <f t="shared" si="1"/>
        <v>150</v>
      </c>
      <c r="J9" t="s">
        <v>69</v>
      </c>
      <c r="K9" s="30"/>
      <c r="M9">
        <f>IF($A9=Ficha!$B$3,COUNTIF($A$5:$A9,Ficha!$B$3),"")</f>
        <v>5</v>
      </c>
    </row>
    <row r="10" spans="1:13" x14ac:dyDescent="0.3">
      <c r="A10">
        <v>41</v>
      </c>
      <c r="B10" s="30">
        <f>IF(A10="","",IFERROR(INDEX(Maniobras!$B$5:$B$504,MATCH(A10,Maniobras!$A$5:$A$504,0)),""))</f>
        <v>46147</v>
      </c>
      <c r="C10" t="str">
        <f t="shared" si="0"/>
        <v>yyyy-05</v>
      </c>
      <c r="D10" t="str">
        <f>IF(A10="","",IFERROR(INDEX(Maniobras!$D$5:$D$504,MATCH(A10,Maniobras!$A$5:$A$504,0)),""))</f>
        <v>SORGO</v>
      </c>
      <c r="E10" t="s">
        <v>36</v>
      </c>
      <c r="F10" s="29">
        <f>IF(A10="","",IFERROR(INDEX(Maniobras!$K$5:$K$504,MATCH(A10,Maniobras!$A$5:$A$504,0)),""))</f>
        <v>152.85714285714286</v>
      </c>
      <c r="G10" s="29">
        <v>150</v>
      </c>
      <c r="H10" s="29">
        <v>0</v>
      </c>
      <c r="I10" s="29">
        <f t="shared" si="1"/>
        <v>150</v>
      </c>
      <c r="J10" t="s">
        <v>69</v>
      </c>
      <c r="K10" s="30"/>
      <c r="M10">
        <f>IF($A10=Ficha!$B$3,COUNTIF($A$5:$A10,Ficha!$B$3),"")</f>
        <v>6</v>
      </c>
    </row>
    <row r="11" spans="1:13" x14ac:dyDescent="0.3">
      <c r="A11">
        <v>41</v>
      </c>
      <c r="B11" s="30">
        <f>IF(A11="","",IFERROR(INDEX(Maniobras!$B$5:$B$504,MATCH(A11,Maniobras!$A$5:$A$504,0)),""))</f>
        <v>46147</v>
      </c>
      <c r="C11" t="str">
        <f t="shared" si="0"/>
        <v>yyyy-05</v>
      </c>
      <c r="D11" t="str">
        <f>IF(A11="","",IFERROR(INDEX(Maniobras!$D$5:$D$504,MATCH(A11,Maniobras!$A$5:$A$504,0)),""))</f>
        <v>SORGO</v>
      </c>
      <c r="E11" t="s">
        <v>37</v>
      </c>
      <c r="F11" s="29">
        <f>IF(A11="","",IFERROR(INDEX(Maniobras!$K$5:$K$504,MATCH(A11,Maniobras!$A$5:$A$504,0)),""))</f>
        <v>152.85714285714286</v>
      </c>
      <c r="G11" s="29">
        <v>150</v>
      </c>
      <c r="H11" s="29">
        <v>0</v>
      </c>
      <c r="I11" s="29">
        <f t="shared" si="1"/>
        <v>150</v>
      </c>
      <c r="J11" t="s">
        <v>69</v>
      </c>
      <c r="K11" s="30"/>
      <c r="M11">
        <f>IF($A11=Ficha!$B$3,COUNTIF($A$5:$A11,Ficha!$B$3),"")</f>
        <v>7</v>
      </c>
    </row>
    <row r="12" spans="1:13" x14ac:dyDescent="0.3">
      <c r="A12">
        <v>42</v>
      </c>
      <c r="B12" s="30">
        <f>IF(A12="","",IFERROR(INDEX(Maniobras!$B$5:$B$504,MATCH(A12,Maniobras!$A$5:$A$504,0)),""))</f>
        <v>46148</v>
      </c>
      <c r="C12" t="str">
        <f t="shared" si="0"/>
        <v>yyyy-05</v>
      </c>
      <c r="D12" t="str">
        <f>IF(A12="","",IFERROR(INDEX(Maniobras!$D$5:$D$504,MATCH(A12,Maniobras!$A$5:$A$504,0)),""))</f>
        <v>MAIZ</v>
      </c>
      <c r="E12" t="s">
        <v>38</v>
      </c>
      <c r="F12" s="29">
        <f>IF(A12="","",IFERROR(INDEX(Maniobras!$K$5:$K$504,MATCH(A12,Maniobras!$A$5:$A$504,0)),""))</f>
        <v>302.85714285714283</v>
      </c>
      <c r="G12" s="29">
        <v>300</v>
      </c>
      <c r="H12" s="29">
        <v>0</v>
      </c>
      <c r="I12" s="29">
        <f t="shared" si="1"/>
        <v>300</v>
      </c>
      <c r="J12" t="s">
        <v>69</v>
      </c>
      <c r="K12" s="30"/>
      <c r="M12" t="str">
        <f>IF($A12=Ficha!$B$3,COUNTIF($A$5:$A12,Ficha!$B$3),"")</f>
        <v/>
      </c>
    </row>
    <row r="13" spans="1:13" x14ac:dyDescent="0.3">
      <c r="A13">
        <v>42</v>
      </c>
      <c r="B13" s="30">
        <f>IF(A13="","",IFERROR(INDEX(Maniobras!$B$5:$B$504,MATCH(A13,Maniobras!$A$5:$A$504,0)),""))</f>
        <v>46148</v>
      </c>
      <c r="C13" t="str">
        <f t="shared" si="0"/>
        <v>yyyy-05</v>
      </c>
      <c r="D13" t="str">
        <f>IF(A13="","",IFERROR(INDEX(Maniobras!$D$5:$D$504,MATCH(A13,Maniobras!$A$5:$A$504,0)),""))</f>
        <v>MAIZ</v>
      </c>
      <c r="E13" t="s">
        <v>33</v>
      </c>
      <c r="F13" s="29">
        <f>IF(A13="","",IFERROR(INDEX(Maniobras!$K$5:$K$504,MATCH(A13,Maniobras!$A$5:$A$504,0)),""))</f>
        <v>302.85714285714283</v>
      </c>
      <c r="G13" s="29">
        <v>300</v>
      </c>
      <c r="H13" s="29">
        <v>0</v>
      </c>
      <c r="I13" s="29">
        <f t="shared" si="1"/>
        <v>300</v>
      </c>
      <c r="J13" t="s">
        <v>69</v>
      </c>
      <c r="K13" s="30"/>
      <c r="M13" t="str">
        <f>IF($A13=Ficha!$B$3,COUNTIF($A$5:$A13,Ficha!$B$3),"")</f>
        <v/>
      </c>
    </row>
    <row r="14" spans="1:13" x14ac:dyDescent="0.3">
      <c r="A14">
        <v>42</v>
      </c>
      <c r="B14" s="30">
        <f>IF(A14="","",IFERROR(INDEX(Maniobras!$B$5:$B$504,MATCH(A14,Maniobras!$A$5:$A$504,0)),""))</f>
        <v>46148</v>
      </c>
      <c r="C14" t="str">
        <f t="shared" si="0"/>
        <v>yyyy-05</v>
      </c>
      <c r="D14" t="str">
        <f>IF(A14="","",IFERROR(INDEX(Maniobras!$D$5:$D$504,MATCH(A14,Maniobras!$A$5:$A$504,0)),""))</f>
        <v>MAIZ</v>
      </c>
      <c r="E14" t="s">
        <v>39</v>
      </c>
      <c r="F14" s="29">
        <f>IF(A14="","",IFERROR(INDEX(Maniobras!$K$5:$K$504,MATCH(A14,Maniobras!$A$5:$A$504,0)),""))</f>
        <v>302.85714285714283</v>
      </c>
      <c r="G14" s="29">
        <v>300</v>
      </c>
      <c r="H14" s="29">
        <v>0</v>
      </c>
      <c r="I14" s="29">
        <f t="shared" si="1"/>
        <v>300</v>
      </c>
      <c r="J14" t="s">
        <v>69</v>
      </c>
      <c r="K14" s="30"/>
      <c r="M14" t="str">
        <f>IF($A14=Ficha!$B$3,COUNTIF($A$5:$A14,Ficha!$B$3),"")</f>
        <v/>
      </c>
    </row>
    <row r="15" spans="1:13" x14ac:dyDescent="0.3">
      <c r="A15">
        <v>42</v>
      </c>
      <c r="B15" s="30">
        <f>IF(A15="","",IFERROR(INDEX(Maniobras!$B$5:$B$504,MATCH(A15,Maniobras!$A$5:$A$504,0)),""))</f>
        <v>46148</v>
      </c>
      <c r="C15" t="str">
        <f t="shared" si="0"/>
        <v>yyyy-05</v>
      </c>
      <c r="D15" t="str">
        <f>IF(A15="","",IFERROR(INDEX(Maniobras!$D$5:$D$504,MATCH(A15,Maniobras!$A$5:$A$504,0)),""))</f>
        <v>MAIZ</v>
      </c>
      <c r="E15" t="s">
        <v>32</v>
      </c>
      <c r="F15" s="29">
        <f>IF(A15="","",IFERROR(INDEX(Maniobras!$K$5:$K$504,MATCH(A15,Maniobras!$A$5:$A$504,0)),""))</f>
        <v>302.85714285714283</v>
      </c>
      <c r="G15" s="29">
        <v>300</v>
      </c>
      <c r="H15" s="29">
        <v>0</v>
      </c>
      <c r="I15" s="29">
        <f t="shared" si="1"/>
        <v>300</v>
      </c>
      <c r="J15" t="s">
        <v>69</v>
      </c>
      <c r="K15" s="30"/>
      <c r="M15" t="str">
        <f>IF($A15=Ficha!$B$3,COUNTIF($A$5:$A15,Ficha!$B$3),"")</f>
        <v/>
      </c>
    </row>
    <row r="16" spans="1:13" x14ac:dyDescent="0.3">
      <c r="A16">
        <v>42</v>
      </c>
      <c r="B16" s="30">
        <f>IF(A16="","",IFERROR(INDEX(Maniobras!$B$5:$B$504,MATCH(A16,Maniobras!$A$5:$A$504,0)),""))</f>
        <v>46148</v>
      </c>
      <c r="C16" t="str">
        <f t="shared" si="0"/>
        <v>yyyy-05</v>
      </c>
      <c r="D16" t="str">
        <f>IF(A16="","",IFERROR(INDEX(Maniobras!$D$5:$D$504,MATCH(A16,Maniobras!$A$5:$A$504,0)),""))</f>
        <v>MAIZ</v>
      </c>
      <c r="E16" t="s">
        <v>34</v>
      </c>
      <c r="F16" s="29">
        <f>IF(A16="","",IFERROR(INDEX(Maniobras!$K$5:$K$504,MATCH(A16,Maniobras!$A$5:$A$504,0)),""))</f>
        <v>302.85714285714283</v>
      </c>
      <c r="G16" s="29">
        <v>300</v>
      </c>
      <c r="H16" s="29">
        <v>0</v>
      </c>
      <c r="I16" s="29">
        <f t="shared" si="1"/>
        <v>300</v>
      </c>
      <c r="J16" t="s">
        <v>69</v>
      </c>
      <c r="K16" s="30"/>
      <c r="M16" t="str">
        <f>IF($A16=Ficha!$B$3,COUNTIF($A$5:$A16,Ficha!$B$3),"")</f>
        <v/>
      </c>
    </row>
    <row r="17" spans="1:13" x14ac:dyDescent="0.3">
      <c r="A17">
        <v>42</v>
      </c>
      <c r="B17" s="30">
        <f>IF(A17="","",IFERROR(INDEX(Maniobras!$B$5:$B$504,MATCH(A17,Maniobras!$A$5:$A$504,0)),""))</f>
        <v>46148</v>
      </c>
      <c r="C17" t="str">
        <f t="shared" si="0"/>
        <v>yyyy-05</v>
      </c>
      <c r="D17" t="str">
        <f>IF(A17="","",IFERROR(INDEX(Maniobras!$D$5:$D$504,MATCH(A17,Maniobras!$A$5:$A$504,0)),""))</f>
        <v>MAIZ</v>
      </c>
      <c r="E17" t="s">
        <v>37</v>
      </c>
      <c r="F17" s="29">
        <f>IF(A17="","",IFERROR(INDEX(Maniobras!$K$5:$K$504,MATCH(A17,Maniobras!$A$5:$A$504,0)),""))</f>
        <v>302.85714285714283</v>
      </c>
      <c r="G17" s="29">
        <v>300</v>
      </c>
      <c r="H17" s="29">
        <v>0</v>
      </c>
      <c r="I17" s="29">
        <f t="shared" si="1"/>
        <v>300</v>
      </c>
      <c r="J17" t="s">
        <v>69</v>
      </c>
      <c r="K17" s="30"/>
      <c r="M17" t="str">
        <f>IF($A17=Ficha!$B$3,COUNTIF($A$5:$A17,Ficha!$B$3),"")</f>
        <v/>
      </c>
    </row>
    <row r="18" spans="1:13" x14ac:dyDescent="0.3">
      <c r="A18">
        <v>42</v>
      </c>
      <c r="B18" s="30">
        <f>IF(A18="","",IFERROR(INDEX(Maniobras!$B$5:$B$504,MATCH(A18,Maniobras!$A$5:$A$504,0)),""))</f>
        <v>46148</v>
      </c>
      <c r="C18" t="str">
        <f t="shared" si="0"/>
        <v>yyyy-05</v>
      </c>
      <c r="D18" t="str">
        <f>IF(A18="","",IFERROR(INDEX(Maniobras!$D$5:$D$504,MATCH(A18,Maniobras!$A$5:$A$504,0)),""))</f>
        <v>MAIZ</v>
      </c>
      <c r="E18" t="s">
        <v>40</v>
      </c>
      <c r="F18" s="29">
        <f>IF(A18="","",IFERROR(INDEX(Maniobras!$K$5:$K$504,MATCH(A18,Maniobras!$A$5:$A$504,0)),""))</f>
        <v>302.85714285714283</v>
      </c>
      <c r="G18" s="29">
        <v>300</v>
      </c>
      <c r="H18" s="29">
        <v>0</v>
      </c>
      <c r="I18" s="29">
        <f t="shared" si="1"/>
        <v>300</v>
      </c>
      <c r="J18" t="s">
        <v>69</v>
      </c>
      <c r="K18" s="30"/>
      <c r="M18" t="str">
        <f>IF($A18=Ficha!$B$3,COUNTIF($A$5:$A18,Ficha!$B$3),"")</f>
        <v/>
      </c>
    </row>
    <row r="19" spans="1:13" x14ac:dyDescent="0.3">
      <c r="B19" s="30" t="str">
        <f>IF(A19="","",IFERROR(INDEX(Maniobras!$B$5:$B$504,MATCH(A19,Maniobras!$A$5:$A$504,0)),""))</f>
        <v/>
      </c>
      <c r="C19" t="str">
        <f t="shared" si="0"/>
        <v/>
      </c>
      <c r="D19" t="str">
        <f>IF(A19="","",IFERROR(INDEX(Maniobras!$D$5:$D$504,MATCH(A19,Maniobras!$A$5:$A$504,0)),""))</f>
        <v/>
      </c>
      <c r="F19" s="29" t="str">
        <f>IF(A19="","",IFERROR(INDEX(Maniobras!$K$5:$K$504,MATCH(A19,Maniobras!$A$5:$A$504,0)),""))</f>
        <v/>
      </c>
      <c r="G19" s="29"/>
      <c r="H19" s="29"/>
      <c r="I19" s="29" t="str">
        <f t="shared" si="1"/>
        <v/>
      </c>
      <c r="K19" s="30"/>
      <c r="M19" t="str">
        <f>IF($A19=Ficha!$B$3,COUNTIF($A$5:$A19,Ficha!$B$3),"")</f>
        <v/>
      </c>
    </row>
    <row r="20" spans="1:13" x14ac:dyDescent="0.3">
      <c r="B20" s="30" t="str">
        <f>IF(A20="","",IFERROR(INDEX(Maniobras!$B$5:$B$504,MATCH(A20,Maniobras!$A$5:$A$504,0)),""))</f>
        <v/>
      </c>
      <c r="C20" t="str">
        <f t="shared" si="0"/>
        <v/>
      </c>
      <c r="D20" t="str">
        <f>IF(A20="","",IFERROR(INDEX(Maniobras!$D$5:$D$504,MATCH(A20,Maniobras!$A$5:$A$504,0)),""))</f>
        <v/>
      </c>
      <c r="F20" s="29" t="str">
        <f>IF(A20="","",IFERROR(INDEX(Maniobras!$K$5:$K$504,MATCH(A20,Maniobras!$A$5:$A$504,0)),""))</f>
        <v/>
      </c>
      <c r="G20" s="29"/>
      <c r="H20" s="29"/>
      <c r="I20" s="29" t="str">
        <f t="shared" si="1"/>
        <v/>
      </c>
      <c r="K20" s="30"/>
      <c r="M20" t="str">
        <f>IF($A20=Ficha!$B$3,COUNTIF($A$5:$A20,Ficha!$B$3),"")</f>
        <v/>
      </c>
    </row>
    <row r="21" spans="1:13" x14ac:dyDescent="0.3">
      <c r="B21" s="30" t="str">
        <f>IF(A21="","",IFERROR(INDEX(Maniobras!$B$5:$B$504,MATCH(A21,Maniobras!$A$5:$A$504,0)),""))</f>
        <v/>
      </c>
      <c r="C21" t="str">
        <f t="shared" si="0"/>
        <v/>
      </c>
      <c r="D21" t="str">
        <f>IF(A21="","",IFERROR(INDEX(Maniobras!$D$5:$D$504,MATCH(A21,Maniobras!$A$5:$A$504,0)),""))</f>
        <v/>
      </c>
      <c r="F21" s="29" t="str">
        <f>IF(A21="","",IFERROR(INDEX(Maniobras!$K$5:$K$504,MATCH(A21,Maniobras!$A$5:$A$504,0)),""))</f>
        <v/>
      </c>
      <c r="G21" s="29"/>
      <c r="H21" s="29"/>
      <c r="I21" s="29" t="str">
        <f t="shared" si="1"/>
        <v/>
      </c>
      <c r="K21" s="30"/>
      <c r="M21" t="str">
        <f>IF($A21=Ficha!$B$3,COUNTIF($A$5:$A21,Ficha!$B$3),"")</f>
        <v/>
      </c>
    </row>
    <row r="22" spans="1:13" x14ac:dyDescent="0.3">
      <c r="B22" s="30" t="str">
        <f>IF(A22="","",IFERROR(INDEX(Maniobras!$B$5:$B$504,MATCH(A22,Maniobras!$A$5:$A$504,0)),""))</f>
        <v/>
      </c>
      <c r="C22" t="str">
        <f t="shared" si="0"/>
        <v/>
      </c>
      <c r="D22" t="str">
        <f>IF(A22="","",IFERROR(INDEX(Maniobras!$D$5:$D$504,MATCH(A22,Maniobras!$A$5:$A$504,0)),""))</f>
        <v/>
      </c>
      <c r="F22" s="29" t="str">
        <f>IF(A22="","",IFERROR(INDEX(Maniobras!$K$5:$K$504,MATCH(A22,Maniobras!$A$5:$A$504,0)),""))</f>
        <v/>
      </c>
      <c r="G22" s="29"/>
      <c r="H22" s="29"/>
      <c r="I22" s="29" t="str">
        <f t="shared" si="1"/>
        <v/>
      </c>
      <c r="K22" s="30"/>
      <c r="M22" t="str">
        <f>IF($A22=Ficha!$B$3,COUNTIF($A$5:$A22,Ficha!$B$3),"")</f>
        <v/>
      </c>
    </row>
    <row r="23" spans="1:13" x14ac:dyDescent="0.3">
      <c r="B23" s="30" t="str">
        <f>IF(A23="","",IFERROR(INDEX(Maniobras!$B$5:$B$504,MATCH(A23,Maniobras!$A$5:$A$504,0)),""))</f>
        <v/>
      </c>
      <c r="C23" t="str">
        <f t="shared" si="0"/>
        <v/>
      </c>
      <c r="D23" t="str">
        <f>IF(A23="","",IFERROR(INDEX(Maniobras!$D$5:$D$504,MATCH(A23,Maniobras!$A$5:$A$504,0)),""))</f>
        <v/>
      </c>
      <c r="F23" s="29" t="str">
        <f>IF(A23="","",IFERROR(INDEX(Maniobras!$K$5:$K$504,MATCH(A23,Maniobras!$A$5:$A$504,0)),""))</f>
        <v/>
      </c>
      <c r="G23" s="29"/>
      <c r="H23" s="29"/>
      <c r="I23" s="29" t="str">
        <f t="shared" si="1"/>
        <v/>
      </c>
      <c r="K23" s="30"/>
      <c r="M23" t="str">
        <f>IF($A23=Ficha!$B$3,COUNTIF($A$5:$A23,Ficha!$B$3),"")</f>
        <v/>
      </c>
    </row>
    <row r="24" spans="1:13" x14ac:dyDescent="0.3">
      <c r="B24" s="30" t="str">
        <f>IF(A24="","",IFERROR(INDEX(Maniobras!$B$5:$B$504,MATCH(A24,Maniobras!$A$5:$A$504,0)),""))</f>
        <v/>
      </c>
      <c r="C24" t="str">
        <f t="shared" si="0"/>
        <v/>
      </c>
      <c r="D24" t="str">
        <f>IF(A24="","",IFERROR(INDEX(Maniobras!$D$5:$D$504,MATCH(A24,Maniobras!$A$5:$A$504,0)),""))</f>
        <v/>
      </c>
      <c r="F24" s="29" t="str">
        <f>IF(A24="","",IFERROR(INDEX(Maniobras!$K$5:$K$504,MATCH(A24,Maniobras!$A$5:$A$504,0)),""))</f>
        <v/>
      </c>
      <c r="G24" s="29"/>
      <c r="H24" s="29"/>
      <c r="I24" s="29" t="str">
        <f t="shared" si="1"/>
        <v/>
      </c>
      <c r="K24" s="30"/>
      <c r="M24" t="str">
        <f>IF($A24=Ficha!$B$3,COUNTIF($A$5:$A24,Ficha!$B$3),"")</f>
        <v/>
      </c>
    </row>
    <row r="25" spans="1:13" x14ac:dyDescent="0.3">
      <c r="B25" s="30" t="str">
        <f>IF(A25="","",IFERROR(INDEX(Maniobras!$B$5:$B$504,MATCH(A25,Maniobras!$A$5:$A$504,0)),""))</f>
        <v/>
      </c>
      <c r="C25" t="str">
        <f t="shared" si="0"/>
        <v/>
      </c>
      <c r="D25" t="str">
        <f>IF(A25="","",IFERROR(INDEX(Maniobras!$D$5:$D$504,MATCH(A25,Maniobras!$A$5:$A$504,0)),""))</f>
        <v/>
      </c>
      <c r="F25" s="29" t="str">
        <f>IF(A25="","",IFERROR(INDEX(Maniobras!$K$5:$K$504,MATCH(A25,Maniobras!$A$5:$A$504,0)),""))</f>
        <v/>
      </c>
      <c r="G25" s="29"/>
      <c r="H25" s="29"/>
      <c r="I25" s="29" t="str">
        <f t="shared" si="1"/>
        <v/>
      </c>
      <c r="K25" s="30"/>
      <c r="M25" t="str">
        <f>IF($A25=Ficha!$B$3,COUNTIF($A$5:$A25,Ficha!$B$3),"")</f>
        <v/>
      </c>
    </row>
    <row r="26" spans="1:13" x14ac:dyDescent="0.3">
      <c r="B26" s="30" t="str">
        <f>IF(A26="","",IFERROR(INDEX(Maniobras!$B$5:$B$504,MATCH(A26,Maniobras!$A$5:$A$504,0)),""))</f>
        <v/>
      </c>
      <c r="C26" t="str">
        <f t="shared" si="0"/>
        <v/>
      </c>
      <c r="D26" t="str">
        <f>IF(A26="","",IFERROR(INDEX(Maniobras!$D$5:$D$504,MATCH(A26,Maniobras!$A$5:$A$504,0)),""))</f>
        <v/>
      </c>
      <c r="F26" s="29" t="str">
        <f>IF(A26="","",IFERROR(INDEX(Maniobras!$K$5:$K$504,MATCH(A26,Maniobras!$A$5:$A$504,0)),""))</f>
        <v/>
      </c>
      <c r="G26" s="29"/>
      <c r="H26" s="29"/>
      <c r="I26" s="29" t="str">
        <f t="shared" si="1"/>
        <v/>
      </c>
      <c r="K26" s="30"/>
      <c r="M26" t="str">
        <f>IF($A26=Ficha!$B$3,COUNTIF($A$5:$A26,Ficha!$B$3),"")</f>
        <v/>
      </c>
    </row>
    <row r="27" spans="1:13" x14ac:dyDescent="0.3">
      <c r="B27" s="30" t="str">
        <f>IF(A27="","",IFERROR(INDEX(Maniobras!$B$5:$B$504,MATCH(A27,Maniobras!$A$5:$A$504,0)),""))</f>
        <v/>
      </c>
      <c r="C27" t="str">
        <f t="shared" si="0"/>
        <v/>
      </c>
      <c r="D27" t="str">
        <f>IF(A27="","",IFERROR(INDEX(Maniobras!$D$5:$D$504,MATCH(A27,Maniobras!$A$5:$A$504,0)),""))</f>
        <v/>
      </c>
      <c r="F27" s="29" t="str">
        <f>IF(A27="","",IFERROR(INDEX(Maniobras!$K$5:$K$504,MATCH(A27,Maniobras!$A$5:$A$504,0)),""))</f>
        <v/>
      </c>
      <c r="G27" s="29"/>
      <c r="H27" s="29"/>
      <c r="I27" s="29" t="str">
        <f t="shared" si="1"/>
        <v/>
      </c>
      <c r="K27" s="30"/>
      <c r="M27" t="str">
        <f>IF($A27=Ficha!$B$3,COUNTIF($A$5:$A27,Ficha!$B$3),"")</f>
        <v/>
      </c>
    </row>
    <row r="28" spans="1:13" x14ac:dyDescent="0.3">
      <c r="B28" s="30" t="str">
        <f>IF(A28="","",IFERROR(INDEX(Maniobras!$B$5:$B$504,MATCH(A28,Maniobras!$A$5:$A$504,0)),""))</f>
        <v/>
      </c>
      <c r="C28" t="str">
        <f t="shared" si="0"/>
        <v/>
      </c>
      <c r="D28" t="str">
        <f>IF(A28="","",IFERROR(INDEX(Maniobras!$D$5:$D$504,MATCH(A28,Maniobras!$A$5:$A$504,0)),""))</f>
        <v/>
      </c>
      <c r="F28" s="29" t="str">
        <f>IF(A28="","",IFERROR(INDEX(Maniobras!$K$5:$K$504,MATCH(A28,Maniobras!$A$5:$A$504,0)),""))</f>
        <v/>
      </c>
      <c r="G28" s="29"/>
      <c r="H28" s="29"/>
      <c r="I28" s="29" t="str">
        <f t="shared" si="1"/>
        <v/>
      </c>
      <c r="K28" s="30"/>
      <c r="M28" t="str">
        <f>IF($A28=Ficha!$B$3,COUNTIF($A$5:$A28,Ficha!$B$3),"")</f>
        <v/>
      </c>
    </row>
    <row r="29" spans="1:13" x14ac:dyDescent="0.3">
      <c r="B29" s="30" t="str">
        <f>IF(A29="","",IFERROR(INDEX(Maniobras!$B$5:$B$504,MATCH(A29,Maniobras!$A$5:$A$504,0)),""))</f>
        <v/>
      </c>
      <c r="C29" t="str">
        <f t="shared" si="0"/>
        <v/>
      </c>
      <c r="D29" t="str">
        <f>IF(A29="","",IFERROR(INDEX(Maniobras!$D$5:$D$504,MATCH(A29,Maniobras!$A$5:$A$504,0)),""))</f>
        <v/>
      </c>
      <c r="F29" s="29" t="str">
        <f>IF(A29="","",IFERROR(INDEX(Maniobras!$K$5:$K$504,MATCH(A29,Maniobras!$A$5:$A$504,0)),""))</f>
        <v/>
      </c>
      <c r="G29" s="29"/>
      <c r="H29" s="29"/>
      <c r="I29" s="29" t="str">
        <f t="shared" si="1"/>
        <v/>
      </c>
      <c r="K29" s="30"/>
      <c r="M29" t="str">
        <f>IF($A29=Ficha!$B$3,COUNTIF($A$5:$A29,Ficha!$B$3),"")</f>
        <v/>
      </c>
    </row>
    <row r="30" spans="1:13" x14ac:dyDescent="0.3">
      <c r="B30" s="30" t="str">
        <f>IF(A30="","",IFERROR(INDEX(Maniobras!$B$5:$B$504,MATCH(A30,Maniobras!$A$5:$A$504,0)),""))</f>
        <v/>
      </c>
      <c r="C30" t="str">
        <f t="shared" si="0"/>
        <v/>
      </c>
      <c r="D30" t="str">
        <f>IF(A30="","",IFERROR(INDEX(Maniobras!$D$5:$D$504,MATCH(A30,Maniobras!$A$5:$A$504,0)),""))</f>
        <v/>
      </c>
      <c r="F30" s="29" t="str">
        <f>IF(A30="","",IFERROR(INDEX(Maniobras!$K$5:$K$504,MATCH(A30,Maniobras!$A$5:$A$504,0)),""))</f>
        <v/>
      </c>
      <c r="G30" s="29"/>
      <c r="H30" s="29"/>
      <c r="I30" s="29" t="str">
        <f t="shared" si="1"/>
        <v/>
      </c>
      <c r="K30" s="30"/>
      <c r="M30" t="str">
        <f>IF($A30=Ficha!$B$3,COUNTIF($A$5:$A30,Ficha!$B$3),"")</f>
        <v/>
      </c>
    </row>
    <row r="31" spans="1:13" x14ac:dyDescent="0.3">
      <c r="B31" s="30" t="str">
        <f>IF(A31="","",IFERROR(INDEX(Maniobras!$B$5:$B$504,MATCH(A31,Maniobras!$A$5:$A$504,0)),""))</f>
        <v/>
      </c>
      <c r="C31" t="str">
        <f t="shared" si="0"/>
        <v/>
      </c>
      <c r="D31" t="str">
        <f>IF(A31="","",IFERROR(INDEX(Maniobras!$D$5:$D$504,MATCH(A31,Maniobras!$A$5:$A$504,0)),""))</f>
        <v/>
      </c>
      <c r="F31" s="29" t="str">
        <f>IF(A31="","",IFERROR(INDEX(Maniobras!$K$5:$K$504,MATCH(A31,Maniobras!$A$5:$A$504,0)),""))</f>
        <v/>
      </c>
      <c r="G31" s="29"/>
      <c r="H31" s="29"/>
      <c r="I31" s="29" t="str">
        <f t="shared" si="1"/>
        <v/>
      </c>
      <c r="K31" s="30"/>
      <c r="M31" t="str">
        <f>IF($A31=Ficha!$B$3,COUNTIF($A$5:$A31,Ficha!$B$3),"")</f>
        <v/>
      </c>
    </row>
    <row r="32" spans="1:13" x14ac:dyDescent="0.3">
      <c r="B32" s="30" t="str">
        <f>IF(A32="","",IFERROR(INDEX(Maniobras!$B$5:$B$504,MATCH(A32,Maniobras!$A$5:$A$504,0)),""))</f>
        <v/>
      </c>
      <c r="C32" t="str">
        <f t="shared" si="0"/>
        <v/>
      </c>
      <c r="D32" t="str">
        <f>IF(A32="","",IFERROR(INDEX(Maniobras!$D$5:$D$504,MATCH(A32,Maniobras!$A$5:$A$504,0)),""))</f>
        <v/>
      </c>
      <c r="F32" s="29" t="str">
        <f>IF(A32="","",IFERROR(INDEX(Maniobras!$K$5:$K$504,MATCH(A32,Maniobras!$A$5:$A$504,0)),""))</f>
        <v/>
      </c>
      <c r="G32" s="29"/>
      <c r="H32" s="29"/>
      <c r="I32" s="29" t="str">
        <f t="shared" si="1"/>
        <v/>
      </c>
      <c r="K32" s="30"/>
      <c r="M32" t="str">
        <f>IF($A32=Ficha!$B$3,COUNTIF($A$5:$A32,Ficha!$B$3),"")</f>
        <v/>
      </c>
    </row>
    <row r="33" spans="2:13" x14ac:dyDescent="0.3">
      <c r="B33" s="30" t="str">
        <f>IF(A33="","",IFERROR(INDEX(Maniobras!$B$5:$B$504,MATCH(A33,Maniobras!$A$5:$A$504,0)),""))</f>
        <v/>
      </c>
      <c r="C33" t="str">
        <f t="shared" si="0"/>
        <v/>
      </c>
      <c r="D33" t="str">
        <f>IF(A33="","",IFERROR(INDEX(Maniobras!$D$5:$D$504,MATCH(A33,Maniobras!$A$5:$A$504,0)),""))</f>
        <v/>
      </c>
      <c r="F33" s="29" t="str">
        <f>IF(A33="","",IFERROR(INDEX(Maniobras!$K$5:$K$504,MATCH(A33,Maniobras!$A$5:$A$504,0)),""))</f>
        <v/>
      </c>
      <c r="G33" s="29"/>
      <c r="H33" s="29"/>
      <c r="I33" s="29" t="str">
        <f t="shared" si="1"/>
        <v/>
      </c>
      <c r="K33" s="30"/>
      <c r="M33" t="str">
        <f>IF($A33=Ficha!$B$3,COUNTIF($A$5:$A33,Ficha!$B$3),"")</f>
        <v/>
      </c>
    </row>
    <row r="34" spans="2:13" x14ac:dyDescent="0.3">
      <c r="B34" s="30" t="str">
        <f>IF(A34="","",IFERROR(INDEX(Maniobras!$B$5:$B$504,MATCH(A34,Maniobras!$A$5:$A$504,0)),""))</f>
        <v/>
      </c>
      <c r="C34" t="str">
        <f t="shared" si="0"/>
        <v/>
      </c>
      <c r="D34" t="str">
        <f>IF(A34="","",IFERROR(INDEX(Maniobras!$D$5:$D$504,MATCH(A34,Maniobras!$A$5:$A$504,0)),""))</f>
        <v/>
      </c>
      <c r="F34" s="29" t="str">
        <f>IF(A34="","",IFERROR(INDEX(Maniobras!$K$5:$K$504,MATCH(A34,Maniobras!$A$5:$A$504,0)),""))</f>
        <v/>
      </c>
      <c r="G34" s="29"/>
      <c r="H34" s="29"/>
      <c r="I34" s="29" t="str">
        <f t="shared" si="1"/>
        <v/>
      </c>
      <c r="K34" s="30"/>
      <c r="M34" t="str">
        <f>IF($A34=Ficha!$B$3,COUNTIF($A$5:$A34,Ficha!$B$3),"")</f>
        <v/>
      </c>
    </row>
    <row r="35" spans="2:13" x14ac:dyDescent="0.3">
      <c r="B35" s="30" t="str">
        <f>IF(A35="","",IFERROR(INDEX(Maniobras!$B$5:$B$504,MATCH(A35,Maniobras!$A$5:$A$504,0)),""))</f>
        <v/>
      </c>
      <c r="C35" t="str">
        <f t="shared" si="0"/>
        <v/>
      </c>
      <c r="D35" t="str">
        <f>IF(A35="","",IFERROR(INDEX(Maniobras!$D$5:$D$504,MATCH(A35,Maniobras!$A$5:$A$504,0)),""))</f>
        <v/>
      </c>
      <c r="F35" s="29" t="str">
        <f>IF(A35="","",IFERROR(INDEX(Maniobras!$K$5:$K$504,MATCH(A35,Maniobras!$A$5:$A$504,0)),""))</f>
        <v/>
      </c>
      <c r="G35" s="29"/>
      <c r="H35" s="29"/>
      <c r="I35" s="29" t="str">
        <f t="shared" si="1"/>
        <v/>
      </c>
      <c r="K35" s="30"/>
      <c r="M35" t="str">
        <f>IF($A35=Ficha!$B$3,COUNTIF($A$5:$A35,Ficha!$B$3),"")</f>
        <v/>
      </c>
    </row>
    <row r="36" spans="2:13" x14ac:dyDescent="0.3">
      <c r="B36" s="30" t="str">
        <f>IF(A36="","",IFERROR(INDEX(Maniobras!$B$5:$B$504,MATCH(A36,Maniobras!$A$5:$A$504,0)),""))</f>
        <v/>
      </c>
      <c r="C36" t="str">
        <f t="shared" si="0"/>
        <v/>
      </c>
      <c r="D36" t="str">
        <f>IF(A36="","",IFERROR(INDEX(Maniobras!$D$5:$D$504,MATCH(A36,Maniobras!$A$5:$A$504,0)),""))</f>
        <v/>
      </c>
      <c r="F36" s="29" t="str">
        <f>IF(A36="","",IFERROR(INDEX(Maniobras!$K$5:$K$504,MATCH(A36,Maniobras!$A$5:$A$504,0)),""))</f>
        <v/>
      </c>
      <c r="G36" s="29"/>
      <c r="H36" s="29"/>
      <c r="I36" s="29" t="str">
        <f t="shared" si="1"/>
        <v/>
      </c>
      <c r="K36" s="30"/>
      <c r="M36" t="str">
        <f>IF($A36=Ficha!$B$3,COUNTIF($A$5:$A36,Ficha!$B$3),"")</f>
        <v/>
      </c>
    </row>
    <row r="37" spans="2:13" x14ac:dyDescent="0.3">
      <c r="B37" s="30" t="str">
        <f>IF(A37="","",IFERROR(INDEX(Maniobras!$B$5:$B$504,MATCH(A37,Maniobras!$A$5:$A$504,0)),""))</f>
        <v/>
      </c>
      <c r="C37" t="str">
        <f t="shared" si="0"/>
        <v/>
      </c>
      <c r="D37" t="str">
        <f>IF(A37="","",IFERROR(INDEX(Maniobras!$D$5:$D$504,MATCH(A37,Maniobras!$A$5:$A$504,0)),""))</f>
        <v/>
      </c>
      <c r="F37" s="29" t="str">
        <f>IF(A37="","",IFERROR(INDEX(Maniobras!$K$5:$K$504,MATCH(A37,Maniobras!$A$5:$A$504,0)),""))</f>
        <v/>
      </c>
      <c r="G37" s="29"/>
      <c r="H37" s="29"/>
      <c r="I37" s="29" t="str">
        <f t="shared" si="1"/>
        <v/>
      </c>
      <c r="K37" s="30"/>
      <c r="M37" t="str">
        <f>IF($A37=Ficha!$B$3,COUNTIF($A$5:$A37,Ficha!$B$3),"")</f>
        <v/>
      </c>
    </row>
    <row r="38" spans="2:13" x14ac:dyDescent="0.3">
      <c r="B38" s="30" t="str">
        <f>IF(A38="","",IFERROR(INDEX(Maniobras!$B$5:$B$504,MATCH(A38,Maniobras!$A$5:$A$504,0)),""))</f>
        <v/>
      </c>
      <c r="C38" t="str">
        <f t="shared" si="0"/>
        <v/>
      </c>
      <c r="D38" t="str">
        <f>IF(A38="","",IFERROR(INDEX(Maniobras!$D$5:$D$504,MATCH(A38,Maniobras!$A$5:$A$504,0)),""))</f>
        <v/>
      </c>
      <c r="F38" s="29" t="str">
        <f>IF(A38="","",IFERROR(INDEX(Maniobras!$K$5:$K$504,MATCH(A38,Maniobras!$A$5:$A$504,0)),""))</f>
        <v/>
      </c>
      <c r="G38" s="29"/>
      <c r="H38" s="29"/>
      <c r="I38" s="29" t="str">
        <f t="shared" si="1"/>
        <v/>
      </c>
      <c r="K38" s="30"/>
      <c r="M38" t="str">
        <f>IF($A38=Ficha!$B$3,COUNTIF($A$5:$A38,Ficha!$B$3),"")</f>
        <v/>
      </c>
    </row>
    <row r="39" spans="2:13" x14ac:dyDescent="0.3">
      <c r="B39" s="30" t="str">
        <f>IF(A39="","",IFERROR(INDEX(Maniobras!$B$5:$B$504,MATCH(A39,Maniobras!$A$5:$A$504,0)),""))</f>
        <v/>
      </c>
      <c r="C39" t="str">
        <f t="shared" si="0"/>
        <v/>
      </c>
      <c r="D39" t="str">
        <f>IF(A39="","",IFERROR(INDEX(Maniobras!$D$5:$D$504,MATCH(A39,Maniobras!$A$5:$A$504,0)),""))</f>
        <v/>
      </c>
      <c r="F39" s="29" t="str">
        <f>IF(A39="","",IFERROR(INDEX(Maniobras!$K$5:$K$504,MATCH(A39,Maniobras!$A$5:$A$504,0)),""))</f>
        <v/>
      </c>
      <c r="G39" s="29"/>
      <c r="H39" s="29"/>
      <c r="I39" s="29" t="str">
        <f t="shared" si="1"/>
        <v/>
      </c>
      <c r="K39" s="30"/>
      <c r="M39" t="str">
        <f>IF($A39=Ficha!$B$3,COUNTIF($A$5:$A39,Ficha!$B$3),"")</f>
        <v/>
      </c>
    </row>
    <row r="40" spans="2:13" x14ac:dyDescent="0.3">
      <c r="B40" s="30" t="str">
        <f>IF(A40="","",IFERROR(INDEX(Maniobras!$B$5:$B$504,MATCH(A40,Maniobras!$A$5:$A$504,0)),""))</f>
        <v/>
      </c>
      <c r="C40" t="str">
        <f t="shared" si="0"/>
        <v/>
      </c>
      <c r="D40" t="str">
        <f>IF(A40="","",IFERROR(INDEX(Maniobras!$D$5:$D$504,MATCH(A40,Maniobras!$A$5:$A$504,0)),""))</f>
        <v/>
      </c>
      <c r="F40" s="29" t="str">
        <f>IF(A40="","",IFERROR(INDEX(Maniobras!$K$5:$K$504,MATCH(A40,Maniobras!$A$5:$A$504,0)),""))</f>
        <v/>
      </c>
      <c r="G40" s="29"/>
      <c r="H40" s="29"/>
      <c r="I40" s="29" t="str">
        <f t="shared" si="1"/>
        <v/>
      </c>
      <c r="K40" s="30"/>
      <c r="M40" t="str">
        <f>IF($A40=Ficha!$B$3,COUNTIF($A$5:$A40,Ficha!$B$3),"")</f>
        <v/>
      </c>
    </row>
    <row r="41" spans="2:13" x14ac:dyDescent="0.3">
      <c r="B41" s="30" t="str">
        <f>IF(A41="","",IFERROR(INDEX(Maniobras!$B$5:$B$504,MATCH(A41,Maniobras!$A$5:$A$504,0)),""))</f>
        <v/>
      </c>
      <c r="C41" t="str">
        <f t="shared" si="0"/>
        <v/>
      </c>
      <c r="D41" t="str">
        <f>IF(A41="","",IFERROR(INDEX(Maniobras!$D$5:$D$504,MATCH(A41,Maniobras!$A$5:$A$504,0)),""))</f>
        <v/>
      </c>
      <c r="F41" s="29" t="str">
        <f>IF(A41="","",IFERROR(INDEX(Maniobras!$K$5:$K$504,MATCH(A41,Maniobras!$A$5:$A$504,0)),""))</f>
        <v/>
      </c>
      <c r="G41" s="29"/>
      <c r="H41" s="29"/>
      <c r="I41" s="29" t="str">
        <f t="shared" si="1"/>
        <v/>
      </c>
      <c r="K41" s="30"/>
      <c r="M41" t="str">
        <f>IF($A41=Ficha!$B$3,COUNTIF($A$5:$A41,Ficha!$B$3),"")</f>
        <v/>
      </c>
    </row>
    <row r="42" spans="2:13" x14ac:dyDescent="0.3">
      <c r="B42" s="30" t="str">
        <f>IF(A42="","",IFERROR(INDEX(Maniobras!$B$5:$B$504,MATCH(A42,Maniobras!$A$5:$A$504,0)),""))</f>
        <v/>
      </c>
      <c r="C42" t="str">
        <f t="shared" si="0"/>
        <v/>
      </c>
      <c r="D42" t="str">
        <f>IF(A42="","",IFERROR(INDEX(Maniobras!$D$5:$D$504,MATCH(A42,Maniobras!$A$5:$A$504,0)),""))</f>
        <v/>
      </c>
      <c r="F42" s="29" t="str">
        <f>IF(A42="","",IFERROR(INDEX(Maniobras!$K$5:$K$504,MATCH(A42,Maniobras!$A$5:$A$504,0)),""))</f>
        <v/>
      </c>
      <c r="G42" s="29"/>
      <c r="H42" s="29"/>
      <c r="I42" s="29" t="str">
        <f t="shared" si="1"/>
        <v/>
      </c>
      <c r="K42" s="30"/>
      <c r="M42" t="str">
        <f>IF($A42=Ficha!$B$3,COUNTIF($A$5:$A42,Ficha!$B$3),"")</f>
        <v/>
      </c>
    </row>
    <row r="43" spans="2:13" x14ac:dyDescent="0.3">
      <c r="B43" s="30" t="str">
        <f>IF(A43="","",IFERROR(INDEX(Maniobras!$B$5:$B$504,MATCH(A43,Maniobras!$A$5:$A$504,0)),""))</f>
        <v/>
      </c>
      <c r="C43" t="str">
        <f t="shared" si="0"/>
        <v/>
      </c>
      <c r="D43" t="str">
        <f>IF(A43="","",IFERROR(INDEX(Maniobras!$D$5:$D$504,MATCH(A43,Maniobras!$A$5:$A$504,0)),""))</f>
        <v/>
      </c>
      <c r="F43" s="29" t="str">
        <f>IF(A43="","",IFERROR(INDEX(Maniobras!$K$5:$K$504,MATCH(A43,Maniobras!$A$5:$A$504,0)),""))</f>
        <v/>
      </c>
      <c r="G43" s="29"/>
      <c r="H43" s="29"/>
      <c r="I43" s="29" t="str">
        <f t="shared" si="1"/>
        <v/>
      </c>
      <c r="K43" s="30"/>
      <c r="M43" t="str">
        <f>IF($A43=Ficha!$B$3,COUNTIF($A$5:$A43,Ficha!$B$3),"")</f>
        <v/>
      </c>
    </row>
    <row r="44" spans="2:13" x14ac:dyDescent="0.3">
      <c r="B44" s="30" t="str">
        <f>IF(A44="","",IFERROR(INDEX(Maniobras!$B$5:$B$504,MATCH(A44,Maniobras!$A$5:$A$504,0)),""))</f>
        <v/>
      </c>
      <c r="C44" t="str">
        <f t="shared" si="0"/>
        <v/>
      </c>
      <c r="D44" t="str">
        <f>IF(A44="","",IFERROR(INDEX(Maniobras!$D$5:$D$504,MATCH(A44,Maniobras!$A$5:$A$504,0)),""))</f>
        <v/>
      </c>
      <c r="F44" s="29" t="str">
        <f>IF(A44="","",IFERROR(INDEX(Maniobras!$K$5:$K$504,MATCH(A44,Maniobras!$A$5:$A$504,0)),""))</f>
        <v/>
      </c>
      <c r="G44" s="29"/>
      <c r="H44" s="29"/>
      <c r="I44" s="29" t="str">
        <f t="shared" si="1"/>
        <v/>
      </c>
      <c r="K44" s="30"/>
      <c r="M44" t="str">
        <f>IF($A44=Ficha!$B$3,COUNTIF($A$5:$A44,Ficha!$B$3),"")</f>
        <v/>
      </c>
    </row>
    <row r="45" spans="2:13" x14ac:dyDescent="0.3">
      <c r="B45" s="30" t="str">
        <f>IF(A45="","",IFERROR(INDEX(Maniobras!$B$5:$B$504,MATCH(A45,Maniobras!$A$5:$A$504,0)),""))</f>
        <v/>
      </c>
      <c r="C45" t="str">
        <f t="shared" si="0"/>
        <v/>
      </c>
      <c r="D45" t="str">
        <f>IF(A45="","",IFERROR(INDEX(Maniobras!$D$5:$D$504,MATCH(A45,Maniobras!$A$5:$A$504,0)),""))</f>
        <v/>
      </c>
      <c r="F45" s="29" t="str">
        <f>IF(A45="","",IFERROR(INDEX(Maniobras!$K$5:$K$504,MATCH(A45,Maniobras!$A$5:$A$504,0)),""))</f>
        <v/>
      </c>
      <c r="G45" s="29"/>
      <c r="H45" s="29"/>
      <c r="I45" s="29" t="str">
        <f t="shared" si="1"/>
        <v/>
      </c>
      <c r="K45" s="30"/>
      <c r="M45" t="str">
        <f>IF($A45=Ficha!$B$3,COUNTIF($A$5:$A45,Ficha!$B$3),"")</f>
        <v/>
      </c>
    </row>
    <row r="46" spans="2:13" x14ac:dyDescent="0.3">
      <c r="B46" s="30" t="str">
        <f>IF(A46="","",IFERROR(INDEX(Maniobras!$B$5:$B$504,MATCH(A46,Maniobras!$A$5:$A$504,0)),""))</f>
        <v/>
      </c>
      <c r="C46" t="str">
        <f t="shared" si="0"/>
        <v/>
      </c>
      <c r="D46" t="str">
        <f>IF(A46="","",IFERROR(INDEX(Maniobras!$D$5:$D$504,MATCH(A46,Maniobras!$A$5:$A$504,0)),""))</f>
        <v/>
      </c>
      <c r="F46" s="29" t="str">
        <f>IF(A46="","",IFERROR(INDEX(Maniobras!$K$5:$K$504,MATCH(A46,Maniobras!$A$5:$A$504,0)),""))</f>
        <v/>
      </c>
      <c r="G46" s="29"/>
      <c r="H46" s="29"/>
      <c r="I46" s="29" t="str">
        <f t="shared" si="1"/>
        <v/>
      </c>
      <c r="K46" s="30"/>
      <c r="M46" t="str">
        <f>IF($A46=Ficha!$B$3,COUNTIF($A$5:$A46,Ficha!$B$3),"")</f>
        <v/>
      </c>
    </row>
    <row r="47" spans="2:13" x14ac:dyDescent="0.3">
      <c r="B47" s="30" t="str">
        <f>IF(A47="","",IFERROR(INDEX(Maniobras!$B$5:$B$504,MATCH(A47,Maniobras!$A$5:$A$504,0)),""))</f>
        <v/>
      </c>
      <c r="C47" t="str">
        <f t="shared" si="0"/>
        <v/>
      </c>
      <c r="D47" t="str">
        <f>IF(A47="","",IFERROR(INDEX(Maniobras!$D$5:$D$504,MATCH(A47,Maniobras!$A$5:$A$504,0)),""))</f>
        <v/>
      </c>
      <c r="F47" s="29" t="str">
        <f>IF(A47="","",IFERROR(INDEX(Maniobras!$K$5:$K$504,MATCH(A47,Maniobras!$A$5:$A$504,0)),""))</f>
        <v/>
      </c>
      <c r="G47" s="29"/>
      <c r="H47" s="29"/>
      <c r="I47" s="29" t="str">
        <f t="shared" si="1"/>
        <v/>
      </c>
      <c r="K47" s="30"/>
      <c r="M47" t="str">
        <f>IF($A47=Ficha!$B$3,COUNTIF($A$5:$A47,Ficha!$B$3),"")</f>
        <v/>
      </c>
    </row>
    <row r="48" spans="2:13" x14ac:dyDescent="0.3">
      <c r="B48" s="30" t="str">
        <f>IF(A48="","",IFERROR(INDEX(Maniobras!$B$5:$B$504,MATCH(A48,Maniobras!$A$5:$A$504,0)),""))</f>
        <v/>
      </c>
      <c r="C48" t="str">
        <f t="shared" si="0"/>
        <v/>
      </c>
      <c r="D48" t="str">
        <f>IF(A48="","",IFERROR(INDEX(Maniobras!$D$5:$D$504,MATCH(A48,Maniobras!$A$5:$A$504,0)),""))</f>
        <v/>
      </c>
      <c r="F48" s="29" t="str">
        <f>IF(A48="","",IFERROR(INDEX(Maniobras!$K$5:$K$504,MATCH(A48,Maniobras!$A$5:$A$504,0)),""))</f>
        <v/>
      </c>
      <c r="G48" s="29"/>
      <c r="H48" s="29"/>
      <c r="I48" s="29" t="str">
        <f t="shared" si="1"/>
        <v/>
      </c>
      <c r="K48" s="30"/>
      <c r="M48" t="str">
        <f>IF($A48=Ficha!$B$3,COUNTIF($A$5:$A48,Ficha!$B$3),"")</f>
        <v/>
      </c>
    </row>
    <row r="49" spans="2:13" x14ac:dyDescent="0.3">
      <c r="B49" s="30" t="str">
        <f>IF(A49="","",IFERROR(INDEX(Maniobras!$B$5:$B$504,MATCH(A49,Maniobras!$A$5:$A$504,0)),""))</f>
        <v/>
      </c>
      <c r="C49" t="str">
        <f t="shared" si="0"/>
        <v/>
      </c>
      <c r="D49" t="str">
        <f>IF(A49="","",IFERROR(INDEX(Maniobras!$D$5:$D$504,MATCH(A49,Maniobras!$A$5:$A$504,0)),""))</f>
        <v/>
      </c>
      <c r="F49" s="29" t="str">
        <f>IF(A49="","",IFERROR(INDEX(Maniobras!$K$5:$K$504,MATCH(A49,Maniobras!$A$5:$A$504,0)),""))</f>
        <v/>
      </c>
      <c r="G49" s="29"/>
      <c r="H49" s="29"/>
      <c r="I49" s="29" t="str">
        <f t="shared" si="1"/>
        <v/>
      </c>
      <c r="K49" s="30"/>
      <c r="M49" t="str">
        <f>IF($A49=Ficha!$B$3,COUNTIF($A$5:$A49,Ficha!$B$3),"")</f>
        <v/>
      </c>
    </row>
    <row r="50" spans="2:13" x14ac:dyDescent="0.3">
      <c r="B50" s="30" t="str">
        <f>IF(A50="","",IFERROR(INDEX(Maniobras!$B$5:$B$504,MATCH(A50,Maniobras!$A$5:$A$504,0)),""))</f>
        <v/>
      </c>
      <c r="C50" t="str">
        <f t="shared" si="0"/>
        <v/>
      </c>
      <c r="D50" t="str">
        <f>IF(A50="","",IFERROR(INDEX(Maniobras!$D$5:$D$504,MATCH(A50,Maniobras!$A$5:$A$504,0)),""))</f>
        <v/>
      </c>
      <c r="F50" s="29" t="str">
        <f>IF(A50="","",IFERROR(INDEX(Maniobras!$K$5:$K$504,MATCH(A50,Maniobras!$A$5:$A$504,0)),""))</f>
        <v/>
      </c>
      <c r="G50" s="29"/>
      <c r="H50" s="29"/>
      <c r="I50" s="29" t="str">
        <f t="shared" si="1"/>
        <v/>
      </c>
      <c r="K50" s="30"/>
      <c r="M50" t="str">
        <f>IF($A50=Ficha!$B$3,COUNTIF($A$5:$A50,Ficha!$B$3),"")</f>
        <v/>
      </c>
    </row>
    <row r="51" spans="2:13" x14ac:dyDescent="0.3">
      <c r="B51" s="30" t="str">
        <f>IF(A51="","",IFERROR(INDEX(Maniobras!$B$5:$B$504,MATCH(A51,Maniobras!$A$5:$A$504,0)),""))</f>
        <v/>
      </c>
      <c r="C51" t="str">
        <f t="shared" si="0"/>
        <v/>
      </c>
      <c r="D51" t="str">
        <f>IF(A51="","",IFERROR(INDEX(Maniobras!$D$5:$D$504,MATCH(A51,Maniobras!$A$5:$A$504,0)),""))</f>
        <v/>
      </c>
      <c r="F51" s="29" t="str">
        <f>IF(A51="","",IFERROR(INDEX(Maniobras!$K$5:$K$504,MATCH(A51,Maniobras!$A$5:$A$504,0)),""))</f>
        <v/>
      </c>
      <c r="G51" s="29"/>
      <c r="H51" s="29"/>
      <c r="I51" s="29" t="str">
        <f t="shared" si="1"/>
        <v/>
      </c>
      <c r="K51" s="30"/>
      <c r="M51" t="str">
        <f>IF($A51=Ficha!$B$3,COUNTIF($A$5:$A51,Ficha!$B$3),"")</f>
        <v/>
      </c>
    </row>
    <row r="52" spans="2:13" x14ac:dyDescent="0.3">
      <c r="B52" s="30" t="str">
        <f>IF(A52="","",IFERROR(INDEX(Maniobras!$B$5:$B$504,MATCH(A52,Maniobras!$A$5:$A$504,0)),""))</f>
        <v/>
      </c>
      <c r="C52" t="str">
        <f t="shared" si="0"/>
        <v/>
      </c>
      <c r="D52" t="str">
        <f>IF(A52="","",IFERROR(INDEX(Maniobras!$D$5:$D$504,MATCH(A52,Maniobras!$A$5:$A$504,0)),""))</f>
        <v/>
      </c>
      <c r="F52" s="29" t="str">
        <f>IF(A52="","",IFERROR(INDEX(Maniobras!$K$5:$K$504,MATCH(A52,Maniobras!$A$5:$A$504,0)),""))</f>
        <v/>
      </c>
      <c r="G52" s="29"/>
      <c r="H52" s="29"/>
      <c r="I52" s="29" t="str">
        <f t="shared" si="1"/>
        <v/>
      </c>
      <c r="K52" s="30"/>
      <c r="M52" t="str">
        <f>IF($A52=Ficha!$B$3,COUNTIF($A$5:$A52,Ficha!$B$3),"")</f>
        <v/>
      </c>
    </row>
    <row r="53" spans="2:13" x14ac:dyDescent="0.3">
      <c r="B53" s="30" t="str">
        <f>IF(A53="","",IFERROR(INDEX(Maniobras!$B$5:$B$504,MATCH(A53,Maniobras!$A$5:$A$504,0)),""))</f>
        <v/>
      </c>
      <c r="C53" t="str">
        <f t="shared" si="0"/>
        <v/>
      </c>
      <c r="D53" t="str">
        <f>IF(A53="","",IFERROR(INDEX(Maniobras!$D$5:$D$504,MATCH(A53,Maniobras!$A$5:$A$504,0)),""))</f>
        <v/>
      </c>
      <c r="F53" s="29" t="str">
        <f>IF(A53="","",IFERROR(INDEX(Maniobras!$K$5:$K$504,MATCH(A53,Maniobras!$A$5:$A$504,0)),""))</f>
        <v/>
      </c>
      <c r="G53" s="29"/>
      <c r="H53" s="29"/>
      <c r="I53" s="29" t="str">
        <f t="shared" si="1"/>
        <v/>
      </c>
      <c r="K53" s="30"/>
      <c r="M53" t="str">
        <f>IF($A53=Ficha!$B$3,COUNTIF($A$5:$A53,Ficha!$B$3),"")</f>
        <v/>
      </c>
    </row>
    <row r="54" spans="2:13" x14ac:dyDescent="0.3">
      <c r="B54" s="30" t="str">
        <f>IF(A54="","",IFERROR(INDEX(Maniobras!$B$5:$B$504,MATCH(A54,Maniobras!$A$5:$A$504,0)),""))</f>
        <v/>
      </c>
      <c r="C54" t="str">
        <f t="shared" si="0"/>
        <v/>
      </c>
      <c r="D54" t="str">
        <f>IF(A54="","",IFERROR(INDEX(Maniobras!$D$5:$D$504,MATCH(A54,Maniobras!$A$5:$A$504,0)),""))</f>
        <v/>
      </c>
      <c r="F54" s="29" t="str">
        <f>IF(A54="","",IFERROR(INDEX(Maniobras!$K$5:$K$504,MATCH(A54,Maniobras!$A$5:$A$504,0)),""))</f>
        <v/>
      </c>
      <c r="G54" s="29"/>
      <c r="H54" s="29"/>
      <c r="I54" s="29" t="str">
        <f t="shared" si="1"/>
        <v/>
      </c>
      <c r="K54" s="30"/>
      <c r="M54" t="str">
        <f>IF($A54=Ficha!$B$3,COUNTIF($A$5:$A54,Ficha!$B$3),"")</f>
        <v/>
      </c>
    </row>
    <row r="55" spans="2:13" x14ac:dyDescent="0.3">
      <c r="B55" s="30" t="str">
        <f>IF(A55="","",IFERROR(INDEX(Maniobras!$B$5:$B$504,MATCH(A55,Maniobras!$A$5:$A$504,0)),""))</f>
        <v/>
      </c>
      <c r="C55" t="str">
        <f t="shared" si="0"/>
        <v/>
      </c>
      <c r="D55" t="str">
        <f>IF(A55="","",IFERROR(INDEX(Maniobras!$D$5:$D$504,MATCH(A55,Maniobras!$A$5:$A$504,0)),""))</f>
        <v/>
      </c>
      <c r="F55" s="29" t="str">
        <f>IF(A55="","",IFERROR(INDEX(Maniobras!$K$5:$K$504,MATCH(A55,Maniobras!$A$5:$A$504,0)),""))</f>
        <v/>
      </c>
      <c r="G55" s="29"/>
      <c r="H55" s="29"/>
      <c r="I55" s="29" t="str">
        <f t="shared" si="1"/>
        <v/>
      </c>
      <c r="K55" s="30"/>
      <c r="M55" t="str">
        <f>IF($A55=Ficha!$B$3,COUNTIF($A$5:$A55,Ficha!$B$3),"")</f>
        <v/>
      </c>
    </row>
    <row r="56" spans="2:13" x14ac:dyDescent="0.3">
      <c r="B56" s="30" t="str">
        <f>IF(A56="","",IFERROR(INDEX(Maniobras!$B$5:$B$504,MATCH(A56,Maniobras!$A$5:$A$504,0)),""))</f>
        <v/>
      </c>
      <c r="C56" t="str">
        <f t="shared" si="0"/>
        <v/>
      </c>
      <c r="D56" t="str">
        <f>IF(A56="","",IFERROR(INDEX(Maniobras!$D$5:$D$504,MATCH(A56,Maniobras!$A$5:$A$504,0)),""))</f>
        <v/>
      </c>
      <c r="F56" s="29" t="str">
        <f>IF(A56="","",IFERROR(INDEX(Maniobras!$K$5:$K$504,MATCH(A56,Maniobras!$A$5:$A$504,0)),""))</f>
        <v/>
      </c>
      <c r="G56" s="29"/>
      <c r="H56" s="29"/>
      <c r="I56" s="29" t="str">
        <f t="shared" si="1"/>
        <v/>
      </c>
      <c r="K56" s="30"/>
      <c r="M56" t="str">
        <f>IF($A56=Ficha!$B$3,COUNTIF($A$5:$A56,Ficha!$B$3),"")</f>
        <v/>
      </c>
    </row>
    <row r="57" spans="2:13" x14ac:dyDescent="0.3">
      <c r="B57" s="30" t="str">
        <f>IF(A57="","",IFERROR(INDEX(Maniobras!$B$5:$B$504,MATCH(A57,Maniobras!$A$5:$A$504,0)),""))</f>
        <v/>
      </c>
      <c r="C57" t="str">
        <f t="shared" si="0"/>
        <v/>
      </c>
      <c r="D57" t="str">
        <f>IF(A57="","",IFERROR(INDEX(Maniobras!$D$5:$D$504,MATCH(A57,Maniobras!$A$5:$A$504,0)),""))</f>
        <v/>
      </c>
      <c r="F57" s="29" t="str">
        <f>IF(A57="","",IFERROR(INDEX(Maniobras!$K$5:$K$504,MATCH(A57,Maniobras!$A$5:$A$504,0)),""))</f>
        <v/>
      </c>
      <c r="G57" s="29"/>
      <c r="H57" s="29"/>
      <c r="I57" s="29" t="str">
        <f t="shared" si="1"/>
        <v/>
      </c>
      <c r="K57" s="30"/>
      <c r="M57" t="str">
        <f>IF($A57=Ficha!$B$3,COUNTIF($A$5:$A57,Ficha!$B$3),"")</f>
        <v/>
      </c>
    </row>
    <row r="58" spans="2:13" x14ac:dyDescent="0.3">
      <c r="B58" s="30" t="str">
        <f>IF(A58="","",IFERROR(INDEX(Maniobras!$B$5:$B$504,MATCH(A58,Maniobras!$A$5:$A$504,0)),""))</f>
        <v/>
      </c>
      <c r="C58" t="str">
        <f t="shared" si="0"/>
        <v/>
      </c>
      <c r="D58" t="str">
        <f>IF(A58="","",IFERROR(INDEX(Maniobras!$D$5:$D$504,MATCH(A58,Maniobras!$A$5:$A$504,0)),""))</f>
        <v/>
      </c>
      <c r="F58" s="29" t="str">
        <f>IF(A58="","",IFERROR(INDEX(Maniobras!$K$5:$K$504,MATCH(A58,Maniobras!$A$5:$A$504,0)),""))</f>
        <v/>
      </c>
      <c r="G58" s="29"/>
      <c r="H58" s="29"/>
      <c r="I58" s="29" t="str">
        <f t="shared" si="1"/>
        <v/>
      </c>
      <c r="K58" s="30"/>
      <c r="M58" t="str">
        <f>IF($A58=Ficha!$B$3,COUNTIF($A$5:$A58,Ficha!$B$3),"")</f>
        <v/>
      </c>
    </row>
    <row r="59" spans="2:13" x14ac:dyDescent="0.3">
      <c r="B59" s="30" t="str">
        <f>IF(A59="","",IFERROR(INDEX(Maniobras!$B$5:$B$504,MATCH(A59,Maniobras!$A$5:$A$504,0)),""))</f>
        <v/>
      </c>
      <c r="C59" t="str">
        <f t="shared" si="0"/>
        <v/>
      </c>
      <c r="D59" t="str">
        <f>IF(A59="","",IFERROR(INDEX(Maniobras!$D$5:$D$504,MATCH(A59,Maniobras!$A$5:$A$504,0)),""))</f>
        <v/>
      </c>
      <c r="F59" s="29" t="str">
        <f>IF(A59="","",IFERROR(INDEX(Maniobras!$K$5:$K$504,MATCH(A59,Maniobras!$A$5:$A$504,0)),""))</f>
        <v/>
      </c>
      <c r="G59" s="29"/>
      <c r="H59" s="29"/>
      <c r="I59" s="29" t="str">
        <f t="shared" si="1"/>
        <v/>
      </c>
      <c r="K59" s="30"/>
      <c r="M59" t="str">
        <f>IF($A59=Ficha!$B$3,COUNTIF($A$5:$A59,Ficha!$B$3),"")</f>
        <v/>
      </c>
    </row>
    <row r="60" spans="2:13" x14ac:dyDescent="0.3">
      <c r="B60" s="30" t="str">
        <f>IF(A60="","",IFERROR(INDEX(Maniobras!$B$5:$B$504,MATCH(A60,Maniobras!$A$5:$A$504,0)),""))</f>
        <v/>
      </c>
      <c r="C60" t="str">
        <f t="shared" si="0"/>
        <v/>
      </c>
      <c r="D60" t="str">
        <f>IF(A60="","",IFERROR(INDEX(Maniobras!$D$5:$D$504,MATCH(A60,Maniobras!$A$5:$A$504,0)),""))</f>
        <v/>
      </c>
      <c r="F60" s="29" t="str">
        <f>IF(A60="","",IFERROR(INDEX(Maniobras!$K$5:$K$504,MATCH(A60,Maniobras!$A$5:$A$504,0)),""))</f>
        <v/>
      </c>
      <c r="G60" s="29"/>
      <c r="H60" s="29"/>
      <c r="I60" s="29" t="str">
        <f t="shared" si="1"/>
        <v/>
      </c>
      <c r="K60" s="30"/>
      <c r="M60" t="str">
        <f>IF($A60=Ficha!$B$3,COUNTIF($A$5:$A60,Ficha!$B$3),"")</f>
        <v/>
      </c>
    </row>
    <row r="61" spans="2:13" x14ac:dyDescent="0.3">
      <c r="B61" s="30" t="str">
        <f>IF(A61="","",IFERROR(INDEX(Maniobras!$B$5:$B$504,MATCH(A61,Maniobras!$A$5:$A$504,0)),""))</f>
        <v/>
      </c>
      <c r="C61" t="str">
        <f t="shared" si="0"/>
        <v/>
      </c>
      <c r="D61" t="str">
        <f>IF(A61="","",IFERROR(INDEX(Maniobras!$D$5:$D$504,MATCH(A61,Maniobras!$A$5:$A$504,0)),""))</f>
        <v/>
      </c>
      <c r="F61" s="29" t="str">
        <f>IF(A61="","",IFERROR(INDEX(Maniobras!$K$5:$K$504,MATCH(A61,Maniobras!$A$5:$A$504,0)),""))</f>
        <v/>
      </c>
      <c r="G61" s="29"/>
      <c r="H61" s="29"/>
      <c r="I61" s="29" t="str">
        <f t="shared" si="1"/>
        <v/>
      </c>
      <c r="K61" s="30"/>
      <c r="M61" t="str">
        <f>IF($A61=Ficha!$B$3,COUNTIF($A$5:$A61,Ficha!$B$3),"")</f>
        <v/>
      </c>
    </row>
    <row r="62" spans="2:13" x14ac:dyDescent="0.3">
      <c r="B62" s="30" t="str">
        <f>IF(A62="","",IFERROR(INDEX(Maniobras!$B$5:$B$504,MATCH(A62,Maniobras!$A$5:$A$504,0)),""))</f>
        <v/>
      </c>
      <c r="C62" t="str">
        <f t="shared" si="0"/>
        <v/>
      </c>
      <c r="D62" t="str">
        <f>IF(A62="","",IFERROR(INDEX(Maniobras!$D$5:$D$504,MATCH(A62,Maniobras!$A$5:$A$504,0)),""))</f>
        <v/>
      </c>
      <c r="F62" s="29" t="str">
        <f>IF(A62="","",IFERROR(INDEX(Maniobras!$K$5:$K$504,MATCH(A62,Maniobras!$A$5:$A$504,0)),""))</f>
        <v/>
      </c>
      <c r="G62" s="29"/>
      <c r="H62" s="29"/>
      <c r="I62" s="29" t="str">
        <f t="shared" si="1"/>
        <v/>
      </c>
      <c r="K62" s="30"/>
      <c r="M62" t="str">
        <f>IF($A62=Ficha!$B$3,COUNTIF($A$5:$A62,Ficha!$B$3),"")</f>
        <v/>
      </c>
    </row>
    <row r="63" spans="2:13" x14ac:dyDescent="0.3">
      <c r="B63" s="30" t="str">
        <f>IF(A63="","",IFERROR(INDEX(Maniobras!$B$5:$B$504,MATCH(A63,Maniobras!$A$5:$A$504,0)),""))</f>
        <v/>
      </c>
      <c r="C63" t="str">
        <f t="shared" si="0"/>
        <v/>
      </c>
      <c r="D63" t="str">
        <f>IF(A63="","",IFERROR(INDEX(Maniobras!$D$5:$D$504,MATCH(A63,Maniobras!$A$5:$A$504,0)),""))</f>
        <v/>
      </c>
      <c r="F63" s="29" t="str">
        <f>IF(A63="","",IFERROR(INDEX(Maniobras!$K$5:$K$504,MATCH(A63,Maniobras!$A$5:$A$504,0)),""))</f>
        <v/>
      </c>
      <c r="G63" s="29"/>
      <c r="H63" s="29"/>
      <c r="I63" s="29" t="str">
        <f t="shared" si="1"/>
        <v/>
      </c>
      <c r="K63" s="30"/>
      <c r="M63" t="str">
        <f>IF($A63=Ficha!$B$3,COUNTIF($A$5:$A63,Ficha!$B$3),"")</f>
        <v/>
      </c>
    </row>
    <row r="64" spans="2:13" x14ac:dyDescent="0.3">
      <c r="B64" s="30" t="str">
        <f>IF(A64="","",IFERROR(INDEX(Maniobras!$B$5:$B$504,MATCH(A64,Maniobras!$A$5:$A$504,0)),""))</f>
        <v/>
      </c>
      <c r="C64" t="str">
        <f t="shared" si="0"/>
        <v/>
      </c>
      <c r="D64" t="str">
        <f>IF(A64="","",IFERROR(INDEX(Maniobras!$D$5:$D$504,MATCH(A64,Maniobras!$A$5:$A$504,0)),""))</f>
        <v/>
      </c>
      <c r="F64" s="29" t="str">
        <f>IF(A64="","",IFERROR(INDEX(Maniobras!$K$5:$K$504,MATCH(A64,Maniobras!$A$5:$A$504,0)),""))</f>
        <v/>
      </c>
      <c r="G64" s="29"/>
      <c r="H64" s="29"/>
      <c r="I64" s="29" t="str">
        <f t="shared" si="1"/>
        <v/>
      </c>
      <c r="K64" s="30"/>
      <c r="M64" t="str">
        <f>IF($A64=Ficha!$B$3,COUNTIF($A$5:$A64,Ficha!$B$3),"")</f>
        <v/>
      </c>
    </row>
    <row r="65" spans="2:13" x14ac:dyDescent="0.3">
      <c r="B65" s="30" t="str">
        <f>IF(A65="","",IFERROR(INDEX(Maniobras!$B$5:$B$504,MATCH(A65,Maniobras!$A$5:$A$504,0)),""))</f>
        <v/>
      </c>
      <c r="C65" t="str">
        <f t="shared" si="0"/>
        <v/>
      </c>
      <c r="D65" t="str">
        <f>IF(A65="","",IFERROR(INDEX(Maniobras!$D$5:$D$504,MATCH(A65,Maniobras!$A$5:$A$504,0)),""))</f>
        <v/>
      </c>
      <c r="F65" s="29" t="str">
        <f>IF(A65="","",IFERROR(INDEX(Maniobras!$K$5:$K$504,MATCH(A65,Maniobras!$A$5:$A$504,0)),""))</f>
        <v/>
      </c>
      <c r="G65" s="29"/>
      <c r="H65" s="29"/>
      <c r="I65" s="29" t="str">
        <f t="shared" si="1"/>
        <v/>
      </c>
      <c r="K65" s="30"/>
      <c r="M65" t="str">
        <f>IF($A65=Ficha!$B$3,COUNTIF($A$5:$A65,Ficha!$B$3),"")</f>
        <v/>
      </c>
    </row>
    <row r="66" spans="2:13" x14ac:dyDescent="0.3">
      <c r="B66" s="30" t="str">
        <f>IF(A66="","",IFERROR(INDEX(Maniobras!$B$5:$B$504,MATCH(A66,Maniobras!$A$5:$A$504,0)),""))</f>
        <v/>
      </c>
      <c r="C66" t="str">
        <f t="shared" si="0"/>
        <v/>
      </c>
      <c r="D66" t="str">
        <f>IF(A66="","",IFERROR(INDEX(Maniobras!$D$5:$D$504,MATCH(A66,Maniobras!$A$5:$A$504,0)),""))</f>
        <v/>
      </c>
      <c r="F66" s="29" t="str">
        <f>IF(A66="","",IFERROR(INDEX(Maniobras!$K$5:$K$504,MATCH(A66,Maniobras!$A$5:$A$504,0)),""))</f>
        <v/>
      </c>
      <c r="G66" s="29"/>
      <c r="H66" s="29"/>
      <c r="I66" s="29" t="str">
        <f t="shared" si="1"/>
        <v/>
      </c>
      <c r="K66" s="30"/>
      <c r="M66" t="str">
        <f>IF($A66=Ficha!$B$3,COUNTIF($A$5:$A66,Ficha!$B$3),"")</f>
        <v/>
      </c>
    </row>
    <row r="67" spans="2:13" x14ac:dyDescent="0.3">
      <c r="B67" s="30" t="str">
        <f>IF(A67="","",IFERROR(INDEX(Maniobras!$B$5:$B$504,MATCH(A67,Maniobras!$A$5:$A$504,0)),""))</f>
        <v/>
      </c>
      <c r="C67" t="str">
        <f t="shared" si="0"/>
        <v/>
      </c>
      <c r="D67" t="str">
        <f>IF(A67="","",IFERROR(INDEX(Maniobras!$D$5:$D$504,MATCH(A67,Maniobras!$A$5:$A$504,0)),""))</f>
        <v/>
      </c>
      <c r="F67" s="29" t="str">
        <f>IF(A67="","",IFERROR(INDEX(Maniobras!$K$5:$K$504,MATCH(A67,Maniobras!$A$5:$A$504,0)),""))</f>
        <v/>
      </c>
      <c r="G67" s="29"/>
      <c r="H67" s="29"/>
      <c r="I67" s="29" t="str">
        <f t="shared" si="1"/>
        <v/>
      </c>
      <c r="K67" s="30"/>
      <c r="M67" t="str">
        <f>IF($A67=Ficha!$B$3,COUNTIF($A$5:$A67,Ficha!$B$3),"")</f>
        <v/>
      </c>
    </row>
    <row r="68" spans="2:13" x14ac:dyDescent="0.3">
      <c r="B68" s="30" t="str">
        <f>IF(A68="","",IFERROR(INDEX(Maniobras!$B$5:$B$504,MATCH(A68,Maniobras!$A$5:$A$504,0)),""))</f>
        <v/>
      </c>
      <c r="C68" t="str">
        <f t="shared" si="0"/>
        <v/>
      </c>
      <c r="D68" t="str">
        <f>IF(A68="","",IFERROR(INDEX(Maniobras!$D$5:$D$504,MATCH(A68,Maniobras!$A$5:$A$504,0)),""))</f>
        <v/>
      </c>
      <c r="F68" s="29" t="str">
        <f>IF(A68="","",IFERROR(INDEX(Maniobras!$K$5:$K$504,MATCH(A68,Maniobras!$A$5:$A$504,0)),""))</f>
        <v/>
      </c>
      <c r="G68" s="29"/>
      <c r="H68" s="29"/>
      <c r="I68" s="29" t="str">
        <f t="shared" si="1"/>
        <v/>
      </c>
      <c r="K68" s="30"/>
      <c r="M68" t="str">
        <f>IF($A68=Ficha!$B$3,COUNTIF($A$5:$A68,Ficha!$B$3),"")</f>
        <v/>
      </c>
    </row>
    <row r="69" spans="2:13" x14ac:dyDescent="0.3">
      <c r="B69" s="30" t="str">
        <f>IF(A69="","",IFERROR(INDEX(Maniobras!$B$5:$B$504,MATCH(A69,Maniobras!$A$5:$A$504,0)),""))</f>
        <v/>
      </c>
      <c r="C69" t="str">
        <f t="shared" ref="C69:C132" si="2">IF(B69="","",TEXT(B69,"yyyy-mm"))</f>
        <v/>
      </c>
      <c r="D69" t="str">
        <f>IF(A69="","",IFERROR(INDEX(Maniobras!$D$5:$D$504,MATCH(A69,Maniobras!$A$5:$A$504,0)),""))</f>
        <v/>
      </c>
      <c r="F69" s="29" t="str">
        <f>IF(A69="","",IFERROR(INDEX(Maniobras!$K$5:$K$504,MATCH(A69,Maniobras!$A$5:$A$504,0)),""))</f>
        <v/>
      </c>
      <c r="G69" s="29"/>
      <c r="H69" s="29"/>
      <c r="I69" s="29" t="str">
        <f t="shared" ref="I69:I132" si="3">IF(G69="","",G69+N(H69))</f>
        <v/>
      </c>
      <c r="K69" s="30"/>
      <c r="M69" t="str">
        <f>IF($A69=Ficha!$B$3,COUNTIF($A$5:$A69,Ficha!$B$3),"")</f>
        <v/>
      </c>
    </row>
    <row r="70" spans="2:13" x14ac:dyDescent="0.3">
      <c r="B70" s="30" t="str">
        <f>IF(A70="","",IFERROR(INDEX(Maniobras!$B$5:$B$504,MATCH(A70,Maniobras!$A$5:$A$504,0)),""))</f>
        <v/>
      </c>
      <c r="C70" t="str">
        <f t="shared" si="2"/>
        <v/>
      </c>
      <c r="D70" t="str">
        <f>IF(A70="","",IFERROR(INDEX(Maniobras!$D$5:$D$504,MATCH(A70,Maniobras!$A$5:$A$504,0)),""))</f>
        <v/>
      </c>
      <c r="F70" s="29" t="str">
        <f>IF(A70="","",IFERROR(INDEX(Maniobras!$K$5:$K$504,MATCH(A70,Maniobras!$A$5:$A$504,0)),""))</f>
        <v/>
      </c>
      <c r="G70" s="29"/>
      <c r="H70" s="29"/>
      <c r="I70" s="29" t="str">
        <f t="shared" si="3"/>
        <v/>
      </c>
      <c r="K70" s="30"/>
      <c r="M70" t="str">
        <f>IF($A70=Ficha!$B$3,COUNTIF($A$5:$A70,Ficha!$B$3),"")</f>
        <v/>
      </c>
    </row>
    <row r="71" spans="2:13" x14ac:dyDescent="0.3">
      <c r="B71" s="30" t="str">
        <f>IF(A71="","",IFERROR(INDEX(Maniobras!$B$5:$B$504,MATCH(A71,Maniobras!$A$5:$A$504,0)),""))</f>
        <v/>
      </c>
      <c r="C71" t="str">
        <f t="shared" si="2"/>
        <v/>
      </c>
      <c r="D71" t="str">
        <f>IF(A71="","",IFERROR(INDEX(Maniobras!$D$5:$D$504,MATCH(A71,Maniobras!$A$5:$A$504,0)),""))</f>
        <v/>
      </c>
      <c r="F71" s="29" t="str">
        <f>IF(A71="","",IFERROR(INDEX(Maniobras!$K$5:$K$504,MATCH(A71,Maniobras!$A$5:$A$504,0)),""))</f>
        <v/>
      </c>
      <c r="G71" s="29"/>
      <c r="H71" s="29"/>
      <c r="I71" s="29" t="str">
        <f t="shared" si="3"/>
        <v/>
      </c>
      <c r="K71" s="30"/>
      <c r="M71" t="str">
        <f>IF($A71=Ficha!$B$3,COUNTIF($A$5:$A71,Ficha!$B$3),"")</f>
        <v/>
      </c>
    </row>
    <row r="72" spans="2:13" x14ac:dyDescent="0.3">
      <c r="B72" s="30" t="str">
        <f>IF(A72="","",IFERROR(INDEX(Maniobras!$B$5:$B$504,MATCH(A72,Maniobras!$A$5:$A$504,0)),""))</f>
        <v/>
      </c>
      <c r="C72" t="str">
        <f t="shared" si="2"/>
        <v/>
      </c>
      <c r="D72" t="str">
        <f>IF(A72="","",IFERROR(INDEX(Maniobras!$D$5:$D$504,MATCH(A72,Maniobras!$A$5:$A$504,0)),""))</f>
        <v/>
      </c>
      <c r="F72" s="29" t="str">
        <f>IF(A72="","",IFERROR(INDEX(Maniobras!$K$5:$K$504,MATCH(A72,Maniobras!$A$5:$A$504,0)),""))</f>
        <v/>
      </c>
      <c r="G72" s="29"/>
      <c r="H72" s="29"/>
      <c r="I72" s="29" t="str">
        <f t="shared" si="3"/>
        <v/>
      </c>
      <c r="K72" s="30"/>
      <c r="M72" t="str">
        <f>IF($A72=Ficha!$B$3,COUNTIF($A$5:$A72,Ficha!$B$3),"")</f>
        <v/>
      </c>
    </row>
    <row r="73" spans="2:13" x14ac:dyDescent="0.3">
      <c r="B73" s="30" t="str">
        <f>IF(A73="","",IFERROR(INDEX(Maniobras!$B$5:$B$504,MATCH(A73,Maniobras!$A$5:$A$504,0)),""))</f>
        <v/>
      </c>
      <c r="C73" t="str">
        <f t="shared" si="2"/>
        <v/>
      </c>
      <c r="D73" t="str">
        <f>IF(A73="","",IFERROR(INDEX(Maniobras!$D$5:$D$504,MATCH(A73,Maniobras!$A$5:$A$504,0)),""))</f>
        <v/>
      </c>
      <c r="F73" s="29" t="str">
        <f>IF(A73="","",IFERROR(INDEX(Maniobras!$K$5:$K$504,MATCH(A73,Maniobras!$A$5:$A$504,0)),""))</f>
        <v/>
      </c>
      <c r="G73" s="29"/>
      <c r="H73" s="29"/>
      <c r="I73" s="29" t="str">
        <f t="shared" si="3"/>
        <v/>
      </c>
      <c r="K73" s="30"/>
      <c r="M73" t="str">
        <f>IF($A73=Ficha!$B$3,COUNTIF($A$5:$A73,Ficha!$B$3),"")</f>
        <v/>
      </c>
    </row>
    <row r="74" spans="2:13" x14ac:dyDescent="0.3">
      <c r="B74" s="30" t="str">
        <f>IF(A74="","",IFERROR(INDEX(Maniobras!$B$5:$B$504,MATCH(A74,Maniobras!$A$5:$A$504,0)),""))</f>
        <v/>
      </c>
      <c r="C74" t="str">
        <f t="shared" si="2"/>
        <v/>
      </c>
      <c r="D74" t="str">
        <f>IF(A74="","",IFERROR(INDEX(Maniobras!$D$5:$D$504,MATCH(A74,Maniobras!$A$5:$A$504,0)),""))</f>
        <v/>
      </c>
      <c r="F74" s="29" t="str">
        <f>IF(A74="","",IFERROR(INDEX(Maniobras!$K$5:$K$504,MATCH(A74,Maniobras!$A$5:$A$504,0)),""))</f>
        <v/>
      </c>
      <c r="G74" s="29"/>
      <c r="H74" s="29"/>
      <c r="I74" s="29" t="str">
        <f t="shared" si="3"/>
        <v/>
      </c>
      <c r="K74" s="30"/>
      <c r="M74" t="str">
        <f>IF($A74=Ficha!$B$3,COUNTIF($A$5:$A74,Ficha!$B$3),"")</f>
        <v/>
      </c>
    </row>
    <row r="75" spans="2:13" x14ac:dyDescent="0.3">
      <c r="B75" s="30" t="str">
        <f>IF(A75="","",IFERROR(INDEX(Maniobras!$B$5:$B$504,MATCH(A75,Maniobras!$A$5:$A$504,0)),""))</f>
        <v/>
      </c>
      <c r="C75" t="str">
        <f t="shared" si="2"/>
        <v/>
      </c>
      <c r="D75" t="str">
        <f>IF(A75="","",IFERROR(INDEX(Maniobras!$D$5:$D$504,MATCH(A75,Maniobras!$A$5:$A$504,0)),""))</f>
        <v/>
      </c>
      <c r="F75" s="29" t="str">
        <f>IF(A75="","",IFERROR(INDEX(Maniobras!$K$5:$K$504,MATCH(A75,Maniobras!$A$5:$A$504,0)),""))</f>
        <v/>
      </c>
      <c r="G75" s="29"/>
      <c r="H75" s="29"/>
      <c r="I75" s="29" t="str">
        <f t="shared" si="3"/>
        <v/>
      </c>
      <c r="K75" s="30"/>
      <c r="M75" t="str">
        <f>IF($A75=Ficha!$B$3,COUNTIF($A$5:$A75,Ficha!$B$3),"")</f>
        <v/>
      </c>
    </row>
    <row r="76" spans="2:13" x14ac:dyDescent="0.3">
      <c r="B76" s="30" t="str">
        <f>IF(A76="","",IFERROR(INDEX(Maniobras!$B$5:$B$504,MATCH(A76,Maniobras!$A$5:$A$504,0)),""))</f>
        <v/>
      </c>
      <c r="C76" t="str">
        <f t="shared" si="2"/>
        <v/>
      </c>
      <c r="D76" t="str">
        <f>IF(A76="","",IFERROR(INDEX(Maniobras!$D$5:$D$504,MATCH(A76,Maniobras!$A$5:$A$504,0)),""))</f>
        <v/>
      </c>
      <c r="F76" s="29" t="str">
        <f>IF(A76="","",IFERROR(INDEX(Maniobras!$K$5:$K$504,MATCH(A76,Maniobras!$A$5:$A$504,0)),""))</f>
        <v/>
      </c>
      <c r="G76" s="29"/>
      <c r="H76" s="29"/>
      <c r="I76" s="29" t="str">
        <f t="shared" si="3"/>
        <v/>
      </c>
      <c r="K76" s="30"/>
      <c r="M76" t="str">
        <f>IF($A76=Ficha!$B$3,COUNTIF($A$5:$A76,Ficha!$B$3),"")</f>
        <v/>
      </c>
    </row>
    <row r="77" spans="2:13" x14ac:dyDescent="0.3">
      <c r="B77" s="30" t="str">
        <f>IF(A77="","",IFERROR(INDEX(Maniobras!$B$5:$B$504,MATCH(A77,Maniobras!$A$5:$A$504,0)),""))</f>
        <v/>
      </c>
      <c r="C77" t="str">
        <f t="shared" si="2"/>
        <v/>
      </c>
      <c r="D77" t="str">
        <f>IF(A77="","",IFERROR(INDEX(Maniobras!$D$5:$D$504,MATCH(A77,Maniobras!$A$5:$A$504,0)),""))</f>
        <v/>
      </c>
      <c r="F77" s="29" t="str">
        <f>IF(A77="","",IFERROR(INDEX(Maniobras!$K$5:$K$504,MATCH(A77,Maniobras!$A$5:$A$504,0)),""))</f>
        <v/>
      </c>
      <c r="G77" s="29"/>
      <c r="H77" s="29"/>
      <c r="I77" s="29" t="str">
        <f t="shared" si="3"/>
        <v/>
      </c>
      <c r="K77" s="30"/>
      <c r="M77" t="str">
        <f>IF($A77=Ficha!$B$3,COUNTIF($A$5:$A77,Ficha!$B$3),"")</f>
        <v/>
      </c>
    </row>
    <row r="78" spans="2:13" x14ac:dyDescent="0.3">
      <c r="B78" s="30" t="str">
        <f>IF(A78="","",IFERROR(INDEX(Maniobras!$B$5:$B$504,MATCH(A78,Maniobras!$A$5:$A$504,0)),""))</f>
        <v/>
      </c>
      <c r="C78" t="str">
        <f t="shared" si="2"/>
        <v/>
      </c>
      <c r="D78" t="str">
        <f>IF(A78="","",IFERROR(INDEX(Maniobras!$D$5:$D$504,MATCH(A78,Maniobras!$A$5:$A$504,0)),""))</f>
        <v/>
      </c>
      <c r="F78" s="29" t="str">
        <f>IF(A78="","",IFERROR(INDEX(Maniobras!$K$5:$K$504,MATCH(A78,Maniobras!$A$5:$A$504,0)),""))</f>
        <v/>
      </c>
      <c r="G78" s="29"/>
      <c r="H78" s="29"/>
      <c r="I78" s="29" t="str">
        <f t="shared" si="3"/>
        <v/>
      </c>
      <c r="K78" s="30"/>
      <c r="M78" t="str">
        <f>IF($A78=Ficha!$B$3,COUNTIF($A$5:$A78,Ficha!$B$3),"")</f>
        <v/>
      </c>
    </row>
    <row r="79" spans="2:13" x14ac:dyDescent="0.3">
      <c r="B79" s="30" t="str">
        <f>IF(A79="","",IFERROR(INDEX(Maniobras!$B$5:$B$504,MATCH(A79,Maniobras!$A$5:$A$504,0)),""))</f>
        <v/>
      </c>
      <c r="C79" t="str">
        <f t="shared" si="2"/>
        <v/>
      </c>
      <c r="D79" t="str">
        <f>IF(A79="","",IFERROR(INDEX(Maniobras!$D$5:$D$504,MATCH(A79,Maniobras!$A$5:$A$504,0)),""))</f>
        <v/>
      </c>
      <c r="F79" s="29" t="str">
        <f>IF(A79="","",IFERROR(INDEX(Maniobras!$K$5:$K$504,MATCH(A79,Maniobras!$A$5:$A$504,0)),""))</f>
        <v/>
      </c>
      <c r="G79" s="29"/>
      <c r="H79" s="29"/>
      <c r="I79" s="29" t="str">
        <f t="shared" si="3"/>
        <v/>
      </c>
      <c r="K79" s="30"/>
      <c r="M79" t="str">
        <f>IF($A79=Ficha!$B$3,COUNTIF($A$5:$A79,Ficha!$B$3),"")</f>
        <v/>
      </c>
    </row>
    <row r="80" spans="2:13" x14ac:dyDescent="0.3">
      <c r="B80" s="30" t="str">
        <f>IF(A80="","",IFERROR(INDEX(Maniobras!$B$5:$B$504,MATCH(A80,Maniobras!$A$5:$A$504,0)),""))</f>
        <v/>
      </c>
      <c r="C80" t="str">
        <f t="shared" si="2"/>
        <v/>
      </c>
      <c r="D80" t="str">
        <f>IF(A80="","",IFERROR(INDEX(Maniobras!$D$5:$D$504,MATCH(A80,Maniobras!$A$5:$A$504,0)),""))</f>
        <v/>
      </c>
      <c r="F80" s="29" t="str">
        <f>IF(A80="","",IFERROR(INDEX(Maniobras!$K$5:$K$504,MATCH(A80,Maniobras!$A$5:$A$504,0)),""))</f>
        <v/>
      </c>
      <c r="G80" s="29"/>
      <c r="H80" s="29"/>
      <c r="I80" s="29" t="str">
        <f t="shared" si="3"/>
        <v/>
      </c>
      <c r="K80" s="30"/>
      <c r="M80" t="str">
        <f>IF($A80=Ficha!$B$3,COUNTIF($A$5:$A80,Ficha!$B$3),"")</f>
        <v/>
      </c>
    </row>
    <row r="81" spans="2:13" x14ac:dyDescent="0.3">
      <c r="B81" s="30" t="str">
        <f>IF(A81="","",IFERROR(INDEX(Maniobras!$B$5:$B$504,MATCH(A81,Maniobras!$A$5:$A$504,0)),""))</f>
        <v/>
      </c>
      <c r="C81" t="str">
        <f t="shared" si="2"/>
        <v/>
      </c>
      <c r="D81" t="str">
        <f>IF(A81="","",IFERROR(INDEX(Maniobras!$D$5:$D$504,MATCH(A81,Maniobras!$A$5:$A$504,0)),""))</f>
        <v/>
      </c>
      <c r="F81" s="29" t="str">
        <f>IF(A81="","",IFERROR(INDEX(Maniobras!$K$5:$K$504,MATCH(A81,Maniobras!$A$5:$A$504,0)),""))</f>
        <v/>
      </c>
      <c r="G81" s="29"/>
      <c r="H81" s="29"/>
      <c r="I81" s="29" t="str">
        <f t="shared" si="3"/>
        <v/>
      </c>
      <c r="K81" s="30"/>
      <c r="M81" t="str">
        <f>IF($A81=Ficha!$B$3,COUNTIF($A$5:$A81,Ficha!$B$3),"")</f>
        <v/>
      </c>
    </row>
    <row r="82" spans="2:13" x14ac:dyDescent="0.3">
      <c r="B82" s="30" t="str">
        <f>IF(A82="","",IFERROR(INDEX(Maniobras!$B$5:$B$504,MATCH(A82,Maniobras!$A$5:$A$504,0)),""))</f>
        <v/>
      </c>
      <c r="C82" t="str">
        <f t="shared" si="2"/>
        <v/>
      </c>
      <c r="D82" t="str">
        <f>IF(A82="","",IFERROR(INDEX(Maniobras!$D$5:$D$504,MATCH(A82,Maniobras!$A$5:$A$504,0)),""))</f>
        <v/>
      </c>
      <c r="F82" s="29" t="str">
        <f>IF(A82="","",IFERROR(INDEX(Maniobras!$K$5:$K$504,MATCH(A82,Maniobras!$A$5:$A$504,0)),""))</f>
        <v/>
      </c>
      <c r="G82" s="29"/>
      <c r="H82" s="29"/>
      <c r="I82" s="29" t="str">
        <f t="shared" si="3"/>
        <v/>
      </c>
      <c r="K82" s="30"/>
      <c r="M82" t="str">
        <f>IF($A82=Ficha!$B$3,COUNTIF($A$5:$A82,Ficha!$B$3),"")</f>
        <v/>
      </c>
    </row>
    <row r="83" spans="2:13" x14ac:dyDescent="0.3">
      <c r="B83" s="30" t="str">
        <f>IF(A83="","",IFERROR(INDEX(Maniobras!$B$5:$B$504,MATCH(A83,Maniobras!$A$5:$A$504,0)),""))</f>
        <v/>
      </c>
      <c r="C83" t="str">
        <f t="shared" si="2"/>
        <v/>
      </c>
      <c r="D83" t="str">
        <f>IF(A83="","",IFERROR(INDEX(Maniobras!$D$5:$D$504,MATCH(A83,Maniobras!$A$5:$A$504,0)),""))</f>
        <v/>
      </c>
      <c r="F83" s="29" t="str">
        <f>IF(A83="","",IFERROR(INDEX(Maniobras!$K$5:$K$504,MATCH(A83,Maniobras!$A$5:$A$504,0)),""))</f>
        <v/>
      </c>
      <c r="G83" s="29"/>
      <c r="H83" s="29"/>
      <c r="I83" s="29" t="str">
        <f t="shared" si="3"/>
        <v/>
      </c>
      <c r="K83" s="30"/>
      <c r="M83" t="str">
        <f>IF($A83=Ficha!$B$3,COUNTIF($A$5:$A83,Ficha!$B$3),"")</f>
        <v/>
      </c>
    </row>
    <row r="84" spans="2:13" x14ac:dyDescent="0.3">
      <c r="B84" s="30" t="str">
        <f>IF(A84="","",IFERROR(INDEX(Maniobras!$B$5:$B$504,MATCH(A84,Maniobras!$A$5:$A$504,0)),""))</f>
        <v/>
      </c>
      <c r="C84" t="str">
        <f t="shared" si="2"/>
        <v/>
      </c>
      <c r="D84" t="str">
        <f>IF(A84="","",IFERROR(INDEX(Maniobras!$D$5:$D$504,MATCH(A84,Maniobras!$A$5:$A$504,0)),""))</f>
        <v/>
      </c>
      <c r="F84" s="29" t="str">
        <f>IF(A84="","",IFERROR(INDEX(Maniobras!$K$5:$K$504,MATCH(A84,Maniobras!$A$5:$A$504,0)),""))</f>
        <v/>
      </c>
      <c r="G84" s="29"/>
      <c r="H84" s="29"/>
      <c r="I84" s="29" t="str">
        <f t="shared" si="3"/>
        <v/>
      </c>
      <c r="K84" s="30"/>
      <c r="M84" t="str">
        <f>IF($A84=Ficha!$B$3,COUNTIF($A$5:$A84,Ficha!$B$3),"")</f>
        <v/>
      </c>
    </row>
    <row r="85" spans="2:13" x14ac:dyDescent="0.3">
      <c r="B85" s="30" t="str">
        <f>IF(A85="","",IFERROR(INDEX(Maniobras!$B$5:$B$504,MATCH(A85,Maniobras!$A$5:$A$504,0)),""))</f>
        <v/>
      </c>
      <c r="C85" t="str">
        <f t="shared" si="2"/>
        <v/>
      </c>
      <c r="D85" t="str">
        <f>IF(A85="","",IFERROR(INDEX(Maniobras!$D$5:$D$504,MATCH(A85,Maniobras!$A$5:$A$504,0)),""))</f>
        <v/>
      </c>
      <c r="F85" s="29" t="str">
        <f>IF(A85="","",IFERROR(INDEX(Maniobras!$K$5:$K$504,MATCH(A85,Maniobras!$A$5:$A$504,0)),""))</f>
        <v/>
      </c>
      <c r="G85" s="29"/>
      <c r="H85" s="29"/>
      <c r="I85" s="29" t="str">
        <f t="shared" si="3"/>
        <v/>
      </c>
      <c r="K85" s="30"/>
      <c r="M85" t="str">
        <f>IF($A85=Ficha!$B$3,COUNTIF($A$5:$A85,Ficha!$B$3),"")</f>
        <v/>
      </c>
    </row>
    <row r="86" spans="2:13" x14ac:dyDescent="0.3">
      <c r="B86" s="30" t="str">
        <f>IF(A86="","",IFERROR(INDEX(Maniobras!$B$5:$B$504,MATCH(A86,Maniobras!$A$5:$A$504,0)),""))</f>
        <v/>
      </c>
      <c r="C86" t="str">
        <f t="shared" si="2"/>
        <v/>
      </c>
      <c r="D86" t="str">
        <f>IF(A86="","",IFERROR(INDEX(Maniobras!$D$5:$D$504,MATCH(A86,Maniobras!$A$5:$A$504,0)),""))</f>
        <v/>
      </c>
      <c r="F86" s="29" t="str">
        <f>IF(A86="","",IFERROR(INDEX(Maniobras!$K$5:$K$504,MATCH(A86,Maniobras!$A$5:$A$504,0)),""))</f>
        <v/>
      </c>
      <c r="G86" s="29"/>
      <c r="H86" s="29"/>
      <c r="I86" s="29" t="str">
        <f t="shared" si="3"/>
        <v/>
      </c>
      <c r="K86" s="30"/>
      <c r="M86" t="str">
        <f>IF($A86=Ficha!$B$3,COUNTIF($A$5:$A86,Ficha!$B$3),"")</f>
        <v/>
      </c>
    </row>
    <row r="87" spans="2:13" x14ac:dyDescent="0.3">
      <c r="B87" s="30" t="str">
        <f>IF(A87="","",IFERROR(INDEX(Maniobras!$B$5:$B$504,MATCH(A87,Maniobras!$A$5:$A$504,0)),""))</f>
        <v/>
      </c>
      <c r="C87" t="str">
        <f t="shared" si="2"/>
        <v/>
      </c>
      <c r="D87" t="str">
        <f>IF(A87="","",IFERROR(INDEX(Maniobras!$D$5:$D$504,MATCH(A87,Maniobras!$A$5:$A$504,0)),""))</f>
        <v/>
      </c>
      <c r="F87" s="29" t="str">
        <f>IF(A87="","",IFERROR(INDEX(Maniobras!$K$5:$K$504,MATCH(A87,Maniobras!$A$5:$A$504,0)),""))</f>
        <v/>
      </c>
      <c r="G87" s="29"/>
      <c r="H87" s="29"/>
      <c r="I87" s="29" t="str">
        <f t="shared" si="3"/>
        <v/>
      </c>
      <c r="K87" s="30"/>
      <c r="M87" t="str">
        <f>IF($A87=Ficha!$B$3,COUNTIF($A$5:$A87,Ficha!$B$3),"")</f>
        <v/>
      </c>
    </row>
    <row r="88" spans="2:13" x14ac:dyDescent="0.3">
      <c r="B88" s="30" t="str">
        <f>IF(A88="","",IFERROR(INDEX(Maniobras!$B$5:$B$504,MATCH(A88,Maniobras!$A$5:$A$504,0)),""))</f>
        <v/>
      </c>
      <c r="C88" t="str">
        <f t="shared" si="2"/>
        <v/>
      </c>
      <c r="D88" t="str">
        <f>IF(A88="","",IFERROR(INDEX(Maniobras!$D$5:$D$504,MATCH(A88,Maniobras!$A$5:$A$504,0)),""))</f>
        <v/>
      </c>
      <c r="F88" s="29" t="str">
        <f>IF(A88="","",IFERROR(INDEX(Maniobras!$K$5:$K$504,MATCH(A88,Maniobras!$A$5:$A$504,0)),""))</f>
        <v/>
      </c>
      <c r="G88" s="29"/>
      <c r="H88" s="29"/>
      <c r="I88" s="29" t="str">
        <f t="shared" si="3"/>
        <v/>
      </c>
      <c r="K88" s="30"/>
      <c r="M88" t="str">
        <f>IF($A88=Ficha!$B$3,COUNTIF($A$5:$A88,Ficha!$B$3),"")</f>
        <v/>
      </c>
    </row>
    <row r="89" spans="2:13" x14ac:dyDescent="0.3">
      <c r="B89" s="30" t="str">
        <f>IF(A89="","",IFERROR(INDEX(Maniobras!$B$5:$B$504,MATCH(A89,Maniobras!$A$5:$A$504,0)),""))</f>
        <v/>
      </c>
      <c r="C89" t="str">
        <f t="shared" si="2"/>
        <v/>
      </c>
      <c r="D89" t="str">
        <f>IF(A89="","",IFERROR(INDEX(Maniobras!$D$5:$D$504,MATCH(A89,Maniobras!$A$5:$A$504,0)),""))</f>
        <v/>
      </c>
      <c r="F89" s="29" t="str">
        <f>IF(A89="","",IFERROR(INDEX(Maniobras!$K$5:$K$504,MATCH(A89,Maniobras!$A$5:$A$504,0)),""))</f>
        <v/>
      </c>
      <c r="G89" s="29"/>
      <c r="H89" s="29"/>
      <c r="I89" s="29" t="str">
        <f t="shared" si="3"/>
        <v/>
      </c>
      <c r="K89" s="30"/>
      <c r="M89" t="str">
        <f>IF($A89=Ficha!$B$3,COUNTIF($A$5:$A89,Ficha!$B$3),"")</f>
        <v/>
      </c>
    </row>
    <row r="90" spans="2:13" x14ac:dyDescent="0.3">
      <c r="B90" s="30" t="str">
        <f>IF(A90="","",IFERROR(INDEX(Maniobras!$B$5:$B$504,MATCH(A90,Maniobras!$A$5:$A$504,0)),""))</f>
        <v/>
      </c>
      <c r="C90" t="str">
        <f t="shared" si="2"/>
        <v/>
      </c>
      <c r="D90" t="str">
        <f>IF(A90="","",IFERROR(INDEX(Maniobras!$D$5:$D$504,MATCH(A90,Maniobras!$A$5:$A$504,0)),""))</f>
        <v/>
      </c>
      <c r="F90" s="29" t="str">
        <f>IF(A90="","",IFERROR(INDEX(Maniobras!$K$5:$K$504,MATCH(A90,Maniobras!$A$5:$A$504,0)),""))</f>
        <v/>
      </c>
      <c r="G90" s="29"/>
      <c r="H90" s="29"/>
      <c r="I90" s="29" t="str">
        <f t="shared" si="3"/>
        <v/>
      </c>
      <c r="K90" s="30"/>
      <c r="M90" t="str">
        <f>IF($A90=Ficha!$B$3,COUNTIF($A$5:$A90,Ficha!$B$3),"")</f>
        <v/>
      </c>
    </row>
    <row r="91" spans="2:13" x14ac:dyDescent="0.3">
      <c r="B91" s="30" t="str">
        <f>IF(A91="","",IFERROR(INDEX(Maniobras!$B$5:$B$504,MATCH(A91,Maniobras!$A$5:$A$504,0)),""))</f>
        <v/>
      </c>
      <c r="C91" t="str">
        <f t="shared" si="2"/>
        <v/>
      </c>
      <c r="D91" t="str">
        <f>IF(A91="","",IFERROR(INDEX(Maniobras!$D$5:$D$504,MATCH(A91,Maniobras!$A$5:$A$504,0)),""))</f>
        <v/>
      </c>
      <c r="F91" s="29" t="str">
        <f>IF(A91="","",IFERROR(INDEX(Maniobras!$K$5:$K$504,MATCH(A91,Maniobras!$A$5:$A$504,0)),""))</f>
        <v/>
      </c>
      <c r="G91" s="29"/>
      <c r="H91" s="29"/>
      <c r="I91" s="29" t="str">
        <f t="shared" si="3"/>
        <v/>
      </c>
      <c r="K91" s="30"/>
      <c r="M91" t="str">
        <f>IF($A91=Ficha!$B$3,COUNTIF($A$5:$A91,Ficha!$B$3),"")</f>
        <v/>
      </c>
    </row>
    <row r="92" spans="2:13" x14ac:dyDescent="0.3">
      <c r="B92" s="30" t="str">
        <f>IF(A92="","",IFERROR(INDEX(Maniobras!$B$5:$B$504,MATCH(A92,Maniobras!$A$5:$A$504,0)),""))</f>
        <v/>
      </c>
      <c r="C92" t="str">
        <f t="shared" si="2"/>
        <v/>
      </c>
      <c r="D92" t="str">
        <f>IF(A92="","",IFERROR(INDEX(Maniobras!$D$5:$D$504,MATCH(A92,Maniobras!$A$5:$A$504,0)),""))</f>
        <v/>
      </c>
      <c r="F92" s="29" t="str">
        <f>IF(A92="","",IFERROR(INDEX(Maniobras!$K$5:$K$504,MATCH(A92,Maniobras!$A$5:$A$504,0)),""))</f>
        <v/>
      </c>
      <c r="G92" s="29"/>
      <c r="H92" s="29"/>
      <c r="I92" s="29" t="str">
        <f t="shared" si="3"/>
        <v/>
      </c>
      <c r="K92" s="30"/>
      <c r="M92" t="str">
        <f>IF($A92=Ficha!$B$3,COUNTIF($A$5:$A92,Ficha!$B$3),"")</f>
        <v/>
      </c>
    </row>
    <row r="93" spans="2:13" x14ac:dyDescent="0.3">
      <c r="B93" s="30" t="str">
        <f>IF(A93="","",IFERROR(INDEX(Maniobras!$B$5:$B$504,MATCH(A93,Maniobras!$A$5:$A$504,0)),""))</f>
        <v/>
      </c>
      <c r="C93" t="str">
        <f t="shared" si="2"/>
        <v/>
      </c>
      <c r="D93" t="str">
        <f>IF(A93="","",IFERROR(INDEX(Maniobras!$D$5:$D$504,MATCH(A93,Maniobras!$A$5:$A$504,0)),""))</f>
        <v/>
      </c>
      <c r="F93" s="29" t="str">
        <f>IF(A93="","",IFERROR(INDEX(Maniobras!$K$5:$K$504,MATCH(A93,Maniobras!$A$5:$A$504,0)),""))</f>
        <v/>
      </c>
      <c r="G93" s="29"/>
      <c r="H93" s="29"/>
      <c r="I93" s="29" t="str">
        <f t="shared" si="3"/>
        <v/>
      </c>
      <c r="K93" s="30"/>
      <c r="M93" t="str">
        <f>IF($A93=Ficha!$B$3,COUNTIF($A$5:$A93,Ficha!$B$3),"")</f>
        <v/>
      </c>
    </row>
    <row r="94" spans="2:13" x14ac:dyDescent="0.3">
      <c r="B94" s="30" t="str">
        <f>IF(A94="","",IFERROR(INDEX(Maniobras!$B$5:$B$504,MATCH(A94,Maniobras!$A$5:$A$504,0)),""))</f>
        <v/>
      </c>
      <c r="C94" t="str">
        <f t="shared" si="2"/>
        <v/>
      </c>
      <c r="D94" t="str">
        <f>IF(A94="","",IFERROR(INDEX(Maniobras!$D$5:$D$504,MATCH(A94,Maniobras!$A$5:$A$504,0)),""))</f>
        <v/>
      </c>
      <c r="F94" s="29" t="str">
        <f>IF(A94="","",IFERROR(INDEX(Maniobras!$K$5:$K$504,MATCH(A94,Maniobras!$A$5:$A$504,0)),""))</f>
        <v/>
      </c>
      <c r="G94" s="29"/>
      <c r="H94" s="29"/>
      <c r="I94" s="29" t="str">
        <f t="shared" si="3"/>
        <v/>
      </c>
      <c r="K94" s="30"/>
      <c r="M94" t="str">
        <f>IF($A94=Ficha!$B$3,COUNTIF($A$5:$A94,Ficha!$B$3),"")</f>
        <v/>
      </c>
    </row>
    <row r="95" spans="2:13" x14ac:dyDescent="0.3">
      <c r="B95" s="30" t="str">
        <f>IF(A95="","",IFERROR(INDEX(Maniobras!$B$5:$B$504,MATCH(A95,Maniobras!$A$5:$A$504,0)),""))</f>
        <v/>
      </c>
      <c r="C95" t="str">
        <f t="shared" si="2"/>
        <v/>
      </c>
      <c r="D95" t="str">
        <f>IF(A95="","",IFERROR(INDEX(Maniobras!$D$5:$D$504,MATCH(A95,Maniobras!$A$5:$A$504,0)),""))</f>
        <v/>
      </c>
      <c r="F95" s="29" t="str">
        <f>IF(A95="","",IFERROR(INDEX(Maniobras!$K$5:$K$504,MATCH(A95,Maniobras!$A$5:$A$504,0)),""))</f>
        <v/>
      </c>
      <c r="G95" s="29"/>
      <c r="H95" s="29"/>
      <c r="I95" s="29" t="str">
        <f t="shared" si="3"/>
        <v/>
      </c>
      <c r="K95" s="30"/>
      <c r="M95" t="str">
        <f>IF($A95=Ficha!$B$3,COUNTIF($A$5:$A95,Ficha!$B$3),"")</f>
        <v/>
      </c>
    </row>
    <row r="96" spans="2:13" x14ac:dyDescent="0.3">
      <c r="B96" s="30" t="str">
        <f>IF(A96="","",IFERROR(INDEX(Maniobras!$B$5:$B$504,MATCH(A96,Maniobras!$A$5:$A$504,0)),""))</f>
        <v/>
      </c>
      <c r="C96" t="str">
        <f t="shared" si="2"/>
        <v/>
      </c>
      <c r="D96" t="str">
        <f>IF(A96="","",IFERROR(INDEX(Maniobras!$D$5:$D$504,MATCH(A96,Maniobras!$A$5:$A$504,0)),""))</f>
        <v/>
      </c>
      <c r="F96" s="29" t="str">
        <f>IF(A96="","",IFERROR(INDEX(Maniobras!$K$5:$K$504,MATCH(A96,Maniobras!$A$5:$A$504,0)),""))</f>
        <v/>
      </c>
      <c r="G96" s="29"/>
      <c r="H96" s="29"/>
      <c r="I96" s="29" t="str">
        <f t="shared" si="3"/>
        <v/>
      </c>
      <c r="K96" s="30"/>
      <c r="M96" t="str">
        <f>IF($A96=Ficha!$B$3,COUNTIF($A$5:$A96,Ficha!$B$3),"")</f>
        <v/>
      </c>
    </row>
    <row r="97" spans="2:13" x14ac:dyDescent="0.3">
      <c r="B97" s="30" t="str">
        <f>IF(A97="","",IFERROR(INDEX(Maniobras!$B$5:$B$504,MATCH(A97,Maniobras!$A$5:$A$504,0)),""))</f>
        <v/>
      </c>
      <c r="C97" t="str">
        <f t="shared" si="2"/>
        <v/>
      </c>
      <c r="D97" t="str">
        <f>IF(A97="","",IFERROR(INDEX(Maniobras!$D$5:$D$504,MATCH(A97,Maniobras!$A$5:$A$504,0)),""))</f>
        <v/>
      </c>
      <c r="F97" s="29" t="str">
        <f>IF(A97="","",IFERROR(INDEX(Maniobras!$K$5:$K$504,MATCH(A97,Maniobras!$A$5:$A$504,0)),""))</f>
        <v/>
      </c>
      <c r="G97" s="29"/>
      <c r="H97" s="29"/>
      <c r="I97" s="29" t="str">
        <f t="shared" si="3"/>
        <v/>
      </c>
      <c r="K97" s="30"/>
      <c r="M97" t="str">
        <f>IF($A97=Ficha!$B$3,COUNTIF($A$5:$A97,Ficha!$B$3),"")</f>
        <v/>
      </c>
    </row>
    <row r="98" spans="2:13" x14ac:dyDescent="0.3">
      <c r="B98" s="30" t="str">
        <f>IF(A98="","",IFERROR(INDEX(Maniobras!$B$5:$B$504,MATCH(A98,Maniobras!$A$5:$A$504,0)),""))</f>
        <v/>
      </c>
      <c r="C98" t="str">
        <f t="shared" si="2"/>
        <v/>
      </c>
      <c r="D98" t="str">
        <f>IF(A98="","",IFERROR(INDEX(Maniobras!$D$5:$D$504,MATCH(A98,Maniobras!$A$5:$A$504,0)),""))</f>
        <v/>
      </c>
      <c r="F98" s="29" t="str">
        <f>IF(A98="","",IFERROR(INDEX(Maniobras!$K$5:$K$504,MATCH(A98,Maniobras!$A$5:$A$504,0)),""))</f>
        <v/>
      </c>
      <c r="G98" s="29"/>
      <c r="H98" s="29"/>
      <c r="I98" s="29" t="str">
        <f t="shared" si="3"/>
        <v/>
      </c>
      <c r="K98" s="30"/>
      <c r="M98" t="str">
        <f>IF($A98=Ficha!$B$3,COUNTIF($A$5:$A98,Ficha!$B$3),"")</f>
        <v/>
      </c>
    </row>
    <row r="99" spans="2:13" x14ac:dyDescent="0.3">
      <c r="B99" s="30" t="str">
        <f>IF(A99="","",IFERROR(INDEX(Maniobras!$B$5:$B$504,MATCH(A99,Maniobras!$A$5:$A$504,0)),""))</f>
        <v/>
      </c>
      <c r="C99" t="str">
        <f t="shared" si="2"/>
        <v/>
      </c>
      <c r="D99" t="str">
        <f>IF(A99="","",IFERROR(INDEX(Maniobras!$D$5:$D$504,MATCH(A99,Maniobras!$A$5:$A$504,0)),""))</f>
        <v/>
      </c>
      <c r="F99" s="29" t="str">
        <f>IF(A99="","",IFERROR(INDEX(Maniobras!$K$5:$K$504,MATCH(A99,Maniobras!$A$5:$A$504,0)),""))</f>
        <v/>
      </c>
      <c r="G99" s="29"/>
      <c r="H99" s="29"/>
      <c r="I99" s="29" t="str">
        <f t="shared" si="3"/>
        <v/>
      </c>
      <c r="K99" s="30"/>
      <c r="M99" t="str">
        <f>IF($A99=Ficha!$B$3,COUNTIF($A$5:$A99,Ficha!$B$3),"")</f>
        <v/>
      </c>
    </row>
    <row r="100" spans="2:13" x14ac:dyDescent="0.3">
      <c r="B100" s="30" t="str">
        <f>IF(A100="","",IFERROR(INDEX(Maniobras!$B$5:$B$504,MATCH(A100,Maniobras!$A$5:$A$504,0)),""))</f>
        <v/>
      </c>
      <c r="C100" t="str">
        <f t="shared" si="2"/>
        <v/>
      </c>
      <c r="D100" t="str">
        <f>IF(A100="","",IFERROR(INDEX(Maniobras!$D$5:$D$504,MATCH(A100,Maniobras!$A$5:$A$504,0)),""))</f>
        <v/>
      </c>
      <c r="F100" s="29" t="str">
        <f>IF(A100="","",IFERROR(INDEX(Maniobras!$K$5:$K$504,MATCH(A100,Maniobras!$A$5:$A$504,0)),""))</f>
        <v/>
      </c>
      <c r="G100" s="29"/>
      <c r="H100" s="29"/>
      <c r="I100" s="29" t="str">
        <f t="shared" si="3"/>
        <v/>
      </c>
      <c r="K100" s="30"/>
      <c r="M100" t="str">
        <f>IF($A100=Ficha!$B$3,COUNTIF($A$5:$A100,Ficha!$B$3),"")</f>
        <v/>
      </c>
    </row>
    <row r="101" spans="2:13" x14ac:dyDescent="0.3">
      <c r="B101" s="30" t="str">
        <f>IF(A101="","",IFERROR(INDEX(Maniobras!$B$5:$B$504,MATCH(A101,Maniobras!$A$5:$A$504,0)),""))</f>
        <v/>
      </c>
      <c r="C101" t="str">
        <f t="shared" si="2"/>
        <v/>
      </c>
      <c r="D101" t="str">
        <f>IF(A101="","",IFERROR(INDEX(Maniobras!$D$5:$D$504,MATCH(A101,Maniobras!$A$5:$A$504,0)),""))</f>
        <v/>
      </c>
      <c r="F101" s="29" t="str">
        <f>IF(A101="","",IFERROR(INDEX(Maniobras!$K$5:$K$504,MATCH(A101,Maniobras!$A$5:$A$504,0)),""))</f>
        <v/>
      </c>
      <c r="G101" s="29"/>
      <c r="H101" s="29"/>
      <c r="I101" s="29" t="str">
        <f t="shared" si="3"/>
        <v/>
      </c>
      <c r="K101" s="30"/>
      <c r="M101" t="str">
        <f>IF($A101=Ficha!$B$3,COUNTIF($A$5:$A101,Ficha!$B$3),"")</f>
        <v/>
      </c>
    </row>
    <row r="102" spans="2:13" x14ac:dyDescent="0.3">
      <c r="B102" s="30" t="str">
        <f>IF(A102="","",IFERROR(INDEX(Maniobras!$B$5:$B$504,MATCH(A102,Maniobras!$A$5:$A$504,0)),""))</f>
        <v/>
      </c>
      <c r="C102" t="str">
        <f t="shared" si="2"/>
        <v/>
      </c>
      <c r="D102" t="str">
        <f>IF(A102="","",IFERROR(INDEX(Maniobras!$D$5:$D$504,MATCH(A102,Maniobras!$A$5:$A$504,0)),""))</f>
        <v/>
      </c>
      <c r="F102" s="29" t="str">
        <f>IF(A102="","",IFERROR(INDEX(Maniobras!$K$5:$K$504,MATCH(A102,Maniobras!$A$5:$A$504,0)),""))</f>
        <v/>
      </c>
      <c r="G102" s="29"/>
      <c r="H102" s="29"/>
      <c r="I102" s="29" t="str">
        <f t="shared" si="3"/>
        <v/>
      </c>
      <c r="K102" s="30"/>
      <c r="M102" t="str">
        <f>IF($A102=Ficha!$B$3,COUNTIF($A$5:$A102,Ficha!$B$3),"")</f>
        <v/>
      </c>
    </row>
    <row r="103" spans="2:13" x14ac:dyDescent="0.3">
      <c r="B103" s="30" t="str">
        <f>IF(A103="","",IFERROR(INDEX(Maniobras!$B$5:$B$504,MATCH(A103,Maniobras!$A$5:$A$504,0)),""))</f>
        <v/>
      </c>
      <c r="C103" t="str">
        <f t="shared" si="2"/>
        <v/>
      </c>
      <c r="D103" t="str">
        <f>IF(A103="","",IFERROR(INDEX(Maniobras!$D$5:$D$504,MATCH(A103,Maniobras!$A$5:$A$504,0)),""))</f>
        <v/>
      </c>
      <c r="F103" s="29" t="str">
        <f>IF(A103="","",IFERROR(INDEX(Maniobras!$K$5:$K$504,MATCH(A103,Maniobras!$A$5:$A$504,0)),""))</f>
        <v/>
      </c>
      <c r="G103" s="29"/>
      <c r="H103" s="29"/>
      <c r="I103" s="29" t="str">
        <f t="shared" si="3"/>
        <v/>
      </c>
      <c r="K103" s="30"/>
      <c r="M103" t="str">
        <f>IF($A103=Ficha!$B$3,COUNTIF($A$5:$A103,Ficha!$B$3),"")</f>
        <v/>
      </c>
    </row>
    <row r="104" spans="2:13" x14ac:dyDescent="0.3">
      <c r="B104" s="30" t="str">
        <f>IF(A104="","",IFERROR(INDEX(Maniobras!$B$5:$B$504,MATCH(A104,Maniobras!$A$5:$A$504,0)),""))</f>
        <v/>
      </c>
      <c r="C104" t="str">
        <f t="shared" si="2"/>
        <v/>
      </c>
      <c r="D104" t="str">
        <f>IF(A104="","",IFERROR(INDEX(Maniobras!$D$5:$D$504,MATCH(A104,Maniobras!$A$5:$A$504,0)),""))</f>
        <v/>
      </c>
      <c r="F104" s="29" t="str">
        <f>IF(A104="","",IFERROR(INDEX(Maniobras!$K$5:$K$504,MATCH(A104,Maniobras!$A$5:$A$504,0)),""))</f>
        <v/>
      </c>
      <c r="G104" s="29"/>
      <c r="H104" s="29"/>
      <c r="I104" s="29" t="str">
        <f t="shared" si="3"/>
        <v/>
      </c>
      <c r="K104" s="30"/>
      <c r="M104" t="str">
        <f>IF($A104=Ficha!$B$3,COUNTIF($A$5:$A104,Ficha!$B$3),"")</f>
        <v/>
      </c>
    </row>
    <row r="105" spans="2:13" x14ac:dyDescent="0.3">
      <c r="B105" s="30" t="str">
        <f>IF(A105="","",IFERROR(INDEX(Maniobras!$B$5:$B$504,MATCH(A105,Maniobras!$A$5:$A$504,0)),""))</f>
        <v/>
      </c>
      <c r="C105" t="str">
        <f t="shared" si="2"/>
        <v/>
      </c>
      <c r="D105" t="str">
        <f>IF(A105="","",IFERROR(INDEX(Maniobras!$D$5:$D$504,MATCH(A105,Maniobras!$A$5:$A$504,0)),""))</f>
        <v/>
      </c>
      <c r="F105" s="29" t="str">
        <f>IF(A105="","",IFERROR(INDEX(Maniobras!$K$5:$K$504,MATCH(A105,Maniobras!$A$5:$A$504,0)),""))</f>
        <v/>
      </c>
      <c r="G105" s="29"/>
      <c r="H105" s="29"/>
      <c r="I105" s="29" t="str">
        <f t="shared" si="3"/>
        <v/>
      </c>
      <c r="K105" s="30"/>
      <c r="M105" t="str">
        <f>IF($A105=Ficha!$B$3,COUNTIF($A$5:$A105,Ficha!$B$3),"")</f>
        <v/>
      </c>
    </row>
    <row r="106" spans="2:13" x14ac:dyDescent="0.3">
      <c r="B106" s="30" t="str">
        <f>IF(A106="","",IFERROR(INDEX(Maniobras!$B$5:$B$504,MATCH(A106,Maniobras!$A$5:$A$504,0)),""))</f>
        <v/>
      </c>
      <c r="C106" t="str">
        <f t="shared" si="2"/>
        <v/>
      </c>
      <c r="D106" t="str">
        <f>IF(A106="","",IFERROR(INDEX(Maniobras!$D$5:$D$504,MATCH(A106,Maniobras!$A$5:$A$504,0)),""))</f>
        <v/>
      </c>
      <c r="F106" s="29" t="str">
        <f>IF(A106="","",IFERROR(INDEX(Maniobras!$K$5:$K$504,MATCH(A106,Maniobras!$A$5:$A$504,0)),""))</f>
        <v/>
      </c>
      <c r="G106" s="29"/>
      <c r="H106" s="29"/>
      <c r="I106" s="29" t="str">
        <f t="shared" si="3"/>
        <v/>
      </c>
      <c r="K106" s="30"/>
      <c r="M106" t="str">
        <f>IF($A106=Ficha!$B$3,COUNTIF($A$5:$A106,Ficha!$B$3),"")</f>
        <v/>
      </c>
    </row>
    <row r="107" spans="2:13" x14ac:dyDescent="0.3">
      <c r="B107" s="30" t="str">
        <f>IF(A107="","",IFERROR(INDEX(Maniobras!$B$5:$B$504,MATCH(A107,Maniobras!$A$5:$A$504,0)),""))</f>
        <v/>
      </c>
      <c r="C107" t="str">
        <f t="shared" si="2"/>
        <v/>
      </c>
      <c r="D107" t="str">
        <f>IF(A107="","",IFERROR(INDEX(Maniobras!$D$5:$D$504,MATCH(A107,Maniobras!$A$5:$A$504,0)),""))</f>
        <v/>
      </c>
      <c r="F107" s="29" t="str">
        <f>IF(A107="","",IFERROR(INDEX(Maniobras!$K$5:$K$504,MATCH(A107,Maniobras!$A$5:$A$504,0)),""))</f>
        <v/>
      </c>
      <c r="G107" s="29"/>
      <c r="H107" s="29"/>
      <c r="I107" s="29" t="str">
        <f t="shared" si="3"/>
        <v/>
      </c>
      <c r="K107" s="30"/>
      <c r="M107" t="str">
        <f>IF($A107=Ficha!$B$3,COUNTIF($A$5:$A107,Ficha!$B$3),"")</f>
        <v/>
      </c>
    </row>
    <row r="108" spans="2:13" x14ac:dyDescent="0.3">
      <c r="B108" s="30" t="str">
        <f>IF(A108="","",IFERROR(INDEX(Maniobras!$B$5:$B$504,MATCH(A108,Maniobras!$A$5:$A$504,0)),""))</f>
        <v/>
      </c>
      <c r="C108" t="str">
        <f t="shared" si="2"/>
        <v/>
      </c>
      <c r="D108" t="str">
        <f>IF(A108="","",IFERROR(INDEX(Maniobras!$D$5:$D$504,MATCH(A108,Maniobras!$A$5:$A$504,0)),""))</f>
        <v/>
      </c>
      <c r="F108" s="29" t="str">
        <f>IF(A108="","",IFERROR(INDEX(Maniobras!$K$5:$K$504,MATCH(A108,Maniobras!$A$5:$A$504,0)),""))</f>
        <v/>
      </c>
      <c r="G108" s="29"/>
      <c r="H108" s="29"/>
      <c r="I108" s="29" t="str">
        <f t="shared" si="3"/>
        <v/>
      </c>
      <c r="K108" s="30"/>
      <c r="M108" t="str">
        <f>IF($A108=Ficha!$B$3,COUNTIF($A$5:$A108,Ficha!$B$3),"")</f>
        <v/>
      </c>
    </row>
    <row r="109" spans="2:13" x14ac:dyDescent="0.3">
      <c r="B109" s="30" t="str">
        <f>IF(A109="","",IFERROR(INDEX(Maniobras!$B$5:$B$504,MATCH(A109,Maniobras!$A$5:$A$504,0)),""))</f>
        <v/>
      </c>
      <c r="C109" t="str">
        <f t="shared" si="2"/>
        <v/>
      </c>
      <c r="D109" t="str">
        <f>IF(A109="","",IFERROR(INDEX(Maniobras!$D$5:$D$504,MATCH(A109,Maniobras!$A$5:$A$504,0)),""))</f>
        <v/>
      </c>
      <c r="F109" s="29" t="str">
        <f>IF(A109="","",IFERROR(INDEX(Maniobras!$K$5:$K$504,MATCH(A109,Maniobras!$A$5:$A$504,0)),""))</f>
        <v/>
      </c>
      <c r="G109" s="29"/>
      <c r="H109" s="29"/>
      <c r="I109" s="29" t="str">
        <f t="shared" si="3"/>
        <v/>
      </c>
      <c r="K109" s="30"/>
      <c r="M109" t="str">
        <f>IF($A109=Ficha!$B$3,COUNTIF($A$5:$A109,Ficha!$B$3),"")</f>
        <v/>
      </c>
    </row>
    <row r="110" spans="2:13" x14ac:dyDescent="0.3">
      <c r="B110" s="30" t="str">
        <f>IF(A110="","",IFERROR(INDEX(Maniobras!$B$5:$B$504,MATCH(A110,Maniobras!$A$5:$A$504,0)),""))</f>
        <v/>
      </c>
      <c r="C110" t="str">
        <f t="shared" si="2"/>
        <v/>
      </c>
      <c r="D110" t="str">
        <f>IF(A110="","",IFERROR(INDEX(Maniobras!$D$5:$D$504,MATCH(A110,Maniobras!$A$5:$A$504,0)),""))</f>
        <v/>
      </c>
      <c r="F110" s="29" t="str">
        <f>IF(A110="","",IFERROR(INDEX(Maniobras!$K$5:$K$504,MATCH(A110,Maniobras!$A$5:$A$504,0)),""))</f>
        <v/>
      </c>
      <c r="G110" s="29"/>
      <c r="H110" s="29"/>
      <c r="I110" s="29" t="str">
        <f t="shared" si="3"/>
        <v/>
      </c>
      <c r="K110" s="30"/>
      <c r="M110" t="str">
        <f>IF($A110=Ficha!$B$3,COUNTIF($A$5:$A110,Ficha!$B$3),"")</f>
        <v/>
      </c>
    </row>
    <row r="111" spans="2:13" x14ac:dyDescent="0.3">
      <c r="B111" s="30" t="str">
        <f>IF(A111="","",IFERROR(INDEX(Maniobras!$B$5:$B$504,MATCH(A111,Maniobras!$A$5:$A$504,0)),""))</f>
        <v/>
      </c>
      <c r="C111" t="str">
        <f t="shared" si="2"/>
        <v/>
      </c>
      <c r="D111" t="str">
        <f>IF(A111="","",IFERROR(INDEX(Maniobras!$D$5:$D$504,MATCH(A111,Maniobras!$A$5:$A$504,0)),""))</f>
        <v/>
      </c>
      <c r="F111" s="29" t="str">
        <f>IF(A111="","",IFERROR(INDEX(Maniobras!$K$5:$K$504,MATCH(A111,Maniobras!$A$5:$A$504,0)),""))</f>
        <v/>
      </c>
      <c r="G111" s="29"/>
      <c r="H111" s="29"/>
      <c r="I111" s="29" t="str">
        <f t="shared" si="3"/>
        <v/>
      </c>
      <c r="K111" s="30"/>
      <c r="M111" t="str">
        <f>IF($A111=Ficha!$B$3,COUNTIF($A$5:$A111,Ficha!$B$3),"")</f>
        <v/>
      </c>
    </row>
    <row r="112" spans="2:13" x14ac:dyDescent="0.3">
      <c r="B112" s="30" t="str">
        <f>IF(A112="","",IFERROR(INDEX(Maniobras!$B$5:$B$504,MATCH(A112,Maniobras!$A$5:$A$504,0)),""))</f>
        <v/>
      </c>
      <c r="C112" t="str">
        <f t="shared" si="2"/>
        <v/>
      </c>
      <c r="D112" t="str">
        <f>IF(A112="","",IFERROR(INDEX(Maniobras!$D$5:$D$504,MATCH(A112,Maniobras!$A$5:$A$504,0)),""))</f>
        <v/>
      </c>
      <c r="F112" s="29" t="str">
        <f>IF(A112="","",IFERROR(INDEX(Maniobras!$K$5:$K$504,MATCH(A112,Maniobras!$A$5:$A$504,0)),""))</f>
        <v/>
      </c>
      <c r="G112" s="29"/>
      <c r="H112" s="29"/>
      <c r="I112" s="29" t="str">
        <f t="shared" si="3"/>
        <v/>
      </c>
      <c r="K112" s="30"/>
      <c r="M112" t="str">
        <f>IF($A112=Ficha!$B$3,COUNTIF($A$5:$A112,Ficha!$B$3),"")</f>
        <v/>
      </c>
    </row>
    <row r="113" spans="2:13" x14ac:dyDescent="0.3">
      <c r="B113" s="30" t="str">
        <f>IF(A113="","",IFERROR(INDEX(Maniobras!$B$5:$B$504,MATCH(A113,Maniobras!$A$5:$A$504,0)),""))</f>
        <v/>
      </c>
      <c r="C113" t="str">
        <f t="shared" si="2"/>
        <v/>
      </c>
      <c r="D113" t="str">
        <f>IF(A113="","",IFERROR(INDEX(Maniobras!$D$5:$D$504,MATCH(A113,Maniobras!$A$5:$A$504,0)),""))</f>
        <v/>
      </c>
      <c r="F113" s="29" t="str">
        <f>IF(A113="","",IFERROR(INDEX(Maniobras!$K$5:$K$504,MATCH(A113,Maniobras!$A$5:$A$504,0)),""))</f>
        <v/>
      </c>
      <c r="G113" s="29"/>
      <c r="H113" s="29"/>
      <c r="I113" s="29" t="str">
        <f t="shared" si="3"/>
        <v/>
      </c>
      <c r="K113" s="30"/>
      <c r="M113" t="str">
        <f>IF($A113=Ficha!$B$3,COUNTIF($A$5:$A113,Ficha!$B$3),"")</f>
        <v/>
      </c>
    </row>
    <row r="114" spans="2:13" x14ac:dyDescent="0.3">
      <c r="B114" s="30" t="str">
        <f>IF(A114="","",IFERROR(INDEX(Maniobras!$B$5:$B$504,MATCH(A114,Maniobras!$A$5:$A$504,0)),""))</f>
        <v/>
      </c>
      <c r="C114" t="str">
        <f t="shared" si="2"/>
        <v/>
      </c>
      <c r="D114" t="str">
        <f>IF(A114="","",IFERROR(INDEX(Maniobras!$D$5:$D$504,MATCH(A114,Maniobras!$A$5:$A$504,0)),""))</f>
        <v/>
      </c>
      <c r="F114" s="29" t="str">
        <f>IF(A114="","",IFERROR(INDEX(Maniobras!$K$5:$K$504,MATCH(A114,Maniobras!$A$5:$A$504,0)),""))</f>
        <v/>
      </c>
      <c r="G114" s="29"/>
      <c r="H114" s="29"/>
      <c r="I114" s="29" t="str">
        <f t="shared" si="3"/>
        <v/>
      </c>
      <c r="K114" s="30"/>
      <c r="M114" t="str">
        <f>IF($A114=Ficha!$B$3,COUNTIF($A$5:$A114,Ficha!$B$3),"")</f>
        <v/>
      </c>
    </row>
    <row r="115" spans="2:13" x14ac:dyDescent="0.3">
      <c r="B115" s="30" t="str">
        <f>IF(A115="","",IFERROR(INDEX(Maniobras!$B$5:$B$504,MATCH(A115,Maniobras!$A$5:$A$504,0)),""))</f>
        <v/>
      </c>
      <c r="C115" t="str">
        <f t="shared" si="2"/>
        <v/>
      </c>
      <c r="D115" t="str">
        <f>IF(A115="","",IFERROR(INDEX(Maniobras!$D$5:$D$504,MATCH(A115,Maniobras!$A$5:$A$504,0)),""))</f>
        <v/>
      </c>
      <c r="F115" s="29" t="str">
        <f>IF(A115="","",IFERROR(INDEX(Maniobras!$K$5:$K$504,MATCH(A115,Maniobras!$A$5:$A$504,0)),""))</f>
        <v/>
      </c>
      <c r="G115" s="29"/>
      <c r="H115" s="29"/>
      <c r="I115" s="29" t="str">
        <f t="shared" si="3"/>
        <v/>
      </c>
      <c r="K115" s="30"/>
      <c r="M115" t="str">
        <f>IF($A115=Ficha!$B$3,COUNTIF($A$5:$A115,Ficha!$B$3),"")</f>
        <v/>
      </c>
    </row>
    <row r="116" spans="2:13" x14ac:dyDescent="0.3">
      <c r="B116" s="30" t="str">
        <f>IF(A116="","",IFERROR(INDEX(Maniobras!$B$5:$B$504,MATCH(A116,Maniobras!$A$5:$A$504,0)),""))</f>
        <v/>
      </c>
      <c r="C116" t="str">
        <f t="shared" si="2"/>
        <v/>
      </c>
      <c r="D116" t="str">
        <f>IF(A116="","",IFERROR(INDEX(Maniobras!$D$5:$D$504,MATCH(A116,Maniobras!$A$5:$A$504,0)),""))</f>
        <v/>
      </c>
      <c r="F116" s="29" t="str">
        <f>IF(A116="","",IFERROR(INDEX(Maniobras!$K$5:$K$504,MATCH(A116,Maniobras!$A$5:$A$504,0)),""))</f>
        <v/>
      </c>
      <c r="G116" s="29"/>
      <c r="H116" s="29"/>
      <c r="I116" s="29" t="str">
        <f t="shared" si="3"/>
        <v/>
      </c>
      <c r="K116" s="30"/>
      <c r="M116" t="str">
        <f>IF($A116=Ficha!$B$3,COUNTIF($A$5:$A116,Ficha!$B$3),"")</f>
        <v/>
      </c>
    </row>
    <row r="117" spans="2:13" x14ac:dyDescent="0.3">
      <c r="B117" s="30" t="str">
        <f>IF(A117="","",IFERROR(INDEX(Maniobras!$B$5:$B$504,MATCH(A117,Maniobras!$A$5:$A$504,0)),""))</f>
        <v/>
      </c>
      <c r="C117" t="str">
        <f t="shared" si="2"/>
        <v/>
      </c>
      <c r="D117" t="str">
        <f>IF(A117="","",IFERROR(INDEX(Maniobras!$D$5:$D$504,MATCH(A117,Maniobras!$A$5:$A$504,0)),""))</f>
        <v/>
      </c>
      <c r="F117" s="29" t="str">
        <f>IF(A117="","",IFERROR(INDEX(Maniobras!$K$5:$K$504,MATCH(A117,Maniobras!$A$5:$A$504,0)),""))</f>
        <v/>
      </c>
      <c r="G117" s="29"/>
      <c r="H117" s="29"/>
      <c r="I117" s="29" t="str">
        <f t="shared" si="3"/>
        <v/>
      </c>
      <c r="K117" s="30"/>
      <c r="M117" t="str">
        <f>IF($A117=Ficha!$B$3,COUNTIF($A$5:$A117,Ficha!$B$3),"")</f>
        <v/>
      </c>
    </row>
    <row r="118" spans="2:13" x14ac:dyDescent="0.3">
      <c r="B118" s="30" t="str">
        <f>IF(A118="","",IFERROR(INDEX(Maniobras!$B$5:$B$504,MATCH(A118,Maniobras!$A$5:$A$504,0)),""))</f>
        <v/>
      </c>
      <c r="C118" t="str">
        <f t="shared" si="2"/>
        <v/>
      </c>
      <c r="D118" t="str">
        <f>IF(A118="","",IFERROR(INDEX(Maniobras!$D$5:$D$504,MATCH(A118,Maniobras!$A$5:$A$504,0)),""))</f>
        <v/>
      </c>
      <c r="F118" s="29" t="str">
        <f>IF(A118="","",IFERROR(INDEX(Maniobras!$K$5:$K$504,MATCH(A118,Maniobras!$A$5:$A$504,0)),""))</f>
        <v/>
      </c>
      <c r="G118" s="29"/>
      <c r="H118" s="29"/>
      <c r="I118" s="29" t="str">
        <f t="shared" si="3"/>
        <v/>
      </c>
      <c r="K118" s="30"/>
      <c r="M118" t="str">
        <f>IF($A118=Ficha!$B$3,COUNTIF($A$5:$A118,Ficha!$B$3),"")</f>
        <v/>
      </c>
    </row>
    <row r="119" spans="2:13" x14ac:dyDescent="0.3">
      <c r="B119" s="30" t="str">
        <f>IF(A119="","",IFERROR(INDEX(Maniobras!$B$5:$B$504,MATCH(A119,Maniobras!$A$5:$A$504,0)),""))</f>
        <v/>
      </c>
      <c r="C119" t="str">
        <f t="shared" si="2"/>
        <v/>
      </c>
      <c r="D119" t="str">
        <f>IF(A119="","",IFERROR(INDEX(Maniobras!$D$5:$D$504,MATCH(A119,Maniobras!$A$5:$A$504,0)),""))</f>
        <v/>
      </c>
      <c r="F119" s="29" t="str">
        <f>IF(A119="","",IFERROR(INDEX(Maniobras!$K$5:$K$504,MATCH(A119,Maniobras!$A$5:$A$504,0)),""))</f>
        <v/>
      </c>
      <c r="G119" s="29"/>
      <c r="H119" s="29"/>
      <c r="I119" s="29" t="str">
        <f t="shared" si="3"/>
        <v/>
      </c>
      <c r="K119" s="30"/>
      <c r="M119" t="str">
        <f>IF($A119=Ficha!$B$3,COUNTIF($A$5:$A119,Ficha!$B$3),"")</f>
        <v/>
      </c>
    </row>
    <row r="120" spans="2:13" x14ac:dyDescent="0.3">
      <c r="B120" s="30" t="str">
        <f>IF(A120="","",IFERROR(INDEX(Maniobras!$B$5:$B$504,MATCH(A120,Maniobras!$A$5:$A$504,0)),""))</f>
        <v/>
      </c>
      <c r="C120" t="str">
        <f t="shared" si="2"/>
        <v/>
      </c>
      <c r="D120" t="str">
        <f>IF(A120="","",IFERROR(INDEX(Maniobras!$D$5:$D$504,MATCH(A120,Maniobras!$A$5:$A$504,0)),""))</f>
        <v/>
      </c>
      <c r="F120" s="29" t="str">
        <f>IF(A120="","",IFERROR(INDEX(Maniobras!$K$5:$K$504,MATCH(A120,Maniobras!$A$5:$A$504,0)),""))</f>
        <v/>
      </c>
      <c r="G120" s="29"/>
      <c r="H120" s="29"/>
      <c r="I120" s="29" t="str">
        <f t="shared" si="3"/>
        <v/>
      </c>
      <c r="K120" s="30"/>
      <c r="M120" t="str">
        <f>IF($A120=Ficha!$B$3,COUNTIF($A$5:$A120,Ficha!$B$3),"")</f>
        <v/>
      </c>
    </row>
    <row r="121" spans="2:13" x14ac:dyDescent="0.3">
      <c r="B121" s="30" t="str">
        <f>IF(A121="","",IFERROR(INDEX(Maniobras!$B$5:$B$504,MATCH(A121,Maniobras!$A$5:$A$504,0)),""))</f>
        <v/>
      </c>
      <c r="C121" t="str">
        <f t="shared" si="2"/>
        <v/>
      </c>
      <c r="D121" t="str">
        <f>IF(A121="","",IFERROR(INDEX(Maniobras!$D$5:$D$504,MATCH(A121,Maniobras!$A$5:$A$504,0)),""))</f>
        <v/>
      </c>
      <c r="F121" s="29" t="str">
        <f>IF(A121="","",IFERROR(INDEX(Maniobras!$K$5:$K$504,MATCH(A121,Maniobras!$A$5:$A$504,0)),""))</f>
        <v/>
      </c>
      <c r="G121" s="29"/>
      <c r="H121" s="29"/>
      <c r="I121" s="29" t="str">
        <f t="shared" si="3"/>
        <v/>
      </c>
      <c r="K121" s="30"/>
      <c r="M121" t="str">
        <f>IF($A121=Ficha!$B$3,COUNTIF($A$5:$A121,Ficha!$B$3),"")</f>
        <v/>
      </c>
    </row>
    <row r="122" spans="2:13" x14ac:dyDescent="0.3">
      <c r="B122" s="30" t="str">
        <f>IF(A122="","",IFERROR(INDEX(Maniobras!$B$5:$B$504,MATCH(A122,Maniobras!$A$5:$A$504,0)),""))</f>
        <v/>
      </c>
      <c r="C122" t="str">
        <f t="shared" si="2"/>
        <v/>
      </c>
      <c r="D122" t="str">
        <f>IF(A122="","",IFERROR(INDEX(Maniobras!$D$5:$D$504,MATCH(A122,Maniobras!$A$5:$A$504,0)),""))</f>
        <v/>
      </c>
      <c r="F122" s="29" t="str">
        <f>IF(A122="","",IFERROR(INDEX(Maniobras!$K$5:$K$504,MATCH(A122,Maniobras!$A$5:$A$504,0)),""))</f>
        <v/>
      </c>
      <c r="G122" s="29"/>
      <c r="H122" s="29"/>
      <c r="I122" s="29" t="str">
        <f t="shared" si="3"/>
        <v/>
      </c>
      <c r="K122" s="30"/>
      <c r="M122" t="str">
        <f>IF($A122=Ficha!$B$3,COUNTIF($A$5:$A122,Ficha!$B$3),"")</f>
        <v/>
      </c>
    </row>
    <row r="123" spans="2:13" x14ac:dyDescent="0.3">
      <c r="B123" s="30" t="str">
        <f>IF(A123="","",IFERROR(INDEX(Maniobras!$B$5:$B$504,MATCH(A123,Maniobras!$A$5:$A$504,0)),""))</f>
        <v/>
      </c>
      <c r="C123" t="str">
        <f t="shared" si="2"/>
        <v/>
      </c>
      <c r="D123" t="str">
        <f>IF(A123="","",IFERROR(INDEX(Maniobras!$D$5:$D$504,MATCH(A123,Maniobras!$A$5:$A$504,0)),""))</f>
        <v/>
      </c>
      <c r="F123" s="29" t="str">
        <f>IF(A123="","",IFERROR(INDEX(Maniobras!$K$5:$K$504,MATCH(A123,Maniobras!$A$5:$A$504,0)),""))</f>
        <v/>
      </c>
      <c r="G123" s="29"/>
      <c r="H123" s="29"/>
      <c r="I123" s="29" t="str">
        <f t="shared" si="3"/>
        <v/>
      </c>
      <c r="K123" s="30"/>
      <c r="M123" t="str">
        <f>IF($A123=Ficha!$B$3,COUNTIF($A$5:$A123,Ficha!$B$3),"")</f>
        <v/>
      </c>
    </row>
    <row r="124" spans="2:13" x14ac:dyDescent="0.3">
      <c r="B124" s="30" t="str">
        <f>IF(A124="","",IFERROR(INDEX(Maniobras!$B$5:$B$504,MATCH(A124,Maniobras!$A$5:$A$504,0)),""))</f>
        <v/>
      </c>
      <c r="C124" t="str">
        <f t="shared" si="2"/>
        <v/>
      </c>
      <c r="D124" t="str">
        <f>IF(A124="","",IFERROR(INDEX(Maniobras!$D$5:$D$504,MATCH(A124,Maniobras!$A$5:$A$504,0)),""))</f>
        <v/>
      </c>
      <c r="F124" s="29" t="str">
        <f>IF(A124="","",IFERROR(INDEX(Maniobras!$K$5:$K$504,MATCH(A124,Maniobras!$A$5:$A$504,0)),""))</f>
        <v/>
      </c>
      <c r="G124" s="29"/>
      <c r="H124" s="29"/>
      <c r="I124" s="29" t="str">
        <f t="shared" si="3"/>
        <v/>
      </c>
      <c r="K124" s="30"/>
      <c r="M124" t="str">
        <f>IF($A124=Ficha!$B$3,COUNTIF($A$5:$A124,Ficha!$B$3),"")</f>
        <v/>
      </c>
    </row>
    <row r="125" spans="2:13" x14ac:dyDescent="0.3">
      <c r="B125" s="30" t="str">
        <f>IF(A125="","",IFERROR(INDEX(Maniobras!$B$5:$B$504,MATCH(A125,Maniobras!$A$5:$A$504,0)),""))</f>
        <v/>
      </c>
      <c r="C125" t="str">
        <f t="shared" si="2"/>
        <v/>
      </c>
      <c r="D125" t="str">
        <f>IF(A125="","",IFERROR(INDEX(Maniobras!$D$5:$D$504,MATCH(A125,Maniobras!$A$5:$A$504,0)),""))</f>
        <v/>
      </c>
      <c r="F125" s="29" t="str">
        <f>IF(A125="","",IFERROR(INDEX(Maniobras!$K$5:$K$504,MATCH(A125,Maniobras!$A$5:$A$504,0)),""))</f>
        <v/>
      </c>
      <c r="G125" s="29"/>
      <c r="H125" s="29"/>
      <c r="I125" s="29" t="str">
        <f t="shared" si="3"/>
        <v/>
      </c>
      <c r="K125" s="30"/>
      <c r="M125" t="str">
        <f>IF($A125=Ficha!$B$3,COUNTIF($A$5:$A125,Ficha!$B$3),"")</f>
        <v/>
      </c>
    </row>
    <row r="126" spans="2:13" x14ac:dyDescent="0.3">
      <c r="B126" s="30" t="str">
        <f>IF(A126="","",IFERROR(INDEX(Maniobras!$B$5:$B$504,MATCH(A126,Maniobras!$A$5:$A$504,0)),""))</f>
        <v/>
      </c>
      <c r="C126" t="str">
        <f t="shared" si="2"/>
        <v/>
      </c>
      <c r="D126" t="str">
        <f>IF(A126="","",IFERROR(INDEX(Maniobras!$D$5:$D$504,MATCH(A126,Maniobras!$A$5:$A$504,0)),""))</f>
        <v/>
      </c>
      <c r="F126" s="29" t="str">
        <f>IF(A126="","",IFERROR(INDEX(Maniobras!$K$5:$K$504,MATCH(A126,Maniobras!$A$5:$A$504,0)),""))</f>
        <v/>
      </c>
      <c r="G126" s="29"/>
      <c r="H126" s="29"/>
      <c r="I126" s="29" t="str">
        <f t="shared" si="3"/>
        <v/>
      </c>
      <c r="K126" s="30"/>
      <c r="M126" t="str">
        <f>IF($A126=Ficha!$B$3,COUNTIF($A$5:$A126,Ficha!$B$3),"")</f>
        <v/>
      </c>
    </row>
    <row r="127" spans="2:13" x14ac:dyDescent="0.3">
      <c r="B127" s="30" t="str">
        <f>IF(A127="","",IFERROR(INDEX(Maniobras!$B$5:$B$504,MATCH(A127,Maniobras!$A$5:$A$504,0)),""))</f>
        <v/>
      </c>
      <c r="C127" t="str">
        <f t="shared" si="2"/>
        <v/>
      </c>
      <c r="D127" t="str">
        <f>IF(A127="","",IFERROR(INDEX(Maniobras!$D$5:$D$504,MATCH(A127,Maniobras!$A$5:$A$504,0)),""))</f>
        <v/>
      </c>
      <c r="F127" s="29" t="str">
        <f>IF(A127="","",IFERROR(INDEX(Maniobras!$K$5:$K$504,MATCH(A127,Maniobras!$A$5:$A$504,0)),""))</f>
        <v/>
      </c>
      <c r="G127" s="29"/>
      <c r="H127" s="29"/>
      <c r="I127" s="29" t="str">
        <f t="shared" si="3"/>
        <v/>
      </c>
      <c r="K127" s="30"/>
      <c r="M127" t="str">
        <f>IF($A127=Ficha!$B$3,COUNTIF($A$5:$A127,Ficha!$B$3),"")</f>
        <v/>
      </c>
    </row>
    <row r="128" spans="2:13" x14ac:dyDescent="0.3">
      <c r="B128" s="30" t="str">
        <f>IF(A128="","",IFERROR(INDEX(Maniobras!$B$5:$B$504,MATCH(A128,Maniobras!$A$5:$A$504,0)),""))</f>
        <v/>
      </c>
      <c r="C128" t="str">
        <f t="shared" si="2"/>
        <v/>
      </c>
      <c r="D128" t="str">
        <f>IF(A128="","",IFERROR(INDEX(Maniobras!$D$5:$D$504,MATCH(A128,Maniobras!$A$5:$A$504,0)),""))</f>
        <v/>
      </c>
      <c r="F128" s="29" t="str">
        <f>IF(A128="","",IFERROR(INDEX(Maniobras!$K$5:$K$504,MATCH(A128,Maniobras!$A$5:$A$504,0)),""))</f>
        <v/>
      </c>
      <c r="G128" s="29"/>
      <c r="H128" s="29"/>
      <c r="I128" s="29" t="str">
        <f t="shared" si="3"/>
        <v/>
      </c>
      <c r="K128" s="30"/>
      <c r="M128" t="str">
        <f>IF($A128=Ficha!$B$3,COUNTIF($A$5:$A128,Ficha!$B$3),"")</f>
        <v/>
      </c>
    </row>
    <row r="129" spans="2:13" x14ac:dyDescent="0.3">
      <c r="B129" s="30" t="str">
        <f>IF(A129="","",IFERROR(INDEX(Maniobras!$B$5:$B$504,MATCH(A129,Maniobras!$A$5:$A$504,0)),""))</f>
        <v/>
      </c>
      <c r="C129" t="str">
        <f t="shared" si="2"/>
        <v/>
      </c>
      <c r="D129" t="str">
        <f>IF(A129="","",IFERROR(INDEX(Maniobras!$D$5:$D$504,MATCH(A129,Maniobras!$A$5:$A$504,0)),""))</f>
        <v/>
      </c>
      <c r="F129" s="29" t="str">
        <f>IF(A129="","",IFERROR(INDEX(Maniobras!$K$5:$K$504,MATCH(A129,Maniobras!$A$5:$A$504,0)),""))</f>
        <v/>
      </c>
      <c r="G129" s="29"/>
      <c r="H129" s="29"/>
      <c r="I129" s="29" t="str">
        <f t="shared" si="3"/>
        <v/>
      </c>
      <c r="K129" s="30"/>
      <c r="M129" t="str">
        <f>IF($A129=Ficha!$B$3,COUNTIF($A$5:$A129,Ficha!$B$3),"")</f>
        <v/>
      </c>
    </row>
    <row r="130" spans="2:13" x14ac:dyDescent="0.3">
      <c r="B130" s="30" t="str">
        <f>IF(A130="","",IFERROR(INDEX(Maniobras!$B$5:$B$504,MATCH(A130,Maniobras!$A$5:$A$504,0)),""))</f>
        <v/>
      </c>
      <c r="C130" t="str">
        <f t="shared" si="2"/>
        <v/>
      </c>
      <c r="D130" t="str">
        <f>IF(A130="","",IFERROR(INDEX(Maniobras!$D$5:$D$504,MATCH(A130,Maniobras!$A$5:$A$504,0)),""))</f>
        <v/>
      </c>
      <c r="F130" s="29" t="str">
        <f>IF(A130="","",IFERROR(INDEX(Maniobras!$K$5:$K$504,MATCH(A130,Maniobras!$A$5:$A$504,0)),""))</f>
        <v/>
      </c>
      <c r="G130" s="29"/>
      <c r="H130" s="29"/>
      <c r="I130" s="29" t="str">
        <f t="shared" si="3"/>
        <v/>
      </c>
      <c r="K130" s="30"/>
      <c r="M130" t="str">
        <f>IF($A130=Ficha!$B$3,COUNTIF($A$5:$A130,Ficha!$B$3),"")</f>
        <v/>
      </c>
    </row>
    <row r="131" spans="2:13" x14ac:dyDescent="0.3">
      <c r="B131" s="30" t="str">
        <f>IF(A131="","",IFERROR(INDEX(Maniobras!$B$5:$B$504,MATCH(A131,Maniobras!$A$5:$A$504,0)),""))</f>
        <v/>
      </c>
      <c r="C131" t="str">
        <f t="shared" si="2"/>
        <v/>
      </c>
      <c r="D131" t="str">
        <f>IF(A131="","",IFERROR(INDEX(Maniobras!$D$5:$D$504,MATCH(A131,Maniobras!$A$5:$A$504,0)),""))</f>
        <v/>
      </c>
      <c r="F131" s="29" t="str">
        <f>IF(A131="","",IFERROR(INDEX(Maniobras!$K$5:$K$504,MATCH(A131,Maniobras!$A$5:$A$504,0)),""))</f>
        <v/>
      </c>
      <c r="G131" s="29"/>
      <c r="H131" s="29"/>
      <c r="I131" s="29" t="str">
        <f t="shared" si="3"/>
        <v/>
      </c>
      <c r="K131" s="30"/>
      <c r="M131" t="str">
        <f>IF($A131=Ficha!$B$3,COUNTIF($A$5:$A131,Ficha!$B$3),"")</f>
        <v/>
      </c>
    </row>
    <row r="132" spans="2:13" x14ac:dyDescent="0.3">
      <c r="B132" s="30" t="str">
        <f>IF(A132="","",IFERROR(INDEX(Maniobras!$B$5:$B$504,MATCH(A132,Maniobras!$A$5:$A$504,0)),""))</f>
        <v/>
      </c>
      <c r="C132" t="str">
        <f t="shared" si="2"/>
        <v/>
      </c>
      <c r="D132" t="str">
        <f>IF(A132="","",IFERROR(INDEX(Maniobras!$D$5:$D$504,MATCH(A132,Maniobras!$A$5:$A$504,0)),""))</f>
        <v/>
      </c>
      <c r="F132" s="29" t="str">
        <f>IF(A132="","",IFERROR(INDEX(Maniobras!$K$5:$K$504,MATCH(A132,Maniobras!$A$5:$A$504,0)),""))</f>
        <v/>
      </c>
      <c r="G132" s="29"/>
      <c r="H132" s="29"/>
      <c r="I132" s="29" t="str">
        <f t="shared" si="3"/>
        <v/>
      </c>
      <c r="K132" s="30"/>
      <c r="M132" t="str">
        <f>IF($A132=Ficha!$B$3,COUNTIF($A$5:$A132,Ficha!$B$3),"")</f>
        <v/>
      </c>
    </row>
    <row r="133" spans="2:13" x14ac:dyDescent="0.3">
      <c r="B133" s="30" t="str">
        <f>IF(A133="","",IFERROR(INDEX(Maniobras!$B$5:$B$504,MATCH(A133,Maniobras!$A$5:$A$504,0)),""))</f>
        <v/>
      </c>
      <c r="C133" t="str">
        <f t="shared" ref="C133:C196" si="4">IF(B133="","",TEXT(B133,"yyyy-mm"))</f>
        <v/>
      </c>
      <c r="D133" t="str">
        <f>IF(A133="","",IFERROR(INDEX(Maniobras!$D$5:$D$504,MATCH(A133,Maniobras!$A$5:$A$504,0)),""))</f>
        <v/>
      </c>
      <c r="F133" s="29" t="str">
        <f>IF(A133="","",IFERROR(INDEX(Maniobras!$K$5:$K$504,MATCH(A133,Maniobras!$A$5:$A$504,0)),""))</f>
        <v/>
      </c>
      <c r="G133" s="29"/>
      <c r="H133" s="29"/>
      <c r="I133" s="29" t="str">
        <f t="shared" ref="I133:I196" si="5">IF(G133="","",G133+N(H133))</f>
        <v/>
      </c>
      <c r="K133" s="30"/>
      <c r="M133" t="str">
        <f>IF($A133=Ficha!$B$3,COUNTIF($A$5:$A133,Ficha!$B$3),"")</f>
        <v/>
      </c>
    </row>
    <row r="134" spans="2:13" x14ac:dyDescent="0.3">
      <c r="B134" s="30" t="str">
        <f>IF(A134="","",IFERROR(INDEX(Maniobras!$B$5:$B$504,MATCH(A134,Maniobras!$A$5:$A$504,0)),""))</f>
        <v/>
      </c>
      <c r="C134" t="str">
        <f t="shared" si="4"/>
        <v/>
      </c>
      <c r="D134" t="str">
        <f>IF(A134="","",IFERROR(INDEX(Maniobras!$D$5:$D$504,MATCH(A134,Maniobras!$A$5:$A$504,0)),""))</f>
        <v/>
      </c>
      <c r="F134" s="29" t="str">
        <f>IF(A134="","",IFERROR(INDEX(Maniobras!$K$5:$K$504,MATCH(A134,Maniobras!$A$5:$A$504,0)),""))</f>
        <v/>
      </c>
      <c r="G134" s="29"/>
      <c r="H134" s="29"/>
      <c r="I134" s="29" t="str">
        <f t="shared" si="5"/>
        <v/>
      </c>
      <c r="K134" s="30"/>
      <c r="M134" t="str">
        <f>IF($A134=Ficha!$B$3,COUNTIF($A$5:$A134,Ficha!$B$3),"")</f>
        <v/>
      </c>
    </row>
    <row r="135" spans="2:13" x14ac:dyDescent="0.3">
      <c r="B135" s="30" t="str">
        <f>IF(A135="","",IFERROR(INDEX(Maniobras!$B$5:$B$504,MATCH(A135,Maniobras!$A$5:$A$504,0)),""))</f>
        <v/>
      </c>
      <c r="C135" t="str">
        <f t="shared" si="4"/>
        <v/>
      </c>
      <c r="D135" t="str">
        <f>IF(A135="","",IFERROR(INDEX(Maniobras!$D$5:$D$504,MATCH(A135,Maniobras!$A$5:$A$504,0)),""))</f>
        <v/>
      </c>
      <c r="F135" s="29" t="str">
        <f>IF(A135="","",IFERROR(INDEX(Maniobras!$K$5:$K$504,MATCH(A135,Maniobras!$A$5:$A$504,0)),""))</f>
        <v/>
      </c>
      <c r="G135" s="29"/>
      <c r="H135" s="29"/>
      <c r="I135" s="29" t="str">
        <f t="shared" si="5"/>
        <v/>
      </c>
      <c r="K135" s="30"/>
      <c r="M135" t="str">
        <f>IF($A135=Ficha!$B$3,COUNTIF($A$5:$A135,Ficha!$B$3),"")</f>
        <v/>
      </c>
    </row>
    <row r="136" spans="2:13" x14ac:dyDescent="0.3">
      <c r="B136" s="30" t="str">
        <f>IF(A136="","",IFERROR(INDEX(Maniobras!$B$5:$B$504,MATCH(A136,Maniobras!$A$5:$A$504,0)),""))</f>
        <v/>
      </c>
      <c r="C136" t="str">
        <f t="shared" si="4"/>
        <v/>
      </c>
      <c r="D136" t="str">
        <f>IF(A136="","",IFERROR(INDEX(Maniobras!$D$5:$D$504,MATCH(A136,Maniobras!$A$5:$A$504,0)),""))</f>
        <v/>
      </c>
      <c r="F136" s="29" t="str">
        <f>IF(A136="","",IFERROR(INDEX(Maniobras!$K$5:$K$504,MATCH(A136,Maniobras!$A$5:$A$504,0)),""))</f>
        <v/>
      </c>
      <c r="G136" s="29"/>
      <c r="H136" s="29"/>
      <c r="I136" s="29" t="str">
        <f t="shared" si="5"/>
        <v/>
      </c>
      <c r="K136" s="30"/>
      <c r="M136" t="str">
        <f>IF($A136=Ficha!$B$3,COUNTIF($A$5:$A136,Ficha!$B$3),"")</f>
        <v/>
      </c>
    </row>
    <row r="137" spans="2:13" x14ac:dyDescent="0.3">
      <c r="B137" s="30" t="str">
        <f>IF(A137="","",IFERROR(INDEX(Maniobras!$B$5:$B$504,MATCH(A137,Maniobras!$A$5:$A$504,0)),""))</f>
        <v/>
      </c>
      <c r="C137" t="str">
        <f t="shared" si="4"/>
        <v/>
      </c>
      <c r="D137" t="str">
        <f>IF(A137="","",IFERROR(INDEX(Maniobras!$D$5:$D$504,MATCH(A137,Maniobras!$A$5:$A$504,0)),""))</f>
        <v/>
      </c>
      <c r="F137" s="29" t="str">
        <f>IF(A137="","",IFERROR(INDEX(Maniobras!$K$5:$K$504,MATCH(A137,Maniobras!$A$5:$A$504,0)),""))</f>
        <v/>
      </c>
      <c r="G137" s="29"/>
      <c r="H137" s="29"/>
      <c r="I137" s="29" t="str">
        <f t="shared" si="5"/>
        <v/>
      </c>
      <c r="K137" s="30"/>
      <c r="M137" t="str">
        <f>IF($A137=Ficha!$B$3,COUNTIF($A$5:$A137,Ficha!$B$3),"")</f>
        <v/>
      </c>
    </row>
    <row r="138" spans="2:13" x14ac:dyDescent="0.3">
      <c r="B138" s="30" t="str">
        <f>IF(A138="","",IFERROR(INDEX(Maniobras!$B$5:$B$504,MATCH(A138,Maniobras!$A$5:$A$504,0)),""))</f>
        <v/>
      </c>
      <c r="C138" t="str">
        <f t="shared" si="4"/>
        <v/>
      </c>
      <c r="D138" t="str">
        <f>IF(A138="","",IFERROR(INDEX(Maniobras!$D$5:$D$504,MATCH(A138,Maniobras!$A$5:$A$504,0)),""))</f>
        <v/>
      </c>
      <c r="F138" s="29" t="str">
        <f>IF(A138="","",IFERROR(INDEX(Maniobras!$K$5:$K$504,MATCH(A138,Maniobras!$A$5:$A$504,0)),""))</f>
        <v/>
      </c>
      <c r="G138" s="29"/>
      <c r="H138" s="29"/>
      <c r="I138" s="29" t="str">
        <f t="shared" si="5"/>
        <v/>
      </c>
      <c r="K138" s="30"/>
      <c r="M138" t="str">
        <f>IF($A138=Ficha!$B$3,COUNTIF($A$5:$A138,Ficha!$B$3),"")</f>
        <v/>
      </c>
    </row>
    <row r="139" spans="2:13" x14ac:dyDescent="0.3">
      <c r="B139" s="30" t="str">
        <f>IF(A139="","",IFERROR(INDEX(Maniobras!$B$5:$B$504,MATCH(A139,Maniobras!$A$5:$A$504,0)),""))</f>
        <v/>
      </c>
      <c r="C139" t="str">
        <f t="shared" si="4"/>
        <v/>
      </c>
      <c r="D139" t="str">
        <f>IF(A139="","",IFERROR(INDEX(Maniobras!$D$5:$D$504,MATCH(A139,Maniobras!$A$5:$A$504,0)),""))</f>
        <v/>
      </c>
      <c r="F139" s="29" t="str">
        <f>IF(A139="","",IFERROR(INDEX(Maniobras!$K$5:$K$504,MATCH(A139,Maniobras!$A$5:$A$504,0)),""))</f>
        <v/>
      </c>
      <c r="G139" s="29"/>
      <c r="H139" s="29"/>
      <c r="I139" s="29" t="str">
        <f t="shared" si="5"/>
        <v/>
      </c>
      <c r="K139" s="30"/>
      <c r="M139" t="str">
        <f>IF($A139=Ficha!$B$3,COUNTIF($A$5:$A139,Ficha!$B$3),"")</f>
        <v/>
      </c>
    </row>
    <row r="140" spans="2:13" x14ac:dyDescent="0.3">
      <c r="B140" s="30" t="str">
        <f>IF(A140="","",IFERROR(INDEX(Maniobras!$B$5:$B$504,MATCH(A140,Maniobras!$A$5:$A$504,0)),""))</f>
        <v/>
      </c>
      <c r="C140" t="str">
        <f t="shared" si="4"/>
        <v/>
      </c>
      <c r="D140" t="str">
        <f>IF(A140="","",IFERROR(INDEX(Maniobras!$D$5:$D$504,MATCH(A140,Maniobras!$A$5:$A$504,0)),""))</f>
        <v/>
      </c>
      <c r="F140" s="29" t="str">
        <f>IF(A140="","",IFERROR(INDEX(Maniobras!$K$5:$K$504,MATCH(A140,Maniobras!$A$5:$A$504,0)),""))</f>
        <v/>
      </c>
      <c r="G140" s="29"/>
      <c r="H140" s="29"/>
      <c r="I140" s="29" t="str">
        <f t="shared" si="5"/>
        <v/>
      </c>
      <c r="K140" s="30"/>
      <c r="M140" t="str">
        <f>IF($A140=Ficha!$B$3,COUNTIF($A$5:$A140,Ficha!$B$3),"")</f>
        <v/>
      </c>
    </row>
    <row r="141" spans="2:13" x14ac:dyDescent="0.3">
      <c r="B141" s="30" t="str">
        <f>IF(A141="","",IFERROR(INDEX(Maniobras!$B$5:$B$504,MATCH(A141,Maniobras!$A$5:$A$504,0)),""))</f>
        <v/>
      </c>
      <c r="C141" t="str">
        <f t="shared" si="4"/>
        <v/>
      </c>
      <c r="D141" t="str">
        <f>IF(A141="","",IFERROR(INDEX(Maniobras!$D$5:$D$504,MATCH(A141,Maniobras!$A$5:$A$504,0)),""))</f>
        <v/>
      </c>
      <c r="F141" s="29" t="str">
        <f>IF(A141="","",IFERROR(INDEX(Maniobras!$K$5:$K$504,MATCH(A141,Maniobras!$A$5:$A$504,0)),""))</f>
        <v/>
      </c>
      <c r="G141" s="29"/>
      <c r="H141" s="29"/>
      <c r="I141" s="29" t="str">
        <f t="shared" si="5"/>
        <v/>
      </c>
      <c r="K141" s="30"/>
      <c r="M141" t="str">
        <f>IF($A141=Ficha!$B$3,COUNTIF($A$5:$A141,Ficha!$B$3),"")</f>
        <v/>
      </c>
    </row>
    <row r="142" spans="2:13" x14ac:dyDescent="0.3">
      <c r="B142" s="30" t="str">
        <f>IF(A142="","",IFERROR(INDEX(Maniobras!$B$5:$B$504,MATCH(A142,Maniobras!$A$5:$A$504,0)),""))</f>
        <v/>
      </c>
      <c r="C142" t="str">
        <f t="shared" si="4"/>
        <v/>
      </c>
      <c r="D142" t="str">
        <f>IF(A142="","",IFERROR(INDEX(Maniobras!$D$5:$D$504,MATCH(A142,Maniobras!$A$5:$A$504,0)),""))</f>
        <v/>
      </c>
      <c r="F142" s="29" t="str">
        <f>IF(A142="","",IFERROR(INDEX(Maniobras!$K$5:$K$504,MATCH(A142,Maniobras!$A$5:$A$504,0)),""))</f>
        <v/>
      </c>
      <c r="G142" s="29"/>
      <c r="H142" s="29"/>
      <c r="I142" s="29" t="str">
        <f t="shared" si="5"/>
        <v/>
      </c>
      <c r="K142" s="30"/>
      <c r="M142" t="str">
        <f>IF($A142=Ficha!$B$3,COUNTIF($A$5:$A142,Ficha!$B$3),"")</f>
        <v/>
      </c>
    </row>
    <row r="143" spans="2:13" x14ac:dyDescent="0.3">
      <c r="B143" s="30" t="str">
        <f>IF(A143="","",IFERROR(INDEX(Maniobras!$B$5:$B$504,MATCH(A143,Maniobras!$A$5:$A$504,0)),""))</f>
        <v/>
      </c>
      <c r="C143" t="str">
        <f t="shared" si="4"/>
        <v/>
      </c>
      <c r="D143" t="str">
        <f>IF(A143="","",IFERROR(INDEX(Maniobras!$D$5:$D$504,MATCH(A143,Maniobras!$A$5:$A$504,0)),""))</f>
        <v/>
      </c>
      <c r="F143" s="29" t="str">
        <f>IF(A143="","",IFERROR(INDEX(Maniobras!$K$5:$K$504,MATCH(A143,Maniobras!$A$5:$A$504,0)),""))</f>
        <v/>
      </c>
      <c r="G143" s="29"/>
      <c r="H143" s="29"/>
      <c r="I143" s="29" t="str">
        <f t="shared" si="5"/>
        <v/>
      </c>
      <c r="K143" s="30"/>
      <c r="M143" t="str">
        <f>IF($A143=Ficha!$B$3,COUNTIF($A$5:$A143,Ficha!$B$3),"")</f>
        <v/>
      </c>
    </row>
    <row r="144" spans="2:13" x14ac:dyDescent="0.3">
      <c r="B144" s="30" t="str">
        <f>IF(A144="","",IFERROR(INDEX(Maniobras!$B$5:$B$504,MATCH(A144,Maniobras!$A$5:$A$504,0)),""))</f>
        <v/>
      </c>
      <c r="C144" t="str">
        <f t="shared" si="4"/>
        <v/>
      </c>
      <c r="D144" t="str">
        <f>IF(A144="","",IFERROR(INDEX(Maniobras!$D$5:$D$504,MATCH(A144,Maniobras!$A$5:$A$504,0)),""))</f>
        <v/>
      </c>
      <c r="F144" s="29" t="str">
        <f>IF(A144="","",IFERROR(INDEX(Maniobras!$K$5:$K$504,MATCH(A144,Maniobras!$A$5:$A$504,0)),""))</f>
        <v/>
      </c>
      <c r="G144" s="29"/>
      <c r="H144" s="29"/>
      <c r="I144" s="29" t="str">
        <f t="shared" si="5"/>
        <v/>
      </c>
      <c r="K144" s="30"/>
      <c r="M144" t="str">
        <f>IF($A144=Ficha!$B$3,COUNTIF($A$5:$A144,Ficha!$B$3),"")</f>
        <v/>
      </c>
    </row>
    <row r="145" spans="2:13" x14ac:dyDescent="0.3">
      <c r="B145" s="30" t="str">
        <f>IF(A145="","",IFERROR(INDEX(Maniobras!$B$5:$B$504,MATCH(A145,Maniobras!$A$5:$A$504,0)),""))</f>
        <v/>
      </c>
      <c r="C145" t="str">
        <f t="shared" si="4"/>
        <v/>
      </c>
      <c r="D145" t="str">
        <f>IF(A145="","",IFERROR(INDEX(Maniobras!$D$5:$D$504,MATCH(A145,Maniobras!$A$5:$A$504,0)),""))</f>
        <v/>
      </c>
      <c r="F145" s="29" t="str">
        <f>IF(A145="","",IFERROR(INDEX(Maniobras!$K$5:$K$504,MATCH(A145,Maniobras!$A$5:$A$504,0)),""))</f>
        <v/>
      </c>
      <c r="G145" s="29"/>
      <c r="H145" s="29"/>
      <c r="I145" s="29" t="str">
        <f t="shared" si="5"/>
        <v/>
      </c>
      <c r="K145" s="30"/>
      <c r="M145" t="str">
        <f>IF($A145=Ficha!$B$3,COUNTIF($A$5:$A145,Ficha!$B$3),"")</f>
        <v/>
      </c>
    </row>
    <row r="146" spans="2:13" x14ac:dyDescent="0.3">
      <c r="B146" s="30" t="str">
        <f>IF(A146="","",IFERROR(INDEX(Maniobras!$B$5:$B$504,MATCH(A146,Maniobras!$A$5:$A$504,0)),""))</f>
        <v/>
      </c>
      <c r="C146" t="str">
        <f t="shared" si="4"/>
        <v/>
      </c>
      <c r="D146" t="str">
        <f>IF(A146="","",IFERROR(INDEX(Maniobras!$D$5:$D$504,MATCH(A146,Maniobras!$A$5:$A$504,0)),""))</f>
        <v/>
      </c>
      <c r="F146" s="29" t="str">
        <f>IF(A146="","",IFERROR(INDEX(Maniobras!$K$5:$K$504,MATCH(A146,Maniobras!$A$5:$A$504,0)),""))</f>
        <v/>
      </c>
      <c r="G146" s="29"/>
      <c r="H146" s="29"/>
      <c r="I146" s="29" t="str">
        <f t="shared" si="5"/>
        <v/>
      </c>
      <c r="K146" s="30"/>
      <c r="M146" t="str">
        <f>IF($A146=Ficha!$B$3,COUNTIF($A$5:$A146,Ficha!$B$3),"")</f>
        <v/>
      </c>
    </row>
    <row r="147" spans="2:13" x14ac:dyDescent="0.3">
      <c r="B147" s="30" t="str">
        <f>IF(A147="","",IFERROR(INDEX(Maniobras!$B$5:$B$504,MATCH(A147,Maniobras!$A$5:$A$504,0)),""))</f>
        <v/>
      </c>
      <c r="C147" t="str">
        <f t="shared" si="4"/>
        <v/>
      </c>
      <c r="D147" t="str">
        <f>IF(A147="","",IFERROR(INDEX(Maniobras!$D$5:$D$504,MATCH(A147,Maniobras!$A$5:$A$504,0)),""))</f>
        <v/>
      </c>
      <c r="F147" s="29" t="str">
        <f>IF(A147="","",IFERROR(INDEX(Maniobras!$K$5:$K$504,MATCH(A147,Maniobras!$A$5:$A$504,0)),""))</f>
        <v/>
      </c>
      <c r="G147" s="29"/>
      <c r="H147" s="29"/>
      <c r="I147" s="29" t="str">
        <f t="shared" si="5"/>
        <v/>
      </c>
      <c r="K147" s="30"/>
      <c r="M147" t="str">
        <f>IF($A147=Ficha!$B$3,COUNTIF($A$5:$A147,Ficha!$B$3),"")</f>
        <v/>
      </c>
    </row>
    <row r="148" spans="2:13" x14ac:dyDescent="0.3">
      <c r="B148" s="30" t="str">
        <f>IF(A148="","",IFERROR(INDEX(Maniobras!$B$5:$B$504,MATCH(A148,Maniobras!$A$5:$A$504,0)),""))</f>
        <v/>
      </c>
      <c r="C148" t="str">
        <f t="shared" si="4"/>
        <v/>
      </c>
      <c r="D148" t="str">
        <f>IF(A148="","",IFERROR(INDEX(Maniobras!$D$5:$D$504,MATCH(A148,Maniobras!$A$5:$A$504,0)),""))</f>
        <v/>
      </c>
      <c r="F148" s="29" t="str">
        <f>IF(A148="","",IFERROR(INDEX(Maniobras!$K$5:$K$504,MATCH(A148,Maniobras!$A$5:$A$504,0)),""))</f>
        <v/>
      </c>
      <c r="G148" s="29"/>
      <c r="H148" s="29"/>
      <c r="I148" s="29" t="str">
        <f t="shared" si="5"/>
        <v/>
      </c>
      <c r="K148" s="30"/>
      <c r="M148" t="str">
        <f>IF($A148=Ficha!$B$3,COUNTIF($A$5:$A148,Ficha!$B$3),"")</f>
        <v/>
      </c>
    </row>
    <row r="149" spans="2:13" x14ac:dyDescent="0.3">
      <c r="B149" s="30" t="str">
        <f>IF(A149="","",IFERROR(INDEX(Maniobras!$B$5:$B$504,MATCH(A149,Maniobras!$A$5:$A$504,0)),""))</f>
        <v/>
      </c>
      <c r="C149" t="str">
        <f t="shared" si="4"/>
        <v/>
      </c>
      <c r="D149" t="str">
        <f>IF(A149="","",IFERROR(INDEX(Maniobras!$D$5:$D$504,MATCH(A149,Maniobras!$A$5:$A$504,0)),""))</f>
        <v/>
      </c>
      <c r="F149" s="29" t="str">
        <f>IF(A149="","",IFERROR(INDEX(Maniobras!$K$5:$K$504,MATCH(A149,Maniobras!$A$5:$A$504,0)),""))</f>
        <v/>
      </c>
      <c r="G149" s="29"/>
      <c r="H149" s="29"/>
      <c r="I149" s="29" t="str">
        <f t="shared" si="5"/>
        <v/>
      </c>
      <c r="K149" s="30"/>
      <c r="M149" t="str">
        <f>IF($A149=Ficha!$B$3,COUNTIF($A$5:$A149,Ficha!$B$3),"")</f>
        <v/>
      </c>
    </row>
    <row r="150" spans="2:13" x14ac:dyDescent="0.3">
      <c r="B150" s="30" t="str">
        <f>IF(A150="","",IFERROR(INDEX(Maniobras!$B$5:$B$504,MATCH(A150,Maniobras!$A$5:$A$504,0)),""))</f>
        <v/>
      </c>
      <c r="C150" t="str">
        <f t="shared" si="4"/>
        <v/>
      </c>
      <c r="D150" t="str">
        <f>IF(A150="","",IFERROR(INDEX(Maniobras!$D$5:$D$504,MATCH(A150,Maniobras!$A$5:$A$504,0)),""))</f>
        <v/>
      </c>
      <c r="F150" s="29" t="str">
        <f>IF(A150="","",IFERROR(INDEX(Maniobras!$K$5:$K$504,MATCH(A150,Maniobras!$A$5:$A$504,0)),""))</f>
        <v/>
      </c>
      <c r="G150" s="29"/>
      <c r="H150" s="29"/>
      <c r="I150" s="29" t="str">
        <f t="shared" si="5"/>
        <v/>
      </c>
      <c r="K150" s="30"/>
      <c r="M150" t="str">
        <f>IF($A150=Ficha!$B$3,COUNTIF($A$5:$A150,Ficha!$B$3),"")</f>
        <v/>
      </c>
    </row>
    <row r="151" spans="2:13" x14ac:dyDescent="0.3">
      <c r="B151" s="30" t="str">
        <f>IF(A151="","",IFERROR(INDEX(Maniobras!$B$5:$B$504,MATCH(A151,Maniobras!$A$5:$A$504,0)),""))</f>
        <v/>
      </c>
      <c r="C151" t="str">
        <f t="shared" si="4"/>
        <v/>
      </c>
      <c r="D151" t="str">
        <f>IF(A151="","",IFERROR(INDEX(Maniobras!$D$5:$D$504,MATCH(A151,Maniobras!$A$5:$A$504,0)),""))</f>
        <v/>
      </c>
      <c r="F151" s="29" t="str">
        <f>IF(A151="","",IFERROR(INDEX(Maniobras!$K$5:$K$504,MATCH(A151,Maniobras!$A$5:$A$504,0)),""))</f>
        <v/>
      </c>
      <c r="G151" s="29"/>
      <c r="H151" s="29"/>
      <c r="I151" s="29" t="str">
        <f t="shared" si="5"/>
        <v/>
      </c>
      <c r="K151" s="30"/>
      <c r="M151" t="str">
        <f>IF($A151=Ficha!$B$3,COUNTIF($A$5:$A151,Ficha!$B$3),"")</f>
        <v/>
      </c>
    </row>
    <row r="152" spans="2:13" x14ac:dyDescent="0.3">
      <c r="B152" s="30" t="str">
        <f>IF(A152="","",IFERROR(INDEX(Maniobras!$B$5:$B$504,MATCH(A152,Maniobras!$A$5:$A$504,0)),""))</f>
        <v/>
      </c>
      <c r="C152" t="str">
        <f t="shared" si="4"/>
        <v/>
      </c>
      <c r="D152" t="str">
        <f>IF(A152="","",IFERROR(INDEX(Maniobras!$D$5:$D$504,MATCH(A152,Maniobras!$A$5:$A$504,0)),""))</f>
        <v/>
      </c>
      <c r="F152" s="29" t="str">
        <f>IF(A152="","",IFERROR(INDEX(Maniobras!$K$5:$K$504,MATCH(A152,Maniobras!$A$5:$A$504,0)),""))</f>
        <v/>
      </c>
      <c r="G152" s="29"/>
      <c r="H152" s="29"/>
      <c r="I152" s="29" t="str">
        <f t="shared" si="5"/>
        <v/>
      </c>
      <c r="K152" s="30"/>
      <c r="M152" t="str">
        <f>IF($A152=Ficha!$B$3,COUNTIF($A$5:$A152,Ficha!$B$3),"")</f>
        <v/>
      </c>
    </row>
    <row r="153" spans="2:13" x14ac:dyDescent="0.3">
      <c r="B153" s="30" t="str">
        <f>IF(A153="","",IFERROR(INDEX(Maniobras!$B$5:$B$504,MATCH(A153,Maniobras!$A$5:$A$504,0)),""))</f>
        <v/>
      </c>
      <c r="C153" t="str">
        <f t="shared" si="4"/>
        <v/>
      </c>
      <c r="D153" t="str">
        <f>IF(A153="","",IFERROR(INDEX(Maniobras!$D$5:$D$504,MATCH(A153,Maniobras!$A$5:$A$504,0)),""))</f>
        <v/>
      </c>
      <c r="F153" s="29" t="str">
        <f>IF(A153="","",IFERROR(INDEX(Maniobras!$K$5:$K$504,MATCH(A153,Maniobras!$A$5:$A$504,0)),""))</f>
        <v/>
      </c>
      <c r="G153" s="29"/>
      <c r="H153" s="29"/>
      <c r="I153" s="29" t="str">
        <f t="shared" si="5"/>
        <v/>
      </c>
      <c r="K153" s="30"/>
      <c r="M153" t="str">
        <f>IF($A153=Ficha!$B$3,COUNTIF($A$5:$A153,Ficha!$B$3),"")</f>
        <v/>
      </c>
    </row>
    <row r="154" spans="2:13" x14ac:dyDescent="0.3">
      <c r="B154" s="30" t="str">
        <f>IF(A154="","",IFERROR(INDEX(Maniobras!$B$5:$B$504,MATCH(A154,Maniobras!$A$5:$A$504,0)),""))</f>
        <v/>
      </c>
      <c r="C154" t="str">
        <f t="shared" si="4"/>
        <v/>
      </c>
      <c r="D154" t="str">
        <f>IF(A154="","",IFERROR(INDEX(Maniobras!$D$5:$D$504,MATCH(A154,Maniobras!$A$5:$A$504,0)),""))</f>
        <v/>
      </c>
      <c r="F154" s="29" t="str">
        <f>IF(A154="","",IFERROR(INDEX(Maniobras!$K$5:$K$504,MATCH(A154,Maniobras!$A$5:$A$504,0)),""))</f>
        <v/>
      </c>
      <c r="G154" s="29"/>
      <c r="H154" s="29"/>
      <c r="I154" s="29" t="str">
        <f t="shared" si="5"/>
        <v/>
      </c>
      <c r="K154" s="30"/>
      <c r="M154" t="str">
        <f>IF($A154=Ficha!$B$3,COUNTIF($A$5:$A154,Ficha!$B$3),"")</f>
        <v/>
      </c>
    </row>
    <row r="155" spans="2:13" x14ac:dyDescent="0.3">
      <c r="B155" s="30" t="str">
        <f>IF(A155="","",IFERROR(INDEX(Maniobras!$B$5:$B$504,MATCH(A155,Maniobras!$A$5:$A$504,0)),""))</f>
        <v/>
      </c>
      <c r="C155" t="str">
        <f t="shared" si="4"/>
        <v/>
      </c>
      <c r="D155" t="str">
        <f>IF(A155="","",IFERROR(INDEX(Maniobras!$D$5:$D$504,MATCH(A155,Maniobras!$A$5:$A$504,0)),""))</f>
        <v/>
      </c>
      <c r="F155" s="29" t="str">
        <f>IF(A155="","",IFERROR(INDEX(Maniobras!$K$5:$K$504,MATCH(A155,Maniobras!$A$5:$A$504,0)),""))</f>
        <v/>
      </c>
      <c r="G155" s="29"/>
      <c r="H155" s="29"/>
      <c r="I155" s="29" t="str">
        <f t="shared" si="5"/>
        <v/>
      </c>
      <c r="K155" s="30"/>
      <c r="M155" t="str">
        <f>IF($A155=Ficha!$B$3,COUNTIF($A$5:$A155,Ficha!$B$3),"")</f>
        <v/>
      </c>
    </row>
    <row r="156" spans="2:13" x14ac:dyDescent="0.3">
      <c r="B156" s="30" t="str">
        <f>IF(A156="","",IFERROR(INDEX(Maniobras!$B$5:$B$504,MATCH(A156,Maniobras!$A$5:$A$504,0)),""))</f>
        <v/>
      </c>
      <c r="C156" t="str">
        <f t="shared" si="4"/>
        <v/>
      </c>
      <c r="D156" t="str">
        <f>IF(A156="","",IFERROR(INDEX(Maniobras!$D$5:$D$504,MATCH(A156,Maniobras!$A$5:$A$504,0)),""))</f>
        <v/>
      </c>
      <c r="F156" s="29" t="str">
        <f>IF(A156="","",IFERROR(INDEX(Maniobras!$K$5:$K$504,MATCH(A156,Maniobras!$A$5:$A$504,0)),""))</f>
        <v/>
      </c>
      <c r="G156" s="29"/>
      <c r="H156" s="29"/>
      <c r="I156" s="29" t="str">
        <f t="shared" si="5"/>
        <v/>
      </c>
      <c r="K156" s="30"/>
      <c r="M156" t="str">
        <f>IF($A156=Ficha!$B$3,COUNTIF($A$5:$A156,Ficha!$B$3),"")</f>
        <v/>
      </c>
    </row>
    <row r="157" spans="2:13" x14ac:dyDescent="0.3">
      <c r="B157" s="30" t="str">
        <f>IF(A157="","",IFERROR(INDEX(Maniobras!$B$5:$B$504,MATCH(A157,Maniobras!$A$5:$A$504,0)),""))</f>
        <v/>
      </c>
      <c r="C157" t="str">
        <f t="shared" si="4"/>
        <v/>
      </c>
      <c r="D157" t="str">
        <f>IF(A157="","",IFERROR(INDEX(Maniobras!$D$5:$D$504,MATCH(A157,Maniobras!$A$5:$A$504,0)),""))</f>
        <v/>
      </c>
      <c r="F157" s="29" t="str">
        <f>IF(A157="","",IFERROR(INDEX(Maniobras!$K$5:$K$504,MATCH(A157,Maniobras!$A$5:$A$504,0)),""))</f>
        <v/>
      </c>
      <c r="G157" s="29"/>
      <c r="H157" s="29"/>
      <c r="I157" s="29" t="str">
        <f t="shared" si="5"/>
        <v/>
      </c>
      <c r="K157" s="30"/>
      <c r="M157" t="str">
        <f>IF($A157=Ficha!$B$3,COUNTIF($A$5:$A157,Ficha!$B$3),"")</f>
        <v/>
      </c>
    </row>
    <row r="158" spans="2:13" x14ac:dyDescent="0.3">
      <c r="B158" s="30" t="str">
        <f>IF(A158="","",IFERROR(INDEX(Maniobras!$B$5:$B$504,MATCH(A158,Maniobras!$A$5:$A$504,0)),""))</f>
        <v/>
      </c>
      <c r="C158" t="str">
        <f t="shared" si="4"/>
        <v/>
      </c>
      <c r="D158" t="str">
        <f>IF(A158="","",IFERROR(INDEX(Maniobras!$D$5:$D$504,MATCH(A158,Maniobras!$A$5:$A$504,0)),""))</f>
        <v/>
      </c>
      <c r="F158" s="29" t="str">
        <f>IF(A158="","",IFERROR(INDEX(Maniobras!$K$5:$K$504,MATCH(A158,Maniobras!$A$5:$A$504,0)),""))</f>
        <v/>
      </c>
      <c r="G158" s="29"/>
      <c r="H158" s="29"/>
      <c r="I158" s="29" t="str">
        <f t="shared" si="5"/>
        <v/>
      </c>
      <c r="K158" s="30"/>
      <c r="M158" t="str">
        <f>IF($A158=Ficha!$B$3,COUNTIF($A$5:$A158,Ficha!$B$3),"")</f>
        <v/>
      </c>
    </row>
    <row r="159" spans="2:13" x14ac:dyDescent="0.3">
      <c r="B159" s="30" t="str">
        <f>IF(A159="","",IFERROR(INDEX(Maniobras!$B$5:$B$504,MATCH(A159,Maniobras!$A$5:$A$504,0)),""))</f>
        <v/>
      </c>
      <c r="C159" t="str">
        <f t="shared" si="4"/>
        <v/>
      </c>
      <c r="D159" t="str">
        <f>IF(A159="","",IFERROR(INDEX(Maniobras!$D$5:$D$504,MATCH(A159,Maniobras!$A$5:$A$504,0)),""))</f>
        <v/>
      </c>
      <c r="F159" s="29" t="str">
        <f>IF(A159="","",IFERROR(INDEX(Maniobras!$K$5:$K$504,MATCH(A159,Maniobras!$A$5:$A$504,0)),""))</f>
        <v/>
      </c>
      <c r="G159" s="29"/>
      <c r="H159" s="29"/>
      <c r="I159" s="29" t="str">
        <f t="shared" si="5"/>
        <v/>
      </c>
      <c r="K159" s="30"/>
      <c r="M159" t="str">
        <f>IF($A159=Ficha!$B$3,COUNTIF($A$5:$A159,Ficha!$B$3),"")</f>
        <v/>
      </c>
    </row>
    <row r="160" spans="2:13" x14ac:dyDescent="0.3">
      <c r="B160" s="30" t="str">
        <f>IF(A160="","",IFERROR(INDEX(Maniobras!$B$5:$B$504,MATCH(A160,Maniobras!$A$5:$A$504,0)),""))</f>
        <v/>
      </c>
      <c r="C160" t="str">
        <f t="shared" si="4"/>
        <v/>
      </c>
      <c r="D160" t="str">
        <f>IF(A160="","",IFERROR(INDEX(Maniobras!$D$5:$D$504,MATCH(A160,Maniobras!$A$5:$A$504,0)),""))</f>
        <v/>
      </c>
      <c r="F160" s="29" t="str">
        <f>IF(A160="","",IFERROR(INDEX(Maniobras!$K$5:$K$504,MATCH(A160,Maniobras!$A$5:$A$504,0)),""))</f>
        <v/>
      </c>
      <c r="G160" s="29"/>
      <c r="H160" s="29"/>
      <c r="I160" s="29" t="str">
        <f t="shared" si="5"/>
        <v/>
      </c>
      <c r="K160" s="30"/>
      <c r="M160" t="str">
        <f>IF($A160=Ficha!$B$3,COUNTIF($A$5:$A160,Ficha!$B$3),"")</f>
        <v/>
      </c>
    </row>
    <row r="161" spans="2:13" x14ac:dyDescent="0.3">
      <c r="B161" s="30" t="str">
        <f>IF(A161="","",IFERROR(INDEX(Maniobras!$B$5:$B$504,MATCH(A161,Maniobras!$A$5:$A$504,0)),""))</f>
        <v/>
      </c>
      <c r="C161" t="str">
        <f t="shared" si="4"/>
        <v/>
      </c>
      <c r="D161" t="str">
        <f>IF(A161="","",IFERROR(INDEX(Maniobras!$D$5:$D$504,MATCH(A161,Maniobras!$A$5:$A$504,0)),""))</f>
        <v/>
      </c>
      <c r="F161" s="29" t="str">
        <f>IF(A161="","",IFERROR(INDEX(Maniobras!$K$5:$K$504,MATCH(A161,Maniobras!$A$5:$A$504,0)),""))</f>
        <v/>
      </c>
      <c r="G161" s="29"/>
      <c r="H161" s="29"/>
      <c r="I161" s="29" t="str">
        <f t="shared" si="5"/>
        <v/>
      </c>
      <c r="K161" s="30"/>
      <c r="M161" t="str">
        <f>IF($A161=Ficha!$B$3,COUNTIF($A$5:$A161,Ficha!$B$3),"")</f>
        <v/>
      </c>
    </row>
    <row r="162" spans="2:13" x14ac:dyDescent="0.3">
      <c r="B162" s="30" t="str">
        <f>IF(A162="","",IFERROR(INDEX(Maniobras!$B$5:$B$504,MATCH(A162,Maniobras!$A$5:$A$504,0)),""))</f>
        <v/>
      </c>
      <c r="C162" t="str">
        <f t="shared" si="4"/>
        <v/>
      </c>
      <c r="D162" t="str">
        <f>IF(A162="","",IFERROR(INDEX(Maniobras!$D$5:$D$504,MATCH(A162,Maniobras!$A$5:$A$504,0)),""))</f>
        <v/>
      </c>
      <c r="F162" s="29" t="str">
        <f>IF(A162="","",IFERROR(INDEX(Maniobras!$K$5:$K$504,MATCH(A162,Maniobras!$A$5:$A$504,0)),""))</f>
        <v/>
      </c>
      <c r="G162" s="29"/>
      <c r="H162" s="29"/>
      <c r="I162" s="29" t="str">
        <f t="shared" si="5"/>
        <v/>
      </c>
      <c r="K162" s="30"/>
      <c r="M162" t="str">
        <f>IF($A162=Ficha!$B$3,COUNTIF($A$5:$A162,Ficha!$B$3),"")</f>
        <v/>
      </c>
    </row>
    <row r="163" spans="2:13" x14ac:dyDescent="0.3">
      <c r="B163" s="30" t="str">
        <f>IF(A163="","",IFERROR(INDEX(Maniobras!$B$5:$B$504,MATCH(A163,Maniobras!$A$5:$A$504,0)),""))</f>
        <v/>
      </c>
      <c r="C163" t="str">
        <f t="shared" si="4"/>
        <v/>
      </c>
      <c r="D163" t="str">
        <f>IF(A163="","",IFERROR(INDEX(Maniobras!$D$5:$D$504,MATCH(A163,Maniobras!$A$5:$A$504,0)),""))</f>
        <v/>
      </c>
      <c r="F163" s="29" t="str">
        <f>IF(A163="","",IFERROR(INDEX(Maniobras!$K$5:$K$504,MATCH(A163,Maniobras!$A$5:$A$504,0)),""))</f>
        <v/>
      </c>
      <c r="G163" s="29"/>
      <c r="H163" s="29"/>
      <c r="I163" s="29" t="str">
        <f t="shared" si="5"/>
        <v/>
      </c>
      <c r="K163" s="30"/>
      <c r="M163" t="str">
        <f>IF($A163=Ficha!$B$3,COUNTIF($A$5:$A163,Ficha!$B$3),"")</f>
        <v/>
      </c>
    </row>
    <row r="164" spans="2:13" x14ac:dyDescent="0.3">
      <c r="B164" s="30" t="str">
        <f>IF(A164="","",IFERROR(INDEX(Maniobras!$B$5:$B$504,MATCH(A164,Maniobras!$A$5:$A$504,0)),""))</f>
        <v/>
      </c>
      <c r="C164" t="str">
        <f t="shared" si="4"/>
        <v/>
      </c>
      <c r="D164" t="str">
        <f>IF(A164="","",IFERROR(INDEX(Maniobras!$D$5:$D$504,MATCH(A164,Maniobras!$A$5:$A$504,0)),""))</f>
        <v/>
      </c>
      <c r="F164" s="29" t="str">
        <f>IF(A164="","",IFERROR(INDEX(Maniobras!$K$5:$K$504,MATCH(A164,Maniobras!$A$5:$A$504,0)),""))</f>
        <v/>
      </c>
      <c r="G164" s="29"/>
      <c r="H164" s="29"/>
      <c r="I164" s="29" t="str">
        <f t="shared" si="5"/>
        <v/>
      </c>
      <c r="K164" s="30"/>
      <c r="M164" t="str">
        <f>IF($A164=Ficha!$B$3,COUNTIF($A$5:$A164,Ficha!$B$3),"")</f>
        <v/>
      </c>
    </row>
    <row r="165" spans="2:13" x14ac:dyDescent="0.3">
      <c r="B165" s="30" t="str">
        <f>IF(A165="","",IFERROR(INDEX(Maniobras!$B$5:$B$504,MATCH(A165,Maniobras!$A$5:$A$504,0)),""))</f>
        <v/>
      </c>
      <c r="C165" t="str">
        <f t="shared" si="4"/>
        <v/>
      </c>
      <c r="D165" t="str">
        <f>IF(A165="","",IFERROR(INDEX(Maniobras!$D$5:$D$504,MATCH(A165,Maniobras!$A$5:$A$504,0)),""))</f>
        <v/>
      </c>
      <c r="F165" s="29" t="str">
        <f>IF(A165="","",IFERROR(INDEX(Maniobras!$K$5:$K$504,MATCH(A165,Maniobras!$A$5:$A$504,0)),""))</f>
        <v/>
      </c>
      <c r="G165" s="29"/>
      <c r="H165" s="29"/>
      <c r="I165" s="29" t="str">
        <f t="shared" si="5"/>
        <v/>
      </c>
      <c r="K165" s="30"/>
      <c r="M165" t="str">
        <f>IF($A165=Ficha!$B$3,COUNTIF($A$5:$A165,Ficha!$B$3),"")</f>
        <v/>
      </c>
    </row>
    <row r="166" spans="2:13" x14ac:dyDescent="0.3">
      <c r="B166" s="30" t="str">
        <f>IF(A166="","",IFERROR(INDEX(Maniobras!$B$5:$B$504,MATCH(A166,Maniobras!$A$5:$A$504,0)),""))</f>
        <v/>
      </c>
      <c r="C166" t="str">
        <f t="shared" si="4"/>
        <v/>
      </c>
      <c r="D166" t="str">
        <f>IF(A166="","",IFERROR(INDEX(Maniobras!$D$5:$D$504,MATCH(A166,Maniobras!$A$5:$A$504,0)),""))</f>
        <v/>
      </c>
      <c r="F166" s="29" t="str">
        <f>IF(A166="","",IFERROR(INDEX(Maniobras!$K$5:$K$504,MATCH(A166,Maniobras!$A$5:$A$504,0)),""))</f>
        <v/>
      </c>
      <c r="G166" s="29"/>
      <c r="H166" s="29"/>
      <c r="I166" s="29" t="str">
        <f t="shared" si="5"/>
        <v/>
      </c>
      <c r="K166" s="30"/>
      <c r="M166" t="str">
        <f>IF($A166=Ficha!$B$3,COUNTIF($A$5:$A166,Ficha!$B$3),"")</f>
        <v/>
      </c>
    </row>
    <row r="167" spans="2:13" x14ac:dyDescent="0.3">
      <c r="B167" s="30" t="str">
        <f>IF(A167="","",IFERROR(INDEX(Maniobras!$B$5:$B$504,MATCH(A167,Maniobras!$A$5:$A$504,0)),""))</f>
        <v/>
      </c>
      <c r="C167" t="str">
        <f t="shared" si="4"/>
        <v/>
      </c>
      <c r="D167" t="str">
        <f>IF(A167="","",IFERROR(INDEX(Maniobras!$D$5:$D$504,MATCH(A167,Maniobras!$A$5:$A$504,0)),""))</f>
        <v/>
      </c>
      <c r="F167" s="29" t="str">
        <f>IF(A167="","",IFERROR(INDEX(Maniobras!$K$5:$K$504,MATCH(A167,Maniobras!$A$5:$A$504,0)),""))</f>
        <v/>
      </c>
      <c r="G167" s="29"/>
      <c r="H167" s="29"/>
      <c r="I167" s="29" t="str">
        <f t="shared" si="5"/>
        <v/>
      </c>
      <c r="K167" s="30"/>
      <c r="M167" t="str">
        <f>IF($A167=Ficha!$B$3,COUNTIF($A$5:$A167,Ficha!$B$3),"")</f>
        <v/>
      </c>
    </row>
    <row r="168" spans="2:13" x14ac:dyDescent="0.3">
      <c r="B168" s="30" t="str">
        <f>IF(A168="","",IFERROR(INDEX(Maniobras!$B$5:$B$504,MATCH(A168,Maniobras!$A$5:$A$504,0)),""))</f>
        <v/>
      </c>
      <c r="C168" t="str">
        <f t="shared" si="4"/>
        <v/>
      </c>
      <c r="D168" t="str">
        <f>IF(A168="","",IFERROR(INDEX(Maniobras!$D$5:$D$504,MATCH(A168,Maniobras!$A$5:$A$504,0)),""))</f>
        <v/>
      </c>
      <c r="F168" s="29" t="str">
        <f>IF(A168="","",IFERROR(INDEX(Maniobras!$K$5:$K$504,MATCH(A168,Maniobras!$A$5:$A$504,0)),""))</f>
        <v/>
      </c>
      <c r="G168" s="29"/>
      <c r="H168" s="29"/>
      <c r="I168" s="29" t="str">
        <f t="shared" si="5"/>
        <v/>
      </c>
      <c r="K168" s="30"/>
      <c r="M168" t="str">
        <f>IF($A168=Ficha!$B$3,COUNTIF($A$5:$A168,Ficha!$B$3),"")</f>
        <v/>
      </c>
    </row>
    <row r="169" spans="2:13" x14ac:dyDescent="0.3">
      <c r="B169" s="30" t="str">
        <f>IF(A169="","",IFERROR(INDEX(Maniobras!$B$5:$B$504,MATCH(A169,Maniobras!$A$5:$A$504,0)),""))</f>
        <v/>
      </c>
      <c r="C169" t="str">
        <f t="shared" si="4"/>
        <v/>
      </c>
      <c r="D169" t="str">
        <f>IF(A169="","",IFERROR(INDEX(Maniobras!$D$5:$D$504,MATCH(A169,Maniobras!$A$5:$A$504,0)),""))</f>
        <v/>
      </c>
      <c r="F169" s="29" t="str">
        <f>IF(A169="","",IFERROR(INDEX(Maniobras!$K$5:$K$504,MATCH(A169,Maniobras!$A$5:$A$504,0)),""))</f>
        <v/>
      </c>
      <c r="G169" s="29"/>
      <c r="H169" s="29"/>
      <c r="I169" s="29" t="str">
        <f t="shared" si="5"/>
        <v/>
      </c>
      <c r="K169" s="30"/>
      <c r="M169" t="str">
        <f>IF($A169=Ficha!$B$3,COUNTIF($A$5:$A169,Ficha!$B$3),"")</f>
        <v/>
      </c>
    </row>
    <row r="170" spans="2:13" x14ac:dyDescent="0.3">
      <c r="B170" s="30" t="str">
        <f>IF(A170="","",IFERROR(INDEX(Maniobras!$B$5:$B$504,MATCH(A170,Maniobras!$A$5:$A$504,0)),""))</f>
        <v/>
      </c>
      <c r="C170" t="str">
        <f t="shared" si="4"/>
        <v/>
      </c>
      <c r="D170" t="str">
        <f>IF(A170="","",IFERROR(INDEX(Maniobras!$D$5:$D$504,MATCH(A170,Maniobras!$A$5:$A$504,0)),""))</f>
        <v/>
      </c>
      <c r="F170" s="29" t="str">
        <f>IF(A170="","",IFERROR(INDEX(Maniobras!$K$5:$K$504,MATCH(A170,Maniobras!$A$5:$A$504,0)),""))</f>
        <v/>
      </c>
      <c r="G170" s="29"/>
      <c r="H170" s="29"/>
      <c r="I170" s="29" t="str">
        <f t="shared" si="5"/>
        <v/>
      </c>
      <c r="K170" s="30"/>
      <c r="M170" t="str">
        <f>IF($A170=Ficha!$B$3,COUNTIF($A$5:$A170,Ficha!$B$3),"")</f>
        <v/>
      </c>
    </row>
    <row r="171" spans="2:13" x14ac:dyDescent="0.3">
      <c r="B171" s="30" t="str">
        <f>IF(A171="","",IFERROR(INDEX(Maniobras!$B$5:$B$504,MATCH(A171,Maniobras!$A$5:$A$504,0)),""))</f>
        <v/>
      </c>
      <c r="C171" t="str">
        <f t="shared" si="4"/>
        <v/>
      </c>
      <c r="D171" t="str">
        <f>IF(A171="","",IFERROR(INDEX(Maniobras!$D$5:$D$504,MATCH(A171,Maniobras!$A$5:$A$504,0)),""))</f>
        <v/>
      </c>
      <c r="F171" s="29" t="str">
        <f>IF(A171="","",IFERROR(INDEX(Maniobras!$K$5:$K$504,MATCH(A171,Maniobras!$A$5:$A$504,0)),""))</f>
        <v/>
      </c>
      <c r="G171" s="29"/>
      <c r="H171" s="29"/>
      <c r="I171" s="29" t="str">
        <f t="shared" si="5"/>
        <v/>
      </c>
      <c r="K171" s="30"/>
      <c r="M171" t="str">
        <f>IF($A171=Ficha!$B$3,COUNTIF($A$5:$A171,Ficha!$B$3),"")</f>
        <v/>
      </c>
    </row>
    <row r="172" spans="2:13" x14ac:dyDescent="0.3">
      <c r="B172" s="30" t="str">
        <f>IF(A172="","",IFERROR(INDEX(Maniobras!$B$5:$B$504,MATCH(A172,Maniobras!$A$5:$A$504,0)),""))</f>
        <v/>
      </c>
      <c r="C172" t="str">
        <f t="shared" si="4"/>
        <v/>
      </c>
      <c r="D172" t="str">
        <f>IF(A172="","",IFERROR(INDEX(Maniobras!$D$5:$D$504,MATCH(A172,Maniobras!$A$5:$A$504,0)),""))</f>
        <v/>
      </c>
      <c r="F172" s="29" t="str">
        <f>IF(A172="","",IFERROR(INDEX(Maniobras!$K$5:$K$504,MATCH(A172,Maniobras!$A$5:$A$504,0)),""))</f>
        <v/>
      </c>
      <c r="G172" s="29"/>
      <c r="H172" s="29"/>
      <c r="I172" s="29" t="str">
        <f t="shared" si="5"/>
        <v/>
      </c>
      <c r="K172" s="30"/>
      <c r="M172" t="str">
        <f>IF($A172=Ficha!$B$3,COUNTIF($A$5:$A172,Ficha!$B$3),"")</f>
        <v/>
      </c>
    </row>
    <row r="173" spans="2:13" x14ac:dyDescent="0.3">
      <c r="B173" s="30" t="str">
        <f>IF(A173="","",IFERROR(INDEX(Maniobras!$B$5:$B$504,MATCH(A173,Maniobras!$A$5:$A$504,0)),""))</f>
        <v/>
      </c>
      <c r="C173" t="str">
        <f t="shared" si="4"/>
        <v/>
      </c>
      <c r="D173" t="str">
        <f>IF(A173="","",IFERROR(INDEX(Maniobras!$D$5:$D$504,MATCH(A173,Maniobras!$A$5:$A$504,0)),""))</f>
        <v/>
      </c>
      <c r="F173" s="29" t="str">
        <f>IF(A173="","",IFERROR(INDEX(Maniobras!$K$5:$K$504,MATCH(A173,Maniobras!$A$5:$A$504,0)),""))</f>
        <v/>
      </c>
      <c r="G173" s="29"/>
      <c r="H173" s="29"/>
      <c r="I173" s="29" t="str">
        <f t="shared" si="5"/>
        <v/>
      </c>
      <c r="K173" s="30"/>
      <c r="M173" t="str">
        <f>IF($A173=Ficha!$B$3,COUNTIF($A$5:$A173,Ficha!$B$3),"")</f>
        <v/>
      </c>
    </row>
    <row r="174" spans="2:13" x14ac:dyDescent="0.3">
      <c r="B174" s="30" t="str">
        <f>IF(A174="","",IFERROR(INDEX(Maniobras!$B$5:$B$504,MATCH(A174,Maniobras!$A$5:$A$504,0)),""))</f>
        <v/>
      </c>
      <c r="C174" t="str">
        <f t="shared" si="4"/>
        <v/>
      </c>
      <c r="D174" t="str">
        <f>IF(A174="","",IFERROR(INDEX(Maniobras!$D$5:$D$504,MATCH(A174,Maniobras!$A$5:$A$504,0)),""))</f>
        <v/>
      </c>
      <c r="F174" s="29" t="str">
        <f>IF(A174="","",IFERROR(INDEX(Maniobras!$K$5:$K$504,MATCH(A174,Maniobras!$A$5:$A$504,0)),""))</f>
        <v/>
      </c>
      <c r="G174" s="29"/>
      <c r="H174" s="29"/>
      <c r="I174" s="29" t="str">
        <f t="shared" si="5"/>
        <v/>
      </c>
      <c r="K174" s="30"/>
      <c r="M174" t="str">
        <f>IF($A174=Ficha!$B$3,COUNTIF($A$5:$A174,Ficha!$B$3),"")</f>
        <v/>
      </c>
    </row>
    <row r="175" spans="2:13" x14ac:dyDescent="0.3">
      <c r="B175" s="30" t="str">
        <f>IF(A175="","",IFERROR(INDEX(Maniobras!$B$5:$B$504,MATCH(A175,Maniobras!$A$5:$A$504,0)),""))</f>
        <v/>
      </c>
      <c r="C175" t="str">
        <f t="shared" si="4"/>
        <v/>
      </c>
      <c r="D175" t="str">
        <f>IF(A175="","",IFERROR(INDEX(Maniobras!$D$5:$D$504,MATCH(A175,Maniobras!$A$5:$A$504,0)),""))</f>
        <v/>
      </c>
      <c r="F175" s="29" t="str">
        <f>IF(A175="","",IFERROR(INDEX(Maniobras!$K$5:$K$504,MATCH(A175,Maniobras!$A$5:$A$504,0)),""))</f>
        <v/>
      </c>
      <c r="G175" s="29"/>
      <c r="H175" s="29"/>
      <c r="I175" s="29" t="str">
        <f t="shared" si="5"/>
        <v/>
      </c>
      <c r="K175" s="30"/>
      <c r="M175" t="str">
        <f>IF($A175=Ficha!$B$3,COUNTIF($A$5:$A175,Ficha!$B$3),"")</f>
        <v/>
      </c>
    </row>
    <row r="176" spans="2:13" x14ac:dyDescent="0.3">
      <c r="B176" s="30" t="str">
        <f>IF(A176="","",IFERROR(INDEX(Maniobras!$B$5:$B$504,MATCH(A176,Maniobras!$A$5:$A$504,0)),""))</f>
        <v/>
      </c>
      <c r="C176" t="str">
        <f t="shared" si="4"/>
        <v/>
      </c>
      <c r="D176" t="str">
        <f>IF(A176="","",IFERROR(INDEX(Maniobras!$D$5:$D$504,MATCH(A176,Maniobras!$A$5:$A$504,0)),""))</f>
        <v/>
      </c>
      <c r="F176" s="29" t="str">
        <f>IF(A176="","",IFERROR(INDEX(Maniobras!$K$5:$K$504,MATCH(A176,Maniobras!$A$5:$A$504,0)),""))</f>
        <v/>
      </c>
      <c r="G176" s="29"/>
      <c r="H176" s="29"/>
      <c r="I176" s="29" t="str">
        <f t="shared" si="5"/>
        <v/>
      </c>
      <c r="K176" s="30"/>
      <c r="M176" t="str">
        <f>IF($A176=Ficha!$B$3,COUNTIF($A$5:$A176,Ficha!$B$3),"")</f>
        <v/>
      </c>
    </row>
    <row r="177" spans="2:13" x14ac:dyDescent="0.3">
      <c r="B177" s="30" t="str">
        <f>IF(A177="","",IFERROR(INDEX(Maniobras!$B$5:$B$504,MATCH(A177,Maniobras!$A$5:$A$504,0)),""))</f>
        <v/>
      </c>
      <c r="C177" t="str">
        <f t="shared" si="4"/>
        <v/>
      </c>
      <c r="D177" t="str">
        <f>IF(A177="","",IFERROR(INDEX(Maniobras!$D$5:$D$504,MATCH(A177,Maniobras!$A$5:$A$504,0)),""))</f>
        <v/>
      </c>
      <c r="F177" s="29" t="str">
        <f>IF(A177="","",IFERROR(INDEX(Maniobras!$K$5:$K$504,MATCH(A177,Maniobras!$A$5:$A$504,0)),""))</f>
        <v/>
      </c>
      <c r="G177" s="29"/>
      <c r="H177" s="29"/>
      <c r="I177" s="29" t="str">
        <f t="shared" si="5"/>
        <v/>
      </c>
      <c r="K177" s="30"/>
      <c r="M177" t="str">
        <f>IF($A177=Ficha!$B$3,COUNTIF($A$5:$A177,Ficha!$B$3),"")</f>
        <v/>
      </c>
    </row>
    <row r="178" spans="2:13" x14ac:dyDescent="0.3">
      <c r="B178" s="30" t="str">
        <f>IF(A178="","",IFERROR(INDEX(Maniobras!$B$5:$B$504,MATCH(A178,Maniobras!$A$5:$A$504,0)),""))</f>
        <v/>
      </c>
      <c r="C178" t="str">
        <f t="shared" si="4"/>
        <v/>
      </c>
      <c r="D178" t="str">
        <f>IF(A178="","",IFERROR(INDEX(Maniobras!$D$5:$D$504,MATCH(A178,Maniobras!$A$5:$A$504,0)),""))</f>
        <v/>
      </c>
      <c r="F178" s="29" t="str">
        <f>IF(A178="","",IFERROR(INDEX(Maniobras!$K$5:$K$504,MATCH(A178,Maniobras!$A$5:$A$504,0)),""))</f>
        <v/>
      </c>
      <c r="G178" s="29"/>
      <c r="H178" s="29"/>
      <c r="I178" s="29" t="str">
        <f t="shared" si="5"/>
        <v/>
      </c>
      <c r="K178" s="30"/>
      <c r="M178" t="str">
        <f>IF($A178=Ficha!$B$3,COUNTIF($A$5:$A178,Ficha!$B$3),"")</f>
        <v/>
      </c>
    </row>
    <row r="179" spans="2:13" x14ac:dyDescent="0.3">
      <c r="B179" s="30" t="str">
        <f>IF(A179="","",IFERROR(INDEX(Maniobras!$B$5:$B$504,MATCH(A179,Maniobras!$A$5:$A$504,0)),""))</f>
        <v/>
      </c>
      <c r="C179" t="str">
        <f t="shared" si="4"/>
        <v/>
      </c>
      <c r="D179" t="str">
        <f>IF(A179="","",IFERROR(INDEX(Maniobras!$D$5:$D$504,MATCH(A179,Maniobras!$A$5:$A$504,0)),""))</f>
        <v/>
      </c>
      <c r="F179" s="29" t="str">
        <f>IF(A179="","",IFERROR(INDEX(Maniobras!$K$5:$K$504,MATCH(A179,Maniobras!$A$5:$A$504,0)),""))</f>
        <v/>
      </c>
      <c r="G179" s="29"/>
      <c r="H179" s="29"/>
      <c r="I179" s="29" t="str">
        <f t="shared" si="5"/>
        <v/>
      </c>
      <c r="K179" s="30"/>
      <c r="M179" t="str">
        <f>IF($A179=Ficha!$B$3,COUNTIF($A$5:$A179,Ficha!$B$3),"")</f>
        <v/>
      </c>
    </row>
    <row r="180" spans="2:13" x14ac:dyDescent="0.3">
      <c r="B180" s="30" t="str">
        <f>IF(A180="","",IFERROR(INDEX(Maniobras!$B$5:$B$504,MATCH(A180,Maniobras!$A$5:$A$504,0)),""))</f>
        <v/>
      </c>
      <c r="C180" t="str">
        <f t="shared" si="4"/>
        <v/>
      </c>
      <c r="D180" t="str">
        <f>IF(A180="","",IFERROR(INDEX(Maniobras!$D$5:$D$504,MATCH(A180,Maniobras!$A$5:$A$504,0)),""))</f>
        <v/>
      </c>
      <c r="F180" s="29" t="str">
        <f>IF(A180="","",IFERROR(INDEX(Maniobras!$K$5:$K$504,MATCH(A180,Maniobras!$A$5:$A$504,0)),""))</f>
        <v/>
      </c>
      <c r="G180" s="29"/>
      <c r="H180" s="29"/>
      <c r="I180" s="29" t="str">
        <f t="shared" si="5"/>
        <v/>
      </c>
      <c r="K180" s="30"/>
      <c r="M180" t="str">
        <f>IF($A180=Ficha!$B$3,COUNTIF($A$5:$A180,Ficha!$B$3),"")</f>
        <v/>
      </c>
    </row>
    <row r="181" spans="2:13" x14ac:dyDescent="0.3">
      <c r="B181" s="30" t="str">
        <f>IF(A181="","",IFERROR(INDEX(Maniobras!$B$5:$B$504,MATCH(A181,Maniobras!$A$5:$A$504,0)),""))</f>
        <v/>
      </c>
      <c r="C181" t="str">
        <f t="shared" si="4"/>
        <v/>
      </c>
      <c r="D181" t="str">
        <f>IF(A181="","",IFERROR(INDEX(Maniobras!$D$5:$D$504,MATCH(A181,Maniobras!$A$5:$A$504,0)),""))</f>
        <v/>
      </c>
      <c r="F181" s="29" t="str">
        <f>IF(A181="","",IFERROR(INDEX(Maniobras!$K$5:$K$504,MATCH(A181,Maniobras!$A$5:$A$504,0)),""))</f>
        <v/>
      </c>
      <c r="G181" s="29"/>
      <c r="H181" s="29"/>
      <c r="I181" s="29" t="str">
        <f t="shared" si="5"/>
        <v/>
      </c>
      <c r="K181" s="30"/>
      <c r="M181" t="str">
        <f>IF($A181=Ficha!$B$3,COUNTIF($A$5:$A181,Ficha!$B$3),"")</f>
        <v/>
      </c>
    </row>
    <row r="182" spans="2:13" x14ac:dyDescent="0.3">
      <c r="B182" s="30" t="str">
        <f>IF(A182="","",IFERROR(INDEX(Maniobras!$B$5:$B$504,MATCH(A182,Maniobras!$A$5:$A$504,0)),""))</f>
        <v/>
      </c>
      <c r="C182" t="str">
        <f t="shared" si="4"/>
        <v/>
      </c>
      <c r="D182" t="str">
        <f>IF(A182="","",IFERROR(INDEX(Maniobras!$D$5:$D$504,MATCH(A182,Maniobras!$A$5:$A$504,0)),""))</f>
        <v/>
      </c>
      <c r="F182" s="29" t="str">
        <f>IF(A182="","",IFERROR(INDEX(Maniobras!$K$5:$K$504,MATCH(A182,Maniobras!$A$5:$A$504,0)),""))</f>
        <v/>
      </c>
      <c r="G182" s="29"/>
      <c r="H182" s="29"/>
      <c r="I182" s="29" t="str">
        <f t="shared" si="5"/>
        <v/>
      </c>
      <c r="K182" s="30"/>
      <c r="M182" t="str">
        <f>IF($A182=Ficha!$B$3,COUNTIF($A$5:$A182,Ficha!$B$3),"")</f>
        <v/>
      </c>
    </row>
    <row r="183" spans="2:13" x14ac:dyDescent="0.3">
      <c r="B183" s="30" t="str">
        <f>IF(A183="","",IFERROR(INDEX(Maniobras!$B$5:$B$504,MATCH(A183,Maniobras!$A$5:$A$504,0)),""))</f>
        <v/>
      </c>
      <c r="C183" t="str">
        <f t="shared" si="4"/>
        <v/>
      </c>
      <c r="D183" t="str">
        <f>IF(A183="","",IFERROR(INDEX(Maniobras!$D$5:$D$504,MATCH(A183,Maniobras!$A$5:$A$504,0)),""))</f>
        <v/>
      </c>
      <c r="F183" s="29" t="str">
        <f>IF(A183="","",IFERROR(INDEX(Maniobras!$K$5:$K$504,MATCH(A183,Maniobras!$A$5:$A$504,0)),""))</f>
        <v/>
      </c>
      <c r="G183" s="29"/>
      <c r="H183" s="29"/>
      <c r="I183" s="29" t="str">
        <f t="shared" si="5"/>
        <v/>
      </c>
      <c r="K183" s="30"/>
      <c r="M183" t="str">
        <f>IF($A183=Ficha!$B$3,COUNTIF($A$5:$A183,Ficha!$B$3),"")</f>
        <v/>
      </c>
    </row>
    <row r="184" spans="2:13" x14ac:dyDescent="0.3">
      <c r="B184" s="30" t="str">
        <f>IF(A184="","",IFERROR(INDEX(Maniobras!$B$5:$B$504,MATCH(A184,Maniobras!$A$5:$A$504,0)),""))</f>
        <v/>
      </c>
      <c r="C184" t="str">
        <f t="shared" si="4"/>
        <v/>
      </c>
      <c r="D184" t="str">
        <f>IF(A184="","",IFERROR(INDEX(Maniobras!$D$5:$D$504,MATCH(A184,Maniobras!$A$5:$A$504,0)),""))</f>
        <v/>
      </c>
      <c r="F184" s="29" t="str">
        <f>IF(A184="","",IFERROR(INDEX(Maniobras!$K$5:$K$504,MATCH(A184,Maniobras!$A$5:$A$504,0)),""))</f>
        <v/>
      </c>
      <c r="G184" s="29"/>
      <c r="H184" s="29"/>
      <c r="I184" s="29" t="str">
        <f t="shared" si="5"/>
        <v/>
      </c>
      <c r="K184" s="30"/>
      <c r="M184" t="str">
        <f>IF($A184=Ficha!$B$3,COUNTIF($A$5:$A184,Ficha!$B$3),"")</f>
        <v/>
      </c>
    </row>
    <row r="185" spans="2:13" x14ac:dyDescent="0.3">
      <c r="B185" s="30" t="str">
        <f>IF(A185="","",IFERROR(INDEX(Maniobras!$B$5:$B$504,MATCH(A185,Maniobras!$A$5:$A$504,0)),""))</f>
        <v/>
      </c>
      <c r="C185" t="str">
        <f t="shared" si="4"/>
        <v/>
      </c>
      <c r="D185" t="str">
        <f>IF(A185="","",IFERROR(INDEX(Maniobras!$D$5:$D$504,MATCH(A185,Maniobras!$A$5:$A$504,0)),""))</f>
        <v/>
      </c>
      <c r="F185" s="29" t="str">
        <f>IF(A185="","",IFERROR(INDEX(Maniobras!$K$5:$K$504,MATCH(A185,Maniobras!$A$5:$A$504,0)),""))</f>
        <v/>
      </c>
      <c r="G185" s="29"/>
      <c r="H185" s="29"/>
      <c r="I185" s="29" t="str">
        <f t="shared" si="5"/>
        <v/>
      </c>
      <c r="K185" s="30"/>
      <c r="M185" t="str">
        <f>IF($A185=Ficha!$B$3,COUNTIF($A$5:$A185,Ficha!$B$3),"")</f>
        <v/>
      </c>
    </row>
    <row r="186" spans="2:13" x14ac:dyDescent="0.3">
      <c r="B186" s="30" t="str">
        <f>IF(A186="","",IFERROR(INDEX(Maniobras!$B$5:$B$504,MATCH(A186,Maniobras!$A$5:$A$504,0)),""))</f>
        <v/>
      </c>
      <c r="C186" t="str">
        <f t="shared" si="4"/>
        <v/>
      </c>
      <c r="D186" t="str">
        <f>IF(A186="","",IFERROR(INDEX(Maniobras!$D$5:$D$504,MATCH(A186,Maniobras!$A$5:$A$504,0)),""))</f>
        <v/>
      </c>
      <c r="F186" s="29" t="str">
        <f>IF(A186="","",IFERROR(INDEX(Maniobras!$K$5:$K$504,MATCH(A186,Maniobras!$A$5:$A$504,0)),""))</f>
        <v/>
      </c>
      <c r="G186" s="29"/>
      <c r="H186" s="29"/>
      <c r="I186" s="29" t="str">
        <f t="shared" si="5"/>
        <v/>
      </c>
      <c r="K186" s="30"/>
      <c r="M186" t="str">
        <f>IF($A186=Ficha!$B$3,COUNTIF($A$5:$A186,Ficha!$B$3),"")</f>
        <v/>
      </c>
    </row>
    <row r="187" spans="2:13" x14ac:dyDescent="0.3">
      <c r="B187" s="30" t="str">
        <f>IF(A187="","",IFERROR(INDEX(Maniobras!$B$5:$B$504,MATCH(A187,Maniobras!$A$5:$A$504,0)),""))</f>
        <v/>
      </c>
      <c r="C187" t="str">
        <f t="shared" si="4"/>
        <v/>
      </c>
      <c r="D187" t="str">
        <f>IF(A187="","",IFERROR(INDEX(Maniobras!$D$5:$D$504,MATCH(A187,Maniobras!$A$5:$A$504,0)),""))</f>
        <v/>
      </c>
      <c r="F187" s="29" t="str">
        <f>IF(A187="","",IFERROR(INDEX(Maniobras!$K$5:$K$504,MATCH(A187,Maniobras!$A$5:$A$504,0)),""))</f>
        <v/>
      </c>
      <c r="G187" s="29"/>
      <c r="H187" s="29"/>
      <c r="I187" s="29" t="str">
        <f t="shared" si="5"/>
        <v/>
      </c>
      <c r="K187" s="30"/>
      <c r="M187" t="str">
        <f>IF($A187=Ficha!$B$3,COUNTIF($A$5:$A187,Ficha!$B$3),"")</f>
        <v/>
      </c>
    </row>
    <row r="188" spans="2:13" x14ac:dyDescent="0.3">
      <c r="B188" s="30" t="str">
        <f>IF(A188="","",IFERROR(INDEX(Maniobras!$B$5:$B$504,MATCH(A188,Maniobras!$A$5:$A$504,0)),""))</f>
        <v/>
      </c>
      <c r="C188" t="str">
        <f t="shared" si="4"/>
        <v/>
      </c>
      <c r="D188" t="str">
        <f>IF(A188="","",IFERROR(INDEX(Maniobras!$D$5:$D$504,MATCH(A188,Maniobras!$A$5:$A$504,0)),""))</f>
        <v/>
      </c>
      <c r="F188" s="29" t="str">
        <f>IF(A188="","",IFERROR(INDEX(Maniobras!$K$5:$K$504,MATCH(A188,Maniobras!$A$5:$A$504,0)),""))</f>
        <v/>
      </c>
      <c r="G188" s="29"/>
      <c r="H188" s="29"/>
      <c r="I188" s="29" t="str">
        <f t="shared" si="5"/>
        <v/>
      </c>
      <c r="K188" s="30"/>
      <c r="M188" t="str">
        <f>IF($A188=Ficha!$B$3,COUNTIF($A$5:$A188,Ficha!$B$3),"")</f>
        <v/>
      </c>
    </row>
    <row r="189" spans="2:13" x14ac:dyDescent="0.3">
      <c r="B189" s="30" t="str">
        <f>IF(A189="","",IFERROR(INDEX(Maniobras!$B$5:$B$504,MATCH(A189,Maniobras!$A$5:$A$504,0)),""))</f>
        <v/>
      </c>
      <c r="C189" t="str">
        <f t="shared" si="4"/>
        <v/>
      </c>
      <c r="D189" t="str">
        <f>IF(A189="","",IFERROR(INDEX(Maniobras!$D$5:$D$504,MATCH(A189,Maniobras!$A$5:$A$504,0)),""))</f>
        <v/>
      </c>
      <c r="F189" s="29" t="str">
        <f>IF(A189="","",IFERROR(INDEX(Maniobras!$K$5:$K$504,MATCH(A189,Maniobras!$A$5:$A$504,0)),""))</f>
        <v/>
      </c>
      <c r="G189" s="29"/>
      <c r="H189" s="29"/>
      <c r="I189" s="29" t="str">
        <f t="shared" si="5"/>
        <v/>
      </c>
      <c r="K189" s="30"/>
      <c r="M189" t="str">
        <f>IF($A189=Ficha!$B$3,COUNTIF($A$5:$A189,Ficha!$B$3),"")</f>
        <v/>
      </c>
    </row>
    <row r="190" spans="2:13" x14ac:dyDescent="0.3">
      <c r="B190" s="30" t="str">
        <f>IF(A190="","",IFERROR(INDEX(Maniobras!$B$5:$B$504,MATCH(A190,Maniobras!$A$5:$A$504,0)),""))</f>
        <v/>
      </c>
      <c r="C190" t="str">
        <f t="shared" si="4"/>
        <v/>
      </c>
      <c r="D190" t="str">
        <f>IF(A190="","",IFERROR(INDEX(Maniobras!$D$5:$D$504,MATCH(A190,Maniobras!$A$5:$A$504,0)),""))</f>
        <v/>
      </c>
      <c r="F190" s="29" t="str">
        <f>IF(A190="","",IFERROR(INDEX(Maniobras!$K$5:$K$504,MATCH(A190,Maniobras!$A$5:$A$504,0)),""))</f>
        <v/>
      </c>
      <c r="G190" s="29"/>
      <c r="H190" s="29"/>
      <c r="I190" s="29" t="str">
        <f t="shared" si="5"/>
        <v/>
      </c>
      <c r="K190" s="30"/>
      <c r="M190" t="str">
        <f>IF($A190=Ficha!$B$3,COUNTIF($A$5:$A190,Ficha!$B$3),"")</f>
        <v/>
      </c>
    </row>
    <row r="191" spans="2:13" x14ac:dyDescent="0.3">
      <c r="B191" s="30" t="str">
        <f>IF(A191="","",IFERROR(INDEX(Maniobras!$B$5:$B$504,MATCH(A191,Maniobras!$A$5:$A$504,0)),""))</f>
        <v/>
      </c>
      <c r="C191" t="str">
        <f t="shared" si="4"/>
        <v/>
      </c>
      <c r="D191" t="str">
        <f>IF(A191="","",IFERROR(INDEX(Maniobras!$D$5:$D$504,MATCH(A191,Maniobras!$A$5:$A$504,0)),""))</f>
        <v/>
      </c>
      <c r="F191" s="29" t="str">
        <f>IF(A191="","",IFERROR(INDEX(Maniobras!$K$5:$K$504,MATCH(A191,Maniobras!$A$5:$A$504,0)),""))</f>
        <v/>
      </c>
      <c r="G191" s="29"/>
      <c r="H191" s="29"/>
      <c r="I191" s="29" t="str">
        <f t="shared" si="5"/>
        <v/>
      </c>
      <c r="K191" s="30"/>
      <c r="M191" t="str">
        <f>IF($A191=Ficha!$B$3,COUNTIF($A$5:$A191,Ficha!$B$3),"")</f>
        <v/>
      </c>
    </row>
    <row r="192" spans="2:13" x14ac:dyDescent="0.3">
      <c r="B192" s="30" t="str">
        <f>IF(A192="","",IFERROR(INDEX(Maniobras!$B$5:$B$504,MATCH(A192,Maniobras!$A$5:$A$504,0)),""))</f>
        <v/>
      </c>
      <c r="C192" t="str">
        <f t="shared" si="4"/>
        <v/>
      </c>
      <c r="D192" t="str">
        <f>IF(A192="","",IFERROR(INDEX(Maniobras!$D$5:$D$504,MATCH(A192,Maniobras!$A$5:$A$504,0)),""))</f>
        <v/>
      </c>
      <c r="F192" s="29" t="str">
        <f>IF(A192="","",IFERROR(INDEX(Maniobras!$K$5:$K$504,MATCH(A192,Maniobras!$A$5:$A$504,0)),""))</f>
        <v/>
      </c>
      <c r="G192" s="29"/>
      <c r="H192" s="29"/>
      <c r="I192" s="29" t="str">
        <f t="shared" si="5"/>
        <v/>
      </c>
      <c r="K192" s="30"/>
      <c r="M192" t="str">
        <f>IF($A192=Ficha!$B$3,COUNTIF($A$5:$A192,Ficha!$B$3),"")</f>
        <v/>
      </c>
    </row>
    <row r="193" spans="2:13" x14ac:dyDescent="0.3">
      <c r="B193" s="30" t="str">
        <f>IF(A193="","",IFERROR(INDEX(Maniobras!$B$5:$B$504,MATCH(A193,Maniobras!$A$5:$A$504,0)),""))</f>
        <v/>
      </c>
      <c r="C193" t="str">
        <f t="shared" si="4"/>
        <v/>
      </c>
      <c r="D193" t="str">
        <f>IF(A193="","",IFERROR(INDEX(Maniobras!$D$5:$D$504,MATCH(A193,Maniobras!$A$5:$A$504,0)),""))</f>
        <v/>
      </c>
      <c r="F193" s="29" t="str">
        <f>IF(A193="","",IFERROR(INDEX(Maniobras!$K$5:$K$504,MATCH(A193,Maniobras!$A$5:$A$504,0)),""))</f>
        <v/>
      </c>
      <c r="G193" s="29"/>
      <c r="H193" s="29"/>
      <c r="I193" s="29" t="str">
        <f t="shared" si="5"/>
        <v/>
      </c>
      <c r="K193" s="30"/>
      <c r="M193" t="str">
        <f>IF($A193=Ficha!$B$3,COUNTIF($A$5:$A193,Ficha!$B$3),"")</f>
        <v/>
      </c>
    </row>
    <row r="194" spans="2:13" x14ac:dyDescent="0.3">
      <c r="B194" s="30" t="str">
        <f>IF(A194="","",IFERROR(INDEX(Maniobras!$B$5:$B$504,MATCH(A194,Maniobras!$A$5:$A$504,0)),""))</f>
        <v/>
      </c>
      <c r="C194" t="str">
        <f t="shared" si="4"/>
        <v/>
      </c>
      <c r="D194" t="str">
        <f>IF(A194="","",IFERROR(INDEX(Maniobras!$D$5:$D$504,MATCH(A194,Maniobras!$A$5:$A$504,0)),""))</f>
        <v/>
      </c>
      <c r="F194" s="29" t="str">
        <f>IF(A194="","",IFERROR(INDEX(Maniobras!$K$5:$K$504,MATCH(A194,Maniobras!$A$5:$A$504,0)),""))</f>
        <v/>
      </c>
      <c r="G194" s="29"/>
      <c r="H194" s="29"/>
      <c r="I194" s="29" t="str">
        <f t="shared" si="5"/>
        <v/>
      </c>
      <c r="K194" s="30"/>
      <c r="M194" t="str">
        <f>IF($A194=Ficha!$B$3,COUNTIF($A$5:$A194,Ficha!$B$3),"")</f>
        <v/>
      </c>
    </row>
    <row r="195" spans="2:13" x14ac:dyDescent="0.3">
      <c r="B195" s="30" t="str">
        <f>IF(A195="","",IFERROR(INDEX(Maniobras!$B$5:$B$504,MATCH(A195,Maniobras!$A$5:$A$504,0)),""))</f>
        <v/>
      </c>
      <c r="C195" t="str">
        <f t="shared" si="4"/>
        <v/>
      </c>
      <c r="D195" t="str">
        <f>IF(A195="","",IFERROR(INDEX(Maniobras!$D$5:$D$504,MATCH(A195,Maniobras!$A$5:$A$504,0)),""))</f>
        <v/>
      </c>
      <c r="F195" s="29" t="str">
        <f>IF(A195="","",IFERROR(INDEX(Maniobras!$K$5:$K$504,MATCH(A195,Maniobras!$A$5:$A$504,0)),""))</f>
        <v/>
      </c>
      <c r="G195" s="29"/>
      <c r="H195" s="29"/>
      <c r="I195" s="29" t="str">
        <f t="shared" si="5"/>
        <v/>
      </c>
      <c r="K195" s="30"/>
      <c r="M195" t="str">
        <f>IF($A195=Ficha!$B$3,COUNTIF($A$5:$A195,Ficha!$B$3),"")</f>
        <v/>
      </c>
    </row>
    <row r="196" spans="2:13" x14ac:dyDescent="0.3">
      <c r="B196" s="30" t="str">
        <f>IF(A196="","",IFERROR(INDEX(Maniobras!$B$5:$B$504,MATCH(A196,Maniobras!$A$5:$A$504,0)),""))</f>
        <v/>
      </c>
      <c r="C196" t="str">
        <f t="shared" si="4"/>
        <v/>
      </c>
      <c r="D196" t="str">
        <f>IF(A196="","",IFERROR(INDEX(Maniobras!$D$5:$D$504,MATCH(A196,Maniobras!$A$5:$A$504,0)),""))</f>
        <v/>
      </c>
      <c r="F196" s="29" t="str">
        <f>IF(A196="","",IFERROR(INDEX(Maniobras!$K$5:$K$504,MATCH(A196,Maniobras!$A$5:$A$504,0)),""))</f>
        <v/>
      </c>
      <c r="G196" s="29"/>
      <c r="H196" s="29"/>
      <c r="I196" s="29" t="str">
        <f t="shared" si="5"/>
        <v/>
      </c>
      <c r="K196" s="30"/>
      <c r="M196" t="str">
        <f>IF($A196=Ficha!$B$3,COUNTIF($A$5:$A196,Ficha!$B$3),"")</f>
        <v/>
      </c>
    </row>
    <row r="197" spans="2:13" x14ac:dyDescent="0.3">
      <c r="B197" s="30" t="str">
        <f>IF(A197="","",IFERROR(INDEX(Maniobras!$B$5:$B$504,MATCH(A197,Maniobras!$A$5:$A$504,0)),""))</f>
        <v/>
      </c>
      <c r="C197" t="str">
        <f t="shared" ref="C197:C260" si="6">IF(B197="","",TEXT(B197,"yyyy-mm"))</f>
        <v/>
      </c>
      <c r="D197" t="str">
        <f>IF(A197="","",IFERROR(INDEX(Maniobras!$D$5:$D$504,MATCH(A197,Maniobras!$A$5:$A$504,0)),""))</f>
        <v/>
      </c>
      <c r="F197" s="29" t="str">
        <f>IF(A197="","",IFERROR(INDEX(Maniobras!$K$5:$K$504,MATCH(A197,Maniobras!$A$5:$A$504,0)),""))</f>
        <v/>
      </c>
      <c r="G197" s="29"/>
      <c r="H197" s="29"/>
      <c r="I197" s="29" t="str">
        <f t="shared" ref="I197:I260" si="7">IF(G197="","",G197+N(H197))</f>
        <v/>
      </c>
      <c r="K197" s="30"/>
      <c r="M197" t="str">
        <f>IF($A197=Ficha!$B$3,COUNTIF($A$5:$A197,Ficha!$B$3),"")</f>
        <v/>
      </c>
    </row>
    <row r="198" spans="2:13" x14ac:dyDescent="0.3">
      <c r="B198" s="30" t="str">
        <f>IF(A198="","",IFERROR(INDEX(Maniobras!$B$5:$B$504,MATCH(A198,Maniobras!$A$5:$A$504,0)),""))</f>
        <v/>
      </c>
      <c r="C198" t="str">
        <f t="shared" si="6"/>
        <v/>
      </c>
      <c r="D198" t="str">
        <f>IF(A198="","",IFERROR(INDEX(Maniobras!$D$5:$D$504,MATCH(A198,Maniobras!$A$5:$A$504,0)),""))</f>
        <v/>
      </c>
      <c r="F198" s="29" t="str">
        <f>IF(A198="","",IFERROR(INDEX(Maniobras!$K$5:$K$504,MATCH(A198,Maniobras!$A$5:$A$504,0)),""))</f>
        <v/>
      </c>
      <c r="G198" s="29"/>
      <c r="H198" s="29"/>
      <c r="I198" s="29" t="str">
        <f t="shared" si="7"/>
        <v/>
      </c>
      <c r="K198" s="30"/>
      <c r="M198" t="str">
        <f>IF($A198=Ficha!$B$3,COUNTIF($A$5:$A198,Ficha!$B$3),"")</f>
        <v/>
      </c>
    </row>
    <row r="199" spans="2:13" x14ac:dyDescent="0.3">
      <c r="B199" s="30" t="str">
        <f>IF(A199="","",IFERROR(INDEX(Maniobras!$B$5:$B$504,MATCH(A199,Maniobras!$A$5:$A$504,0)),""))</f>
        <v/>
      </c>
      <c r="C199" t="str">
        <f t="shared" si="6"/>
        <v/>
      </c>
      <c r="D199" t="str">
        <f>IF(A199="","",IFERROR(INDEX(Maniobras!$D$5:$D$504,MATCH(A199,Maniobras!$A$5:$A$504,0)),""))</f>
        <v/>
      </c>
      <c r="F199" s="29" t="str">
        <f>IF(A199="","",IFERROR(INDEX(Maniobras!$K$5:$K$504,MATCH(A199,Maniobras!$A$5:$A$504,0)),""))</f>
        <v/>
      </c>
      <c r="G199" s="29"/>
      <c r="H199" s="29"/>
      <c r="I199" s="29" t="str">
        <f t="shared" si="7"/>
        <v/>
      </c>
      <c r="K199" s="30"/>
      <c r="M199" t="str">
        <f>IF($A199=Ficha!$B$3,COUNTIF($A$5:$A199,Ficha!$B$3),"")</f>
        <v/>
      </c>
    </row>
    <row r="200" spans="2:13" x14ac:dyDescent="0.3">
      <c r="B200" s="30" t="str">
        <f>IF(A200="","",IFERROR(INDEX(Maniobras!$B$5:$B$504,MATCH(A200,Maniobras!$A$5:$A$504,0)),""))</f>
        <v/>
      </c>
      <c r="C200" t="str">
        <f t="shared" si="6"/>
        <v/>
      </c>
      <c r="D200" t="str">
        <f>IF(A200="","",IFERROR(INDEX(Maniobras!$D$5:$D$504,MATCH(A200,Maniobras!$A$5:$A$504,0)),""))</f>
        <v/>
      </c>
      <c r="F200" s="29" t="str">
        <f>IF(A200="","",IFERROR(INDEX(Maniobras!$K$5:$K$504,MATCH(A200,Maniobras!$A$5:$A$504,0)),""))</f>
        <v/>
      </c>
      <c r="G200" s="29"/>
      <c r="H200" s="29"/>
      <c r="I200" s="29" t="str">
        <f t="shared" si="7"/>
        <v/>
      </c>
      <c r="K200" s="30"/>
      <c r="M200" t="str">
        <f>IF($A200=Ficha!$B$3,COUNTIF($A$5:$A200,Ficha!$B$3),"")</f>
        <v/>
      </c>
    </row>
    <row r="201" spans="2:13" x14ac:dyDescent="0.3">
      <c r="B201" s="30" t="str">
        <f>IF(A201="","",IFERROR(INDEX(Maniobras!$B$5:$B$504,MATCH(A201,Maniobras!$A$5:$A$504,0)),""))</f>
        <v/>
      </c>
      <c r="C201" t="str">
        <f t="shared" si="6"/>
        <v/>
      </c>
      <c r="D201" t="str">
        <f>IF(A201="","",IFERROR(INDEX(Maniobras!$D$5:$D$504,MATCH(A201,Maniobras!$A$5:$A$504,0)),""))</f>
        <v/>
      </c>
      <c r="F201" s="29" t="str">
        <f>IF(A201="","",IFERROR(INDEX(Maniobras!$K$5:$K$504,MATCH(A201,Maniobras!$A$5:$A$504,0)),""))</f>
        <v/>
      </c>
      <c r="G201" s="29"/>
      <c r="H201" s="29"/>
      <c r="I201" s="29" t="str">
        <f t="shared" si="7"/>
        <v/>
      </c>
      <c r="K201" s="30"/>
      <c r="M201" t="str">
        <f>IF($A201=Ficha!$B$3,COUNTIF($A$5:$A201,Ficha!$B$3),"")</f>
        <v/>
      </c>
    </row>
    <row r="202" spans="2:13" x14ac:dyDescent="0.3">
      <c r="B202" s="30" t="str">
        <f>IF(A202="","",IFERROR(INDEX(Maniobras!$B$5:$B$504,MATCH(A202,Maniobras!$A$5:$A$504,0)),""))</f>
        <v/>
      </c>
      <c r="C202" t="str">
        <f t="shared" si="6"/>
        <v/>
      </c>
      <c r="D202" t="str">
        <f>IF(A202="","",IFERROR(INDEX(Maniobras!$D$5:$D$504,MATCH(A202,Maniobras!$A$5:$A$504,0)),""))</f>
        <v/>
      </c>
      <c r="F202" s="29" t="str">
        <f>IF(A202="","",IFERROR(INDEX(Maniobras!$K$5:$K$504,MATCH(A202,Maniobras!$A$5:$A$504,0)),""))</f>
        <v/>
      </c>
      <c r="G202" s="29"/>
      <c r="H202" s="29"/>
      <c r="I202" s="29" t="str">
        <f t="shared" si="7"/>
        <v/>
      </c>
      <c r="K202" s="30"/>
      <c r="M202" t="str">
        <f>IF($A202=Ficha!$B$3,COUNTIF($A$5:$A202,Ficha!$B$3),"")</f>
        <v/>
      </c>
    </row>
    <row r="203" spans="2:13" x14ac:dyDescent="0.3">
      <c r="B203" s="30" t="str">
        <f>IF(A203="","",IFERROR(INDEX(Maniobras!$B$5:$B$504,MATCH(A203,Maniobras!$A$5:$A$504,0)),""))</f>
        <v/>
      </c>
      <c r="C203" t="str">
        <f t="shared" si="6"/>
        <v/>
      </c>
      <c r="D203" t="str">
        <f>IF(A203="","",IFERROR(INDEX(Maniobras!$D$5:$D$504,MATCH(A203,Maniobras!$A$5:$A$504,0)),""))</f>
        <v/>
      </c>
      <c r="F203" s="29" t="str">
        <f>IF(A203="","",IFERROR(INDEX(Maniobras!$K$5:$K$504,MATCH(A203,Maniobras!$A$5:$A$504,0)),""))</f>
        <v/>
      </c>
      <c r="G203" s="29"/>
      <c r="H203" s="29"/>
      <c r="I203" s="29" t="str">
        <f t="shared" si="7"/>
        <v/>
      </c>
      <c r="K203" s="30"/>
      <c r="M203" t="str">
        <f>IF($A203=Ficha!$B$3,COUNTIF($A$5:$A203,Ficha!$B$3),"")</f>
        <v/>
      </c>
    </row>
    <row r="204" spans="2:13" x14ac:dyDescent="0.3">
      <c r="B204" s="30" t="str">
        <f>IF(A204="","",IFERROR(INDEX(Maniobras!$B$5:$B$504,MATCH(A204,Maniobras!$A$5:$A$504,0)),""))</f>
        <v/>
      </c>
      <c r="C204" t="str">
        <f t="shared" si="6"/>
        <v/>
      </c>
      <c r="D204" t="str">
        <f>IF(A204="","",IFERROR(INDEX(Maniobras!$D$5:$D$504,MATCH(A204,Maniobras!$A$5:$A$504,0)),""))</f>
        <v/>
      </c>
      <c r="F204" s="29" t="str">
        <f>IF(A204="","",IFERROR(INDEX(Maniobras!$K$5:$K$504,MATCH(A204,Maniobras!$A$5:$A$504,0)),""))</f>
        <v/>
      </c>
      <c r="G204" s="29"/>
      <c r="H204" s="29"/>
      <c r="I204" s="29" t="str">
        <f t="shared" si="7"/>
        <v/>
      </c>
      <c r="K204" s="30"/>
      <c r="M204" t="str">
        <f>IF($A204=Ficha!$B$3,COUNTIF($A$5:$A204,Ficha!$B$3),"")</f>
        <v/>
      </c>
    </row>
    <row r="205" spans="2:13" x14ac:dyDescent="0.3">
      <c r="B205" s="30" t="str">
        <f>IF(A205="","",IFERROR(INDEX(Maniobras!$B$5:$B$504,MATCH(A205,Maniobras!$A$5:$A$504,0)),""))</f>
        <v/>
      </c>
      <c r="C205" t="str">
        <f t="shared" si="6"/>
        <v/>
      </c>
      <c r="D205" t="str">
        <f>IF(A205="","",IFERROR(INDEX(Maniobras!$D$5:$D$504,MATCH(A205,Maniobras!$A$5:$A$504,0)),""))</f>
        <v/>
      </c>
      <c r="F205" s="29" t="str">
        <f>IF(A205="","",IFERROR(INDEX(Maniobras!$K$5:$K$504,MATCH(A205,Maniobras!$A$5:$A$504,0)),""))</f>
        <v/>
      </c>
      <c r="G205" s="29"/>
      <c r="H205" s="29"/>
      <c r="I205" s="29" t="str">
        <f t="shared" si="7"/>
        <v/>
      </c>
      <c r="K205" s="30"/>
      <c r="M205" t="str">
        <f>IF($A205=Ficha!$B$3,COUNTIF($A$5:$A205,Ficha!$B$3),"")</f>
        <v/>
      </c>
    </row>
    <row r="206" spans="2:13" x14ac:dyDescent="0.3">
      <c r="B206" s="30" t="str">
        <f>IF(A206="","",IFERROR(INDEX(Maniobras!$B$5:$B$504,MATCH(A206,Maniobras!$A$5:$A$504,0)),""))</f>
        <v/>
      </c>
      <c r="C206" t="str">
        <f t="shared" si="6"/>
        <v/>
      </c>
      <c r="D206" t="str">
        <f>IF(A206="","",IFERROR(INDEX(Maniobras!$D$5:$D$504,MATCH(A206,Maniobras!$A$5:$A$504,0)),""))</f>
        <v/>
      </c>
      <c r="F206" s="29" t="str">
        <f>IF(A206="","",IFERROR(INDEX(Maniobras!$K$5:$K$504,MATCH(A206,Maniobras!$A$5:$A$504,0)),""))</f>
        <v/>
      </c>
      <c r="G206" s="29"/>
      <c r="H206" s="29"/>
      <c r="I206" s="29" t="str">
        <f t="shared" si="7"/>
        <v/>
      </c>
      <c r="K206" s="30"/>
      <c r="M206" t="str">
        <f>IF($A206=Ficha!$B$3,COUNTIF($A$5:$A206,Ficha!$B$3),"")</f>
        <v/>
      </c>
    </row>
    <row r="207" spans="2:13" x14ac:dyDescent="0.3">
      <c r="B207" s="30" t="str">
        <f>IF(A207="","",IFERROR(INDEX(Maniobras!$B$5:$B$504,MATCH(A207,Maniobras!$A$5:$A$504,0)),""))</f>
        <v/>
      </c>
      <c r="C207" t="str">
        <f t="shared" si="6"/>
        <v/>
      </c>
      <c r="D207" t="str">
        <f>IF(A207="","",IFERROR(INDEX(Maniobras!$D$5:$D$504,MATCH(A207,Maniobras!$A$5:$A$504,0)),""))</f>
        <v/>
      </c>
      <c r="F207" s="29" t="str">
        <f>IF(A207="","",IFERROR(INDEX(Maniobras!$K$5:$K$504,MATCH(A207,Maniobras!$A$5:$A$504,0)),""))</f>
        <v/>
      </c>
      <c r="G207" s="29"/>
      <c r="H207" s="29"/>
      <c r="I207" s="29" t="str">
        <f t="shared" si="7"/>
        <v/>
      </c>
      <c r="K207" s="30"/>
      <c r="M207" t="str">
        <f>IF($A207=Ficha!$B$3,COUNTIF($A$5:$A207,Ficha!$B$3),"")</f>
        <v/>
      </c>
    </row>
    <row r="208" spans="2:13" x14ac:dyDescent="0.3">
      <c r="B208" s="30" t="str">
        <f>IF(A208="","",IFERROR(INDEX(Maniobras!$B$5:$B$504,MATCH(A208,Maniobras!$A$5:$A$504,0)),""))</f>
        <v/>
      </c>
      <c r="C208" t="str">
        <f t="shared" si="6"/>
        <v/>
      </c>
      <c r="D208" t="str">
        <f>IF(A208="","",IFERROR(INDEX(Maniobras!$D$5:$D$504,MATCH(A208,Maniobras!$A$5:$A$504,0)),""))</f>
        <v/>
      </c>
      <c r="F208" s="29" t="str">
        <f>IF(A208="","",IFERROR(INDEX(Maniobras!$K$5:$K$504,MATCH(A208,Maniobras!$A$5:$A$504,0)),""))</f>
        <v/>
      </c>
      <c r="G208" s="29"/>
      <c r="H208" s="29"/>
      <c r="I208" s="29" t="str">
        <f t="shared" si="7"/>
        <v/>
      </c>
      <c r="K208" s="30"/>
      <c r="M208" t="str">
        <f>IF($A208=Ficha!$B$3,COUNTIF($A$5:$A208,Ficha!$B$3),"")</f>
        <v/>
      </c>
    </row>
    <row r="209" spans="2:13" x14ac:dyDescent="0.3">
      <c r="B209" s="30" t="str">
        <f>IF(A209="","",IFERROR(INDEX(Maniobras!$B$5:$B$504,MATCH(A209,Maniobras!$A$5:$A$504,0)),""))</f>
        <v/>
      </c>
      <c r="C209" t="str">
        <f t="shared" si="6"/>
        <v/>
      </c>
      <c r="D209" t="str">
        <f>IF(A209="","",IFERROR(INDEX(Maniobras!$D$5:$D$504,MATCH(A209,Maniobras!$A$5:$A$504,0)),""))</f>
        <v/>
      </c>
      <c r="F209" s="29" t="str">
        <f>IF(A209="","",IFERROR(INDEX(Maniobras!$K$5:$K$504,MATCH(A209,Maniobras!$A$5:$A$504,0)),""))</f>
        <v/>
      </c>
      <c r="G209" s="29"/>
      <c r="H209" s="29"/>
      <c r="I209" s="29" t="str">
        <f t="shared" si="7"/>
        <v/>
      </c>
      <c r="K209" s="30"/>
      <c r="M209" t="str">
        <f>IF($A209=Ficha!$B$3,COUNTIF($A$5:$A209,Ficha!$B$3),"")</f>
        <v/>
      </c>
    </row>
    <row r="210" spans="2:13" x14ac:dyDescent="0.3">
      <c r="B210" s="30" t="str">
        <f>IF(A210="","",IFERROR(INDEX(Maniobras!$B$5:$B$504,MATCH(A210,Maniobras!$A$5:$A$504,0)),""))</f>
        <v/>
      </c>
      <c r="C210" t="str">
        <f t="shared" si="6"/>
        <v/>
      </c>
      <c r="D210" t="str">
        <f>IF(A210="","",IFERROR(INDEX(Maniobras!$D$5:$D$504,MATCH(A210,Maniobras!$A$5:$A$504,0)),""))</f>
        <v/>
      </c>
      <c r="F210" s="29" t="str">
        <f>IF(A210="","",IFERROR(INDEX(Maniobras!$K$5:$K$504,MATCH(A210,Maniobras!$A$5:$A$504,0)),""))</f>
        <v/>
      </c>
      <c r="G210" s="29"/>
      <c r="H210" s="29"/>
      <c r="I210" s="29" t="str">
        <f t="shared" si="7"/>
        <v/>
      </c>
      <c r="K210" s="30"/>
      <c r="M210" t="str">
        <f>IF($A210=Ficha!$B$3,COUNTIF($A$5:$A210,Ficha!$B$3),"")</f>
        <v/>
      </c>
    </row>
    <row r="211" spans="2:13" x14ac:dyDescent="0.3">
      <c r="B211" s="30" t="str">
        <f>IF(A211="","",IFERROR(INDEX(Maniobras!$B$5:$B$504,MATCH(A211,Maniobras!$A$5:$A$504,0)),""))</f>
        <v/>
      </c>
      <c r="C211" t="str">
        <f t="shared" si="6"/>
        <v/>
      </c>
      <c r="D211" t="str">
        <f>IF(A211="","",IFERROR(INDEX(Maniobras!$D$5:$D$504,MATCH(A211,Maniobras!$A$5:$A$504,0)),""))</f>
        <v/>
      </c>
      <c r="F211" s="29" t="str">
        <f>IF(A211="","",IFERROR(INDEX(Maniobras!$K$5:$K$504,MATCH(A211,Maniobras!$A$5:$A$504,0)),""))</f>
        <v/>
      </c>
      <c r="G211" s="29"/>
      <c r="H211" s="29"/>
      <c r="I211" s="29" t="str">
        <f t="shared" si="7"/>
        <v/>
      </c>
      <c r="K211" s="30"/>
      <c r="M211" t="str">
        <f>IF($A211=Ficha!$B$3,COUNTIF($A$5:$A211,Ficha!$B$3),"")</f>
        <v/>
      </c>
    </row>
    <row r="212" spans="2:13" x14ac:dyDescent="0.3">
      <c r="B212" s="30" t="str">
        <f>IF(A212="","",IFERROR(INDEX(Maniobras!$B$5:$B$504,MATCH(A212,Maniobras!$A$5:$A$504,0)),""))</f>
        <v/>
      </c>
      <c r="C212" t="str">
        <f t="shared" si="6"/>
        <v/>
      </c>
      <c r="D212" t="str">
        <f>IF(A212="","",IFERROR(INDEX(Maniobras!$D$5:$D$504,MATCH(A212,Maniobras!$A$5:$A$504,0)),""))</f>
        <v/>
      </c>
      <c r="F212" s="29" t="str">
        <f>IF(A212="","",IFERROR(INDEX(Maniobras!$K$5:$K$504,MATCH(A212,Maniobras!$A$5:$A$504,0)),""))</f>
        <v/>
      </c>
      <c r="G212" s="29"/>
      <c r="H212" s="29"/>
      <c r="I212" s="29" t="str">
        <f t="shared" si="7"/>
        <v/>
      </c>
      <c r="K212" s="30"/>
      <c r="M212" t="str">
        <f>IF($A212=Ficha!$B$3,COUNTIF($A$5:$A212,Ficha!$B$3),"")</f>
        <v/>
      </c>
    </row>
    <row r="213" spans="2:13" x14ac:dyDescent="0.3">
      <c r="B213" s="30" t="str">
        <f>IF(A213="","",IFERROR(INDEX(Maniobras!$B$5:$B$504,MATCH(A213,Maniobras!$A$5:$A$504,0)),""))</f>
        <v/>
      </c>
      <c r="C213" t="str">
        <f t="shared" si="6"/>
        <v/>
      </c>
      <c r="D213" t="str">
        <f>IF(A213="","",IFERROR(INDEX(Maniobras!$D$5:$D$504,MATCH(A213,Maniobras!$A$5:$A$504,0)),""))</f>
        <v/>
      </c>
      <c r="F213" s="29" t="str">
        <f>IF(A213="","",IFERROR(INDEX(Maniobras!$K$5:$K$504,MATCH(A213,Maniobras!$A$5:$A$504,0)),""))</f>
        <v/>
      </c>
      <c r="G213" s="29"/>
      <c r="H213" s="29"/>
      <c r="I213" s="29" t="str">
        <f t="shared" si="7"/>
        <v/>
      </c>
      <c r="K213" s="30"/>
      <c r="M213" t="str">
        <f>IF($A213=Ficha!$B$3,COUNTIF($A$5:$A213,Ficha!$B$3),"")</f>
        <v/>
      </c>
    </row>
    <row r="214" spans="2:13" x14ac:dyDescent="0.3">
      <c r="B214" s="30" t="str">
        <f>IF(A214="","",IFERROR(INDEX(Maniobras!$B$5:$B$504,MATCH(A214,Maniobras!$A$5:$A$504,0)),""))</f>
        <v/>
      </c>
      <c r="C214" t="str">
        <f t="shared" si="6"/>
        <v/>
      </c>
      <c r="D214" t="str">
        <f>IF(A214="","",IFERROR(INDEX(Maniobras!$D$5:$D$504,MATCH(A214,Maniobras!$A$5:$A$504,0)),""))</f>
        <v/>
      </c>
      <c r="F214" s="29" t="str">
        <f>IF(A214="","",IFERROR(INDEX(Maniobras!$K$5:$K$504,MATCH(A214,Maniobras!$A$5:$A$504,0)),""))</f>
        <v/>
      </c>
      <c r="G214" s="29"/>
      <c r="H214" s="29"/>
      <c r="I214" s="29" t="str">
        <f t="shared" si="7"/>
        <v/>
      </c>
      <c r="K214" s="30"/>
      <c r="M214" t="str">
        <f>IF($A214=Ficha!$B$3,COUNTIF($A$5:$A214,Ficha!$B$3),"")</f>
        <v/>
      </c>
    </row>
    <row r="215" spans="2:13" x14ac:dyDescent="0.3">
      <c r="B215" s="30" t="str">
        <f>IF(A215="","",IFERROR(INDEX(Maniobras!$B$5:$B$504,MATCH(A215,Maniobras!$A$5:$A$504,0)),""))</f>
        <v/>
      </c>
      <c r="C215" t="str">
        <f t="shared" si="6"/>
        <v/>
      </c>
      <c r="D215" t="str">
        <f>IF(A215="","",IFERROR(INDEX(Maniobras!$D$5:$D$504,MATCH(A215,Maniobras!$A$5:$A$504,0)),""))</f>
        <v/>
      </c>
      <c r="F215" s="29" t="str">
        <f>IF(A215="","",IFERROR(INDEX(Maniobras!$K$5:$K$504,MATCH(A215,Maniobras!$A$5:$A$504,0)),""))</f>
        <v/>
      </c>
      <c r="G215" s="29"/>
      <c r="H215" s="29"/>
      <c r="I215" s="29" t="str">
        <f t="shared" si="7"/>
        <v/>
      </c>
      <c r="K215" s="30"/>
      <c r="M215" t="str">
        <f>IF($A215=Ficha!$B$3,COUNTIF($A$5:$A215,Ficha!$B$3),"")</f>
        <v/>
      </c>
    </row>
    <row r="216" spans="2:13" x14ac:dyDescent="0.3">
      <c r="B216" s="30" t="str">
        <f>IF(A216="","",IFERROR(INDEX(Maniobras!$B$5:$B$504,MATCH(A216,Maniobras!$A$5:$A$504,0)),""))</f>
        <v/>
      </c>
      <c r="C216" t="str">
        <f t="shared" si="6"/>
        <v/>
      </c>
      <c r="D216" t="str">
        <f>IF(A216="","",IFERROR(INDEX(Maniobras!$D$5:$D$504,MATCH(A216,Maniobras!$A$5:$A$504,0)),""))</f>
        <v/>
      </c>
      <c r="F216" s="29" t="str">
        <f>IF(A216="","",IFERROR(INDEX(Maniobras!$K$5:$K$504,MATCH(A216,Maniobras!$A$5:$A$504,0)),""))</f>
        <v/>
      </c>
      <c r="G216" s="29"/>
      <c r="H216" s="29"/>
      <c r="I216" s="29" t="str">
        <f t="shared" si="7"/>
        <v/>
      </c>
      <c r="K216" s="30"/>
      <c r="M216" t="str">
        <f>IF($A216=Ficha!$B$3,COUNTIF($A$5:$A216,Ficha!$B$3),"")</f>
        <v/>
      </c>
    </row>
    <row r="217" spans="2:13" x14ac:dyDescent="0.3">
      <c r="B217" s="30" t="str">
        <f>IF(A217="","",IFERROR(INDEX(Maniobras!$B$5:$B$504,MATCH(A217,Maniobras!$A$5:$A$504,0)),""))</f>
        <v/>
      </c>
      <c r="C217" t="str">
        <f t="shared" si="6"/>
        <v/>
      </c>
      <c r="D217" t="str">
        <f>IF(A217="","",IFERROR(INDEX(Maniobras!$D$5:$D$504,MATCH(A217,Maniobras!$A$5:$A$504,0)),""))</f>
        <v/>
      </c>
      <c r="F217" s="29" t="str">
        <f>IF(A217="","",IFERROR(INDEX(Maniobras!$K$5:$K$504,MATCH(A217,Maniobras!$A$5:$A$504,0)),""))</f>
        <v/>
      </c>
      <c r="G217" s="29"/>
      <c r="H217" s="29"/>
      <c r="I217" s="29" t="str">
        <f t="shared" si="7"/>
        <v/>
      </c>
      <c r="K217" s="30"/>
      <c r="M217" t="str">
        <f>IF($A217=Ficha!$B$3,COUNTIF($A$5:$A217,Ficha!$B$3),"")</f>
        <v/>
      </c>
    </row>
    <row r="218" spans="2:13" x14ac:dyDescent="0.3">
      <c r="B218" s="30" t="str">
        <f>IF(A218="","",IFERROR(INDEX(Maniobras!$B$5:$B$504,MATCH(A218,Maniobras!$A$5:$A$504,0)),""))</f>
        <v/>
      </c>
      <c r="C218" t="str">
        <f t="shared" si="6"/>
        <v/>
      </c>
      <c r="D218" t="str">
        <f>IF(A218="","",IFERROR(INDEX(Maniobras!$D$5:$D$504,MATCH(A218,Maniobras!$A$5:$A$504,0)),""))</f>
        <v/>
      </c>
      <c r="F218" s="29" t="str">
        <f>IF(A218="","",IFERROR(INDEX(Maniobras!$K$5:$K$504,MATCH(A218,Maniobras!$A$5:$A$504,0)),""))</f>
        <v/>
      </c>
      <c r="G218" s="29"/>
      <c r="H218" s="29"/>
      <c r="I218" s="29" t="str">
        <f t="shared" si="7"/>
        <v/>
      </c>
      <c r="K218" s="30"/>
      <c r="M218" t="str">
        <f>IF($A218=Ficha!$B$3,COUNTIF($A$5:$A218,Ficha!$B$3),"")</f>
        <v/>
      </c>
    </row>
    <row r="219" spans="2:13" x14ac:dyDescent="0.3">
      <c r="B219" s="30" t="str">
        <f>IF(A219="","",IFERROR(INDEX(Maniobras!$B$5:$B$504,MATCH(A219,Maniobras!$A$5:$A$504,0)),""))</f>
        <v/>
      </c>
      <c r="C219" t="str">
        <f t="shared" si="6"/>
        <v/>
      </c>
      <c r="D219" t="str">
        <f>IF(A219="","",IFERROR(INDEX(Maniobras!$D$5:$D$504,MATCH(A219,Maniobras!$A$5:$A$504,0)),""))</f>
        <v/>
      </c>
      <c r="F219" s="29" t="str">
        <f>IF(A219="","",IFERROR(INDEX(Maniobras!$K$5:$K$504,MATCH(A219,Maniobras!$A$5:$A$504,0)),""))</f>
        <v/>
      </c>
      <c r="G219" s="29"/>
      <c r="H219" s="29"/>
      <c r="I219" s="29" t="str">
        <f t="shared" si="7"/>
        <v/>
      </c>
      <c r="K219" s="30"/>
      <c r="M219" t="str">
        <f>IF($A219=Ficha!$B$3,COUNTIF($A$5:$A219,Ficha!$B$3),"")</f>
        <v/>
      </c>
    </row>
    <row r="220" spans="2:13" x14ac:dyDescent="0.3">
      <c r="B220" s="30" t="str">
        <f>IF(A220="","",IFERROR(INDEX(Maniobras!$B$5:$B$504,MATCH(A220,Maniobras!$A$5:$A$504,0)),""))</f>
        <v/>
      </c>
      <c r="C220" t="str">
        <f t="shared" si="6"/>
        <v/>
      </c>
      <c r="D220" t="str">
        <f>IF(A220="","",IFERROR(INDEX(Maniobras!$D$5:$D$504,MATCH(A220,Maniobras!$A$5:$A$504,0)),""))</f>
        <v/>
      </c>
      <c r="F220" s="29" t="str">
        <f>IF(A220="","",IFERROR(INDEX(Maniobras!$K$5:$K$504,MATCH(A220,Maniobras!$A$5:$A$504,0)),""))</f>
        <v/>
      </c>
      <c r="G220" s="29"/>
      <c r="H220" s="29"/>
      <c r="I220" s="29" t="str">
        <f t="shared" si="7"/>
        <v/>
      </c>
      <c r="K220" s="30"/>
      <c r="M220" t="str">
        <f>IF($A220=Ficha!$B$3,COUNTIF($A$5:$A220,Ficha!$B$3),"")</f>
        <v/>
      </c>
    </row>
    <row r="221" spans="2:13" x14ac:dyDescent="0.3">
      <c r="B221" s="30" t="str">
        <f>IF(A221="","",IFERROR(INDEX(Maniobras!$B$5:$B$504,MATCH(A221,Maniobras!$A$5:$A$504,0)),""))</f>
        <v/>
      </c>
      <c r="C221" t="str">
        <f t="shared" si="6"/>
        <v/>
      </c>
      <c r="D221" t="str">
        <f>IF(A221="","",IFERROR(INDEX(Maniobras!$D$5:$D$504,MATCH(A221,Maniobras!$A$5:$A$504,0)),""))</f>
        <v/>
      </c>
      <c r="F221" s="29" t="str">
        <f>IF(A221="","",IFERROR(INDEX(Maniobras!$K$5:$K$504,MATCH(A221,Maniobras!$A$5:$A$504,0)),""))</f>
        <v/>
      </c>
      <c r="G221" s="29"/>
      <c r="H221" s="29"/>
      <c r="I221" s="29" t="str">
        <f t="shared" si="7"/>
        <v/>
      </c>
      <c r="K221" s="30"/>
      <c r="M221" t="str">
        <f>IF($A221=Ficha!$B$3,COUNTIF($A$5:$A221,Ficha!$B$3),"")</f>
        <v/>
      </c>
    </row>
    <row r="222" spans="2:13" x14ac:dyDescent="0.3">
      <c r="B222" s="30" t="str">
        <f>IF(A222="","",IFERROR(INDEX(Maniobras!$B$5:$B$504,MATCH(A222,Maniobras!$A$5:$A$504,0)),""))</f>
        <v/>
      </c>
      <c r="C222" t="str">
        <f t="shared" si="6"/>
        <v/>
      </c>
      <c r="D222" t="str">
        <f>IF(A222="","",IFERROR(INDEX(Maniobras!$D$5:$D$504,MATCH(A222,Maniobras!$A$5:$A$504,0)),""))</f>
        <v/>
      </c>
      <c r="F222" s="29" t="str">
        <f>IF(A222="","",IFERROR(INDEX(Maniobras!$K$5:$K$504,MATCH(A222,Maniobras!$A$5:$A$504,0)),""))</f>
        <v/>
      </c>
      <c r="G222" s="29"/>
      <c r="H222" s="29"/>
      <c r="I222" s="29" t="str">
        <f t="shared" si="7"/>
        <v/>
      </c>
      <c r="K222" s="30"/>
      <c r="M222" t="str">
        <f>IF($A222=Ficha!$B$3,COUNTIF($A$5:$A222,Ficha!$B$3),"")</f>
        <v/>
      </c>
    </row>
    <row r="223" spans="2:13" x14ac:dyDescent="0.3">
      <c r="B223" s="30" t="str">
        <f>IF(A223="","",IFERROR(INDEX(Maniobras!$B$5:$B$504,MATCH(A223,Maniobras!$A$5:$A$504,0)),""))</f>
        <v/>
      </c>
      <c r="C223" t="str">
        <f t="shared" si="6"/>
        <v/>
      </c>
      <c r="D223" t="str">
        <f>IF(A223="","",IFERROR(INDEX(Maniobras!$D$5:$D$504,MATCH(A223,Maniobras!$A$5:$A$504,0)),""))</f>
        <v/>
      </c>
      <c r="F223" s="29" t="str">
        <f>IF(A223="","",IFERROR(INDEX(Maniobras!$K$5:$K$504,MATCH(A223,Maniobras!$A$5:$A$504,0)),""))</f>
        <v/>
      </c>
      <c r="G223" s="29"/>
      <c r="H223" s="29"/>
      <c r="I223" s="29" t="str">
        <f t="shared" si="7"/>
        <v/>
      </c>
      <c r="K223" s="30"/>
      <c r="M223" t="str">
        <f>IF($A223=Ficha!$B$3,COUNTIF($A$5:$A223,Ficha!$B$3),"")</f>
        <v/>
      </c>
    </row>
    <row r="224" spans="2:13" x14ac:dyDescent="0.3">
      <c r="B224" s="30" t="str">
        <f>IF(A224="","",IFERROR(INDEX(Maniobras!$B$5:$B$504,MATCH(A224,Maniobras!$A$5:$A$504,0)),""))</f>
        <v/>
      </c>
      <c r="C224" t="str">
        <f t="shared" si="6"/>
        <v/>
      </c>
      <c r="D224" t="str">
        <f>IF(A224="","",IFERROR(INDEX(Maniobras!$D$5:$D$504,MATCH(A224,Maniobras!$A$5:$A$504,0)),""))</f>
        <v/>
      </c>
      <c r="F224" s="29" t="str">
        <f>IF(A224="","",IFERROR(INDEX(Maniobras!$K$5:$K$504,MATCH(A224,Maniobras!$A$5:$A$504,0)),""))</f>
        <v/>
      </c>
      <c r="G224" s="29"/>
      <c r="H224" s="29"/>
      <c r="I224" s="29" t="str">
        <f t="shared" si="7"/>
        <v/>
      </c>
      <c r="K224" s="30"/>
      <c r="M224" t="str">
        <f>IF($A224=Ficha!$B$3,COUNTIF($A$5:$A224,Ficha!$B$3),"")</f>
        <v/>
      </c>
    </row>
    <row r="225" spans="2:13" x14ac:dyDescent="0.3">
      <c r="B225" s="30" t="str">
        <f>IF(A225="","",IFERROR(INDEX(Maniobras!$B$5:$B$504,MATCH(A225,Maniobras!$A$5:$A$504,0)),""))</f>
        <v/>
      </c>
      <c r="C225" t="str">
        <f t="shared" si="6"/>
        <v/>
      </c>
      <c r="D225" t="str">
        <f>IF(A225="","",IFERROR(INDEX(Maniobras!$D$5:$D$504,MATCH(A225,Maniobras!$A$5:$A$504,0)),""))</f>
        <v/>
      </c>
      <c r="F225" s="29" t="str">
        <f>IF(A225="","",IFERROR(INDEX(Maniobras!$K$5:$K$504,MATCH(A225,Maniobras!$A$5:$A$504,0)),""))</f>
        <v/>
      </c>
      <c r="G225" s="29"/>
      <c r="H225" s="29"/>
      <c r="I225" s="29" t="str">
        <f t="shared" si="7"/>
        <v/>
      </c>
      <c r="K225" s="30"/>
      <c r="M225" t="str">
        <f>IF($A225=Ficha!$B$3,COUNTIF($A$5:$A225,Ficha!$B$3),"")</f>
        <v/>
      </c>
    </row>
    <row r="226" spans="2:13" x14ac:dyDescent="0.3">
      <c r="B226" s="30" t="str">
        <f>IF(A226="","",IFERROR(INDEX(Maniobras!$B$5:$B$504,MATCH(A226,Maniobras!$A$5:$A$504,0)),""))</f>
        <v/>
      </c>
      <c r="C226" t="str">
        <f t="shared" si="6"/>
        <v/>
      </c>
      <c r="D226" t="str">
        <f>IF(A226="","",IFERROR(INDEX(Maniobras!$D$5:$D$504,MATCH(A226,Maniobras!$A$5:$A$504,0)),""))</f>
        <v/>
      </c>
      <c r="F226" s="29" t="str">
        <f>IF(A226="","",IFERROR(INDEX(Maniobras!$K$5:$K$504,MATCH(A226,Maniobras!$A$5:$A$504,0)),""))</f>
        <v/>
      </c>
      <c r="G226" s="29"/>
      <c r="H226" s="29"/>
      <c r="I226" s="29" t="str">
        <f t="shared" si="7"/>
        <v/>
      </c>
      <c r="K226" s="30"/>
      <c r="M226" t="str">
        <f>IF($A226=Ficha!$B$3,COUNTIF($A$5:$A226,Ficha!$B$3),"")</f>
        <v/>
      </c>
    </row>
    <row r="227" spans="2:13" x14ac:dyDescent="0.3">
      <c r="B227" s="30" t="str">
        <f>IF(A227="","",IFERROR(INDEX(Maniobras!$B$5:$B$504,MATCH(A227,Maniobras!$A$5:$A$504,0)),""))</f>
        <v/>
      </c>
      <c r="C227" t="str">
        <f t="shared" si="6"/>
        <v/>
      </c>
      <c r="D227" t="str">
        <f>IF(A227="","",IFERROR(INDEX(Maniobras!$D$5:$D$504,MATCH(A227,Maniobras!$A$5:$A$504,0)),""))</f>
        <v/>
      </c>
      <c r="F227" s="29" t="str">
        <f>IF(A227="","",IFERROR(INDEX(Maniobras!$K$5:$K$504,MATCH(A227,Maniobras!$A$5:$A$504,0)),""))</f>
        <v/>
      </c>
      <c r="G227" s="29"/>
      <c r="H227" s="29"/>
      <c r="I227" s="29" t="str">
        <f t="shared" si="7"/>
        <v/>
      </c>
      <c r="K227" s="30"/>
      <c r="M227" t="str">
        <f>IF($A227=Ficha!$B$3,COUNTIF($A$5:$A227,Ficha!$B$3),"")</f>
        <v/>
      </c>
    </row>
    <row r="228" spans="2:13" x14ac:dyDescent="0.3">
      <c r="B228" s="30" t="str">
        <f>IF(A228="","",IFERROR(INDEX(Maniobras!$B$5:$B$504,MATCH(A228,Maniobras!$A$5:$A$504,0)),""))</f>
        <v/>
      </c>
      <c r="C228" t="str">
        <f t="shared" si="6"/>
        <v/>
      </c>
      <c r="D228" t="str">
        <f>IF(A228="","",IFERROR(INDEX(Maniobras!$D$5:$D$504,MATCH(A228,Maniobras!$A$5:$A$504,0)),""))</f>
        <v/>
      </c>
      <c r="F228" s="29" t="str">
        <f>IF(A228="","",IFERROR(INDEX(Maniobras!$K$5:$K$504,MATCH(A228,Maniobras!$A$5:$A$504,0)),""))</f>
        <v/>
      </c>
      <c r="G228" s="29"/>
      <c r="H228" s="29"/>
      <c r="I228" s="29" t="str">
        <f t="shared" si="7"/>
        <v/>
      </c>
      <c r="K228" s="30"/>
      <c r="M228" t="str">
        <f>IF($A228=Ficha!$B$3,COUNTIF($A$5:$A228,Ficha!$B$3),"")</f>
        <v/>
      </c>
    </row>
    <row r="229" spans="2:13" x14ac:dyDescent="0.3">
      <c r="B229" s="30" t="str">
        <f>IF(A229="","",IFERROR(INDEX(Maniobras!$B$5:$B$504,MATCH(A229,Maniobras!$A$5:$A$504,0)),""))</f>
        <v/>
      </c>
      <c r="C229" t="str">
        <f t="shared" si="6"/>
        <v/>
      </c>
      <c r="D229" t="str">
        <f>IF(A229="","",IFERROR(INDEX(Maniobras!$D$5:$D$504,MATCH(A229,Maniobras!$A$5:$A$504,0)),""))</f>
        <v/>
      </c>
      <c r="F229" s="29" t="str">
        <f>IF(A229="","",IFERROR(INDEX(Maniobras!$K$5:$K$504,MATCH(A229,Maniobras!$A$5:$A$504,0)),""))</f>
        <v/>
      </c>
      <c r="G229" s="29"/>
      <c r="H229" s="29"/>
      <c r="I229" s="29" t="str">
        <f t="shared" si="7"/>
        <v/>
      </c>
      <c r="K229" s="30"/>
      <c r="M229" t="str">
        <f>IF($A229=Ficha!$B$3,COUNTIF($A$5:$A229,Ficha!$B$3),"")</f>
        <v/>
      </c>
    </row>
    <row r="230" spans="2:13" x14ac:dyDescent="0.3">
      <c r="B230" s="30" t="str">
        <f>IF(A230="","",IFERROR(INDEX(Maniobras!$B$5:$B$504,MATCH(A230,Maniobras!$A$5:$A$504,0)),""))</f>
        <v/>
      </c>
      <c r="C230" t="str">
        <f t="shared" si="6"/>
        <v/>
      </c>
      <c r="D230" t="str">
        <f>IF(A230="","",IFERROR(INDEX(Maniobras!$D$5:$D$504,MATCH(A230,Maniobras!$A$5:$A$504,0)),""))</f>
        <v/>
      </c>
      <c r="F230" s="29" t="str">
        <f>IF(A230="","",IFERROR(INDEX(Maniobras!$K$5:$K$504,MATCH(A230,Maniobras!$A$5:$A$504,0)),""))</f>
        <v/>
      </c>
      <c r="G230" s="29"/>
      <c r="H230" s="29"/>
      <c r="I230" s="29" t="str">
        <f t="shared" si="7"/>
        <v/>
      </c>
      <c r="K230" s="30"/>
      <c r="M230" t="str">
        <f>IF($A230=Ficha!$B$3,COUNTIF($A$5:$A230,Ficha!$B$3),"")</f>
        <v/>
      </c>
    </row>
    <row r="231" spans="2:13" x14ac:dyDescent="0.3">
      <c r="B231" s="30" t="str">
        <f>IF(A231="","",IFERROR(INDEX(Maniobras!$B$5:$B$504,MATCH(A231,Maniobras!$A$5:$A$504,0)),""))</f>
        <v/>
      </c>
      <c r="C231" t="str">
        <f t="shared" si="6"/>
        <v/>
      </c>
      <c r="D231" t="str">
        <f>IF(A231="","",IFERROR(INDEX(Maniobras!$D$5:$D$504,MATCH(A231,Maniobras!$A$5:$A$504,0)),""))</f>
        <v/>
      </c>
      <c r="F231" s="29" t="str">
        <f>IF(A231="","",IFERROR(INDEX(Maniobras!$K$5:$K$504,MATCH(A231,Maniobras!$A$5:$A$504,0)),""))</f>
        <v/>
      </c>
      <c r="G231" s="29"/>
      <c r="H231" s="29"/>
      <c r="I231" s="29" t="str">
        <f t="shared" si="7"/>
        <v/>
      </c>
      <c r="K231" s="30"/>
      <c r="M231" t="str">
        <f>IF($A231=Ficha!$B$3,COUNTIF($A$5:$A231,Ficha!$B$3),"")</f>
        <v/>
      </c>
    </row>
    <row r="232" spans="2:13" x14ac:dyDescent="0.3">
      <c r="B232" s="30" t="str">
        <f>IF(A232="","",IFERROR(INDEX(Maniobras!$B$5:$B$504,MATCH(A232,Maniobras!$A$5:$A$504,0)),""))</f>
        <v/>
      </c>
      <c r="C232" t="str">
        <f t="shared" si="6"/>
        <v/>
      </c>
      <c r="D232" t="str">
        <f>IF(A232="","",IFERROR(INDEX(Maniobras!$D$5:$D$504,MATCH(A232,Maniobras!$A$5:$A$504,0)),""))</f>
        <v/>
      </c>
      <c r="F232" s="29" t="str">
        <f>IF(A232="","",IFERROR(INDEX(Maniobras!$K$5:$K$504,MATCH(A232,Maniobras!$A$5:$A$504,0)),""))</f>
        <v/>
      </c>
      <c r="G232" s="29"/>
      <c r="H232" s="29"/>
      <c r="I232" s="29" t="str">
        <f t="shared" si="7"/>
        <v/>
      </c>
      <c r="K232" s="30"/>
      <c r="M232" t="str">
        <f>IF($A232=Ficha!$B$3,COUNTIF($A$5:$A232,Ficha!$B$3),"")</f>
        <v/>
      </c>
    </row>
    <row r="233" spans="2:13" x14ac:dyDescent="0.3">
      <c r="B233" s="30" t="str">
        <f>IF(A233="","",IFERROR(INDEX(Maniobras!$B$5:$B$504,MATCH(A233,Maniobras!$A$5:$A$504,0)),""))</f>
        <v/>
      </c>
      <c r="C233" t="str">
        <f t="shared" si="6"/>
        <v/>
      </c>
      <c r="D233" t="str">
        <f>IF(A233="","",IFERROR(INDEX(Maniobras!$D$5:$D$504,MATCH(A233,Maniobras!$A$5:$A$504,0)),""))</f>
        <v/>
      </c>
      <c r="F233" s="29" t="str">
        <f>IF(A233="","",IFERROR(INDEX(Maniobras!$K$5:$K$504,MATCH(A233,Maniobras!$A$5:$A$504,0)),""))</f>
        <v/>
      </c>
      <c r="G233" s="29"/>
      <c r="H233" s="29"/>
      <c r="I233" s="29" t="str">
        <f t="shared" si="7"/>
        <v/>
      </c>
      <c r="K233" s="30"/>
      <c r="M233" t="str">
        <f>IF($A233=Ficha!$B$3,COUNTIF($A$5:$A233,Ficha!$B$3),"")</f>
        <v/>
      </c>
    </row>
    <row r="234" spans="2:13" x14ac:dyDescent="0.3">
      <c r="B234" s="30" t="str">
        <f>IF(A234="","",IFERROR(INDEX(Maniobras!$B$5:$B$504,MATCH(A234,Maniobras!$A$5:$A$504,0)),""))</f>
        <v/>
      </c>
      <c r="C234" t="str">
        <f t="shared" si="6"/>
        <v/>
      </c>
      <c r="D234" t="str">
        <f>IF(A234="","",IFERROR(INDEX(Maniobras!$D$5:$D$504,MATCH(A234,Maniobras!$A$5:$A$504,0)),""))</f>
        <v/>
      </c>
      <c r="F234" s="29" t="str">
        <f>IF(A234="","",IFERROR(INDEX(Maniobras!$K$5:$K$504,MATCH(A234,Maniobras!$A$5:$A$504,0)),""))</f>
        <v/>
      </c>
      <c r="G234" s="29"/>
      <c r="H234" s="29"/>
      <c r="I234" s="29" t="str">
        <f t="shared" si="7"/>
        <v/>
      </c>
      <c r="K234" s="30"/>
      <c r="M234" t="str">
        <f>IF($A234=Ficha!$B$3,COUNTIF($A$5:$A234,Ficha!$B$3),"")</f>
        <v/>
      </c>
    </row>
    <row r="235" spans="2:13" x14ac:dyDescent="0.3">
      <c r="B235" s="30" t="str">
        <f>IF(A235="","",IFERROR(INDEX(Maniobras!$B$5:$B$504,MATCH(A235,Maniobras!$A$5:$A$504,0)),""))</f>
        <v/>
      </c>
      <c r="C235" t="str">
        <f t="shared" si="6"/>
        <v/>
      </c>
      <c r="D235" t="str">
        <f>IF(A235="","",IFERROR(INDEX(Maniobras!$D$5:$D$504,MATCH(A235,Maniobras!$A$5:$A$504,0)),""))</f>
        <v/>
      </c>
      <c r="F235" s="29" t="str">
        <f>IF(A235="","",IFERROR(INDEX(Maniobras!$K$5:$K$504,MATCH(A235,Maniobras!$A$5:$A$504,0)),""))</f>
        <v/>
      </c>
      <c r="G235" s="29"/>
      <c r="H235" s="29"/>
      <c r="I235" s="29" t="str">
        <f t="shared" si="7"/>
        <v/>
      </c>
      <c r="K235" s="30"/>
      <c r="M235" t="str">
        <f>IF($A235=Ficha!$B$3,COUNTIF($A$5:$A235,Ficha!$B$3),"")</f>
        <v/>
      </c>
    </row>
    <row r="236" spans="2:13" x14ac:dyDescent="0.3">
      <c r="B236" s="30" t="str">
        <f>IF(A236="","",IFERROR(INDEX(Maniobras!$B$5:$B$504,MATCH(A236,Maniobras!$A$5:$A$504,0)),""))</f>
        <v/>
      </c>
      <c r="C236" t="str">
        <f t="shared" si="6"/>
        <v/>
      </c>
      <c r="D236" t="str">
        <f>IF(A236="","",IFERROR(INDEX(Maniobras!$D$5:$D$504,MATCH(A236,Maniobras!$A$5:$A$504,0)),""))</f>
        <v/>
      </c>
      <c r="F236" s="29" t="str">
        <f>IF(A236="","",IFERROR(INDEX(Maniobras!$K$5:$K$504,MATCH(A236,Maniobras!$A$5:$A$504,0)),""))</f>
        <v/>
      </c>
      <c r="G236" s="29"/>
      <c r="H236" s="29"/>
      <c r="I236" s="29" t="str">
        <f t="shared" si="7"/>
        <v/>
      </c>
      <c r="K236" s="30"/>
      <c r="M236" t="str">
        <f>IF($A236=Ficha!$B$3,COUNTIF($A$5:$A236,Ficha!$B$3),"")</f>
        <v/>
      </c>
    </row>
    <row r="237" spans="2:13" x14ac:dyDescent="0.3">
      <c r="B237" s="30" t="str">
        <f>IF(A237="","",IFERROR(INDEX(Maniobras!$B$5:$B$504,MATCH(A237,Maniobras!$A$5:$A$504,0)),""))</f>
        <v/>
      </c>
      <c r="C237" t="str">
        <f t="shared" si="6"/>
        <v/>
      </c>
      <c r="D237" t="str">
        <f>IF(A237="","",IFERROR(INDEX(Maniobras!$D$5:$D$504,MATCH(A237,Maniobras!$A$5:$A$504,0)),""))</f>
        <v/>
      </c>
      <c r="F237" s="29" t="str">
        <f>IF(A237="","",IFERROR(INDEX(Maniobras!$K$5:$K$504,MATCH(A237,Maniobras!$A$5:$A$504,0)),""))</f>
        <v/>
      </c>
      <c r="G237" s="29"/>
      <c r="H237" s="29"/>
      <c r="I237" s="29" t="str">
        <f t="shared" si="7"/>
        <v/>
      </c>
      <c r="K237" s="30"/>
      <c r="M237" t="str">
        <f>IF($A237=Ficha!$B$3,COUNTIF($A$5:$A237,Ficha!$B$3),"")</f>
        <v/>
      </c>
    </row>
    <row r="238" spans="2:13" x14ac:dyDescent="0.3">
      <c r="B238" s="30" t="str">
        <f>IF(A238="","",IFERROR(INDEX(Maniobras!$B$5:$B$504,MATCH(A238,Maniobras!$A$5:$A$504,0)),""))</f>
        <v/>
      </c>
      <c r="C238" t="str">
        <f t="shared" si="6"/>
        <v/>
      </c>
      <c r="D238" t="str">
        <f>IF(A238="","",IFERROR(INDEX(Maniobras!$D$5:$D$504,MATCH(A238,Maniobras!$A$5:$A$504,0)),""))</f>
        <v/>
      </c>
      <c r="F238" s="29" t="str">
        <f>IF(A238="","",IFERROR(INDEX(Maniobras!$K$5:$K$504,MATCH(A238,Maniobras!$A$5:$A$504,0)),""))</f>
        <v/>
      </c>
      <c r="G238" s="29"/>
      <c r="H238" s="29"/>
      <c r="I238" s="29" t="str">
        <f t="shared" si="7"/>
        <v/>
      </c>
      <c r="K238" s="30"/>
      <c r="M238" t="str">
        <f>IF($A238=Ficha!$B$3,COUNTIF($A$5:$A238,Ficha!$B$3),"")</f>
        <v/>
      </c>
    </row>
    <row r="239" spans="2:13" x14ac:dyDescent="0.3">
      <c r="B239" s="30" t="str">
        <f>IF(A239="","",IFERROR(INDEX(Maniobras!$B$5:$B$504,MATCH(A239,Maniobras!$A$5:$A$504,0)),""))</f>
        <v/>
      </c>
      <c r="C239" t="str">
        <f t="shared" si="6"/>
        <v/>
      </c>
      <c r="D239" t="str">
        <f>IF(A239="","",IFERROR(INDEX(Maniobras!$D$5:$D$504,MATCH(A239,Maniobras!$A$5:$A$504,0)),""))</f>
        <v/>
      </c>
      <c r="F239" s="29" t="str">
        <f>IF(A239="","",IFERROR(INDEX(Maniobras!$K$5:$K$504,MATCH(A239,Maniobras!$A$5:$A$504,0)),""))</f>
        <v/>
      </c>
      <c r="G239" s="29"/>
      <c r="H239" s="29"/>
      <c r="I239" s="29" t="str">
        <f t="shared" si="7"/>
        <v/>
      </c>
      <c r="K239" s="30"/>
      <c r="M239" t="str">
        <f>IF($A239=Ficha!$B$3,COUNTIF($A$5:$A239,Ficha!$B$3),"")</f>
        <v/>
      </c>
    </row>
    <row r="240" spans="2:13" x14ac:dyDescent="0.3">
      <c r="B240" s="30" t="str">
        <f>IF(A240="","",IFERROR(INDEX(Maniobras!$B$5:$B$504,MATCH(A240,Maniobras!$A$5:$A$504,0)),""))</f>
        <v/>
      </c>
      <c r="C240" t="str">
        <f t="shared" si="6"/>
        <v/>
      </c>
      <c r="D240" t="str">
        <f>IF(A240="","",IFERROR(INDEX(Maniobras!$D$5:$D$504,MATCH(A240,Maniobras!$A$5:$A$504,0)),""))</f>
        <v/>
      </c>
      <c r="F240" s="29" t="str">
        <f>IF(A240="","",IFERROR(INDEX(Maniobras!$K$5:$K$504,MATCH(A240,Maniobras!$A$5:$A$504,0)),""))</f>
        <v/>
      </c>
      <c r="G240" s="29"/>
      <c r="H240" s="29"/>
      <c r="I240" s="29" t="str">
        <f t="shared" si="7"/>
        <v/>
      </c>
      <c r="K240" s="30"/>
      <c r="M240" t="str">
        <f>IF($A240=Ficha!$B$3,COUNTIF($A$5:$A240,Ficha!$B$3),"")</f>
        <v/>
      </c>
    </row>
    <row r="241" spans="2:13" x14ac:dyDescent="0.3">
      <c r="B241" s="30" t="str">
        <f>IF(A241="","",IFERROR(INDEX(Maniobras!$B$5:$B$504,MATCH(A241,Maniobras!$A$5:$A$504,0)),""))</f>
        <v/>
      </c>
      <c r="C241" t="str">
        <f t="shared" si="6"/>
        <v/>
      </c>
      <c r="D241" t="str">
        <f>IF(A241="","",IFERROR(INDEX(Maniobras!$D$5:$D$504,MATCH(A241,Maniobras!$A$5:$A$504,0)),""))</f>
        <v/>
      </c>
      <c r="F241" s="29" t="str">
        <f>IF(A241="","",IFERROR(INDEX(Maniobras!$K$5:$K$504,MATCH(A241,Maniobras!$A$5:$A$504,0)),""))</f>
        <v/>
      </c>
      <c r="G241" s="29"/>
      <c r="H241" s="29"/>
      <c r="I241" s="29" t="str">
        <f t="shared" si="7"/>
        <v/>
      </c>
      <c r="K241" s="30"/>
      <c r="M241" t="str">
        <f>IF($A241=Ficha!$B$3,COUNTIF($A$5:$A241,Ficha!$B$3),"")</f>
        <v/>
      </c>
    </row>
    <row r="242" spans="2:13" x14ac:dyDescent="0.3">
      <c r="B242" s="30" t="str">
        <f>IF(A242="","",IFERROR(INDEX(Maniobras!$B$5:$B$504,MATCH(A242,Maniobras!$A$5:$A$504,0)),""))</f>
        <v/>
      </c>
      <c r="C242" t="str">
        <f t="shared" si="6"/>
        <v/>
      </c>
      <c r="D242" t="str">
        <f>IF(A242="","",IFERROR(INDEX(Maniobras!$D$5:$D$504,MATCH(A242,Maniobras!$A$5:$A$504,0)),""))</f>
        <v/>
      </c>
      <c r="F242" s="29" t="str">
        <f>IF(A242="","",IFERROR(INDEX(Maniobras!$K$5:$K$504,MATCH(A242,Maniobras!$A$5:$A$504,0)),""))</f>
        <v/>
      </c>
      <c r="G242" s="29"/>
      <c r="H242" s="29"/>
      <c r="I242" s="29" t="str">
        <f t="shared" si="7"/>
        <v/>
      </c>
      <c r="K242" s="30"/>
      <c r="M242" t="str">
        <f>IF($A242=Ficha!$B$3,COUNTIF($A$5:$A242,Ficha!$B$3),"")</f>
        <v/>
      </c>
    </row>
    <row r="243" spans="2:13" x14ac:dyDescent="0.3">
      <c r="B243" s="30" t="str">
        <f>IF(A243="","",IFERROR(INDEX(Maniobras!$B$5:$B$504,MATCH(A243,Maniobras!$A$5:$A$504,0)),""))</f>
        <v/>
      </c>
      <c r="C243" t="str">
        <f t="shared" si="6"/>
        <v/>
      </c>
      <c r="D243" t="str">
        <f>IF(A243="","",IFERROR(INDEX(Maniobras!$D$5:$D$504,MATCH(A243,Maniobras!$A$5:$A$504,0)),""))</f>
        <v/>
      </c>
      <c r="F243" s="29" t="str">
        <f>IF(A243="","",IFERROR(INDEX(Maniobras!$K$5:$K$504,MATCH(A243,Maniobras!$A$5:$A$504,0)),""))</f>
        <v/>
      </c>
      <c r="G243" s="29"/>
      <c r="H243" s="29"/>
      <c r="I243" s="29" t="str">
        <f t="shared" si="7"/>
        <v/>
      </c>
      <c r="K243" s="30"/>
      <c r="M243" t="str">
        <f>IF($A243=Ficha!$B$3,COUNTIF($A$5:$A243,Ficha!$B$3),"")</f>
        <v/>
      </c>
    </row>
    <row r="244" spans="2:13" x14ac:dyDescent="0.3">
      <c r="B244" s="30" t="str">
        <f>IF(A244="","",IFERROR(INDEX(Maniobras!$B$5:$B$504,MATCH(A244,Maniobras!$A$5:$A$504,0)),""))</f>
        <v/>
      </c>
      <c r="C244" t="str">
        <f t="shared" si="6"/>
        <v/>
      </c>
      <c r="D244" t="str">
        <f>IF(A244="","",IFERROR(INDEX(Maniobras!$D$5:$D$504,MATCH(A244,Maniobras!$A$5:$A$504,0)),""))</f>
        <v/>
      </c>
      <c r="F244" s="29" t="str">
        <f>IF(A244="","",IFERROR(INDEX(Maniobras!$K$5:$K$504,MATCH(A244,Maniobras!$A$5:$A$504,0)),""))</f>
        <v/>
      </c>
      <c r="G244" s="29"/>
      <c r="H244" s="29"/>
      <c r="I244" s="29" t="str">
        <f t="shared" si="7"/>
        <v/>
      </c>
      <c r="K244" s="30"/>
      <c r="M244" t="str">
        <f>IF($A244=Ficha!$B$3,COUNTIF($A$5:$A244,Ficha!$B$3),"")</f>
        <v/>
      </c>
    </row>
    <row r="245" spans="2:13" x14ac:dyDescent="0.3">
      <c r="B245" s="30" t="str">
        <f>IF(A245="","",IFERROR(INDEX(Maniobras!$B$5:$B$504,MATCH(A245,Maniobras!$A$5:$A$504,0)),""))</f>
        <v/>
      </c>
      <c r="C245" t="str">
        <f t="shared" si="6"/>
        <v/>
      </c>
      <c r="D245" t="str">
        <f>IF(A245="","",IFERROR(INDEX(Maniobras!$D$5:$D$504,MATCH(A245,Maniobras!$A$5:$A$504,0)),""))</f>
        <v/>
      </c>
      <c r="F245" s="29" t="str">
        <f>IF(A245="","",IFERROR(INDEX(Maniobras!$K$5:$K$504,MATCH(A245,Maniobras!$A$5:$A$504,0)),""))</f>
        <v/>
      </c>
      <c r="G245" s="29"/>
      <c r="H245" s="29"/>
      <c r="I245" s="29" t="str">
        <f t="shared" si="7"/>
        <v/>
      </c>
      <c r="K245" s="30"/>
      <c r="M245" t="str">
        <f>IF($A245=Ficha!$B$3,COUNTIF($A$5:$A245,Ficha!$B$3),"")</f>
        <v/>
      </c>
    </row>
    <row r="246" spans="2:13" x14ac:dyDescent="0.3">
      <c r="B246" s="30" t="str">
        <f>IF(A246="","",IFERROR(INDEX(Maniobras!$B$5:$B$504,MATCH(A246,Maniobras!$A$5:$A$504,0)),""))</f>
        <v/>
      </c>
      <c r="C246" t="str">
        <f t="shared" si="6"/>
        <v/>
      </c>
      <c r="D246" t="str">
        <f>IF(A246="","",IFERROR(INDEX(Maniobras!$D$5:$D$504,MATCH(A246,Maniobras!$A$5:$A$504,0)),""))</f>
        <v/>
      </c>
      <c r="F246" s="29" t="str">
        <f>IF(A246="","",IFERROR(INDEX(Maniobras!$K$5:$K$504,MATCH(A246,Maniobras!$A$5:$A$504,0)),""))</f>
        <v/>
      </c>
      <c r="G246" s="29"/>
      <c r="H246" s="29"/>
      <c r="I246" s="29" t="str">
        <f t="shared" si="7"/>
        <v/>
      </c>
      <c r="K246" s="30"/>
      <c r="M246" t="str">
        <f>IF($A246=Ficha!$B$3,COUNTIF($A$5:$A246,Ficha!$B$3),"")</f>
        <v/>
      </c>
    </row>
    <row r="247" spans="2:13" x14ac:dyDescent="0.3">
      <c r="B247" s="30" t="str">
        <f>IF(A247="","",IFERROR(INDEX(Maniobras!$B$5:$B$504,MATCH(A247,Maniobras!$A$5:$A$504,0)),""))</f>
        <v/>
      </c>
      <c r="C247" t="str">
        <f t="shared" si="6"/>
        <v/>
      </c>
      <c r="D247" t="str">
        <f>IF(A247="","",IFERROR(INDEX(Maniobras!$D$5:$D$504,MATCH(A247,Maniobras!$A$5:$A$504,0)),""))</f>
        <v/>
      </c>
      <c r="F247" s="29" t="str">
        <f>IF(A247="","",IFERROR(INDEX(Maniobras!$K$5:$K$504,MATCH(A247,Maniobras!$A$5:$A$504,0)),""))</f>
        <v/>
      </c>
      <c r="G247" s="29"/>
      <c r="H247" s="29"/>
      <c r="I247" s="29" t="str">
        <f t="shared" si="7"/>
        <v/>
      </c>
      <c r="K247" s="30"/>
      <c r="M247" t="str">
        <f>IF($A247=Ficha!$B$3,COUNTIF($A$5:$A247,Ficha!$B$3),"")</f>
        <v/>
      </c>
    </row>
    <row r="248" spans="2:13" x14ac:dyDescent="0.3">
      <c r="B248" s="30" t="str">
        <f>IF(A248="","",IFERROR(INDEX(Maniobras!$B$5:$B$504,MATCH(A248,Maniobras!$A$5:$A$504,0)),""))</f>
        <v/>
      </c>
      <c r="C248" t="str">
        <f t="shared" si="6"/>
        <v/>
      </c>
      <c r="D248" t="str">
        <f>IF(A248="","",IFERROR(INDEX(Maniobras!$D$5:$D$504,MATCH(A248,Maniobras!$A$5:$A$504,0)),""))</f>
        <v/>
      </c>
      <c r="F248" s="29" t="str">
        <f>IF(A248="","",IFERROR(INDEX(Maniobras!$K$5:$K$504,MATCH(A248,Maniobras!$A$5:$A$504,0)),""))</f>
        <v/>
      </c>
      <c r="G248" s="29"/>
      <c r="H248" s="29"/>
      <c r="I248" s="29" t="str">
        <f t="shared" si="7"/>
        <v/>
      </c>
      <c r="K248" s="30"/>
      <c r="M248" t="str">
        <f>IF($A248=Ficha!$B$3,COUNTIF($A$5:$A248,Ficha!$B$3),"")</f>
        <v/>
      </c>
    </row>
    <row r="249" spans="2:13" x14ac:dyDescent="0.3">
      <c r="B249" s="30" t="str">
        <f>IF(A249="","",IFERROR(INDEX(Maniobras!$B$5:$B$504,MATCH(A249,Maniobras!$A$5:$A$504,0)),""))</f>
        <v/>
      </c>
      <c r="C249" t="str">
        <f t="shared" si="6"/>
        <v/>
      </c>
      <c r="D249" t="str">
        <f>IF(A249="","",IFERROR(INDEX(Maniobras!$D$5:$D$504,MATCH(A249,Maniobras!$A$5:$A$504,0)),""))</f>
        <v/>
      </c>
      <c r="F249" s="29" t="str">
        <f>IF(A249="","",IFERROR(INDEX(Maniobras!$K$5:$K$504,MATCH(A249,Maniobras!$A$5:$A$504,0)),""))</f>
        <v/>
      </c>
      <c r="G249" s="29"/>
      <c r="H249" s="29"/>
      <c r="I249" s="29" t="str">
        <f t="shared" si="7"/>
        <v/>
      </c>
      <c r="K249" s="30"/>
      <c r="M249" t="str">
        <f>IF($A249=Ficha!$B$3,COUNTIF($A$5:$A249,Ficha!$B$3),"")</f>
        <v/>
      </c>
    </row>
    <row r="250" spans="2:13" x14ac:dyDescent="0.3">
      <c r="B250" s="30" t="str">
        <f>IF(A250="","",IFERROR(INDEX(Maniobras!$B$5:$B$504,MATCH(A250,Maniobras!$A$5:$A$504,0)),""))</f>
        <v/>
      </c>
      <c r="C250" t="str">
        <f t="shared" si="6"/>
        <v/>
      </c>
      <c r="D250" t="str">
        <f>IF(A250="","",IFERROR(INDEX(Maniobras!$D$5:$D$504,MATCH(A250,Maniobras!$A$5:$A$504,0)),""))</f>
        <v/>
      </c>
      <c r="F250" s="29" t="str">
        <f>IF(A250="","",IFERROR(INDEX(Maniobras!$K$5:$K$504,MATCH(A250,Maniobras!$A$5:$A$504,0)),""))</f>
        <v/>
      </c>
      <c r="G250" s="29"/>
      <c r="H250" s="29"/>
      <c r="I250" s="29" t="str">
        <f t="shared" si="7"/>
        <v/>
      </c>
      <c r="K250" s="30"/>
      <c r="M250" t="str">
        <f>IF($A250=Ficha!$B$3,COUNTIF($A$5:$A250,Ficha!$B$3),"")</f>
        <v/>
      </c>
    </row>
    <row r="251" spans="2:13" x14ac:dyDescent="0.3">
      <c r="B251" s="30" t="str">
        <f>IF(A251="","",IFERROR(INDEX(Maniobras!$B$5:$B$504,MATCH(A251,Maniobras!$A$5:$A$504,0)),""))</f>
        <v/>
      </c>
      <c r="C251" t="str">
        <f t="shared" si="6"/>
        <v/>
      </c>
      <c r="D251" t="str">
        <f>IF(A251="","",IFERROR(INDEX(Maniobras!$D$5:$D$504,MATCH(A251,Maniobras!$A$5:$A$504,0)),""))</f>
        <v/>
      </c>
      <c r="F251" s="29" t="str">
        <f>IF(A251="","",IFERROR(INDEX(Maniobras!$K$5:$K$504,MATCH(A251,Maniobras!$A$5:$A$504,0)),""))</f>
        <v/>
      </c>
      <c r="G251" s="29"/>
      <c r="H251" s="29"/>
      <c r="I251" s="29" t="str">
        <f t="shared" si="7"/>
        <v/>
      </c>
      <c r="K251" s="30"/>
      <c r="M251" t="str">
        <f>IF($A251=Ficha!$B$3,COUNTIF($A$5:$A251,Ficha!$B$3),"")</f>
        <v/>
      </c>
    </row>
    <row r="252" spans="2:13" x14ac:dyDescent="0.3">
      <c r="B252" s="30" t="str">
        <f>IF(A252="","",IFERROR(INDEX(Maniobras!$B$5:$B$504,MATCH(A252,Maniobras!$A$5:$A$504,0)),""))</f>
        <v/>
      </c>
      <c r="C252" t="str">
        <f t="shared" si="6"/>
        <v/>
      </c>
      <c r="D252" t="str">
        <f>IF(A252="","",IFERROR(INDEX(Maniobras!$D$5:$D$504,MATCH(A252,Maniobras!$A$5:$A$504,0)),""))</f>
        <v/>
      </c>
      <c r="F252" s="29" t="str">
        <f>IF(A252="","",IFERROR(INDEX(Maniobras!$K$5:$K$504,MATCH(A252,Maniobras!$A$5:$A$504,0)),""))</f>
        <v/>
      </c>
      <c r="G252" s="29"/>
      <c r="H252" s="29"/>
      <c r="I252" s="29" t="str">
        <f t="shared" si="7"/>
        <v/>
      </c>
      <c r="K252" s="30"/>
      <c r="M252" t="str">
        <f>IF($A252=Ficha!$B$3,COUNTIF($A$5:$A252,Ficha!$B$3),"")</f>
        <v/>
      </c>
    </row>
    <row r="253" spans="2:13" x14ac:dyDescent="0.3">
      <c r="B253" s="30" t="str">
        <f>IF(A253="","",IFERROR(INDEX(Maniobras!$B$5:$B$504,MATCH(A253,Maniobras!$A$5:$A$504,0)),""))</f>
        <v/>
      </c>
      <c r="C253" t="str">
        <f t="shared" si="6"/>
        <v/>
      </c>
      <c r="D253" t="str">
        <f>IF(A253="","",IFERROR(INDEX(Maniobras!$D$5:$D$504,MATCH(A253,Maniobras!$A$5:$A$504,0)),""))</f>
        <v/>
      </c>
      <c r="F253" s="29" t="str">
        <f>IF(A253="","",IFERROR(INDEX(Maniobras!$K$5:$K$504,MATCH(A253,Maniobras!$A$5:$A$504,0)),""))</f>
        <v/>
      </c>
      <c r="G253" s="29"/>
      <c r="H253" s="29"/>
      <c r="I253" s="29" t="str">
        <f t="shared" si="7"/>
        <v/>
      </c>
      <c r="K253" s="30"/>
      <c r="M253" t="str">
        <f>IF($A253=Ficha!$B$3,COUNTIF($A$5:$A253,Ficha!$B$3),"")</f>
        <v/>
      </c>
    </row>
    <row r="254" spans="2:13" x14ac:dyDescent="0.3">
      <c r="B254" s="30" t="str">
        <f>IF(A254="","",IFERROR(INDEX(Maniobras!$B$5:$B$504,MATCH(A254,Maniobras!$A$5:$A$504,0)),""))</f>
        <v/>
      </c>
      <c r="C254" t="str">
        <f t="shared" si="6"/>
        <v/>
      </c>
      <c r="D254" t="str">
        <f>IF(A254="","",IFERROR(INDEX(Maniobras!$D$5:$D$504,MATCH(A254,Maniobras!$A$5:$A$504,0)),""))</f>
        <v/>
      </c>
      <c r="F254" s="29" t="str">
        <f>IF(A254="","",IFERROR(INDEX(Maniobras!$K$5:$K$504,MATCH(A254,Maniobras!$A$5:$A$504,0)),""))</f>
        <v/>
      </c>
      <c r="G254" s="29"/>
      <c r="H254" s="29"/>
      <c r="I254" s="29" t="str">
        <f t="shared" si="7"/>
        <v/>
      </c>
      <c r="K254" s="30"/>
      <c r="M254" t="str">
        <f>IF($A254=Ficha!$B$3,COUNTIF($A$5:$A254,Ficha!$B$3),"")</f>
        <v/>
      </c>
    </row>
    <row r="255" spans="2:13" x14ac:dyDescent="0.3">
      <c r="B255" s="30" t="str">
        <f>IF(A255="","",IFERROR(INDEX(Maniobras!$B$5:$B$504,MATCH(A255,Maniobras!$A$5:$A$504,0)),""))</f>
        <v/>
      </c>
      <c r="C255" t="str">
        <f t="shared" si="6"/>
        <v/>
      </c>
      <c r="D255" t="str">
        <f>IF(A255="","",IFERROR(INDEX(Maniobras!$D$5:$D$504,MATCH(A255,Maniobras!$A$5:$A$504,0)),""))</f>
        <v/>
      </c>
      <c r="F255" s="29" t="str">
        <f>IF(A255="","",IFERROR(INDEX(Maniobras!$K$5:$K$504,MATCH(A255,Maniobras!$A$5:$A$504,0)),""))</f>
        <v/>
      </c>
      <c r="G255" s="29"/>
      <c r="H255" s="29"/>
      <c r="I255" s="29" t="str">
        <f t="shared" si="7"/>
        <v/>
      </c>
      <c r="K255" s="30"/>
      <c r="M255" t="str">
        <f>IF($A255=Ficha!$B$3,COUNTIF($A$5:$A255,Ficha!$B$3),"")</f>
        <v/>
      </c>
    </row>
    <row r="256" spans="2:13" x14ac:dyDescent="0.3">
      <c r="B256" s="30" t="str">
        <f>IF(A256="","",IFERROR(INDEX(Maniobras!$B$5:$B$504,MATCH(A256,Maniobras!$A$5:$A$504,0)),""))</f>
        <v/>
      </c>
      <c r="C256" t="str">
        <f t="shared" si="6"/>
        <v/>
      </c>
      <c r="D256" t="str">
        <f>IF(A256="","",IFERROR(INDEX(Maniobras!$D$5:$D$504,MATCH(A256,Maniobras!$A$5:$A$504,0)),""))</f>
        <v/>
      </c>
      <c r="F256" s="29" t="str">
        <f>IF(A256="","",IFERROR(INDEX(Maniobras!$K$5:$K$504,MATCH(A256,Maniobras!$A$5:$A$504,0)),""))</f>
        <v/>
      </c>
      <c r="G256" s="29"/>
      <c r="H256" s="29"/>
      <c r="I256" s="29" t="str">
        <f t="shared" si="7"/>
        <v/>
      </c>
      <c r="K256" s="30"/>
      <c r="M256" t="str">
        <f>IF($A256=Ficha!$B$3,COUNTIF($A$5:$A256,Ficha!$B$3),"")</f>
        <v/>
      </c>
    </row>
    <row r="257" spans="2:13" x14ac:dyDescent="0.3">
      <c r="B257" s="30" t="str">
        <f>IF(A257="","",IFERROR(INDEX(Maniobras!$B$5:$B$504,MATCH(A257,Maniobras!$A$5:$A$504,0)),""))</f>
        <v/>
      </c>
      <c r="C257" t="str">
        <f t="shared" si="6"/>
        <v/>
      </c>
      <c r="D257" t="str">
        <f>IF(A257="","",IFERROR(INDEX(Maniobras!$D$5:$D$504,MATCH(A257,Maniobras!$A$5:$A$504,0)),""))</f>
        <v/>
      </c>
      <c r="F257" s="29" t="str">
        <f>IF(A257="","",IFERROR(INDEX(Maniobras!$K$5:$K$504,MATCH(A257,Maniobras!$A$5:$A$504,0)),""))</f>
        <v/>
      </c>
      <c r="G257" s="29"/>
      <c r="H257" s="29"/>
      <c r="I257" s="29" t="str">
        <f t="shared" si="7"/>
        <v/>
      </c>
      <c r="K257" s="30"/>
      <c r="M257" t="str">
        <f>IF($A257=Ficha!$B$3,COUNTIF($A$5:$A257,Ficha!$B$3),"")</f>
        <v/>
      </c>
    </row>
    <row r="258" spans="2:13" x14ac:dyDescent="0.3">
      <c r="B258" s="30" t="str">
        <f>IF(A258="","",IFERROR(INDEX(Maniobras!$B$5:$B$504,MATCH(A258,Maniobras!$A$5:$A$504,0)),""))</f>
        <v/>
      </c>
      <c r="C258" t="str">
        <f t="shared" si="6"/>
        <v/>
      </c>
      <c r="D258" t="str">
        <f>IF(A258="","",IFERROR(INDEX(Maniobras!$D$5:$D$504,MATCH(A258,Maniobras!$A$5:$A$504,0)),""))</f>
        <v/>
      </c>
      <c r="F258" s="29" t="str">
        <f>IF(A258="","",IFERROR(INDEX(Maniobras!$K$5:$K$504,MATCH(A258,Maniobras!$A$5:$A$504,0)),""))</f>
        <v/>
      </c>
      <c r="G258" s="29"/>
      <c r="H258" s="29"/>
      <c r="I258" s="29" t="str">
        <f t="shared" si="7"/>
        <v/>
      </c>
      <c r="K258" s="30"/>
      <c r="M258" t="str">
        <f>IF($A258=Ficha!$B$3,COUNTIF($A$5:$A258,Ficha!$B$3),"")</f>
        <v/>
      </c>
    </row>
    <row r="259" spans="2:13" x14ac:dyDescent="0.3">
      <c r="B259" s="30" t="str">
        <f>IF(A259="","",IFERROR(INDEX(Maniobras!$B$5:$B$504,MATCH(A259,Maniobras!$A$5:$A$504,0)),""))</f>
        <v/>
      </c>
      <c r="C259" t="str">
        <f t="shared" si="6"/>
        <v/>
      </c>
      <c r="D259" t="str">
        <f>IF(A259="","",IFERROR(INDEX(Maniobras!$D$5:$D$504,MATCH(A259,Maniobras!$A$5:$A$504,0)),""))</f>
        <v/>
      </c>
      <c r="F259" s="29" t="str">
        <f>IF(A259="","",IFERROR(INDEX(Maniobras!$K$5:$K$504,MATCH(A259,Maniobras!$A$5:$A$504,0)),""))</f>
        <v/>
      </c>
      <c r="G259" s="29"/>
      <c r="H259" s="29"/>
      <c r="I259" s="29" t="str">
        <f t="shared" si="7"/>
        <v/>
      </c>
      <c r="K259" s="30"/>
      <c r="M259" t="str">
        <f>IF($A259=Ficha!$B$3,COUNTIF($A$5:$A259,Ficha!$B$3),"")</f>
        <v/>
      </c>
    </row>
    <row r="260" spans="2:13" x14ac:dyDescent="0.3">
      <c r="B260" s="30" t="str">
        <f>IF(A260="","",IFERROR(INDEX(Maniobras!$B$5:$B$504,MATCH(A260,Maniobras!$A$5:$A$504,0)),""))</f>
        <v/>
      </c>
      <c r="C260" t="str">
        <f t="shared" si="6"/>
        <v/>
      </c>
      <c r="D260" t="str">
        <f>IF(A260="","",IFERROR(INDEX(Maniobras!$D$5:$D$504,MATCH(A260,Maniobras!$A$5:$A$504,0)),""))</f>
        <v/>
      </c>
      <c r="F260" s="29" t="str">
        <f>IF(A260="","",IFERROR(INDEX(Maniobras!$K$5:$K$504,MATCH(A260,Maniobras!$A$5:$A$504,0)),""))</f>
        <v/>
      </c>
      <c r="G260" s="29"/>
      <c r="H260" s="29"/>
      <c r="I260" s="29" t="str">
        <f t="shared" si="7"/>
        <v/>
      </c>
      <c r="K260" s="30"/>
      <c r="M260" t="str">
        <f>IF($A260=Ficha!$B$3,COUNTIF($A$5:$A260,Ficha!$B$3),"")</f>
        <v/>
      </c>
    </row>
    <row r="261" spans="2:13" x14ac:dyDescent="0.3">
      <c r="B261" s="30" t="str">
        <f>IF(A261="","",IFERROR(INDEX(Maniobras!$B$5:$B$504,MATCH(A261,Maniobras!$A$5:$A$504,0)),""))</f>
        <v/>
      </c>
      <c r="C261" t="str">
        <f t="shared" ref="C261:C324" si="8">IF(B261="","",TEXT(B261,"yyyy-mm"))</f>
        <v/>
      </c>
      <c r="D261" t="str">
        <f>IF(A261="","",IFERROR(INDEX(Maniobras!$D$5:$D$504,MATCH(A261,Maniobras!$A$5:$A$504,0)),""))</f>
        <v/>
      </c>
      <c r="F261" s="29" t="str">
        <f>IF(A261="","",IFERROR(INDEX(Maniobras!$K$5:$K$504,MATCH(A261,Maniobras!$A$5:$A$504,0)),""))</f>
        <v/>
      </c>
      <c r="G261" s="29"/>
      <c r="H261" s="29"/>
      <c r="I261" s="29" t="str">
        <f t="shared" ref="I261:I324" si="9">IF(G261="","",G261+N(H261))</f>
        <v/>
      </c>
      <c r="K261" s="30"/>
      <c r="M261" t="str">
        <f>IF($A261=Ficha!$B$3,COUNTIF($A$5:$A261,Ficha!$B$3),"")</f>
        <v/>
      </c>
    </row>
    <row r="262" spans="2:13" x14ac:dyDescent="0.3">
      <c r="B262" s="30" t="str">
        <f>IF(A262="","",IFERROR(INDEX(Maniobras!$B$5:$B$504,MATCH(A262,Maniobras!$A$5:$A$504,0)),""))</f>
        <v/>
      </c>
      <c r="C262" t="str">
        <f t="shared" si="8"/>
        <v/>
      </c>
      <c r="D262" t="str">
        <f>IF(A262="","",IFERROR(INDEX(Maniobras!$D$5:$D$504,MATCH(A262,Maniobras!$A$5:$A$504,0)),""))</f>
        <v/>
      </c>
      <c r="F262" s="29" t="str">
        <f>IF(A262="","",IFERROR(INDEX(Maniobras!$K$5:$K$504,MATCH(A262,Maniobras!$A$5:$A$504,0)),""))</f>
        <v/>
      </c>
      <c r="G262" s="29"/>
      <c r="H262" s="29"/>
      <c r="I262" s="29" t="str">
        <f t="shared" si="9"/>
        <v/>
      </c>
      <c r="K262" s="30"/>
      <c r="M262" t="str">
        <f>IF($A262=Ficha!$B$3,COUNTIF($A$5:$A262,Ficha!$B$3),"")</f>
        <v/>
      </c>
    </row>
    <row r="263" spans="2:13" x14ac:dyDescent="0.3">
      <c r="B263" s="30" t="str">
        <f>IF(A263="","",IFERROR(INDEX(Maniobras!$B$5:$B$504,MATCH(A263,Maniobras!$A$5:$A$504,0)),""))</f>
        <v/>
      </c>
      <c r="C263" t="str">
        <f t="shared" si="8"/>
        <v/>
      </c>
      <c r="D263" t="str">
        <f>IF(A263="","",IFERROR(INDEX(Maniobras!$D$5:$D$504,MATCH(A263,Maniobras!$A$5:$A$504,0)),""))</f>
        <v/>
      </c>
      <c r="F263" s="29" t="str">
        <f>IF(A263="","",IFERROR(INDEX(Maniobras!$K$5:$K$504,MATCH(A263,Maniobras!$A$5:$A$504,0)),""))</f>
        <v/>
      </c>
      <c r="G263" s="29"/>
      <c r="H263" s="29"/>
      <c r="I263" s="29" t="str">
        <f t="shared" si="9"/>
        <v/>
      </c>
      <c r="K263" s="30"/>
      <c r="M263" t="str">
        <f>IF($A263=Ficha!$B$3,COUNTIF($A$5:$A263,Ficha!$B$3),"")</f>
        <v/>
      </c>
    </row>
    <row r="264" spans="2:13" x14ac:dyDescent="0.3">
      <c r="B264" s="30" t="str">
        <f>IF(A264="","",IFERROR(INDEX(Maniobras!$B$5:$B$504,MATCH(A264,Maniobras!$A$5:$A$504,0)),""))</f>
        <v/>
      </c>
      <c r="C264" t="str">
        <f t="shared" si="8"/>
        <v/>
      </c>
      <c r="D264" t="str">
        <f>IF(A264="","",IFERROR(INDEX(Maniobras!$D$5:$D$504,MATCH(A264,Maniobras!$A$5:$A$504,0)),""))</f>
        <v/>
      </c>
      <c r="F264" s="29" t="str">
        <f>IF(A264="","",IFERROR(INDEX(Maniobras!$K$5:$K$504,MATCH(A264,Maniobras!$A$5:$A$504,0)),""))</f>
        <v/>
      </c>
      <c r="G264" s="29"/>
      <c r="H264" s="29"/>
      <c r="I264" s="29" t="str">
        <f t="shared" si="9"/>
        <v/>
      </c>
      <c r="K264" s="30"/>
      <c r="M264" t="str">
        <f>IF($A264=Ficha!$B$3,COUNTIF($A$5:$A264,Ficha!$B$3),"")</f>
        <v/>
      </c>
    </row>
    <row r="265" spans="2:13" x14ac:dyDescent="0.3">
      <c r="B265" s="30" t="str">
        <f>IF(A265="","",IFERROR(INDEX(Maniobras!$B$5:$B$504,MATCH(A265,Maniobras!$A$5:$A$504,0)),""))</f>
        <v/>
      </c>
      <c r="C265" t="str">
        <f t="shared" si="8"/>
        <v/>
      </c>
      <c r="D265" t="str">
        <f>IF(A265="","",IFERROR(INDEX(Maniobras!$D$5:$D$504,MATCH(A265,Maniobras!$A$5:$A$504,0)),""))</f>
        <v/>
      </c>
      <c r="F265" s="29" t="str">
        <f>IF(A265="","",IFERROR(INDEX(Maniobras!$K$5:$K$504,MATCH(A265,Maniobras!$A$5:$A$504,0)),""))</f>
        <v/>
      </c>
      <c r="G265" s="29"/>
      <c r="H265" s="29"/>
      <c r="I265" s="29" t="str">
        <f t="shared" si="9"/>
        <v/>
      </c>
      <c r="K265" s="30"/>
      <c r="M265" t="str">
        <f>IF($A265=Ficha!$B$3,COUNTIF($A$5:$A265,Ficha!$B$3),"")</f>
        <v/>
      </c>
    </row>
    <row r="266" spans="2:13" x14ac:dyDescent="0.3">
      <c r="B266" s="30" t="str">
        <f>IF(A266="","",IFERROR(INDEX(Maniobras!$B$5:$B$504,MATCH(A266,Maniobras!$A$5:$A$504,0)),""))</f>
        <v/>
      </c>
      <c r="C266" t="str">
        <f t="shared" si="8"/>
        <v/>
      </c>
      <c r="D266" t="str">
        <f>IF(A266="","",IFERROR(INDEX(Maniobras!$D$5:$D$504,MATCH(A266,Maniobras!$A$5:$A$504,0)),""))</f>
        <v/>
      </c>
      <c r="F266" s="29" t="str">
        <f>IF(A266="","",IFERROR(INDEX(Maniobras!$K$5:$K$504,MATCH(A266,Maniobras!$A$5:$A$504,0)),""))</f>
        <v/>
      </c>
      <c r="G266" s="29"/>
      <c r="H266" s="29"/>
      <c r="I266" s="29" t="str">
        <f t="shared" si="9"/>
        <v/>
      </c>
      <c r="K266" s="30"/>
      <c r="M266" t="str">
        <f>IF($A266=Ficha!$B$3,COUNTIF($A$5:$A266,Ficha!$B$3),"")</f>
        <v/>
      </c>
    </row>
    <row r="267" spans="2:13" x14ac:dyDescent="0.3">
      <c r="B267" s="30" t="str">
        <f>IF(A267="","",IFERROR(INDEX(Maniobras!$B$5:$B$504,MATCH(A267,Maniobras!$A$5:$A$504,0)),""))</f>
        <v/>
      </c>
      <c r="C267" t="str">
        <f t="shared" si="8"/>
        <v/>
      </c>
      <c r="D267" t="str">
        <f>IF(A267="","",IFERROR(INDEX(Maniobras!$D$5:$D$504,MATCH(A267,Maniobras!$A$5:$A$504,0)),""))</f>
        <v/>
      </c>
      <c r="F267" s="29" t="str">
        <f>IF(A267="","",IFERROR(INDEX(Maniobras!$K$5:$K$504,MATCH(A267,Maniobras!$A$5:$A$504,0)),""))</f>
        <v/>
      </c>
      <c r="G267" s="29"/>
      <c r="H267" s="29"/>
      <c r="I267" s="29" t="str">
        <f t="shared" si="9"/>
        <v/>
      </c>
      <c r="K267" s="30"/>
      <c r="M267" t="str">
        <f>IF($A267=Ficha!$B$3,COUNTIF($A$5:$A267,Ficha!$B$3),"")</f>
        <v/>
      </c>
    </row>
    <row r="268" spans="2:13" x14ac:dyDescent="0.3">
      <c r="B268" s="30" t="str">
        <f>IF(A268="","",IFERROR(INDEX(Maniobras!$B$5:$B$504,MATCH(A268,Maniobras!$A$5:$A$504,0)),""))</f>
        <v/>
      </c>
      <c r="C268" t="str">
        <f t="shared" si="8"/>
        <v/>
      </c>
      <c r="D268" t="str">
        <f>IF(A268="","",IFERROR(INDEX(Maniobras!$D$5:$D$504,MATCH(A268,Maniobras!$A$5:$A$504,0)),""))</f>
        <v/>
      </c>
      <c r="F268" s="29" t="str">
        <f>IF(A268="","",IFERROR(INDEX(Maniobras!$K$5:$K$504,MATCH(A268,Maniobras!$A$5:$A$504,0)),""))</f>
        <v/>
      </c>
      <c r="G268" s="29"/>
      <c r="H268" s="29"/>
      <c r="I268" s="29" t="str">
        <f t="shared" si="9"/>
        <v/>
      </c>
      <c r="K268" s="30"/>
      <c r="M268" t="str">
        <f>IF($A268=Ficha!$B$3,COUNTIF($A$5:$A268,Ficha!$B$3),"")</f>
        <v/>
      </c>
    </row>
    <row r="269" spans="2:13" x14ac:dyDescent="0.3">
      <c r="B269" s="30" t="str">
        <f>IF(A269="","",IFERROR(INDEX(Maniobras!$B$5:$B$504,MATCH(A269,Maniobras!$A$5:$A$504,0)),""))</f>
        <v/>
      </c>
      <c r="C269" t="str">
        <f t="shared" si="8"/>
        <v/>
      </c>
      <c r="D269" t="str">
        <f>IF(A269="","",IFERROR(INDEX(Maniobras!$D$5:$D$504,MATCH(A269,Maniobras!$A$5:$A$504,0)),""))</f>
        <v/>
      </c>
      <c r="F269" s="29" t="str">
        <f>IF(A269="","",IFERROR(INDEX(Maniobras!$K$5:$K$504,MATCH(A269,Maniobras!$A$5:$A$504,0)),""))</f>
        <v/>
      </c>
      <c r="G269" s="29"/>
      <c r="H269" s="29"/>
      <c r="I269" s="29" t="str">
        <f t="shared" si="9"/>
        <v/>
      </c>
      <c r="K269" s="30"/>
      <c r="M269" t="str">
        <f>IF($A269=Ficha!$B$3,COUNTIF($A$5:$A269,Ficha!$B$3),"")</f>
        <v/>
      </c>
    </row>
    <row r="270" spans="2:13" x14ac:dyDescent="0.3">
      <c r="B270" s="30" t="str">
        <f>IF(A270="","",IFERROR(INDEX(Maniobras!$B$5:$B$504,MATCH(A270,Maniobras!$A$5:$A$504,0)),""))</f>
        <v/>
      </c>
      <c r="C270" t="str">
        <f t="shared" si="8"/>
        <v/>
      </c>
      <c r="D270" t="str">
        <f>IF(A270="","",IFERROR(INDEX(Maniobras!$D$5:$D$504,MATCH(A270,Maniobras!$A$5:$A$504,0)),""))</f>
        <v/>
      </c>
      <c r="F270" s="29" t="str">
        <f>IF(A270="","",IFERROR(INDEX(Maniobras!$K$5:$K$504,MATCH(A270,Maniobras!$A$5:$A$504,0)),""))</f>
        <v/>
      </c>
      <c r="G270" s="29"/>
      <c r="H270" s="29"/>
      <c r="I270" s="29" t="str">
        <f t="shared" si="9"/>
        <v/>
      </c>
      <c r="K270" s="30"/>
      <c r="M270" t="str">
        <f>IF($A270=Ficha!$B$3,COUNTIF($A$5:$A270,Ficha!$B$3),"")</f>
        <v/>
      </c>
    </row>
    <row r="271" spans="2:13" x14ac:dyDescent="0.3">
      <c r="B271" s="30" t="str">
        <f>IF(A271="","",IFERROR(INDEX(Maniobras!$B$5:$B$504,MATCH(A271,Maniobras!$A$5:$A$504,0)),""))</f>
        <v/>
      </c>
      <c r="C271" t="str">
        <f t="shared" si="8"/>
        <v/>
      </c>
      <c r="D271" t="str">
        <f>IF(A271="","",IFERROR(INDEX(Maniobras!$D$5:$D$504,MATCH(A271,Maniobras!$A$5:$A$504,0)),""))</f>
        <v/>
      </c>
      <c r="F271" s="29" t="str">
        <f>IF(A271="","",IFERROR(INDEX(Maniobras!$K$5:$K$504,MATCH(A271,Maniobras!$A$5:$A$504,0)),""))</f>
        <v/>
      </c>
      <c r="G271" s="29"/>
      <c r="H271" s="29"/>
      <c r="I271" s="29" t="str">
        <f t="shared" si="9"/>
        <v/>
      </c>
      <c r="K271" s="30"/>
      <c r="M271" t="str">
        <f>IF($A271=Ficha!$B$3,COUNTIF($A$5:$A271,Ficha!$B$3),"")</f>
        <v/>
      </c>
    </row>
    <row r="272" spans="2:13" x14ac:dyDescent="0.3">
      <c r="B272" s="30" t="str">
        <f>IF(A272="","",IFERROR(INDEX(Maniobras!$B$5:$B$504,MATCH(A272,Maniobras!$A$5:$A$504,0)),""))</f>
        <v/>
      </c>
      <c r="C272" t="str">
        <f t="shared" si="8"/>
        <v/>
      </c>
      <c r="D272" t="str">
        <f>IF(A272="","",IFERROR(INDEX(Maniobras!$D$5:$D$504,MATCH(A272,Maniobras!$A$5:$A$504,0)),""))</f>
        <v/>
      </c>
      <c r="F272" s="29" t="str">
        <f>IF(A272="","",IFERROR(INDEX(Maniobras!$K$5:$K$504,MATCH(A272,Maniobras!$A$5:$A$504,0)),""))</f>
        <v/>
      </c>
      <c r="G272" s="29"/>
      <c r="H272" s="29"/>
      <c r="I272" s="29" t="str">
        <f t="shared" si="9"/>
        <v/>
      </c>
      <c r="K272" s="30"/>
      <c r="M272" t="str">
        <f>IF($A272=Ficha!$B$3,COUNTIF($A$5:$A272,Ficha!$B$3),"")</f>
        <v/>
      </c>
    </row>
    <row r="273" spans="2:13" x14ac:dyDescent="0.3">
      <c r="B273" s="30" t="str">
        <f>IF(A273="","",IFERROR(INDEX(Maniobras!$B$5:$B$504,MATCH(A273,Maniobras!$A$5:$A$504,0)),""))</f>
        <v/>
      </c>
      <c r="C273" t="str">
        <f t="shared" si="8"/>
        <v/>
      </c>
      <c r="D273" t="str">
        <f>IF(A273="","",IFERROR(INDEX(Maniobras!$D$5:$D$504,MATCH(A273,Maniobras!$A$5:$A$504,0)),""))</f>
        <v/>
      </c>
      <c r="F273" s="29" t="str">
        <f>IF(A273="","",IFERROR(INDEX(Maniobras!$K$5:$K$504,MATCH(A273,Maniobras!$A$5:$A$504,0)),""))</f>
        <v/>
      </c>
      <c r="G273" s="29"/>
      <c r="H273" s="29"/>
      <c r="I273" s="29" t="str">
        <f t="shared" si="9"/>
        <v/>
      </c>
      <c r="K273" s="30"/>
      <c r="M273" t="str">
        <f>IF($A273=Ficha!$B$3,COUNTIF($A$5:$A273,Ficha!$B$3),"")</f>
        <v/>
      </c>
    </row>
    <row r="274" spans="2:13" x14ac:dyDescent="0.3">
      <c r="B274" s="30" t="str">
        <f>IF(A274="","",IFERROR(INDEX(Maniobras!$B$5:$B$504,MATCH(A274,Maniobras!$A$5:$A$504,0)),""))</f>
        <v/>
      </c>
      <c r="C274" t="str">
        <f t="shared" si="8"/>
        <v/>
      </c>
      <c r="D274" t="str">
        <f>IF(A274="","",IFERROR(INDEX(Maniobras!$D$5:$D$504,MATCH(A274,Maniobras!$A$5:$A$504,0)),""))</f>
        <v/>
      </c>
      <c r="F274" s="29" t="str">
        <f>IF(A274="","",IFERROR(INDEX(Maniobras!$K$5:$K$504,MATCH(A274,Maniobras!$A$5:$A$504,0)),""))</f>
        <v/>
      </c>
      <c r="G274" s="29"/>
      <c r="H274" s="29"/>
      <c r="I274" s="29" t="str">
        <f t="shared" si="9"/>
        <v/>
      </c>
      <c r="K274" s="30"/>
      <c r="M274" t="str">
        <f>IF($A274=Ficha!$B$3,COUNTIF($A$5:$A274,Ficha!$B$3),"")</f>
        <v/>
      </c>
    </row>
    <row r="275" spans="2:13" x14ac:dyDescent="0.3">
      <c r="B275" s="30" t="str">
        <f>IF(A275="","",IFERROR(INDEX(Maniobras!$B$5:$B$504,MATCH(A275,Maniobras!$A$5:$A$504,0)),""))</f>
        <v/>
      </c>
      <c r="C275" t="str">
        <f t="shared" si="8"/>
        <v/>
      </c>
      <c r="D275" t="str">
        <f>IF(A275="","",IFERROR(INDEX(Maniobras!$D$5:$D$504,MATCH(A275,Maniobras!$A$5:$A$504,0)),""))</f>
        <v/>
      </c>
      <c r="F275" s="29" t="str">
        <f>IF(A275="","",IFERROR(INDEX(Maniobras!$K$5:$K$504,MATCH(A275,Maniobras!$A$5:$A$504,0)),""))</f>
        <v/>
      </c>
      <c r="G275" s="29"/>
      <c r="H275" s="29"/>
      <c r="I275" s="29" t="str">
        <f t="shared" si="9"/>
        <v/>
      </c>
      <c r="K275" s="30"/>
      <c r="M275" t="str">
        <f>IF($A275=Ficha!$B$3,COUNTIF($A$5:$A275,Ficha!$B$3),"")</f>
        <v/>
      </c>
    </row>
    <row r="276" spans="2:13" x14ac:dyDescent="0.3">
      <c r="B276" s="30" t="str">
        <f>IF(A276="","",IFERROR(INDEX(Maniobras!$B$5:$B$504,MATCH(A276,Maniobras!$A$5:$A$504,0)),""))</f>
        <v/>
      </c>
      <c r="C276" t="str">
        <f t="shared" si="8"/>
        <v/>
      </c>
      <c r="D276" t="str">
        <f>IF(A276="","",IFERROR(INDEX(Maniobras!$D$5:$D$504,MATCH(A276,Maniobras!$A$5:$A$504,0)),""))</f>
        <v/>
      </c>
      <c r="F276" s="29" t="str">
        <f>IF(A276="","",IFERROR(INDEX(Maniobras!$K$5:$K$504,MATCH(A276,Maniobras!$A$5:$A$504,0)),""))</f>
        <v/>
      </c>
      <c r="G276" s="29"/>
      <c r="H276" s="29"/>
      <c r="I276" s="29" t="str">
        <f t="shared" si="9"/>
        <v/>
      </c>
      <c r="K276" s="30"/>
      <c r="M276" t="str">
        <f>IF($A276=Ficha!$B$3,COUNTIF($A$5:$A276,Ficha!$B$3),"")</f>
        <v/>
      </c>
    </row>
    <row r="277" spans="2:13" x14ac:dyDescent="0.3">
      <c r="B277" s="30" t="str">
        <f>IF(A277="","",IFERROR(INDEX(Maniobras!$B$5:$B$504,MATCH(A277,Maniobras!$A$5:$A$504,0)),""))</f>
        <v/>
      </c>
      <c r="C277" t="str">
        <f t="shared" si="8"/>
        <v/>
      </c>
      <c r="D277" t="str">
        <f>IF(A277="","",IFERROR(INDEX(Maniobras!$D$5:$D$504,MATCH(A277,Maniobras!$A$5:$A$504,0)),""))</f>
        <v/>
      </c>
      <c r="F277" s="29" t="str">
        <f>IF(A277="","",IFERROR(INDEX(Maniobras!$K$5:$K$504,MATCH(A277,Maniobras!$A$5:$A$504,0)),""))</f>
        <v/>
      </c>
      <c r="G277" s="29"/>
      <c r="H277" s="29"/>
      <c r="I277" s="29" t="str">
        <f t="shared" si="9"/>
        <v/>
      </c>
      <c r="K277" s="30"/>
      <c r="M277" t="str">
        <f>IF($A277=Ficha!$B$3,COUNTIF($A$5:$A277,Ficha!$B$3),"")</f>
        <v/>
      </c>
    </row>
    <row r="278" spans="2:13" x14ac:dyDescent="0.3">
      <c r="B278" s="30" t="str">
        <f>IF(A278="","",IFERROR(INDEX(Maniobras!$B$5:$B$504,MATCH(A278,Maniobras!$A$5:$A$504,0)),""))</f>
        <v/>
      </c>
      <c r="C278" t="str">
        <f t="shared" si="8"/>
        <v/>
      </c>
      <c r="D278" t="str">
        <f>IF(A278="","",IFERROR(INDEX(Maniobras!$D$5:$D$504,MATCH(A278,Maniobras!$A$5:$A$504,0)),""))</f>
        <v/>
      </c>
      <c r="F278" s="29" t="str">
        <f>IF(A278="","",IFERROR(INDEX(Maniobras!$K$5:$K$504,MATCH(A278,Maniobras!$A$5:$A$504,0)),""))</f>
        <v/>
      </c>
      <c r="G278" s="29"/>
      <c r="H278" s="29"/>
      <c r="I278" s="29" t="str">
        <f t="shared" si="9"/>
        <v/>
      </c>
      <c r="K278" s="30"/>
      <c r="M278" t="str">
        <f>IF($A278=Ficha!$B$3,COUNTIF($A$5:$A278,Ficha!$B$3),"")</f>
        <v/>
      </c>
    </row>
    <row r="279" spans="2:13" x14ac:dyDescent="0.3">
      <c r="B279" s="30" t="str">
        <f>IF(A279="","",IFERROR(INDEX(Maniobras!$B$5:$B$504,MATCH(A279,Maniobras!$A$5:$A$504,0)),""))</f>
        <v/>
      </c>
      <c r="C279" t="str">
        <f t="shared" si="8"/>
        <v/>
      </c>
      <c r="D279" t="str">
        <f>IF(A279="","",IFERROR(INDEX(Maniobras!$D$5:$D$504,MATCH(A279,Maniobras!$A$5:$A$504,0)),""))</f>
        <v/>
      </c>
      <c r="F279" s="29" t="str">
        <f>IF(A279="","",IFERROR(INDEX(Maniobras!$K$5:$K$504,MATCH(A279,Maniobras!$A$5:$A$504,0)),""))</f>
        <v/>
      </c>
      <c r="G279" s="29"/>
      <c r="H279" s="29"/>
      <c r="I279" s="29" t="str">
        <f t="shared" si="9"/>
        <v/>
      </c>
      <c r="K279" s="30"/>
      <c r="M279" t="str">
        <f>IF($A279=Ficha!$B$3,COUNTIF($A$5:$A279,Ficha!$B$3),"")</f>
        <v/>
      </c>
    </row>
    <row r="280" spans="2:13" x14ac:dyDescent="0.3">
      <c r="B280" s="30" t="str">
        <f>IF(A280="","",IFERROR(INDEX(Maniobras!$B$5:$B$504,MATCH(A280,Maniobras!$A$5:$A$504,0)),""))</f>
        <v/>
      </c>
      <c r="C280" t="str">
        <f t="shared" si="8"/>
        <v/>
      </c>
      <c r="D280" t="str">
        <f>IF(A280="","",IFERROR(INDEX(Maniobras!$D$5:$D$504,MATCH(A280,Maniobras!$A$5:$A$504,0)),""))</f>
        <v/>
      </c>
      <c r="F280" s="29" t="str">
        <f>IF(A280="","",IFERROR(INDEX(Maniobras!$K$5:$K$504,MATCH(A280,Maniobras!$A$5:$A$504,0)),""))</f>
        <v/>
      </c>
      <c r="G280" s="29"/>
      <c r="H280" s="29"/>
      <c r="I280" s="29" t="str">
        <f t="shared" si="9"/>
        <v/>
      </c>
      <c r="K280" s="30"/>
      <c r="M280" t="str">
        <f>IF($A280=Ficha!$B$3,COUNTIF($A$5:$A280,Ficha!$B$3),"")</f>
        <v/>
      </c>
    </row>
    <row r="281" spans="2:13" x14ac:dyDescent="0.3">
      <c r="B281" s="30" t="str">
        <f>IF(A281="","",IFERROR(INDEX(Maniobras!$B$5:$B$504,MATCH(A281,Maniobras!$A$5:$A$504,0)),""))</f>
        <v/>
      </c>
      <c r="C281" t="str">
        <f t="shared" si="8"/>
        <v/>
      </c>
      <c r="D281" t="str">
        <f>IF(A281="","",IFERROR(INDEX(Maniobras!$D$5:$D$504,MATCH(A281,Maniobras!$A$5:$A$504,0)),""))</f>
        <v/>
      </c>
      <c r="F281" s="29" t="str">
        <f>IF(A281="","",IFERROR(INDEX(Maniobras!$K$5:$K$504,MATCH(A281,Maniobras!$A$5:$A$504,0)),""))</f>
        <v/>
      </c>
      <c r="G281" s="29"/>
      <c r="H281" s="29"/>
      <c r="I281" s="29" t="str">
        <f t="shared" si="9"/>
        <v/>
      </c>
      <c r="K281" s="30"/>
      <c r="M281" t="str">
        <f>IF($A281=Ficha!$B$3,COUNTIF($A$5:$A281,Ficha!$B$3),"")</f>
        <v/>
      </c>
    </row>
    <row r="282" spans="2:13" x14ac:dyDescent="0.3">
      <c r="B282" s="30" t="str">
        <f>IF(A282="","",IFERROR(INDEX(Maniobras!$B$5:$B$504,MATCH(A282,Maniobras!$A$5:$A$504,0)),""))</f>
        <v/>
      </c>
      <c r="C282" t="str">
        <f t="shared" si="8"/>
        <v/>
      </c>
      <c r="D282" t="str">
        <f>IF(A282="","",IFERROR(INDEX(Maniobras!$D$5:$D$504,MATCH(A282,Maniobras!$A$5:$A$504,0)),""))</f>
        <v/>
      </c>
      <c r="F282" s="29" t="str">
        <f>IF(A282="","",IFERROR(INDEX(Maniobras!$K$5:$K$504,MATCH(A282,Maniobras!$A$5:$A$504,0)),""))</f>
        <v/>
      </c>
      <c r="G282" s="29"/>
      <c r="H282" s="29"/>
      <c r="I282" s="29" t="str">
        <f t="shared" si="9"/>
        <v/>
      </c>
      <c r="K282" s="30"/>
      <c r="M282" t="str">
        <f>IF($A282=Ficha!$B$3,COUNTIF($A$5:$A282,Ficha!$B$3),"")</f>
        <v/>
      </c>
    </row>
    <row r="283" spans="2:13" x14ac:dyDescent="0.3">
      <c r="B283" s="30" t="str">
        <f>IF(A283="","",IFERROR(INDEX(Maniobras!$B$5:$B$504,MATCH(A283,Maniobras!$A$5:$A$504,0)),""))</f>
        <v/>
      </c>
      <c r="C283" t="str">
        <f t="shared" si="8"/>
        <v/>
      </c>
      <c r="D283" t="str">
        <f>IF(A283="","",IFERROR(INDEX(Maniobras!$D$5:$D$504,MATCH(A283,Maniobras!$A$5:$A$504,0)),""))</f>
        <v/>
      </c>
      <c r="F283" s="29" t="str">
        <f>IF(A283="","",IFERROR(INDEX(Maniobras!$K$5:$K$504,MATCH(A283,Maniobras!$A$5:$A$504,0)),""))</f>
        <v/>
      </c>
      <c r="G283" s="29"/>
      <c r="H283" s="29"/>
      <c r="I283" s="29" t="str">
        <f t="shared" si="9"/>
        <v/>
      </c>
      <c r="K283" s="30"/>
      <c r="M283" t="str">
        <f>IF($A283=Ficha!$B$3,COUNTIF($A$5:$A283,Ficha!$B$3),"")</f>
        <v/>
      </c>
    </row>
    <row r="284" spans="2:13" x14ac:dyDescent="0.3">
      <c r="B284" s="30" t="str">
        <f>IF(A284="","",IFERROR(INDEX(Maniobras!$B$5:$B$504,MATCH(A284,Maniobras!$A$5:$A$504,0)),""))</f>
        <v/>
      </c>
      <c r="C284" t="str">
        <f t="shared" si="8"/>
        <v/>
      </c>
      <c r="D284" t="str">
        <f>IF(A284="","",IFERROR(INDEX(Maniobras!$D$5:$D$504,MATCH(A284,Maniobras!$A$5:$A$504,0)),""))</f>
        <v/>
      </c>
      <c r="F284" s="29" t="str">
        <f>IF(A284="","",IFERROR(INDEX(Maniobras!$K$5:$K$504,MATCH(A284,Maniobras!$A$5:$A$504,0)),""))</f>
        <v/>
      </c>
      <c r="G284" s="29"/>
      <c r="H284" s="29"/>
      <c r="I284" s="29" t="str">
        <f t="shared" si="9"/>
        <v/>
      </c>
      <c r="K284" s="30"/>
      <c r="M284" t="str">
        <f>IF($A284=Ficha!$B$3,COUNTIF($A$5:$A284,Ficha!$B$3),"")</f>
        <v/>
      </c>
    </row>
    <row r="285" spans="2:13" x14ac:dyDescent="0.3">
      <c r="B285" s="30" t="str">
        <f>IF(A285="","",IFERROR(INDEX(Maniobras!$B$5:$B$504,MATCH(A285,Maniobras!$A$5:$A$504,0)),""))</f>
        <v/>
      </c>
      <c r="C285" t="str">
        <f t="shared" si="8"/>
        <v/>
      </c>
      <c r="D285" t="str">
        <f>IF(A285="","",IFERROR(INDEX(Maniobras!$D$5:$D$504,MATCH(A285,Maniobras!$A$5:$A$504,0)),""))</f>
        <v/>
      </c>
      <c r="F285" s="29" t="str">
        <f>IF(A285="","",IFERROR(INDEX(Maniobras!$K$5:$K$504,MATCH(A285,Maniobras!$A$5:$A$504,0)),""))</f>
        <v/>
      </c>
      <c r="G285" s="29"/>
      <c r="H285" s="29"/>
      <c r="I285" s="29" t="str">
        <f t="shared" si="9"/>
        <v/>
      </c>
      <c r="K285" s="30"/>
      <c r="M285" t="str">
        <f>IF($A285=Ficha!$B$3,COUNTIF($A$5:$A285,Ficha!$B$3),"")</f>
        <v/>
      </c>
    </row>
    <row r="286" spans="2:13" x14ac:dyDescent="0.3">
      <c r="B286" s="30" t="str">
        <f>IF(A286="","",IFERROR(INDEX(Maniobras!$B$5:$B$504,MATCH(A286,Maniobras!$A$5:$A$504,0)),""))</f>
        <v/>
      </c>
      <c r="C286" t="str">
        <f t="shared" si="8"/>
        <v/>
      </c>
      <c r="D286" t="str">
        <f>IF(A286="","",IFERROR(INDEX(Maniobras!$D$5:$D$504,MATCH(A286,Maniobras!$A$5:$A$504,0)),""))</f>
        <v/>
      </c>
      <c r="F286" s="29" t="str">
        <f>IF(A286="","",IFERROR(INDEX(Maniobras!$K$5:$K$504,MATCH(A286,Maniobras!$A$5:$A$504,0)),""))</f>
        <v/>
      </c>
      <c r="G286" s="29"/>
      <c r="H286" s="29"/>
      <c r="I286" s="29" t="str">
        <f t="shared" si="9"/>
        <v/>
      </c>
      <c r="K286" s="30"/>
      <c r="M286" t="str">
        <f>IF($A286=Ficha!$B$3,COUNTIF($A$5:$A286,Ficha!$B$3),"")</f>
        <v/>
      </c>
    </row>
    <row r="287" spans="2:13" x14ac:dyDescent="0.3">
      <c r="B287" s="30" t="str">
        <f>IF(A287="","",IFERROR(INDEX(Maniobras!$B$5:$B$504,MATCH(A287,Maniobras!$A$5:$A$504,0)),""))</f>
        <v/>
      </c>
      <c r="C287" t="str">
        <f t="shared" si="8"/>
        <v/>
      </c>
      <c r="D287" t="str">
        <f>IF(A287="","",IFERROR(INDEX(Maniobras!$D$5:$D$504,MATCH(A287,Maniobras!$A$5:$A$504,0)),""))</f>
        <v/>
      </c>
      <c r="F287" s="29" t="str">
        <f>IF(A287="","",IFERROR(INDEX(Maniobras!$K$5:$K$504,MATCH(A287,Maniobras!$A$5:$A$504,0)),""))</f>
        <v/>
      </c>
      <c r="G287" s="29"/>
      <c r="H287" s="29"/>
      <c r="I287" s="29" t="str">
        <f t="shared" si="9"/>
        <v/>
      </c>
      <c r="K287" s="30"/>
      <c r="M287" t="str">
        <f>IF($A287=Ficha!$B$3,COUNTIF($A$5:$A287,Ficha!$B$3),"")</f>
        <v/>
      </c>
    </row>
    <row r="288" spans="2:13" x14ac:dyDescent="0.3">
      <c r="B288" s="30" t="str">
        <f>IF(A288="","",IFERROR(INDEX(Maniobras!$B$5:$B$504,MATCH(A288,Maniobras!$A$5:$A$504,0)),""))</f>
        <v/>
      </c>
      <c r="C288" t="str">
        <f t="shared" si="8"/>
        <v/>
      </c>
      <c r="D288" t="str">
        <f>IF(A288="","",IFERROR(INDEX(Maniobras!$D$5:$D$504,MATCH(A288,Maniobras!$A$5:$A$504,0)),""))</f>
        <v/>
      </c>
      <c r="F288" s="29" t="str">
        <f>IF(A288="","",IFERROR(INDEX(Maniobras!$K$5:$K$504,MATCH(A288,Maniobras!$A$5:$A$504,0)),""))</f>
        <v/>
      </c>
      <c r="G288" s="29"/>
      <c r="H288" s="29"/>
      <c r="I288" s="29" t="str">
        <f t="shared" si="9"/>
        <v/>
      </c>
      <c r="K288" s="30"/>
      <c r="M288" t="str">
        <f>IF($A288=Ficha!$B$3,COUNTIF($A$5:$A288,Ficha!$B$3),"")</f>
        <v/>
      </c>
    </row>
    <row r="289" spans="2:13" x14ac:dyDescent="0.3">
      <c r="B289" s="30" t="str">
        <f>IF(A289="","",IFERROR(INDEX(Maniobras!$B$5:$B$504,MATCH(A289,Maniobras!$A$5:$A$504,0)),""))</f>
        <v/>
      </c>
      <c r="C289" t="str">
        <f t="shared" si="8"/>
        <v/>
      </c>
      <c r="D289" t="str">
        <f>IF(A289="","",IFERROR(INDEX(Maniobras!$D$5:$D$504,MATCH(A289,Maniobras!$A$5:$A$504,0)),""))</f>
        <v/>
      </c>
      <c r="F289" s="29" t="str">
        <f>IF(A289="","",IFERROR(INDEX(Maniobras!$K$5:$K$504,MATCH(A289,Maniobras!$A$5:$A$504,0)),""))</f>
        <v/>
      </c>
      <c r="G289" s="29"/>
      <c r="H289" s="29"/>
      <c r="I289" s="29" t="str">
        <f t="shared" si="9"/>
        <v/>
      </c>
      <c r="K289" s="30"/>
      <c r="M289" t="str">
        <f>IF($A289=Ficha!$B$3,COUNTIF($A$5:$A289,Ficha!$B$3),"")</f>
        <v/>
      </c>
    </row>
    <row r="290" spans="2:13" x14ac:dyDescent="0.3">
      <c r="B290" s="30" t="str">
        <f>IF(A290="","",IFERROR(INDEX(Maniobras!$B$5:$B$504,MATCH(A290,Maniobras!$A$5:$A$504,0)),""))</f>
        <v/>
      </c>
      <c r="C290" t="str">
        <f t="shared" si="8"/>
        <v/>
      </c>
      <c r="D290" t="str">
        <f>IF(A290="","",IFERROR(INDEX(Maniobras!$D$5:$D$504,MATCH(A290,Maniobras!$A$5:$A$504,0)),""))</f>
        <v/>
      </c>
      <c r="F290" s="29" t="str">
        <f>IF(A290="","",IFERROR(INDEX(Maniobras!$K$5:$K$504,MATCH(A290,Maniobras!$A$5:$A$504,0)),""))</f>
        <v/>
      </c>
      <c r="G290" s="29"/>
      <c r="H290" s="29"/>
      <c r="I290" s="29" t="str">
        <f t="shared" si="9"/>
        <v/>
      </c>
      <c r="K290" s="30"/>
      <c r="M290" t="str">
        <f>IF($A290=Ficha!$B$3,COUNTIF($A$5:$A290,Ficha!$B$3),"")</f>
        <v/>
      </c>
    </row>
    <row r="291" spans="2:13" x14ac:dyDescent="0.3">
      <c r="B291" s="30" t="str">
        <f>IF(A291="","",IFERROR(INDEX(Maniobras!$B$5:$B$504,MATCH(A291,Maniobras!$A$5:$A$504,0)),""))</f>
        <v/>
      </c>
      <c r="C291" t="str">
        <f t="shared" si="8"/>
        <v/>
      </c>
      <c r="D291" t="str">
        <f>IF(A291="","",IFERROR(INDEX(Maniobras!$D$5:$D$504,MATCH(A291,Maniobras!$A$5:$A$504,0)),""))</f>
        <v/>
      </c>
      <c r="F291" s="29" t="str">
        <f>IF(A291="","",IFERROR(INDEX(Maniobras!$K$5:$K$504,MATCH(A291,Maniobras!$A$5:$A$504,0)),""))</f>
        <v/>
      </c>
      <c r="G291" s="29"/>
      <c r="H291" s="29"/>
      <c r="I291" s="29" t="str">
        <f t="shared" si="9"/>
        <v/>
      </c>
      <c r="K291" s="30"/>
      <c r="M291" t="str">
        <f>IF($A291=Ficha!$B$3,COUNTIF($A$5:$A291,Ficha!$B$3),"")</f>
        <v/>
      </c>
    </row>
    <row r="292" spans="2:13" x14ac:dyDescent="0.3">
      <c r="B292" s="30" t="str">
        <f>IF(A292="","",IFERROR(INDEX(Maniobras!$B$5:$B$504,MATCH(A292,Maniobras!$A$5:$A$504,0)),""))</f>
        <v/>
      </c>
      <c r="C292" t="str">
        <f t="shared" si="8"/>
        <v/>
      </c>
      <c r="D292" t="str">
        <f>IF(A292="","",IFERROR(INDEX(Maniobras!$D$5:$D$504,MATCH(A292,Maniobras!$A$5:$A$504,0)),""))</f>
        <v/>
      </c>
      <c r="F292" s="29" t="str">
        <f>IF(A292="","",IFERROR(INDEX(Maniobras!$K$5:$K$504,MATCH(A292,Maniobras!$A$5:$A$504,0)),""))</f>
        <v/>
      </c>
      <c r="G292" s="29"/>
      <c r="H292" s="29"/>
      <c r="I292" s="29" t="str">
        <f t="shared" si="9"/>
        <v/>
      </c>
      <c r="K292" s="30"/>
      <c r="M292" t="str">
        <f>IF($A292=Ficha!$B$3,COUNTIF($A$5:$A292,Ficha!$B$3),"")</f>
        <v/>
      </c>
    </row>
    <row r="293" spans="2:13" x14ac:dyDescent="0.3">
      <c r="B293" s="30" t="str">
        <f>IF(A293="","",IFERROR(INDEX(Maniobras!$B$5:$B$504,MATCH(A293,Maniobras!$A$5:$A$504,0)),""))</f>
        <v/>
      </c>
      <c r="C293" t="str">
        <f t="shared" si="8"/>
        <v/>
      </c>
      <c r="D293" t="str">
        <f>IF(A293="","",IFERROR(INDEX(Maniobras!$D$5:$D$504,MATCH(A293,Maniobras!$A$5:$A$504,0)),""))</f>
        <v/>
      </c>
      <c r="F293" s="29" t="str">
        <f>IF(A293="","",IFERROR(INDEX(Maniobras!$K$5:$K$504,MATCH(A293,Maniobras!$A$5:$A$504,0)),""))</f>
        <v/>
      </c>
      <c r="G293" s="29"/>
      <c r="H293" s="29"/>
      <c r="I293" s="29" t="str">
        <f t="shared" si="9"/>
        <v/>
      </c>
      <c r="K293" s="30"/>
      <c r="M293" t="str">
        <f>IF($A293=Ficha!$B$3,COUNTIF($A$5:$A293,Ficha!$B$3),"")</f>
        <v/>
      </c>
    </row>
    <row r="294" spans="2:13" x14ac:dyDescent="0.3">
      <c r="B294" s="30" t="str">
        <f>IF(A294="","",IFERROR(INDEX(Maniobras!$B$5:$B$504,MATCH(A294,Maniobras!$A$5:$A$504,0)),""))</f>
        <v/>
      </c>
      <c r="C294" t="str">
        <f t="shared" si="8"/>
        <v/>
      </c>
      <c r="D294" t="str">
        <f>IF(A294="","",IFERROR(INDEX(Maniobras!$D$5:$D$504,MATCH(A294,Maniobras!$A$5:$A$504,0)),""))</f>
        <v/>
      </c>
      <c r="F294" s="29" t="str">
        <f>IF(A294="","",IFERROR(INDEX(Maniobras!$K$5:$K$504,MATCH(A294,Maniobras!$A$5:$A$504,0)),""))</f>
        <v/>
      </c>
      <c r="G294" s="29"/>
      <c r="H294" s="29"/>
      <c r="I294" s="29" t="str">
        <f t="shared" si="9"/>
        <v/>
      </c>
      <c r="K294" s="30"/>
      <c r="M294" t="str">
        <f>IF($A294=Ficha!$B$3,COUNTIF($A$5:$A294,Ficha!$B$3),"")</f>
        <v/>
      </c>
    </row>
    <row r="295" spans="2:13" x14ac:dyDescent="0.3">
      <c r="B295" s="30" t="str">
        <f>IF(A295="","",IFERROR(INDEX(Maniobras!$B$5:$B$504,MATCH(A295,Maniobras!$A$5:$A$504,0)),""))</f>
        <v/>
      </c>
      <c r="C295" t="str">
        <f t="shared" si="8"/>
        <v/>
      </c>
      <c r="D295" t="str">
        <f>IF(A295="","",IFERROR(INDEX(Maniobras!$D$5:$D$504,MATCH(A295,Maniobras!$A$5:$A$504,0)),""))</f>
        <v/>
      </c>
      <c r="F295" s="29" t="str">
        <f>IF(A295="","",IFERROR(INDEX(Maniobras!$K$5:$K$504,MATCH(A295,Maniobras!$A$5:$A$504,0)),""))</f>
        <v/>
      </c>
      <c r="G295" s="29"/>
      <c r="H295" s="29"/>
      <c r="I295" s="29" t="str">
        <f t="shared" si="9"/>
        <v/>
      </c>
      <c r="K295" s="30"/>
      <c r="M295" t="str">
        <f>IF($A295=Ficha!$B$3,COUNTIF($A$5:$A295,Ficha!$B$3),"")</f>
        <v/>
      </c>
    </row>
    <row r="296" spans="2:13" x14ac:dyDescent="0.3">
      <c r="B296" s="30" t="str">
        <f>IF(A296="","",IFERROR(INDEX(Maniobras!$B$5:$B$504,MATCH(A296,Maniobras!$A$5:$A$504,0)),""))</f>
        <v/>
      </c>
      <c r="C296" t="str">
        <f t="shared" si="8"/>
        <v/>
      </c>
      <c r="D296" t="str">
        <f>IF(A296="","",IFERROR(INDEX(Maniobras!$D$5:$D$504,MATCH(A296,Maniobras!$A$5:$A$504,0)),""))</f>
        <v/>
      </c>
      <c r="F296" s="29" t="str">
        <f>IF(A296="","",IFERROR(INDEX(Maniobras!$K$5:$K$504,MATCH(A296,Maniobras!$A$5:$A$504,0)),""))</f>
        <v/>
      </c>
      <c r="G296" s="29"/>
      <c r="H296" s="29"/>
      <c r="I296" s="29" t="str">
        <f t="shared" si="9"/>
        <v/>
      </c>
      <c r="K296" s="30"/>
      <c r="M296" t="str">
        <f>IF($A296=Ficha!$B$3,COUNTIF($A$5:$A296,Ficha!$B$3),"")</f>
        <v/>
      </c>
    </row>
    <row r="297" spans="2:13" x14ac:dyDescent="0.3">
      <c r="B297" s="30" t="str">
        <f>IF(A297="","",IFERROR(INDEX(Maniobras!$B$5:$B$504,MATCH(A297,Maniobras!$A$5:$A$504,0)),""))</f>
        <v/>
      </c>
      <c r="C297" t="str">
        <f t="shared" si="8"/>
        <v/>
      </c>
      <c r="D297" t="str">
        <f>IF(A297="","",IFERROR(INDEX(Maniobras!$D$5:$D$504,MATCH(A297,Maniobras!$A$5:$A$504,0)),""))</f>
        <v/>
      </c>
      <c r="F297" s="29" t="str">
        <f>IF(A297="","",IFERROR(INDEX(Maniobras!$K$5:$K$504,MATCH(A297,Maniobras!$A$5:$A$504,0)),""))</f>
        <v/>
      </c>
      <c r="G297" s="29"/>
      <c r="H297" s="29"/>
      <c r="I297" s="29" t="str">
        <f t="shared" si="9"/>
        <v/>
      </c>
      <c r="K297" s="30"/>
      <c r="M297" t="str">
        <f>IF($A297=Ficha!$B$3,COUNTIF($A$5:$A297,Ficha!$B$3),"")</f>
        <v/>
      </c>
    </row>
    <row r="298" spans="2:13" x14ac:dyDescent="0.3">
      <c r="B298" s="30" t="str">
        <f>IF(A298="","",IFERROR(INDEX(Maniobras!$B$5:$B$504,MATCH(A298,Maniobras!$A$5:$A$504,0)),""))</f>
        <v/>
      </c>
      <c r="C298" t="str">
        <f t="shared" si="8"/>
        <v/>
      </c>
      <c r="D298" t="str">
        <f>IF(A298="","",IFERROR(INDEX(Maniobras!$D$5:$D$504,MATCH(A298,Maniobras!$A$5:$A$504,0)),""))</f>
        <v/>
      </c>
      <c r="F298" s="29" t="str">
        <f>IF(A298="","",IFERROR(INDEX(Maniobras!$K$5:$K$504,MATCH(A298,Maniobras!$A$5:$A$504,0)),""))</f>
        <v/>
      </c>
      <c r="G298" s="29"/>
      <c r="H298" s="29"/>
      <c r="I298" s="29" t="str">
        <f t="shared" si="9"/>
        <v/>
      </c>
      <c r="K298" s="30"/>
      <c r="M298" t="str">
        <f>IF($A298=Ficha!$B$3,COUNTIF($A$5:$A298,Ficha!$B$3),"")</f>
        <v/>
      </c>
    </row>
    <row r="299" spans="2:13" x14ac:dyDescent="0.3">
      <c r="B299" s="30" t="str">
        <f>IF(A299="","",IFERROR(INDEX(Maniobras!$B$5:$B$504,MATCH(A299,Maniobras!$A$5:$A$504,0)),""))</f>
        <v/>
      </c>
      <c r="C299" t="str">
        <f t="shared" si="8"/>
        <v/>
      </c>
      <c r="D299" t="str">
        <f>IF(A299="","",IFERROR(INDEX(Maniobras!$D$5:$D$504,MATCH(A299,Maniobras!$A$5:$A$504,0)),""))</f>
        <v/>
      </c>
      <c r="F299" s="29" t="str">
        <f>IF(A299="","",IFERROR(INDEX(Maniobras!$K$5:$K$504,MATCH(A299,Maniobras!$A$5:$A$504,0)),""))</f>
        <v/>
      </c>
      <c r="G299" s="29"/>
      <c r="H299" s="29"/>
      <c r="I299" s="29" t="str">
        <f t="shared" si="9"/>
        <v/>
      </c>
      <c r="K299" s="30"/>
      <c r="M299" t="str">
        <f>IF($A299=Ficha!$B$3,COUNTIF($A$5:$A299,Ficha!$B$3),"")</f>
        <v/>
      </c>
    </row>
    <row r="300" spans="2:13" x14ac:dyDescent="0.3">
      <c r="B300" s="30" t="str">
        <f>IF(A300="","",IFERROR(INDEX(Maniobras!$B$5:$B$504,MATCH(A300,Maniobras!$A$5:$A$504,0)),""))</f>
        <v/>
      </c>
      <c r="C300" t="str">
        <f t="shared" si="8"/>
        <v/>
      </c>
      <c r="D300" t="str">
        <f>IF(A300="","",IFERROR(INDEX(Maniobras!$D$5:$D$504,MATCH(A300,Maniobras!$A$5:$A$504,0)),""))</f>
        <v/>
      </c>
      <c r="F300" s="29" t="str">
        <f>IF(A300="","",IFERROR(INDEX(Maniobras!$K$5:$K$504,MATCH(A300,Maniobras!$A$5:$A$504,0)),""))</f>
        <v/>
      </c>
      <c r="G300" s="29"/>
      <c r="H300" s="29"/>
      <c r="I300" s="29" t="str">
        <f t="shared" si="9"/>
        <v/>
      </c>
      <c r="K300" s="30"/>
      <c r="M300" t="str">
        <f>IF($A300=Ficha!$B$3,COUNTIF($A$5:$A300,Ficha!$B$3),"")</f>
        <v/>
      </c>
    </row>
    <row r="301" spans="2:13" x14ac:dyDescent="0.3">
      <c r="B301" s="30" t="str">
        <f>IF(A301="","",IFERROR(INDEX(Maniobras!$B$5:$B$504,MATCH(A301,Maniobras!$A$5:$A$504,0)),""))</f>
        <v/>
      </c>
      <c r="C301" t="str">
        <f t="shared" si="8"/>
        <v/>
      </c>
      <c r="D301" t="str">
        <f>IF(A301="","",IFERROR(INDEX(Maniobras!$D$5:$D$504,MATCH(A301,Maniobras!$A$5:$A$504,0)),""))</f>
        <v/>
      </c>
      <c r="F301" s="29" t="str">
        <f>IF(A301="","",IFERROR(INDEX(Maniobras!$K$5:$K$504,MATCH(A301,Maniobras!$A$5:$A$504,0)),""))</f>
        <v/>
      </c>
      <c r="G301" s="29"/>
      <c r="H301" s="29"/>
      <c r="I301" s="29" t="str">
        <f t="shared" si="9"/>
        <v/>
      </c>
      <c r="K301" s="30"/>
      <c r="M301" t="str">
        <f>IF($A301=Ficha!$B$3,COUNTIF($A$5:$A301,Ficha!$B$3),"")</f>
        <v/>
      </c>
    </row>
    <row r="302" spans="2:13" x14ac:dyDescent="0.3">
      <c r="B302" s="30" t="str">
        <f>IF(A302="","",IFERROR(INDEX(Maniobras!$B$5:$B$504,MATCH(A302,Maniobras!$A$5:$A$504,0)),""))</f>
        <v/>
      </c>
      <c r="C302" t="str">
        <f t="shared" si="8"/>
        <v/>
      </c>
      <c r="D302" t="str">
        <f>IF(A302="","",IFERROR(INDEX(Maniobras!$D$5:$D$504,MATCH(A302,Maniobras!$A$5:$A$504,0)),""))</f>
        <v/>
      </c>
      <c r="F302" s="29" t="str">
        <f>IF(A302="","",IFERROR(INDEX(Maniobras!$K$5:$K$504,MATCH(A302,Maniobras!$A$5:$A$504,0)),""))</f>
        <v/>
      </c>
      <c r="G302" s="29"/>
      <c r="H302" s="29"/>
      <c r="I302" s="29" t="str">
        <f t="shared" si="9"/>
        <v/>
      </c>
      <c r="K302" s="30"/>
      <c r="M302" t="str">
        <f>IF($A302=Ficha!$B$3,COUNTIF($A$5:$A302,Ficha!$B$3),"")</f>
        <v/>
      </c>
    </row>
    <row r="303" spans="2:13" x14ac:dyDescent="0.3">
      <c r="B303" s="30" t="str">
        <f>IF(A303="","",IFERROR(INDEX(Maniobras!$B$5:$B$504,MATCH(A303,Maniobras!$A$5:$A$504,0)),""))</f>
        <v/>
      </c>
      <c r="C303" t="str">
        <f t="shared" si="8"/>
        <v/>
      </c>
      <c r="D303" t="str">
        <f>IF(A303="","",IFERROR(INDEX(Maniobras!$D$5:$D$504,MATCH(A303,Maniobras!$A$5:$A$504,0)),""))</f>
        <v/>
      </c>
      <c r="F303" s="29" t="str">
        <f>IF(A303="","",IFERROR(INDEX(Maniobras!$K$5:$K$504,MATCH(A303,Maniobras!$A$5:$A$504,0)),""))</f>
        <v/>
      </c>
      <c r="G303" s="29"/>
      <c r="H303" s="29"/>
      <c r="I303" s="29" t="str">
        <f t="shared" si="9"/>
        <v/>
      </c>
      <c r="K303" s="30"/>
      <c r="M303" t="str">
        <f>IF($A303=Ficha!$B$3,COUNTIF($A$5:$A303,Ficha!$B$3),"")</f>
        <v/>
      </c>
    </row>
    <row r="304" spans="2:13" x14ac:dyDescent="0.3">
      <c r="B304" s="30" t="str">
        <f>IF(A304="","",IFERROR(INDEX(Maniobras!$B$5:$B$504,MATCH(A304,Maniobras!$A$5:$A$504,0)),""))</f>
        <v/>
      </c>
      <c r="C304" t="str">
        <f t="shared" si="8"/>
        <v/>
      </c>
      <c r="D304" t="str">
        <f>IF(A304="","",IFERROR(INDEX(Maniobras!$D$5:$D$504,MATCH(A304,Maniobras!$A$5:$A$504,0)),""))</f>
        <v/>
      </c>
      <c r="F304" s="29" t="str">
        <f>IF(A304="","",IFERROR(INDEX(Maniobras!$K$5:$K$504,MATCH(A304,Maniobras!$A$5:$A$504,0)),""))</f>
        <v/>
      </c>
      <c r="G304" s="29"/>
      <c r="H304" s="29"/>
      <c r="I304" s="29" t="str">
        <f t="shared" si="9"/>
        <v/>
      </c>
      <c r="K304" s="30"/>
      <c r="M304" t="str">
        <f>IF($A304=Ficha!$B$3,COUNTIF($A$5:$A304,Ficha!$B$3),"")</f>
        <v/>
      </c>
    </row>
    <row r="305" spans="2:13" x14ac:dyDescent="0.3">
      <c r="B305" s="30" t="str">
        <f>IF(A305="","",IFERROR(INDEX(Maniobras!$B$5:$B$504,MATCH(A305,Maniobras!$A$5:$A$504,0)),""))</f>
        <v/>
      </c>
      <c r="C305" t="str">
        <f t="shared" si="8"/>
        <v/>
      </c>
      <c r="D305" t="str">
        <f>IF(A305="","",IFERROR(INDEX(Maniobras!$D$5:$D$504,MATCH(A305,Maniobras!$A$5:$A$504,0)),""))</f>
        <v/>
      </c>
      <c r="F305" s="29" t="str">
        <f>IF(A305="","",IFERROR(INDEX(Maniobras!$K$5:$K$504,MATCH(A305,Maniobras!$A$5:$A$504,0)),""))</f>
        <v/>
      </c>
      <c r="G305" s="29"/>
      <c r="H305" s="29"/>
      <c r="I305" s="29" t="str">
        <f t="shared" si="9"/>
        <v/>
      </c>
      <c r="K305" s="30"/>
      <c r="M305" t="str">
        <f>IF($A305=Ficha!$B$3,COUNTIF($A$5:$A305,Ficha!$B$3),"")</f>
        <v/>
      </c>
    </row>
    <row r="306" spans="2:13" x14ac:dyDescent="0.3">
      <c r="B306" s="30" t="str">
        <f>IF(A306="","",IFERROR(INDEX(Maniobras!$B$5:$B$504,MATCH(A306,Maniobras!$A$5:$A$504,0)),""))</f>
        <v/>
      </c>
      <c r="C306" t="str">
        <f t="shared" si="8"/>
        <v/>
      </c>
      <c r="D306" t="str">
        <f>IF(A306="","",IFERROR(INDEX(Maniobras!$D$5:$D$504,MATCH(A306,Maniobras!$A$5:$A$504,0)),""))</f>
        <v/>
      </c>
      <c r="F306" s="29" t="str">
        <f>IF(A306="","",IFERROR(INDEX(Maniobras!$K$5:$K$504,MATCH(A306,Maniobras!$A$5:$A$504,0)),""))</f>
        <v/>
      </c>
      <c r="G306" s="29"/>
      <c r="H306" s="29"/>
      <c r="I306" s="29" t="str">
        <f t="shared" si="9"/>
        <v/>
      </c>
      <c r="K306" s="30"/>
      <c r="M306" t="str">
        <f>IF($A306=Ficha!$B$3,COUNTIF($A$5:$A306,Ficha!$B$3),"")</f>
        <v/>
      </c>
    </row>
    <row r="307" spans="2:13" x14ac:dyDescent="0.3">
      <c r="B307" s="30" t="str">
        <f>IF(A307="","",IFERROR(INDEX(Maniobras!$B$5:$B$504,MATCH(A307,Maniobras!$A$5:$A$504,0)),""))</f>
        <v/>
      </c>
      <c r="C307" t="str">
        <f t="shared" si="8"/>
        <v/>
      </c>
      <c r="D307" t="str">
        <f>IF(A307="","",IFERROR(INDEX(Maniobras!$D$5:$D$504,MATCH(A307,Maniobras!$A$5:$A$504,0)),""))</f>
        <v/>
      </c>
      <c r="F307" s="29" t="str">
        <f>IF(A307="","",IFERROR(INDEX(Maniobras!$K$5:$K$504,MATCH(A307,Maniobras!$A$5:$A$504,0)),""))</f>
        <v/>
      </c>
      <c r="G307" s="29"/>
      <c r="H307" s="29"/>
      <c r="I307" s="29" t="str">
        <f t="shared" si="9"/>
        <v/>
      </c>
      <c r="K307" s="30"/>
      <c r="M307" t="str">
        <f>IF($A307=Ficha!$B$3,COUNTIF($A$5:$A307,Ficha!$B$3),"")</f>
        <v/>
      </c>
    </row>
    <row r="308" spans="2:13" x14ac:dyDescent="0.3">
      <c r="B308" s="30" t="str">
        <f>IF(A308="","",IFERROR(INDEX(Maniobras!$B$5:$B$504,MATCH(A308,Maniobras!$A$5:$A$504,0)),""))</f>
        <v/>
      </c>
      <c r="C308" t="str">
        <f t="shared" si="8"/>
        <v/>
      </c>
      <c r="D308" t="str">
        <f>IF(A308="","",IFERROR(INDEX(Maniobras!$D$5:$D$504,MATCH(A308,Maniobras!$A$5:$A$504,0)),""))</f>
        <v/>
      </c>
      <c r="F308" s="29" t="str">
        <f>IF(A308="","",IFERROR(INDEX(Maniobras!$K$5:$K$504,MATCH(A308,Maniobras!$A$5:$A$504,0)),""))</f>
        <v/>
      </c>
      <c r="G308" s="29"/>
      <c r="H308" s="29"/>
      <c r="I308" s="29" t="str">
        <f t="shared" si="9"/>
        <v/>
      </c>
      <c r="K308" s="30"/>
      <c r="M308" t="str">
        <f>IF($A308=Ficha!$B$3,COUNTIF($A$5:$A308,Ficha!$B$3),"")</f>
        <v/>
      </c>
    </row>
    <row r="309" spans="2:13" x14ac:dyDescent="0.3">
      <c r="B309" s="30" t="str">
        <f>IF(A309="","",IFERROR(INDEX(Maniobras!$B$5:$B$504,MATCH(A309,Maniobras!$A$5:$A$504,0)),""))</f>
        <v/>
      </c>
      <c r="C309" t="str">
        <f t="shared" si="8"/>
        <v/>
      </c>
      <c r="D309" t="str">
        <f>IF(A309="","",IFERROR(INDEX(Maniobras!$D$5:$D$504,MATCH(A309,Maniobras!$A$5:$A$504,0)),""))</f>
        <v/>
      </c>
      <c r="F309" s="29" t="str">
        <f>IF(A309="","",IFERROR(INDEX(Maniobras!$K$5:$K$504,MATCH(A309,Maniobras!$A$5:$A$504,0)),""))</f>
        <v/>
      </c>
      <c r="G309" s="29"/>
      <c r="H309" s="29"/>
      <c r="I309" s="29" t="str">
        <f t="shared" si="9"/>
        <v/>
      </c>
      <c r="K309" s="30"/>
      <c r="M309" t="str">
        <f>IF($A309=Ficha!$B$3,COUNTIF($A$5:$A309,Ficha!$B$3),"")</f>
        <v/>
      </c>
    </row>
    <row r="310" spans="2:13" x14ac:dyDescent="0.3">
      <c r="B310" s="30" t="str">
        <f>IF(A310="","",IFERROR(INDEX(Maniobras!$B$5:$B$504,MATCH(A310,Maniobras!$A$5:$A$504,0)),""))</f>
        <v/>
      </c>
      <c r="C310" t="str">
        <f t="shared" si="8"/>
        <v/>
      </c>
      <c r="D310" t="str">
        <f>IF(A310="","",IFERROR(INDEX(Maniobras!$D$5:$D$504,MATCH(A310,Maniobras!$A$5:$A$504,0)),""))</f>
        <v/>
      </c>
      <c r="F310" s="29" t="str">
        <f>IF(A310="","",IFERROR(INDEX(Maniobras!$K$5:$K$504,MATCH(A310,Maniobras!$A$5:$A$504,0)),""))</f>
        <v/>
      </c>
      <c r="G310" s="29"/>
      <c r="H310" s="29"/>
      <c r="I310" s="29" t="str">
        <f t="shared" si="9"/>
        <v/>
      </c>
      <c r="K310" s="30"/>
      <c r="M310" t="str">
        <f>IF($A310=Ficha!$B$3,COUNTIF($A$5:$A310,Ficha!$B$3),"")</f>
        <v/>
      </c>
    </row>
    <row r="311" spans="2:13" x14ac:dyDescent="0.3">
      <c r="B311" s="30" t="str">
        <f>IF(A311="","",IFERROR(INDEX(Maniobras!$B$5:$B$504,MATCH(A311,Maniobras!$A$5:$A$504,0)),""))</f>
        <v/>
      </c>
      <c r="C311" t="str">
        <f t="shared" si="8"/>
        <v/>
      </c>
      <c r="D311" t="str">
        <f>IF(A311="","",IFERROR(INDEX(Maniobras!$D$5:$D$504,MATCH(A311,Maniobras!$A$5:$A$504,0)),""))</f>
        <v/>
      </c>
      <c r="F311" s="29" t="str">
        <f>IF(A311="","",IFERROR(INDEX(Maniobras!$K$5:$K$504,MATCH(A311,Maniobras!$A$5:$A$504,0)),""))</f>
        <v/>
      </c>
      <c r="G311" s="29"/>
      <c r="H311" s="29"/>
      <c r="I311" s="29" t="str">
        <f t="shared" si="9"/>
        <v/>
      </c>
      <c r="K311" s="30"/>
      <c r="M311" t="str">
        <f>IF($A311=Ficha!$B$3,COUNTIF($A$5:$A311,Ficha!$B$3),"")</f>
        <v/>
      </c>
    </row>
    <row r="312" spans="2:13" x14ac:dyDescent="0.3">
      <c r="B312" s="30" t="str">
        <f>IF(A312="","",IFERROR(INDEX(Maniobras!$B$5:$B$504,MATCH(A312,Maniobras!$A$5:$A$504,0)),""))</f>
        <v/>
      </c>
      <c r="C312" t="str">
        <f t="shared" si="8"/>
        <v/>
      </c>
      <c r="D312" t="str">
        <f>IF(A312="","",IFERROR(INDEX(Maniobras!$D$5:$D$504,MATCH(A312,Maniobras!$A$5:$A$504,0)),""))</f>
        <v/>
      </c>
      <c r="F312" s="29" t="str">
        <f>IF(A312="","",IFERROR(INDEX(Maniobras!$K$5:$K$504,MATCH(A312,Maniobras!$A$5:$A$504,0)),""))</f>
        <v/>
      </c>
      <c r="G312" s="29"/>
      <c r="H312" s="29"/>
      <c r="I312" s="29" t="str">
        <f t="shared" si="9"/>
        <v/>
      </c>
      <c r="K312" s="30"/>
      <c r="M312" t="str">
        <f>IF($A312=Ficha!$B$3,COUNTIF($A$5:$A312,Ficha!$B$3),"")</f>
        <v/>
      </c>
    </row>
    <row r="313" spans="2:13" x14ac:dyDescent="0.3">
      <c r="B313" s="30" t="str">
        <f>IF(A313="","",IFERROR(INDEX(Maniobras!$B$5:$B$504,MATCH(A313,Maniobras!$A$5:$A$504,0)),""))</f>
        <v/>
      </c>
      <c r="C313" t="str">
        <f t="shared" si="8"/>
        <v/>
      </c>
      <c r="D313" t="str">
        <f>IF(A313="","",IFERROR(INDEX(Maniobras!$D$5:$D$504,MATCH(A313,Maniobras!$A$5:$A$504,0)),""))</f>
        <v/>
      </c>
      <c r="F313" s="29" t="str">
        <f>IF(A313="","",IFERROR(INDEX(Maniobras!$K$5:$K$504,MATCH(A313,Maniobras!$A$5:$A$504,0)),""))</f>
        <v/>
      </c>
      <c r="G313" s="29"/>
      <c r="H313" s="29"/>
      <c r="I313" s="29" t="str">
        <f t="shared" si="9"/>
        <v/>
      </c>
      <c r="K313" s="30"/>
      <c r="M313" t="str">
        <f>IF($A313=Ficha!$B$3,COUNTIF($A$5:$A313,Ficha!$B$3),"")</f>
        <v/>
      </c>
    </row>
    <row r="314" spans="2:13" x14ac:dyDescent="0.3">
      <c r="B314" s="30" t="str">
        <f>IF(A314="","",IFERROR(INDEX(Maniobras!$B$5:$B$504,MATCH(A314,Maniobras!$A$5:$A$504,0)),""))</f>
        <v/>
      </c>
      <c r="C314" t="str">
        <f t="shared" si="8"/>
        <v/>
      </c>
      <c r="D314" t="str">
        <f>IF(A314="","",IFERROR(INDEX(Maniobras!$D$5:$D$504,MATCH(A314,Maniobras!$A$5:$A$504,0)),""))</f>
        <v/>
      </c>
      <c r="F314" s="29" t="str">
        <f>IF(A314="","",IFERROR(INDEX(Maniobras!$K$5:$K$504,MATCH(A314,Maniobras!$A$5:$A$504,0)),""))</f>
        <v/>
      </c>
      <c r="G314" s="29"/>
      <c r="H314" s="29"/>
      <c r="I314" s="29" t="str">
        <f t="shared" si="9"/>
        <v/>
      </c>
      <c r="K314" s="30"/>
      <c r="M314" t="str">
        <f>IF($A314=Ficha!$B$3,COUNTIF($A$5:$A314,Ficha!$B$3),"")</f>
        <v/>
      </c>
    </row>
    <row r="315" spans="2:13" x14ac:dyDescent="0.3">
      <c r="B315" s="30" t="str">
        <f>IF(A315="","",IFERROR(INDEX(Maniobras!$B$5:$B$504,MATCH(A315,Maniobras!$A$5:$A$504,0)),""))</f>
        <v/>
      </c>
      <c r="C315" t="str">
        <f t="shared" si="8"/>
        <v/>
      </c>
      <c r="D315" t="str">
        <f>IF(A315="","",IFERROR(INDEX(Maniobras!$D$5:$D$504,MATCH(A315,Maniobras!$A$5:$A$504,0)),""))</f>
        <v/>
      </c>
      <c r="F315" s="29" t="str">
        <f>IF(A315="","",IFERROR(INDEX(Maniobras!$K$5:$K$504,MATCH(A315,Maniobras!$A$5:$A$504,0)),""))</f>
        <v/>
      </c>
      <c r="G315" s="29"/>
      <c r="H315" s="29"/>
      <c r="I315" s="29" t="str">
        <f t="shared" si="9"/>
        <v/>
      </c>
      <c r="K315" s="30"/>
      <c r="M315" t="str">
        <f>IF($A315=Ficha!$B$3,COUNTIF($A$5:$A315,Ficha!$B$3),"")</f>
        <v/>
      </c>
    </row>
    <row r="316" spans="2:13" x14ac:dyDescent="0.3">
      <c r="B316" s="30" t="str">
        <f>IF(A316="","",IFERROR(INDEX(Maniobras!$B$5:$B$504,MATCH(A316,Maniobras!$A$5:$A$504,0)),""))</f>
        <v/>
      </c>
      <c r="C316" t="str">
        <f t="shared" si="8"/>
        <v/>
      </c>
      <c r="D316" t="str">
        <f>IF(A316="","",IFERROR(INDEX(Maniobras!$D$5:$D$504,MATCH(A316,Maniobras!$A$5:$A$504,0)),""))</f>
        <v/>
      </c>
      <c r="F316" s="29" t="str">
        <f>IF(A316="","",IFERROR(INDEX(Maniobras!$K$5:$K$504,MATCH(A316,Maniobras!$A$5:$A$504,0)),""))</f>
        <v/>
      </c>
      <c r="G316" s="29"/>
      <c r="H316" s="29"/>
      <c r="I316" s="29" t="str">
        <f t="shared" si="9"/>
        <v/>
      </c>
      <c r="K316" s="30"/>
      <c r="M316" t="str">
        <f>IF($A316=Ficha!$B$3,COUNTIF($A$5:$A316,Ficha!$B$3),"")</f>
        <v/>
      </c>
    </row>
    <row r="317" spans="2:13" x14ac:dyDescent="0.3">
      <c r="B317" s="30" t="str">
        <f>IF(A317="","",IFERROR(INDEX(Maniobras!$B$5:$B$504,MATCH(A317,Maniobras!$A$5:$A$504,0)),""))</f>
        <v/>
      </c>
      <c r="C317" t="str">
        <f t="shared" si="8"/>
        <v/>
      </c>
      <c r="D317" t="str">
        <f>IF(A317="","",IFERROR(INDEX(Maniobras!$D$5:$D$504,MATCH(A317,Maniobras!$A$5:$A$504,0)),""))</f>
        <v/>
      </c>
      <c r="F317" s="29" t="str">
        <f>IF(A317="","",IFERROR(INDEX(Maniobras!$K$5:$K$504,MATCH(A317,Maniobras!$A$5:$A$504,0)),""))</f>
        <v/>
      </c>
      <c r="G317" s="29"/>
      <c r="H317" s="29"/>
      <c r="I317" s="29" t="str">
        <f t="shared" si="9"/>
        <v/>
      </c>
      <c r="K317" s="30"/>
      <c r="M317" t="str">
        <f>IF($A317=Ficha!$B$3,COUNTIF($A$5:$A317,Ficha!$B$3),"")</f>
        <v/>
      </c>
    </row>
    <row r="318" spans="2:13" x14ac:dyDescent="0.3">
      <c r="B318" s="30" t="str">
        <f>IF(A318="","",IFERROR(INDEX(Maniobras!$B$5:$B$504,MATCH(A318,Maniobras!$A$5:$A$504,0)),""))</f>
        <v/>
      </c>
      <c r="C318" t="str">
        <f t="shared" si="8"/>
        <v/>
      </c>
      <c r="D318" t="str">
        <f>IF(A318="","",IFERROR(INDEX(Maniobras!$D$5:$D$504,MATCH(A318,Maniobras!$A$5:$A$504,0)),""))</f>
        <v/>
      </c>
      <c r="F318" s="29" t="str">
        <f>IF(A318="","",IFERROR(INDEX(Maniobras!$K$5:$K$504,MATCH(A318,Maniobras!$A$5:$A$504,0)),""))</f>
        <v/>
      </c>
      <c r="G318" s="29"/>
      <c r="H318" s="29"/>
      <c r="I318" s="29" t="str">
        <f t="shared" si="9"/>
        <v/>
      </c>
      <c r="K318" s="30"/>
      <c r="M318" t="str">
        <f>IF($A318=Ficha!$B$3,COUNTIF($A$5:$A318,Ficha!$B$3),"")</f>
        <v/>
      </c>
    </row>
    <row r="319" spans="2:13" x14ac:dyDescent="0.3">
      <c r="B319" s="30" t="str">
        <f>IF(A319="","",IFERROR(INDEX(Maniobras!$B$5:$B$504,MATCH(A319,Maniobras!$A$5:$A$504,0)),""))</f>
        <v/>
      </c>
      <c r="C319" t="str">
        <f t="shared" si="8"/>
        <v/>
      </c>
      <c r="D319" t="str">
        <f>IF(A319="","",IFERROR(INDEX(Maniobras!$D$5:$D$504,MATCH(A319,Maniobras!$A$5:$A$504,0)),""))</f>
        <v/>
      </c>
      <c r="F319" s="29" t="str">
        <f>IF(A319="","",IFERROR(INDEX(Maniobras!$K$5:$K$504,MATCH(A319,Maniobras!$A$5:$A$504,0)),""))</f>
        <v/>
      </c>
      <c r="G319" s="29"/>
      <c r="H319" s="29"/>
      <c r="I319" s="29" t="str">
        <f t="shared" si="9"/>
        <v/>
      </c>
      <c r="K319" s="30"/>
      <c r="M319" t="str">
        <f>IF($A319=Ficha!$B$3,COUNTIF($A$5:$A319,Ficha!$B$3),"")</f>
        <v/>
      </c>
    </row>
    <row r="320" spans="2:13" x14ac:dyDescent="0.3">
      <c r="B320" s="30" t="str">
        <f>IF(A320="","",IFERROR(INDEX(Maniobras!$B$5:$B$504,MATCH(A320,Maniobras!$A$5:$A$504,0)),""))</f>
        <v/>
      </c>
      <c r="C320" t="str">
        <f t="shared" si="8"/>
        <v/>
      </c>
      <c r="D320" t="str">
        <f>IF(A320="","",IFERROR(INDEX(Maniobras!$D$5:$D$504,MATCH(A320,Maniobras!$A$5:$A$504,0)),""))</f>
        <v/>
      </c>
      <c r="F320" s="29" t="str">
        <f>IF(A320="","",IFERROR(INDEX(Maniobras!$K$5:$K$504,MATCH(A320,Maniobras!$A$5:$A$504,0)),""))</f>
        <v/>
      </c>
      <c r="G320" s="29"/>
      <c r="H320" s="29"/>
      <c r="I320" s="29" t="str">
        <f t="shared" si="9"/>
        <v/>
      </c>
      <c r="K320" s="30"/>
      <c r="M320" t="str">
        <f>IF($A320=Ficha!$B$3,COUNTIF($A$5:$A320,Ficha!$B$3),"")</f>
        <v/>
      </c>
    </row>
    <row r="321" spans="2:13" x14ac:dyDescent="0.3">
      <c r="B321" s="30" t="str">
        <f>IF(A321="","",IFERROR(INDEX(Maniobras!$B$5:$B$504,MATCH(A321,Maniobras!$A$5:$A$504,0)),""))</f>
        <v/>
      </c>
      <c r="C321" t="str">
        <f t="shared" si="8"/>
        <v/>
      </c>
      <c r="D321" t="str">
        <f>IF(A321="","",IFERROR(INDEX(Maniobras!$D$5:$D$504,MATCH(A321,Maniobras!$A$5:$A$504,0)),""))</f>
        <v/>
      </c>
      <c r="F321" s="29" t="str">
        <f>IF(A321="","",IFERROR(INDEX(Maniobras!$K$5:$K$504,MATCH(A321,Maniobras!$A$5:$A$504,0)),""))</f>
        <v/>
      </c>
      <c r="G321" s="29"/>
      <c r="H321" s="29"/>
      <c r="I321" s="29" t="str">
        <f t="shared" si="9"/>
        <v/>
      </c>
      <c r="K321" s="30"/>
      <c r="M321" t="str">
        <f>IF($A321=Ficha!$B$3,COUNTIF($A$5:$A321,Ficha!$B$3),"")</f>
        <v/>
      </c>
    </row>
    <row r="322" spans="2:13" x14ac:dyDescent="0.3">
      <c r="B322" s="30" t="str">
        <f>IF(A322="","",IFERROR(INDEX(Maniobras!$B$5:$B$504,MATCH(A322,Maniobras!$A$5:$A$504,0)),""))</f>
        <v/>
      </c>
      <c r="C322" t="str">
        <f t="shared" si="8"/>
        <v/>
      </c>
      <c r="D322" t="str">
        <f>IF(A322="","",IFERROR(INDEX(Maniobras!$D$5:$D$504,MATCH(A322,Maniobras!$A$5:$A$504,0)),""))</f>
        <v/>
      </c>
      <c r="F322" s="29" t="str">
        <f>IF(A322="","",IFERROR(INDEX(Maniobras!$K$5:$K$504,MATCH(A322,Maniobras!$A$5:$A$504,0)),""))</f>
        <v/>
      </c>
      <c r="G322" s="29"/>
      <c r="H322" s="29"/>
      <c r="I322" s="29" t="str">
        <f t="shared" si="9"/>
        <v/>
      </c>
      <c r="K322" s="30"/>
      <c r="M322" t="str">
        <f>IF($A322=Ficha!$B$3,COUNTIF($A$5:$A322,Ficha!$B$3),"")</f>
        <v/>
      </c>
    </row>
    <row r="323" spans="2:13" x14ac:dyDescent="0.3">
      <c r="B323" s="30" t="str">
        <f>IF(A323="","",IFERROR(INDEX(Maniobras!$B$5:$B$504,MATCH(A323,Maniobras!$A$5:$A$504,0)),""))</f>
        <v/>
      </c>
      <c r="C323" t="str">
        <f t="shared" si="8"/>
        <v/>
      </c>
      <c r="D323" t="str">
        <f>IF(A323="","",IFERROR(INDEX(Maniobras!$D$5:$D$504,MATCH(A323,Maniobras!$A$5:$A$504,0)),""))</f>
        <v/>
      </c>
      <c r="F323" s="29" t="str">
        <f>IF(A323="","",IFERROR(INDEX(Maniobras!$K$5:$K$504,MATCH(A323,Maniobras!$A$5:$A$504,0)),""))</f>
        <v/>
      </c>
      <c r="G323" s="29"/>
      <c r="H323" s="29"/>
      <c r="I323" s="29" t="str">
        <f t="shared" si="9"/>
        <v/>
      </c>
      <c r="K323" s="30"/>
      <c r="M323" t="str">
        <f>IF($A323=Ficha!$B$3,COUNTIF($A$5:$A323,Ficha!$B$3),"")</f>
        <v/>
      </c>
    </row>
    <row r="324" spans="2:13" x14ac:dyDescent="0.3">
      <c r="B324" s="30" t="str">
        <f>IF(A324="","",IFERROR(INDEX(Maniobras!$B$5:$B$504,MATCH(A324,Maniobras!$A$5:$A$504,0)),""))</f>
        <v/>
      </c>
      <c r="C324" t="str">
        <f t="shared" si="8"/>
        <v/>
      </c>
      <c r="D324" t="str">
        <f>IF(A324="","",IFERROR(INDEX(Maniobras!$D$5:$D$504,MATCH(A324,Maniobras!$A$5:$A$504,0)),""))</f>
        <v/>
      </c>
      <c r="F324" s="29" t="str">
        <f>IF(A324="","",IFERROR(INDEX(Maniobras!$K$5:$K$504,MATCH(A324,Maniobras!$A$5:$A$504,0)),""))</f>
        <v/>
      </c>
      <c r="G324" s="29"/>
      <c r="H324" s="29"/>
      <c r="I324" s="29" t="str">
        <f t="shared" si="9"/>
        <v/>
      </c>
      <c r="K324" s="30"/>
      <c r="M324" t="str">
        <f>IF($A324=Ficha!$B$3,COUNTIF($A$5:$A324,Ficha!$B$3),"")</f>
        <v/>
      </c>
    </row>
    <row r="325" spans="2:13" x14ac:dyDescent="0.3">
      <c r="B325" s="30" t="str">
        <f>IF(A325="","",IFERROR(INDEX(Maniobras!$B$5:$B$504,MATCH(A325,Maniobras!$A$5:$A$504,0)),""))</f>
        <v/>
      </c>
      <c r="C325" t="str">
        <f t="shared" ref="C325:C388" si="10">IF(B325="","",TEXT(B325,"yyyy-mm"))</f>
        <v/>
      </c>
      <c r="D325" t="str">
        <f>IF(A325="","",IFERROR(INDEX(Maniobras!$D$5:$D$504,MATCH(A325,Maniobras!$A$5:$A$504,0)),""))</f>
        <v/>
      </c>
      <c r="F325" s="29" t="str">
        <f>IF(A325="","",IFERROR(INDEX(Maniobras!$K$5:$K$504,MATCH(A325,Maniobras!$A$5:$A$504,0)),""))</f>
        <v/>
      </c>
      <c r="G325" s="29"/>
      <c r="H325" s="29"/>
      <c r="I325" s="29" t="str">
        <f t="shared" ref="I325:I388" si="11">IF(G325="","",G325+N(H325))</f>
        <v/>
      </c>
      <c r="K325" s="30"/>
      <c r="M325" t="str">
        <f>IF($A325=Ficha!$B$3,COUNTIF($A$5:$A325,Ficha!$B$3),"")</f>
        <v/>
      </c>
    </row>
    <row r="326" spans="2:13" x14ac:dyDescent="0.3">
      <c r="B326" s="30" t="str">
        <f>IF(A326="","",IFERROR(INDEX(Maniobras!$B$5:$B$504,MATCH(A326,Maniobras!$A$5:$A$504,0)),""))</f>
        <v/>
      </c>
      <c r="C326" t="str">
        <f t="shared" si="10"/>
        <v/>
      </c>
      <c r="D326" t="str">
        <f>IF(A326="","",IFERROR(INDEX(Maniobras!$D$5:$D$504,MATCH(A326,Maniobras!$A$5:$A$504,0)),""))</f>
        <v/>
      </c>
      <c r="F326" s="29" t="str">
        <f>IF(A326="","",IFERROR(INDEX(Maniobras!$K$5:$K$504,MATCH(A326,Maniobras!$A$5:$A$504,0)),""))</f>
        <v/>
      </c>
      <c r="G326" s="29"/>
      <c r="H326" s="29"/>
      <c r="I326" s="29" t="str">
        <f t="shared" si="11"/>
        <v/>
      </c>
      <c r="K326" s="30"/>
      <c r="M326" t="str">
        <f>IF($A326=Ficha!$B$3,COUNTIF($A$5:$A326,Ficha!$B$3),"")</f>
        <v/>
      </c>
    </row>
    <row r="327" spans="2:13" x14ac:dyDescent="0.3">
      <c r="B327" s="30" t="str">
        <f>IF(A327="","",IFERROR(INDEX(Maniobras!$B$5:$B$504,MATCH(A327,Maniobras!$A$5:$A$504,0)),""))</f>
        <v/>
      </c>
      <c r="C327" t="str">
        <f t="shared" si="10"/>
        <v/>
      </c>
      <c r="D327" t="str">
        <f>IF(A327="","",IFERROR(INDEX(Maniobras!$D$5:$D$504,MATCH(A327,Maniobras!$A$5:$A$504,0)),""))</f>
        <v/>
      </c>
      <c r="F327" s="29" t="str">
        <f>IF(A327="","",IFERROR(INDEX(Maniobras!$K$5:$K$504,MATCH(A327,Maniobras!$A$5:$A$504,0)),""))</f>
        <v/>
      </c>
      <c r="G327" s="29"/>
      <c r="H327" s="29"/>
      <c r="I327" s="29" t="str">
        <f t="shared" si="11"/>
        <v/>
      </c>
      <c r="K327" s="30"/>
      <c r="M327" t="str">
        <f>IF($A327=Ficha!$B$3,COUNTIF($A$5:$A327,Ficha!$B$3),"")</f>
        <v/>
      </c>
    </row>
    <row r="328" spans="2:13" x14ac:dyDescent="0.3">
      <c r="B328" s="30" t="str">
        <f>IF(A328="","",IFERROR(INDEX(Maniobras!$B$5:$B$504,MATCH(A328,Maniobras!$A$5:$A$504,0)),""))</f>
        <v/>
      </c>
      <c r="C328" t="str">
        <f t="shared" si="10"/>
        <v/>
      </c>
      <c r="D328" t="str">
        <f>IF(A328="","",IFERROR(INDEX(Maniobras!$D$5:$D$504,MATCH(A328,Maniobras!$A$5:$A$504,0)),""))</f>
        <v/>
      </c>
      <c r="F328" s="29" t="str">
        <f>IF(A328="","",IFERROR(INDEX(Maniobras!$K$5:$K$504,MATCH(A328,Maniobras!$A$5:$A$504,0)),""))</f>
        <v/>
      </c>
      <c r="G328" s="29"/>
      <c r="H328" s="29"/>
      <c r="I328" s="29" t="str">
        <f t="shared" si="11"/>
        <v/>
      </c>
      <c r="K328" s="30"/>
      <c r="M328" t="str">
        <f>IF($A328=Ficha!$B$3,COUNTIF($A$5:$A328,Ficha!$B$3),"")</f>
        <v/>
      </c>
    </row>
    <row r="329" spans="2:13" x14ac:dyDescent="0.3">
      <c r="B329" s="30" t="str">
        <f>IF(A329="","",IFERROR(INDEX(Maniobras!$B$5:$B$504,MATCH(A329,Maniobras!$A$5:$A$504,0)),""))</f>
        <v/>
      </c>
      <c r="C329" t="str">
        <f t="shared" si="10"/>
        <v/>
      </c>
      <c r="D329" t="str">
        <f>IF(A329="","",IFERROR(INDEX(Maniobras!$D$5:$D$504,MATCH(A329,Maniobras!$A$5:$A$504,0)),""))</f>
        <v/>
      </c>
      <c r="F329" s="29" t="str">
        <f>IF(A329="","",IFERROR(INDEX(Maniobras!$K$5:$K$504,MATCH(A329,Maniobras!$A$5:$A$504,0)),""))</f>
        <v/>
      </c>
      <c r="G329" s="29"/>
      <c r="H329" s="29"/>
      <c r="I329" s="29" t="str">
        <f t="shared" si="11"/>
        <v/>
      </c>
      <c r="K329" s="30"/>
      <c r="M329" t="str">
        <f>IF($A329=Ficha!$B$3,COUNTIF($A$5:$A329,Ficha!$B$3),"")</f>
        <v/>
      </c>
    </row>
    <row r="330" spans="2:13" x14ac:dyDescent="0.3">
      <c r="B330" s="30" t="str">
        <f>IF(A330="","",IFERROR(INDEX(Maniobras!$B$5:$B$504,MATCH(A330,Maniobras!$A$5:$A$504,0)),""))</f>
        <v/>
      </c>
      <c r="C330" t="str">
        <f t="shared" si="10"/>
        <v/>
      </c>
      <c r="D330" t="str">
        <f>IF(A330="","",IFERROR(INDEX(Maniobras!$D$5:$D$504,MATCH(A330,Maniobras!$A$5:$A$504,0)),""))</f>
        <v/>
      </c>
      <c r="F330" s="29" t="str">
        <f>IF(A330="","",IFERROR(INDEX(Maniobras!$K$5:$K$504,MATCH(A330,Maniobras!$A$5:$A$504,0)),""))</f>
        <v/>
      </c>
      <c r="G330" s="29"/>
      <c r="H330" s="29"/>
      <c r="I330" s="29" t="str">
        <f t="shared" si="11"/>
        <v/>
      </c>
      <c r="K330" s="30"/>
      <c r="M330" t="str">
        <f>IF($A330=Ficha!$B$3,COUNTIF($A$5:$A330,Ficha!$B$3),"")</f>
        <v/>
      </c>
    </row>
    <row r="331" spans="2:13" x14ac:dyDescent="0.3">
      <c r="B331" s="30" t="str">
        <f>IF(A331="","",IFERROR(INDEX(Maniobras!$B$5:$B$504,MATCH(A331,Maniobras!$A$5:$A$504,0)),""))</f>
        <v/>
      </c>
      <c r="C331" t="str">
        <f t="shared" si="10"/>
        <v/>
      </c>
      <c r="D331" t="str">
        <f>IF(A331="","",IFERROR(INDEX(Maniobras!$D$5:$D$504,MATCH(A331,Maniobras!$A$5:$A$504,0)),""))</f>
        <v/>
      </c>
      <c r="F331" s="29" t="str">
        <f>IF(A331="","",IFERROR(INDEX(Maniobras!$K$5:$K$504,MATCH(A331,Maniobras!$A$5:$A$504,0)),""))</f>
        <v/>
      </c>
      <c r="G331" s="29"/>
      <c r="H331" s="29"/>
      <c r="I331" s="29" t="str">
        <f t="shared" si="11"/>
        <v/>
      </c>
      <c r="K331" s="30"/>
      <c r="M331" t="str">
        <f>IF($A331=Ficha!$B$3,COUNTIF($A$5:$A331,Ficha!$B$3),"")</f>
        <v/>
      </c>
    </row>
    <row r="332" spans="2:13" x14ac:dyDescent="0.3">
      <c r="B332" s="30" t="str">
        <f>IF(A332="","",IFERROR(INDEX(Maniobras!$B$5:$B$504,MATCH(A332,Maniobras!$A$5:$A$504,0)),""))</f>
        <v/>
      </c>
      <c r="C332" t="str">
        <f t="shared" si="10"/>
        <v/>
      </c>
      <c r="D332" t="str">
        <f>IF(A332="","",IFERROR(INDEX(Maniobras!$D$5:$D$504,MATCH(A332,Maniobras!$A$5:$A$504,0)),""))</f>
        <v/>
      </c>
      <c r="F332" s="29" t="str">
        <f>IF(A332="","",IFERROR(INDEX(Maniobras!$K$5:$K$504,MATCH(A332,Maniobras!$A$5:$A$504,0)),""))</f>
        <v/>
      </c>
      <c r="G332" s="29"/>
      <c r="H332" s="29"/>
      <c r="I332" s="29" t="str">
        <f t="shared" si="11"/>
        <v/>
      </c>
      <c r="K332" s="30"/>
      <c r="M332" t="str">
        <f>IF($A332=Ficha!$B$3,COUNTIF($A$5:$A332,Ficha!$B$3),"")</f>
        <v/>
      </c>
    </row>
    <row r="333" spans="2:13" x14ac:dyDescent="0.3">
      <c r="B333" s="30" t="str">
        <f>IF(A333="","",IFERROR(INDEX(Maniobras!$B$5:$B$504,MATCH(A333,Maniobras!$A$5:$A$504,0)),""))</f>
        <v/>
      </c>
      <c r="C333" t="str">
        <f t="shared" si="10"/>
        <v/>
      </c>
      <c r="D333" t="str">
        <f>IF(A333="","",IFERROR(INDEX(Maniobras!$D$5:$D$504,MATCH(A333,Maniobras!$A$5:$A$504,0)),""))</f>
        <v/>
      </c>
      <c r="F333" s="29" t="str">
        <f>IF(A333="","",IFERROR(INDEX(Maniobras!$K$5:$K$504,MATCH(A333,Maniobras!$A$5:$A$504,0)),""))</f>
        <v/>
      </c>
      <c r="G333" s="29"/>
      <c r="H333" s="29"/>
      <c r="I333" s="29" t="str">
        <f t="shared" si="11"/>
        <v/>
      </c>
      <c r="K333" s="30"/>
      <c r="M333" t="str">
        <f>IF($A333=Ficha!$B$3,COUNTIF($A$5:$A333,Ficha!$B$3),"")</f>
        <v/>
      </c>
    </row>
    <row r="334" spans="2:13" x14ac:dyDescent="0.3">
      <c r="B334" s="30" t="str">
        <f>IF(A334="","",IFERROR(INDEX(Maniobras!$B$5:$B$504,MATCH(A334,Maniobras!$A$5:$A$504,0)),""))</f>
        <v/>
      </c>
      <c r="C334" t="str">
        <f t="shared" si="10"/>
        <v/>
      </c>
      <c r="D334" t="str">
        <f>IF(A334="","",IFERROR(INDEX(Maniobras!$D$5:$D$504,MATCH(A334,Maniobras!$A$5:$A$504,0)),""))</f>
        <v/>
      </c>
      <c r="F334" s="29" t="str">
        <f>IF(A334="","",IFERROR(INDEX(Maniobras!$K$5:$K$504,MATCH(A334,Maniobras!$A$5:$A$504,0)),""))</f>
        <v/>
      </c>
      <c r="G334" s="29"/>
      <c r="H334" s="29"/>
      <c r="I334" s="29" t="str">
        <f t="shared" si="11"/>
        <v/>
      </c>
      <c r="K334" s="30"/>
      <c r="M334" t="str">
        <f>IF($A334=Ficha!$B$3,COUNTIF($A$5:$A334,Ficha!$B$3),"")</f>
        <v/>
      </c>
    </row>
    <row r="335" spans="2:13" x14ac:dyDescent="0.3">
      <c r="B335" s="30" t="str">
        <f>IF(A335="","",IFERROR(INDEX(Maniobras!$B$5:$B$504,MATCH(A335,Maniobras!$A$5:$A$504,0)),""))</f>
        <v/>
      </c>
      <c r="C335" t="str">
        <f t="shared" si="10"/>
        <v/>
      </c>
      <c r="D335" t="str">
        <f>IF(A335="","",IFERROR(INDEX(Maniobras!$D$5:$D$504,MATCH(A335,Maniobras!$A$5:$A$504,0)),""))</f>
        <v/>
      </c>
      <c r="F335" s="29" t="str">
        <f>IF(A335="","",IFERROR(INDEX(Maniobras!$K$5:$K$504,MATCH(A335,Maniobras!$A$5:$A$504,0)),""))</f>
        <v/>
      </c>
      <c r="G335" s="29"/>
      <c r="H335" s="29"/>
      <c r="I335" s="29" t="str">
        <f t="shared" si="11"/>
        <v/>
      </c>
      <c r="K335" s="30"/>
      <c r="M335" t="str">
        <f>IF($A335=Ficha!$B$3,COUNTIF($A$5:$A335,Ficha!$B$3),"")</f>
        <v/>
      </c>
    </row>
    <row r="336" spans="2:13" x14ac:dyDescent="0.3">
      <c r="B336" s="30" t="str">
        <f>IF(A336="","",IFERROR(INDEX(Maniobras!$B$5:$B$504,MATCH(A336,Maniobras!$A$5:$A$504,0)),""))</f>
        <v/>
      </c>
      <c r="C336" t="str">
        <f t="shared" si="10"/>
        <v/>
      </c>
      <c r="D336" t="str">
        <f>IF(A336="","",IFERROR(INDEX(Maniobras!$D$5:$D$504,MATCH(A336,Maniobras!$A$5:$A$504,0)),""))</f>
        <v/>
      </c>
      <c r="F336" s="29" t="str">
        <f>IF(A336="","",IFERROR(INDEX(Maniobras!$K$5:$K$504,MATCH(A336,Maniobras!$A$5:$A$504,0)),""))</f>
        <v/>
      </c>
      <c r="G336" s="29"/>
      <c r="H336" s="29"/>
      <c r="I336" s="29" t="str">
        <f t="shared" si="11"/>
        <v/>
      </c>
      <c r="K336" s="30"/>
      <c r="M336" t="str">
        <f>IF($A336=Ficha!$B$3,COUNTIF($A$5:$A336,Ficha!$B$3),"")</f>
        <v/>
      </c>
    </row>
    <row r="337" spans="2:13" x14ac:dyDescent="0.3">
      <c r="B337" s="30" t="str">
        <f>IF(A337="","",IFERROR(INDEX(Maniobras!$B$5:$B$504,MATCH(A337,Maniobras!$A$5:$A$504,0)),""))</f>
        <v/>
      </c>
      <c r="C337" t="str">
        <f t="shared" si="10"/>
        <v/>
      </c>
      <c r="D337" t="str">
        <f>IF(A337="","",IFERROR(INDEX(Maniobras!$D$5:$D$504,MATCH(A337,Maniobras!$A$5:$A$504,0)),""))</f>
        <v/>
      </c>
      <c r="F337" s="29" t="str">
        <f>IF(A337="","",IFERROR(INDEX(Maniobras!$K$5:$K$504,MATCH(A337,Maniobras!$A$5:$A$504,0)),""))</f>
        <v/>
      </c>
      <c r="G337" s="29"/>
      <c r="H337" s="29"/>
      <c r="I337" s="29" t="str">
        <f t="shared" si="11"/>
        <v/>
      </c>
      <c r="K337" s="30"/>
      <c r="M337" t="str">
        <f>IF($A337=Ficha!$B$3,COUNTIF($A$5:$A337,Ficha!$B$3),"")</f>
        <v/>
      </c>
    </row>
    <row r="338" spans="2:13" x14ac:dyDescent="0.3">
      <c r="B338" s="30" t="str">
        <f>IF(A338="","",IFERROR(INDEX(Maniobras!$B$5:$B$504,MATCH(A338,Maniobras!$A$5:$A$504,0)),""))</f>
        <v/>
      </c>
      <c r="C338" t="str">
        <f t="shared" si="10"/>
        <v/>
      </c>
      <c r="D338" t="str">
        <f>IF(A338="","",IFERROR(INDEX(Maniobras!$D$5:$D$504,MATCH(A338,Maniobras!$A$5:$A$504,0)),""))</f>
        <v/>
      </c>
      <c r="F338" s="29" t="str">
        <f>IF(A338="","",IFERROR(INDEX(Maniobras!$K$5:$K$504,MATCH(A338,Maniobras!$A$5:$A$504,0)),""))</f>
        <v/>
      </c>
      <c r="G338" s="29"/>
      <c r="H338" s="29"/>
      <c r="I338" s="29" t="str">
        <f t="shared" si="11"/>
        <v/>
      </c>
      <c r="K338" s="30"/>
      <c r="M338" t="str">
        <f>IF($A338=Ficha!$B$3,COUNTIF($A$5:$A338,Ficha!$B$3),"")</f>
        <v/>
      </c>
    </row>
    <row r="339" spans="2:13" x14ac:dyDescent="0.3">
      <c r="B339" s="30" t="str">
        <f>IF(A339="","",IFERROR(INDEX(Maniobras!$B$5:$B$504,MATCH(A339,Maniobras!$A$5:$A$504,0)),""))</f>
        <v/>
      </c>
      <c r="C339" t="str">
        <f t="shared" si="10"/>
        <v/>
      </c>
      <c r="D339" t="str">
        <f>IF(A339="","",IFERROR(INDEX(Maniobras!$D$5:$D$504,MATCH(A339,Maniobras!$A$5:$A$504,0)),""))</f>
        <v/>
      </c>
      <c r="F339" s="29" t="str">
        <f>IF(A339="","",IFERROR(INDEX(Maniobras!$K$5:$K$504,MATCH(A339,Maniobras!$A$5:$A$504,0)),""))</f>
        <v/>
      </c>
      <c r="G339" s="29"/>
      <c r="H339" s="29"/>
      <c r="I339" s="29" t="str">
        <f t="shared" si="11"/>
        <v/>
      </c>
      <c r="K339" s="30"/>
      <c r="M339" t="str">
        <f>IF($A339=Ficha!$B$3,COUNTIF($A$5:$A339,Ficha!$B$3),"")</f>
        <v/>
      </c>
    </row>
    <row r="340" spans="2:13" x14ac:dyDescent="0.3">
      <c r="B340" s="30" t="str">
        <f>IF(A340="","",IFERROR(INDEX(Maniobras!$B$5:$B$504,MATCH(A340,Maniobras!$A$5:$A$504,0)),""))</f>
        <v/>
      </c>
      <c r="C340" t="str">
        <f t="shared" si="10"/>
        <v/>
      </c>
      <c r="D340" t="str">
        <f>IF(A340="","",IFERROR(INDEX(Maniobras!$D$5:$D$504,MATCH(A340,Maniobras!$A$5:$A$504,0)),""))</f>
        <v/>
      </c>
      <c r="F340" s="29" t="str">
        <f>IF(A340="","",IFERROR(INDEX(Maniobras!$K$5:$K$504,MATCH(A340,Maniobras!$A$5:$A$504,0)),""))</f>
        <v/>
      </c>
      <c r="G340" s="29"/>
      <c r="H340" s="29"/>
      <c r="I340" s="29" t="str">
        <f t="shared" si="11"/>
        <v/>
      </c>
      <c r="K340" s="30"/>
      <c r="M340" t="str">
        <f>IF($A340=Ficha!$B$3,COUNTIF($A$5:$A340,Ficha!$B$3),"")</f>
        <v/>
      </c>
    </row>
    <row r="341" spans="2:13" x14ac:dyDescent="0.3">
      <c r="B341" s="30" t="str">
        <f>IF(A341="","",IFERROR(INDEX(Maniobras!$B$5:$B$504,MATCH(A341,Maniobras!$A$5:$A$504,0)),""))</f>
        <v/>
      </c>
      <c r="C341" t="str">
        <f t="shared" si="10"/>
        <v/>
      </c>
      <c r="D341" t="str">
        <f>IF(A341="","",IFERROR(INDEX(Maniobras!$D$5:$D$504,MATCH(A341,Maniobras!$A$5:$A$504,0)),""))</f>
        <v/>
      </c>
      <c r="F341" s="29" t="str">
        <f>IF(A341="","",IFERROR(INDEX(Maniobras!$K$5:$K$504,MATCH(A341,Maniobras!$A$5:$A$504,0)),""))</f>
        <v/>
      </c>
      <c r="G341" s="29"/>
      <c r="H341" s="29"/>
      <c r="I341" s="29" t="str">
        <f t="shared" si="11"/>
        <v/>
      </c>
      <c r="K341" s="30"/>
      <c r="M341" t="str">
        <f>IF($A341=Ficha!$B$3,COUNTIF($A$5:$A341,Ficha!$B$3),"")</f>
        <v/>
      </c>
    </row>
    <row r="342" spans="2:13" x14ac:dyDescent="0.3">
      <c r="B342" s="30" t="str">
        <f>IF(A342="","",IFERROR(INDEX(Maniobras!$B$5:$B$504,MATCH(A342,Maniobras!$A$5:$A$504,0)),""))</f>
        <v/>
      </c>
      <c r="C342" t="str">
        <f t="shared" si="10"/>
        <v/>
      </c>
      <c r="D342" t="str">
        <f>IF(A342="","",IFERROR(INDEX(Maniobras!$D$5:$D$504,MATCH(A342,Maniobras!$A$5:$A$504,0)),""))</f>
        <v/>
      </c>
      <c r="F342" s="29" t="str">
        <f>IF(A342="","",IFERROR(INDEX(Maniobras!$K$5:$K$504,MATCH(A342,Maniobras!$A$5:$A$504,0)),""))</f>
        <v/>
      </c>
      <c r="G342" s="29"/>
      <c r="H342" s="29"/>
      <c r="I342" s="29" t="str">
        <f t="shared" si="11"/>
        <v/>
      </c>
      <c r="K342" s="30"/>
      <c r="M342" t="str">
        <f>IF($A342=Ficha!$B$3,COUNTIF($A$5:$A342,Ficha!$B$3),"")</f>
        <v/>
      </c>
    </row>
    <row r="343" spans="2:13" x14ac:dyDescent="0.3">
      <c r="B343" s="30" t="str">
        <f>IF(A343="","",IFERROR(INDEX(Maniobras!$B$5:$B$504,MATCH(A343,Maniobras!$A$5:$A$504,0)),""))</f>
        <v/>
      </c>
      <c r="C343" t="str">
        <f t="shared" si="10"/>
        <v/>
      </c>
      <c r="D343" t="str">
        <f>IF(A343="","",IFERROR(INDEX(Maniobras!$D$5:$D$504,MATCH(A343,Maniobras!$A$5:$A$504,0)),""))</f>
        <v/>
      </c>
      <c r="F343" s="29" t="str">
        <f>IF(A343="","",IFERROR(INDEX(Maniobras!$K$5:$K$504,MATCH(A343,Maniobras!$A$5:$A$504,0)),""))</f>
        <v/>
      </c>
      <c r="G343" s="29"/>
      <c r="H343" s="29"/>
      <c r="I343" s="29" t="str">
        <f t="shared" si="11"/>
        <v/>
      </c>
      <c r="K343" s="30"/>
      <c r="M343" t="str">
        <f>IF($A343=Ficha!$B$3,COUNTIF($A$5:$A343,Ficha!$B$3),"")</f>
        <v/>
      </c>
    </row>
    <row r="344" spans="2:13" x14ac:dyDescent="0.3">
      <c r="B344" s="30" t="str">
        <f>IF(A344="","",IFERROR(INDEX(Maniobras!$B$5:$B$504,MATCH(A344,Maniobras!$A$5:$A$504,0)),""))</f>
        <v/>
      </c>
      <c r="C344" t="str">
        <f t="shared" si="10"/>
        <v/>
      </c>
      <c r="D344" t="str">
        <f>IF(A344="","",IFERROR(INDEX(Maniobras!$D$5:$D$504,MATCH(A344,Maniobras!$A$5:$A$504,0)),""))</f>
        <v/>
      </c>
      <c r="F344" s="29" t="str">
        <f>IF(A344="","",IFERROR(INDEX(Maniobras!$K$5:$K$504,MATCH(A344,Maniobras!$A$5:$A$504,0)),""))</f>
        <v/>
      </c>
      <c r="G344" s="29"/>
      <c r="H344" s="29"/>
      <c r="I344" s="29" t="str">
        <f t="shared" si="11"/>
        <v/>
      </c>
      <c r="K344" s="30"/>
      <c r="M344" t="str">
        <f>IF($A344=Ficha!$B$3,COUNTIF($A$5:$A344,Ficha!$B$3),"")</f>
        <v/>
      </c>
    </row>
    <row r="345" spans="2:13" x14ac:dyDescent="0.3">
      <c r="B345" s="30" t="str">
        <f>IF(A345="","",IFERROR(INDEX(Maniobras!$B$5:$B$504,MATCH(A345,Maniobras!$A$5:$A$504,0)),""))</f>
        <v/>
      </c>
      <c r="C345" t="str">
        <f t="shared" si="10"/>
        <v/>
      </c>
      <c r="D345" t="str">
        <f>IF(A345="","",IFERROR(INDEX(Maniobras!$D$5:$D$504,MATCH(A345,Maniobras!$A$5:$A$504,0)),""))</f>
        <v/>
      </c>
      <c r="F345" s="29" t="str">
        <f>IF(A345="","",IFERROR(INDEX(Maniobras!$K$5:$K$504,MATCH(A345,Maniobras!$A$5:$A$504,0)),""))</f>
        <v/>
      </c>
      <c r="G345" s="29"/>
      <c r="H345" s="29"/>
      <c r="I345" s="29" t="str">
        <f t="shared" si="11"/>
        <v/>
      </c>
      <c r="K345" s="30"/>
      <c r="M345" t="str">
        <f>IF($A345=Ficha!$B$3,COUNTIF($A$5:$A345,Ficha!$B$3),"")</f>
        <v/>
      </c>
    </row>
    <row r="346" spans="2:13" x14ac:dyDescent="0.3">
      <c r="B346" s="30" t="str">
        <f>IF(A346="","",IFERROR(INDEX(Maniobras!$B$5:$B$504,MATCH(A346,Maniobras!$A$5:$A$504,0)),""))</f>
        <v/>
      </c>
      <c r="C346" t="str">
        <f t="shared" si="10"/>
        <v/>
      </c>
      <c r="D346" t="str">
        <f>IF(A346="","",IFERROR(INDEX(Maniobras!$D$5:$D$504,MATCH(A346,Maniobras!$A$5:$A$504,0)),""))</f>
        <v/>
      </c>
      <c r="F346" s="29" t="str">
        <f>IF(A346="","",IFERROR(INDEX(Maniobras!$K$5:$K$504,MATCH(A346,Maniobras!$A$5:$A$504,0)),""))</f>
        <v/>
      </c>
      <c r="G346" s="29"/>
      <c r="H346" s="29"/>
      <c r="I346" s="29" t="str">
        <f t="shared" si="11"/>
        <v/>
      </c>
      <c r="K346" s="30"/>
      <c r="M346" t="str">
        <f>IF($A346=Ficha!$B$3,COUNTIF($A$5:$A346,Ficha!$B$3),"")</f>
        <v/>
      </c>
    </row>
    <row r="347" spans="2:13" x14ac:dyDescent="0.3">
      <c r="B347" s="30" t="str">
        <f>IF(A347="","",IFERROR(INDEX(Maniobras!$B$5:$B$504,MATCH(A347,Maniobras!$A$5:$A$504,0)),""))</f>
        <v/>
      </c>
      <c r="C347" t="str">
        <f t="shared" si="10"/>
        <v/>
      </c>
      <c r="D347" t="str">
        <f>IF(A347="","",IFERROR(INDEX(Maniobras!$D$5:$D$504,MATCH(A347,Maniobras!$A$5:$A$504,0)),""))</f>
        <v/>
      </c>
      <c r="F347" s="29" t="str">
        <f>IF(A347="","",IFERROR(INDEX(Maniobras!$K$5:$K$504,MATCH(A347,Maniobras!$A$5:$A$504,0)),""))</f>
        <v/>
      </c>
      <c r="G347" s="29"/>
      <c r="H347" s="29"/>
      <c r="I347" s="29" t="str">
        <f t="shared" si="11"/>
        <v/>
      </c>
      <c r="K347" s="30"/>
      <c r="M347" t="str">
        <f>IF($A347=Ficha!$B$3,COUNTIF($A$5:$A347,Ficha!$B$3),"")</f>
        <v/>
      </c>
    </row>
    <row r="348" spans="2:13" x14ac:dyDescent="0.3">
      <c r="B348" s="30" t="str">
        <f>IF(A348="","",IFERROR(INDEX(Maniobras!$B$5:$B$504,MATCH(A348,Maniobras!$A$5:$A$504,0)),""))</f>
        <v/>
      </c>
      <c r="C348" t="str">
        <f t="shared" si="10"/>
        <v/>
      </c>
      <c r="D348" t="str">
        <f>IF(A348="","",IFERROR(INDEX(Maniobras!$D$5:$D$504,MATCH(A348,Maniobras!$A$5:$A$504,0)),""))</f>
        <v/>
      </c>
      <c r="F348" s="29" t="str">
        <f>IF(A348="","",IFERROR(INDEX(Maniobras!$K$5:$K$504,MATCH(A348,Maniobras!$A$5:$A$504,0)),""))</f>
        <v/>
      </c>
      <c r="G348" s="29"/>
      <c r="H348" s="29"/>
      <c r="I348" s="29" t="str">
        <f t="shared" si="11"/>
        <v/>
      </c>
      <c r="K348" s="30"/>
      <c r="M348" t="str">
        <f>IF($A348=Ficha!$B$3,COUNTIF($A$5:$A348,Ficha!$B$3),"")</f>
        <v/>
      </c>
    </row>
    <row r="349" spans="2:13" x14ac:dyDescent="0.3">
      <c r="B349" s="30" t="str">
        <f>IF(A349="","",IFERROR(INDEX(Maniobras!$B$5:$B$504,MATCH(A349,Maniobras!$A$5:$A$504,0)),""))</f>
        <v/>
      </c>
      <c r="C349" t="str">
        <f t="shared" si="10"/>
        <v/>
      </c>
      <c r="D349" t="str">
        <f>IF(A349="","",IFERROR(INDEX(Maniobras!$D$5:$D$504,MATCH(A349,Maniobras!$A$5:$A$504,0)),""))</f>
        <v/>
      </c>
      <c r="F349" s="29" t="str">
        <f>IF(A349="","",IFERROR(INDEX(Maniobras!$K$5:$K$504,MATCH(A349,Maniobras!$A$5:$A$504,0)),""))</f>
        <v/>
      </c>
      <c r="G349" s="29"/>
      <c r="H349" s="29"/>
      <c r="I349" s="29" t="str">
        <f t="shared" si="11"/>
        <v/>
      </c>
      <c r="K349" s="30"/>
      <c r="M349" t="str">
        <f>IF($A349=Ficha!$B$3,COUNTIF($A$5:$A349,Ficha!$B$3),"")</f>
        <v/>
      </c>
    </row>
    <row r="350" spans="2:13" x14ac:dyDescent="0.3">
      <c r="B350" s="30" t="str">
        <f>IF(A350="","",IFERROR(INDEX(Maniobras!$B$5:$B$504,MATCH(A350,Maniobras!$A$5:$A$504,0)),""))</f>
        <v/>
      </c>
      <c r="C350" t="str">
        <f t="shared" si="10"/>
        <v/>
      </c>
      <c r="D350" t="str">
        <f>IF(A350="","",IFERROR(INDEX(Maniobras!$D$5:$D$504,MATCH(A350,Maniobras!$A$5:$A$504,0)),""))</f>
        <v/>
      </c>
      <c r="F350" s="29" t="str">
        <f>IF(A350="","",IFERROR(INDEX(Maniobras!$K$5:$K$504,MATCH(A350,Maniobras!$A$5:$A$504,0)),""))</f>
        <v/>
      </c>
      <c r="G350" s="29"/>
      <c r="H350" s="29"/>
      <c r="I350" s="29" t="str">
        <f t="shared" si="11"/>
        <v/>
      </c>
      <c r="K350" s="30"/>
      <c r="M350" t="str">
        <f>IF($A350=Ficha!$B$3,COUNTIF($A$5:$A350,Ficha!$B$3),"")</f>
        <v/>
      </c>
    </row>
    <row r="351" spans="2:13" x14ac:dyDescent="0.3">
      <c r="B351" s="30" t="str">
        <f>IF(A351="","",IFERROR(INDEX(Maniobras!$B$5:$B$504,MATCH(A351,Maniobras!$A$5:$A$504,0)),""))</f>
        <v/>
      </c>
      <c r="C351" t="str">
        <f t="shared" si="10"/>
        <v/>
      </c>
      <c r="D351" t="str">
        <f>IF(A351="","",IFERROR(INDEX(Maniobras!$D$5:$D$504,MATCH(A351,Maniobras!$A$5:$A$504,0)),""))</f>
        <v/>
      </c>
      <c r="F351" s="29" t="str">
        <f>IF(A351="","",IFERROR(INDEX(Maniobras!$K$5:$K$504,MATCH(A351,Maniobras!$A$5:$A$504,0)),""))</f>
        <v/>
      </c>
      <c r="G351" s="29"/>
      <c r="H351" s="29"/>
      <c r="I351" s="29" t="str">
        <f t="shared" si="11"/>
        <v/>
      </c>
      <c r="K351" s="30"/>
      <c r="M351" t="str">
        <f>IF($A351=Ficha!$B$3,COUNTIF($A$5:$A351,Ficha!$B$3),"")</f>
        <v/>
      </c>
    </row>
    <row r="352" spans="2:13" x14ac:dyDescent="0.3">
      <c r="B352" s="30" t="str">
        <f>IF(A352="","",IFERROR(INDEX(Maniobras!$B$5:$B$504,MATCH(A352,Maniobras!$A$5:$A$504,0)),""))</f>
        <v/>
      </c>
      <c r="C352" t="str">
        <f t="shared" si="10"/>
        <v/>
      </c>
      <c r="D352" t="str">
        <f>IF(A352="","",IFERROR(INDEX(Maniobras!$D$5:$D$504,MATCH(A352,Maniobras!$A$5:$A$504,0)),""))</f>
        <v/>
      </c>
      <c r="F352" s="29" t="str">
        <f>IF(A352="","",IFERROR(INDEX(Maniobras!$K$5:$K$504,MATCH(A352,Maniobras!$A$5:$A$504,0)),""))</f>
        <v/>
      </c>
      <c r="G352" s="29"/>
      <c r="H352" s="29"/>
      <c r="I352" s="29" t="str">
        <f t="shared" si="11"/>
        <v/>
      </c>
      <c r="K352" s="30"/>
      <c r="M352" t="str">
        <f>IF($A352=Ficha!$B$3,COUNTIF($A$5:$A352,Ficha!$B$3),"")</f>
        <v/>
      </c>
    </row>
    <row r="353" spans="2:13" x14ac:dyDescent="0.3">
      <c r="B353" s="30" t="str">
        <f>IF(A353="","",IFERROR(INDEX(Maniobras!$B$5:$B$504,MATCH(A353,Maniobras!$A$5:$A$504,0)),""))</f>
        <v/>
      </c>
      <c r="C353" t="str">
        <f t="shared" si="10"/>
        <v/>
      </c>
      <c r="D353" t="str">
        <f>IF(A353="","",IFERROR(INDEX(Maniobras!$D$5:$D$504,MATCH(A353,Maniobras!$A$5:$A$504,0)),""))</f>
        <v/>
      </c>
      <c r="F353" s="29" t="str">
        <f>IF(A353="","",IFERROR(INDEX(Maniobras!$K$5:$K$504,MATCH(A353,Maniobras!$A$5:$A$504,0)),""))</f>
        <v/>
      </c>
      <c r="G353" s="29"/>
      <c r="H353" s="29"/>
      <c r="I353" s="29" t="str">
        <f t="shared" si="11"/>
        <v/>
      </c>
      <c r="K353" s="30"/>
      <c r="M353" t="str">
        <f>IF($A353=Ficha!$B$3,COUNTIF($A$5:$A353,Ficha!$B$3),"")</f>
        <v/>
      </c>
    </row>
    <row r="354" spans="2:13" x14ac:dyDescent="0.3">
      <c r="B354" s="30" t="str">
        <f>IF(A354="","",IFERROR(INDEX(Maniobras!$B$5:$B$504,MATCH(A354,Maniobras!$A$5:$A$504,0)),""))</f>
        <v/>
      </c>
      <c r="C354" t="str">
        <f t="shared" si="10"/>
        <v/>
      </c>
      <c r="D354" t="str">
        <f>IF(A354="","",IFERROR(INDEX(Maniobras!$D$5:$D$504,MATCH(A354,Maniobras!$A$5:$A$504,0)),""))</f>
        <v/>
      </c>
      <c r="F354" s="29" t="str">
        <f>IF(A354="","",IFERROR(INDEX(Maniobras!$K$5:$K$504,MATCH(A354,Maniobras!$A$5:$A$504,0)),""))</f>
        <v/>
      </c>
      <c r="G354" s="29"/>
      <c r="H354" s="29"/>
      <c r="I354" s="29" t="str">
        <f t="shared" si="11"/>
        <v/>
      </c>
      <c r="K354" s="30"/>
      <c r="M354" t="str">
        <f>IF($A354=Ficha!$B$3,COUNTIF($A$5:$A354,Ficha!$B$3),"")</f>
        <v/>
      </c>
    </row>
    <row r="355" spans="2:13" x14ac:dyDescent="0.3">
      <c r="B355" s="30" t="str">
        <f>IF(A355="","",IFERROR(INDEX(Maniobras!$B$5:$B$504,MATCH(A355,Maniobras!$A$5:$A$504,0)),""))</f>
        <v/>
      </c>
      <c r="C355" t="str">
        <f t="shared" si="10"/>
        <v/>
      </c>
      <c r="D355" t="str">
        <f>IF(A355="","",IFERROR(INDEX(Maniobras!$D$5:$D$504,MATCH(A355,Maniobras!$A$5:$A$504,0)),""))</f>
        <v/>
      </c>
      <c r="F355" s="29" t="str">
        <f>IF(A355="","",IFERROR(INDEX(Maniobras!$K$5:$K$504,MATCH(A355,Maniobras!$A$5:$A$504,0)),""))</f>
        <v/>
      </c>
      <c r="G355" s="29"/>
      <c r="H355" s="29"/>
      <c r="I355" s="29" t="str">
        <f t="shared" si="11"/>
        <v/>
      </c>
      <c r="K355" s="30"/>
      <c r="M355" t="str">
        <f>IF($A355=Ficha!$B$3,COUNTIF($A$5:$A355,Ficha!$B$3),"")</f>
        <v/>
      </c>
    </row>
    <row r="356" spans="2:13" x14ac:dyDescent="0.3">
      <c r="B356" s="30" t="str">
        <f>IF(A356="","",IFERROR(INDEX(Maniobras!$B$5:$B$504,MATCH(A356,Maniobras!$A$5:$A$504,0)),""))</f>
        <v/>
      </c>
      <c r="C356" t="str">
        <f t="shared" si="10"/>
        <v/>
      </c>
      <c r="D356" t="str">
        <f>IF(A356="","",IFERROR(INDEX(Maniobras!$D$5:$D$504,MATCH(A356,Maniobras!$A$5:$A$504,0)),""))</f>
        <v/>
      </c>
      <c r="F356" s="29" t="str">
        <f>IF(A356="","",IFERROR(INDEX(Maniobras!$K$5:$K$504,MATCH(A356,Maniobras!$A$5:$A$504,0)),""))</f>
        <v/>
      </c>
      <c r="G356" s="29"/>
      <c r="H356" s="29"/>
      <c r="I356" s="29" t="str">
        <f t="shared" si="11"/>
        <v/>
      </c>
      <c r="K356" s="30"/>
      <c r="M356" t="str">
        <f>IF($A356=Ficha!$B$3,COUNTIF($A$5:$A356,Ficha!$B$3),"")</f>
        <v/>
      </c>
    </row>
    <row r="357" spans="2:13" x14ac:dyDescent="0.3">
      <c r="B357" s="30" t="str">
        <f>IF(A357="","",IFERROR(INDEX(Maniobras!$B$5:$B$504,MATCH(A357,Maniobras!$A$5:$A$504,0)),""))</f>
        <v/>
      </c>
      <c r="C357" t="str">
        <f t="shared" si="10"/>
        <v/>
      </c>
      <c r="D357" t="str">
        <f>IF(A357="","",IFERROR(INDEX(Maniobras!$D$5:$D$504,MATCH(A357,Maniobras!$A$5:$A$504,0)),""))</f>
        <v/>
      </c>
      <c r="F357" s="29" t="str">
        <f>IF(A357="","",IFERROR(INDEX(Maniobras!$K$5:$K$504,MATCH(A357,Maniobras!$A$5:$A$504,0)),""))</f>
        <v/>
      </c>
      <c r="G357" s="29"/>
      <c r="H357" s="29"/>
      <c r="I357" s="29" t="str">
        <f t="shared" si="11"/>
        <v/>
      </c>
      <c r="K357" s="30"/>
      <c r="M357" t="str">
        <f>IF($A357=Ficha!$B$3,COUNTIF($A$5:$A357,Ficha!$B$3),"")</f>
        <v/>
      </c>
    </row>
    <row r="358" spans="2:13" x14ac:dyDescent="0.3">
      <c r="B358" s="30" t="str">
        <f>IF(A358="","",IFERROR(INDEX(Maniobras!$B$5:$B$504,MATCH(A358,Maniobras!$A$5:$A$504,0)),""))</f>
        <v/>
      </c>
      <c r="C358" t="str">
        <f t="shared" si="10"/>
        <v/>
      </c>
      <c r="D358" t="str">
        <f>IF(A358="","",IFERROR(INDEX(Maniobras!$D$5:$D$504,MATCH(A358,Maniobras!$A$5:$A$504,0)),""))</f>
        <v/>
      </c>
      <c r="F358" s="29" t="str">
        <f>IF(A358="","",IFERROR(INDEX(Maniobras!$K$5:$K$504,MATCH(A358,Maniobras!$A$5:$A$504,0)),""))</f>
        <v/>
      </c>
      <c r="G358" s="29"/>
      <c r="H358" s="29"/>
      <c r="I358" s="29" t="str">
        <f t="shared" si="11"/>
        <v/>
      </c>
      <c r="K358" s="30"/>
      <c r="M358" t="str">
        <f>IF($A358=Ficha!$B$3,COUNTIF($A$5:$A358,Ficha!$B$3),"")</f>
        <v/>
      </c>
    </row>
    <row r="359" spans="2:13" x14ac:dyDescent="0.3">
      <c r="B359" s="30" t="str">
        <f>IF(A359="","",IFERROR(INDEX(Maniobras!$B$5:$B$504,MATCH(A359,Maniobras!$A$5:$A$504,0)),""))</f>
        <v/>
      </c>
      <c r="C359" t="str">
        <f t="shared" si="10"/>
        <v/>
      </c>
      <c r="D359" t="str">
        <f>IF(A359="","",IFERROR(INDEX(Maniobras!$D$5:$D$504,MATCH(A359,Maniobras!$A$5:$A$504,0)),""))</f>
        <v/>
      </c>
      <c r="F359" s="29" t="str">
        <f>IF(A359="","",IFERROR(INDEX(Maniobras!$K$5:$K$504,MATCH(A359,Maniobras!$A$5:$A$504,0)),""))</f>
        <v/>
      </c>
      <c r="G359" s="29"/>
      <c r="H359" s="29"/>
      <c r="I359" s="29" t="str">
        <f t="shared" si="11"/>
        <v/>
      </c>
      <c r="K359" s="30"/>
      <c r="M359" t="str">
        <f>IF($A359=Ficha!$B$3,COUNTIF($A$5:$A359,Ficha!$B$3),"")</f>
        <v/>
      </c>
    </row>
    <row r="360" spans="2:13" x14ac:dyDescent="0.3">
      <c r="B360" s="30" t="str">
        <f>IF(A360="","",IFERROR(INDEX(Maniobras!$B$5:$B$504,MATCH(A360,Maniobras!$A$5:$A$504,0)),""))</f>
        <v/>
      </c>
      <c r="C360" t="str">
        <f t="shared" si="10"/>
        <v/>
      </c>
      <c r="D360" t="str">
        <f>IF(A360="","",IFERROR(INDEX(Maniobras!$D$5:$D$504,MATCH(A360,Maniobras!$A$5:$A$504,0)),""))</f>
        <v/>
      </c>
      <c r="F360" s="29" t="str">
        <f>IF(A360="","",IFERROR(INDEX(Maniobras!$K$5:$K$504,MATCH(A360,Maniobras!$A$5:$A$504,0)),""))</f>
        <v/>
      </c>
      <c r="G360" s="29"/>
      <c r="H360" s="29"/>
      <c r="I360" s="29" t="str">
        <f t="shared" si="11"/>
        <v/>
      </c>
      <c r="K360" s="30"/>
      <c r="M360" t="str">
        <f>IF($A360=Ficha!$B$3,COUNTIF($A$5:$A360,Ficha!$B$3),"")</f>
        <v/>
      </c>
    </row>
    <row r="361" spans="2:13" x14ac:dyDescent="0.3">
      <c r="B361" s="30" t="str">
        <f>IF(A361="","",IFERROR(INDEX(Maniobras!$B$5:$B$504,MATCH(A361,Maniobras!$A$5:$A$504,0)),""))</f>
        <v/>
      </c>
      <c r="C361" t="str">
        <f t="shared" si="10"/>
        <v/>
      </c>
      <c r="D361" t="str">
        <f>IF(A361="","",IFERROR(INDEX(Maniobras!$D$5:$D$504,MATCH(A361,Maniobras!$A$5:$A$504,0)),""))</f>
        <v/>
      </c>
      <c r="F361" s="29" t="str">
        <f>IF(A361="","",IFERROR(INDEX(Maniobras!$K$5:$K$504,MATCH(A361,Maniobras!$A$5:$A$504,0)),""))</f>
        <v/>
      </c>
      <c r="G361" s="29"/>
      <c r="H361" s="29"/>
      <c r="I361" s="29" t="str">
        <f t="shared" si="11"/>
        <v/>
      </c>
      <c r="K361" s="30"/>
      <c r="M361" t="str">
        <f>IF($A361=Ficha!$B$3,COUNTIF($A$5:$A361,Ficha!$B$3),"")</f>
        <v/>
      </c>
    </row>
    <row r="362" spans="2:13" x14ac:dyDescent="0.3">
      <c r="B362" s="30" t="str">
        <f>IF(A362="","",IFERROR(INDEX(Maniobras!$B$5:$B$504,MATCH(A362,Maniobras!$A$5:$A$504,0)),""))</f>
        <v/>
      </c>
      <c r="C362" t="str">
        <f t="shared" si="10"/>
        <v/>
      </c>
      <c r="D362" t="str">
        <f>IF(A362="","",IFERROR(INDEX(Maniobras!$D$5:$D$504,MATCH(A362,Maniobras!$A$5:$A$504,0)),""))</f>
        <v/>
      </c>
      <c r="F362" s="29" t="str">
        <f>IF(A362="","",IFERROR(INDEX(Maniobras!$K$5:$K$504,MATCH(A362,Maniobras!$A$5:$A$504,0)),""))</f>
        <v/>
      </c>
      <c r="G362" s="29"/>
      <c r="H362" s="29"/>
      <c r="I362" s="29" t="str">
        <f t="shared" si="11"/>
        <v/>
      </c>
      <c r="K362" s="30"/>
      <c r="M362" t="str">
        <f>IF($A362=Ficha!$B$3,COUNTIF($A$5:$A362,Ficha!$B$3),"")</f>
        <v/>
      </c>
    </row>
    <row r="363" spans="2:13" x14ac:dyDescent="0.3">
      <c r="B363" s="30" t="str">
        <f>IF(A363="","",IFERROR(INDEX(Maniobras!$B$5:$B$504,MATCH(A363,Maniobras!$A$5:$A$504,0)),""))</f>
        <v/>
      </c>
      <c r="C363" t="str">
        <f t="shared" si="10"/>
        <v/>
      </c>
      <c r="D363" t="str">
        <f>IF(A363="","",IFERROR(INDEX(Maniobras!$D$5:$D$504,MATCH(A363,Maniobras!$A$5:$A$504,0)),""))</f>
        <v/>
      </c>
      <c r="F363" s="29" t="str">
        <f>IF(A363="","",IFERROR(INDEX(Maniobras!$K$5:$K$504,MATCH(A363,Maniobras!$A$5:$A$504,0)),""))</f>
        <v/>
      </c>
      <c r="G363" s="29"/>
      <c r="H363" s="29"/>
      <c r="I363" s="29" t="str">
        <f t="shared" si="11"/>
        <v/>
      </c>
      <c r="K363" s="30"/>
      <c r="M363" t="str">
        <f>IF($A363=Ficha!$B$3,COUNTIF($A$5:$A363,Ficha!$B$3),"")</f>
        <v/>
      </c>
    </row>
    <row r="364" spans="2:13" x14ac:dyDescent="0.3">
      <c r="B364" s="30" t="str">
        <f>IF(A364="","",IFERROR(INDEX(Maniobras!$B$5:$B$504,MATCH(A364,Maniobras!$A$5:$A$504,0)),""))</f>
        <v/>
      </c>
      <c r="C364" t="str">
        <f t="shared" si="10"/>
        <v/>
      </c>
      <c r="D364" t="str">
        <f>IF(A364="","",IFERROR(INDEX(Maniobras!$D$5:$D$504,MATCH(A364,Maniobras!$A$5:$A$504,0)),""))</f>
        <v/>
      </c>
      <c r="F364" s="29" t="str">
        <f>IF(A364="","",IFERROR(INDEX(Maniobras!$K$5:$K$504,MATCH(A364,Maniobras!$A$5:$A$504,0)),""))</f>
        <v/>
      </c>
      <c r="G364" s="29"/>
      <c r="H364" s="29"/>
      <c r="I364" s="29" t="str">
        <f t="shared" si="11"/>
        <v/>
      </c>
      <c r="K364" s="30"/>
      <c r="M364" t="str">
        <f>IF($A364=Ficha!$B$3,COUNTIF($A$5:$A364,Ficha!$B$3),"")</f>
        <v/>
      </c>
    </row>
    <row r="365" spans="2:13" x14ac:dyDescent="0.3">
      <c r="B365" s="30" t="str">
        <f>IF(A365="","",IFERROR(INDEX(Maniobras!$B$5:$B$504,MATCH(A365,Maniobras!$A$5:$A$504,0)),""))</f>
        <v/>
      </c>
      <c r="C365" t="str">
        <f t="shared" si="10"/>
        <v/>
      </c>
      <c r="D365" t="str">
        <f>IF(A365="","",IFERROR(INDEX(Maniobras!$D$5:$D$504,MATCH(A365,Maniobras!$A$5:$A$504,0)),""))</f>
        <v/>
      </c>
      <c r="F365" s="29" t="str">
        <f>IF(A365="","",IFERROR(INDEX(Maniobras!$K$5:$K$504,MATCH(A365,Maniobras!$A$5:$A$504,0)),""))</f>
        <v/>
      </c>
      <c r="G365" s="29"/>
      <c r="H365" s="29"/>
      <c r="I365" s="29" t="str">
        <f t="shared" si="11"/>
        <v/>
      </c>
      <c r="K365" s="30"/>
      <c r="M365" t="str">
        <f>IF($A365=Ficha!$B$3,COUNTIF($A$5:$A365,Ficha!$B$3),"")</f>
        <v/>
      </c>
    </row>
    <row r="366" spans="2:13" x14ac:dyDescent="0.3">
      <c r="B366" s="30" t="str">
        <f>IF(A366="","",IFERROR(INDEX(Maniobras!$B$5:$B$504,MATCH(A366,Maniobras!$A$5:$A$504,0)),""))</f>
        <v/>
      </c>
      <c r="C366" t="str">
        <f t="shared" si="10"/>
        <v/>
      </c>
      <c r="D366" t="str">
        <f>IF(A366="","",IFERROR(INDEX(Maniobras!$D$5:$D$504,MATCH(A366,Maniobras!$A$5:$A$504,0)),""))</f>
        <v/>
      </c>
      <c r="F366" s="29" t="str">
        <f>IF(A366="","",IFERROR(INDEX(Maniobras!$K$5:$K$504,MATCH(A366,Maniobras!$A$5:$A$504,0)),""))</f>
        <v/>
      </c>
      <c r="G366" s="29"/>
      <c r="H366" s="29"/>
      <c r="I366" s="29" t="str">
        <f t="shared" si="11"/>
        <v/>
      </c>
      <c r="K366" s="30"/>
      <c r="M366" t="str">
        <f>IF($A366=Ficha!$B$3,COUNTIF($A$5:$A366,Ficha!$B$3),"")</f>
        <v/>
      </c>
    </row>
    <row r="367" spans="2:13" x14ac:dyDescent="0.3">
      <c r="B367" s="30" t="str">
        <f>IF(A367="","",IFERROR(INDEX(Maniobras!$B$5:$B$504,MATCH(A367,Maniobras!$A$5:$A$504,0)),""))</f>
        <v/>
      </c>
      <c r="C367" t="str">
        <f t="shared" si="10"/>
        <v/>
      </c>
      <c r="D367" t="str">
        <f>IF(A367="","",IFERROR(INDEX(Maniobras!$D$5:$D$504,MATCH(A367,Maniobras!$A$5:$A$504,0)),""))</f>
        <v/>
      </c>
      <c r="F367" s="29" t="str">
        <f>IF(A367="","",IFERROR(INDEX(Maniobras!$K$5:$K$504,MATCH(A367,Maniobras!$A$5:$A$504,0)),""))</f>
        <v/>
      </c>
      <c r="G367" s="29"/>
      <c r="H367" s="29"/>
      <c r="I367" s="29" t="str">
        <f t="shared" si="11"/>
        <v/>
      </c>
      <c r="K367" s="30"/>
      <c r="M367" t="str">
        <f>IF($A367=Ficha!$B$3,COUNTIF($A$5:$A367,Ficha!$B$3),"")</f>
        <v/>
      </c>
    </row>
    <row r="368" spans="2:13" x14ac:dyDescent="0.3">
      <c r="B368" s="30" t="str">
        <f>IF(A368="","",IFERROR(INDEX(Maniobras!$B$5:$B$504,MATCH(A368,Maniobras!$A$5:$A$504,0)),""))</f>
        <v/>
      </c>
      <c r="C368" t="str">
        <f t="shared" si="10"/>
        <v/>
      </c>
      <c r="D368" t="str">
        <f>IF(A368="","",IFERROR(INDEX(Maniobras!$D$5:$D$504,MATCH(A368,Maniobras!$A$5:$A$504,0)),""))</f>
        <v/>
      </c>
      <c r="F368" s="29" t="str">
        <f>IF(A368="","",IFERROR(INDEX(Maniobras!$K$5:$K$504,MATCH(A368,Maniobras!$A$5:$A$504,0)),""))</f>
        <v/>
      </c>
      <c r="G368" s="29"/>
      <c r="H368" s="29"/>
      <c r="I368" s="29" t="str">
        <f t="shared" si="11"/>
        <v/>
      </c>
      <c r="K368" s="30"/>
      <c r="M368" t="str">
        <f>IF($A368=Ficha!$B$3,COUNTIF($A$5:$A368,Ficha!$B$3),"")</f>
        <v/>
      </c>
    </row>
    <row r="369" spans="2:13" x14ac:dyDescent="0.3">
      <c r="B369" s="30" t="str">
        <f>IF(A369="","",IFERROR(INDEX(Maniobras!$B$5:$B$504,MATCH(A369,Maniobras!$A$5:$A$504,0)),""))</f>
        <v/>
      </c>
      <c r="C369" t="str">
        <f t="shared" si="10"/>
        <v/>
      </c>
      <c r="D369" t="str">
        <f>IF(A369="","",IFERROR(INDEX(Maniobras!$D$5:$D$504,MATCH(A369,Maniobras!$A$5:$A$504,0)),""))</f>
        <v/>
      </c>
      <c r="F369" s="29" t="str">
        <f>IF(A369="","",IFERROR(INDEX(Maniobras!$K$5:$K$504,MATCH(A369,Maniobras!$A$5:$A$504,0)),""))</f>
        <v/>
      </c>
      <c r="G369" s="29"/>
      <c r="H369" s="29"/>
      <c r="I369" s="29" t="str">
        <f t="shared" si="11"/>
        <v/>
      </c>
      <c r="K369" s="30"/>
      <c r="M369" t="str">
        <f>IF($A369=Ficha!$B$3,COUNTIF($A$5:$A369,Ficha!$B$3),"")</f>
        <v/>
      </c>
    </row>
    <row r="370" spans="2:13" x14ac:dyDescent="0.3">
      <c r="B370" s="30" t="str">
        <f>IF(A370="","",IFERROR(INDEX(Maniobras!$B$5:$B$504,MATCH(A370,Maniobras!$A$5:$A$504,0)),""))</f>
        <v/>
      </c>
      <c r="C370" t="str">
        <f t="shared" si="10"/>
        <v/>
      </c>
      <c r="D370" t="str">
        <f>IF(A370="","",IFERROR(INDEX(Maniobras!$D$5:$D$504,MATCH(A370,Maniobras!$A$5:$A$504,0)),""))</f>
        <v/>
      </c>
      <c r="F370" s="29" t="str">
        <f>IF(A370="","",IFERROR(INDEX(Maniobras!$K$5:$K$504,MATCH(A370,Maniobras!$A$5:$A$504,0)),""))</f>
        <v/>
      </c>
      <c r="G370" s="29"/>
      <c r="H370" s="29"/>
      <c r="I370" s="29" t="str">
        <f t="shared" si="11"/>
        <v/>
      </c>
      <c r="K370" s="30"/>
      <c r="M370" t="str">
        <f>IF($A370=Ficha!$B$3,COUNTIF($A$5:$A370,Ficha!$B$3),"")</f>
        <v/>
      </c>
    </row>
    <row r="371" spans="2:13" x14ac:dyDescent="0.3">
      <c r="B371" s="30" t="str">
        <f>IF(A371="","",IFERROR(INDEX(Maniobras!$B$5:$B$504,MATCH(A371,Maniobras!$A$5:$A$504,0)),""))</f>
        <v/>
      </c>
      <c r="C371" t="str">
        <f t="shared" si="10"/>
        <v/>
      </c>
      <c r="D371" t="str">
        <f>IF(A371="","",IFERROR(INDEX(Maniobras!$D$5:$D$504,MATCH(A371,Maniobras!$A$5:$A$504,0)),""))</f>
        <v/>
      </c>
      <c r="F371" s="29" t="str">
        <f>IF(A371="","",IFERROR(INDEX(Maniobras!$K$5:$K$504,MATCH(A371,Maniobras!$A$5:$A$504,0)),""))</f>
        <v/>
      </c>
      <c r="G371" s="29"/>
      <c r="H371" s="29"/>
      <c r="I371" s="29" t="str">
        <f t="shared" si="11"/>
        <v/>
      </c>
      <c r="K371" s="30"/>
      <c r="M371" t="str">
        <f>IF($A371=Ficha!$B$3,COUNTIF($A$5:$A371,Ficha!$B$3),"")</f>
        <v/>
      </c>
    </row>
    <row r="372" spans="2:13" x14ac:dyDescent="0.3">
      <c r="B372" s="30" t="str">
        <f>IF(A372="","",IFERROR(INDEX(Maniobras!$B$5:$B$504,MATCH(A372,Maniobras!$A$5:$A$504,0)),""))</f>
        <v/>
      </c>
      <c r="C372" t="str">
        <f t="shared" si="10"/>
        <v/>
      </c>
      <c r="D372" t="str">
        <f>IF(A372="","",IFERROR(INDEX(Maniobras!$D$5:$D$504,MATCH(A372,Maniobras!$A$5:$A$504,0)),""))</f>
        <v/>
      </c>
      <c r="F372" s="29" t="str">
        <f>IF(A372="","",IFERROR(INDEX(Maniobras!$K$5:$K$504,MATCH(A372,Maniobras!$A$5:$A$504,0)),""))</f>
        <v/>
      </c>
      <c r="G372" s="29"/>
      <c r="H372" s="29"/>
      <c r="I372" s="29" t="str">
        <f t="shared" si="11"/>
        <v/>
      </c>
      <c r="K372" s="30"/>
      <c r="M372" t="str">
        <f>IF($A372=Ficha!$B$3,COUNTIF($A$5:$A372,Ficha!$B$3),"")</f>
        <v/>
      </c>
    </row>
    <row r="373" spans="2:13" x14ac:dyDescent="0.3">
      <c r="B373" s="30" t="str">
        <f>IF(A373="","",IFERROR(INDEX(Maniobras!$B$5:$B$504,MATCH(A373,Maniobras!$A$5:$A$504,0)),""))</f>
        <v/>
      </c>
      <c r="C373" t="str">
        <f t="shared" si="10"/>
        <v/>
      </c>
      <c r="D373" t="str">
        <f>IF(A373="","",IFERROR(INDEX(Maniobras!$D$5:$D$504,MATCH(A373,Maniobras!$A$5:$A$504,0)),""))</f>
        <v/>
      </c>
      <c r="F373" s="29" t="str">
        <f>IF(A373="","",IFERROR(INDEX(Maniobras!$K$5:$K$504,MATCH(A373,Maniobras!$A$5:$A$504,0)),""))</f>
        <v/>
      </c>
      <c r="G373" s="29"/>
      <c r="H373" s="29"/>
      <c r="I373" s="29" t="str">
        <f t="shared" si="11"/>
        <v/>
      </c>
      <c r="K373" s="30"/>
      <c r="M373" t="str">
        <f>IF($A373=Ficha!$B$3,COUNTIF($A$5:$A373,Ficha!$B$3),"")</f>
        <v/>
      </c>
    </row>
    <row r="374" spans="2:13" x14ac:dyDescent="0.3">
      <c r="B374" s="30" t="str">
        <f>IF(A374="","",IFERROR(INDEX(Maniobras!$B$5:$B$504,MATCH(A374,Maniobras!$A$5:$A$504,0)),""))</f>
        <v/>
      </c>
      <c r="C374" t="str">
        <f t="shared" si="10"/>
        <v/>
      </c>
      <c r="D374" t="str">
        <f>IF(A374="","",IFERROR(INDEX(Maniobras!$D$5:$D$504,MATCH(A374,Maniobras!$A$5:$A$504,0)),""))</f>
        <v/>
      </c>
      <c r="F374" s="29" t="str">
        <f>IF(A374="","",IFERROR(INDEX(Maniobras!$K$5:$K$504,MATCH(A374,Maniobras!$A$5:$A$504,0)),""))</f>
        <v/>
      </c>
      <c r="G374" s="29"/>
      <c r="H374" s="29"/>
      <c r="I374" s="29" t="str">
        <f t="shared" si="11"/>
        <v/>
      </c>
      <c r="K374" s="30"/>
      <c r="M374" t="str">
        <f>IF($A374=Ficha!$B$3,COUNTIF($A$5:$A374,Ficha!$B$3),"")</f>
        <v/>
      </c>
    </row>
    <row r="375" spans="2:13" x14ac:dyDescent="0.3">
      <c r="B375" s="30" t="str">
        <f>IF(A375="","",IFERROR(INDEX(Maniobras!$B$5:$B$504,MATCH(A375,Maniobras!$A$5:$A$504,0)),""))</f>
        <v/>
      </c>
      <c r="C375" t="str">
        <f t="shared" si="10"/>
        <v/>
      </c>
      <c r="D375" t="str">
        <f>IF(A375="","",IFERROR(INDEX(Maniobras!$D$5:$D$504,MATCH(A375,Maniobras!$A$5:$A$504,0)),""))</f>
        <v/>
      </c>
      <c r="F375" s="29" t="str">
        <f>IF(A375="","",IFERROR(INDEX(Maniobras!$K$5:$K$504,MATCH(A375,Maniobras!$A$5:$A$504,0)),""))</f>
        <v/>
      </c>
      <c r="G375" s="29"/>
      <c r="H375" s="29"/>
      <c r="I375" s="29" t="str">
        <f t="shared" si="11"/>
        <v/>
      </c>
      <c r="K375" s="30"/>
      <c r="M375" t="str">
        <f>IF($A375=Ficha!$B$3,COUNTIF($A$5:$A375,Ficha!$B$3),"")</f>
        <v/>
      </c>
    </row>
    <row r="376" spans="2:13" x14ac:dyDescent="0.3">
      <c r="B376" s="30" t="str">
        <f>IF(A376="","",IFERROR(INDEX(Maniobras!$B$5:$B$504,MATCH(A376,Maniobras!$A$5:$A$504,0)),""))</f>
        <v/>
      </c>
      <c r="C376" t="str">
        <f t="shared" si="10"/>
        <v/>
      </c>
      <c r="D376" t="str">
        <f>IF(A376="","",IFERROR(INDEX(Maniobras!$D$5:$D$504,MATCH(A376,Maniobras!$A$5:$A$504,0)),""))</f>
        <v/>
      </c>
      <c r="F376" s="29" t="str">
        <f>IF(A376="","",IFERROR(INDEX(Maniobras!$K$5:$K$504,MATCH(A376,Maniobras!$A$5:$A$504,0)),""))</f>
        <v/>
      </c>
      <c r="G376" s="29"/>
      <c r="H376" s="29"/>
      <c r="I376" s="29" t="str">
        <f t="shared" si="11"/>
        <v/>
      </c>
      <c r="K376" s="30"/>
      <c r="M376" t="str">
        <f>IF($A376=Ficha!$B$3,COUNTIF($A$5:$A376,Ficha!$B$3),"")</f>
        <v/>
      </c>
    </row>
    <row r="377" spans="2:13" x14ac:dyDescent="0.3">
      <c r="B377" s="30" t="str">
        <f>IF(A377="","",IFERROR(INDEX(Maniobras!$B$5:$B$504,MATCH(A377,Maniobras!$A$5:$A$504,0)),""))</f>
        <v/>
      </c>
      <c r="C377" t="str">
        <f t="shared" si="10"/>
        <v/>
      </c>
      <c r="D377" t="str">
        <f>IF(A377="","",IFERROR(INDEX(Maniobras!$D$5:$D$504,MATCH(A377,Maniobras!$A$5:$A$504,0)),""))</f>
        <v/>
      </c>
      <c r="F377" s="29" t="str">
        <f>IF(A377="","",IFERROR(INDEX(Maniobras!$K$5:$K$504,MATCH(A377,Maniobras!$A$5:$A$504,0)),""))</f>
        <v/>
      </c>
      <c r="G377" s="29"/>
      <c r="H377" s="29"/>
      <c r="I377" s="29" t="str">
        <f t="shared" si="11"/>
        <v/>
      </c>
      <c r="K377" s="30"/>
      <c r="M377" t="str">
        <f>IF($A377=Ficha!$B$3,COUNTIF($A$5:$A377,Ficha!$B$3),"")</f>
        <v/>
      </c>
    </row>
    <row r="378" spans="2:13" x14ac:dyDescent="0.3">
      <c r="B378" s="30" t="str">
        <f>IF(A378="","",IFERROR(INDEX(Maniobras!$B$5:$B$504,MATCH(A378,Maniobras!$A$5:$A$504,0)),""))</f>
        <v/>
      </c>
      <c r="C378" t="str">
        <f t="shared" si="10"/>
        <v/>
      </c>
      <c r="D378" t="str">
        <f>IF(A378="","",IFERROR(INDEX(Maniobras!$D$5:$D$504,MATCH(A378,Maniobras!$A$5:$A$504,0)),""))</f>
        <v/>
      </c>
      <c r="F378" s="29" t="str">
        <f>IF(A378="","",IFERROR(INDEX(Maniobras!$K$5:$K$504,MATCH(A378,Maniobras!$A$5:$A$504,0)),""))</f>
        <v/>
      </c>
      <c r="G378" s="29"/>
      <c r="H378" s="29"/>
      <c r="I378" s="29" t="str">
        <f t="shared" si="11"/>
        <v/>
      </c>
      <c r="K378" s="30"/>
      <c r="M378" t="str">
        <f>IF($A378=Ficha!$B$3,COUNTIF($A$5:$A378,Ficha!$B$3),"")</f>
        <v/>
      </c>
    </row>
    <row r="379" spans="2:13" x14ac:dyDescent="0.3">
      <c r="B379" s="30" t="str">
        <f>IF(A379="","",IFERROR(INDEX(Maniobras!$B$5:$B$504,MATCH(A379,Maniobras!$A$5:$A$504,0)),""))</f>
        <v/>
      </c>
      <c r="C379" t="str">
        <f t="shared" si="10"/>
        <v/>
      </c>
      <c r="D379" t="str">
        <f>IF(A379="","",IFERROR(INDEX(Maniobras!$D$5:$D$504,MATCH(A379,Maniobras!$A$5:$A$504,0)),""))</f>
        <v/>
      </c>
      <c r="F379" s="29" t="str">
        <f>IF(A379="","",IFERROR(INDEX(Maniobras!$K$5:$K$504,MATCH(A379,Maniobras!$A$5:$A$504,0)),""))</f>
        <v/>
      </c>
      <c r="G379" s="29"/>
      <c r="H379" s="29"/>
      <c r="I379" s="29" t="str">
        <f t="shared" si="11"/>
        <v/>
      </c>
      <c r="K379" s="30"/>
      <c r="M379" t="str">
        <f>IF($A379=Ficha!$B$3,COUNTIF($A$5:$A379,Ficha!$B$3),"")</f>
        <v/>
      </c>
    </row>
    <row r="380" spans="2:13" x14ac:dyDescent="0.3">
      <c r="B380" s="30" t="str">
        <f>IF(A380="","",IFERROR(INDEX(Maniobras!$B$5:$B$504,MATCH(A380,Maniobras!$A$5:$A$504,0)),""))</f>
        <v/>
      </c>
      <c r="C380" t="str">
        <f t="shared" si="10"/>
        <v/>
      </c>
      <c r="D380" t="str">
        <f>IF(A380="","",IFERROR(INDEX(Maniobras!$D$5:$D$504,MATCH(A380,Maniobras!$A$5:$A$504,0)),""))</f>
        <v/>
      </c>
      <c r="F380" s="29" t="str">
        <f>IF(A380="","",IFERROR(INDEX(Maniobras!$K$5:$K$504,MATCH(A380,Maniobras!$A$5:$A$504,0)),""))</f>
        <v/>
      </c>
      <c r="G380" s="29"/>
      <c r="H380" s="29"/>
      <c r="I380" s="29" t="str">
        <f t="shared" si="11"/>
        <v/>
      </c>
      <c r="K380" s="30"/>
      <c r="M380" t="str">
        <f>IF($A380=Ficha!$B$3,COUNTIF($A$5:$A380,Ficha!$B$3),"")</f>
        <v/>
      </c>
    </row>
    <row r="381" spans="2:13" x14ac:dyDescent="0.3">
      <c r="B381" s="30" t="str">
        <f>IF(A381="","",IFERROR(INDEX(Maniobras!$B$5:$B$504,MATCH(A381,Maniobras!$A$5:$A$504,0)),""))</f>
        <v/>
      </c>
      <c r="C381" t="str">
        <f t="shared" si="10"/>
        <v/>
      </c>
      <c r="D381" t="str">
        <f>IF(A381="","",IFERROR(INDEX(Maniobras!$D$5:$D$504,MATCH(A381,Maniobras!$A$5:$A$504,0)),""))</f>
        <v/>
      </c>
      <c r="F381" s="29" t="str">
        <f>IF(A381="","",IFERROR(INDEX(Maniobras!$K$5:$K$504,MATCH(A381,Maniobras!$A$5:$A$504,0)),""))</f>
        <v/>
      </c>
      <c r="G381" s="29"/>
      <c r="H381" s="29"/>
      <c r="I381" s="29" t="str">
        <f t="shared" si="11"/>
        <v/>
      </c>
      <c r="K381" s="30"/>
      <c r="M381" t="str">
        <f>IF($A381=Ficha!$B$3,COUNTIF($A$5:$A381,Ficha!$B$3),"")</f>
        <v/>
      </c>
    </row>
    <row r="382" spans="2:13" x14ac:dyDescent="0.3">
      <c r="B382" s="30" t="str">
        <f>IF(A382="","",IFERROR(INDEX(Maniobras!$B$5:$B$504,MATCH(A382,Maniobras!$A$5:$A$504,0)),""))</f>
        <v/>
      </c>
      <c r="C382" t="str">
        <f t="shared" si="10"/>
        <v/>
      </c>
      <c r="D382" t="str">
        <f>IF(A382="","",IFERROR(INDEX(Maniobras!$D$5:$D$504,MATCH(A382,Maniobras!$A$5:$A$504,0)),""))</f>
        <v/>
      </c>
      <c r="F382" s="29" t="str">
        <f>IF(A382="","",IFERROR(INDEX(Maniobras!$K$5:$K$504,MATCH(A382,Maniobras!$A$5:$A$504,0)),""))</f>
        <v/>
      </c>
      <c r="G382" s="29"/>
      <c r="H382" s="29"/>
      <c r="I382" s="29" t="str">
        <f t="shared" si="11"/>
        <v/>
      </c>
      <c r="K382" s="30"/>
      <c r="M382" t="str">
        <f>IF($A382=Ficha!$B$3,COUNTIF($A$5:$A382,Ficha!$B$3),"")</f>
        <v/>
      </c>
    </row>
    <row r="383" spans="2:13" x14ac:dyDescent="0.3">
      <c r="B383" s="30" t="str">
        <f>IF(A383="","",IFERROR(INDEX(Maniobras!$B$5:$B$504,MATCH(A383,Maniobras!$A$5:$A$504,0)),""))</f>
        <v/>
      </c>
      <c r="C383" t="str">
        <f t="shared" si="10"/>
        <v/>
      </c>
      <c r="D383" t="str">
        <f>IF(A383="","",IFERROR(INDEX(Maniobras!$D$5:$D$504,MATCH(A383,Maniobras!$A$5:$A$504,0)),""))</f>
        <v/>
      </c>
      <c r="F383" s="29" t="str">
        <f>IF(A383="","",IFERROR(INDEX(Maniobras!$K$5:$K$504,MATCH(A383,Maniobras!$A$5:$A$504,0)),""))</f>
        <v/>
      </c>
      <c r="G383" s="29"/>
      <c r="H383" s="29"/>
      <c r="I383" s="29" t="str">
        <f t="shared" si="11"/>
        <v/>
      </c>
      <c r="K383" s="30"/>
      <c r="M383" t="str">
        <f>IF($A383=Ficha!$B$3,COUNTIF($A$5:$A383,Ficha!$B$3),"")</f>
        <v/>
      </c>
    </row>
    <row r="384" spans="2:13" x14ac:dyDescent="0.3">
      <c r="B384" s="30" t="str">
        <f>IF(A384="","",IFERROR(INDEX(Maniobras!$B$5:$B$504,MATCH(A384,Maniobras!$A$5:$A$504,0)),""))</f>
        <v/>
      </c>
      <c r="C384" t="str">
        <f t="shared" si="10"/>
        <v/>
      </c>
      <c r="D384" t="str">
        <f>IF(A384="","",IFERROR(INDEX(Maniobras!$D$5:$D$504,MATCH(A384,Maniobras!$A$5:$A$504,0)),""))</f>
        <v/>
      </c>
      <c r="F384" s="29" t="str">
        <f>IF(A384="","",IFERROR(INDEX(Maniobras!$K$5:$K$504,MATCH(A384,Maniobras!$A$5:$A$504,0)),""))</f>
        <v/>
      </c>
      <c r="G384" s="29"/>
      <c r="H384" s="29"/>
      <c r="I384" s="29" t="str">
        <f t="shared" si="11"/>
        <v/>
      </c>
      <c r="K384" s="30"/>
      <c r="M384" t="str">
        <f>IF($A384=Ficha!$B$3,COUNTIF($A$5:$A384,Ficha!$B$3),"")</f>
        <v/>
      </c>
    </row>
    <row r="385" spans="2:13" x14ac:dyDescent="0.3">
      <c r="B385" s="30" t="str">
        <f>IF(A385="","",IFERROR(INDEX(Maniobras!$B$5:$B$504,MATCH(A385,Maniobras!$A$5:$A$504,0)),""))</f>
        <v/>
      </c>
      <c r="C385" t="str">
        <f t="shared" si="10"/>
        <v/>
      </c>
      <c r="D385" t="str">
        <f>IF(A385="","",IFERROR(INDEX(Maniobras!$D$5:$D$504,MATCH(A385,Maniobras!$A$5:$A$504,0)),""))</f>
        <v/>
      </c>
      <c r="F385" s="29" t="str">
        <f>IF(A385="","",IFERROR(INDEX(Maniobras!$K$5:$K$504,MATCH(A385,Maniobras!$A$5:$A$504,0)),""))</f>
        <v/>
      </c>
      <c r="G385" s="29"/>
      <c r="H385" s="29"/>
      <c r="I385" s="29" t="str">
        <f t="shared" si="11"/>
        <v/>
      </c>
      <c r="K385" s="30"/>
      <c r="M385" t="str">
        <f>IF($A385=Ficha!$B$3,COUNTIF($A$5:$A385,Ficha!$B$3),"")</f>
        <v/>
      </c>
    </row>
    <row r="386" spans="2:13" x14ac:dyDescent="0.3">
      <c r="B386" s="30" t="str">
        <f>IF(A386="","",IFERROR(INDEX(Maniobras!$B$5:$B$504,MATCH(A386,Maniobras!$A$5:$A$504,0)),""))</f>
        <v/>
      </c>
      <c r="C386" t="str">
        <f t="shared" si="10"/>
        <v/>
      </c>
      <c r="D386" t="str">
        <f>IF(A386="","",IFERROR(INDEX(Maniobras!$D$5:$D$504,MATCH(A386,Maniobras!$A$5:$A$504,0)),""))</f>
        <v/>
      </c>
      <c r="F386" s="29" t="str">
        <f>IF(A386="","",IFERROR(INDEX(Maniobras!$K$5:$K$504,MATCH(A386,Maniobras!$A$5:$A$504,0)),""))</f>
        <v/>
      </c>
      <c r="G386" s="29"/>
      <c r="H386" s="29"/>
      <c r="I386" s="29" t="str">
        <f t="shared" si="11"/>
        <v/>
      </c>
      <c r="K386" s="30"/>
      <c r="M386" t="str">
        <f>IF($A386=Ficha!$B$3,COUNTIF($A$5:$A386,Ficha!$B$3),"")</f>
        <v/>
      </c>
    </row>
    <row r="387" spans="2:13" x14ac:dyDescent="0.3">
      <c r="B387" s="30" t="str">
        <f>IF(A387="","",IFERROR(INDEX(Maniobras!$B$5:$B$504,MATCH(A387,Maniobras!$A$5:$A$504,0)),""))</f>
        <v/>
      </c>
      <c r="C387" t="str">
        <f t="shared" si="10"/>
        <v/>
      </c>
      <c r="D387" t="str">
        <f>IF(A387="","",IFERROR(INDEX(Maniobras!$D$5:$D$504,MATCH(A387,Maniobras!$A$5:$A$504,0)),""))</f>
        <v/>
      </c>
      <c r="F387" s="29" t="str">
        <f>IF(A387="","",IFERROR(INDEX(Maniobras!$K$5:$K$504,MATCH(A387,Maniobras!$A$5:$A$504,0)),""))</f>
        <v/>
      </c>
      <c r="G387" s="29"/>
      <c r="H387" s="29"/>
      <c r="I387" s="29" t="str">
        <f t="shared" si="11"/>
        <v/>
      </c>
      <c r="K387" s="30"/>
      <c r="M387" t="str">
        <f>IF($A387=Ficha!$B$3,COUNTIF($A$5:$A387,Ficha!$B$3),"")</f>
        <v/>
      </c>
    </row>
    <row r="388" spans="2:13" x14ac:dyDescent="0.3">
      <c r="B388" s="30" t="str">
        <f>IF(A388="","",IFERROR(INDEX(Maniobras!$B$5:$B$504,MATCH(A388,Maniobras!$A$5:$A$504,0)),""))</f>
        <v/>
      </c>
      <c r="C388" t="str">
        <f t="shared" si="10"/>
        <v/>
      </c>
      <c r="D388" t="str">
        <f>IF(A388="","",IFERROR(INDEX(Maniobras!$D$5:$D$504,MATCH(A388,Maniobras!$A$5:$A$504,0)),""))</f>
        <v/>
      </c>
      <c r="F388" s="29" t="str">
        <f>IF(A388="","",IFERROR(INDEX(Maniobras!$K$5:$K$504,MATCH(A388,Maniobras!$A$5:$A$504,0)),""))</f>
        <v/>
      </c>
      <c r="G388" s="29"/>
      <c r="H388" s="29"/>
      <c r="I388" s="29" t="str">
        <f t="shared" si="11"/>
        <v/>
      </c>
      <c r="K388" s="30"/>
      <c r="M388" t="str">
        <f>IF($A388=Ficha!$B$3,COUNTIF($A$5:$A388,Ficha!$B$3),"")</f>
        <v/>
      </c>
    </row>
    <row r="389" spans="2:13" x14ac:dyDescent="0.3">
      <c r="B389" s="30" t="str">
        <f>IF(A389="","",IFERROR(INDEX(Maniobras!$B$5:$B$504,MATCH(A389,Maniobras!$A$5:$A$504,0)),""))</f>
        <v/>
      </c>
      <c r="C389" t="str">
        <f t="shared" ref="C389:C452" si="12">IF(B389="","",TEXT(B389,"yyyy-mm"))</f>
        <v/>
      </c>
      <c r="D389" t="str">
        <f>IF(A389="","",IFERROR(INDEX(Maniobras!$D$5:$D$504,MATCH(A389,Maniobras!$A$5:$A$504,0)),""))</f>
        <v/>
      </c>
      <c r="F389" s="29" t="str">
        <f>IF(A389="","",IFERROR(INDEX(Maniobras!$K$5:$K$504,MATCH(A389,Maniobras!$A$5:$A$504,0)),""))</f>
        <v/>
      </c>
      <c r="G389" s="29"/>
      <c r="H389" s="29"/>
      <c r="I389" s="29" t="str">
        <f t="shared" ref="I389:I452" si="13">IF(G389="","",G389+N(H389))</f>
        <v/>
      </c>
      <c r="K389" s="30"/>
      <c r="M389" t="str">
        <f>IF($A389=Ficha!$B$3,COUNTIF($A$5:$A389,Ficha!$B$3),"")</f>
        <v/>
      </c>
    </row>
    <row r="390" spans="2:13" x14ac:dyDescent="0.3">
      <c r="B390" s="30" t="str">
        <f>IF(A390="","",IFERROR(INDEX(Maniobras!$B$5:$B$504,MATCH(A390,Maniobras!$A$5:$A$504,0)),""))</f>
        <v/>
      </c>
      <c r="C390" t="str">
        <f t="shared" si="12"/>
        <v/>
      </c>
      <c r="D390" t="str">
        <f>IF(A390="","",IFERROR(INDEX(Maniobras!$D$5:$D$504,MATCH(A390,Maniobras!$A$5:$A$504,0)),""))</f>
        <v/>
      </c>
      <c r="F390" s="29" t="str">
        <f>IF(A390="","",IFERROR(INDEX(Maniobras!$K$5:$K$504,MATCH(A390,Maniobras!$A$5:$A$504,0)),""))</f>
        <v/>
      </c>
      <c r="G390" s="29"/>
      <c r="H390" s="29"/>
      <c r="I390" s="29" t="str">
        <f t="shared" si="13"/>
        <v/>
      </c>
      <c r="K390" s="30"/>
      <c r="M390" t="str">
        <f>IF($A390=Ficha!$B$3,COUNTIF($A$5:$A390,Ficha!$B$3),"")</f>
        <v/>
      </c>
    </row>
    <row r="391" spans="2:13" x14ac:dyDescent="0.3">
      <c r="B391" s="30" t="str">
        <f>IF(A391="","",IFERROR(INDEX(Maniobras!$B$5:$B$504,MATCH(A391,Maniobras!$A$5:$A$504,0)),""))</f>
        <v/>
      </c>
      <c r="C391" t="str">
        <f t="shared" si="12"/>
        <v/>
      </c>
      <c r="D391" t="str">
        <f>IF(A391="","",IFERROR(INDEX(Maniobras!$D$5:$D$504,MATCH(A391,Maniobras!$A$5:$A$504,0)),""))</f>
        <v/>
      </c>
      <c r="F391" s="29" t="str">
        <f>IF(A391="","",IFERROR(INDEX(Maniobras!$K$5:$K$504,MATCH(A391,Maniobras!$A$5:$A$504,0)),""))</f>
        <v/>
      </c>
      <c r="G391" s="29"/>
      <c r="H391" s="29"/>
      <c r="I391" s="29" t="str">
        <f t="shared" si="13"/>
        <v/>
      </c>
      <c r="K391" s="30"/>
      <c r="M391" t="str">
        <f>IF($A391=Ficha!$B$3,COUNTIF($A$5:$A391,Ficha!$B$3),"")</f>
        <v/>
      </c>
    </row>
    <row r="392" spans="2:13" x14ac:dyDescent="0.3">
      <c r="B392" s="30" t="str">
        <f>IF(A392="","",IFERROR(INDEX(Maniobras!$B$5:$B$504,MATCH(A392,Maniobras!$A$5:$A$504,0)),""))</f>
        <v/>
      </c>
      <c r="C392" t="str">
        <f t="shared" si="12"/>
        <v/>
      </c>
      <c r="D392" t="str">
        <f>IF(A392="","",IFERROR(INDEX(Maniobras!$D$5:$D$504,MATCH(A392,Maniobras!$A$5:$A$504,0)),""))</f>
        <v/>
      </c>
      <c r="F392" s="29" t="str">
        <f>IF(A392="","",IFERROR(INDEX(Maniobras!$K$5:$K$504,MATCH(A392,Maniobras!$A$5:$A$504,0)),""))</f>
        <v/>
      </c>
      <c r="G392" s="29"/>
      <c r="H392" s="29"/>
      <c r="I392" s="29" t="str">
        <f t="shared" si="13"/>
        <v/>
      </c>
      <c r="K392" s="30"/>
      <c r="M392" t="str">
        <f>IF($A392=Ficha!$B$3,COUNTIF($A$5:$A392,Ficha!$B$3),"")</f>
        <v/>
      </c>
    </row>
    <row r="393" spans="2:13" x14ac:dyDescent="0.3">
      <c r="B393" s="30" t="str">
        <f>IF(A393="","",IFERROR(INDEX(Maniobras!$B$5:$B$504,MATCH(A393,Maniobras!$A$5:$A$504,0)),""))</f>
        <v/>
      </c>
      <c r="C393" t="str">
        <f t="shared" si="12"/>
        <v/>
      </c>
      <c r="D393" t="str">
        <f>IF(A393="","",IFERROR(INDEX(Maniobras!$D$5:$D$504,MATCH(A393,Maniobras!$A$5:$A$504,0)),""))</f>
        <v/>
      </c>
      <c r="F393" s="29" t="str">
        <f>IF(A393="","",IFERROR(INDEX(Maniobras!$K$5:$K$504,MATCH(A393,Maniobras!$A$5:$A$504,0)),""))</f>
        <v/>
      </c>
      <c r="G393" s="29"/>
      <c r="H393" s="29"/>
      <c r="I393" s="29" t="str">
        <f t="shared" si="13"/>
        <v/>
      </c>
      <c r="K393" s="30"/>
      <c r="M393" t="str">
        <f>IF($A393=Ficha!$B$3,COUNTIF($A$5:$A393,Ficha!$B$3),"")</f>
        <v/>
      </c>
    </row>
    <row r="394" spans="2:13" x14ac:dyDescent="0.3">
      <c r="B394" s="30" t="str">
        <f>IF(A394="","",IFERROR(INDEX(Maniobras!$B$5:$B$504,MATCH(A394,Maniobras!$A$5:$A$504,0)),""))</f>
        <v/>
      </c>
      <c r="C394" t="str">
        <f t="shared" si="12"/>
        <v/>
      </c>
      <c r="D394" t="str">
        <f>IF(A394="","",IFERROR(INDEX(Maniobras!$D$5:$D$504,MATCH(A394,Maniobras!$A$5:$A$504,0)),""))</f>
        <v/>
      </c>
      <c r="F394" s="29" t="str">
        <f>IF(A394="","",IFERROR(INDEX(Maniobras!$K$5:$K$504,MATCH(A394,Maniobras!$A$5:$A$504,0)),""))</f>
        <v/>
      </c>
      <c r="G394" s="29"/>
      <c r="H394" s="29"/>
      <c r="I394" s="29" t="str">
        <f t="shared" si="13"/>
        <v/>
      </c>
      <c r="K394" s="30"/>
      <c r="M394" t="str">
        <f>IF($A394=Ficha!$B$3,COUNTIF($A$5:$A394,Ficha!$B$3),"")</f>
        <v/>
      </c>
    </row>
    <row r="395" spans="2:13" x14ac:dyDescent="0.3">
      <c r="B395" s="30" t="str">
        <f>IF(A395="","",IFERROR(INDEX(Maniobras!$B$5:$B$504,MATCH(A395,Maniobras!$A$5:$A$504,0)),""))</f>
        <v/>
      </c>
      <c r="C395" t="str">
        <f t="shared" si="12"/>
        <v/>
      </c>
      <c r="D395" t="str">
        <f>IF(A395="","",IFERROR(INDEX(Maniobras!$D$5:$D$504,MATCH(A395,Maniobras!$A$5:$A$504,0)),""))</f>
        <v/>
      </c>
      <c r="F395" s="29" t="str">
        <f>IF(A395="","",IFERROR(INDEX(Maniobras!$K$5:$K$504,MATCH(A395,Maniobras!$A$5:$A$504,0)),""))</f>
        <v/>
      </c>
      <c r="G395" s="29"/>
      <c r="H395" s="29"/>
      <c r="I395" s="29" t="str">
        <f t="shared" si="13"/>
        <v/>
      </c>
      <c r="K395" s="30"/>
      <c r="M395" t="str">
        <f>IF($A395=Ficha!$B$3,COUNTIF($A$5:$A395,Ficha!$B$3),"")</f>
        <v/>
      </c>
    </row>
    <row r="396" spans="2:13" x14ac:dyDescent="0.3">
      <c r="B396" s="30" t="str">
        <f>IF(A396="","",IFERROR(INDEX(Maniobras!$B$5:$B$504,MATCH(A396,Maniobras!$A$5:$A$504,0)),""))</f>
        <v/>
      </c>
      <c r="C396" t="str">
        <f t="shared" si="12"/>
        <v/>
      </c>
      <c r="D396" t="str">
        <f>IF(A396="","",IFERROR(INDEX(Maniobras!$D$5:$D$504,MATCH(A396,Maniobras!$A$5:$A$504,0)),""))</f>
        <v/>
      </c>
      <c r="F396" s="29" t="str">
        <f>IF(A396="","",IFERROR(INDEX(Maniobras!$K$5:$K$504,MATCH(A396,Maniobras!$A$5:$A$504,0)),""))</f>
        <v/>
      </c>
      <c r="G396" s="29"/>
      <c r="H396" s="29"/>
      <c r="I396" s="29" t="str">
        <f t="shared" si="13"/>
        <v/>
      </c>
      <c r="K396" s="30"/>
      <c r="M396" t="str">
        <f>IF($A396=Ficha!$B$3,COUNTIF($A$5:$A396,Ficha!$B$3),"")</f>
        <v/>
      </c>
    </row>
    <row r="397" spans="2:13" x14ac:dyDescent="0.3">
      <c r="B397" s="30" t="str">
        <f>IF(A397="","",IFERROR(INDEX(Maniobras!$B$5:$B$504,MATCH(A397,Maniobras!$A$5:$A$504,0)),""))</f>
        <v/>
      </c>
      <c r="C397" t="str">
        <f t="shared" si="12"/>
        <v/>
      </c>
      <c r="D397" t="str">
        <f>IF(A397="","",IFERROR(INDEX(Maniobras!$D$5:$D$504,MATCH(A397,Maniobras!$A$5:$A$504,0)),""))</f>
        <v/>
      </c>
      <c r="F397" s="29" t="str">
        <f>IF(A397="","",IFERROR(INDEX(Maniobras!$K$5:$K$504,MATCH(A397,Maniobras!$A$5:$A$504,0)),""))</f>
        <v/>
      </c>
      <c r="G397" s="29"/>
      <c r="H397" s="29"/>
      <c r="I397" s="29" t="str">
        <f t="shared" si="13"/>
        <v/>
      </c>
      <c r="K397" s="30"/>
      <c r="M397" t="str">
        <f>IF($A397=Ficha!$B$3,COUNTIF($A$5:$A397,Ficha!$B$3),"")</f>
        <v/>
      </c>
    </row>
    <row r="398" spans="2:13" x14ac:dyDescent="0.3">
      <c r="B398" s="30" t="str">
        <f>IF(A398="","",IFERROR(INDEX(Maniobras!$B$5:$B$504,MATCH(A398,Maniobras!$A$5:$A$504,0)),""))</f>
        <v/>
      </c>
      <c r="C398" t="str">
        <f t="shared" si="12"/>
        <v/>
      </c>
      <c r="D398" t="str">
        <f>IF(A398="","",IFERROR(INDEX(Maniobras!$D$5:$D$504,MATCH(A398,Maniobras!$A$5:$A$504,0)),""))</f>
        <v/>
      </c>
      <c r="F398" s="29" t="str">
        <f>IF(A398="","",IFERROR(INDEX(Maniobras!$K$5:$K$504,MATCH(A398,Maniobras!$A$5:$A$504,0)),""))</f>
        <v/>
      </c>
      <c r="G398" s="29"/>
      <c r="H398" s="29"/>
      <c r="I398" s="29" t="str">
        <f t="shared" si="13"/>
        <v/>
      </c>
      <c r="K398" s="30"/>
      <c r="M398" t="str">
        <f>IF($A398=Ficha!$B$3,COUNTIF($A$5:$A398,Ficha!$B$3),"")</f>
        <v/>
      </c>
    </row>
    <row r="399" spans="2:13" x14ac:dyDescent="0.3">
      <c r="B399" s="30" t="str">
        <f>IF(A399="","",IFERROR(INDEX(Maniobras!$B$5:$B$504,MATCH(A399,Maniobras!$A$5:$A$504,0)),""))</f>
        <v/>
      </c>
      <c r="C399" t="str">
        <f t="shared" si="12"/>
        <v/>
      </c>
      <c r="D399" t="str">
        <f>IF(A399="","",IFERROR(INDEX(Maniobras!$D$5:$D$504,MATCH(A399,Maniobras!$A$5:$A$504,0)),""))</f>
        <v/>
      </c>
      <c r="F399" s="29" t="str">
        <f>IF(A399="","",IFERROR(INDEX(Maniobras!$K$5:$K$504,MATCH(A399,Maniobras!$A$5:$A$504,0)),""))</f>
        <v/>
      </c>
      <c r="G399" s="29"/>
      <c r="H399" s="29"/>
      <c r="I399" s="29" t="str">
        <f t="shared" si="13"/>
        <v/>
      </c>
      <c r="K399" s="30"/>
      <c r="M399" t="str">
        <f>IF($A399=Ficha!$B$3,COUNTIF($A$5:$A399,Ficha!$B$3),"")</f>
        <v/>
      </c>
    </row>
    <row r="400" spans="2:13" x14ac:dyDescent="0.3">
      <c r="B400" s="30" t="str">
        <f>IF(A400="","",IFERROR(INDEX(Maniobras!$B$5:$B$504,MATCH(A400,Maniobras!$A$5:$A$504,0)),""))</f>
        <v/>
      </c>
      <c r="C400" t="str">
        <f t="shared" si="12"/>
        <v/>
      </c>
      <c r="D400" t="str">
        <f>IF(A400="","",IFERROR(INDEX(Maniobras!$D$5:$D$504,MATCH(A400,Maniobras!$A$5:$A$504,0)),""))</f>
        <v/>
      </c>
      <c r="F400" s="29" t="str">
        <f>IF(A400="","",IFERROR(INDEX(Maniobras!$K$5:$K$504,MATCH(A400,Maniobras!$A$5:$A$504,0)),""))</f>
        <v/>
      </c>
      <c r="G400" s="29"/>
      <c r="H400" s="29"/>
      <c r="I400" s="29" t="str">
        <f t="shared" si="13"/>
        <v/>
      </c>
      <c r="K400" s="30"/>
      <c r="M400" t="str">
        <f>IF($A400=Ficha!$B$3,COUNTIF($A$5:$A400,Ficha!$B$3),"")</f>
        <v/>
      </c>
    </row>
    <row r="401" spans="2:13" x14ac:dyDescent="0.3">
      <c r="B401" s="30" t="str">
        <f>IF(A401="","",IFERROR(INDEX(Maniobras!$B$5:$B$504,MATCH(A401,Maniobras!$A$5:$A$504,0)),""))</f>
        <v/>
      </c>
      <c r="C401" t="str">
        <f t="shared" si="12"/>
        <v/>
      </c>
      <c r="D401" t="str">
        <f>IF(A401="","",IFERROR(INDEX(Maniobras!$D$5:$D$504,MATCH(A401,Maniobras!$A$5:$A$504,0)),""))</f>
        <v/>
      </c>
      <c r="F401" s="29" t="str">
        <f>IF(A401="","",IFERROR(INDEX(Maniobras!$K$5:$K$504,MATCH(A401,Maniobras!$A$5:$A$504,0)),""))</f>
        <v/>
      </c>
      <c r="G401" s="29"/>
      <c r="H401" s="29"/>
      <c r="I401" s="29" t="str">
        <f t="shared" si="13"/>
        <v/>
      </c>
      <c r="K401" s="30"/>
      <c r="M401" t="str">
        <f>IF($A401=Ficha!$B$3,COUNTIF($A$5:$A401,Ficha!$B$3),"")</f>
        <v/>
      </c>
    </row>
    <row r="402" spans="2:13" x14ac:dyDescent="0.3">
      <c r="B402" s="30" t="str">
        <f>IF(A402="","",IFERROR(INDEX(Maniobras!$B$5:$B$504,MATCH(A402,Maniobras!$A$5:$A$504,0)),""))</f>
        <v/>
      </c>
      <c r="C402" t="str">
        <f t="shared" si="12"/>
        <v/>
      </c>
      <c r="D402" t="str">
        <f>IF(A402="","",IFERROR(INDEX(Maniobras!$D$5:$D$504,MATCH(A402,Maniobras!$A$5:$A$504,0)),""))</f>
        <v/>
      </c>
      <c r="F402" s="29" t="str">
        <f>IF(A402="","",IFERROR(INDEX(Maniobras!$K$5:$K$504,MATCH(A402,Maniobras!$A$5:$A$504,0)),""))</f>
        <v/>
      </c>
      <c r="G402" s="29"/>
      <c r="H402" s="29"/>
      <c r="I402" s="29" t="str">
        <f t="shared" si="13"/>
        <v/>
      </c>
      <c r="K402" s="30"/>
      <c r="M402" t="str">
        <f>IF($A402=Ficha!$B$3,COUNTIF($A$5:$A402,Ficha!$B$3),"")</f>
        <v/>
      </c>
    </row>
    <row r="403" spans="2:13" x14ac:dyDescent="0.3">
      <c r="B403" s="30" t="str">
        <f>IF(A403="","",IFERROR(INDEX(Maniobras!$B$5:$B$504,MATCH(A403,Maniobras!$A$5:$A$504,0)),""))</f>
        <v/>
      </c>
      <c r="C403" t="str">
        <f t="shared" si="12"/>
        <v/>
      </c>
      <c r="D403" t="str">
        <f>IF(A403="","",IFERROR(INDEX(Maniobras!$D$5:$D$504,MATCH(A403,Maniobras!$A$5:$A$504,0)),""))</f>
        <v/>
      </c>
      <c r="F403" s="29" t="str">
        <f>IF(A403="","",IFERROR(INDEX(Maniobras!$K$5:$K$504,MATCH(A403,Maniobras!$A$5:$A$504,0)),""))</f>
        <v/>
      </c>
      <c r="G403" s="29"/>
      <c r="H403" s="29"/>
      <c r="I403" s="29" t="str">
        <f t="shared" si="13"/>
        <v/>
      </c>
      <c r="K403" s="30"/>
      <c r="M403" t="str">
        <f>IF($A403=Ficha!$B$3,COUNTIF($A$5:$A403,Ficha!$B$3),"")</f>
        <v/>
      </c>
    </row>
    <row r="404" spans="2:13" x14ac:dyDescent="0.3">
      <c r="B404" s="30" t="str">
        <f>IF(A404="","",IFERROR(INDEX(Maniobras!$B$5:$B$504,MATCH(A404,Maniobras!$A$5:$A$504,0)),""))</f>
        <v/>
      </c>
      <c r="C404" t="str">
        <f t="shared" si="12"/>
        <v/>
      </c>
      <c r="D404" t="str">
        <f>IF(A404="","",IFERROR(INDEX(Maniobras!$D$5:$D$504,MATCH(A404,Maniobras!$A$5:$A$504,0)),""))</f>
        <v/>
      </c>
      <c r="F404" s="29" t="str">
        <f>IF(A404="","",IFERROR(INDEX(Maniobras!$K$5:$K$504,MATCH(A404,Maniobras!$A$5:$A$504,0)),""))</f>
        <v/>
      </c>
      <c r="G404" s="29"/>
      <c r="H404" s="29"/>
      <c r="I404" s="29" t="str">
        <f t="shared" si="13"/>
        <v/>
      </c>
      <c r="K404" s="30"/>
      <c r="M404" t="str">
        <f>IF($A404=Ficha!$B$3,COUNTIF($A$5:$A404,Ficha!$B$3),"")</f>
        <v/>
      </c>
    </row>
    <row r="405" spans="2:13" x14ac:dyDescent="0.3">
      <c r="B405" s="30" t="str">
        <f>IF(A405="","",IFERROR(INDEX(Maniobras!$B$5:$B$504,MATCH(A405,Maniobras!$A$5:$A$504,0)),""))</f>
        <v/>
      </c>
      <c r="C405" t="str">
        <f t="shared" si="12"/>
        <v/>
      </c>
      <c r="D405" t="str">
        <f>IF(A405="","",IFERROR(INDEX(Maniobras!$D$5:$D$504,MATCH(A405,Maniobras!$A$5:$A$504,0)),""))</f>
        <v/>
      </c>
      <c r="F405" s="29" t="str">
        <f>IF(A405="","",IFERROR(INDEX(Maniobras!$K$5:$K$504,MATCH(A405,Maniobras!$A$5:$A$504,0)),""))</f>
        <v/>
      </c>
      <c r="G405" s="29"/>
      <c r="H405" s="29"/>
      <c r="I405" s="29" t="str">
        <f t="shared" si="13"/>
        <v/>
      </c>
      <c r="K405" s="30"/>
      <c r="M405" t="str">
        <f>IF($A405=Ficha!$B$3,COUNTIF($A$5:$A405,Ficha!$B$3),"")</f>
        <v/>
      </c>
    </row>
    <row r="406" spans="2:13" x14ac:dyDescent="0.3">
      <c r="B406" s="30" t="str">
        <f>IF(A406="","",IFERROR(INDEX(Maniobras!$B$5:$B$504,MATCH(A406,Maniobras!$A$5:$A$504,0)),""))</f>
        <v/>
      </c>
      <c r="C406" t="str">
        <f t="shared" si="12"/>
        <v/>
      </c>
      <c r="D406" t="str">
        <f>IF(A406="","",IFERROR(INDEX(Maniobras!$D$5:$D$504,MATCH(A406,Maniobras!$A$5:$A$504,0)),""))</f>
        <v/>
      </c>
      <c r="F406" s="29" t="str">
        <f>IF(A406="","",IFERROR(INDEX(Maniobras!$K$5:$K$504,MATCH(A406,Maniobras!$A$5:$A$504,0)),""))</f>
        <v/>
      </c>
      <c r="G406" s="29"/>
      <c r="H406" s="29"/>
      <c r="I406" s="29" t="str">
        <f t="shared" si="13"/>
        <v/>
      </c>
      <c r="K406" s="30"/>
      <c r="M406" t="str">
        <f>IF($A406=Ficha!$B$3,COUNTIF($A$5:$A406,Ficha!$B$3),"")</f>
        <v/>
      </c>
    </row>
    <row r="407" spans="2:13" x14ac:dyDescent="0.3">
      <c r="B407" s="30" t="str">
        <f>IF(A407="","",IFERROR(INDEX(Maniobras!$B$5:$B$504,MATCH(A407,Maniobras!$A$5:$A$504,0)),""))</f>
        <v/>
      </c>
      <c r="C407" t="str">
        <f t="shared" si="12"/>
        <v/>
      </c>
      <c r="D407" t="str">
        <f>IF(A407="","",IFERROR(INDEX(Maniobras!$D$5:$D$504,MATCH(A407,Maniobras!$A$5:$A$504,0)),""))</f>
        <v/>
      </c>
      <c r="F407" s="29" t="str">
        <f>IF(A407="","",IFERROR(INDEX(Maniobras!$K$5:$K$504,MATCH(A407,Maniobras!$A$5:$A$504,0)),""))</f>
        <v/>
      </c>
      <c r="G407" s="29"/>
      <c r="H407" s="29"/>
      <c r="I407" s="29" t="str">
        <f t="shared" si="13"/>
        <v/>
      </c>
      <c r="K407" s="30"/>
      <c r="M407" t="str">
        <f>IF($A407=Ficha!$B$3,COUNTIF($A$5:$A407,Ficha!$B$3),"")</f>
        <v/>
      </c>
    </row>
    <row r="408" spans="2:13" x14ac:dyDescent="0.3">
      <c r="B408" s="30" t="str">
        <f>IF(A408="","",IFERROR(INDEX(Maniobras!$B$5:$B$504,MATCH(A408,Maniobras!$A$5:$A$504,0)),""))</f>
        <v/>
      </c>
      <c r="C408" t="str">
        <f t="shared" si="12"/>
        <v/>
      </c>
      <c r="D408" t="str">
        <f>IF(A408="","",IFERROR(INDEX(Maniobras!$D$5:$D$504,MATCH(A408,Maniobras!$A$5:$A$504,0)),""))</f>
        <v/>
      </c>
      <c r="F408" s="29" t="str">
        <f>IF(A408="","",IFERROR(INDEX(Maniobras!$K$5:$K$504,MATCH(A408,Maniobras!$A$5:$A$504,0)),""))</f>
        <v/>
      </c>
      <c r="G408" s="29"/>
      <c r="H408" s="29"/>
      <c r="I408" s="29" t="str">
        <f t="shared" si="13"/>
        <v/>
      </c>
      <c r="K408" s="30"/>
      <c r="M408" t="str">
        <f>IF($A408=Ficha!$B$3,COUNTIF($A$5:$A408,Ficha!$B$3),"")</f>
        <v/>
      </c>
    </row>
    <row r="409" spans="2:13" x14ac:dyDescent="0.3">
      <c r="B409" s="30" t="str">
        <f>IF(A409="","",IFERROR(INDEX(Maniobras!$B$5:$B$504,MATCH(A409,Maniobras!$A$5:$A$504,0)),""))</f>
        <v/>
      </c>
      <c r="C409" t="str">
        <f t="shared" si="12"/>
        <v/>
      </c>
      <c r="D409" t="str">
        <f>IF(A409="","",IFERROR(INDEX(Maniobras!$D$5:$D$504,MATCH(A409,Maniobras!$A$5:$A$504,0)),""))</f>
        <v/>
      </c>
      <c r="F409" s="29" t="str">
        <f>IF(A409="","",IFERROR(INDEX(Maniobras!$K$5:$K$504,MATCH(A409,Maniobras!$A$5:$A$504,0)),""))</f>
        <v/>
      </c>
      <c r="G409" s="29"/>
      <c r="H409" s="29"/>
      <c r="I409" s="29" t="str">
        <f t="shared" si="13"/>
        <v/>
      </c>
      <c r="K409" s="30"/>
      <c r="M409" t="str">
        <f>IF($A409=Ficha!$B$3,COUNTIF($A$5:$A409,Ficha!$B$3),"")</f>
        <v/>
      </c>
    </row>
    <row r="410" spans="2:13" x14ac:dyDescent="0.3">
      <c r="B410" s="30" t="str">
        <f>IF(A410="","",IFERROR(INDEX(Maniobras!$B$5:$B$504,MATCH(A410,Maniobras!$A$5:$A$504,0)),""))</f>
        <v/>
      </c>
      <c r="C410" t="str">
        <f t="shared" si="12"/>
        <v/>
      </c>
      <c r="D410" t="str">
        <f>IF(A410="","",IFERROR(INDEX(Maniobras!$D$5:$D$504,MATCH(A410,Maniobras!$A$5:$A$504,0)),""))</f>
        <v/>
      </c>
      <c r="F410" s="29" t="str">
        <f>IF(A410="","",IFERROR(INDEX(Maniobras!$K$5:$K$504,MATCH(A410,Maniobras!$A$5:$A$504,0)),""))</f>
        <v/>
      </c>
      <c r="G410" s="29"/>
      <c r="H410" s="29"/>
      <c r="I410" s="29" t="str">
        <f t="shared" si="13"/>
        <v/>
      </c>
      <c r="K410" s="30"/>
      <c r="M410" t="str">
        <f>IF($A410=Ficha!$B$3,COUNTIF($A$5:$A410,Ficha!$B$3),"")</f>
        <v/>
      </c>
    </row>
    <row r="411" spans="2:13" x14ac:dyDescent="0.3">
      <c r="B411" s="30" t="str">
        <f>IF(A411="","",IFERROR(INDEX(Maniobras!$B$5:$B$504,MATCH(A411,Maniobras!$A$5:$A$504,0)),""))</f>
        <v/>
      </c>
      <c r="C411" t="str">
        <f t="shared" si="12"/>
        <v/>
      </c>
      <c r="D411" t="str">
        <f>IF(A411="","",IFERROR(INDEX(Maniobras!$D$5:$D$504,MATCH(A411,Maniobras!$A$5:$A$504,0)),""))</f>
        <v/>
      </c>
      <c r="F411" s="29" t="str">
        <f>IF(A411="","",IFERROR(INDEX(Maniobras!$K$5:$K$504,MATCH(A411,Maniobras!$A$5:$A$504,0)),""))</f>
        <v/>
      </c>
      <c r="G411" s="29"/>
      <c r="H411" s="29"/>
      <c r="I411" s="29" t="str">
        <f t="shared" si="13"/>
        <v/>
      </c>
      <c r="K411" s="30"/>
      <c r="M411" t="str">
        <f>IF($A411=Ficha!$B$3,COUNTIF($A$5:$A411,Ficha!$B$3),"")</f>
        <v/>
      </c>
    </row>
    <row r="412" spans="2:13" x14ac:dyDescent="0.3">
      <c r="B412" s="30" t="str">
        <f>IF(A412="","",IFERROR(INDEX(Maniobras!$B$5:$B$504,MATCH(A412,Maniobras!$A$5:$A$504,0)),""))</f>
        <v/>
      </c>
      <c r="C412" t="str">
        <f t="shared" si="12"/>
        <v/>
      </c>
      <c r="D412" t="str">
        <f>IF(A412="","",IFERROR(INDEX(Maniobras!$D$5:$D$504,MATCH(A412,Maniobras!$A$5:$A$504,0)),""))</f>
        <v/>
      </c>
      <c r="F412" s="29" t="str">
        <f>IF(A412="","",IFERROR(INDEX(Maniobras!$K$5:$K$504,MATCH(A412,Maniobras!$A$5:$A$504,0)),""))</f>
        <v/>
      </c>
      <c r="G412" s="29"/>
      <c r="H412" s="29"/>
      <c r="I412" s="29" t="str">
        <f t="shared" si="13"/>
        <v/>
      </c>
      <c r="K412" s="30"/>
      <c r="M412" t="str">
        <f>IF($A412=Ficha!$B$3,COUNTIF($A$5:$A412,Ficha!$B$3),"")</f>
        <v/>
      </c>
    </row>
    <row r="413" spans="2:13" x14ac:dyDescent="0.3">
      <c r="B413" s="30" t="str">
        <f>IF(A413="","",IFERROR(INDEX(Maniobras!$B$5:$B$504,MATCH(A413,Maniobras!$A$5:$A$504,0)),""))</f>
        <v/>
      </c>
      <c r="C413" t="str">
        <f t="shared" si="12"/>
        <v/>
      </c>
      <c r="D413" t="str">
        <f>IF(A413="","",IFERROR(INDEX(Maniobras!$D$5:$D$504,MATCH(A413,Maniobras!$A$5:$A$504,0)),""))</f>
        <v/>
      </c>
      <c r="F413" s="29" t="str">
        <f>IF(A413="","",IFERROR(INDEX(Maniobras!$K$5:$K$504,MATCH(A413,Maniobras!$A$5:$A$504,0)),""))</f>
        <v/>
      </c>
      <c r="G413" s="29"/>
      <c r="H413" s="29"/>
      <c r="I413" s="29" t="str">
        <f t="shared" si="13"/>
        <v/>
      </c>
      <c r="K413" s="30"/>
      <c r="M413" t="str">
        <f>IF($A413=Ficha!$B$3,COUNTIF($A$5:$A413,Ficha!$B$3),"")</f>
        <v/>
      </c>
    </row>
    <row r="414" spans="2:13" x14ac:dyDescent="0.3">
      <c r="B414" s="30" t="str">
        <f>IF(A414="","",IFERROR(INDEX(Maniobras!$B$5:$B$504,MATCH(A414,Maniobras!$A$5:$A$504,0)),""))</f>
        <v/>
      </c>
      <c r="C414" t="str">
        <f t="shared" si="12"/>
        <v/>
      </c>
      <c r="D414" t="str">
        <f>IF(A414="","",IFERROR(INDEX(Maniobras!$D$5:$D$504,MATCH(A414,Maniobras!$A$5:$A$504,0)),""))</f>
        <v/>
      </c>
      <c r="F414" s="29" t="str">
        <f>IF(A414="","",IFERROR(INDEX(Maniobras!$K$5:$K$504,MATCH(A414,Maniobras!$A$5:$A$504,0)),""))</f>
        <v/>
      </c>
      <c r="G414" s="29"/>
      <c r="H414" s="29"/>
      <c r="I414" s="29" t="str">
        <f t="shared" si="13"/>
        <v/>
      </c>
      <c r="K414" s="30"/>
      <c r="M414" t="str">
        <f>IF($A414=Ficha!$B$3,COUNTIF($A$5:$A414,Ficha!$B$3),"")</f>
        <v/>
      </c>
    </row>
    <row r="415" spans="2:13" x14ac:dyDescent="0.3">
      <c r="B415" s="30" t="str">
        <f>IF(A415="","",IFERROR(INDEX(Maniobras!$B$5:$B$504,MATCH(A415,Maniobras!$A$5:$A$504,0)),""))</f>
        <v/>
      </c>
      <c r="C415" t="str">
        <f t="shared" si="12"/>
        <v/>
      </c>
      <c r="D415" t="str">
        <f>IF(A415="","",IFERROR(INDEX(Maniobras!$D$5:$D$504,MATCH(A415,Maniobras!$A$5:$A$504,0)),""))</f>
        <v/>
      </c>
      <c r="F415" s="29" t="str">
        <f>IF(A415="","",IFERROR(INDEX(Maniobras!$K$5:$K$504,MATCH(A415,Maniobras!$A$5:$A$504,0)),""))</f>
        <v/>
      </c>
      <c r="G415" s="29"/>
      <c r="H415" s="29"/>
      <c r="I415" s="29" t="str">
        <f t="shared" si="13"/>
        <v/>
      </c>
      <c r="K415" s="30"/>
      <c r="M415" t="str">
        <f>IF($A415=Ficha!$B$3,COUNTIF($A$5:$A415,Ficha!$B$3),"")</f>
        <v/>
      </c>
    </row>
    <row r="416" spans="2:13" x14ac:dyDescent="0.3">
      <c r="B416" s="30" t="str">
        <f>IF(A416="","",IFERROR(INDEX(Maniobras!$B$5:$B$504,MATCH(A416,Maniobras!$A$5:$A$504,0)),""))</f>
        <v/>
      </c>
      <c r="C416" t="str">
        <f t="shared" si="12"/>
        <v/>
      </c>
      <c r="D416" t="str">
        <f>IF(A416="","",IFERROR(INDEX(Maniobras!$D$5:$D$504,MATCH(A416,Maniobras!$A$5:$A$504,0)),""))</f>
        <v/>
      </c>
      <c r="F416" s="29" t="str">
        <f>IF(A416="","",IFERROR(INDEX(Maniobras!$K$5:$K$504,MATCH(A416,Maniobras!$A$5:$A$504,0)),""))</f>
        <v/>
      </c>
      <c r="G416" s="29"/>
      <c r="H416" s="29"/>
      <c r="I416" s="29" t="str">
        <f t="shared" si="13"/>
        <v/>
      </c>
      <c r="K416" s="30"/>
      <c r="M416" t="str">
        <f>IF($A416=Ficha!$B$3,COUNTIF($A$5:$A416,Ficha!$B$3),"")</f>
        <v/>
      </c>
    </row>
    <row r="417" spans="2:13" x14ac:dyDescent="0.3">
      <c r="B417" s="30" t="str">
        <f>IF(A417="","",IFERROR(INDEX(Maniobras!$B$5:$B$504,MATCH(A417,Maniobras!$A$5:$A$504,0)),""))</f>
        <v/>
      </c>
      <c r="C417" t="str">
        <f t="shared" si="12"/>
        <v/>
      </c>
      <c r="D417" t="str">
        <f>IF(A417="","",IFERROR(INDEX(Maniobras!$D$5:$D$504,MATCH(A417,Maniobras!$A$5:$A$504,0)),""))</f>
        <v/>
      </c>
      <c r="F417" s="29" t="str">
        <f>IF(A417="","",IFERROR(INDEX(Maniobras!$K$5:$K$504,MATCH(A417,Maniobras!$A$5:$A$504,0)),""))</f>
        <v/>
      </c>
      <c r="G417" s="29"/>
      <c r="H417" s="29"/>
      <c r="I417" s="29" t="str">
        <f t="shared" si="13"/>
        <v/>
      </c>
      <c r="K417" s="30"/>
      <c r="M417" t="str">
        <f>IF($A417=Ficha!$B$3,COUNTIF($A$5:$A417,Ficha!$B$3),"")</f>
        <v/>
      </c>
    </row>
    <row r="418" spans="2:13" x14ac:dyDescent="0.3">
      <c r="B418" s="30" t="str">
        <f>IF(A418="","",IFERROR(INDEX(Maniobras!$B$5:$B$504,MATCH(A418,Maniobras!$A$5:$A$504,0)),""))</f>
        <v/>
      </c>
      <c r="C418" t="str">
        <f t="shared" si="12"/>
        <v/>
      </c>
      <c r="D418" t="str">
        <f>IF(A418="","",IFERROR(INDEX(Maniobras!$D$5:$D$504,MATCH(A418,Maniobras!$A$5:$A$504,0)),""))</f>
        <v/>
      </c>
      <c r="F418" s="29" t="str">
        <f>IF(A418="","",IFERROR(INDEX(Maniobras!$K$5:$K$504,MATCH(A418,Maniobras!$A$5:$A$504,0)),""))</f>
        <v/>
      </c>
      <c r="G418" s="29"/>
      <c r="H418" s="29"/>
      <c r="I418" s="29" t="str">
        <f t="shared" si="13"/>
        <v/>
      </c>
      <c r="K418" s="30"/>
      <c r="M418" t="str">
        <f>IF($A418=Ficha!$B$3,COUNTIF($A$5:$A418,Ficha!$B$3),"")</f>
        <v/>
      </c>
    </row>
    <row r="419" spans="2:13" x14ac:dyDescent="0.3">
      <c r="B419" s="30" t="str">
        <f>IF(A419="","",IFERROR(INDEX(Maniobras!$B$5:$B$504,MATCH(A419,Maniobras!$A$5:$A$504,0)),""))</f>
        <v/>
      </c>
      <c r="C419" t="str">
        <f t="shared" si="12"/>
        <v/>
      </c>
      <c r="D419" t="str">
        <f>IF(A419="","",IFERROR(INDEX(Maniobras!$D$5:$D$504,MATCH(A419,Maniobras!$A$5:$A$504,0)),""))</f>
        <v/>
      </c>
      <c r="F419" s="29" t="str">
        <f>IF(A419="","",IFERROR(INDEX(Maniobras!$K$5:$K$504,MATCH(A419,Maniobras!$A$5:$A$504,0)),""))</f>
        <v/>
      </c>
      <c r="G419" s="29"/>
      <c r="H419" s="29"/>
      <c r="I419" s="29" t="str">
        <f t="shared" si="13"/>
        <v/>
      </c>
      <c r="K419" s="30"/>
      <c r="M419" t="str">
        <f>IF($A419=Ficha!$B$3,COUNTIF($A$5:$A419,Ficha!$B$3),"")</f>
        <v/>
      </c>
    </row>
    <row r="420" spans="2:13" x14ac:dyDescent="0.3">
      <c r="B420" s="30" t="str">
        <f>IF(A420="","",IFERROR(INDEX(Maniobras!$B$5:$B$504,MATCH(A420,Maniobras!$A$5:$A$504,0)),""))</f>
        <v/>
      </c>
      <c r="C420" t="str">
        <f t="shared" si="12"/>
        <v/>
      </c>
      <c r="D420" t="str">
        <f>IF(A420="","",IFERROR(INDEX(Maniobras!$D$5:$D$504,MATCH(A420,Maniobras!$A$5:$A$504,0)),""))</f>
        <v/>
      </c>
      <c r="F420" s="29" t="str">
        <f>IF(A420="","",IFERROR(INDEX(Maniobras!$K$5:$K$504,MATCH(A420,Maniobras!$A$5:$A$504,0)),""))</f>
        <v/>
      </c>
      <c r="G420" s="29"/>
      <c r="H420" s="29"/>
      <c r="I420" s="29" t="str">
        <f t="shared" si="13"/>
        <v/>
      </c>
      <c r="K420" s="30"/>
      <c r="M420" t="str">
        <f>IF($A420=Ficha!$B$3,COUNTIF($A$5:$A420,Ficha!$B$3),"")</f>
        <v/>
      </c>
    </row>
    <row r="421" spans="2:13" x14ac:dyDescent="0.3">
      <c r="B421" s="30" t="str">
        <f>IF(A421="","",IFERROR(INDEX(Maniobras!$B$5:$B$504,MATCH(A421,Maniobras!$A$5:$A$504,0)),""))</f>
        <v/>
      </c>
      <c r="C421" t="str">
        <f t="shared" si="12"/>
        <v/>
      </c>
      <c r="D421" t="str">
        <f>IF(A421="","",IFERROR(INDEX(Maniobras!$D$5:$D$504,MATCH(A421,Maniobras!$A$5:$A$504,0)),""))</f>
        <v/>
      </c>
      <c r="F421" s="29" t="str">
        <f>IF(A421="","",IFERROR(INDEX(Maniobras!$K$5:$K$504,MATCH(A421,Maniobras!$A$5:$A$504,0)),""))</f>
        <v/>
      </c>
      <c r="G421" s="29"/>
      <c r="H421" s="29"/>
      <c r="I421" s="29" t="str">
        <f t="shared" si="13"/>
        <v/>
      </c>
      <c r="K421" s="30"/>
      <c r="M421" t="str">
        <f>IF($A421=Ficha!$B$3,COUNTIF($A$5:$A421,Ficha!$B$3),"")</f>
        <v/>
      </c>
    </row>
    <row r="422" spans="2:13" x14ac:dyDescent="0.3">
      <c r="B422" s="30" t="str">
        <f>IF(A422="","",IFERROR(INDEX(Maniobras!$B$5:$B$504,MATCH(A422,Maniobras!$A$5:$A$504,0)),""))</f>
        <v/>
      </c>
      <c r="C422" t="str">
        <f t="shared" si="12"/>
        <v/>
      </c>
      <c r="D422" t="str">
        <f>IF(A422="","",IFERROR(INDEX(Maniobras!$D$5:$D$504,MATCH(A422,Maniobras!$A$5:$A$504,0)),""))</f>
        <v/>
      </c>
      <c r="F422" s="29" t="str">
        <f>IF(A422="","",IFERROR(INDEX(Maniobras!$K$5:$K$504,MATCH(A422,Maniobras!$A$5:$A$504,0)),""))</f>
        <v/>
      </c>
      <c r="G422" s="29"/>
      <c r="H422" s="29"/>
      <c r="I422" s="29" t="str">
        <f t="shared" si="13"/>
        <v/>
      </c>
      <c r="K422" s="30"/>
      <c r="M422" t="str">
        <f>IF($A422=Ficha!$B$3,COUNTIF($A$5:$A422,Ficha!$B$3),"")</f>
        <v/>
      </c>
    </row>
    <row r="423" spans="2:13" x14ac:dyDescent="0.3">
      <c r="B423" s="30" t="str">
        <f>IF(A423="","",IFERROR(INDEX(Maniobras!$B$5:$B$504,MATCH(A423,Maniobras!$A$5:$A$504,0)),""))</f>
        <v/>
      </c>
      <c r="C423" t="str">
        <f t="shared" si="12"/>
        <v/>
      </c>
      <c r="D423" t="str">
        <f>IF(A423="","",IFERROR(INDEX(Maniobras!$D$5:$D$504,MATCH(A423,Maniobras!$A$5:$A$504,0)),""))</f>
        <v/>
      </c>
      <c r="F423" s="29" t="str">
        <f>IF(A423="","",IFERROR(INDEX(Maniobras!$K$5:$K$504,MATCH(A423,Maniobras!$A$5:$A$504,0)),""))</f>
        <v/>
      </c>
      <c r="G423" s="29"/>
      <c r="H423" s="29"/>
      <c r="I423" s="29" t="str">
        <f t="shared" si="13"/>
        <v/>
      </c>
      <c r="K423" s="30"/>
      <c r="M423" t="str">
        <f>IF($A423=Ficha!$B$3,COUNTIF($A$5:$A423,Ficha!$B$3),"")</f>
        <v/>
      </c>
    </row>
    <row r="424" spans="2:13" x14ac:dyDescent="0.3">
      <c r="B424" s="30" t="str">
        <f>IF(A424="","",IFERROR(INDEX(Maniobras!$B$5:$B$504,MATCH(A424,Maniobras!$A$5:$A$504,0)),""))</f>
        <v/>
      </c>
      <c r="C424" t="str">
        <f t="shared" si="12"/>
        <v/>
      </c>
      <c r="D424" t="str">
        <f>IF(A424="","",IFERROR(INDEX(Maniobras!$D$5:$D$504,MATCH(A424,Maniobras!$A$5:$A$504,0)),""))</f>
        <v/>
      </c>
      <c r="F424" s="29" t="str">
        <f>IF(A424="","",IFERROR(INDEX(Maniobras!$K$5:$K$504,MATCH(A424,Maniobras!$A$5:$A$504,0)),""))</f>
        <v/>
      </c>
      <c r="G424" s="29"/>
      <c r="H424" s="29"/>
      <c r="I424" s="29" t="str">
        <f t="shared" si="13"/>
        <v/>
      </c>
      <c r="K424" s="30"/>
      <c r="M424" t="str">
        <f>IF($A424=Ficha!$B$3,COUNTIF($A$5:$A424,Ficha!$B$3),"")</f>
        <v/>
      </c>
    </row>
    <row r="425" spans="2:13" x14ac:dyDescent="0.3">
      <c r="B425" s="30" t="str">
        <f>IF(A425="","",IFERROR(INDEX(Maniobras!$B$5:$B$504,MATCH(A425,Maniobras!$A$5:$A$504,0)),""))</f>
        <v/>
      </c>
      <c r="C425" t="str">
        <f t="shared" si="12"/>
        <v/>
      </c>
      <c r="D425" t="str">
        <f>IF(A425="","",IFERROR(INDEX(Maniobras!$D$5:$D$504,MATCH(A425,Maniobras!$A$5:$A$504,0)),""))</f>
        <v/>
      </c>
      <c r="F425" s="29" t="str">
        <f>IF(A425="","",IFERROR(INDEX(Maniobras!$K$5:$K$504,MATCH(A425,Maniobras!$A$5:$A$504,0)),""))</f>
        <v/>
      </c>
      <c r="G425" s="29"/>
      <c r="H425" s="29"/>
      <c r="I425" s="29" t="str">
        <f t="shared" si="13"/>
        <v/>
      </c>
      <c r="K425" s="30"/>
      <c r="M425" t="str">
        <f>IF($A425=Ficha!$B$3,COUNTIF($A$5:$A425,Ficha!$B$3),"")</f>
        <v/>
      </c>
    </row>
    <row r="426" spans="2:13" x14ac:dyDescent="0.3">
      <c r="B426" s="30" t="str">
        <f>IF(A426="","",IFERROR(INDEX(Maniobras!$B$5:$B$504,MATCH(A426,Maniobras!$A$5:$A$504,0)),""))</f>
        <v/>
      </c>
      <c r="C426" t="str">
        <f t="shared" si="12"/>
        <v/>
      </c>
      <c r="D426" t="str">
        <f>IF(A426="","",IFERROR(INDEX(Maniobras!$D$5:$D$504,MATCH(A426,Maniobras!$A$5:$A$504,0)),""))</f>
        <v/>
      </c>
      <c r="F426" s="29" t="str">
        <f>IF(A426="","",IFERROR(INDEX(Maniobras!$K$5:$K$504,MATCH(A426,Maniobras!$A$5:$A$504,0)),""))</f>
        <v/>
      </c>
      <c r="G426" s="29"/>
      <c r="H426" s="29"/>
      <c r="I426" s="29" t="str">
        <f t="shared" si="13"/>
        <v/>
      </c>
      <c r="K426" s="30"/>
      <c r="M426" t="str">
        <f>IF($A426=Ficha!$B$3,COUNTIF($A$5:$A426,Ficha!$B$3),"")</f>
        <v/>
      </c>
    </row>
    <row r="427" spans="2:13" x14ac:dyDescent="0.3">
      <c r="B427" s="30" t="str">
        <f>IF(A427="","",IFERROR(INDEX(Maniobras!$B$5:$B$504,MATCH(A427,Maniobras!$A$5:$A$504,0)),""))</f>
        <v/>
      </c>
      <c r="C427" t="str">
        <f t="shared" si="12"/>
        <v/>
      </c>
      <c r="D427" t="str">
        <f>IF(A427="","",IFERROR(INDEX(Maniobras!$D$5:$D$504,MATCH(A427,Maniobras!$A$5:$A$504,0)),""))</f>
        <v/>
      </c>
      <c r="F427" s="29" t="str">
        <f>IF(A427="","",IFERROR(INDEX(Maniobras!$K$5:$K$504,MATCH(A427,Maniobras!$A$5:$A$504,0)),""))</f>
        <v/>
      </c>
      <c r="G427" s="29"/>
      <c r="H427" s="29"/>
      <c r="I427" s="29" t="str">
        <f t="shared" si="13"/>
        <v/>
      </c>
      <c r="K427" s="30"/>
      <c r="M427" t="str">
        <f>IF($A427=Ficha!$B$3,COUNTIF($A$5:$A427,Ficha!$B$3),"")</f>
        <v/>
      </c>
    </row>
    <row r="428" spans="2:13" x14ac:dyDescent="0.3">
      <c r="B428" s="30" t="str">
        <f>IF(A428="","",IFERROR(INDEX(Maniobras!$B$5:$B$504,MATCH(A428,Maniobras!$A$5:$A$504,0)),""))</f>
        <v/>
      </c>
      <c r="C428" t="str">
        <f t="shared" si="12"/>
        <v/>
      </c>
      <c r="D428" t="str">
        <f>IF(A428="","",IFERROR(INDEX(Maniobras!$D$5:$D$504,MATCH(A428,Maniobras!$A$5:$A$504,0)),""))</f>
        <v/>
      </c>
      <c r="F428" s="29" t="str">
        <f>IF(A428="","",IFERROR(INDEX(Maniobras!$K$5:$K$504,MATCH(A428,Maniobras!$A$5:$A$504,0)),""))</f>
        <v/>
      </c>
      <c r="G428" s="29"/>
      <c r="H428" s="29"/>
      <c r="I428" s="29" t="str">
        <f t="shared" si="13"/>
        <v/>
      </c>
      <c r="K428" s="30"/>
      <c r="M428" t="str">
        <f>IF($A428=Ficha!$B$3,COUNTIF($A$5:$A428,Ficha!$B$3),"")</f>
        <v/>
      </c>
    </row>
    <row r="429" spans="2:13" x14ac:dyDescent="0.3">
      <c r="B429" s="30" t="str">
        <f>IF(A429="","",IFERROR(INDEX(Maniobras!$B$5:$B$504,MATCH(A429,Maniobras!$A$5:$A$504,0)),""))</f>
        <v/>
      </c>
      <c r="C429" t="str">
        <f t="shared" si="12"/>
        <v/>
      </c>
      <c r="D429" t="str">
        <f>IF(A429="","",IFERROR(INDEX(Maniobras!$D$5:$D$504,MATCH(A429,Maniobras!$A$5:$A$504,0)),""))</f>
        <v/>
      </c>
      <c r="F429" s="29" t="str">
        <f>IF(A429="","",IFERROR(INDEX(Maniobras!$K$5:$K$504,MATCH(A429,Maniobras!$A$5:$A$504,0)),""))</f>
        <v/>
      </c>
      <c r="G429" s="29"/>
      <c r="H429" s="29"/>
      <c r="I429" s="29" t="str">
        <f t="shared" si="13"/>
        <v/>
      </c>
      <c r="K429" s="30"/>
      <c r="M429" t="str">
        <f>IF($A429=Ficha!$B$3,COUNTIF($A$5:$A429,Ficha!$B$3),"")</f>
        <v/>
      </c>
    </row>
    <row r="430" spans="2:13" x14ac:dyDescent="0.3">
      <c r="B430" s="30" t="str">
        <f>IF(A430="","",IFERROR(INDEX(Maniobras!$B$5:$B$504,MATCH(A430,Maniobras!$A$5:$A$504,0)),""))</f>
        <v/>
      </c>
      <c r="C430" t="str">
        <f t="shared" si="12"/>
        <v/>
      </c>
      <c r="D430" t="str">
        <f>IF(A430="","",IFERROR(INDEX(Maniobras!$D$5:$D$504,MATCH(A430,Maniobras!$A$5:$A$504,0)),""))</f>
        <v/>
      </c>
      <c r="F430" s="29" t="str">
        <f>IF(A430="","",IFERROR(INDEX(Maniobras!$K$5:$K$504,MATCH(A430,Maniobras!$A$5:$A$504,0)),""))</f>
        <v/>
      </c>
      <c r="G430" s="29"/>
      <c r="H430" s="29"/>
      <c r="I430" s="29" t="str">
        <f t="shared" si="13"/>
        <v/>
      </c>
      <c r="K430" s="30"/>
      <c r="M430" t="str">
        <f>IF($A430=Ficha!$B$3,COUNTIF($A$5:$A430,Ficha!$B$3),"")</f>
        <v/>
      </c>
    </row>
    <row r="431" spans="2:13" x14ac:dyDescent="0.3">
      <c r="B431" s="30" t="str">
        <f>IF(A431="","",IFERROR(INDEX(Maniobras!$B$5:$B$504,MATCH(A431,Maniobras!$A$5:$A$504,0)),""))</f>
        <v/>
      </c>
      <c r="C431" t="str">
        <f t="shared" si="12"/>
        <v/>
      </c>
      <c r="D431" t="str">
        <f>IF(A431="","",IFERROR(INDEX(Maniobras!$D$5:$D$504,MATCH(A431,Maniobras!$A$5:$A$504,0)),""))</f>
        <v/>
      </c>
      <c r="F431" s="29" t="str">
        <f>IF(A431="","",IFERROR(INDEX(Maniobras!$K$5:$K$504,MATCH(A431,Maniobras!$A$5:$A$504,0)),""))</f>
        <v/>
      </c>
      <c r="G431" s="29"/>
      <c r="H431" s="29"/>
      <c r="I431" s="29" t="str">
        <f t="shared" si="13"/>
        <v/>
      </c>
      <c r="K431" s="30"/>
      <c r="M431" t="str">
        <f>IF($A431=Ficha!$B$3,COUNTIF($A$5:$A431,Ficha!$B$3),"")</f>
        <v/>
      </c>
    </row>
    <row r="432" spans="2:13" x14ac:dyDescent="0.3">
      <c r="B432" s="30" t="str">
        <f>IF(A432="","",IFERROR(INDEX(Maniobras!$B$5:$B$504,MATCH(A432,Maniobras!$A$5:$A$504,0)),""))</f>
        <v/>
      </c>
      <c r="C432" t="str">
        <f t="shared" si="12"/>
        <v/>
      </c>
      <c r="D432" t="str">
        <f>IF(A432="","",IFERROR(INDEX(Maniobras!$D$5:$D$504,MATCH(A432,Maniobras!$A$5:$A$504,0)),""))</f>
        <v/>
      </c>
      <c r="F432" s="29" t="str">
        <f>IF(A432="","",IFERROR(INDEX(Maniobras!$K$5:$K$504,MATCH(A432,Maniobras!$A$5:$A$504,0)),""))</f>
        <v/>
      </c>
      <c r="G432" s="29"/>
      <c r="H432" s="29"/>
      <c r="I432" s="29" t="str">
        <f t="shared" si="13"/>
        <v/>
      </c>
      <c r="K432" s="30"/>
      <c r="M432" t="str">
        <f>IF($A432=Ficha!$B$3,COUNTIF($A$5:$A432,Ficha!$B$3),"")</f>
        <v/>
      </c>
    </row>
    <row r="433" spans="2:13" x14ac:dyDescent="0.3">
      <c r="B433" s="30" t="str">
        <f>IF(A433="","",IFERROR(INDEX(Maniobras!$B$5:$B$504,MATCH(A433,Maniobras!$A$5:$A$504,0)),""))</f>
        <v/>
      </c>
      <c r="C433" t="str">
        <f t="shared" si="12"/>
        <v/>
      </c>
      <c r="D433" t="str">
        <f>IF(A433="","",IFERROR(INDEX(Maniobras!$D$5:$D$504,MATCH(A433,Maniobras!$A$5:$A$504,0)),""))</f>
        <v/>
      </c>
      <c r="F433" s="29" t="str">
        <f>IF(A433="","",IFERROR(INDEX(Maniobras!$K$5:$K$504,MATCH(A433,Maniobras!$A$5:$A$504,0)),""))</f>
        <v/>
      </c>
      <c r="G433" s="29"/>
      <c r="H433" s="29"/>
      <c r="I433" s="29" t="str">
        <f t="shared" si="13"/>
        <v/>
      </c>
      <c r="K433" s="30"/>
      <c r="M433" t="str">
        <f>IF($A433=Ficha!$B$3,COUNTIF($A$5:$A433,Ficha!$B$3),"")</f>
        <v/>
      </c>
    </row>
    <row r="434" spans="2:13" x14ac:dyDescent="0.3">
      <c r="B434" s="30" t="str">
        <f>IF(A434="","",IFERROR(INDEX(Maniobras!$B$5:$B$504,MATCH(A434,Maniobras!$A$5:$A$504,0)),""))</f>
        <v/>
      </c>
      <c r="C434" t="str">
        <f t="shared" si="12"/>
        <v/>
      </c>
      <c r="D434" t="str">
        <f>IF(A434="","",IFERROR(INDEX(Maniobras!$D$5:$D$504,MATCH(A434,Maniobras!$A$5:$A$504,0)),""))</f>
        <v/>
      </c>
      <c r="F434" s="29" t="str">
        <f>IF(A434="","",IFERROR(INDEX(Maniobras!$K$5:$K$504,MATCH(A434,Maniobras!$A$5:$A$504,0)),""))</f>
        <v/>
      </c>
      <c r="G434" s="29"/>
      <c r="H434" s="29"/>
      <c r="I434" s="29" t="str">
        <f t="shared" si="13"/>
        <v/>
      </c>
      <c r="K434" s="30"/>
      <c r="M434" t="str">
        <f>IF($A434=Ficha!$B$3,COUNTIF($A$5:$A434,Ficha!$B$3),"")</f>
        <v/>
      </c>
    </row>
    <row r="435" spans="2:13" x14ac:dyDescent="0.3">
      <c r="B435" s="30" t="str">
        <f>IF(A435="","",IFERROR(INDEX(Maniobras!$B$5:$B$504,MATCH(A435,Maniobras!$A$5:$A$504,0)),""))</f>
        <v/>
      </c>
      <c r="C435" t="str">
        <f t="shared" si="12"/>
        <v/>
      </c>
      <c r="D435" t="str">
        <f>IF(A435="","",IFERROR(INDEX(Maniobras!$D$5:$D$504,MATCH(A435,Maniobras!$A$5:$A$504,0)),""))</f>
        <v/>
      </c>
      <c r="F435" s="29" t="str">
        <f>IF(A435="","",IFERROR(INDEX(Maniobras!$K$5:$K$504,MATCH(A435,Maniobras!$A$5:$A$504,0)),""))</f>
        <v/>
      </c>
      <c r="G435" s="29"/>
      <c r="H435" s="29"/>
      <c r="I435" s="29" t="str">
        <f t="shared" si="13"/>
        <v/>
      </c>
      <c r="K435" s="30"/>
      <c r="M435" t="str">
        <f>IF($A435=Ficha!$B$3,COUNTIF($A$5:$A435,Ficha!$B$3),"")</f>
        <v/>
      </c>
    </row>
    <row r="436" spans="2:13" x14ac:dyDescent="0.3">
      <c r="B436" s="30" t="str">
        <f>IF(A436="","",IFERROR(INDEX(Maniobras!$B$5:$B$504,MATCH(A436,Maniobras!$A$5:$A$504,0)),""))</f>
        <v/>
      </c>
      <c r="C436" t="str">
        <f t="shared" si="12"/>
        <v/>
      </c>
      <c r="D436" t="str">
        <f>IF(A436="","",IFERROR(INDEX(Maniobras!$D$5:$D$504,MATCH(A436,Maniobras!$A$5:$A$504,0)),""))</f>
        <v/>
      </c>
      <c r="F436" s="29" t="str">
        <f>IF(A436="","",IFERROR(INDEX(Maniobras!$K$5:$K$504,MATCH(A436,Maniobras!$A$5:$A$504,0)),""))</f>
        <v/>
      </c>
      <c r="G436" s="29"/>
      <c r="H436" s="29"/>
      <c r="I436" s="29" t="str">
        <f t="shared" si="13"/>
        <v/>
      </c>
      <c r="K436" s="30"/>
      <c r="M436" t="str">
        <f>IF($A436=Ficha!$B$3,COUNTIF($A$5:$A436,Ficha!$B$3),"")</f>
        <v/>
      </c>
    </row>
    <row r="437" spans="2:13" x14ac:dyDescent="0.3">
      <c r="B437" s="30" t="str">
        <f>IF(A437="","",IFERROR(INDEX(Maniobras!$B$5:$B$504,MATCH(A437,Maniobras!$A$5:$A$504,0)),""))</f>
        <v/>
      </c>
      <c r="C437" t="str">
        <f t="shared" si="12"/>
        <v/>
      </c>
      <c r="D437" t="str">
        <f>IF(A437="","",IFERROR(INDEX(Maniobras!$D$5:$D$504,MATCH(A437,Maniobras!$A$5:$A$504,0)),""))</f>
        <v/>
      </c>
      <c r="F437" s="29" t="str">
        <f>IF(A437="","",IFERROR(INDEX(Maniobras!$K$5:$K$504,MATCH(A437,Maniobras!$A$5:$A$504,0)),""))</f>
        <v/>
      </c>
      <c r="G437" s="29"/>
      <c r="H437" s="29"/>
      <c r="I437" s="29" t="str">
        <f t="shared" si="13"/>
        <v/>
      </c>
      <c r="K437" s="30"/>
      <c r="M437" t="str">
        <f>IF($A437=Ficha!$B$3,COUNTIF($A$5:$A437,Ficha!$B$3),"")</f>
        <v/>
      </c>
    </row>
    <row r="438" spans="2:13" x14ac:dyDescent="0.3">
      <c r="B438" s="30" t="str">
        <f>IF(A438="","",IFERROR(INDEX(Maniobras!$B$5:$B$504,MATCH(A438,Maniobras!$A$5:$A$504,0)),""))</f>
        <v/>
      </c>
      <c r="C438" t="str">
        <f t="shared" si="12"/>
        <v/>
      </c>
      <c r="D438" t="str">
        <f>IF(A438="","",IFERROR(INDEX(Maniobras!$D$5:$D$504,MATCH(A438,Maniobras!$A$5:$A$504,0)),""))</f>
        <v/>
      </c>
      <c r="F438" s="29" t="str">
        <f>IF(A438="","",IFERROR(INDEX(Maniobras!$K$5:$K$504,MATCH(A438,Maniobras!$A$5:$A$504,0)),""))</f>
        <v/>
      </c>
      <c r="G438" s="29"/>
      <c r="H438" s="29"/>
      <c r="I438" s="29" t="str">
        <f t="shared" si="13"/>
        <v/>
      </c>
      <c r="K438" s="30"/>
      <c r="M438" t="str">
        <f>IF($A438=Ficha!$B$3,COUNTIF($A$5:$A438,Ficha!$B$3),"")</f>
        <v/>
      </c>
    </row>
    <row r="439" spans="2:13" x14ac:dyDescent="0.3">
      <c r="B439" s="30" t="str">
        <f>IF(A439="","",IFERROR(INDEX(Maniobras!$B$5:$B$504,MATCH(A439,Maniobras!$A$5:$A$504,0)),""))</f>
        <v/>
      </c>
      <c r="C439" t="str">
        <f t="shared" si="12"/>
        <v/>
      </c>
      <c r="D439" t="str">
        <f>IF(A439="","",IFERROR(INDEX(Maniobras!$D$5:$D$504,MATCH(A439,Maniobras!$A$5:$A$504,0)),""))</f>
        <v/>
      </c>
      <c r="F439" s="29" t="str">
        <f>IF(A439="","",IFERROR(INDEX(Maniobras!$K$5:$K$504,MATCH(A439,Maniobras!$A$5:$A$504,0)),""))</f>
        <v/>
      </c>
      <c r="G439" s="29"/>
      <c r="H439" s="29"/>
      <c r="I439" s="29" t="str">
        <f t="shared" si="13"/>
        <v/>
      </c>
      <c r="K439" s="30"/>
      <c r="M439" t="str">
        <f>IF($A439=Ficha!$B$3,COUNTIF($A$5:$A439,Ficha!$B$3),"")</f>
        <v/>
      </c>
    </row>
    <row r="440" spans="2:13" x14ac:dyDescent="0.3">
      <c r="B440" s="30" t="str">
        <f>IF(A440="","",IFERROR(INDEX(Maniobras!$B$5:$B$504,MATCH(A440,Maniobras!$A$5:$A$504,0)),""))</f>
        <v/>
      </c>
      <c r="C440" t="str">
        <f t="shared" si="12"/>
        <v/>
      </c>
      <c r="D440" t="str">
        <f>IF(A440="","",IFERROR(INDEX(Maniobras!$D$5:$D$504,MATCH(A440,Maniobras!$A$5:$A$504,0)),""))</f>
        <v/>
      </c>
      <c r="F440" s="29" t="str">
        <f>IF(A440="","",IFERROR(INDEX(Maniobras!$K$5:$K$504,MATCH(A440,Maniobras!$A$5:$A$504,0)),""))</f>
        <v/>
      </c>
      <c r="G440" s="29"/>
      <c r="H440" s="29"/>
      <c r="I440" s="29" t="str">
        <f t="shared" si="13"/>
        <v/>
      </c>
      <c r="K440" s="30"/>
      <c r="M440" t="str">
        <f>IF($A440=Ficha!$B$3,COUNTIF($A$5:$A440,Ficha!$B$3),"")</f>
        <v/>
      </c>
    </row>
    <row r="441" spans="2:13" x14ac:dyDescent="0.3">
      <c r="B441" s="30" t="str">
        <f>IF(A441="","",IFERROR(INDEX(Maniobras!$B$5:$B$504,MATCH(A441,Maniobras!$A$5:$A$504,0)),""))</f>
        <v/>
      </c>
      <c r="C441" t="str">
        <f t="shared" si="12"/>
        <v/>
      </c>
      <c r="D441" t="str">
        <f>IF(A441="","",IFERROR(INDEX(Maniobras!$D$5:$D$504,MATCH(A441,Maniobras!$A$5:$A$504,0)),""))</f>
        <v/>
      </c>
      <c r="F441" s="29" t="str">
        <f>IF(A441="","",IFERROR(INDEX(Maniobras!$K$5:$K$504,MATCH(A441,Maniobras!$A$5:$A$504,0)),""))</f>
        <v/>
      </c>
      <c r="G441" s="29"/>
      <c r="H441" s="29"/>
      <c r="I441" s="29" t="str">
        <f t="shared" si="13"/>
        <v/>
      </c>
      <c r="K441" s="30"/>
      <c r="M441" t="str">
        <f>IF($A441=Ficha!$B$3,COUNTIF($A$5:$A441,Ficha!$B$3),"")</f>
        <v/>
      </c>
    </row>
    <row r="442" spans="2:13" x14ac:dyDescent="0.3">
      <c r="B442" s="30" t="str">
        <f>IF(A442="","",IFERROR(INDEX(Maniobras!$B$5:$B$504,MATCH(A442,Maniobras!$A$5:$A$504,0)),""))</f>
        <v/>
      </c>
      <c r="C442" t="str">
        <f t="shared" si="12"/>
        <v/>
      </c>
      <c r="D442" t="str">
        <f>IF(A442="","",IFERROR(INDEX(Maniobras!$D$5:$D$504,MATCH(A442,Maniobras!$A$5:$A$504,0)),""))</f>
        <v/>
      </c>
      <c r="F442" s="29" t="str">
        <f>IF(A442="","",IFERROR(INDEX(Maniobras!$K$5:$K$504,MATCH(A442,Maniobras!$A$5:$A$504,0)),""))</f>
        <v/>
      </c>
      <c r="G442" s="29"/>
      <c r="H442" s="29"/>
      <c r="I442" s="29" t="str">
        <f t="shared" si="13"/>
        <v/>
      </c>
      <c r="K442" s="30"/>
      <c r="M442" t="str">
        <f>IF($A442=Ficha!$B$3,COUNTIF($A$5:$A442,Ficha!$B$3),"")</f>
        <v/>
      </c>
    </row>
    <row r="443" spans="2:13" x14ac:dyDescent="0.3">
      <c r="B443" s="30" t="str">
        <f>IF(A443="","",IFERROR(INDEX(Maniobras!$B$5:$B$504,MATCH(A443,Maniobras!$A$5:$A$504,0)),""))</f>
        <v/>
      </c>
      <c r="C443" t="str">
        <f t="shared" si="12"/>
        <v/>
      </c>
      <c r="D443" t="str">
        <f>IF(A443="","",IFERROR(INDEX(Maniobras!$D$5:$D$504,MATCH(A443,Maniobras!$A$5:$A$504,0)),""))</f>
        <v/>
      </c>
      <c r="F443" s="29" t="str">
        <f>IF(A443="","",IFERROR(INDEX(Maniobras!$K$5:$K$504,MATCH(A443,Maniobras!$A$5:$A$504,0)),""))</f>
        <v/>
      </c>
      <c r="G443" s="29"/>
      <c r="H443" s="29"/>
      <c r="I443" s="29" t="str">
        <f t="shared" si="13"/>
        <v/>
      </c>
      <c r="K443" s="30"/>
      <c r="M443" t="str">
        <f>IF($A443=Ficha!$B$3,COUNTIF($A$5:$A443,Ficha!$B$3),"")</f>
        <v/>
      </c>
    </row>
    <row r="444" spans="2:13" x14ac:dyDescent="0.3">
      <c r="B444" s="30" t="str">
        <f>IF(A444="","",IFERROR(INDEX(Maniobras!$B$5:$B$504,MATCH(A444,Maniobras!$A$5:$A$504,0)),""))</f>
        <v/>
      </c>
      <c r="C444" t="str">
        <f t="shared" si="12"/>
        <v/>
      </c>
      <c r="D444" t="str">
        <f>IF(A444="","",IFERROR(INDEX(Maniobras!$D$5:$D$504,MATCH(A444,Maniobras!$A$5:$A$504,0)),""))</f>
        <v/>
      </c>
      <c r="F444" s="29" t="str">
        <f>IF(A444="","",IFERROR(INDEX(Maniobras!$K$5:$K$504,MATCH(A444,Maniobras!$A$5:$A$504,0)),""))</f>
        <v/>
      </c>
      <c r="G444" s="29"/>
      <c r="H444" s="29"/>
      <c r="I444" s="29" t="str">
        <f t="shared" si="13"/>
        <v/>
      </c>
      <c r="K444" s="30"/>
      <c r="M444" t="str">
        <f>IF($A444=Ficha!$B$3,COUNTIF($A$5:$A444,Ficha!$B$3),"")</f>
        <v/>
      </c>
    </row>
    <row r="445" spans="2:13" x14ac:dyDescent="0.3">
      <c r="B445" s="30" t="str">
        <f>IF(A445="","",IFERROR(INDEX(Maniobras!$B$5:$B$504,MATCH(A445,Maniobras!$A$5:$A$504,0)),""))</f>
        <v/>
      </c>
      <c r="C445" t="str">
        <f t="shared" si="12"/>
        <v/>
      </c>
      <c r="D445" t="str">
        <f>IF(A445="","",IFERROR(INDEX(Maniobras!$D$5:$D$504,MATCH(A445,Maniobras!$A$5:$A$504,0)),""))</f>
        <v/>
      </c>
      <c r="F445" s="29" t="str">
        <f>IF(A445="","",IFERROR(INDEX(Maniobras!$K$5:$K$504,MATCH(A445,Maniobras!$A$5:$A$504,0)),""))</f>
        <v/>
      </c>
      <c r="G445" s="29"/>
      <c r="H445" s="29"/>
      <c r="I445" s="29" t="str">
        <f t="shared" si="13"/>
        <v/>
      </c>
      <c r="K445" s="30"/>
      <c r="M445" t="str">
        <f>IF($A445=Ficha!$B$3,COUNTIF($A$5:$A445,Ficha!$B$3),"")</f>
        <v/>
      </c>
    </row>
    <row r="446" spans="2:13" x14ac:dyDescent="0.3">
      <c r="B446" s="30" t="str">
        <f>IF(A446="","",IFERROR(INDEX(Maniobras!$B$5:$B$504,MATCH(A446,Maniobras!$A$5:$A$504,0)),""))</f>
        <v/>
      </c>
      <c r="C446" t="str">
        <f t="shared" si="12"/>
        <v/>
      </c>
      <c r="D446" t="str">
        <f>IF(A446="","",IFERROR(INDEX(Maniobras!$D$5:$D$504,MATCH(A446,Maniobras!$A$5:$A$504,0)),""))</f>
        <v/>
      </c>
      <c r="F446" s="29" t="str">
        <f>IF(A446="","",IFERROR(INDEX(Maniobras!$K$5:$K$504,MATCH(A446,Maniobras!$A$5:$A$504,0)),""))</f>
        <v/>
      </c>
      <c r="G446" s="29"/>
      <c r="H446" s="29"/>
      <c r="I446" s="29" t="str">
        <f t="shared" si="13"/>
        <v/>
      </c>
      <c r="K446" s="30"/>
      <c r="M446" t="str">
        <f>IF($A446=Ficha!$B$3,COUNTIF($A$5:$A446,Ficha!$B$3),"")</f>
        <v/>
      </c>
    </row>
    <row r="447" spans="2:13" x14ac:dyDescent="0.3">
      <c r="B447" s="30" t="str">
        <f>IF(A447="","",IFERROR(INDEX(Maniobras!$B$5:$B$504,MATCH(A447,Maniobras!$A$5:$A$504,0)),""))</f>
        <v/>
      </c>
      <c r="C447" t="str">
        <f t="shared" si="12"/>
        <v/>
      </c>
      <c r="D447" t="str">
        <f>IF(A447="","",IFERROR(INDEX(Maniobras!$D$5:$D$504,MATCH(A447,Maniobras!$A$5:$A$504,0)),""))</f>
        <v/>
      </c>
      <c r="F447" s="29" t="str">
        <f>IF(A447="","",IFERROR(INDEX(Maniobras!$K$5:$K$504,MATCH(A447,Maniobras!$A$5:$A$504,0)),""))</f>
        <v/>
      </c>
      <c r="G447" s="29"/>
      <c r="H447" s="29"/>
      <c r="I447" s="29" t="str">
        <f t="shared" si="13"/>
        <v/>
      </c>
      <c r="K447" s="30"/>
      <c r="M447" t="str">
        <f>IF($A447=Ficha!$B$3,COUNTIF($A$5:$A447,Ficha!$B$3),"")</f>
        <v/>
      </c>
    </row>
    <row r="448" spans="2:13" x14ac:dyDescent="0.3">
      <c r="B448" s="30" t="str">
        <f>IF(A448="","",IFERROR(INDEX(Maniobras!$B$5:$B$504,MATCH(A448,Maniobras!$A$5:$A$504,0)),""))</f>
        <v/>
      </c>
      <c r="C448" t="str">
        <f t="shared" si="12"/>
        <v/>
      </c>
      <c r="D448" t="str">
        <f>IF(A448="","",IFERROR(INDEX(Maniobras!$D$5:$D$504,MATCH(A448,Maniobras!$A$5:$A$504,0)),""))</f>
        <v/>
      </c>
      <c r="F448" s="29" t="str">
        <f>IF(A448="","",IFERROR(INDEX(Maniobras!$K$5:$K$504,MATCH(A448,Maniobras!$A$5:$A$504,0)),""))</f>
        <v/>
      </c>
      <c r="G448" s="29"/>
      <c r="H448" s="29"/>
      <c r="I448" s="29" t="str">
        <f t="shared" si="13"/>
        <v/>
      </c>
      <c r="K448" s="30"/>
      <c r="M448" t="str">
        <f>IF($A448=Ficha!$B$3,COUNTIF($A$5:$A448,Ficha!$B$3),"")</f>
        <v/>
      </c>
    </row>
    <row r="449" spans="2:13" x14ac:dyDescent="0.3">
      <c r="B449" s="30" t="str">
        <f>IF(A449="","",IFERROR(INDEX(Maniobras!$B$5:$B$504,MATCH(A449,Maniobras!$A$5:$A$504,0)),""))</f>
        <v/>
      </c>
      <c r="C449" t="str">
        <f t="shared" si="12"/>
        <v/>
      </c>
      <c r="D449" t="str">
        <f>IF(A449="","",IFERROR(INDEX(Maniobras!$D$5:$D$504,MATCH(A449,Maniobras!$A$5:$A$504,0)),""))</f>
        <v/>
      </c>
      <c r="F449" s="29" t="str">
        <f>IF(A449="","",IFERROR(INDEX(Maniobras!$K$5:$K$504,MATCH(A449,Maniobras!$A$5:$A$504,0)),""))</f>
        <v/>
      </c>
      <c r="G449" s="29"/>
      <c r="H449" s="29"/>
      <c r="I449" s="29" t="str">
        <f t="shared" si="13"/>
        <v/>
      </c>
      <c r="K449" s="30"/>
      <c r="M449" t="str">
        <f>IF($A449=Ficha!$B$3,COUNTIF($A$5:$A449,Ficha!$B$3),"")</f>
        <v/>
      </c>
    </row>
    <row r="450" spans="2:13" x14ac:dyDescent="0.3">
      <c r="B450" s="30" t="str">
        <f>IF(A450="","",IFERROR(INDEX(Maniobras!$B$5:$B$504,MATCH(A450,Maniobras!$A$5:$A$504,0)),""))</f>
        <v/>
      </c>
      <c r="C450" t="str">
        <f t="shared" si="12"/>
        <v/>
      </c>
      <c r="D450" t="str">
        <f>IF(A450="","",IFERROR(INDEX(Maniobras!$D$5:$D$504,MATCH(A450,Maniobras!$A$5:$A$504,0)),""))</f>
        <v/>
      </c>
      <c r="F450" s="29" t="str">
        <f>IF(A450="","",IFERROR(INDEX(Maniobras!$K$5:$K$504,MATCH(A450,Maniobras!$A$5:$A$504,0)),""))</f>
        <v/>
      </c>
      <c r="G450" s="29"/>
      <c r="H450" s="29"/>
      <c r="I450" s="29" t="str">
        <f t="shared" si="13"/>
        <v/>
      </c>
      <c r="K450" s="30"/>
      <c r="M450" t="str">
        <f>IF($A450=Ficha!$B$3,COUNTIF($A$5:$A450,Ficha!$B$3),"")</f>
        <v/>
      </c>
    </row>
    <row r="451" spans="2:13" x14ac:dyDescent="0.3">
      <c r="B451" s="30" t="str">
        <f>IF(A451="","",IFERROR(INDEX(Maniobras!$B$5:$B$504,MATCH(A451,Maniobras!$A$5:$A$504,0)),""))</f>
        <v/>
      </c>
      <c r="C451" t="str">
        <f t="shared" si="12"/>
        <v/>
      </c>
      <c r="D451" t="str">
        <f>IF(A451="","",IFERROR(INDEX(Maniobras!$D$5:$D$504,MATCH(A451,Maniobras!$A$5:$A$504,0)),""))</f>
        <v/>
      </c>
      <c r="F451" s="29" t="str">
        <f>IF(A451="","",IFERROR(INDEX(Maniobras!$K$5:$K$504,MATCH(A451,Maniobras!$A$5:$A$504,0)),""))</f>
        <v/>
      </c>
      <c r="G451" s="29"/>
      <c r="H451" s="29"/>
      <c r="I451" s="29" t="str">
        <f t="shared" si="13"/>
        <v/>
      </c>
      <c r="K451" s="30"/>
      <c r="M451" t="str">
        <f>IF($A451=Ficha!$B$3,COUNTIF($A$5:$A451,Ficha!$B$3),"")</f>
        <v/>
      </c>
    </row>
    <row r="452" spans="2:13" x14ac:dyDescent="0.3">
      <c r="B452" s="30" t="str">
        <f>IF(A452="","",IFERROR(INDEX(Maniobras!$B$5:$B$504,MATCH(A452,Maniobras!$A$5:$A$504,0)),""))</f>
        <v/>
      </c>
      <c r="C452" t="str">
        <f t="shared" si="12"/>
        <v/>
      </c>
      <c r="D452" t="str">
        <f>IF(A452="","",IFERROR(INDEX(Maniobras!$D$5:$D$504,MATCH(A452,Maniobras!$A$5:$A$504,0)),""))</f>
        <v/>
      </c>
      <c r="F452" s="29" t="str">
        <f>IF(A452="","",IFERROR(INDEX(Maniobras!$K$5:$K$504,MATCH(A452,Maniobras!$A$5:$A$504,0)),""))</f>
        <v/>
      </c>
      <c r="G452" s="29"/>
      <c r="H452" s="29"/>
      <c r="I452" s="29" t="str">
        <f t="shared" si="13"/>
        <v/>
      </c>
      <c r="K452" s="30"/>
      <c r="M452" t="str">
        <f>IF($A452=Ficha!$B$3,COUNTIF($A$5:$A452,Ficha!$B$3),"")</f>
        <v/>
      </c>
    </row>
    <row r="453" spans="2:13" x14ac:dyDescent="0.3">
      <c r="B453" s="30" t="str">
        <f>IF(A453="","",IFERROR(INDEX(Maniobras!$B$5:$B$504,MATCH(A453,Maniobras!$A$5:$A$504,0)),""))</f>
        <v/>
      </c>
      <c r="C453" t="str">
        <f t="shared" ref="C453:C516" si="14">IF(B453="","",TEXT(B453,"yyyy-mm"))</f>
        <v/>
      </c>
      <c r="D453" t="str">
        <f>IF(A453="","",IFERROR(INDEX(Maniobras!$D$5:$D$504,MATCH(A453,Maniobras!$A$5:$A$504,0)),""))</f>
        <v/>
      </c>
      <c r="F453" s="29" t="str">
        <f>IF(A453="","",IFERROR(INDEX(Maniobras!$K$5:$K$504,MATCH(A453,Maniobras!$A$5:$A$504,0)),""))</f>
        <v/>
      </c>
      <c r="G453" s="29"/>
      <c r="H453" s="29"/>
      <c r="I453" s="29" t="str">
        <f t="shared" ref="I453:I516" si="15">IF(G453="","",G453+N(H453))</f>
        <v/>
      </c>
      <c r="K453" s="30"/>
      <c r="M453" t="str">
        <f>IF($A453=Ficha!$B$3,COUNTIF($A$5:$A453,Ficha!$B$3),"")</f>
        <v/>
      </c>
    </row>
    <row r="454" spans="2:13" x14ac:dyDescent="0.3">
      <c r="B454" s="30" t="str">
        <f>IF(A454="","",IFERROR(INDEX(Maniobras!$B$5:$B$504,MATCH(A454,Maniobras!$A$5:$A$504,0)),""))</f>
        <v/>
      </c>
      <c r="C454" t="str">
        <f t="shared" si="14"/>
        <v/>
      </c>
      <c r="D454" t="str">
        <f>IF(A454="","",IFERROR(INDEX(Maniobras!$D$5:$D$504,MATCH(A454,Maniobras!$A$5:$A$504,0)),""))</f>
        <v/>
      </c>
      <c r="F454" s="29" t="str">
        <f>IF(A454="","",IFERROR(INDEX(Maniobras!$K$5:$K$504,MATCH(A454,Maniobras!$A$5:$A$504,0)),""))</f>
        <v/>
      </c>
      <c r="G454" s="29"/>
      <c r="H454" s="29"/>
      <c r="I454" s="29" t="str">
        <f t="shared" si="15"/>
        <v/>
      </c>
      <c r="K454" s="30"/>
      <c r="M454" t="str">
        <f>IF($A454=Ficha!$B$3,COUNTIF($A$5:$A454,Ficha!$B$3),"")</f>
        <v/>
      </c>
    </row>
    <row r="455" spans="2:13" x14ac:dyDescent="0.3">
      <c r="B455" s="30" t="str">
        <f>IF(A455="","",IFERROR(INDEX(Maniobras!$B$5:$B$504,MATCH(A455,Maniobras!$A$5:$A$504,0)),""))</f>
        <v/>
      </c>
      <c r="C455" t="str">
        <f t="shared" si="14"/>
        <v/>
      </c>
      <c r="D455" t="str">
        <f>IF(A455="","",IFERROR(INDEX(Maniobras!$D$5:$D$504,MATCH(A455,Maniobras!$A$5:$A$504,0)),""))</f>
        <v/>
      </c>
      <c r="F455" s="29" t="str">
        <f>IF(A455="","",IFERROR(INDEX(Maniobras!$K$5:$K$504,MATCH(A455,Maniobras!$A$5:$A$504,0)),""))</f>
        <v/>
      </c>
      <c r="G455" s="29"/>
      <c r="H455" s="29"/>
      <c r="I455" s="29" t="str">
        <f t="shared" si="15"/>
        <v/>
      </c>
      <c r="K455" s="30"/>
      <c r="M455" t="str">
        <f>IF($A455=Ficha!$B$3,COUNTIF($A$5:$A455,Ficha!$B$3),"")</f>
        <v/>
      </c>
    </row>
    <row r="456" spans="2:13" x14ac:dyDescent="0.3">
      <c r="B456" s="30" t="str">
        <f>IF(A456="","",IFERROR(INDEX(Maniobras!$B$5:$B$504,MATCH(A456,Maniobras!$A$5:$A$504,0)),""))</f>
        <v/>
      </c>
      <c r="C456" t="str">
        <f t="shared" si="14"/>
        <v/>
      </c>
      <c r="D456" t="str">
        <f>IF(A456="","",IFERROR(INDEX(Maniobras!$D$5:$D$504,MATCH(A456,Maniobras!$A$5:$A$504,0)),""))</f>
        <v/>
      </c>
      <c r="F456" s="29" t="str">
        <f>IF(A456="","",IFERROR(INDEX(Maniobras!$K$5:$K$504,MATCH(A456,Maniobras!$A$5:$A$504,0)),""))</f>
        <v/>
      </c>
      <c r="G456" s="29"/>
      <c r="H456" s="29"/>
      <c r="I456" s="29" t="str">
        <f t="shared" si="15"/>
        <v/>
      </c>
      <c r="K456" s="30"/>
      <c r="M456" t="str">
        <f>IF($A456=Ficha!$B$3,COUNTIF($A$5:$A456,Ficha!$B$3),"")</f>
        <v/>
      </c>
    </row>
    <row r="457" spans="2:13" x14ac:dyDescent="0.3">
      <c r="B457" s="30" t="str">
        <f>IF(A457="","",IFERROR(INDEX(Maniobras!$B$5:$B$504,MATCH(A457,Maniobras!$A$5:$A$504,0)),""))</f>
        <v/>
      </c>
      <c r="C457" t="str">
        <f t="shared" si="14"/>
        <v/>
      </c>
      <c r="D457" t="str">
        <f>IF(A457="","",IFERROR(INDEX(Maniobras!$D$5:$D$504,MATCH(A457,Maniobras!$A$5:$A$504,0)),""))</f>
        <v/>
      </c>
      <c r="F457" s="29" t="str">
        <f>IF(A457="","",IFERROR(INDEX(Maniobras!$K$5:$K$504,MATCH(A457,Maniobras!$A$5:$A$504,0)),""))</f>
        <v/>
      </c>
      <c r="G457" s="29"/>
      <c r="H457" s="29"/>
      <c r="I457" s="29" t="str">
        <f t="shared" si="15"/>
        <v/>
      </c>
      <c r="K457" s="30"/>
      <c r="M457" t="str">
        <f>IF($A457=Ficha!$B$3,COUNTIF($A$5:$A457,Ficha!$B$3),"")</f>
        <v/>
      </c>
    </row>
    <row r="458" spans="2:13" x14ac:dyDescent="0.3">
      <c r="B458" s="30" t="str">
        <f>IF(A458="","",IFERROR(INDEX(Maniobras!$B$5:$B$504,MATCH(A458,Maniobras!$A$5:$A$504,0)),""))</f>
        <v/>
      </c>
      <c r="C458" t="str">
        <f t="shared" si="14"/>
        <v/>
      </c>
      <c r="D458" t="str">
        <f>IF(A458="","",IFERROR(INDEX(Maniobras!$D$5:$D$504,MATCH(A458,Maniobras!$A$5:$A$504,0)),""))</f>
        <v/>
      </c>
      <c r="F458" s="29" t="str">
        <f>IF(A458="","",IFERROR(INDEX(Maniobras!$K$5:$K$504,MATCH(A458,Maniobras!$A$5:$A$504,0)),""))</f>
        <v/>
      </c>
      <c r="G458" s="29"/>
      <c r="H458" s="29"/>
      <c r="I458" s="29" t="str">
        <f t="shared" si="15"/>
        <v/>
      </c>
      <c r="K458" s="30"/>
      <c r="M458" t="str">
        <f>IF($A458=Ficha!$B$3,COUNTIF($A$5:$A458,Ficha!$B$3),"")</f>
        <v/>
      </c>
    </row>
    <row r="459" spans="2:13" x14ac:dyDescent="0.3">
      <c r="B459" s="30" t="str">
        <f>IF(A459="","",IFERROR(INDEX(Maniobras!$B$5:$B$504,MATCH(A459,Maniobras!$A$5:$A$504,0)),""))</f>
        <v/>
      </c>
      <c r="C459" t="str">
        <f t="shared" si="14"/>
        <v/>
      </c>
      <c r="D459" t="str">
        <f>IF(A459="","",IFERROR(INDEX(Maniobras!$D$5:$D$504,MATCH(A459,Maniobras!$A$5:$A$504,0)),""))</f>
        <v/>
      </c>
      <c r="F459" s="29" t="str">
        <f>IF(A459="","",IFERROR(INDEX(Maniobras!$K$5:$K$504,MATCH(A459,Maniobras!$A$5:$A$504,0)),""))</f>
        <v/>
      </c>
      <c r="G459" s="29"/>
      <c r="H459" s="29"/>
      <c r="I459" s="29" t="str">
        <f t="shared" si="15"/>
        <v/>
      </c>
      <c r="K459" s="30"/>
      <c r="M459" t="str">
        <f>IF($A459=Ficha!$B$3,COUNTIF($A$5:$A459,Ficha!$B$3),"")</f>
        <v/>
      </c>
    </row>
    <row r="460" spans="2:13" x14ac:dyDescent="0.3">
      <c r="B460" s="30" t="str">
        <f>IF(A460="","",IFERROR(INDEX(Maniobras!$B$5:$B$504,MATCH(A460,Maniobras!$A$5:$A$504,0)),""))</f>
        <v/>
      </c>
      <c r="C460" t="str">
        <f t="shared" si="14"/>
        <v/>
      </c>
      <c r="D460" t="str">
        <f>IF(A460="","",IFERROR(INDEX(Maniobras!$D$5:$D$504,MATCH(A460,Maniobras!$A$5:$A$504,0)),""))</f>
        <v/>
      </c>
      <c r="F460" s="29" t="str">
        <f>IF(A460="","",IFERROR(INDEX(Maniobras!$K$5:$K$504,MATCH(A460,Maniobras!$A$5:$A$504,0)),""))</f>
        <v/>
      </c>
      <c r="G460" s="29"/>
      <c r="H460" s="29"/>
      <c r="I460" s="29" t="str">
        <f t="shared" si="15"/>
        <v/>
      </c>
      <c r="K460" s="30"/>
      <c r="M460" t="str">
        <f>IF($A460=Ficha!$B$3,COUNTIF($A$5:$A460,Ficha!$B$3),"")</f>
        <v/>
      </c>
    </row>
    <row r="461" spans="2:13" x14ac:dyDescent="0.3">
      <c r="B461" s="30" t="str">
        <f>IF(A461="","",IFERROR(INDEX(Maniobras!$B$5:$B$504,MATCH(A461,Maniobras!$A$5:$A$504,0)),""))</f>
        <v/>
      </c>
      <c r="C461" t="str">
        <f t="shared" si="14"/>
        <v/>
      </c>
      <c r="D461" t="str">
        <f>IF(A461="","",IFERROR(INDEX(Maniobras!$D$5:$D$504,MATCH(A461,Maniobras!$A$5:$A$504,0)),""))</f>
        <v/>
      </c>
      <c r="F461" s="29" t="str">
        <f>IF(A461="","",IFERROR(INDEX(Maniobras!$K$5:$K$504,MATCH(A461,Maniobras!$A$5:$A$504,0)),""))</f>
        <v/>
      </c>
      <c r="G461" s="29"/>
      <c r="H461" s="29"/>
      <c r="I461" s="29" t="str">
        <f t="shared" si="15"/>
        <v/>
      </c>
      <c r="K461" s="30"/>
      <c r="M461" t="str">
        <f>IF($A461=Ficha!$B$3,COUNTIF($A$5:$A461,Ficha!$B$3),"")</f>
        <v/>
      </c>
    </row>
    <row r="462" spans="2:13" x14ac:dyDescent="0.3">
      <c r="B462" s="30" t="str">
        <f>IF(A462="","",IFERROR(INDEX(Maniobras!$B$5:$B$504,MATCH(A462,Maniobras!$A$5:$A$504,0)),""))</f>
        <v/>
      </c>
      <c r="C462" t="str">
        <f t="shared" si="14"/>
        <v/>
      </c>
      <c r="D462" t="str">
        <f>IF(A462="","",IFERROR(INDEX(Maniobras!$D$5:$D$504,MATCH(A462,Maniobras!$A$5:$A$504,0)),""))</f>
        <v/>
      </c>
      <c r="F462" s="29" t="str">
        <f>IF(A462="","",IFERROR(INDEX(Maniobras!$K$5:$K$504,MATCH(A462,Maniobras!$A$5:$A$504,0)),""))</f>
        <v/>
      </c>
      <c r="G462" s="29"/>
      <c r="H462" s="29"/>
      <c r="I462" s="29" t="str">
        <f t="shared" si="15"/>
        <v/>
      </c>
      <c r="K462" s="30"/>
      <c r="M462" t="str">
        <f>IF($A462=Ficha!$B$3,COUNTIF($A$5:$A462,Ficha!$B$3),"")</f>
        <v/>
      </c>
    </row>
    <row r="463" spans="2:13" x14ac:dyDescent="0.3">
      <c r="B463" s="30" t="str">
        <f>IF(A463="","",IFERROR(INDEX(Maniobras!$B$5:$B$504,MATCH(A463,Maniobras!$A$5:$A$504,0)),""))</f>
        <v/>
      </c>
      <c r="C463" t="str">
        <f t="shared" si="14"/>
        <v/>
      </c>
      <c r="D463" t="str">
        <f>IF(A463="","",IFERROR(INDEX(Maniobras!$D$5:$D$504,MATCH(A463,Maniobras!$A$5:$A$504,0)),""))</f>
        <v/>
      </c>
      <c r="F463" s="29" t="str">
        <f>IF(A463="","",IFERROR(INDEX(Maniobras!$K$5:$K$504,MATCH(A463,Maniobras!$A$5:$A$504,0)),""))</f>
        <v/>
      </c>
      <c r="G463" s="29"/>
      <c r="H463" s="29"/>
      <c r="I463" s="29" t="str">
        <f t="shared" si="15"/>
        <v/>
      </c>
      <c r="K463" s="30"/>
      <c r="M463" t="str">
        <f>IF($A463=Ficha!$B$3,COUNTIF($A$5:$A463,Ficha!$B$3),"")</f>
        <v/>
      </c>
    </row>
    <row r="464" spans="2:13" x14ac:dyDescent="0.3">
      <c r="B464" s="30" t="str">
        <f>IF(A464="","",IFERROR(INDEX(Maniobras!$B$5:$B$504,MATCH(A464,Maniobras!$A$5:$A$504,0)),""))</f>
        <v/>
      </c>
      <c r="C464" t="str">
        <f t="shared" si="14"/>
        <v/>
      </c>
      <c r="D464" t="str">
        <f>IF(A464="","",IFERROR(INDEX(Maniobras!$D$5:$D$504,MATCH(A464,Maniobras!$A$5:$A$504,0)),""))</f>
        <v/>
      </c>
      <c r="F464" s="29" t="str">
        <f>IF(A464="","",IFERROR(INDEX(Maniobras!$K$5:$K$504,MATCH(A464,Maniobras!$A$5:$A$504,0)),""))</f>
        <v/>
      </c>
      <c r="G464" s="29"/>
      <c r="H464" s="29"/>
      <c r="I464" s="29" t="str">
        <f t="shared" si="15"/>
        <v/>
      </c>
      <c r="K464" s="30"/>
      <c r="M464" t="str">
        <f>IF($A464=Ficha!$B$3,COUNTIF($A$5:$A464,Ficha!$B$3),"")</f>
        <v/>
      </c>
    </row>
    <row r="465" spans="2:13" x14ac:dyDescent="0.3">
      <c r="B465" s="30" t="str">
        <f>IF(A465="","",IFERROR(INDEX(Maniobras!$B$5:$B$504,MATCH(A465,Maniobras!$A$5:$A$504,0)),""))</f>
        <v/>
      </c>
      <c r="C465" t="str">
        <f t="shared" si="14"/>
        <v/>
      </c>
      <c r="D465" t="str">
        <f>IF(A465="","",IFERROR(INDEX(Maniobras!$D$5:$D$504,MATCH(A465,Maniobras!$A$5:$A$504,0)),""))</f>
        <v/>
      </c>
      <c r="F465" s="29" t="str">
        <f>IF(A465="","",IFERROR(INDEX(Maniobras!$K$5:$K$504,MATCH(A465,Maniobras!$A$5:$A$504,0)),""))</f>
        <v/>
      </c>
      <c r="G465" s="29"/>
      <c r="H465" s="29"/>
      <c r="I465" s="29" t="str">
        <f t="shared" si="15"/>
        <v/>
      </c>
      <c r="K465" s="30"/>
      <c r="M465" t="str">
        <f>IF($A465=Ficha!$B$3,COUNTIF($A$5:$A465,Ficha!$B$3),"")</f>
        <v/>
      </c>
    </row>
    <row r="466" spans="2:13" x14ac:dyDescent="0.3">
      <c r="B466" s="30" t="str">
        <f>IF(A466="","",IFERROR(INDEX(Maniobras!$B$5:$B$504,MATCH(A466,Maniobras!$A$5:$A$504,0)),""))</f>
        <v/>
      </c>
      <c r="C466" t="str">
        <f t="shared" si="14"/>
        <v/>
      </c>
      <c r="D466" t="str">
        <f>IF(A466="","",IFERROR(INDEX(Maniobras!$D$5:$D$504,MATCH(A466,Maniobras!$A$5:$A$504,0)),""))</f>
        <v/>
      </c>
      <c r="F466" s="29" t="str">
        <f>IF(A466="","",IFERROR(INDEX(Maniobras!$K$5:$K$504,MATCH(A466,Maniobras!$A$5:$A$504,0)),""))</f>
        <v/>
      </c>
      <c r="G466" s="29"/>
      <c r="H466" s="29"/>
      <c r="I466" s="29" t="str">
        <f t="shared" si="15"/>
        <v/>
      </c>
      <c r="K466" s="30"/>
      <c r="M466" t="str">
        <f>IF($A466=Ficha!$B$3,COUNTIF($A$5:$A466,Ficha!$B$3),"")</f>
        <v/>
      </c>
    </row>
    <row r="467" spans="2:13" x14ac:dyDescent="0.3">
      <c r="B467" s="30" t="str">
        <f>IF(A467="","",IFERROR(INDEX(Maniobras!$B$5:$B$504,MATCH(A467,Maniobras!$A$5:$A$504,0)),""))</f>
        <v/>
      </c>
      <c r="C467" t="str">
        <f t="shared" si="14"/>
        <v/>
      </c>
      <c r="D467" t="str">
        <f>IF(A467="","",IFERROR(INDEX(Maniobras!$D$5:$D$504,MATCH(A467,Maniobras!$A$5:$A$504,0)),""))</f>
        <v/>
      </c>
      <c r="F467" s="29" t="str">
        <f>IF(A467="","",IFERROR(INDEX(Maniobras!$K$5:$K$504,MATCH(A467,Maniobras!$A$5:$A$504,0)),""))</f>
        <v/>
      </c>
      <c r="G467" s="29"/>
      <c r="H467" s="29"/>
      <c r="I467" s="29" t="str">
        <f t="shared" si="15"/>
        <v/>
      </c>
      <c r="K467" s="30"/>
      <c r="M467" t="str">
        <f>IF($A467=Ficha!$B$3,COUNTIF($A$5:$A467,Ficha!$B$3),"")</f>
        <v/>
      </c>
    </row>
    <row r="468" spans="2:13" x14ac:dyDescent="0.3">
      <c r="B468" s="30" t="str">
        <f>IF(A468="","",IFERROR(INDEX(Maniobras!$B$5:$B$504,MATCH(A468,Maniobras!$A$5:$A$504,0)),""))</f>
        <v/>
      </c>
      <c r="C468" t="str">
        <f t="shared" si="14"/>
        <v/>
      </c>
      <c r="D468" t="str">
        <f>IF(A468="","",IFERROR(INDEX(Maniobras!$D$5:$D$504,MATCH(A468,Maniobras!$A$5:$A$504,0)),""))</f>
        <v/>
      </c>
      <c r="F468" s="29" t="str">
        <f>IF(A468="","",IFERROR(INDEX(Maniobras!$K$5:$K$504,MATCH(A468,Maniobras!$A$5:$A$504,0)),""))</f>
        <v/>
      </c>
      <c r="G468" s="29"/>
      <c r="H468" s="29"/>
      <c r="I468" s="29" t="str">
        <f t="shared" si="15"/>
        <v/>
      </c>
      <c r="K468" s="30"/>
      <c r="M468" t="str">
        <f>IF($A468=Ficha!$B$3,COUNTIF($A$5:$A468,Ficha!$B$3),"")</f>
        <v/>
      </c>
    </row>
    <row r="469" spans="2:13" x14ac:dyDescent="0.3">
      <c r="B469" s="30" t="str">
        <f>IF(A469="","",IFERROR(INDEX(Maniobras!$B$5:$B$504,MATCH(A469,Maniobras!$A$5:$A$504,0)),""))</f>
        <v/>
      </c>
      <c r="C469" t="str">
        <f t="shared" si="14"/>
        <v/>
      </c>
      <c r="D469" t="str">
        <f>IF(A469="","",IFERROR(INDEX(Maniobras!$D$5:$D$504,MATCH(A469,Maniobras!$A$5:$A$504,0)),""))</f>
        <v/>
      </c>
      <c r="F469" s="29" t="str">
        <f>IF(A469="","",IFERROR(INDEX(Maniobras!$K$5:$K$504,MATCH(A469,Maniobras!$A$5:$A$504,0)),""))</f>
        <v/>
      </c>
      <c r="G469" s="29"/>
      <c r="H469" s="29"/>
      <c r="I469" s="29" t="str">
        <f t="shared" si="15"/>
        <v/>
      </c>
      <c r="K469" s="30"/>
      <c r="M469" t="str">
        <f>IF($A469=Ficha!$B$3,COUNTIF($A$5:$A469,Ficha!$B$3),"")</f>
        <v/>
      </c>
    </row>
    <row r="470" spans="2:13" x14ac:dyDescent="0.3">
      <c r="B470" s="30" t="str">
        <f>IF(A470="","",IFERROR(INDEX(Maniobras!$B$5:$B$504,MATCH(A470,Maniobras!$A$5:$A$504,0)),""))</f>
        <v/>
      </c>
      <c r="C470" t="str">
        <f t="shared" si="14"/>
        <v/>
      </c>
      <c r="D470" t="str">
        <f>IF(A470="","",IFERROR(INDEX(Maniobras!$D$5:$D$504,MATCH(A470,Maniobras!$A$5:$A$504,0)),""))</f>
        <v/>
      </c>
      <c r="F470" s="29" t="str">
        <f>IF(A470="","",IFERROR(INDEX(Maniobras!$K$5:$K$504,MATCH(A470,Maniobras!$A$5:$A$504,0)),""))</f>
        <v/>
      </c>
      <c r="G470" s="29"/>
      <c r="H470" s="29"/>
      <c r="I470" s="29" t="str">
        <f t="shared" si="15"/>
        <v/>
      </c>
      <c r="K470" s="30"/>
      <c r="M470" t="str">
        <f>IF($A470=Ficha!$B$3,COUNTIF($A$5:$A470,Ficha!$B$3),"")</f>
        <v/>
      </c>
    </row>
    <row r="471" spans="2:13" x14ac:dyDescent="0.3">
      <c r="B471" s="30" t="str">
        <f>IF(A471="","",IFERROR(INDEX(Maniobras!$B$5:$B$504,MATCH(A471,Maniobras!$A$5:$A$504,0)),""))</f>
        <v/>
      </c>
      <c r="C471" t="str">
        <f t="shared" si="14"/>
        <v/>
      </c>
      <c r="D471" t="str">
        <f>IF(A471="","",IFERROR(INDEX(Maniobras!$D$5:$D$504,MATCH(A471,Maniobras!$A$5:$A$504,0)),""))</f>
        <v/>
      </c>
      <c r="F471" s="29" t="str">
        <f>IF(A471="","",IFERROR(INDEX(Maniobras!$K$5:$K$504,MATCH(A471,Maniobras!$A$5:$A$504,0)),""))</f>
        <v/>
      </c>
      <c r="G471" s="29"/>
      <c r="H471" s="29"/>
      <c r="I471" s="29" t="str">
        <f t="shared" si="15"/>
        <v/>
      </c>
      <c r="K471" s="30"/>
      <c r="M471" t="str">
        <f>IF($A471=Ficha!$B$3,COUNTIF($A$5:$A471,Ficha!$B$3),"")</f>
        <v/>
      </c>
    </row>
    <row r="472" spans="2:13" x14ac:dyDescent="0.3">
      <c r="B472" s="30" t="str">
        <f>IF(A472="","",IFERROR(INDEX(Maniobras!$B$5:$B$504,MATCH(A472,Maniobras!$A$5:$A$504,0)),""))</f>
        <v/>
      </c>
      <c r="C472" t="str">
        <f t="shared" si="14"/>
        <v/>
      </c>
      <c r="D472" t="str">
        <f>IF(A472="","",IFERROR(INDEX(Maniobras!$D$5:$D$504,MATCH(A472,Maniobras!$A$5:$A$504,0)),""))</f>
        <v/>
      </c>
      <c r="F472" s="29" t="str">
        <f>IF(A472="","",IFERROR(INDEX(Maniobras!$K$5:$K$504,MATCH(A472,Maniobras!$A$5:$A$504,0)),""))</f>
        <v/>
      </c>
      <c r="G472" s="29"/>
      <c r="H472" s="29"/>
      <c r="I472" s="29" t="str">
        <f t="shared" si="15"/>
        <v/>
      </c>
      <c r="K472" s="30"/>
      <c r="M472" t="str">
        <f>IF($A472=Ficha!$B$3,COUNTIF($A$5:$A472,Ficha!$B$3),"")</f>
        <v/>
      </c>
    </row>
    <row r="473" spans="2:13" x14ac:dyDescent="0.3">
      <c r="B473" s="30" t="str">
        <f>IF(A473="","",IFERROR(INDEX(Maniobras!$B$5:$B$504,MATCH(A473,Maniobras!$A$5:$A$504,0)),""))</f>
        <v/>
      </c>
      <c r="C473" t="str">
        <f t="shared" si="14"/>
        <v/>
      </c>
      <c r="D473" t="str">
        <f>IF(A473="","",IFERROR(INDEX(Maniobras!$D$5:$D$504,MATCH(A473,Maniobras!$A$5:$A$504,0)),""))</f>
        <v/>
      </c>
      <c r="F473" s="29" t="str">
        <f>IF(A473="","",IFERROR(INDEX(Maniobras!$K$5:$K$504,MATCH(A473,Maniobras!$A$5:$A$504,0)),""))</f>
        <v/>
      </c>
      <c r="G473" s="29"/>
      <c r="H473" s="29"/>
      <c r="I473" s="29" t="str">
        <f t="shared" si="15"/>
        <v/>
      </c>
      <c r="K473" s="30"/>
      <c r="M473" t="str">
        <f>IF($A473=Ficha!$B$3,COUNTIF($A$5:$A473,Ficha!$B$3),"")</f>
        <v/>
      </c>
    </row>
    <row r="474" spans="2:13" x14ac:dyDescent="0.3">
      <c r="B474" s="30" t="str">
        <f>IF(A474="","",IFERROR(INDEX(Maniobras!$B$5:$B$504,MATCH(A474,Maniobras!$A$5:$A$504,0)),""))</f>
        <v/>
      </c>
      <c r="C474" t="str">
        <f t="shared" si="14"/>
        <v/>
      </c>
      <c r="D474" t="str">
        <f>IF(A474="","",IFERROR(INDEX(Maniobras!$D$5:$D$504,MATCH(A474,Maniobras!$A$5:$A$504,0)),""))</f>
        <v/>
      </c>
      <c r="F474" s="29" t="str">
        <f>IF(A474="","",IFERROR(INDEX(Maniobras!$K$5:$K$504,MATCH(A474,Maniobras!$A$5:$A$504,0)),""))</f>
        <v/>
      </c>
      <c r="G474" s="29"/>
      <c r="H474" s="29"/>
      <c r="I474" s="29" t="str">
        <f t="shared" si="15"/>
        <v/>
      </c>
      <c r="K474" s="30"/>
      <c r="M474" t="str">
        <f>IF($A474=Ficha!$B$3,COUNTIF($A$5:$A474,Ficha!$B$3),"")</f>
        <v/>
      </c>
    </row>
    <row r="475" spans="2:13" x14ac:dyDescent="0.3">
      <c r="B475" s="30" t="str">
        <f>IF(A475="","",IFERROR(INDEX(Maniobras!$B$5:$B$504,MATCH(A475,Maniobras!$A$5:$A$504,0)),""))</f>
        <v/>
      </c>
      <c r="C475" t="str">
        <f t="shared" si="14"/>
        <v/>
      </c>
      <c r="D475" t="str">
        <f>IF(A475="","",IFERROR(INDEX(Maniobras!$D$5:$D$504,MATCH(A475,Maniobras!$A$5:$A$504,0)),""))</f>
        <v/>
      </c>
      <c r="F475" s="29" t="str">
        <f>IF(A475="","",IFERROR(INDEX(Maniobras!$K$5:$K$504,MATCH(A475,Maniobras!$A$5:$A$504,0)),""))</f>
        <v/>
      </c>
      <c r="G475" s="29"/>
      <c r="H475" s="29"/>
      <c r="I475" s="29" t="str">
        <f t="shared" si="15"/>
        <v/>
      </c>
      <c r="K475" s="30"/>
      <c r="M475" t="str">
        <f>IF($A475=Ficha!$B$3,COUNTIF($A$5:$A475,Ficha!$B$3),"")</f>
        <v/>
      </c>
    </row>
    <row r="476" spans="2:13" x14ac:dyDescent="0.3">
      <c r="B476" s="30" t="str">
        <f>IF(A476="","",IFERROR(INDEX(Maniobras!$B$5:$B$504,MATCH(A476,Maniobras!$A$5:$A$504,0)),""))</f>
        <v/>
      </c>
      <c r="C476" t="str">
        <f t="shared" si="14"/>
        <v/>
      </c>
      <c r="D476" t="str">
        <f>IF(A476="","",IFERROR(INDEX(Maniobras!$D$5:$D$504,MATCH(A476,Maniobras!$A$5:$A$504,0)),""))</f>
        <v/>
      </c>
      <c r="F476" s="29" t="str">
        <f>IF(A476="","",IFERROR(INDEX(Maniobras!$K$5:$K$504,MATCH(A476,Maniobras!$A$5:$A$504,0)),""))</f>
        <v/>
      </c>
      <c r="G476" s="29"/>
      <c r="H476" s="29"/>
      <c r="I476" s="29" t="str">
        <f t="shared" si="15"/>
        <v/>
      </c>
      <c r="K476" s="30"/>
      <c r="M476" t="str">
        <f>IF($A476=Ficha!$B$3,COUNTIF($A$5:$A476,Ficha!$B$3),"")</f>
        <v/>
      </c>
    </row>
    <row r="477" spans="2:13" x14ac:dyDescent="0.3">
      <c r="B477" s="30" t="str">
        <f>IF(A477="","",IFERROR(INDEX(Maniobras!$B$5:$B$504,MATCH(A477,Maniobras!$A$5:$A$504,0)),""))</f>
        <v/>
      </c>
      <c r="C477" t="str">
        <f t="shared" si="14"/>
        <v/>
      </c>
      <c r="D477" t="str">
        <f>IF(A477="","",IFERROR(INDEX(Maniobras!$D$5:$D$504,MATCH(A477,Maniobras!$A$5:$A$504,0)),""))</f>
        <v/>
      </c>
      <c r="F477" s="29" t="str">
        <f>IF(A477="","",IFERROR(INDEX(Maniobras!$K$5:$K$504,MATCH(A477,Maniobras!$A$5:$A$504,0)),""))</f>
        <v/>
      </c>
      <c r="G477" s="29"/>
      <c r="H477" s="29"/>
      <c r="I477" s="29" t="str">
        <f t="shared" si="15"/>
        <v/>
      </c>
      <c r="K477" s="30"/>
      <c r="M477" t="str">
        <f>IF($A477=Ficha!$B$3,COUNTIF($A$5:$A477,Ficha!$B$3),"")</f>
        <v/>
      </c>
    </row>
    <row r="478" spans="2:13" x14ac:dyDescent="0.3">
      <c r="B478" s="30" t="str">
        <f>IF(A478="","",IFERROR(INDEX(Maniobras!$B$5:$B$504,MATCH(A478,Maniobras!$A$5:$A$504,0)),""))</f>
        <v/>
      </c>
      <c r="C478" t="str">
        <f t="shared" si="14"/>
        <v/>
      </c>
      <c r="D478" t="str">
        <f>IF(A478="","",IFERROR(INDEX(Maniobras!$D$5:$D$504,MATCH(A478,Maniobras!$A$5:$A$504,0)),""))</f>
        <v/>
      </c>
      <c r="F478" s="29" t="str">
        <f>IF(A478="","",IFERROR(INDEX(Maniobras!$K$5:$K$504,MATCH(A478,Maniobras!$A$5:$A$504,0)),""))</f>
        <v/>
      </c>
      <c r="G478" s="29"/>
      <c r="H478" s="29"/>
      <c r="I478" s="29" t="str">
        <f t="shared" si="15"/>
        <v/>
      </c>
      <c r="K478" s="30"/>
      <c r="M478" t="str">
        <f>IF($A478=Ficha!$B$3,COUNTIF($A$5:$A478,Ficha!$B$3),"")</f>
        <v/>
      </c>
    </row>
    <row r="479" spans="2:13" x14ac:dyDescent="0.3">
      <c r="B479" s="30" t="str">
        <f>IF(A479="","",IFERROR(INDEX(Maniobras!$B$5:$B$504,MATCH(A479,Maniobras!$A$5:$A$504,0)),""))</f>
        <v/>
      </c>
      <c r="C479" t="str">
        <f t="shared" si="14"/>
        <v/>
      </c>
      <c r="D479" t="str">
        <f>IF(A479="","",IFERROR(INDEX(Maniobras!$D$5:$D$504,MATCH(A479,Maniobras!$A$5:$A$504,0)),""))</f>
        <v/>
      </c>
      <c r="F479" s="29" t="str">
        <f>IF(A479="","",IFERROR(INDEX(Maniobras!$K$5:$K$504,MATCH(A479,Maniobras!$A$5:$A$504,0)),""))</f>
        <v/>
      </c>
      <c r="G479" s="29"/>
      <c r="H479" s="29"/>
      <c r="I479" s="29" t="str">
        <f t="shared" si="15"/>
        <v/>
      </c>
      <c r="K479" s="30"/>
      <c r="M479" t="str">
        <f>IF($A479=Ficha!$B$3,COUNTIF($A$5:$A479,Ficha!$B$3),"")</f>
        <v/>
      </c>
    </row>
    <row r="480" spans="2:13" x14ac:dyDescent="0.3">
      <c r="B480" s="30" t="str">
        <f>IF(A480="","",IFERROR(INDEX(Maniobras!$B$5:$B$504,MATCH(A480,Maniobras!$A$5:$A$504,0)),""))</f>
        <v/>
      </c>
      <c r="C480" t="str">
        <f t="shared" si="14"/>
        <v/>
      </c>
      <c r="D480" t="str">
        <f>IF(A480="","",IFERROR(INDEX(Maniobras!$D$5:$D$504,MATCH(A480,Maniobras!$A$5:$A$504,0)),""))</f>
        <v/>
      </c>
      <c r="F480" s="29" t="str">
        <f>IF(A480="","",IFERROR(INDEX(Maniobras!$K$5:$K$504,MATCH(A480,Maniobras!$A$5:$A$504,0)),""))</f>
        <v/>
      </c>
      <c r="G480" s="29"/>
      <c r="H480" s="29"/>
      <c r="I480" s="29" t="str">
        <f t="shared" si="15"/>
        <v/>
      </c>
      <c r="K480" s="30"/>
      <c r="M480" t="str">
        <f>IF($A480=Ficha!$B$3,COUNTIF($A$5:$A480,Ficha!$B$3),"")</f>
        <v/>
      </c>
    </row>
    <row r="481" spans="2:13" x14ac:dyDescent="0.3">
      <c r="B481" s="30" t="str">
        <f>IF(A481="","",IFERROR(INDEX(Maniobras!$B$5:$B$504,MATCH(A481,Maniobras!$A$5:$A$504,0)),""))</f>
        <v/>
      </c>
      <c r="C481" t="str">
        <f t="shared" si="14"/>
        <v/>
      </c>
      <c r="D481" t="str">
        <f>IF(A481="","",IFERROR(INDEX(Maniobras!$D$5:$D$504,MATCH(A481,Maniobras!$A$5:$A$504,0)),""))</f>
        <v/>
      </c>
      <c r="F481" s="29" t="str">
        <f>IF(A481="","",IFERROR(INDEX(Maniobras!$K$5:$K$504,MATCH(A481,Maniobras!$A$5:$A$504,0)),""))</f>
        <v/>
      </c>
      <c r="G481" s="29"/>
      <c r="H481" s="29"/>
      <c r="I481" s="29" t="str">
        <f t="shared" si="15"/>
        <v/>
      </c>
      <c r="K481" s="30"/>
      <c r="M481" t="str">
        <f>IF($A481=Ficha!$B$3,COUNTIF($A$5:$A481,Ficha!$B$3),"")</f>
        <v/>
      </c>
    </row>
    <row r="482" spans="2:13" x14ac:dyDescent="0.3">
      <c r="B482" s="30" t="str">
        <f>IF(A482="","",IFERROR(INDEX(Maniobras!$B$5:$B$504,MATCH(A482,Maniobras!$A$5:$A$504,0)),""))</f>
        <v/>
      </c>
      <c r="C482" t="str">
        <f t="shared" si="14"/>
        <v/>
      </c>
      <c r="D482" t="str">
        <f>IF(A482="","",IFERROR(INDEX(Maniobras!$D$5:$D$504,MATCH(A482,Maniobras!$A$5:$A$504,0)),""))</f>
        <v/>
      </c>
      <c r="F482" s="29" t="str">
        <f>IF(A482="","",IFERROR(INDEX(Maniobras!$K$5:$K$504,MATCH(A482,Maniobras!$A$5:$A$504,0)),""))</f>
        <v/>
      </c>
      <c r="G482" s="29"/>
      <c r="H482" s="29"/>
      <c r="I482" s="29" t="str">
        <f t="shared" si="15"/>
        <v/>
      </c>
      <c r="K482" s="30"/>
      <c r="M482" t="str">
        <f>IF($A482=Ficha!$B$3,COUNTIF($A$5:$A482,Ficha!$B$3),"")</f>
        <v/>
      </c>
    </row>
    <row r="483" spans="2:13" x14ac:dyDescent="0.3">
      <c r="B483" s="30" t="str">
        <f>IF(A483="","",IFERROR(INDEX(Maniobras!$B$5:$B$504,MATCH(A483,Maniobras!$A$5:$A$504,0)),""))</f>
        <v/>
      </c>
      <c r="C483" t="str">
        <f t="shared" si="14"/>
        <v/>
      </c>
      <c r="D483" t="str">
        <f>IF(A483="","",IFERROR(INDEX(Maniobras!$D$5:$D$504,MATCH(A483,Maniobras!$A$5:$A$504,0)),""))</f>
        <v/>
      </c>
      <c r="F483" s="29" t="str">
        <f>IF(A483="","",IFERROR(INDEX(Maniobras!$K$5:$K$504,MATCH(A483,Maniobras!$A$5:$A$504,0)),""))</f>
        <v/>
      </c>
      <c r="G483" s="29"/>
      <c r="H483" s="29"/>
      <c r="I483" s="29" t="str">
        <f t="shared" si="15"/>
        <v/>
      </c>
      <c r="K483" s="30"/>
      <c r="M483" t="str">
        <f>IF($A483=Ficha!$B$3,COUNTIF($A$5:$A483,Ficha!$B$3),"")</f>
        <v/>
      </c>
    </row>
    <row r="484" spans="2:13" x14ac:dyDescent="0.3">
      <c r="B484" s="30" t="str">
        <f>IF(A484="","",IFERROR(INDEX(Maniobras!$B$5:$B$504,MATCH(A484,Maniobras!$A$5:$A$504,0)),""))</f>
        <v/>
      </c>
      <c r="C484" t="str">
        <f t="shared" si="14"/>
        <v/>
      </c>
      <c r="D484" t="str">
        <f>IF(A484="","",IFERROR(INDEX(Maniobras!$D$5:$D$504,MATCH(A484,Maniobras!$A$5:$A$504,0)),""))</f>
        <v/>
      </c>
      <c r="F484" s="29" t="str">
        <f>IF(A484="","",IFERROR(INDEX(Maniobras!$K$5:$K$504,MATCH(A484,Maniobras!$A$5:$A$504,0)),""))</f>
        <v/>
      </c>
      <c r="G484" s="29"/>
      <c r="H484" s="29"/>
      <c r="I484" s="29" t="str">
        <f t="shared" si="15"/>
        <v/>
      </c>
      <c r="K484" s="30"/>
      <c r="M484" t="str">
        <f>IF($A484=Ficha!$B$3,COUNTIF($A$5:$A484,Ficha!$B$3),"")</f>
        <v/>
      </c>
    </row>
    <row r="485" spans="2:13" x14ac:dyDescent="0.3">
      <c r="B485" s="30" t="str">
        <f>IF(A485="","",IFERROR(INDEX(Maniobras!$B$5:$B$504,MATCH(A485,Maniobras!$A$5:$A$504,0)),""))</f>
        <v/>
      </c>
      <c r="C485" t="str">
        <f t="shared" si="14"/>
        <v/>
      </c>
      <c r="D485" t="str">
        <f>IF(A485="","",IFERROR(INDEX(Maniobras!$D$5:$D$504,MATCH(A485,Maniobras!$A$5:$A$504,0)),""))</f>
        <v/>
      </c>
      <c r="F485" s="29" t="str">
        <f>IF(A485="","",IFERROR(INDEX(Maniobras!$K$5:$K$504,MATCH(A485,Maniobras!$A$5:$A$504,0)),""))</f>
        <v/>
      </c>
      <c r="G485" s="29"/>
      <c r="H485" s="29"/>
      <c r="I485" s="29" t="str">
        <f t="shared" si="15"/>
        <v/>
      </c>
      <c r="K485" s="30"/>
      <c r="M485" t="str">
        <f>IF($A485=Ficha!$B$3,COUNTIF($A$5:$A485,Ficha!$B$3),"")</f>
        <v/>
      </c>
    </row>
    <row r="486" spans="2:13" x14ac:dyDescent="0.3">
      <c r="B486" s="30" t="str">
        <f>IF(A486="","",IFERROR(INDEX(Maniobras!$B$5:$B$504,MATCH(A486,Maniobras!$A$5:$A$504,0)),""))</f>
        <v/>
      </c>
      <c r="C486" t="str">
        <f t="shared" si="14"/>
        <v/>
      </c>
      <c r="D486" t="str">
        <f>IF(A486="","",IFERROR(INDEX(Maniobras!$D$5:$D$504,MATCH(A486,Maniobras!$A$5:$A$504,0)),""))</f>
        <v/>
      </c>
      <c r="F486" s="29" t="str">
        <f>IF(A486="","",IFERROR(INDEX(Maniobras!$K$5:$K$504,MATCH(A486,Maniobras!$A$5:$A$504,0)),""))</f>
        <v/>
      </c>
      <c r="G486" s="29"/>
      <c r="H486" s="29"/>
      <c r="I486" s="29" t="str">
        <f t="shared" si="15"/>
        <v/>
      </c>
      <c r="K486" s="30"/>
      <c r="M486" t="str">
        <f>IF($A486=Ficha!$B$3,COUNTIF($A$5:$A486,Ficha!$B$3),"")</f>
        <v/>
      </c>
    </row>
    <row r="487" spans="2:13" x14ac:dyDescent="0.3">
      <c r="B487" s="30" t="str">
        <f>IF(A487="","",IFERROR(INDEX(Maniobras!$B$5:$B$504,MATCH(A487,Maniobras!$A$5:$A$504,0)),""))</f>
        <v/>
      </c>
      <c r="C487" t="str">
        <f t="shared" si="14"/>
        <v/>
      </c>
      <c r="D487" t="str">
        <f>IF(A487="","",IFERROR(INDEX(Maniobras!$D$5:$D$504,MATCH(A487,Maniobras!$A$5:$A$504,0)),""))</f>
        <v/>
      </c>
      <c r="F487" s="29" t="str">
        <f>IF(A487="","",IFERROR(INDEX(Maniobras!$K$5:$K$504,MATCH(A487,Maniobras!$A$5:$A$504,0)),""))</f>
        <v/>
      </c>
      <c r="G487" s="29"/>
      <c r="H487" s="29"/>
      <c r="I487" s="29" t="str">
        <f t="shared" si="15"/>
        <v/>
      </c>
      <c r="K487" s="30"/>
      <c r="M487" t="str">
        <f>IF($A487=Ficha!$B$3,COUNTIF($A$5:$A487,Ficha!$B$3),"")</f>
        <v/>
      </c>
    </row>
    <row r="488" spans="2:13" x14ac:dyDescent="0.3">
      <c r="B488" s="30" t="str">
        <f>IF(A488="","",IFERROR(INDEX(Maniobras!$B$5:$B$504,MATCH(A488,Maniobras!$A$5:$A$504,0)),""))</f>
        <v/>
      </c>
      <c r="C488" t="str">
        <f t="shared" si="14"/>
        <v/>
      </c>
      <c r="D488" t="str">
        <f>IF(A488="","",IFERROR(INDEX(Maniobras!$D$5:$D$504,MATCH(A488,Maniobras!$A$5:$A$504,0)),""))</f>
        <v/>
      </c>
      <c r="F488" s="29" t="str">
        <f>IF(A488="","",IFERROR(INDEX(Maniobras!$K$5:$K$504,MATCH(A488,Maniobras!$A$5:$A$504,0)),""))</f>
        <v/>
      </c>
      <c r="G488" s="29"/>
      <c r="H488" s="29"/>
      <c r="I488" s="29" t="str">
        <f t="shared" si="15"/>
        <v/>
      </c>
      <c r="K488" s="30"/>
      <c r="M488" t="str">
        <f>IF($A488=Ficha!$B$3,COUNTIF($A$5:$A488,Ficha!$B$3),"")</f>
        <v/>
      </c>
    </row>
    <row r="489" spans="2:13" x14ac:dyDescent="0.3">
      <c r="B489" s="30" t="str">
        <f>IF(A489="","",IFERROR(INDEX(Maniobras!$B$5:$B$504,MATCH(A489,Maniobras!$A$5:$A$504,0)),""))</f>
        <v/>
      </c>
      <c r="C489" t="str">
        <f t="shared" si="14"/>
        <v/>
      </c>
      <c r="D489" t="str">
        <f>IF(A489="","",IFERROR(INDEX(Maniobras!$D$5:$D$504,MATCH(A489,Maniobras!$A$5:$A$504,0)),""))</f>
        <v/>
      </c>
      <c r="F489" s="29" t="str">
        <f>IF(A489="","",IFERROR(INDEX(Maniobras!$K$5:$K$504,MATCH(A489,Maniobras!$A$5:$A$504,0)),""))</f>
        <v/>
      </c>
      <c r="G489" s="29"/>
      <c r="H489" s="29"/>
      <c r="I489" s="29" t="str">
        <f t="shared" si="15"/>
        <v/>
      </c>
      <c r="K489" s="30"/>
      <c r="M489" t="str">
        <f>IF($A489=Ficha!$B$3,COUNTIF($A$5:$A489,Ficha!$B$3),"")</f>
        <v/>
      </c>
    </row>
    <row r="490" spans="2:13" x14ac:dyDescent="0.3">
      <c r="B490" s="30" t="str">
        <f>IF(A490="","",IFERROR(INDEX(Maniobras!$B$5:$B$504,MATCH(A490,Maniobras!$A$5:$A$504,0)),""))</f>
        <v/>
      </c>
      <c r="C490" t="str">
        <f t="shared" si="14"/>
        <v/>
      </c>
      <c r="D490" t="str">
        <f>IF(A490="","",IFERROR(INDEX(Maniobras!$D$5:$D$504,MATCH(A490,Maniobras!$A$5:$A$504,0)),""))</f>
        <v/>
      </c>
      <c r="F490" s="29" t="str">
        <f>IF(A490="","",IFERROR(INDEX(Maniobras!$K$5:$K$504,MATCH(A490,Maniobras!$A$5:$A$504,0)),""))</f>
        <v/>
      </c>
      <c r="G490" s="29"/>
      <c r="H490" s="29"/>
      <c r="I490" s="29" t="str">
        <f t="shared" si="15"/>
        <v/>
      </c>
      <c r="K490" s="30"/>
      <c r="M490" t="str">
        <f>IF($A490=Ficha!$B$3,COUNTIF($A$5:$A490,Ficha!$B$3),"")</f>
        <v/>
      </c>
    </row>
    <row r="491" spans="2:13" x14ac:dyDescent="0.3">
      <c r="B491" s="30" t="str">
        <f>IF(A491="","",IFERROR(INDEX(Maniobras!$B$5:$B$504,MATCH(A491,Maniobras!$A$5:$A$504,0)),""))</f>
        <v/>
      </c>
      <c r="C491" t="str">
        <f t="shared" si="14"/>
        <v/>
      </c>
      <c r="D491" t="str">
        <f>IF(A491="","",IFERROR(INDEX(Maniobras!$D$5:$D$504,MATCH(A491,Maniobras!$A$5:$A$504,0)),""))</f>
        <v/>
      </c>
      <c r="F491" s="29" t="str">
        <f>IF(A491="","",IFERROR(INDEX(Maniobras!$K$5:$K$504,MATCH(A491,Maniobras!$A$5:$A$504,0)),""))</f>
        <v/>
      </c>
      <c r="G491" s="29"/>
      <c r="H491" s="29"/>
      <c r="I491" s="29" t="str">
        <f t="shared" si="15"/>
        <v/>
      </c>
      <c r="K491" s="30"/>
      <c r="M491" t="str">
        <f>IF($A491=Ficha!$B$3,COUNTIF($A$5:$A491,Ficha!$B$3),"")</f>
        <v/>
      </c>
    </row>
    <row r="492" spans="2:13" x14ac:dyDescent="0.3">
      <c r="B492" s="30" t="str">
        <f>IF(A492="","",IFERROR(INDEX(Maniobras!$B$5:$B$504,MATCH(A492,Maniobras!$A$5:$A$504,0)),""))</f>
        <v/>
      </c>
      <c r="C492" t="str">
        <f t="shared" si="14"/>
        <v/>
      </c>
      <c r="D492" t="str">
        <f>IF(A492="","",IFERROR(INDEX(Maniobras!$D$5:$D$504,MATCH(A492,Maniobras!$A$5:$A$504,0)),""))</f>
        <v/>
      </c>
      <c r="F492" s="29" t="str">
        <f>IF(A492="","",IFERROR(INDEX(Maniobras!$K$5:$K$504,MATCH(A492,Maniobras!$A$5:$A$504,0)),""))</f>
        <v/>
      </c>
      <c r="G492" s="29"/>
      <c r="H492" s="29"/>
      <c r="I492" s="29" t="str">
        <f t="shared" si="15"/>
        <v/>
      </c>
      <c r="K492" s="30"/>
      <c r="M492" t="str">
        <f>IF($A492=Ficha!$B$3,COUNTIF($A$5:$A492,Ficha!$B$3),"")</f>
        <v/>
      </c>
    </row>
    <row r="493" spans="2:13" x14ac:dyDescent="0.3">
      <c r="B493" s="30" t="str">
        <f>IF(A493="","",IFERROR(INDEX(Maniobras!$B$5:$B$504,MATCH(A493,Maniobras!$A$5:$A$504,0)),""))</f>
        <v/>
      </c>
      <c r="C493" t="str">
        <f t="shared" si="14"/>
        <v/>
      </c>
      <c r="D493" t="str">
        <f>IF(A493="","",IFERROR(INDEX(Maniobras!$D$5:$D$504,MATCH(A493,Maniobras!$A$5:$A$504,0)),""))</f>
        <v/>
      </c>
      <c r="F493" s="29" t="str">
        <f>IF(A493="","",IFERROR(INDEX(Maniobras!$K$5:$K$504,MATCH(A493,Maniobras!$A$5:$A$504,0)),""))</f>
        <v/>
      </c>
      <c r="G493" s="29"/>
      <c r="H493" s="29"/>
      <c r="I493" s="29" t="str">
        <f t="shared" si="15"/>
        <v/>
      </c>
      <c r="K493" s="30"/>
      <c r="M493" t="str">
        <f>IF($A493=Ficha!$B$3,COUNTIF($A$5:$A493,Ficha!$B$3),"")</f>
        <v/>
      </c>
    </row>
    <row r="494" spans="2:13" x14ac:dyDescent="0.3">
      <c r="B494" s="30" t="str">
        <f>IF(A494="","",IFERROR(INDEX(Maniobras!$B$5:$B$504,MATCH(A494,Maniobras!$A$5:$A$504,0)),""))</f>
        <v/>
      </c>
      <c r="C494" t="str">
        <f t="shared" si="14"/>
        <v/>
      </c>
      <c r="D494" t="str">
        <f>IF(A494="","",IFERROR(INDEX(Maniobras!$D$5:$D$504,MATCH(A494,Maniobras!$A$5:$A$504,0)),""))</f>
        <v/>
      </c>
      <c r="F494" s="29" t="str">
        <f>IF(A494="","",IFERROR(INDEX(Maniobras!$K$5:$K$504,MATCH(A494,Maniobras!$A$5:$A$504,0)),""))</f>
        <v/>
      </c>
      <c r="G494" s="29"/>
      <c r="H494" s="29"/>
      <c r="I494" s="29" t="str">
        <f t="shared" si="15"/>
        <v/>
      </c>
      <c r="K494" s="30"/>
      <c r="M494" t="str">
        <f>IF($A494=Ficha!$B$3,COUNTIF($A$5:$A494,Ficha!$B$3),"")</f>
        <v/>
      </c>
    </row>
    <row r="495" spans="2:13" x14ac:dyDescent="0.3">
      <c r="B495" s="30" t="str">
        <f>IF(A495="","",IFERROR(INDEX(Maniobras!$B$5:$B$504,MATCH(A495,Maniobras!$A$5:$A$504,0)),""))</f>
        <v/>
      </c>
      <c r="C495" t="str">
        <f t="shared" si="14"/>
        <v/>
      </c>
      <c r="D495" t="str">
        <f>IF(A495="","",IFERROR(INDEX(Maniobras!$D$5:$D$504,MATCH(A495,Maniobras!$A$5:$A$504,0)),""))</f>
        <v/>
      </c>
      <c r="F495" s="29" t="str">
        <f>IF(A495="","",IFERROR(INDEX(Maniobras!$K$5:$K$504,MATCH(A495,Maniobras!$A$5:$A$504,0)),""))</f>
        <v/>
      </c>
      <c r="G495" s="29"/>
      <c r="H495" s="29"/>
      <c r="I495" s="29" t="str">
        <f t="shared" si="15"/>
        <v/>
      </c>
      <c r="K495" s="30"/>
      <c r="M495" t="str">
        <f>IF($A495=Ficha!$B$3,COUNTIF($A$5:$A495,Ficha!$B$3),"")</f>
        <v/>
      </c>
    </row>
    <row r="496" spans="2:13" x14ac:dyDescent="0.3">
      <c r="B496" s="30" t="str">
        <f>IF(A496="","",IFERROR(INDEX(Maniobras!$B$5:$B$504,MATCH(A496,Maniobras!$A$5:$A$504,0)),""))</f>
        <v/>
      </c>
      <c r="C496" t="str">
        <f t="shared" si="14"/>
        <v/>
      </c>
      <c r="D496" t="str">
        <f>IF(A496="","",IFERROR(INDEX(Maniobras!$D$5:$D$504,MATCH(A496,Maniobras!$A$5:$A$504,0)),""))</f>
        <v/>
      </c>
      <c r="F496" s="29" t="str">
        <f>IF(A496="","",IFERROR(INDEX(Maniobras!$K$5:$K$504,MATCH(A496,Maniobras!$A$5:$A$504,0)),""))</f>
        <v/>
      </c>
      <c r="G496" s="29"/>
      <c r="H496" s="29"/>
      <c r="I496" s="29" t="str">
        <f t="shared" si="15"/>
        <v/>
      </c>
      <c r="K496" s="30"/>
      <c r="M496" t="str">
        <f>IF($A496=Ficha!$B$3,COUNTIF($A$5:$A496,Ficha!$B$3),"")</f>
        <v/>
      </c>
    </row>
    <row r="497" spans="2:13" x14ac:dyDescent="0.3">
      <c r="B497" s="30" t="str">
        <f>IF(A497="","",IFERROR(INDEX(Maniobras!$B$5:$B$504,MATCH(A497,Maniobras!$A$5:$A$504,0)),""))</f>
        <v/>
      </c>
      <c r="C497" t="str">
        <f t="shared" si="14"/>
        <v/>
      </c>
      <c r="D497" t="str">
        <f>IF(A497="","",IFERROR(INDEX(Maniobras!$D$5:$D$504,MATCH(A497,Maniobras!$A$5:$A$504,0)),""))</f>
        <v/>
      </c>
      <c r="F497" s="29" t="str">
        <f>IF(A497="","",IFERROR(INDEX(Maniobras!$K$5:$K$504,MATCH(A497,Maniobras!$A$5:$A$504,0)),""))</f>
        <v/>
      </c>
      <c r="G497" s="29"/>
      <c r="H497" s="29"/>
      <c r="I497" s="29" t="str">
        <f t="shared" si="15"/>
        <v/>
      </c>
      <c r="K497" s="30"/>
      <c r="M497" t="str">
        <f>IF($A497=Ficha!$B$3,COUNTIF($A$5:$A497,Ficha!$B$3),"")</f>
        <v/>
      </c>
    </row>
    <row r="498" spans="2:13" x14ac:dyDescent="0.3">
      <c r="B498" s="30" t="str">
        <f>IF(A498="","",IFERROR(INDEX(Maniobras!$B$5:$B$504,MATCH(A498,Maniobras!$A$5:$A$504,0)),""))</f>
        <v/>
      </c>
      <c r="C498" t="str">
        <f t="shared" si="14"/>
        <v/>
      </c>
      <c r="D498" t="str">
        <f>IF(A498="","",IFERROR(INDEX(Maniobras!$D$5:$D$504,MATCH(A498,Maniobras!$A$5:$A$504,0)),""))</f>
        <v/>
      </c>
      <c r="F498" s="29" t="str">
        <f>IF(A498="","",IFERROR(INDEX(Maniobras!$K$5:$K$504,MATCH(A498,Maniobras!$A$5:$A$504,0)),""))</f>
        <v/>
      </c>
      <c r="G498" s="29"/>
      <c r="H498" s="29"/>
      <c r="I498" s="29" t="str">
        <f t="shared" si="15"/>
        <v/>
      </c>
      <c r="K498" s="30"/>
      <c r="M498" t="str">
        <f>IF($A498=Ficha!$B$3,COUNTIF($A$5:$A498,Ficha!$B$3),"")</f>
        <v/>
      </c>
    </row>
    <row r="499" spans="2:13" x14ac:dyDescent="0.3">
      <c r="B499" s="30" t="str">
        <f>IF(A499="","",IFERROR(INDEX(Maniobras!$B$5:$B$504,MATCH(A499,Maniobras!$A$5:$A$504,0)),""))</f>
        <v/>
      </c>
      <c r="C499" t="str">
        <f t="shared" si="14"/>
        <v/>
      </c>
      <c r="D499" t="str">
        <f>IF(A499="","",IFERROR(INDEX(Maniobras!$D$5:$D$504,MATCH(A499,Maniobras!$A$5:$A$504,0)),""))</f>
        <v/>
      </c>
      <c r="F499" s="29" t="str">
        <f>IF(A499="","",IFERROR(INDEX(Maniobras!$K$5:$K$504,MATCH(A499,Maniobras!$A$5:$A$504,0)),""))</f>
        <v/>
      </c>
      <c r="G499" s="29"/>
      <c r="H499" s="29"/>
      <c r="I499" s="29" t="str">
        <f t="shared" si="15"/>
        <v/>
      </c>
      <c r="K499" s="30"/>
      <c r="M499" t="str">
        <f>IF($A499=Ficha!$B$3,COUNTIF($A$5:$A499,Ficha!$B$3),"")</f>
        <v/>
      </c>
    </row>
    <row r="500" spans="2:13" x14ac:dyDescent="0.3">
      <c r="B500" s="30" t="str">
        <f>IF(A500="","",IFERROR(INDEX(Maniobras!$B$5:$B$504,MATCH(A500,Maniobras!$A$5:$A$504,0)),""))</f>
        <v/>
      </c>
      <c r="C500" t="str">
        <f t="shared" si="14"/>
        <v/>
      </c>
      <c r="D500" t="str">
        <f>IF(A500="","",IFERROR(INDEX(Maniobras!$D$5:$D$504,MATCH(A500,Maniobras!$A$5:$A$504,0)),""))</f>
        <v/>
      </c>
      <c r="F500" s="29" t="str">
        <f>IF(A500="","",IFERROR(INDEX(Maniobras!$K$5:$K$504,MATCH(A500,Maniobras!$A$5:$A$504,0)),""))</f>
        <v/>
      </c>
      <c r="G500" s="29"/>
      <c r="H500" s="29"/>
      <c r="I500" s="29" t="str">
        <f t="shared" si="15"/>
        <v/>
      </c>
      <c r="K500" s="30"/>
      <c r="M500" t="str">
        <f>IF($A500=Ficha!$B$3,COUNTIF($A$5:$A500,Ficha!$B$3),"")</f>
        <v/>
      </c>
    </row>
    <row r="501" spans="2:13" x14ac:dyDescent="0.3">
      <c r="B501" s="30" t="str">
        <f>IF(A501="","",IFERROR(INDEX(Maniobras!$B$5:$B$504,MATCH(A501,Maniobras!$A$5:$A$504,0)),""))</f>
        <v/>
      </c>
      <c r="C501" t="str">
        <f t="shared" si="14"/>
        <v/>
      </c>
      <c r="D501" t="str">
        <f>IF(A501="","",IFERROR(INDEX(Maniobras!$D$5:$D$504,MATCH(A501,Maniobras!$A$5:$A$504,0)),""))</f>
        <v/>
      </c>
      <c r="F501" s="29" t="str">
        <f>IF(A501="","",IFERROR(INDEX(Maniobras!$K$5:$K$504,MATCH(A501,Maniobras!$A$5:$A$504,0)),""))</f>
        <v/>
      </c>
      <c r="G501" s="29"/>
      <c r="H501" s="29"/>
      <c r="I501" s="29" t="str">
        <f t="shared" si="15"/>
        <v/>
      </c>
      <c r="K501" s="30"/>
      <c r="M501" t="str">
        <f>IF($A501=Ficha!$B$3,COUNTIF($A$5:$A501,Ficha!$B$3),"")</f>
        <v/>
      </c>
    </row>
    <row r="502" spans="2:13" x14ac:dyDescent="0.3">
      <c r="B502" s="30" t="str">
        <f>IF(A502="","",IFERROR(INDEX(Maniobras!$B$5:$B$504,MATCH(A502,Maniobras!$A$5:$A$504,0)),""))</f>
        <v/>
      </c>
      <c r="C502" t="str">
        <f t="shared" si="14"/>
        <v/>
      </c>
      <c r="D502" t="str">
        <f>IF(A502="","",IFERROR(INDEX(Maniobras!$D$5:$D$504,MATCH(A502,Maniobras!$A$5:$A$504,0)),""))</f>
        <v/>
      </c>
      <c r="F502" s="29" t="str">
        <f>IF(A502="","",IFERROR(INDEX(Maniobras!$K$5:$K$504,MATCH(A502,Maniobras!$A$5:$A$504,0)),""))</f>
        <v/>
      </c>
      <c r="G502" s="29"/>
      <c r="H502" s="29"/>
      <c r="I502" s="29" t="str">
        <f t="shared" si="15"/>
        <v/>
      </c>
      <c r="K502" s="30"/>
      <c r="M502" t="str">
        <f>IF($A502=Ficha!$B$3,COUNTIF($A$5:$A502,Ficha!$B$3),"")</f>
        <v/>
      </c>
    </row>
    <row r="503" spans="2:13" x14ac:dyDescent="0.3">
      <c r="B503" s="30" t="str">
        <f>IF(A503="","",IFERROR(INDEX(Maniobras!$B$5:$B$504,MATCH(A503,Maniobras!$A$5:$A$504,0)),""))</f>
        <v/>
      </c>
      <c r="C503" t="str">
        <f t="shared" si="14"/>
        <v/>
      </c>
      <c r="D503" t="str">
        <f>IF(A503="","",IFERROR(INDEX(Maniobras!$D$5:$D$504,MATCH(A503,Maniobras!$A$5:$A$504,0)),""))</f>
        <v/>
      </c>
      <c r="F503" s="29" t="str">
        <f>IF(A503="","",IFERROR(INDEX(Maniobras!$K$5:$K$504,MATCH(A503,Maniobras!$A$5:$A$504,0)),""))</f>
        <v/>
      </c>
      <c r="G503" s="29"/>
      <c r="H503" s="29"/>
      <c r="I503" s="29" t="str">
        <f t="shared" si="15"/>
        <v/>
      </c>
      <c r="K503" s="30"/>
      <c r="M503" t="str">
        <f>IF($A503=Ficha!$B$3,COUNTIF($A$5:$A503,Ficha!$B$3),"")</f>
        <v/>
      </c>
    </row>
    <row r="504" spans="2:13" x14ac:dyDescent="0.3">
      <c r="B504" s="30" t="str">
        <f>IF(A504="","",IFERROR(INDEX(Maniobras!$B$5:$B$504,MATCH(A504,Maniobras!$A$5:$A$504,0)),""))</f>
        <v/>
      </c>
      <c r="C504" t="str">
        <f t="shared" si="14"/>
        <v/>
      </c>
      <c r="D504" t="str">
        <f>IF(A504="","",IFERROR(INDEX(Maniobras!$D$5:$D$504,MATCH(A504,Maniobras!$A$5:$A$504,0)),""))</f>
        <v/>
      </c>
      <c r="F504" s="29" t="str">
        <f>IF(A504="","",IFERROR(INDEX(Maniobras!$K$5:$K$504,MATCH(A504,Maniobras!$A$5:$A$504,0)),""))</f>
        <v/>
      </c>
      <c r="G504" s="29"/>
      <c r="H504" s="29"/>
      <c r="I504" s="29" t="str">
        <f t="shared" si="15"/>
        <v/>
      </c>
      <c r="K504" s="30"/>
      <c r="M504" t="str">
        <f>IF($A504=Ficha!$B$3,COUNTIF($A$5:$A504,Ficha!$B$3),"")</f>
        <v/>
      </c>
    </row>
    <row r="505" spans="2:13" x14ac:dyDescent="0.3">
      <c r="B505" s="30" t="str">
        <f>IF(A505="","",IFERROR(INDEX(Maniobras!$B$5:$B$504,MATCH(A505,Maniobras!$A$5:$A$504,0)),""))</f>
        <v/>
      </c>
      <c r="C505" t="str">
        <f t="shared" si="14"/>
        <v/>
      </c>
      <c r="D505" t="str">
        <f>IF(A505="","",IFERROR(INDEX(Maniobras!$D$5:$D$504,MATCH(A505,Maniobras!$A$5:$A$504,0)),""))</f>
        <v/>
      </c>
      <c r="F505" s="29" t="str">
        <f>IF(A505="","",IFERROR(INDEX(Maniobras!$K$5:$K$504,MATCH(A505,Maniobras!$A$5:$A$504,0)),""))</f>
        <v/>
      </c>
      <c r="G505" s="29"/>
      <c r="H505" s="29"/>
      <c r="I505" s="29" t="str">
        <f t="shared" si="15"/>
        <v/>
      </c>
      <c r="K505" s="30"/>
      <c r="M505" t="str">
        <f>IF($A505=Ficha!$B$3,COUNTIF($A$5:$A505,Ficha!$B$3),"")</f>
        <v/>
      </c>
    </row>
    <row r="506" spans="2:13" x14ac:dyDescent="0.3">
      <c r="B506" s="30" t="str">
        <f>IF(A506="","",IFERROR(INDEX(Maniobras!$B$5:$B$504,MATCH(A506,Maniobras!$A$5:$A$504,0)),""))</f>
        <v/>
      </c>
      <c r="C506" t="str">
        <f t="shared" si="14"/>
        <v/>
      </c>
      <c r="D506" t="str">
        <f>IF(A506="","",IFERROR(INDEX(Maniobras!$D$5:$D$504,MATCH(A506,Maniobras!$A$5:$A$504,0)),""))</f>
        <v/>
      </c>
      <c r="F506" s="29" t="str">
        <f>IF(A506="","",IFERROR(INDEX(Maniobras!$K$5:$K$504,MATCH(A506,Maniobras!$A$5:$A$504,0)),""))</f>
        <v/>
      </c>
      <c r="G506" s="29"/>
      <c r="H506" s="29"/>
      <c r="I506" s="29" t="str">
        <f t="shared" si="15"/>
        <v/>
      </c>
      <c r="K506" s="30"/>
      <c r="M506" t="str">
        <f>IF($A506=Ficha!$B$3,COUNTIF($A$5:$A506,Ficha!$B$3),"")</f>
        <v/>
      </c>
    </row>
    <row r="507" spans="2:13" x14ac:dyDescent="0.3">
      <c r="B507" s="30" t="str">
        <f>IF(A507="","",IFERROR(INDEX(Maniobras!$B$5:$B$504,MATCH(A507,Maniobras!$A$5:$A$504,0)),""))</f>
        <v/>
      </c>
      <c r="C507" t="str">
        <f t="shared" si="14"/>
        <v/>
      </c>
      <c r="D507" t="str">
        <f>IF(A507="","",IFERROR(INDEX(Maniobras!$D$5:$D$504,MATCH(A507,Maniobras!$A$5:$A$504,0)),""))</f>
        <v/>
      </c>
      <c r="F507" s="29" t="str">
        <f>IF(A507="","",IFERROR(INDEX(Maniobras!$K$5:$K$504,MATCH(A507,Maniobras!$A$5:$A$504,0)),""))</f>
        <v/>
      </c>
      <c r="G507" s="29"/>
      <c r="H507" s="29"/>
      <c r="I507" s="29" t="str">
        <f t="shared" si="15"/>
        <v/>
      </c>
      <c r="K507" s="30"/>
      <c r="M507" t="str">
        <f>IF($A507=Ficha!$B$3,COUNTIF($A$5:$A507,Ficha!$B$3),"")</f>
        <v/>
      </c>
    </row>
    <row r="508" spans="2:13" x14ac:dyDescent="0.3">
      <c r="B508" s="30" t="str">
        <f>IF(A508="","",IFERROR(INDEX(Maniobras!$B$5:$B$504,MATCH(A508,Maniobras!$A$5:$A$504,0)),""))</f>
        <v/>
      </c>
      <c r="C508" t="str">
        <f t="shared" si="14"/>
        <v/>
      </c>
      <c r="D508" t="str">
        <f>IF(A508="","",IFERROR(INDEX(Maniobras!$D$5:$D$504,MATCH(A508,Maniobras!$A$5:$A$504,0)),""))</f>
        <v/>
      </c>
      <c r="F508" s="29" t="str">
        <f>IF(A508="","",IFERROR(INDEX(Maniobras!$K$5:$K$504,MATCH(A508,Maniobras!$A$5:$A$504,0)),""))</f>
        <v/>
      </c>
      <c r="G508" s="29"/>
      <c r="H508" s="29"/>
      <c r="I508" s="29" t="str">
        <f t="shared" si="15"/>
        <v/>
      </c>
      <c r="K508" s="30"/>
      <c r="M508" t="str">
        <f>IF($A508=Ficha!$B$3,COUNTIF($A$5:$A508,Ficha!$B$3),"")</f>
        <v/>
      </c>
    </row>
    <row r="509" spans="2:13" x14ac:dyDescent="0.3">
      <c r="B509" s="30" t="str">
        <f>IF(A509="","",IFERROR(INDEX(Maniobras!$B$5:$B$504,MATCH(A509,Maniobras!$A$5:$A$504,0)),""))</f>
        <v/>
      </c>
      <c r="C509" t="str">
        <f t="shared" si="14"/>
        <v/>
      </c>
      <c r="D509" t="str">
        <f>IF(A509="","",IFERROR(INDEX(Maniobras!$D$5:$D$504,MATCH(A509,Maniobras!$A$5:$A$504,0)),""))</f>
        <v/>
      </c>
      <c r="F509" s="29" t="str">
        <f>IF(A509="","",IFERROR(INDEX(Maniobras!$K$5:$K$504,MATCH(A509,Maniobras!$A$5:$A$504,0)),""))</f>
        <v/>
      </c>
      <c r="G509" s="29"/>
      <c r="H509" s="29"/>
      <c r="I509" s="29" t="str">
        <f t="shared" si="15"/>
        <v/>
      </c>
      <c r="K509" s="30"/>
      <c r="M509" t="str">
        <f>IF($A509=Ficha!$B$3,COUNTIF($A$5:$A509,Ficha!$B$3),"")</f>
        <v/>
      </c>
    </row>
    <row r="510" spans="2:13" x14ac:dyDescent="0.3">
      <c r="B510" s="30" t="str">
        <f>IF(A510="","",IFERROR(INDEX(Maniobras!$B$5:$B$504,MATCH(A510,Maniobras!$A$5:$A$504,0)),""))</f>
        <v/>
      </c>
      <c r="C510" t="str">
        <f t="shared" si="14"/>
        <v/>
      </c>
      <c r="D510" t="str">
        <f>IF(A510="","",IFERROR(INDEX(Maniobras!$D$5:$D$504,MATCH(A510,Maniobras!$A$5:$A$504,0)),""))</f>
        <v/>
      </c>
      <c r="F510" s="29" t="str">
        <f>IF(A510="","",IFERROR(INDEX(Maniobras!$K$5:$K$504,MATCH(A510,Maniobras!$A$5:$A$504,0)),""))</f>
        <v/>
      </c>
      <c r="G510" s="29"/>
      <c r="H510" s="29"/>
      <c r="I510" s="29" t="str">
        <f t="shared" si="15"/>
        <v/>
      </c>
      <c r="K510" s="30"/>
      <c r="M510" t="str">
        <f>IF($A510=Ficha!$B$3,COUNTIF($A$5:$A510,Ficha!$B$3),"")</f>
        <v/>
      </c>
    </row>
    <row r="511" spans="2:13" x14ac:dyDescent="0.3">
      <c r="B511" s="30" t="str">
        <f>IF(A511="","",IFERROR(INDEX(Maniobras!$B$5:$B$504,MATCH(A511,Maniobras!$A$5:$A$504,0)),""))</f>
        <v/>
      </c>
      <c r="C511" t="str">
        <f t="shared" si="14"/>
        <v/>
      </c>
      <c r="D511" t="str">
        <f>IF(A511="","",IFERROR(INDEX(Maniobras!$D$5:$D$504,MATCH(A511,Maniobras!$A$5:$A$504,0)),""))</f>
        <v/>
      </c>
      <c r="F511" s="29" t="str">
        <f>IF(A511="","",IFERROR(INDEX(Maniobras!$K$5:$K$504,MATCH(A511,Maniobras!$A$5:$A$504,0)),""))</f>
        <v/>
      </c>
      <c r="G511" s="29"/>
      <c r="H511" s="29"/>
      <c r="I511" s="29" t="str">
        <f t="shared" si="15"/>
        <v/>
      </c>
      <c r="K511" s="30"/>
      <c r="M511" t="str">
        <f>IF($A511=Ficha!$B$3,COUNTIF($A$5:$A511,Ficha!$B$3),"")</f>
        <v/>
      </c>
    </row>
    <row r="512" spans="2:13" x14ac:dyDescent="0.3">
      <c r="B512" s="30" t="str">
        <f>IF(A512="","",IFERROR(INDEX(Maniobras!$B$5:$B$504,MATCH(A512,Maniobras!$A$5:$A$504,0)),""))</f>
        <v/>
      </c>
      <c r="C512" t="str">
        <f t="shared" si="14"/>
        <v/>
      </c>
      <c r="D512" t="str">
        <f>IF(A512="","",IFERROR(INDEX(Maniobras!$D$5:$D$504,MATCH(A512,Maniobras!$A$5:$A$504,0)),""))</f>
        <v/>
      </c>
      <c r="F512" s="29" t="str">
        <f>IF(A512="","",IFERROR(INDEX(Maniobras!$K$5:$K$504,MATCH(A512,Maniobras!$A$5:$A$504,0)),""))</f>
        <v/>
      </c>
      <c r="G512" s="29"/>
      <c r="H512" s="29"/>
      <c r="I512" s="29" t="str">
        <f t="shared" si="15"/>
        <v/>
      </c>
      <c r="K512" s="30"/>
      <c r="M512" t="str">
        <f>IF($A512=Ficha!$B$3,COUNTIF($A$5:$A512,Ficha!$B$3),"")</f>
        <v/>
      </c>
    </row>
    <row r="513" spans="2:13" x14ac:dyDescent="0.3">
      <c r="B513" s="30" t="str">
        <f>IF(A513="","",IFERROR(INDEX(Maniobras!$B$5:$B$504,MATCH(A513,Maniobras!$A$5:$A$504,0)),""))</f>
        <v/>
      </c>
      <c r="C513" t="str">
        <f t="shared" si="14"/>
        <v/>
      </c>
      <c r="D513" t="str">
        <f>IF(A513="","",IFERROR(INDEX(Maniobras!$D$5:$D$504,MATCH(A513,Maniobras!$A$5:$A$504,0)),""))</f>
        <v/>
      </c>
      <c r="F513" s="29" t="str">
        <f>IF(A513="","",IFERROR(INDEX(Maniobras!$K$5:$K$504,MATCH(A513,Maniobras!$A$5:$A$504,0)),""))</f>
        <v/>
      </c>
      <c r="G513" s="29"/>
      <c r="H513" s="29"/>
      <c r="I513" s="29" t="str">
        <f t="shared" si="15"/>
        <v/>
      </c>
      <c r="K513" s="30"/>
      <c r="M513" t="str">
        <f>IF($A513=Ficha!$B$3,COUNTIF($A$5:$A513,Ficha!$B$3),"")</f>
        <v/>
      </c>
    </row>
    <row r="514" spans="2:13" x14ac:dyDescent="0.3">
      <c r="B514" s="30" t="str">
        <f>IF(A514="","",IFERROR(INDEX(Maniobras!$B$5:$B$504,MATCH(A514,Maniobras!$A$5:$A$504,0)),""))</f>
        <v/>
      </c>
      <c r="C514" t="str">
        <f t="shared" si="14"/>
        <v/>
      </c>
      <c r="D514" t="str">
        <f>IF(A514="","",IFERROR(INDEX(Maniobras!$D$5:$D$504,MATCH(A514,Maniobras!$A$5:$A$504,0)),""))</f>
        <v/>
      </c>
      <c r="F514" s="29" t="str">
        <f>IF(A514="","",IFERROR(INDEX(Maniobras!$K$5:$K$504,MATCH(A514,Maniobras!$A$5:$A$504,0)),""))</f>
        <v/>
      </c>
      <c r="G514" s="29"/>
      <c r="H514" s="29"/>
      <c r="I514" s="29" t="str">
        <f t="shared" si="15"/>
        <v/>
      </c>
      <c r="K514" s="30"/>
      <c r="M514" t="str">
        <f>IF($A514=Ficha!$B$3,COUNTIF($A$5:$A514,Ficha!$B$3),"")</f>
        <v/>
      </c>
    </row>
    <row r="515" spans="2:13" x14ac:dyDescent="0.3">
      <c r="B515" s="30" t="str">
        <f>IF(A515="","",IFERROR(INDEX(Maniobras!$B$5:$B$504,MATCH(A515,Maniobras!$A$5:$A$504,0)),""))</f>
        <v/>
      </c>
      <c r="C515" t="str">
        <f t="shared" si="14"/>
        <v/>
      </c>
      <c r="D515" t="str">
        <f>IF(A515="","",IFERROR(INDEX(Maniobras!$D$5:$D$504,MATCH(A515,Maniobras!$A$5:$A$504,0)),""))</f>
        <v/>
      </c>
      <c r="F515" s="29" t="str">
        <f>IF(A515="","",IFERROR(INDEX(Maniobras!$K$5:$K$504,MATCH(A515,Maniobras!$A$5:$A$504,0)),""))</f>
        <v/>
      </c>
      <c r="G515" s="29"/>
      <c r="H515" s="29"/>
      <c r="I515" s="29" t="str">
        <f t="shared" si="15"/>
        <v/>
      </c>
      <c r="K515" s="30"/>
      <c r="M515" t="str">
        <f>IF($A515=Ficha!$B$3,COUNTIF($A$5:$A515,Ficha!$B$3),"")</f>
        <v/>
      </c>
    </row>
    <row r="516" spans="2:13" x14ac:dyDescent="0.3">
      <c r="B516" s="30" t="str">
        <f>IF(A516="","",IFERROR(INDEX(Maniobras!$B$5:$B$504,MATCH(A516,Maniobras!$A$5:$A$504,0)),""))</f>
        <v/>
      </c>
      <c r="C516" t="str">
        <f t="shared" si="14"/>
        <v/>
      </c>
      <c r="D516" t="str">
        <f>IF(A516="","",IFERROR(INDEX(Maniobras!$D$5:$D$504,MATCH(A516,Maniobras!$A$5:$A$504,0)),""))</f>
        <v/>
      </c>
      <c r="F516" s="29" t="str">
        <f>IF(A516="","",IFERROR(INDEX(Maniobras!$K$5:$K$504,MATCH(A516,Maniobras!$A$5:$A$504,0)),""))</f>
        <v/>
      </c>
      <c r="G516" s="29"/>
      <c r="H516" s="29"/>
      <c r="I516" s="29" t="str">
        <f t="shared" si="15"/>
        <v/>
      </c>
      <c r="K516" s="30"/>
      <c r="M516" t="str">
        <f>IF($A516=Ficha!$B$3,COUNTIF($A$5:$A516,Ficha!$B$3),"")</f>
        <v/>
      </c>
    </row>
    <row r="517" spans="2:13" x14ac:dyDescent="0.3">
      <c r="B517" s="30" t="str">
        <f>IF(A517="","",IFERROR(INDEX(Maniobras!$B$5:$B$504,MATCH(A517,Maniobras!$A$5:$A$504,0)),""))</f>
        <v/>
      </c>
      <c r="C517" t="str">
        <f t="shared" ref="C517:C580" si="16">IF(B517="","",TEXT(B517,"yyyy-mm"))</f>
        <v/>
      </c>
      <c r="D517" t="str">
        <f>IF(A517="","",IFERROR(INDEX(Maniobras!$D$5:$D$504,MATCH(A517,Maniobras!$A$5:$A$504,0)),""))</f>
        <v/>
      </c>
      <c r="F517" s="29" t="str">
        <f>IF(A517="","",IFERROR(INDEX(Maniobras!$K$5:$K$504,MATCH(A517,Maniobras!$A$5:$A$504,0)),""))</f>
        <v/>
      </c>
      <c r="G517" s="29"/>
      <c r="H517" s="29"/>
      <c r="I517" s="29" t="str">
        <f t="shared" ref="I517:I580" si="17">IF(G517="","",G517+N(H517))</f>
        <v/>
      </c>
      <c r="K517" s="30"/>
      <c r="M517" t="str">
        <f>IF($A517=Ficha!$B$3,COUNTIF($A$5:$A517,Ficha!$B$3),"")</f>
        <v/>
      </c>
    </row>
    <row r="518" spans="2:13" x14ac:dyDescent="0.3">
      <c r="B518" s="30" t="str">
        <f>IF(A518="","",IFERROR(INDEX(Maniobras!$B$5:$B$504,MATCH(A518,Maniobras!$A$5:$A$504,0)),""))</f>
        <v/>
      </c>
      <c r="C518" t="str">
        <f t="shared" si="16"/>
        <v/>
      </c>
      <c r="D518" t="str">
        <f>IF(A518="","",IFERROR(INDEX(Maniobras!$D$5:$D$504,MATCH(A518,Maniobras!$A$5:$A$504,0)),""))</f>
        <v/>
      </c>
      <c r="F518" s="29" t="str">
        <f>IF(A518="","",IFERROR(INDEX(Maniobras!$K$5:$K$504,MATCH(A518,Maniobras!$A$5:$A$504,0)),""))</f>
        <v/>
      </c>
      <c r="G518" s="29"/>
      <c r="H518" s="29"/>
      <c r="I518" s="29" t="str">
        <f t="shared" si="17"/>
        <v/>
      </c>
      <c r="K518" s="30"/>
      <c r="M518" t="str">
        <f>IF($A518=Ficha!$B$3,COUNTIF($A$5:$A518,Ficha!$B$3),"")</f>
        <v/>
      </c>
    </row>
    <row r="519" spans="2:13" x14ac:dyDescent="0.3">
      <c r="B519" s="30" t="str">
        <f>IF(A519="","",IFERROR(INDEX(Maniobras!$B$5:$B$504,MATCH(A519,Maniobras!$A$5:$A$504,0)),""))</f>
        <v/>
      </c>
      <c r="C519" t="str">
        <f t="shared" si="16"/>
        <v/>
      </c>
      <c r="D519" t="str">
        <f>IF(A519="","",IFERROR(INDEX(Maniobras!$D$5:$D$504,MATCH(A519,Maniobras!$A$5:$A$504,0)),""))</f>
        <v/>
      </c>
      <c r="F519" s="29" t="str">
        <f>IF(A519="","",IFERROR(INDEX(Maniobras!$K$5:$K$504,MATCH(A519,Maniobras!$A$5:$A$504,0)),""))</f>
        <v/>
      </c>
      <c r="G519" s="29"/>
      <c r="H519" s="29"/>
      <c r="I519" s="29" t="str">
        <f t="shared" si="17"/>
        <v/>
      </c>
      <c r="K519" s="30"/>
      <c r="M519" t="str">
        <f>IF($A519=Ficha!$B$3,COUNTIF($A$5:$A519,Ficha!$B$3),"")</f>
        <v/>
      </c>
    </row>
    <row r="520" spans="2:13" x14ac:dyDescent="0.3">
      <c r="B520" s="30" t="str">
        <f>IF(A520="","",IFERROR(INDEX(Maniobras!$B$5:$B$504,MATCH(A520,Maniobras!$A$5:$A$504,0)),""))</f>
        <v/>
      </c>
      <c r="C520" t="str">
        <f t="shared" si="16"/>
        <v/>
      </c>
      <c r="D520" t="str">
        <f>IF(A520="","",IFERROR(INDEX(Maniobras!$D$5:$D$504,MATCH(A520,Maniobras!$A$5:$A$504,0)),""))</f>
        <v/>
      </c>
      <c r="F520" s="29" t="str">
        <f>IF(A520="","",IFERROR(INDEX(Maniobras!$K$5:$K$504,MATCH(A520,Maniobras!$A$5:$A$504,0)),""))</f>
        <v/>
      </c>
      <c r="G520" s="29"/>
      <c r="H520" s="29"/>
      <c r="I520" s="29" t="str">
        <f t="shared" si="17"/>
        <v/>
      </c>
      <c r="K520" s="30"/>
      <c r="M520" t="str">
        <f>IF($A520=Ficha!$B$3,COUNTIF($A$5:$A520,Ficha!$B$3),"")</f>
        <v/>
      </c>
    </row>
    <row r="521" spans="2:13" x14ac:dyDescent="0.3">
      <c r="B521" s="30" t="str">
        <f>IF(A521="","",IFERROR(INDEX(Maniobras!$B$5:$B$504,MATCH(A521,Maniobras!$A$5:$A$504,0)),""))</f>
        <v/>
      </c>
      <c r="C521" t="str">
        <f t="shared" si="16"/>
        <v/>
      </c>
      <c r="D521" t="str">
        <f>IF(A521="","",IFERROR(INDEX(Maniobras!$D$5:$D$504,MATCH(A521,Maniobras!$A$5:$A$504,0)),""))</f>
        <v/>
      </c>
      <c r="F521" s="29" t="str">
        <f>IF(A521="","",IFERROR(INDEX(Maniobras!$K$5:$K$504,MATCH(A521,Maniobras!$A$5:$A$504,0)),""))</f>
        <v/>
      </c>
      <c r="G521" s="29"/>
      <c r="H521" s="29"/>
      <c r="I521" s="29" t="str">
        <f t="shared" si="17"/>
        <v/>
      </c>
      <c r="K521" s="30"/>
      <c r="M521" t="str">
        <f>IF($A521=Ficha!$B$3,COUNTIF($A$5:$A521,Ficha!$B$3),"")</f>
        <v/>
      </c>
    </row>
    <row r="522" spans="2:13" x14ac:dyDescent="0.3">
      <c r="B522" s="30" t="str">
        <f>IF(A522="","",IFERROR(INDEX(Maniobras!$B$5:$B$504,MATCH(A522,Maniobras!$A$5:$A$504,0)),""))</f>
        <v/>
      </c>
      <c r="C522" t="str">
        <f t="shared" si="16"/>
        <v/>
      </c>
      <c r="D522" t="str">
        <f>IF(A522="","",IFERROR(INDEX(Maniobras!$D$5:$D$504,MATCH(A522,Maniobras!$A$5:$A$504,0)),""))</f>
        <v/>
      </c>
      <c r="F522" s="29" t="str">
        <f>IF(A522="","",IFERROR(INDEX(Maniobras!$K$5:$K$504,MATCH(A522,Maniobras!$A$5:$A$504,0)),""))</f>
        <v/>
      </c>
      <c r="G522" s="29"/>
      <c r="H522" s="29"/>
      <c r="I522" s="29" t="str">
        <f t="shared" si="17"/>
        <v/>
      </c>
      <c r="K522" s="30"/>
      <c r="M522" t="str">
        <f>IF($A522=Ficha!$B$3,COUNTIF($A$5:$A522,Ficha!$B$3),"")</f>
        <v/>
      </c>
    </row>
    <row r="523" spans="2:13" x14ac:dyDescent="0.3">
      <c r="B523" s="30" t="str">
        <f>IF(A523="","",IFERROR(INDEX(Maniobras!$B$5:$B$504,MATCH(A523,Maniobras!$A$5:$A$504,0)),""))</f>
        <v/>
      </c>
      <c r="C523" t="str">
        <f t="shared" si="16"/>
        <v/>
      </c>
      <c r="D523" t="str">
        <f>IF(A523="","",IFERROR(INDEX(Maniobras!$D$5:$D$504,MATCH(A523,Maniobras!$A$5:$A$504,0)),""))</f>
        <v/>
      </c>
      <c r="F523" s="29" t="str">
        <f>IF(A523="","",IFERROR(INDEX(Maniobras!$K$5:$K$504,MATCH(A523,Maniobras!$A$5:$A$504,0)),""))</f>
        <v/>
      </c>
      <c r="G523" s="29"/>
      <c r="H523" s="29"/>
      <c r="I523" s="29" t="str">
        <f t="shared" si="17"/>
        <v/>
      </c>
      <c r="K523" s="30"/>
      <c r="M523" t="str">
        <f>IF($A523=Ficha!$B$3,COUNTIF($A$5:$A523,Ficha!$B$3),"")</f>
        <v/>
      </c>
    </row>
    <row r="524" spans="2:13" x14ac:dyDescent="0.3">
      <c r="B524" s="30" t="str">
        <f>IF(A524="","",IFERROR(INDEX(Maniobras!$B$5:$B$504,MATCH(A524,Maniobras!$A$5:$A$504,0)),""))</f>
        <v/>
      </c>
      <c r="C524" t="str">
        <f t="shared" si="16"/>
        <v/>
      </c>
      <c r="D524" t="str">
        <f>IF(A524="","",IFERROR(INDEX(Maniobras!$D$5:$D$504,MATCH(A524,Maniobras!$A$5:$A$504,0)),""))</f>
        <v/>
      </c>
      <c r="F524" s="29" t="str">
        <f>IF(A524="","",IFERROR(INDEX(Maniobras!$K$5:$K$504,MATCH(A524,Maniobras!$A$5:$A$504,0)),""))</f>
        <v/>
      </c>
      <c r="G524" s="29"/>
      <c r="H524" s="29"/>
      <c r="I524" s="29" t="str">
        <f t="shared" si="17"/>
        <v/>
      </c>
      <c r="K524" s="30"/>
      <c r="M524" t="str">
        <f>IF($A524=Ficha!$B$3,COUNTIF($A$5:$A524,Ficha!$B$3),"")</f>
        <v/>
      </c>
    </row>
    <row r="525" spans="2:13" x14ac:dyDescent="0.3">
      <c r="B525" s="30" t="str">
        <f>IF(A525="","",IFERROR(INDEX(Maniobras!$B$5:$B$504,MATCH(A525,Maniobras!$A$5:$A$504,0)),""))</f>
        <v/>
      </c>
      <c r="C525" t="str">
        <f t="shared" si="16"/>
        <v/>
      </c>
      <c r="D525" t="str">
        <f>IF(A525="","",IFERROR(INDEX(Maniobras!$D$5:$D$504,MATCH(A525,Maniobras!$A$5:$A$504,0)),""))</f>
        <v/>
      </c>
      <c r="F525" s="29" t="str">
        <f>IF(A525="","",IFERROR(INDEX(Maniobras!$K$5:$K$504,MATCH(A525,Maniobras!$A$5:$A$504,0)),""))</f>
        <v/>
      </c>
      <c r="G525" s="29"/>
      <c r="H525" s="29"/>
      <c r="I525" s="29" t="str">
        <f t="shared" si="17"/>
        <v/>
      </c>
      <c r="K525" s="30"/>
      <c r="M525" t="str">
        <f>IF($A525=Ficha!$B$3,COUNTIF($A$5:$A525,Ficha!$B$3),"")</f>
        <v/>
      </c>
    </row>
    <row r="526" spans="2:13" x14ac:dyDescent="0.3">
      <c r="B526" s="30" t="str">
        <f>IF(A526="","",IFERROR(INDEX(Maniobras!$B$5:$B$504,MATCH(A526,Maniobras!$A$5:$A$504,0)),""))</f>
        <v/>
      </c>
      <c r="C526" t="str">
        <f t="shared" si="16"/>
        <v/>
      </c>
      <c r="D526" t="str">
        <f>IF(A526="","",IFERROR(INDEX(Maniobras!$D$5:$D$504,MATCH(A526,Maniobras!$A$5:$A$504,0)),""))</f>
        <v/>
      </c>
      <c r="F526" s="29" t="str">
        <f>IF(A526="","",IFERROR(INDEX(Maniobras!$K$5:$K$504,MATCH(A526,Maniobras!$A$5:$A$504,0)),""))</f>
        <v/>
      </c>
      <c r="G526" s="29"/>
      <c r="H526" s="29"/>
      <c r="I526" s="29" t="str">
        <f t="shared" si="17"/>
        <v/>
      </c>
      <c r="K526" s="30"/>
      <c r="M526" t="str">
        <f>IF($A526=Ficha!$B$3,COUNTIF($A$5:$A526,Ficha!$B$3),"")</f>
        <v/>
      </c>
    </row>
    <row r="527" spans="2:13" x14ac:dyDescent="0.3">
      <c r="B527" s="30" t="str">
        <f>IF(A527="","",IFERROR(INDEX(Maniobras!$B$5:$B$504,MATCH(A527,Maniobras!$A$5:$A$504,0)),""))</f>
        <v/>
      </c>
      <c r="C527" t="str">
        <f t="shared" si="16"/>
        <v/>
      </c>
      <c r="D527" t="str">
        <f>IF(A527="","",IFERROR(INDEX(Maniobras!$D$5:$D$504,MATCH(A527,Maniobras!$A$5:$A$504,0)),""))</f>
        <v/>
      </c>
      <c r="F527" s="29" t="str">
        <f>IF(A527="","",IFERROR(INDEX(Maniobras!$K$5:$K$504,MATCH(A527,Maniobras!$A$5:$A$504,0)),""))</f>
        <v/>
      </c>
      <c r="G527" s="29"/>
      <c r="H527" s="29"/>
      <c r="I527" s="29" t="str">
        <f t="shared" si="17"/>
        <v/>
      </c>
      <c r="K527" s="30"/>
      <c r="M527" t="str">
        <f>IF($A527=Ficha!$B$3,COUNTIF($A$5:$A527,Ficha!$B$3),"")</f>
        <v/>
      </c>
    </row>
    <row r="528" spans="2:13" x14ac:dyDescent="0.3">
      <c r="B528" s="30" t="str">
        <f>IF(A528="","",IFERROR(INDEX(Maniobras!$B$5:$B$504,MATCH(A528,Maniobras!$A$5:$A$504,0)),""))</f>
        <v/>
      </c>
      <c r="C528" t="str">
        <f t="shared" si="16"/>
        <v/>
      </c>
      <c r="D528" t="str">
        <f>IF(A528="","",IFERROR(INDEX(Maniobras!$D$5:$D$504,MATCH(A528,Maniobras!$A$5:$A$504,0)),""))</f>
        <v/>
      </c>
      <c r="F528" s="29" t="str">
        <f>IF(A528="","",IFERROR(INDEX(Maniobras!$K$5:$K$504,MATCH(A528,Maniobras!$A$5:$A$504,0)),""))</f>
        <v/>
      </c>
      <c r="G528" s="29"/>
      <c r="H528" s="29"/>
      <c r="I528" s="29" t="str">
        <f t="shared" si="17"/>
        <v/>
      </c>
      <c r="K528" s="30"/>
      <c r="M528" t="str">
        <f>IF($A528=Ficha!$B$3,COUNTIF($A$5:$A528,Ficha!$B$3),"")</f>
        <v/>
      </c>
    </row>
    <row r="529" spans="2:13" x14ac:dyDescent="0.3">
      <c r="B529" s="30" t="str">
        <f>IF(A529="","",IFERROR(INDEX(Maniobras!$B$5:$B$504,MATCH(A529,Maniobras!$A$5:$A$504,0)),""))</f>
        <v/>
      </c>
      <c r="C529" t="str">
        <f t="shared" si="16"/>
        <v/>
      </c>
      <c r="D529" t="str">
        <f>IF(A529="","",IFERROR(INDEX(Maniobras!$D$5:$D$504,MATCH(A529,Maniobras!$A$5:$A$504,0)),""))</f>
        <v/>
      </c>
      <c r="F529" s="29" t="str">
        <f>IF(A529="","",IFERROR(INDEX(Maniobras!$K$5:$K$504,MATCH(A529,Maniobras!$A$5:$A$504,0)),""))</f>
        <v/>
      </c>
      <c r="G529" s="29"/>
      <c r="H529" s="29"/>
      <c r="I529" s="29" t="str">
        <f t="shared" si="17"/>
        <v/>
      </c>
      <c r="K529" s="30"/>
      <c r="M529" t="str">
        <f>IF($A529=Ficha!$B$3,COUNTIF($A$5:$A529,Ficha!$B$3),"")</f>
        <v/>
      </c>
    </row>
    <row r="530" spans="2:13" x14ac:dyDescent="0.3">
      <c r="B530" s="30" t="str">
        <f>IF(A530="","",IFERROR(INDEX(Maniobras!$B$5:$B$504,MATCH(A530,Maniobras!$A$5:$A$504,0)),""))</f>
        <v/>
      </c>
      <c r="C530" t="str">
        <f t="shared" si="16"/>
        <v/>
      </c>
      <c r="D530" t="str">
        <f>IF(A530="","",IFERROR(INDEX(Maniobras!$D$5:$D$504,MATCH(A530,Maniobras!$A$5:$A$504,0)),""))</f>
        <v/>
      </c>
      <c r="F530" s="29" t="str">
        <f>IF(A530="","",IFERROR(INDEX(Maniobras!$K$5:$K$504,MATCH(A530,Maniobras!$A$5:$A$504,0)),""))</f>
        <v/>
      </c>
      <c r="G530" s="29"/>
      <c r="H530" s="29"/>
      <c r="I530" s="29" t="str">
        <f t="shared" si="17"/>
        <v/>
      </c>
      <c r="K530" s="30"/>
      <c r="M530" t="str">
        <f>IF($A530=Ficha!$B$3,COUNTIF($A$5:$A530,Ficha!$B$3),"")</f>
        <v/>
      </c>
    </row>
    <row r="531" spans="2:13" x14ac:dyDescent="0.3">
      <c r="B531" s="30" t="str">
        <f>IF(A531="","",IFERROR(INDEX(Maniobras!$B$5:$B$504,MATCH(A531,Maniobras!$A$5:$A$504,0)),""))</f>
        <v/>
      </c>
      <c r="C531" t="str">
        <f t="shared" si="16"/>
        <v/>
      </c>
      <c r="D531" t="str">
        <f>IF(A531="","",IFERROR(INDEX(Maniobras!$D$5:$D$504,MATCH(A531,Maniobras!$A$5:$A$504,0)),""))</f>
        <v/>
      </c>
      <c r="F531" s="29" t="str">
        <f>IF(A531="","",IFERROR(INDEX(Maniobras!$K$5:$K$504,MATCH(A531,Maniobras!$A$5:$A$504,0)),""))</f>
        <v/>
      </c>
      <c r="G531" s="29"/>
      <c r="H531" s="29"/>
      <c r="I531" s="29" t="str">
        <f t="shared" si="17"/>
        <v/>
      </c>
      <c r="K531" s="30"/>
      <c r="M531" t="str">
        <f>IF($A531=Ficha!$B$3,COUNTIF($A$5:$A531,Ficha!$B$3),"")</f>
        <v/>
      </c>
    </row>
    <row r="532" spans="2:13" x14ac:dyDescent="0.3">
      <c r="B532" s="30" t="str">
        <f>IF(A532="","",IFERROR(INDEX(Maniobras!$B$5:$B$504,MATCH(A532,Maniobras!$A$5:$A$504,0)),""))</f>
        <v/>
      </c>
      <c r="C532" t="str">
        <f t="shared" si="16"/>
        <v/>
      </c>
      <c r="D532" t="str">
        <f>IF(A532="","",IFERROR(INDEX(Maniobras!$D$5:$D$504,MATCH(A532,Maniobras!$A$5:$A$504,0)),""))</f>
        <v/>
      </c>
      <c r="F532" s="29" t="str">
        <f>IF(A532="","",IFERROR(INDEX(Maniobras!$K$5:$K$504,MATCH(A532,Maniobras!$A$5:$A$504,0)),""))</f>
        <v/>
      </c>
      <c r="G532" s="29"/>
      <c r="H532" s="29"/>
      <c r="I532" s="29" t="str">
        <f t="shared" si="17"/>
        <v/>
      </c>
      <c r="K532" s="30"/>
      <c r="M532" t="str">
        <f>IF($A532=Ficha!$B$3,COUNTIF($A$5:$A532,Ficha!$B$3),"")</f>
        <v/>
      </c>
    </row>
    <row r="533" spans="2:13" x14ac:dyDescent="0.3">
      <c r="B533" s="30" t="str">
        <f>IF(A533="","",IFERROR(INDEX(Maniobras!$B$5:$B$504,MATCH(A533,Maniobras!$A$5:$A$504,0)),""))</f>
        <v/>
      </c>
      <c r="C533" t="str">
        <f t="shared" si="16"/>
        <v/>
      </c>
      <c r="D533" t="str">
        <f>IF(A533="","",IFERROR(INDEX(Maniobras!$D$5:$D$504,MATCH(A533,Maniobras!$A$5:$A$504,0)),""))</f>
        <v/>
      </c>
      <c r="F533" s="29" t="str">
        <f>IF(A533="","",IFERROR(INDEX(Maniobras!$K$5:$K$504,MATCH(A533,Maniobras!$A$5:$A$504,0)),""))</f>
        <v/>
      </c>
      <c r="G533" s="29"/>
      <c r="H533" s="29"/>
      <c r="I533" s="29" t="str">
        <f t="shared" si="17"/>
        <v/>
      </c>
      <c r="K533" s="30"/>
      <c r="M533" t="str">
        <f>IF($A533=Ficha!$B$3,COUNTIF($A$5:$A533,Ficha!$B$3),"")</f>
        <v/>
      </c>
    </row>
    <row r="534" spans="2:13" x14ac:dyDescent="0.3">
      <c r="B534" s="30" t="str">
        <f>IF(A534="","",IFERROR(INDEX(Maniobras!$B$5:$B$504,MATCH(A534,Maniobras!$A$5:$A$504,0)),""))</f>
        <v/>
      </c>
      <c r="C534" t="str">
        <f t="shared" si="16"/>
        <v/>
      </c>
      <c r="D534" t="str">
        <f>IF(A534="","",IFERROR(INDEX(Maniobras!$D$5:$D$504,MATCH(A534,Maniobras!$A$5:$A$504,0)),""))</f>
        <v/>
      </c>
      <c r="F534" s="29" t="str">
        <f>IF(A534="","",IFERROR(INDEX(Maniobras!$K$5:$K$504,MATCH(A534,Maniobras!$A$5:$A$504,0)),""))</f>
        <v/>
      </c>
      <c r="G534" s="29"/>
      <c r="H534" s="29"/>
      <c r="I534" s="29" t="str">
        <f t="shared" si="17"/>
        <v/>
      </c>
      <c r="K534" s="30"/>
      <c r="M534" t="str">
        <f>IF($A534=Ficha!$B$3,COUNTIF($A$5:$A534,Ficha!$B$3),"")</f>
        <v/>
      </c>
    </row>
    <row r="535" spans="2:13" x14ac:dyDescent="0.3">
      <c r="B535" s="30" t="str">
        <f>IF(A535="","",IFERROR(INDEX(Maniobras!$B$5:$B$504,MATCH(A535,Maniobras!$A$5:$A$504,0)),""))</f>
        <v/>
      </c>
      <c r="C535" t="str">
        <f t="shared" si="16"/>
        <v/>
      </c>
      <c r="D535" t="str">
        <f>IF(A535="","",IFERROR(INDEX(Maniobras!$D$5:$D$504,MATCH(A535,Maniobras!$A$5:$A$504,0)),""))</f>
        <v/>
      </c>
      <c r="F535" s="29" t="str">
        <f>IF(A535="","",IFERROR(INDEX(Maniobras!$K$5:$K$504,MATCH(A535,Maniobras!$A$5:$A$504,0)),""))</f>
        <v/>
      </c>
      <c r="G535" s="29"/>
      <c r="H535" s="29"/>
      <c r="I535" s="29" t="str">
        <f t="shared" si="17"/>
        <v/>
      </c>
      <c r="K535" s="30"/>
      <c r="M535" t="str">
        <f>IF($A535=Ficha!$B$3,COUNTIF($A$5:$A535,Ficha!$B$3),"")</f>
        <v/>
      </c>
    </row>
    <row r="536" spans="2:13" x14ac:dyDescent="0.3">
      <c r="B536" s="30" t="str">
        <f>IF(A536="","",IFERROR(INDEX(Maniobras!$B$5:$B$504,MATCH(A536,Maniobras!$A$5:$A$504,0)),""))</f>
        <v/>
      </c>
      <c r="C536" t="str">
        <f t="shared" si="16"/>
        <v/>
      </c>
      <c r="D536" t="str">
        <f>IF(A536="","",IFERROR(INDEX(Maniobras!$D$5:$D$504,MATCH(A536,Maniobras!$A$5:$A$504,0)),""))</f>
        <v/>
      </c>
      <c r="F536" s="29" t="str">
        <f>IF(A536="","",IFERROR(INDEX(Maniobras!$K$5:$K$504,MATCH(A536,Maniobras!$A$5:$A$504,0)),""))</f>
        <v/>
      </c>
      <c r="G536" s="29"/>
      <c r="H536" s="29"/>
      <c r="I536" s="29" t="str">
        <f t="shared" si="17"/>
        <v/>
      </c>
      <c r="K536" s="30"/>
      <c r="M536" t="str">
        <f>IF($A536=Ficha!$B$3,COUNTIF($A$5:$A536,Ficha!$B$3),"")</f>
        <v/>
      </c>
    </row>
    <row r="537" spans="2:13" x14ac:dyDescent="0.3">
      <c r="B537" s="30" t="str">
        <f>IF(A537="","",IFERROR(INDEX(Maniobras!$B$5:$B$504,MATCH(A537,Maniobras!$A$5:$A$504,0)),""))</f>
        <v/>
      </c>
      <c r="C537" t="str">
        <f t="shared" si="16"/>
        <v/>
      </c>
      <c r="D537" t="str">
        <f>IF(A537="","",IFERROR(INDEX(Maniobras!$D$5:$D$504,MATCH(A537,Maniobras!$A$5:$A$504,0)),""))</f>
        <v/>
      </c>
      <c r="F537" s="29" t="str">
        <f>IF(A537="","",IFERROR(INDEX(Maniobras!$K$5:$K$504,MATCH(A537,Maniobras!$A$5:$A$504,0)),""))</f>
        <v/>
      </c>
      <c r="G537" s="29"/>
      <c r="H537" s="29"/>
      <c r="I537" s="29" t="str">
        <f t="shared" si="17"/>
        <v/>
      </c>
      <c r="K537" s="30"/>
      <c r="M537" t="str">
        <f>IF($A537=Ficha!$B$3,COUNTIF($A$5:$A537,Ficha!$B$3),"")</f>
        <v/>
      </c>
    </row>
    <row r="538" spans="2:13" x14ac:dyDescent="0.3">
      <c r="B538" s="30" t="str">
        <f>IF(A538="","",IFERROR(INDEX(Maniobras!$B$5:$B$504,MATCH(A538,Maniobras!$A$5:$A$504,0)),""))</f>
        <v/>
      </c>
      <c r="C538" t="str">
        <f t="shared" si="16"/>
        <v/>
      </c>
      <c r="D538" t="str">
        <f>IF(A538="","",IFERROR(INDEX(Maniobras!$D$5:$D$504,MATCH(A538,Maniobras!$A$5:$A$504,0)),""))</f>
        <v/>
      </c>
      <c r="F538" s="29" t="str">
        <f>IF(A538="","",IFERROR(INDEX(Maniobras!$K$5:$K$504,MATCH(A538,Maniobras!$A$5:$A$504,0)),""))</f>
        <v/>
      </c>
      <c r="G538" s="29"/>
      <c r="H538" s="29"/>
      <c r="I538" s="29" t="str">
        <f t="shared" si="17"/>
        <v/>
      </c>
      <c r="K538" s="30"/>
      <c r="M538" t="str">
        <f>IF($A538=Ficha!$B$3,COUNTIF($A$5:$A538,Ficha!$B$3),"")</f>
        <v/>
      </c>
    </row>
    <row r="539" spans="2:13" x14ac:dyDescent="0.3">
      <c r="B539" s="30" t="str">
        <f>IF(A539="","",IFERROR(INDEX(Maniobras!$B$5:$B$504,MATCH(A539,Maniobras!$A$5:$A$504,0)),""))</f>
        <v/>
      </c>
      <c r="C539" t="str">
        <f t="shared" si="16"/>
        <v/>
      </c>
      <c r="D539" t="str">
        <f>IF(A539="","",IFERROR(INDEX(Maniobras!$D$5:$D$504,MATCH(A539,Maniobras!$A$5:$A$504,0)),""))</f>
        <v/>
      </c>
      <c r="F539" s="29" t="str">
        <f>IF(A539="","",IFERROR(INDEX(Maniobras!$K$5:$K$504,MATCH(A539,Maniobras!$A$5:$A$504,0)),""))</f>
        <v/>
      </c>
      <c r="G539" s="29"/>
      <c r="H539" s="29"/>
      <c r="I539" s="29" t="str">
        <f t="shared" si="17"/>
        <v/>
      </c>
      <c r="K539" s="30"/>
      <c r="M539" t="str">
        <f>IF($A539=Ficha!$B$3,COUNTIF($A$5:$A539,Ficha!$B$3),"")</f>
        <v/>
      </c>
    </row>
    <row r="540" spans="2:13" x14ac:dyDescent="0.3">
      <c r="B540" s="30" t="str">
        <f>IF(A540="","",IFERROR(INDEX(Maniobras!$B$5:$B$504,MATCH(A540,Maniobras!$A$5:$A$504,0)),""))</f>
        <v/>
      </c>
      <c r="C540" t="str">
        <f t="shared" si="16"/>
        <v/>
      </c>
      <c r="D540" t="str">
        <f>IF(A540="","",IFERROR(INDEX(Maniobras!$D$5:$D$504,MATCH(A540,Maniobras!$A$5:$A$504,0)),""))</f>
        <v/>
      </c>
      <c r="F540" s="29" t="str">
        <f>IF(A540="","",IFERROR(INDEX(Maniobras!$K$5:$K$504,MATCH(A540,Maniobras!$A$5:$A$504,0)),""))</f>
        <v/>
      </c>
      <c r="G540" s="29"/>
      <c r="H540" s="29"/>
      <c r="I540" s="29" t="str">
        <f t="shared" si="17"/>
        <v/>
      </c>
      <c r="K540" s="30"/>
      <c r="M540" t="str">
        <f>IF($A540=Ficha!$B$3,COUNTIF($A$5:$A540,Ficha!$B$3),"")</f>
        <v/>
      </c>
    </row>
    <row r="541" spans="2:13" x14ac:dyDescent="0.3">
      <c r="B541" s="30" t="str">
        <f>IF(A541="","",IFERROR(INDEX(Maniobras!$B$5:$B$504,MATCH(A541,Maniobras!$A$5:$A$504,0)),""))</f>
        <v/>
      </c>
      <c r="C541" t="str">
        <f t="shared" si="16"/>
        <v/>
      </c>
      <c r="D541" t="str">
        <f>IF(A541="","",IFERROR(INDEX(Maniobras!$D$5:$D$504,MATCH(A541,Maniobras!$A$5:$A$504,0)),""))</f>
        <v/>
      </c>
      <c r="F541" s="29" t="str">
        <f>IF(A541="","",IFERROR(INDEX(Maniobras!$K$5:$K$504,MATCH(A541,Maniobras!$A$5:$A$504,0)),""))</f>
        <v/>
      </c>
      <c r="G541" s="29"/>
      <c r="H541" s="29"/>
      <c r="I541" s="29" t="str">
        <f t="shared" si="17"/>
        <v/>
      </c>
      <c r="K541" s="30"/>
      <c r="M541" t="str">
        <f>IF($A541=Ficha!$B$3,COUNTIF($A$5:$A541,Ficha!$B$3),"")</f>
        <v/>
      </c>
    </row>
    <row r="542" spans="2:13" x14ac:dyDescent="0.3">
      <c r="B542" s="30" t="str">
        <f>IF(A542="","",IFERROR(INDEX(Maniobras!$B$5:$B$504,MATCH(A542,Maniobras!$A$5:$A$504,0)),""))</f>
        <v/>
      </c>
      <c r="C542" t="str">
        <f t="shared" si="16"/>
        <v/>
      </c>
      <c r="D542" t="str">
        <f>IF(A542="","",IFERROR(INDEX(Maniobras!$D$5:$D$504,MATCH(A542,Maniobras!$A$5:$A$504,0)),""))</f>
        <v/>
      </c>
      <c r="F542" s="29" t="str">
        <f>IF(A542="","",IFERROR(INDEX(Maniobras!$K$5:$K$504,MATCH(A542,Maniobras!$A$5:$A$504,0)),""))</f>
        <v/>
      </c>
      <c r="G542" s="29"/>
      <c r="H542" s="29"/>
      <c r="I542" s="29" t="str">
        <f t="shared" si="17"/>
        <v/>
      </c>
      <c r="K542" s="30"/>
      <c r="M542" t="str">
        <f>IF($A542=Ficha!$B$3,COUNTIF($A$5:$A542,Ficha!$B$3),"")</f>
        <v/>
      </c>
    </row>
    <row r="543" spans="2:13" x14ac:dyDescent="0.3">
      <c r="B543" s="30" t="str">
        <f>IF(A543="","",IFERROR(INDEX(Maniobras!$B$5:$B$504,MATCH(A543,Maniobras!$A$5:$A$504,0)),""))</f>
        <v/>
      </c>
      <c r="C543" t="str">
        <f t="shared" si="16"/>
        <v/>
      </c>
      <c r="D543" t="str">
        <f>IF(A543="","",IFERROR(INDEX(Maniobras!$D$5:$D$504,MATCH(A543,Maniobras!$A$5:$A$504,0)),""))</f>
        <v/>
      </c>
      <c r="F543" s="29" t="str">
        <f>IF(A543="","",IFERROR(INDEX(Maniobras!$K$5:$K$504,MATCH(A543,Maniobras!$A$5:$A$504,0)),""))</f>
        <v/>
      </c>
      <c r="G543" s="29"/>
      <c r="H543" s="29"/>
      <c r="I543" s="29" t="str">
        <f t="shared" si="17"/>
        <v/>
      </c>
      <c r="K543" s="30"/>
      <c r="M543" t="str">
        <f>IF($A543=Ficha!$B$3,COUNTIF($A$5:$A543,Ficha!$B$3),"")</f>
        <v/>
      </c>
    </row>
    <row r="544" spans="2:13" x14ac:dyDescent="0.3">
      <c r="B544" s="30" t="str">
        <f>IF(A544="","",IFERROR(INDEX(Maniobras!$B$5:$B$504,MATCH(A544,Maniobras!$A$5:$A$504,0)),""))</f>
        <v/>
      </c>
      <c r="C544" t="str">
        <f t="shared" si="16"/>
        <v/>
      </c>
      <c r="D544" t="str">
        <f>IF(A544="","",IFERROR(INDEX(Maniobras!$D$5:$D$504,MATCH(A544,Maniobras!$A$5:$A$504,0)),""))</f>
        <v/>
      </c>
      <c r="F544" s="29" t="str">
        <f>IF(A544="","",IFERROR(INDEX(Maniobras!$K$5:$K$504,MATCH(A544,Maniobras!$A$5:$A$504,0)),""))</f>
        <v/>
      </c>
      <c r="G544" s="29"/>
      <c r="H544" s="29"/>
      <c r="I544" s="29" t="str">
        <f t="shared" si="17"/>
        <v/>
      </c>
      <c r="K544" s="30"/>
      <c r="M544" t="str">
        <f>IF($A544=Ficha!$B$3,COUNTIF($A$5:$A544,Ficha!$B$3),"")</f>
        <v/>
      </c>
    </row>
    <row r="545" spans="2:13" x14ac:dyDescent="0.3">
      <c r="B545" s="30" t="str">
        <f>IF(A545="","",IFERROR(INDEX(Maniobras!$B$5:$B$504,MATCH(A545,Maniobras!$A$5:$A$504,0)),""))</f>
        <v/>
      </c>
      <c r="C545" t="str">
        <f t="shared" si="16"/>
        <v/>
      </c>
      <c r="D545" t="str">
        <f>IF(A545="","",IFERROR(INDEX(Maniobras!$D$5:$D$504,MATCH(A545,Maniobras!$A$5:$A$504,0)),""))</f>
        <v/>
      </c>
      <c r="F545" s="29" t="str">
        <f>IF(A545="","",IFERROR(INDEX(Maniobras!$K$5:$K$504,MATCH(A545,Maniobras!$A$5:$A$504,0)),""))</f>
        <v/>
      </c>
      <c r="G545" s="29"/>
      <c r="H545" s="29"/>
      <c r="I545" s="29" t="str">
        <f t="shared" si="17"/>
        <v/>
      </c>
      <c r="K545" s="30"/>
      <c r="M545" t="str">
        <f>IF($A545=Ficha!$B$3,COUNTIF($A$5:$A545,Ficha!$B$3),"")</f>
        <v/>
      </c>
    </row>
    <row r="546" spans="2:13" x14ac:dyDescent="0.3">
      <c r="B546" s="30" t="str">
        <f>IF(A546="","",IFERROR(INDEX(Maniobras!$B$5:$B$504,MATCH(A546,Maniobras!$A$5:$A$504,0)),""))</f>
        <v/>
      </c>
      <c r="C546" t="str">
        <f t="shared" si="16"/>
        <v/>
      </c>
      <c r="D546" t="str">
        <f>IF(A546="","",IFERROR(INDEX(Maniobras!$D$5:$D$504,MATCH(A546,Maniobras!$A$5:$A$504,0)),""))</f>
        <v/>
      </c>
      <c r="F546" s="29" t="str">
        <f>IF(A546="","",IFERROR(INDEX(Maniobras!$K$5:$K$504,MATCH(A546,Maniobras!$A$5:$A$504,0)),""))</f>
        <v/>
      </c>
      <c r="G546" s="29"/>
      <c r="H546" s="29"/>
      <c r="I546" s="29" t="str">
        <f t="shared" si="17"/>
        <v/>
      </c>
      <c r="K546" s="30"/>
      <c r="M546" t="str">
        <f>IF($A546=Ficha!$B$3,COUNTIF($A$5:$A546,Ficha!$B$3),"")</f>
        <v/>
      </c>
    </row>
    <row r="547" spans="2:13" x14ac:dyDescent="0.3">
      <c r="B547" s="30" t="str">
        <f>IF(A547="","",IFERROR(INDEX(Maniobras!$B$5:$B$504,MATCH(A547,Maniobras!$A$5:$A$504,0)),""))</f>
        <v/>
      </c>
      <c r="C547" t="str">
        <f t="shared" si="16"/>
        <v/>
      </c>
      <c r="D547" t="str">
        <f>IF(A547="","",IFERROR(INDEX(Maniobras!$D$5:$D$504,MATCH(A547,Maniobras!$A$5:$A$504,0)),""))</f>
        <v/>
      </c>
      <c r="F547" s="29" t="str">
        <f>IF(A547="","",IFERROR(INDEX(Maniobras!$K$5:$K$504,MATCH(A547,Maniobras!$A$5:$A$504,0)),""))</f>
        <v/>
      </c>
      <c r="G547" s="29"/>
      <c r="H547" s="29"/>
      <c r="I547" s="29" t="str">
        <f t="shared" si="17"/>
        <v/>
      </c>
      <c r="K547" s="30"/>
      <c r="M547" t="str">
        <f>IF($A547=Ficha!$B$3,COUNTIF($A$5:$A547,Ficha!$B$3),"")</f>
        <v/>
      </c>
    </row>
    <row r="548" spans="2:13" x14ac:dyDescent="0.3">
      <c r="B548" s="30" t="str">
        <f>IF(A548="","",IFERROR(INDEX(Maniobras!$B$5:$B$504,MATCH(A548,Maniobras!$A$5:$A$504,0)),""))</f>
        <v/>
      </c>
      <c r="C548" t="str">
        <f t="shared" si="16"/>
        <v/>
      </c>
      <c r="D548" t="str">
        <f>IF(A548="","",IFERROR(INDEX(Maniobras!$D$5:$D$504,MATCH(A548,Maniobras!$A$5:$A$504,0)),""))</f>
        <v/>
      </c>
      <c r="F548" s="29" t="str">
        <f>IF(A548="","",IFERROR(INDEX(Maniobras!$K$5:$K$504,MATCH(A548,Maniobras!$A$5:$A$504,0)),""))</f>
        <v/>
      </c>
      <c r="G548" s="29"/>
      <c r="H548" s="29"/>
      <c r="I548" s="29" t="str">
        <f t="shared" si="17"/>
        <v/>
      </c>
      <c r="K548" s="30"/>
      <c r="M548" t="str">
        <f>IF($A548=Ficha!$B$3,COUNTIF($A$5:$A548,Ficha!$B$3),"")</f>
        <v/>
      </c>
    </row>
    <row r="549" spans="2:13" x14ac:dyDescent="0.3">
      <c r="B549" s="30" t="str">
        <f>IF(A549="","",IFERROR(INDEX(Maniobras!$B$5:$B$504,MATCH(A549,Maniobras!$A$5:$A$504,0)),""))</f>
        <v/>
      </c>
      <c r="C549" t="str">
        <f t="shared" si="16"/>
        <v/>
      </c>
      <c r="D549" t="str">
        <f>IF(A549="","",IFERROR(INDEX(Maniobras!$D$5:$D$504,MATCH(A549,Maniobras!$A$5:$A$504,0)),""))</f>
        <v/>
      </c>
      <c r="F549" s="29" t="str">
        <f>IF(A549="","",IFERROR(INDEX(Maniobras!$K$5:$K$504,MATCH(A549,Maniobras!$A$5:$A$504,0)),""))</f>
        <v/>
      </c>
      <c r="G549" s="29"/>
      <c r="H549" s="29"/>
      <c r="I549" s="29" t="str">
        <f t="shared" si="17"/>
        <v/>
      </c>
      <c r="K549" s="30"/>
      <c r="M549" t="str">
        <f>IF($A549=Ficha!$B$3,COUNTIF($A$5:$A549,Ficha!$B$3),"")</f>
        <v/>
      </c>
    </row>
    <row r="550" spans="2:13" x14ac:dyDescent="0.3">
      <c r="B550" s="30" t="str">
        <f>IF(A550="","",IFERROR(INDEX(Maniobras!$B$5:$B$504,MATCH(A550,Maniobras!$A$5:$A$504,0)),""))</f>
        <v/>
      </c>
      <c r="C550" t="str">
        <f t="shared" si="16"/>
        <v/>
      </c>
      <c r="D550" t="str">
        <f>IF(A550="","",IFERROR(INDEX(Maniobras!$D$5:$D$504,MATCH(A550,Maniobras!$A$5:$A$504,0)),""))</f>
        <v/>
      </c>
      <c r="F550" s="29" t="str">
        <f>IF(A550="","",IFERROR(INDEX(Maniobras!$K$5:$K$504,MATCH(A550,Maniobras!$A$5:$A$504,0)),""))</f>
        <v/>
      </c>
      <c r="G550" s="29"/>
      <c r="H550" s="29"/>
      <c r="I550" s="29" t="str">
        <f t="shared" si="17"/>
        <v/>
      </c>
      <c r="K550" s="30"/>
      <c r="M550" t="str">
        <f>IF($A550=Ficha!$B$3,COUNTIF($A$5:$A550,Ficha!$B$3),"")</f>
        <v/>
      </c>
    </row>
    <row r="551" spans="2:13" x14ac:dyDescent="0.3">
      <c r="B551" s="30" t="str">
        <f>IF(A551="","",IFERROR(INDEX(Maniobras!$B$5:$B$504,MATCH(A551,Maniobras!$A$5:$A$504,0)),""))</f>
        <v/>
      </c>
      <c r="C551" t="str">
        <f t="shared" si="16"/>
        <v/>
      </c>
      <c r="D551" t="str">
        <f>IF(A551="","",IFERROR(INDEX(Maniobras!$D$5:$D$504,MATCH(A551,Maniobras!$A$5:$A$504,0)),""))</f>
        <v/>
      </c>
      <c r="F551" s="29" t="str">
        <f>IF(A551="","",IFERROR(INDEX(Maniobras!$K$5:$K$504,MATCH(A551,Maniobras!$A$5:$A$504,0)),""))</f>
        <v/>
      </c>
      <c r="G551" s="29"/>
      <c r="H551" s="29"/>
      <c r="I551" s="29" t="str">
        <f t="shared" si="17"/>
        <v/>
      </c>
      <c r="K551" s="30"/>
      <c r="M551" t="str">
        <f>IF($A551=Ficha!$B$3,COUNTIF($A$5:$A551,Ficha!$B$3),"")</f>
        <v/>
      </c>
    </row>
    <row r="552" spans="2:13" x14ac:dyDescent="0.3">
      <c r="B552" s="30" t="str">
        <f>IF(A552="","",IFERROR(INDEX(Maniobras!$B$5:$B$504,MATCH(A552,Maniobras!$A$5:$A$504,0)),""))</f>
        <v/>
      </c>
      <c r="C552" t="str">
        <f t="shared" si="16"/>
        <v/>
      </c>
      <c r="D552" t="str">
        <f>IF(A552="","",IFERROR(INDEX(Maniobras!$D$5:$D$504,MATCH(A552,Maniobras!$A$5:$A$504,0)),""))</f>
        <v/>
      </c>
      <c r="F552" s="29" t="str">
        <f>IF(A552="","",IFERROR(INDEX(Maniobras!$K$5:$K$504,MATCH(A552,Maniobras!$A$5:$A$504,0)),""))</f>
        <v/>
      </c>
      <c r="G552" s="29"/>
      <c r="H552" s="29"/>
      <c r="I552" s="29" t="str">
        <f t="shared" si="17"/>
        <v/>
      </c>
      <c r="K552" s="30"/>
      <c r="M552" t="str">
        <f>IF($A552=Ficha!$B$3,COUNTIF($A$5:$A552,Ficha!$B$3),"")</f>
        <v/>
      </c>
    </row>
    <row r="553" spans="2:13" x14ac:dyDescent="0.3">
      <c r="B553" s="30" t="str">
        <f>IF(A553="","",IFERROR(INDEX(Maniobras!$B$5:$B$504,MATCH(A553,Maniobras!$A$5:$A$504,0)),""))</f>
        <v/>
      </c>
      <c r="C553" t="str">
        <f t="shared" si="16"/>
        <v/>
      </c>
      <c r="D553" t="str">
        <f>IF(A553="","",IFERROR(INDEX(Maniobras!$D$5:$D$504,MATCH(A553,Maniobras!$A$5:$A$504,0)),""))</f>
        <v/>
      </c>
      <c r="F553" s="29" t="str">
        <f>IF(A553="","",IFERROR(INDEX(Maniobras!$K$5:$K$504,MATCH(A553,Maniobras!$A$5:$A$504,0)),""))</f>
        <v/>
      </c>
      <c r="G553" s="29"/>
      <c r="H553" s="29"/>
      <c r="I553" s="29" t="str">
        <f t="shared" si="17"/>
        <v/>
      </c>
      <c r="K553" s="30"/>
      <c r="M553" t="str">
        <f>IF($A553=Ficha!$B$3,COUNTIF($A$5:$A553,Ficha!$B$3),"")</f>
        <v/>
      </c>
    </row>
    <row r="554" spans="2:13" x14ac:dyDescent="0.3">
      <c r="B554" s="30" t="str">
        <f>IF(A554="","",IFERROR(INDEX(Maniobras!$B$5:$B$504,MATCH(A554,Maniobras!$A$5:$A$504,0)),""))</f>
        <v/>
      </c>
      <c r="C554" t="str">
        <f t="shared" si="16"/>
        <v/>
      </c>
      <c r="D554" t="str">
        <f>IF(A554="","",IFERROR(INDEX(Maniobras!$D$5:$D$504,MATCH(A554,Maniobras!$A$5:$A$504,0)),""))</f>
        <v/>
      </c>
      <c r="F554" s="29" t="str">
        <f>IF(A554="","",IFERROR(INDEX(Maniobras!$K$5:$K$504,MATCH(A554,Maniobras!$A$5:$A$504,0)),""))</f>
        <v/>
      </c>
      <c r="G554" s="29"/>
      <c r="H554" s="29"/>
      <c r="I554" s="29" t="str">
        <f t="shared" si="17"/>
        <v/>
      </c>
      <c r="K554" s="30"/>
      <c r="M554" t="str">
        <f>IF($A554=Ficha!$B$3,COUNTIF($A$5:$A554,Ficha!$B$3),"")</f>
        <v/>
      </c>
    </row>
    <row r="555" spans="2:13" x14ac:dyDescent="0.3">
      <c r="B555" s="30" t="str">
        <f>IF(A555="","",IFERROR(INDEX(Maniobras!$B$5:$B$504,MATCH(A555,Maniobras!$A$5:$A$504,0)),""))</f>
        <v/>
      </c>
      <c r="C555" t="str">
        <f t="shared" si="16"/>
        <v/>
      </c>
      <c r="D555" t="str">
        <f>IF(A555="","",IFERROR(INDEX(Maniobras!$D$5:$D$504,MATCH(A555,Maniobras!$A$5:$A$504,0)),""))</f>
        <v/>
      </c>
      <c r="F555" s="29" t="str">
        <f>IF(A555="","",IFERROR(INDEX(Maniobras!$K$5:$K$504,MATCH(A555,Maniobras!$A$5:$A$504,0)),""))</f>
        <v/>
      </c>
      <c r="G555" s="29"/>
      <c r="H555" s="29"/>
      <c r="I555" s="29" t="str">
        <f t="shared" si="17"/>
        <v/>
      </c>
      <c r="K555" s="30"/>
      <c r="M555" t="str">
        <f>IF($A555=Ficha!$B$3,COUNTIF($A$5:$A555,Ficha!$B$3),"")</f>
        <v/>
      </c>
    </row>
    <row r="556" spans="2:13" x14ac:dyDescent="0.3">
      <c r="B556" s="30" t="str">
        <f>IF(A556="","",IFERROR(INDEX(Maniobras!$B$5:$B$504,MATCH(A556,Maniobras!$A$5:$A$504,0)),""))</f>
        <v/>
      </c>
      <c r="C556" t="str">
        <f t="shared" si="16"/>
        <v/>
      </c>
      <c r="D556" t="str">
        <f>IF(A556="","",IFERROR(INDEX(Maniobras!$D$5:$D$504,MATCH(A556,Maniobras!$A$5:$A$504,0)),""))</f>
        <v/>
      </c>
      <c r="F556" s="29" t="str">
        <f>IF(A556="","",IFERROR(INDEX(Maniobras!$K$5:$K$504,MATCH(A556,Maniobras!$A$5:$A$504,0)),""))</f>
        <v/>
      </c>
      <c r="G556" s="29"/>
      <c r="H556" s="29"/>
      <c r="I556" s="29" t="str">
        <f t="shared" si="17"/>
        <v/>
      </c>
      <c r="K556" s="30"/>
      <c r="M556" t="str">
        <f>IF($A556=Ficha!$B$3,COUNTIF($A$5:$A556,Ficha!$B$3),"")</f>
        <v/>
      </c>
    </row>
    <row r="557" spans="2:13" x14ac:dyDescent="0.3">
      <c r="B557" s="30" t="str">
        <f>IF(A557="","",IFERROR(INDEX(Maniobras!$B$5:$B$504,MATCH(A557,Maniobras!$A$5:$A$504,0)),""))</f>
        <v/>
      </c>
      <c r="C557" t="str">
        <f t="shared" si="16"/>
        <v/>
      </c>
      <c r="D557" t="str">
        <f>IF(A557="","",IFERROR(INDEX(Maniobras!$D$5:$D$504,MATCH(A557,Maniobras!$A$5:$A$504,0)),""))</f>
        <v/>
      </c>
      <c r="F557" s="29" t="str">
        <f>IF(A557="","",IFERROR(INDEX(Maniobras!$K$5:$K$504,MATCH(A557,Maniobras!$A$5:$A$504,0)),""))</f>
        <v/>
      </c>
      <c r="G557" s="29"/>
      <c r="H557" s="29"/>
      <c r="I557" s="29" t="str">
        <f t="shared" si="17"/>
        <v/>
      </c>
      <c r="K557" s="30"/>
      <c r="M557" t="str">
        <f>IF($A557=Ficha!$B$3,COUNTIF($A$5:$A557,Ficha!$B$3),"")</f>
        <v/>
      </c>
    </row>
    <row r="558" spans="2:13" x14ac:dyDescent="0.3">
      <c r="B558" s="30" t="str">
        <f>IF(A558="","",IFERROR(INDEX(Maniobras!$B$5:$B$504,MATCH(A558,Maniobras!$A$5:$A$504,0)),""))</f>
        <v/>
      </c>
      <c r="C558" t="str">
        <f t="shared" si="16"/>
        <v/>
      </c>
      <c r="D558" t="str">
        <f>IF(A558="","",IFERROR(INDEX(Maniobras!$D$5:$D$504,MATCH(A558,Maniobras!$A$5:$A$504,0)),""))</f>
        <v/>
      </c>
      <c r="F558" s="29" t="str">
        <f>IF(A558="","",IFERROR(INDEX(Maniobras!$K$5:$K$504,MATCH(A558,Maniobras!$A$5:$A$504,0)),""))</f>
        <v/>
      </c>
      <c r="G558" s="29"/>
      <c r="H558" s="29"/>
      <c r="I558" s="29" t="str">
        <f t="shared" si="17"/>
        <v/>
      </c>
      <c r="K558" s="30"/>
      <c r="M558" t="str">
        <f>IF($A558=Ficha!$B$3,COUNTIF($A$5:$A558,Ficha!$B$3),"")</f>
        <v/>
      </c>
    </row>
    <row r="559" spans="2:13" x14ac:dyDescent="0.3">
      <c r="B559" s="30" t="str">
        <f>IF(A559="","",IFERROR(INDEX(Maniobras!$B$5:$B$504,MATCH(A559,Maniobras!$A$5:$A$504,0)),""))</f>
        <v/>
      </c>
      <c r="C559" t="str">
        <f t="shared" si="16"/>
        <v/>
      </c>
      <c r="D559" t="str">
        <f>IF(A559="","",IFERROR(INDEX(Maniobras!$D$5:$D$504,MATCH(A559,Maniobras!$A$5:$A$504,0)),""))</f>
        <v/>
      </c>
      <c r="F559" s="29" t="str">
        <f>IF(A559="","",IFERROR(INDEX(Maniobras!$K$5:$K$504,MATCH(A559,Maniobras!$A$5:$A$504,0)),""))</f>
        <v/>
      </c>
      <c r="G559" s="29"/>
      <c r="H559" s="29"/>
      <c r="I559" s="29" t="str">
        <f t="shared" si="17"/>
        <v/>
      </c>
      <c r="K559" s="30"/>
      <c r="M559" t="str">
        <f>IF($A559=Ficha!$B$3,COUNTIF($A$5:$A559,Ficha!$B$3),"")</f>
        <v/>
      </c>
    </row>
    <row r="560" spans="2:13" x14ac:dyDescent="0.3">
      <c r="B560" s="30" t="str">
        <f>IF(A560="","",IFERROR(INDEX(Maniobras!$B$5:$B$504,MATCH(A560,Maniobras!$A$5:$A$504,0)),""))</f>
        <v/>
      </c>
      <c r="C560" t="str">
        <f t="shared" si="16"/>
        <v/>
      </c>
      <c r="D560" t="str">
        <f>IF(A560="","",IFERROR(INDEX(Maniobras!$D$5:$D$504,MATCH(A560,Maniobras!$A$5:$A$504,0)),""))</f>
        <v/>
      </c>
      <c r="F560" s="29" t="str">
        <f>IF(A560="","",IFERROR(INDEX(Maniobras!$K$5:$K$504,MATCH(A560,Maniobras!$A$5:$A$504,0)),""))</f>
        <v/>
      </c>
      <c r="G560" s="29"/>
      <c r="H560" s="29"/>
      <c r="I560" s="29" t="str">
        <f t="shared" si="17"/>
        <v/>
      </c>
      <c r="K560" s="30"/>
      <c r="M560" t="str">
        <f>IF($A560=Ficha!$B$3,COUNTIF($A$5:$A560,Ficha!$B$3),"")</f>
        <v/>
      </c>
    </row>
    <row r="561" spans="2:13" x14ac:dyDescent="0.3">
      <c r="B561" s="30" t="str">
        <f>IF(A561="","",IFERROR(INDEX(Maniobras!$B$5:$B$504,MATCH(A561,Maniobras!$A$5:$A$504,0)),""))</f>
        <v/>
      </c>
      <c r="C561" t="str">
        <f t="shared" si="16"/>
        <v/>
      </c>
      <c r="D561" t="str">
        <f>IF(A561="","",IFERROR(INDEX(Maniobras!$D$5:$D$504,MATCH(A561,Maniobras!$A$5:$A$504,0)),""))</f>
        <v/>
      </c>
      <c r="F561" s="29" t="str">
        <f>IF(A561="","",IFERROR(INDEX(Maniobras!$K$5:$K$504,MATCH(A561,Maniobras!$A$5:$A$504,0)),""))</f>
        <v/>
      </c>
      <c r="G561" s="29"/>
      <c r="H561" s="29"/>
      <c r="I561" s="29" t="str">
        <f t="shared" si="17"/>
        <v/>
      </c>
      <c r="K561" s="30"/>
      <c r="M561" t="str">
        <f>IF($A561=Ficha!$B$3,COUNTIF($A$5:$A561,Ficha!$B$3),"")</f>
        <v/>
      </c>
    </row>
    <row r="562" spans="2:13" x14ac:dyDescent="0.3">
      <c r="B562" s="30" t="str">
        <f>IF(A562="","",IFERROR(INDEX(Maniobras!$B$5:$B$504,MATCH(A562,Maniobras!$A$5:$A$504,0)),""))</f>
        <v/>
      </c>
      <c r="C562" t="str">
        <f t="shared" si="16"/>
        <v/>
      </c>
      <c r="D562" t="str">
        <f>IF(A562="","",IFERROR(INDEX(Maniobras!$D$5:$D$504,MATCH(A562,Maniobras!$A$5:$A$504,0)),""))</f>
        <v/>
      </c>
      <c r="F562" s="29" t="str">
        <f>IF(A562="","",IFERROR(INDEX(Maniobras!$K$5:$K$504,MATCH(A562,Maniobras!$A$5:$A$504,0)),""))</f>
        <v/>
      </c>
      <c r="G562" s="29"/>
      <c r="H562" s="29"/>
      <c r="I562" s="29" t="str">
        <f t="shared" si="17"/>
        <v/>
      </c>
      <c r="K562" s="30"/>
      <c r="M562" t="str">
        <f>IF($A562=Ficha!$B$3,COUNTIF($A$5:$A562,Ficha!$B$3),"")</f>
        <v/>
      </c>
    </row>
    <row r="563" spans="2:13" x14ac:dyDescent="0.3">
      <c r="B563" s="30" t="str">
        <f>IF(A563="","",IFERROR(INDEX(Maniobras!$B$5:$B$504,MATCH(A563,Maniobras!$A$5:$A$504,0)),""))</f>
        <v/>
      </c>
      <c r="C563" t="str">
        <f t="shared" si="16"/>
        <v/>
      </c>
      <c r="D563" t="str">
        <f>IF(A563="","",IFERROR(INDEX(Maniobras!$D$5:$D$504,MATCH(A563,Maniobras!$A$5:$A$504,0)),""))</f>
        <v/>
      </c>
      <c r="F563" s="29" t="str">
        <f>IF(A563="","",IFERROR(INDEX(Maniobras!$K$5:$K$504,MATCH(A563,Maniobras!$A$5:$A$504,0)),""))</f>
        <v/>
      </c>
      <c r="G563" s="29"/>
      <c r="H563" s="29"/>
      <c r="I563" s="29" t="str">
        <f t="shared" si="17"/>
        <v/>
      </c>
      <c r="K563" s="30"/>
      <c r="M563" t="str">
        <f>IF($A563=Ficha!$B$3,COUNTIF($A$5:$A563,Ficha!$B$3),"")</f>
        <v/>
      </c>
    </row>
    <row r="564" spans="2:13" x14ac:dyDescent="0.3">
      <c r="B564" s="30" t="str">
        <f>IF(A564="","",IFERROR(INDEX(Maniobras!$B$5:$B$504,MATCH(A564,Maniobras!$A$5:$A$504,0)),""))</f>
        <v/>
      </c>
      <c r="C564" t="str">
        <f t="shared" si="16"/>
        <v/>
      </c>
      <c r="D564" t="str">
        <f>IF(A564="","",IFERROR(INDEX(Maniobras!$D$5:$D$504,MATCH(A564,Maniobras!$A$5:$A$504,0)),""))</f>
        <v/>
      </c>
      <c r="F564" s="29" t="str">
        <f>IF(A564="","",IFERROR(INDEX(Maniobras!$K$5:$K$504,MATCH(A564,Maniobras!$A$5:$A$504,0)),""))</f>
        <v/>
      </c>
      <c r="G564" s="29"/>
      <c r="H564" s="29"/>
      <c r="I564" s="29" t="str">
        <f t="shared" si="17"/>
        <v/>
      </c>
      <c r="K564" s="30"/>
      <c r="M564" t="str">
        <f>IF($A564=Ficha!$B$3,COUNTIF($A$5:$A564,Ficha!$B$3),"")</f>
        <v/>
      </c>
    </row>
    <row r="565" spans="2:13" x14ac:dyDescent="0.3">
      <c r="B565" s="30" t="str">
        <f>IF(A565="","",IFERROR(INDEX(Maniobras!$B$5:$B$504,MATCH(A565,Maniobras!$A$5:$A$504,0)),""))</f>
        <v/>
      </c>
      <c r="C565" t="str">
        <f t="shared" si="16"/>
        <v/>
      </c>
      <c r="D565" t="str">
        <f>IF(A565="","",IFERROR(INDEX(Maniobras!$D$5:$D$504,MATCH(A565,Maniobras!$A$5:$A$504,0)),""))</f>
        <v/>
      </c>
      <c r="F565" s="29" t="str">
        <f>IF(A565="","",IFERROR(INDEX(Maniobras!$K$5:$K$504,MATCH(A565,Maniobras!$A$5:$A$504,0)),""))</f>
        <v/>
      </c>
      <c r="G565" s="29"/>
      <c r="H565" s="29"/>
      <c r="I565" s="29" t="str">
        <f t="shared" si="17"/>
        <v/>
      </c>
      <c r="K565" s="30"/>
      <c r="M565" t="str">
        <f>IF($A565=Ficha!$B$3,COUNTIF($A$5:$A565,Ficha!$B$3),"")</f>
        <v/>
      </c>
    </row>
    <row r="566" spans="2:13" x14ac:dyDescent="0.3">
      <c r="B566" s="30" t="str">
        <f>IF(A566="","",IFERROR(INDEX(Maniobras!$B$5:$B$504,MATCH(A566,Maniobras!$A$5:$A$504,0)),""))</f>
        <v/>
      </c>
      <c r="C566" t="str">
        <f t="shared" si="16"/>
        <v/>
      </c>
      <c r="D566" t="str">
        <f>IF(A566="","",IFERROR(INDEX(Maniobras!$D$5:$D$504,MATCH(A566,Maniobras!$A$5:$A$504,0)),""))</f>
        <v/>
      </c>
      <c r="F566" s="29" t="str">
        <f>IF(A566="","",IFERROR(INDEX(Maniobras!$K$5:$K$504,MATCH(A566,Maniobras!$A$5:$A$504,0)),""))</f>
        <v/>
      </c>
      <c r="G566" s="29"/>
      <c r="H566" s="29"/>
      <c r="I566" s="29" t="str">
        <f t="shared" si="17"/>
        <v/>
      </c>
      <c r="K566" s="30"/>
      <c r="M566" t="str">
        <f>IF($A566=Ficha!$B$3,COUNTIF($A$5:$A566,Ficha!$B$3),"")</f>
        <v/>
      </c>
    </row>
    <row r="567" spans="2:13" x14ac:dyDescent="0.3">
      <c r="B567" s="30" t="str">
        <f>IF(A567="","",IFERROR(INDEX(Maniobras!$B$5:$B$504,MATCH(A567,Maniobras!$A$5:$A$504,0)),""))</f>
        <v/>
      </c>
      <c r="C567" t="str">
        <f t="shared" si="16"/>
        <v/>
      </c>
      <c r="D567" t="str">
        <f>IF(A567="","",IFERROR(INDEX(Maniobras!$D$5:$D$504,MATCH(A567,Maniobras!$A$5:$A$504,0)),""))</f>
        <v/>
      </c>
      <c r="F567" s="29" t="str">
        <f>IF(A567="","",IFERROR(INDEX(Maniobras!$K$5:$K$504,MATCH(A567,Maniobras!$A$5:$A$504,0)),""))</f>
        <v/>
      </c>
      <c r="G567" s="29"/>
      <c r="H567" s="29"/>
      <c r="I567" s="29" t="str">
        <f t="shared" si="17"/>
        <v/>
      </c>
      <c r="K567" s="30"/>
      <c r="M567" t="str">
        <f>IF($A567=Ficha!$B$3,COUNTIF($A$5:$A567,Ficha!$B$3),"")</f>
        <v/>
      </c>
    </row>
    <row r="568" spans="2:13" x14ac:dyDescent="0.3">
      <c r="B568" s="30" t="str">
        <f>IF(A568="","",IFERROR(INDEX(Maniobras!$B$5:$B$504,MATCH(A568,Maniobras!$A$5:$A$504,0)),""))</f>
        <v/>
      </c>
      <c r="C568" t="str">
        <f t="shared" si="16"/>
        <v/>
      </c>
      <c r="D568" t="str">
        <f>IF(A568="","",IFERROR(INDEX(Maniobras!$D$5:$D$504,MATCH(A568,Maniobras!$A$5:$A$504,0)),""))</f>
        <v/>
      </c>
      <c r="F568" s="29" t="str">
        <f>IF(A568="","",IFERROR(INDEX(Maniobras!$K$5:$K$504,MATCH(A568,Maniobras!$A$5:$A$504,0)),""))</f>
        <v/>
      </c>
      <c r="G568" s="29"/>
      <c r="H568" s="29"/>
      <c r="I568" s="29" t="str">
        <f t="shared" si="17"/>
        <v/>
      </c>
      <c r="K568" s="30"/>
      <c r="M568" t="str">
        <f>IF($A568=Ficha!$B$3,COUNTIF($A$5:$A568,Ficha!$B$3),"")</f>
        <v/>
      </c>
    </row>
    <row r="569" spans="2:13" x14ac:dyDescent="0.3">
      <c r="B569" s="30" t="str">
        <f>IF(A569="","",IFERROR(INDEX(Maniobras!$B$5:$B$504,MATCH(A569,Maniobras!$A$5:$A$504,0)),""))</f>
        <v/>
      </c>
      <c r="C569" t="str">
        <f t="shared" si="16"/>
        <v/>
      </c>
      <c r="D569" t="str">
        <f>IF(A569="","",IFERROR(INDEX(Maniobras!$D$5:$D$504,MATCH(A569,Maniobras!$A$5:$A$504,0)),""))</f>
        <v/>
      </c>
      <c r="F569" s="29" t="str">
        <f>IF(A569="","",IFERROR(INDEX(Maniobras!$K$5:$K$504,MATCH(A569,Maniobras!$A$5:$A$504,0)),""))</f>
        <v/>
      </c>
      <c r="G569" s="29"/>
      <c r="H569" s="29"/>
      <c r="I569" s="29" t="str">
        <f t="shared" si="17"/>
        <v/>
      </c>
      <c r="K569" s="30"/>
      <c r="M569" t="str">
        <f>IF($A569=Ficha!$B$3,COUNTIF($A$5:$A569,Ficha!$B$3),"")</f>
        <v/>
      </c>
    </row>
    <row r="570" spans="2:13" x14ac:dyDescent="0.3">
      <c r="B570" s="30" t="str">
        <f>IF(A570="","",IFERROR(INDEX(Maniobras!$B$5:$B$504,MATCH(A570,Maniobras!$A$5:$A$504,0)),""))</f>
        <v/>
      </c>
      <c r="C570" t="str">
        <f t="shared" si="16"/>
        <v/>
      </c>
      <c r="D570" t="str">
        <f>IF(A570="","",IFERROR(INDEX(Maniobras!$D$5:$D$504,MATCH(A570,Maniobras!$A$5:$A$504,0)),""))</f>
        <v/>
      </c>
      <c r="F570" s="29" t="str">
        <f>IF(A570="","",IFERROR(INDEX(Maniobras!$K$5:$K$504,MATCH(A570,Maniobras!$A$5:$A$504,0)),""))</f>
        <v/>
      </c>
      <c r="G570" s="29"/>
      <c r="H570" s="29"/>
      <c r="I570" s="29" t="str">
        <f t="shared" si="17"/>
        <v/>
      </c>
      <c r="K570" s="30"/>
      <c r="M570" t="str">
        <f>IF($A570=Ficha!$B$3,COUNTIF($A$5:$A570,Ficha!$B$3),"")</f>
        <v/>
      </c>
    </row>
    <row r="571" spans="2:13" x14ac:dyDescent="0.3">
      <c r="B571" s="30" t="str">
        <f>IF(A571="","",IFERROR(INDEX(Maniobras!$B$5:$B$504,MATCH(A571,Maniobras!$A$5:$A$504,0)),""))</f>
        <v/>
      </c>
      <c r="C571" t="str">
        <f t="shared" si="16"/>
        <v/>
      </c>
      <c r="D571" t="str">
        <f>IF(A571="","",IFERROR(INDEX(Maniobras!$D$5:$D$504,MATCH(A571,Maniobras!$A$5:$A$504,0)),""))</f>
        <v/>
      </c>
      <c r="F571" s="29" t="str">
        <f>IF(A571="","",IFERROR(INDEX(Maniobras!$K$5:$K$504,MATCH(A571,Maniobras!$A$5:$A$504,0)),""))</f>
        <v/>
      </c>
      <c r="G571" s="29"/>
      <c r="H571" s="29"/>
      <c r="I571" s="29" t="str">
        <f t="shared" si="17"/>
        <v/>
      </c>
      <c r="K571" s="30"/>
      <c r="M571" t="str">
        <f>IF($A571=Ficha!$B$3,COUNTIF($A$5:$A571,Ficha!$B$3),"")</f>
        <v/>
      </c>
    </row>
    <row r="572" spans="2:13" x14ac:dyDescent="0.3">
      <c r="B572" s="30" t="str">
        <f>IF(A572="","",IFERROR(INDEX(Maniobras!$B$5:$B$504,MATCH(A572,Maniobras!$A$5:$A$504,0)),""))</f>
        <v/>
      </c>
      <c r="C572" t="str">
        <f t="shared" si="16"/>
        <v/>
      </c>
      <c r="D572" t="str">
        <f>IF(A572="","",IFERROR(INDEX(Maniobras!$D$5:$D$504,MATCH(A572,Maniobras!$A$5:$A$504,0)),""))</f>
        <v/>
      </c>
      <c r="F572" s="29" t="str">
        <f>IF(A572="","",IFERROR(INDEX(Maniobras!$K$5:$K$504,MATCH(A572,Maniobras!$A$5:$A$504,0)),""))</f>
        <v/>
      </c>
      <c r="G572" s="29"/>
      <c r="H572" s="29"/>
      <c r="I572" s="29" t="str">
        <f t="shared" si="17"/>
        <v/>
      </c>
      <c r="K572" s="30"/>
      <c r="M572" t="str">
        <f>IF($A572=Ficha!$B$3,COUNTIF($A$5:$A572,Ficha!$B$3),"")</f>
        <v/>
      </c>
    </row>
    <row r="573" spans="2:13" x14ac:dyDescent="0.3">
      <c r="B573" s="30" t="str">
        <f>IF(A573="","",IFERROR(INDEX(Maniobras!$B$5:$B$504,MATCH(A573,Maniobras!$A$5:$A$504,0)),""))</f>
        <v/>
      </c>
      <c r="C573" t="str">
        <f t="shared" si="16"/>
        <v/>
      </c>
      <c r="D573" t="str">
        <f>IF(A573="","",IFERROR(INDEX(Maniobras!$D$5:$D$504,MATCH(A573,Maniobras!$A$5:$A$504,0)),""))</f>
        <v/>
      </c>
      <c r="F573" s="29" t="str">
        <f>IF(A573="","",IFERROR(INDEX(Maniobras!$K$5:$K$504,MATCH(A573,Maniobras!$A$5:$A$504,0)),""))</f>
        <v/>
      </c>
      <c r="G573" s="29"/>
      <c r="H573" s="29"/>
      <c r="I573" s="29" t="str">
        <f t="shared" si="17"/>
        <v/>
      </c>
      <c r="K573" s="30"/>
      <c r="M573" t="str">
        <f>IF($A573=Ficha!$B$3,COUNTIF($A$5:$A573,Ficha!$B$3),"")</f>
        <v/>
      </c>
    </row>
    <row r="574" spans="2:13" x14ac:dyDescent="0.3">
      <c r="B574" s="30" t="str">
        <f>IF(A574="","",IFERROR(INDEX(Maniobras!$B$5:$B$504,MATCH(A574,Maniobras!$A$5:$A$504,0)),""))</f>
        <v/>
      </c>
      <c r="C574" t="str">
        <f t="shared" si="16"/>
        <v/>
      </c>
      <c r="D574" t="str">
        <f>IF(A574="","",IFERROR(INDEX(Maniobras!$D$5:$D$504,MATCH(A574,Maniobras!$A$5:$A$504,0)),""))</f>
        <v/>
      </c>
      <c r="F574" s="29" t="str">
        <f>IF(A574="","",IFERROR(INDEX(Maniobras!$K$5:$K$504,MATCH(A574,Maniobras!$A$5:$A$504,0)),""))</f>
        <v/>
      </c>
      <c r="G574" s="29"/>
      <c r="H574" s="29"/>
      <c r="I574" s="29" t="str">
        <f t="shared" si="17"/>
        <v/>
      </c>
      <c r="K574" s="30"/>
      <c r="M574" t="str">
        <f>IF($A574=Ficha!$B$3,COUNTIF($A$5:$A574,Ficha!$B$3),"")</f>
        <v/>
      </c>
    </row>
    <row r="575" spans="2:13" x14ac:dyDescent="0.3">
      <c r="B575" s="30" t="str">
        <f>IF(A575="","",IFERROR(INDEX(Maniobras!$B$5:$B$504,MATCH(A575,Maniobras!$A$5:$A$504,0)),""))</f>
        <v/>
      </c>
      <c r="C575" t="str">
        <f t="shared" si="16"/>
        <v/>
      </c>
      <c r="D575" t="str">
        <f>IF(A575="","",IFERROR(INDEX(Maniobras!$D$5:$D$504,MATCH(A575,Maniobras!$A$5:$A$504,0)),""))</f>
        <v/>
      </c>
      <c r="F575" s="29" t="str">
        <f>IF(A575="","",IFERROR(INDEX(Maniobras!$K$5:$K$504,MATCH(A575,Maniobras!$A$5:$A$504,0)),""))</f>
        <v/>
      </c>
      <c r="G575" s="29"/>
      <c r="H575" s="29"/>
      <c r="I575" s="29" t="str">
        <f t="shared" si="17"/>
        <v/>
      </c>
      <c r="K575" s="30"/>
      <c r="M575" t="str">
        <f>IF($A575=Ficha!$B$3,COUNTIF($A$5:$A575,Ficha!$B$3),"")</f>
        <v/>
      </c>
    </row>
    <row r="576" spans="2:13" x14ac:dyDescent="0.3">
      <c r="B576" s="30" t="str">
        <f>IF(A576="","",IFERROR(INDEX(Maniobras!$B$5:$B$504,MATCH(A576,Maniobras!$A$5:$A$504,0)),""))</f>
        <v/>
      </c>
      <c r="C576" t="str">
        <f t="shared" si="16"/>
        <v/>
      </c>
      <c r="D576" t="str">
        <f>IF(A576="","",IFERROR(INDEX(Maniobras!$D$5:$D$504,MATCH(A576,Maniobras!$A$5:$A$504,0)),""))</f>
        <v/>
      </c>
      <c r="F576" s="29" t="str">
        <f>IF(A576="","",IFERROR(INDEX(Maniobras!$K$5:$K$504,MATCH(A576,Maniobras!$A$5:$A$504,0)),""))</f>
        <v/>
      </c>
      <c r="G576" s="29"/>
      <c r="H576" s="29"/>
      <c r="I576" s="29" t="str">
        <f t="shared" si="17"/>
        <v/>
      </c>
      <c r="K576" s="30"/>
      <c r="M576" t="str">
        <f>IF($A576=Ficha!$B$3,COUNTIF($A$5:$A576,Ficha!$B$3),"")</f>
        <v/>
      </c>
    </row>
    <row r="577" spans="2:13" x14ac:dyDescent="0.3">
      <c r="B577" s="30" t="str">
        <f>IF(A577="","",IFERROR(INDEX(Maniobras!$B$5:$B$504,MATCH(A577,Maniobras!$A$5:$A$504,0)),""))</f>
        <v/>
      </c>
      <c r="C577" t="str">
        <f t="shared" si="16"/>
        <v/>
      </c>
      <c r="D577" t="str">
        <f>IF(A577="","",IFERROR(INDEX(Maniobras!$D$5:$D$504,MATCH(A577,Maniobras!$A$5:$A$504,0)),""))</f>
        <v/>
      </c>
      <c r="F577" s="29" t="str">
        <f>IF(A577="","",IFERROR(INDEX(Maniobras!$K$5:$K$504,MATCH(A577,Maniobras!$A$5:$A$504,0)),""))</f>
        <v/>
      </c>
      <c r="G577" s="29"/>
      <c r="H577" s="29"/>
      <c r="I577" s="29" t="str">
        <f t="shared" si="17"/>
        <v/>
      </c>
      <c r="K577" s="30"/>
      <c r="M577" t="str">
        <f>IF($A577=Ficha!$B$3,COUNTIF($A$5:$A577,Ficha!$B$3),"")</f>
        <v/>
      </c>
    </row>
    <row r="578" spans="2:13" x14ac:dyDescent="0.3">
      <c r="B578" s="30" t="str">
        <f>IF(A578="","",IFERROR(INDEX(Maniobras!$B$5:$B$504,MATCH(A578,Maniobras!$A$5:$A$504,0)),""))</f>
        <v/>
      </c>
      <c r="C578" t="str">
        <f t="shared" si="16"/>
        <v/>
      </c>
      <c r="D578" t="str">
        <f>IF(A578="","",IFERROR(INDEX(Maniobras!$D$5:$D$504,MATCH(A578,Maniobras!$A$5:$A$504,0)),""))</f>
        <v/>
      </c>
      <c r="F578" s="29" t="str">
        <f>IF(A578="","",IFERROR(INDEX(Maniobras!$K$5:$K$504,MATCH(A578,Maniobras!$A$5:$A$504,0)),""))</f>
        <v/>
      </c>
      <c r="G578" s="29"/>
      <c r="H578" s="29"/>
      <c r="I578" s="29" t="str">
        <f t="shared" si="17"/>
        <v/>
      </c>
      <c r="K578" s="30"/>
      <c r="M578" t="str">
        <f>IF($A578=Ficha!$B$3,COUNTIF($A$5:$A578,Ficha!$B$3),"")</f>
        <v/>
      </c>
    </row>
    <row r="579" spans="2:13" x14ac:dyDescent="0.3">
      <c r="B579" s="30" t="str">
        <f>IF(A579="","",IFERROR(INDEX(Maniobras!$B$5:$B$504,MATCH(A579,Maniobras!$A$5:$A$504,0)),""))</f>
        <v/>
      </c>
      <c r="C579" t="str">
        <f t="shared" si="16"/>
        <v/>
      </c>
      <c r="D579" t="str">
        <f>IF(A579="","",IFERROR(INDEX(Maniobras!$D$5:$D$504,MATCH(A579,Maniobras!$A$5:$A$504,0)),""))</f>
        <v/>
      </c>
      <c r="F579" s="29" t="str">
        <f>IF(A579="","",IFERROR(INDEX(Maniobras!$K$5:$K$504,MATCH(A579,Maniobras!$A$5:$A$504,0)),""))</f>
        <v/>
      </c>
      <c r="G579" s="29"/>
      <c r="H579" s="29"/>
      <c r="I579" s="29" t="str">
        <f t="shared" si="17"/>
        <v/>
      </c>
      <c r="K579" s="30"/>
      <c r="M579" t="str">
        <f>IF($A579=Ficha!$B$3,COUNTIF($A$5:$A579,Ficha!$B$3),"")</f>
        <v/>
      </c>
    </row>
    <row r="580" spans="2:13" x14ac:dyDescent="0.3">
      <c r="B580" s="30" t="str">
        <f>IF(A580="","",IFERROR(INDEX(Maniobras!$B$5:$B$504,MATCH(A580,Maniobras!$A$5:$A$504,0)),""))</f>
        <v/>
      </c>
      <c r="C580" t="str">
        <f t="shared" si="16"/>
        <v/>
      </c>
      <c r="D580" t="str">
        <f>IF(A580="","",IFERROR(INDEX(Maniobras!$D$5:$D$504,MATCH(A580,Maniobras!$A$5:$A$504,0)),""))</f>
        <v/>
      </c>
      <c r="F580" s="29" t="str">
        <f>IF(A580="","",IFERROR(INDEX(Maniobras!$K$5:$K$504,MATCH(A580,Maniobras!$A$5:$A$504,0)),""))</f>
        <v/>
      </c>
      <c r="G580" s="29"/>
      <c r="H580" s="29"/>
      <c r="I580" s="29" t="str">
        <f t="shared" si="17"/>
        <v/>
      </c>
      <c r="K580" s="30"/>
      <c r="M580" t="str">
        <f>IF($A580=Ficha!$B$3,COUNTIF($A$5:$A580,Ficha!$B$3),"")</f>
        <v/>
      </c>
    </row>
    <row r="581" spans="2:13" x14ac:dyDescent="0.3">
      <c r="B581" s="30" t="str">
        <f>IF(A581="","",IFERROR(INDEX(Maniobras!$B$5:$B$504,MATCH(A581,Maniobras!$A$5:$A$504,0)),""))</f>
        <v/>
      </c>
      <c r="C581" t="str">
        <f t="shared" ref="C581:C644" si="18">IF(B581="","",TEXT(B581,"yyyy-mm"))</f>
        <v/>
      </c>
      <c r="D581" t="str">
        <f>IF(A581="","",IFERROR(INDEX(Maniobras!$D$5:$D$504,MATCH(A581,Maniobras!$A$5:$A$504,0)),""))</f>
        <v/>
      </c>
      <c r="F581" s="29" t="str">
        <f>IF(A581="","",IFERROR(INDEX(Maniobras!$K$5:$K$504,MATCH(A581,Maniobras!$A$5:$A$504,0)),""))</f>
        <v/>
      </c>
      <c r="G581" s="29"/>
      <c r="H581" s="29"/>
      <c r="I581" s="29" t="str">
        <f t="shared" ref="I581:I644" si="19">IF(G581="","",G581+N(H581))</f>
        <v/>
      </c>
      <c r="K581" s="30"/>
      <c r="M581" t="str">
        <f>IF($A581=Ficha!$B$3,COUNTIF($A$5:$A581,Ficha!$B$3),"")</f>
        <v/>
      </c>
    </row>
    <row r="582" spans="2:13" x14ac:dyDescent="0.3">
      <c r="B582" s="30" t="str">
        <f>IF(A582="","",IFERROR(INDEX(Maniobras!$B$5:$B$504,MATCH(A582,Maniobras!$A$5:$A$504,0)),""))</f>
        <v/>
      </c>
      <c r="C582" t="str">
        <f t="shared" si="18"/>
        <v/>
      </c>
      <c r="D582" t="str">
        <f>IF(A582="","",IFERROR(INDEX(Maniobras!$D$5:$D$504,MATCH(A582,Maniobras!$A$5:$A$504,0)),""))</f>
        <v/>
      </c>
      <c r="F582" s="29" t="str">
        <f>IF(A582="","",IFERROR(INDEX(Maniobras!$K$5:$K$504,MATCH(A582,Maniobras!$A$5:$A$504,0)),""))</f>
        <v/>
      </c>
      <c r="G582" s="29"/>
      <c r="H582" s="29"/>
      <c r="I582" s="29" t="str">
        <f t="shared" si="19"/>
        <v/>
      </c>
      <c r="K582" s="30"/>
      <c r="M582" t="str">
        <f>IF($A582=Ficha!$B$3,COUNTIF($A$5:$A582,Ficha!$B$3),"")</f>
        <v/>
      </c>
    </row>
    <row r="583" spans="2:13" x14ac:dyDescent="0.3">
      <c r="B583" s="30" t="str">
        <f>IF(A583="","",IFERROR(INDEX(Maniobras!$B$5:$B$504,MATCH(A583,Maniobras!$A$5:$A$504,0)),""))</f>
        <v/>
      </c>
      <c r="C583" t="str">
        <f t="shared" si="18"/>
        <v/>
      </c>
      <c r="D583" t="str">
        <f>IF(A583="","",IFERROR(INDEX(Maniobras!$D$5:$D$504,MATCH(A583,Maniobras!$A$5:$A$504,0)),""))</f>
        <v/>
      </c>
      <c r="F583" s="29" t="str">
        <f>IF(A583="","",IFERROR(INDEX(Maniobras!$K$5:$K$504,MATCH(A583,Maniobras!$A$5:$A$504,0)),""))</f>
        <v/>
      </c>
      <c r="G583" s="29"/>
      <c r="H583" s="29"/>
      <c r="I583" s="29" t="str">
        <f t="shared" si="19"/>
        <v/>
      </c>
      <c r="K583" s="30"/>
      <c r="M583" t="str">
        <f>IF($A583=Ficha!$B$3,COUNTIF($A$5:$A583,Ficha!$B$3),"")</f>
        <v/>
      </c>
    </row>
    <row r="584" spans="2:13" x14ac:dyDescent="0.3">
      <c r="B584" s="30" t="str">
        <f>IF(A584="","",IFERROR(INDEX(Maniobras!$B$5:$B$504,MATCH(A584,Maniobras!$A$5:$A$504,0)),""))</f>
        <v/>
      </c>
      <c r="C584" t="str">
        <f t="shared" si="18"/>
        <v/>
      </c>
      <c r="D584" t="str">
        <f>IF(A584="","",IFERROR(INDEX(Maniobras!$D$5:$D$504,MATCH(A584,Maniobras!$A$5:$A$504,0)),""))</f>
        <v/>
      </c>
      <c r="F584" s="29" t="str">
        <f>IF(A584="","",IFERROR(INDEX(Maniobras!$K$5:$K$504,MATCH(A584,Maniobras!$A$5:$A$504,0)),""))</f>
        <v/>
      </c>
      <c r="G584" s="29"/>
      <c r="H584" s="29"/>
      <c r="I584" s="29" t="str">
        <f t="shared" si="19"/>
        <v/>
      </c>
      <c r="K584" s="30"/>
      <c r="M584" t="str">
        <f>IF($A584=Ficha!$B$3,COUNTIF($A$5:$A584,Ficha!$B$3),"")</f>
        <v/>
      </c>
    </row>
    <row r="585" spans="2:13" x14ac:dyDescent="0.3">
      <c r="B585" s="30" t="str">
        <f>IF(A585="","",IFERROR(INDEX(Maniobras!$B$5:$B$504,MATCH(A585,Maniobras!$A$5:$A$504,0)),""))</f>
        <v/>
      </c>
      <c r="C585" t="str">
        <f t="shared" si="18"/>
        <v/>
      </c>
      <c r="D585" t="str">
        <f>IF(A585="","",IFERROR(INDEX(Maniobras!$D$5:$D$504,MATCH(A585,Maniobras!$A$5:$A$504,0)),""))</f>
        <v/>
      </c>
      <c r="F585" s="29" t="str">
        <f>IF(A585="","",IFERROR(INDEX(Maniobras!$K$5:$K$504,MATCH(A585,Maniobras!$A$5:$A$504,0)),""))</f>
        <v/>
      </c>
      <c r="G585" s="29"/>
      <c r="H585" s="29"/>
      <c r="I585" s="29" t="str">
        <f t="shared" si="19"/>
        <v/>
      </c>
      <c r="K585" s="30"/>
      <c r="M585" t="str">
        <f>IF($A585=Ficha!$B$3,COUNTIF($A$5:$A585,Ficha!$B$3),"")</f>
        <v/>
      </c>
    </row>
    <row r="586" spans="2:13" x14ac:dyDescent="0.3">
      <c r="B586" s="30" t="str">
        <f>IF(A586="","",IFERROR(INDEX(Maniobras!$B$5:$B$504,MATCH(A586,Maniobras!$A$5:$A$504,0)),""))</f>
        <v/>
      </c>
      <c r="C586" t="str">
        <f t="shared" si="18"/>
        <v/>
      </c>
      <c r="D586" t="str">
        <f>IF(A586="","",IFERROR(INDEX(Maniobras!$D$5:$D$504,MATCH(A586,Maniobras!$A$5:$A$504,0)),""))</f>
        <v/>
      </c>
      <c r="F586" s="29" t="str">
        <f>IF(A586="","",IFERROR(INDEX(Maniobras!$K$5:$K$504,MATCH(A586,Maniobras!$A$5:$A$504,0)),""))</f>
        <v/>
      </c>
      <c r="G586" s="29"/>
      <c r="H586" s="29"/>
      <c r="I586" s="29" t="str">
        <f t="shared" si="19"/>
        <v/>
      </c>
      <c r="K586" s="30"/>
      <c r="M586" t="str">
        <f>IF($A586=Ficha!$B$3,COUNTIF($A$5:$A586,Ficha!$B$3),"")</f>
        <v/>
      </c>
    </row>
    <row r="587" spans="2:13" x14ac:dyDescent="0.3">
      <c r="B587" s="30" t="str">
        <f>IF(A587="","",IFERROR(INDEX(Maniobras!$B$5:$B$504,MATCH(A587,Maniobras!$A$5:$A$504,0)),""))</f>
        <v/>
      </c>
      <c r="C587" t="str">
        <f t="shared" si="18"/>
        <v/>
      </c>
      <c r="D587" t="str">
        <f>IF(A587="","",IFERROR(INDEX(Maniobras!$D$5:$D$504,MATCH(A587,Maniobras!$A$5:$A$504,0)),""))</f>
        <v/>
      </c>
      <c r="F587" s="29" t="str">
        <f>IF(A587="","",IFERROR(INDEX(Maniobras!$K$5:$K$504,MATCH(A587,Maniobras!$A$5:$A$504,0)),""))</f>
        <v/>
      </c>
      <c r="G587" s="29"/>
      <c r="H587" s="29"/>
      <c r="I587" s="29" t="str">
        <f t="shared" si="19"/>
        <v/>
      </c>
      <c r="K587" s="30"/>
      <c r="M587" t="str">
        <f>IF($A587=Ficha!$B$3,COUNTIF($A$5:$A587,Ficha!$B$3),"")</f>
        <v/>
      </c>
    </row>
    <row r="588" spans="2:13" x14ac:dyDescent="0.3">
      <c r="B588" s="30" t="str">
        <f>IF(A588="","",IFERROR(INDEX(Maniobras!$B$5:$B$504,MATCH(A588,Maniobras!$A$5:$A$504,0)),""))</f>
        <v/>
      </c>
      <c r="C588" t="str">
        <f t="shared" si="18"/>
        <v/>
      </c>
      <c r="D588" t="str">
        <f>IF(A588="","",IFERROR(INDEX(Maniobras!$D$5:$D$504,MATCH(A588,Maniobras!$A$5:$A$504,0)),""))</f>
        <v/>
      </c>
      <c r="F588" s="29" t="str">
        <f>IF(A588="","",IFERROR(INDEX(Maniobras!$K$5:$K$504,MATCH(A588,Maniobras!$A$5:$A$504,0)),""))</f>
        <v/>
      </c>
      <c r="G588" s="29"/>
      <c r="H588" s="29"/>
      <c r="I588" s="29" t="str">
        <f t="shared" si="19"/>
        <v/>
      </c>
      <c r="K588" s="30"/>
      <c r="M588" t="str">
        <f>IF($A588=Ficha!$B$3,COUNTIF($A$5:$A588,Ficha!$B$3),"")</f>
        <v/>
      </c>
    </row>
    <row r="589" spans="2:13" x14ac:dyDescent="0.3">
      <c r="B589" s="30" t="str">
        <f>IF(A589="","",IFERROR(INDEX(Maniobras!$B$5:$B$504,MATCH(A589,Maniobras!$A$5:$A$504,0)),""))</f>
        <v/>
      </c>
      <c r="C589" t="str">
        <f t="shared" si="18"/>
        <v/>
      </c>
      <c r="D589" t="str">
        <f>IF(A589="","",IFERROR(INDEX(Maniobras!$D$5:$D$504,MATCH(A589,Maniobras!$A$5:$A$504,0)),""))</f>
        <v/>
      </c>
      <c r="F589" s="29" t="str">
        <f>IF(A589="","",IFERROR(INDEX(Maniobras!$K$5:$K$504,MATCH(A589,Maniobras!$A$5:$A$504,0)),""))</f>
        <v/>
      </c>
      <c r="G589" s="29"/>
      <c r="H589" s="29"/>
      <c r="I589" s="29" t="str">
        <f t="shared" si="19"/>
        <v/>
      </c>
      <c r="K589" s="30"/>
      <c r="M589" t="str">
        <f>IF($A589=Ficha!$B$3,COUNTIF($A$5:$A589,Ficha!$B$3),"")</f>
        <v/>
      </c>
    </row>
    <row r="590" spans="2:13" x14ac:dyDescent="0.3">
      <c r="B590" s="30" t="str">
        <f>IF(A590="","",IFERROR(INDEX(Maniobras!$B$5:$B$504,MATCH(A590,Maniobras!$A$5:$A$504,0)),""))</f>
        <v/>
      </c>
      <c r="C590" t="str">
        <f t="shared" si="18"/>
        <v/>
      </c>
      <c r="D590" t="str">
        <f>IF(A590="","",IFERROR(INDEX(Maniobras!$D$5:$D$504,MATCH(A590,Maniobras!$A$5:$A$504,0)),""))</f>
        <v/>
      </c>
      <c r="F590" s="29" t="str">
        <f>IF(A590="","",IFERROR(INDEX(Maniobras!$K$5:$K$504,MATCH(A590,Maniobras!$A$5:$A$504,0)),""))</f>
        <v/>
      </c>
      <c r="G590" s="29"/>
      <c r="H590" s="29"/>
      <c r="I590" s="29" t="str">
        <f t="shared" si="19"/>
        <v/>
      </c>
      <c r="K590" s="30"/>
      <c r="M590" t="str">
        <f>IF($A590=Ficha!$B$3,COUNTIF($A$5:$A590,Ficha!$B$3),"")</f>
        <v/>
      </c>
    </row>
    <row r="591" spans="2:13" x14ac:dyDescent="0.3">
      <c r="B591" s="30" t="str">
        <f>IF(A591="","",IFERROR(INDEX(Maniobras!$B$5:$B$504,MATCH(A591,Maniobras!$A$5:$A$504,0)),""))</f>
        <v/>
      </c>
      <c r="C591" t="str">
        <f t="shared" si="18"/>
        <v/>
      </c>
      <c r="D591" t="str">
        <f>IF(A591="","",IFERROR(INDEX(Maniobras!$D$5:$D$504,MATCH(A591,Maniobras!$A$5:$A$504,0)),""))</f>
        <v/>
      </c>
      <c r="F591" s="29" t="str">
        <f>IF(A591="","",IFERROR(INDEX(Maniobras!$K$5:$K$504,MATCH(A591,Maniobras!$A$5:$A$504,0)),""))</f>
        <v/>
      </c>
      <c r="G591" s="29"/>
      <c r="H591" s="29"/>
      <c r="I591" s="29" t="str">
        <f t="shared" si="19"/>
        <v/>
      </c>
      <c r="K591" s="30"/>
      <c r="M591" t="str">
        <f>IF($A591=Ficha!$B$3,COUNTIF($A$5:$A591,Ficha!$B$3),"")</f>
        <v/>
      </c>
    </row>
    <row r="592" spans="2:13" x14ac:dyDescent="0.3">
      <c r="B592" s="30" t="str">
        <f>IF(A592="","",IFERROR(INDEX(Maniobras!$B$5:$B$504,MATCH(A592,Maniobras!$A$5:$A$504,0)),""))</f>
        <v/>
      </c>
      <c r="C592" t="str">
        <f t="shared" si="18"/>
        <v/>
      </c>
      <c r="D592" t="str">
        <f>IF(A592="","",IFERROR(INDEX(Maniobras!$D$5:$D$504,MATCH(A592,Maniobras!$A$5:$A$504,0)),""))</f>
        <v/>
      </c>
      <c r="F592" s="29" t="str">
        <f>IF(A592="","",IFERROR(INDEX(Maniobras!$K$5:$K$504,MATCH(A592,Maniobras!$A$5:$A$504,0)),""))</f>
        <v/>
      </c>
      <c r="G592" s="29"/>
      <c r="H592" s="29"/>
      <c r="I592" s="29" t="str">
        <f t="shared" si="19"/>
        <v/>
      </c>
      <c r="K592" s="30"/>
      <c r="M592" t="str">
        <f>IF($A592=Ficha!$B$3,COUNTIF($A$5:$A592,Ficha!$B$3),"")</f>
        <v/>
      </c>
    </row>
    <row r="593" spans="2:13" x14ac:dyDescent="0.3">
      <c r="B593" s="30" t="str">
        <f>IF(A593="","",IFERROR(INDEX(Maniobras!$B$5:$B$504,MATCH(A593,Maniobras!$A$5:$A$504,0)),""))</f>
        <v/>
      </c>
      <c r="C593" t="str">
        <f t="shared" si="18"/>
        <v/>
      </c>
      <c r="D593" t="str">
        <f>IF(A593="","",IFERROR(INDEX(Maniobras!$D$5:$D$504,MATCH(A593,Maniobras!$A$5:$A$504,0)),""))</f>
        <v/>
      </c>
      <c r="F593" s="29" t="str">
        <f>IF(A593="","",IFERROR(INDEX(Maniobras!$K$5:$K$504,MATCH(A593,Maniobras!$A$5:$A$504,0)),""))</f>
        <v/>
      </c>
      <c r="G593" s="29"/>
      <c r="H593" s="29"/>
      <c r="I593" s="29" t="str">
        <f t="shared" si="19"/>
        <v/>
      </c>
      <c r="K593" s="30"/>
      <c r="M593" t="str">
        <f>IF($A593=Ficha!$B$3,COUNTIF($A$5:$A593,Ficha!$B$3),"")</f>
        <v/>
      </c>
    </row>
    <row r="594" spans="2:13" x14ac:dyDescent="0.3">
      <c r="B594" s="30" t="str">
        <f>IF(A594="","",IFERROR(INDEX(Maniobras!$B$5:$B$504,MATCH(A594,Maniobras!$A$5:$A$504,0)),""))</f>
        <v/>
      </c>
      <c r="C594" t="str">
        <f t="shared" si="18"/>
        <v/>
      </c>
      <c r="D594" t="str">
        <f>IF(A594="","",IFERROR(INDEX(Maniobras!$D$5:$D$504,MATCH(A594,Maniobras!$A$5:$A$504,0)),""))</f>
        <v/>
      </c>
      <c r="F594" s="29" t="str">
        <f>IF(A594="","",IFERROR(INDEX(Maniobras!$K$5:$K$504,MATCH(A594,Maniobras!$A$5:$A$504,0)),""))</f>
        <v/>
      </c>
      <c r="G594" s="29"/>
      <c r="H594" s="29"/>
      <c r="I594" s="29" t="str">
        <f t="shared" si="19"/>
        <v/>
      </c>
      <c r="K594" s="30"/>
      <c r="M594" t="str">
        <f>IF($A594=Ficha!$B$3,COUNTIF($A$5:$A594,Ficha!$B$3),"")</f>
        <v/>
      </c>
    </row>
    <row r="595" spans="2:13" x14ac:dyDescent="0.3">
      <c r="B595" s="30" t="str">
        <f>IF(A595="","",IFERROR(INDEX(Maniobras!$B$5:$B$504,MATCH(A595,Maniobras!$A$5:$A$504,0)),""))</f>
        <v/>
      </c>
      <c r="C595" t="str">
        <f t="shared" si="18"/>
        <v/>
      </c>
      <c r="D595" t="str">
        <f>IF(A595="","",IFERROR(INDEX(Maniobras!$D$5:$D$504,MATCH(A595,Maniobras!$A$5:$A$504,0)),""))</f>
        <v/>
      </c>
      <c r="F595" s="29" t="str">
        <f>IF(A595="","",IFERROR(INDEX(Maniobras!$K$5:$K$504,MATCH(A595,Maniobras!$A$5:$A$504,0)),""))</f>
        <v/>
      </c>
      <c r="G595" s="29"/>
      <c r="H595" s="29"/>
      <c r="I595" s="29" t="str">
        <f t="shared" si="19"/>
        <v/>
      </c>
      <c r="K595" s="30"/>
      <c r="M595" t="str">
        <f>IF($A595=Ficha!$B$3,COUNTIF($A$5:$A595,Ficha!$B$3),"")</f>
        <v/>
      </c>
    </row>
    <row r="596" spans="2:13" x14ac:dyDescent="0.3">
      <c r="B596" s="30" t="str">
        <f>IF(A596="","",IFERROR(INDEX(Maniobras!$B$5:$B$504,MATCH(A596,Maniobras!$A$5:$A$504,0)),""))</f>
        <v/>
      </c>
      <c r="C596" t="str">
        <f t="shared" si="18"/>
        <v/>
      </c>
      <c r="D596" t="str">
        <f>IF(A596="","",IFERROR(INDEX(Maniobras!$D$5:$D$504,MATCH(A596,Maniobras!$A$5:$A$504,0)),""))</f>
        <v/>
      </c>
      <c r="F596" s="29" t="str">
        <f>IF(A596="","",IFERROR(INDEX(Maniobras!$K$5:$K$504,MATCH(A596,Maniobras!$A$5:$A$504,0)),""))</f>
        <v/>
      </c>
      <c r="G596" s="29"/>
      <c r="H596" s="29"/>
      <c r="I596" s="29" t="str">
        <f t="shared" si="19"/>
        <v/>
      </c>
      <c r="K596" s="30"/>
      <c r="M596" t="str">
        <f>IF($A596=Ficha!$B$3,COUNTIF($A$5:$A596,Ficha!$B$3),"")</f>
        <v/>
      </c>
    </row>
    <row r="597" spans="2:13" x14ac:dyDescent="0.3">
      <c r="B597" s="30" t="str">
        <f>IF(A597="","",IFERROR(INDEX(Maniobras!$B$5:$B$504,MATCH(A597,Maniobras!$A$5:$A$504,0)),""))</f>
        <v/>
      </c>
      <c r="C597" t="str">
        <f t="shared" si="18"/>
        <v/>
      </c>
      <c r="D597" t="str">
        <f>IF(A597="","",IFERROR(INDEX(Maniobras!$D$5:$D$504,MATCH(A597,Maniobras!$A$5:$A$504,0)),""))</f>
        <v/>
      </c>
      <c r="F597" s="29" t="str">
        <f>IF(A597="","",IFERROR(INDEX(Maniobras!$K$5:$K$504,MATCH(A597,Maniobras!$A$5:$A$504,0)),""))</f>
        <v/>
      </c>
      <c r="G597" s="29"/>
      <c r="H597" s="29"/>
      <c r="I597" s="29" t="str">
        <f t="shared" si="19"/>
        <v/>
      </c>
      <c r="K597" s="30"/>
      <c r="M597" t="str">
        <f>IF($A597=Ficha!$B$3,COUNTIF($A$5:$A597,Ficha!$B$3),"")</f>
        <v/>
      </c>
    </row>
    <row r="598" spans="2:13" x14ac:dyDescent="0.3">
      <c r="B598" s="30" t="str">
        <f>IF(A598="","",IFERROR(INDEX(Maniobras!$B$5:$B$504,MATCH(A598,Maniobras!$A$5:$A$504,0)),""))</f>
        <v/>
      </c>
      <c r="C598" t="str">
        <f t="shared" si="18"/>
        <v/>
      </c>
      <c r="D598" t="str">
        <f>IF(A598="","",IFERROR(INDEX(Maniobras!$D$5:$D$504,MATCH(A598,Maniobras!$A$5:$A$504,0)),""))</f>
        <v/>
      </c>
      <c r="F598" s="29" t="str">
        <f>IF(A598="","",IFERROR(INDEX(Maniobras!$K$5:$K$504,MATCH(A598,Maniobras!$A$5:$A$504,0)),""))</f>
        <v/>
      </c>
      <c r="G598" s="29"/>
      <c r="H598" s="29"/>
      <c r="I598" s="29" t="str">
        <f t="shared" si="19"/>
        <v/>
      </c>
      <c r="K598" s="30"/>
      <c r="M598" t="str">
        <f>IF($A598=Ficha!$B$3,COUNTIF($A$5:$A598,Ficha!$B$3),"")</f>
        <v/>
      </c>
    </row>
    <row r="599" spans="2:13" x14ac:dyDescent="0.3">
      <c r="B599" s="30" t="str">
        <f>IF(A599="","",IFERROR(INDEX(Maniobras!$B$5:$B$504,MATCH(A599,Maniobras!$A$5:$A$504,0)),""))</f>
        <v/>
      </c>
      <c r="C599" t="str">
        <f t="shared" si="18"/>
        <v/>
      </c>
      <c r="D599" t="str">
        <f>IF(A599="","",IFERROR(INDEX(Maniobras!$D$5:$D$504,MATCH(A599,Maniobras!$A$5:$A$504,0)),""))</f>
        <v/>
      </c>
      <c r="F599" s="29" t="str">
        <f>IF(A599="","",IFERROR(INDEX(Maniobras!$K$5:$K$504,MATCH(A599,Maniobras!$A$5:$A$504,0)),""))</f>
        <v/>
      </c>
      <c r="G599" s="29"/>
      <c r="H599" s="29"/>
      <c r="I599" s="29" t="str">
        <f t="shared" si="19"/>
        <v/>
      </c>
      <c r="K599" s="30"/>
      <c r="M599" t="str">
        <f>IF($A599=Ficha!$B$3,COUNTIF($A$5:$A599,Ficha!$B$3),"")</f>
        <v/>
      </c>
    </row>
    <row r="600" spans="2:13" x14ac:dyDescent="0.3">
      <c r="B600" s="30" t="str">
        <f>IF(A600="","",IFERROR(INDEX(Maniobras!$B$5:$B$504,MATCH(A600,Maniobras!$A$5:$A$504,0)),""))</f>
        <v/>
      </c>
      <c r="C600" t="str">
        <f t="shared" si="18"/>
        <v/>
      </c>
      <c r="D600" t="str">
        <f>IF(A600="","",IFERROR(INDEX(Maniobras!$D$5:$D$504,MATCH(A600,Maniobras!$A$5:$A$504,0)),""))</f>
        <v/>
      </c>
      <c r="F600" s="29" t="str">
        <f>IF(A600="","",IFERROR(INDEX(Maniobras!$K$5:$K$504,MATCH(A600,Maniobras!$A$5:$A$504,0)),""))</f>
        <v/>
      </c>
      <c r="G600" s="29"/>
      <c r="H600" s="29"/>
      <c r="I600" s="29" t="str">
        <f t="shared" si="19"/>
        <v/>
      </c>
      <c r="K600" s="30"/>
      <c r="M600" t="str">
        <f>IF($A600=Ficha!$B$3,COUNTIF($A$5:$A600,Ficha!$B$3),"")</f>
        <v/>
      </c>
    </row>
    <row r="601" spans="2:13" x14ac:dyDescent="0.3">
      <c r="B601" s="30" t="str">
        <f>IF(A601="","",IFERROR(INDEX(Maniobras!$B$5:$B$504,MATCH(A601,Maniobras!$A$5:$A$504,0)),""))</f>
        <v/>
      </c>
      <c r="C601" t="str">
        <f t="shared" si="18"/>
        <v/>
      </c>
      <c r="D601" t="str">
        <f>IF(A601="","",IFERROR(INDEX(Maniobras!$D$5:$D$504,MATCH(A601,Maniobras!$A$5:$A$504,0)),""))</f>
        <v/>
      </c>
      <c r="F601" s="29" t="str">
        <f>IF(A601="","",IFERROR(INDEX(Maniobras!$K$5:$K$504,MATCH(A601,Maniobras!$A$5:$A$504,0)),""))</f>
        <v/>
      </c>
      <c r="G601" s="29"/>
      <c r="H601" s="29"/>
      <c r="I601" s="29" t="str">
        <f t="shared" si="19"/>
        <v/>
      </c>
      <c r="K601" s="30"/>
      <c r="M601" t="str">
        <f>IF($A601=Ficha!$B$3,COUNTIF($A$5:$A601,Ficha!$B$3),"")</f>
        <v/>
      </c>
    </row>
    <row r="602" spans="2:13" x14ac:dyDescent="0.3">
      <c r="B602" s="30" t="str">
        <f>IF(A602="","",IFERROR(INDEX(Maniobras!$B$5:$B$504,MATCH(A602,Maniobras!$A$5:$A$504,0)),""))</f>
        <v/>
      </c>
      <c r="C602" t="str">
        <f t="shared" si="18"/>
        <v/>
      </c>
      <c r="D602" t="str">
        <f>IF(A602="","",IFERROR(INDEX(Maniobras!$D$5:$D$504,MATCH(A602,Maniobras!$A$5:$A$504,0)),""))</f>
        <v/>
      </c>
      <c r="F602" s="29" t="str">
        <f>IF(A602="","",IFERROR(INDEX(Maniobras!$K$5:$K$504,MATCH(A602,Maniobras!$A$5:$A$504,0)),""))</f>
        <v/>
      </c>
      <c r="G602" s="29"/>
      <c r="H602" s="29"/>
      <c r="I602" s="29" t="str">
        <f t="shared" si="19"/>
        <v/>
      </c>
      <c r="K602" s="30"/>
      <c r="M602" t="str">
        <f>IF($A602=Ficha!$B$3,COUNTIF($A$5:$A602,Ficha!$B$3),"")</f>
        <v/>
      </c>
    </row>
    <row r="603" spans="2:13" x14ac:dyDescent="0.3">
      <c r="B603" s="30" t="str">
        <f>IF(A603="","",IFERROR(INDEX(Maniobras!$B$5:$B$504,MATCH(A603,Maniobras!$A$5:$A$504,0)),""))</f>
        <v/>
      </c>
      <c r="C603" t="str">
        <f t="shared" si="18"/>
        <v/>
      </c>
      <c r="D603" t="str">
        <f>IF(A603="","",IFERROR(INDEX(Maniobras!$D$5:$D$504,MATCH(A603,Maniobras!$A$5:$A$504,0)),""))</f>
        <v/>
      </c>
      <c r="F603" s="29" t="str">
        <f>IF(A603="","",IFERROR(INDEX(Maniobras!$K$5:$K$504,MATCH(A603,Maniobras!$A$5:$A$504,0)),""))</f>
        <v/>
      </c>
      <c r="G603" s="29"/>
      <c r="H603" s="29"/>
      <c r="I603" s="29" t="str">
        <f t="shared" si="19"/>
        <v/>
      </c>
      <c r="K603" s="30"/>
      <c r="M603" t="str">
        <f>IF($A603=Ficha!$B$3,COUNTIF($A$5:$A603,Ficha!$B$3),"")</f>
        <v/>
      </c>
    </row>
    <row r="604" spans="2:13" x14ac:dyDescent="0.3">
      <c r="B604" s="30" t="str">
        <f>IF(A604="","",IFERROR(INDEX(Maniobras!$B$5:$B$504,MATCH(A604,Maniobras!$A$5:$A$504,0)),""))</f>
        <v/>
      </c>
      <c r="C604" t="str">
        <f t="shared" si="18"/>
        <v/>
      </c>
      <c r="D604" t="str">
        <f>IF(A604="","",IFERROR(INDEX(Maniobras!$D$5:$D$504,MATCH(A604,Maniobras!$A$5:$A$504,0)),""))</f>
        <v/>
      </c>
      <c r="F604" s="29" t="str">
        <f>IF(A604="","",IFERROR(INDEX(Maniobras!$K$5:$K$504,MATCH(A604,Maniobras!$A$5:$A$504,0)),""))</f>
        <v/>
      </c>
      <c r="G604" s="29"/>
      <c r="H604" s="29"/>
      <c r="I604" s="29" t="str">
        <f t="shared" si="19"/>
        <v/>
      </c>
      <c r="K604" s="30"/>
      <c r="M604" t="str">
        <f>IF($A604=Ficha!$B$3,COUNTIF($A$5:$A604,Ficha!$B$3),"")</f>
        <v/>
      </c>
    </row>
    <row r="605" spans="2:13" x14ac:dyDescent="0.3">
      <c r="B605" s="30" t="str">
        <f>IF(A605="","",IFERROR(INDEX(Maniobras!$B$5:$B$504,MATCH(A605,Maniobras!$A$5:$A$504,0)),""))</f>
        <v/>
      </c>
      <c r="C605" t="str">
        <f t="shared" si="18"/>
        <v/>
      </c>
      <c r="D605" t="str">
        <f>IF(A605="","",IFERROR(INDEX(Maniobras!$D$5:$D$504,MATCH(A605,Maniobras!$A$5:$A$504,0)),""))</f>
        <v/>
      </c>
      <c r="F605" s="29" t="str">
        <f>IF(A605="","",IFERROR(INDEX(Maniobras!$K$5:$K$504,MATCH(A605,Maniobras!$A$5:$A$504,0)),""))</f>
        <v/>
      </c>
      <c r="G605" s="29"/>
      <c r="H605" s="29"/>
      <c r="I605" s="29" t="str">
        <f t="shared" si="19"/>
        <v/>
      </c>
      <c r="K605" s="30"/>
      <c r="M605" t="str">
        <f>IF($A605=Ficha!$B$3,COUNTIF($A$5:$A605,Ficha!$B$3),"")</f>
        <v/>
      </c>
    </row>
    <row r="606" spans="2:13" x14ac:dyDescent="0.3">
      <c r="B606" s="30" t="str">
        <f>IF(A606="","",IFERROR(INDEX(Maniobras!$B$5:$B$504,MATCH(A606,Maniobras!$A$5:$A$504,0)),""))</f>
        <v/>
      </c>
      <c r="C606" t="str">
        <f t="shared" si="18"/>
        <v/>
      </c>
      <c r="D606" t="str">
        <f>IF(A606="","",IFERROR(INDEX(Maniobras!$D$5:$D$504,MATCH(A606,Maniobras!$A$5:$A$504,0)),""))</f>
        <v/>
      </c>
      <c r="F606" s="29" t="str">
        <f>IF(A606="","",IFERROR(INDEX(Maniobras!$K$5:$K$504,MATCH(A606,Maniobras!$A$5:$A$504,0)),""))</f>
        <v/>
      </c>
      <c r="G606" s="29"/>
      <c r="H606" s="29"/>
      <c r="I606" s="29" t="str">
        <f t="shared" si="19"/>
        <v/>
      </c>
      <c r="K606" s="30"/>
      <c r="M606" t="str">
        <f>IF($A606=Ficha!$B$3,COUNTIF($A$5:$A606,Ficha!$B$3),"")</f>
        <v/>
      </c>
    </row>
    <row r="607" spans="2:13" x14ac:dyDescent="0.3">
      <c r="B607" s="30" t="str">
        <f>IF(A607="","",IFERROR(INDEX(Maniobras!$B$5:$B$504,MATCH(A607,Maniobras!$A$5:$A$504,0)),""))</f>
        <v/>
      </c>
      <c r="C607" t="str">
        <f t="shared" si="18"/>
        <v/>
      </c>
      <c r="D607" t="str">
        <f>IF(A607="","",IFERROR(INDEX(Maniobras!$D$5:$D$504,MATCH(A607,Maniobras!$A$5:$A$504,0)),""))</f>
        <v/>
      </c>
      <c r="F607" s="29" t="str">
        <f>IF(A607="","",IFERROR(INDEX(Maniobras!$K$5:$K$504,MATCH(A607,Maniobras!$A$5:$A$504,0)),""))</f>
        <v/>
      </c>
      <c r="G607" s="29"/>
      <c r="H607" s="29"/>
      <c r="I607" s="29" t="str">
        <f t="shared" si="19"/>
        <v/>
      </c>
      <c r="K607" s="30"/>
      <c r="M607" t="str">
        <f>IF($A607=Ficha!$B$3,COUNTIF($A$5:$A607,Ficha!$B$3),"")</f>
        <v/>
      </c>
    </row>
    <row r="608" spans="2:13" x14ac:dyDescent="0.3">
      <c r="B608" s="30" t="str">
        <f>IF(A608="","",IFERROR(INDEX(Maniobras!$B$5:$B$504,MATCH(A608,Maniobras!$A$5:$A$504,0)),""))</f>
        <v/>
      </c>
      <c r="C608" t="str">
        <f t="shared" si="18"/>
        <v/>
      </c>
      <c r="D608" t="str">
        <f>IF(A608="","",IFERROR(INDEX(Maniobras!$D$5:$D$504,MATCH(A608,Maniobras!$A$5:$A$504,0)),""))</f>
        <v/>
      </c>
      <c r="F608" s="29" t="str">
        <f>IF(A608="","",IFERROR(INDEX(Maniobras!$K$5:$K$504,MATCH(A608,Maniobras!$A$5:$A$504,0)),""))</f>
        <v/>
      </c>
      <c r="G608" s="29"/>
      <c r="H608" s="29"/>
      <c r="I608" s="29" t="str">
        <f t="shared" si="19"/>
        <v/>
      </c>
      <c r="K608" s="30"/>
      <c r="M608" t="str">
        <f>IF($A608=Ficha!$B$3,COUNTIF($A$5:$A608,Ficha!$B$3),"")</f>
        <v/>
      </c>
    </row>
    <row r="609" spans="2:13" x14ac:dyDescent="0.3">
      <c r="B609" s="30" t="str">
        <f>IF(A609="","",IFERROR(INDEX(Maniobras!$B$5:$B$504,MATCH(A609,Maniobras!$A$5:$A$504,0)),""))</f>
        <v/>
      </c>
      <c r="C609" t="str">
        <f t="shared" si="18"/>
        <v/>
      </c>
      <c r="D609" t="str">
        <f>IF(A609="","",IFERROR(INDEX(Maniobras!$D$5:$D$504,MATCH(A609,Maniobras!$A$5:$A$504,0)),""))</f>
        <v/>
      </c>
      <c r="F609" s="29" t="str">
        <f>IF(A609="","",IFERROR(INDEX(Maniobras!$K$5:$K$504,MATCH(A609,Maniobras!$A$5:$A$504,0)),""))</f>
        <v/>
      </c>
      <c r="G609" s="29"/>
      <c r="H609" s="29"/>
      <c r="I609" s="29" t="str">
        <f t="shared" si="19"/>
        <v/>
      </c>
      <c r="K609" s="30"/>
      <c r="M609" t="str">
        <f>IF($A609=Ficha!$B$3,COUNTIF($A$5:$A609,Ficha!$B$3),"")</f>
        <v/>
      </c>
    </row>
    <row r="610" spans="2:13" x14ac:dyDescent="0.3">
      <c r="B610" s="30" t="str">
        <f>IF(A610="","",IFERROR(INDEX(Maniobras!$B$5:$B$504,MATCH(A610,Maniobras!$A$5:$A$504,0)),""))</f>
        <v/>
      </c>
      <c r="C610" t="str">
        <f t="shared" si="18"/>
        <v/>
      </c>
      <c r="D610" t="str">
        <f>IF(A610="","",IFERROR(INDEX(Maniobras!$D$5:$D$504,MATCH(A610,Maniobras!$A$5:$A$504,0)),""))</f>
        <v/>
      </c>
      <c r="F610" s="29" t="str">
        <f>IF(A610="","",IFERROR(INDEX(Maniobras!$K$5:$K$504,MATCH(A610,Maniobras!$A$5:$A$504,0)),""))</f>
        <v/>
      </c>
      <c r="G610" s="29"/>
      <c r="H610" s="29"/>
      <c r="I610" s="29" t="str">
        <f t="shared" si="19"/>
        <v/>
      </c>
      <c r="K610" s="30"/>
      <c r="M610" t="str">
        <f>IF($A610=Ficha!$B$3,COUNTIF($A$5:$A610,Ficha!$B$3),"")</f>
        <v/>
      </c>
    </row>
    <row r="611" spans="2:13" x14ac:dyDescent="0.3">
      <c r="B611" s="30" t="str">
        <f>IF(A611="","",IFERROR(INDEX(Maniobras!$B$5:$B$504,MATCH(A611,Maniobras!$A$5:$A$504,0)),""))</f>
        <v/>
      </c>
      <c r="C611" t="str">
        <f t="shared" si="18"/>
        <v/>
      </c>
      <c r="D611" t="str">
        <f>IF(A611="","",IFERROR(INDEX(Maniobras!$D$5:$D$504,MATCH(A611,Maniobras!$A$5:$A$504,0)),""))</f>
        <v/>
      </c>
      <c r="F611" s="29" t="str">
        <f>IF(A611="","",IFERROR(INDEX(Maniobras!$K$5:$K$504,MATCH(A611,Maniobras!$A$5:$A$504,0)),""))</f>
        <v/>
      </c>
      <c r="G611" s="29"/>
      <c r="H611" s="29"/>
      <c r="I611" s="29" t="str">
        <f t="shared" si="19"/>
        <v/>
      </c>
      <c r="K611" s="30"/>
      <c r="M611" t="str">
        <f>IF($A611=Ficha!$B$3,COUNTIF($A$5:$A611,Ficha!$B$3),"")</f>
        <v/>
      </c>
    </row>
    <row r="612" spans="2:13" x14ac:dyDescent="0.3">
      <c r="B612" s="30" t="str">
        <f>IF(A612="","",IFERROR(INDEX(Maniobras!$B$5:$B$504,MATCH(A612,Maniobras!$A$5:$A$504,0)),""))</f>
        <v/>
      </c>
      <c r="C612" t="str">
        <f t="shared" si="18"/>
        <v/>
      </c>
      <c r="D612" t="str">
        <f>IF(A612="","",IFERROR(INDEX(Maniobras!$D$5:$D$504,MATCH(A612,Maniobras!$A$5:$A$504,0)),""))</f>
        <v/>
      </c>
      <c r="F612" s="29" t="str">
        <f>IF(A612="","",IFERROR(INDEX(Maniobras!$K$5:$K$504,MATCH(A612,Maniobras!$A$5:$A$504,0)),""))</f>
        <v/>
      </c>
      <c r="G612" s="29"/>
      <c r="H612" s="29"/>
      <c r="I612" s="29" t="str">
        <f t="shared" si="19"/>
        <v/>
      </c>
      <c r="K612" s="30"/>
      <c r="M612" t="str">
        <f>IF($A612=Ficha!$B$3,COUNTIF($A$5:$A612,Ficha!$B$3),"")</f>
        <v/>
      </c>
    </row>
    <row r="613" spans="2:13" x14ac:dyDescent="0.3">
      <c r="B613" s="30" t="str">
        <f>IF(A613="","",IFERROR(INDEX(Maniobras!$B$5:$B$504,MATCH(A613,Maniobras!$A$5:$A$504,0)),""))</f>
        <v/>
      </c>
      <c r="C613" t="str">
        <f t="shared" si="18"/>
        <v/>
      </c>
      <c r="D613" t="str">
        <f>IF(A613="","",IFERROR(INDEX(Maniobras!$D$5:$D$504,MATCH(A613,Maniobras!$A$5:$A$504,0)),""))</f>
        <v/>
      </c>
      <c r="F613" s="29" t="str">
        <f>IF(A613="","",IFERROR(INDEX(Maniobras!$K$5:$K$504,MATCH(A613,Maniobras!$A$5:$A$504,0)),""))</f>
        <v/>
      </c>
      <c r="G613" s="29"/>
      <c r="H613" s="29"/>
      <c r="I613" s="29" t="str">
        <f t="shared" si="19"/>
        <v/>
      </c>
      <c r="K613" s="30"/>
      <c r="M613" t="str">
        <f>IF($A613=Ficha!$B$3,COUNTIF($A$5:$A613,Ficha!$B$3),"")</f>
        <v/>
      </c>
    </row>
    <row r="614" spans="2:13" x14ac:dyDescent="0.3">
      <c r="B614" s="30" t="str">
        <f>IF(A614="","",IFERROR(INDEX(Maniobras!$B$5:$B$504,MATCH(A614,Maniobras!$A$5:$A$504,0)),""))</f>
        <v/>
      </c>
      <c r="C614" t="str">
        <f t="shared" si="18"/>
        <v/>
      </c>
      <c r="D614" t="str">
        <f>IF(A614="","",IFERROR(INDEX(Maniobras!$D$5:$D$504,MATCH(A614,Maniobras!$A$5:$A$504,0)),""))</f>
        <v/>
      </c>
      <c r="F614" s="29" t="str">
        <f>IF(A614="","",IFERROR(INDEX(Maniobras!$K$5:$K$504,MATCH(A614,Maniobras!$A$5:$A$504,0)),""))</f>
        <v/>
      </c>
      <c r="G614" s="29"/>
      <c r="H614" s="29"/>
      <c r="I614" s="29" t="str">
        <f t="shared" si="19"/>
        <v/>
      </c>
      <c r="K614" s="30"/>
      <c r="M614" t="str">
        <f>IF($A614=Ficha!$B$3,COUNTIF($A$5:$A614,Ficha!$B$3),"")</f>
        <v/>
      </c>
    </row>
    <row r="615" spans="2:13" x14ac:dyDescent="0.3">
      <c r="B615" s="30" t="str">
        <f>IF(A615="","",IFERROR(INDEX(Maniobras!$B$5:$B$504,MATCH(A615,Maniobras!$A$5:$A$504,0)),""))</f>
        <v/>
      </c>
      <c r="C615" t="str">
        <f t="shared" si="18"/>
        <v/>
      </c>
      <c r="D615" t="str">
        <f>IF(A615="","",IFERROR(INDEX(Maniobras!$D$5:$D$504,MATCH(A615,Maniobras!$A$5:$A$504,0)),""))</f>
        <v/>
      </c>
      <c r="F615" s="29" t="str">
        <f>IF(A615="","",IFERROR(INDEX(Maniobras!$K$5:$K$504,MATCH(A615,Maniobras!$A$5:$A$504,0)),""))</f>
        <v/>
      </c>
      <c r="G615" s="29"/>
      <c r="H615" s="29"/>
      <c r="I615" s="29" t="str">
        <f t="shared" si="19"/>
        <v/>
      </c>
      <c r="K615" s="30"/>
      <c r="M615" t="str">
        <f>IF($A615=Ficha!$B$3,COUNTIF($A$5:$A615,Ficha!$B$3),"")</f>
        <v/>
      </c>
    </row>
    <row r="616" spans="2:13" x14ac:dyDescent="0.3">
      <c r="B616" s="30" t="str">
        <f>IF(A616="","",IFERROR(INDEX(Maniobras!$B$5:$B$504,MATCH(A616,Maniobras!$A$5:$A$504,0)),""))</f>
        <v/>
      </c>
      <c r="C616" t="str">
        <f t="shared" si="18"/>
        <v/>
      </c>
      <c r="D616" t="str">
        <f>IF(A616="","",IFERROR(INDEX(Maniobras!$D$5:$D$504,MATCH(A616,Maniobras!$A$5:$A$504,0)),""))</f>
        <v/>
      </c>
      <c r="F616" s="29" t="str">
        <f>IF(A616="","",IFERROR(INDEX(Maniobras!$K$5:$K$504,MATCH(A616,Maniobras!$A$5:$A$504,0)),""))</f>
        <v/>
      </c>
      <c r="G616" s="29"/>
      <c r="H616" s="29"/>
      <c r="I616" s="29" t="str">
        <f t="shared" si="19"/>
        <v/>
      </c>
      <c r="K616" s="30"/>
      <c r="M616" t="str">
        <f>IF($A616=Ficha!$B$3,COUNTIF($A$5:$A616,Ficha!$B$3),"")</f>
        <v/>
      </c>
    </row>
    <row r="617" spans="2:13" x14ac:dyDescent="0.3">
      <c r="B617" s="30" t="str">
        <f>IF(A617="","",IFERROR(INDEX(Maniobras!$B$5:$B$504,MATCH(A617,Maniobras!$A$5:$A$504,0)),""))</f>
        <v/>
      </c>
      <c r="C617" t="str">
        <f t="shared" si="18"/>
        <v/>
      </c>
      <c r="D617" t="str">
        <f>IF(A617="","",IFERROR(INDEX(Maniobras!$D$5:$D$504,MATCH(A617,Maniobras!$A$5:$A$504,0)),""))</f>
        <v/>
      </c>
      <c r="F617" s="29" t="str">
        <f>IF(A617="","",IFERROR(INDEX(Maniobras!$K$5:$K$504,MATCH(A617,Maniobras!$A$5:$A$504,0)),""))</f>
        <v/>
      </c>
      <c r="G617" s="29"/>
      <c r="H617" s="29"/>
      <c r="I617" s="29" t="str">
        <f t="shared" si="19"/>
        <v/>
      </c>
      <c r="K617" s="30"/>
      <c r="M617" t="str">
        <f>IF($A617=Ficha!$B$3,COUNTIF($A$5:$A617,Ficha!$B$3),"")</f>
        <v/>
      </c>
    </row>
    <row r="618" spans="2:13" x14ac:dyDescent="0.3">
      <c r="B618" s="30" t="str">
        <f>IF(A618="","",IFERROR(INDEX(Maniobras!$B$5:$B$504,MATCH(A618,Maniobras!$A$5:$A$504,0)),""))</f>
        <v/>
      </c>
      <c r="C618" t="str">
        <f t="shared" si="18"/>
        <v/>
      </c>
      <c r="D618" t="str">
        <f>IF(A618="","",IFERROR(INDEX(Maniobras!$D$5:$D$504,MATCH(A618,Maniobras!$A$5:$A$504,0)),""))</f>
        <v/>
      </c>
      <c r="F618" s="29" t="str">
        <f>IF(A618="","",IFERROR(INDEX(Maniobras!$K$5:$K$504,MATCH(A618,Maniobras!$A$5:$A$504,0)),""))</f>
        <v/>
      </c>
      <c r="G618" s="29"/>
      <c r="H618" s="29"/>
      <c r="I618" s="29" t="str">
        <f t="shared" si="19"/>
        <v/>
      </c>
      <c r="K618" s="30"/>
      <c r="M618" t="str">
        <f>IF($A618=Ficha!$B$3,COUNTIF($A$5:$A618,Ficha!$B$3),"")</f>
        <v/>
      </c>
    </row>
    <row r="619" spans="2:13" x14ac:dyDescent="0.3">
      <c r="B619" s="30" t="str">
        <f>IF(A619="","",IFERROR(INDEX(Maniobras!$B$5:$B$504,MATCH(A619,Maniobras!$A$5:$A$504,0)),""))</f>
        <v/>
      </c>
      <c r="C619" t="str">
        <f t="shared" si="18"/>
        <v/>
      </c>
      <c r="D619" t="str">
        <f>IF(A619="","",IFERROR(INDEX(Maniobras!$D$5:$D$504,MATCH(A619,Maniobras!$A$5:$A$504,0)),""))</f>
        <v/>
      </c>
      <c r="F619" s="29" t="str">
        <f>IF(A619="","",IFERROR(INDEX(Maniobras!$K$5:$K$504,MATCH(A619,Maniobras!$A$5:$A$504,0)),""))</f>
        <v/>
      </c>
      <c r="G619" s="29"/>
      <c r="H619" s="29"/>
      <c r="I619" s="29" t="str">
        <f t="shared" si="19"/>
        <v/>
      </c>
      <c r="K619" s="30"/>
      <c r="M619" t="str">
        <f>IF($A619=Ficha!$B$3,COUNTIF($A$5:$A619,Ficha!$B$3),"")</f>
        <v/>
      </c>
    </row>
    <row r="620" spans="2:13" x14ac:dyDescent="0.3">
      <c r="B620" s="30" t="str">
        <f>IF(A620="","",IFERROR(INDEX(Maniobras!$B$5:$B$504,MATCH(A620,Maniobras!$A$5:$A$504,0)),""))</f>
        <v/>
      </c>
      <c r="C620" t="str">
        <f t="shared" si="18"/>
        <v/>
      </c>
      <c r="D620" t="str">
        <f>IF(A620="","",IFERROR(INDEX(Maniobras!$D$5:$D$504,MATCH(A620,Maniobras!$A$5:$A$504,0)),""))</f>
        <v/>
      </c>
      <c r="F620" s="29" t="str">
        <f>IF(A620="","",IFERROR(INDEX(Maniobras!$K$5:$K$504,MATCH(A620,Maniobras!$A$5:$A$504,0)),""))</f>
        <v/>
      </c>
      <c r="G620" s="29"/>
      <c r="H620" s="29"/>
      <c r="I620" s="29" t="str">
        <f t="shared" si="19"/>
        <v/>
      </c>
      <c r="K620" s="30"/>
      <c r="M620" t="str">
        <f>IF($A620=Ficha!$B$3,COUNTIF($A$5:$A620,Ficha!$B$3),"")</f>
        <v/>
      </c>
    </row>
    <row r="621" spans="2:13" x14ac:dyDescent="0.3">
      <c r="B621" s="30" t="str">
        <f>IF(A621="","",IFERROR(INDEX(Maniobras!$B$5:$B$504,MATCH(A621,Maniobras!$A$5:$A$504,0)),""))</f>
        <v/>
      </c>
      <c r="C621" t="str">
        <f t="shared" si="18"/>
        <v/>
      </c>
      <c r="D621" t="str">
        <f>IF(A621="","",IFERROR(INDEX(Maniobras!$D$5:$D$504,MATCH(A621,Maniobras!$A$5:$A$504,0)),""))</f>
        <v/>
      </c>
      <c r="F621" s="29" t="str">
        <f>IF(A621="","",IFERROR(INDEX(Maniobras!$K$5:$K$504,MATCH(A621,Maniobras!$A$5:$A$504,0)),""))</f>
        <v/>
      </c>
      <c r="G621" s="29"/>
      <c r="H621" s="29"/>
      <c r="I621" s="29" t="str">
        <f t="shared" si="19"/>
        <v/>
      </c>
      <c r="K621" s="30"/>
      <c r="M621" t="str">
        <f>IF($A621=Ficha!$B$3,COUNTIF($A$5:$A621,Ficha!$B$3),"")</f>
        <v/>
      </c>
    </row>
    <row r="622" spans="2:13" x14ac:dyDescent="0.3">
      <c r="B622" s="30" t="str">
        <f>IF(A622="","",IFERROR(INDEX(Maniobras!$B$5:$B$504,MATCH(A622,Maniobras!$A$5:$A$504,0)),""))</f>
        <v/>
      </c>
      <c r="C622" t="str">
        <f t="shared" si="18"/>
        <v/>
      </c>
      <c r="D622" t="str">
        <f>IF(A622="","",IFERROR(INDEX(Maniobras!$D$5:$D$504,MATCH(A622,Maniobras!$A$5:$A$504,0)),""))</f>
        <v/>
      </c>
      <c r="F622" s="29" t="str">
        <f>IF(A622="","",IFERROR(INDEX(Maniobras!$K$5:$K$504,MATCH(A622,Maniobras!$A$5:$A$504,0)),""))</f>
        <v/>
      </c>
      <c r="G622" s="29"/>
      <c r="H622" s="29"/>
      <c r="I622" s="29" t="str">
        <f t="shared" si="19"/>
        <v/>
      </c>
      <c r="K622" s="30"/>
      <c r="M622" t="str">
        <f>IF($A622=Ficha!$B$3,COUNTIF($A$5:$A622,Ficha!$B$3),"")</f>
        <v/>
      </c>
    </row>
    <row r="623" spans="2:13" x14ac:dyDescent="0.3">
      <c r="B623" s="30" t="str">
        <f>IF(A623="","",IFERROR(INDEX(Maniobras!$B$5:$B$504,MATCH(A623,Maniobras!$A$5:$A$504,0)),""))</f>
        <v/>
      </c>
      <c r="C623" t="str">
        <f t="shared" si="18"/>
        <v/>
      </c>
      <c r="D623" t="str">
        <f>IF(A623="","",IFERROR(INDEX(Maniobras!$D$5:$D$504,MATCH(A623,Maniobras!$A$5:$A$504,0)),""))</f>
        <v/>
      </c>
      <c r="F623" s="29" t="str">
        <f>IF(A623="","",IFERROR(INDEX(Maniobras!$K$5:$K$504,MATCH(A623,Maniobras!$A$5:$A$504,0)),""))</f>
        <v/>
      </c>
      <c r="G623" s="29"/>
      <c r="H623" s="29"/>
      <c r="I623" s="29" t="str">
        <f t="shared" si="19"/>
        <v/>
      </c>
      <c r="K623" s="30"/>
      <c r="M623" t="str">
        <f>IF($A623=Ficha!$B$3,COUNTIF($A$5:$A623,Ficha!$B$3),"")</f>
        <v/>
      </c>
    </row>
    <row r="624" spans="2:13" x14ac:dyDescent="0.3">
      <c r="B624" s="30" t="str">
        <f>IF(A624="","",IFERROR(INDEX(Maniobras!$B$5:$B$504,MATCH(A624,Maniobras!$A$5:$A$504,0)),""))</f>
        <v/>
      </c>
      <c r="C624" t="str">
        <f t="shared" si="18"/>
        <v/>
      </c>
      <c r="D624" t="str">
        <f>IF(A624="","",IFERROR(INDEX(Maniobras!$D$5:$D$504,MATCH(A624,Maniobras!$A$5:$A$504,0)),""))</f>
        <v/>
      </c>
      <c r="F624" s="29" t="str">
        <f>IF(A624="","",IFERROR(INDEX(Maniobras!$K$5:$K$504,MATCH(A624,Maniobras!$A$5:$A$504,0)),""))</f>
        <v/>
      </c>
      <c r="G624" s="29"/>
      <c r="H624" s="29"/>
      <c r="I624" s="29" t="str">
        <f t="shared" si="19"/>
        <v/>
      </c>
      <c r="K624" s="30"/>
      <c r="M624" t="str">
        <f>IF($A624=Ficha!$B$3,COUNTIF($A$5:$A624,Ficha!$B$3),"")</f>
        <v/>
      </c>
    </row>
    <row r="625" spans="2:13" x14ac:dyDescent="0.3">
      <c r="B625" s="30" t="str">
        <f>IF(A625="","",IFERROR(INDEX(Maniobras!$B$5:$B$504,MATCH(A625,Maniobras!$A$5:$A$504,0)),""))</f>
        <v/>
      </c>
      <c r="C625" t="str">
        <f t="shared" si="18"/>
        <v/>
      </c>
      <c r="D625" t="str">
        <f>IF(A625="","",IFERROR(INDEX(Maniobras!$D$5:$D$504,MATCH(A625,Maniobras!$A$5:$A$504,0)),""))</f>
        <v/>
      </c>
      <c r="F625" s="29" t="str">
        <f>IF(A625="","",IFERROR(INDEX(Maniobras!$K$5:$K$504,MATCH(A625,Maniobras!$A$5:$A$504,0)),""))</f>
        <v/>
      </c>
      <c r="G625" s="29"/>
      <c r="H625" s="29"/>
      <c r="I625" s="29" t="str">
        <f t="shared" si="19"/>
        <v/>
      </c>
      <c r="K625" s="30"/>
      <c r="M625" t="str">
        <f>IF($A625=Ficha!$B$3,COUNTIF($A$5:$A625,Ficha!$B$3),"")</f>
        <v/>
      </c>
    </row>
    <row r="626" spans="2:13" x14ac:dyDescent="0.3">
      <c r="B626" s="30" t="str">
        <f>IF(A626="","",IFERROR(INDEX(Maniobras!$B$5:$B$504,MATCH(A626,Maniobras!$A$5:$A$504,0)),""))</f>
        <v/>
      </c>
      <c r="C626" t="str">
        <f t="shared" si="18"/>
        <v/>
      </c>
      <c r="D626" t="str">
        <f>IF(A626="","",IFERROR(INDEX(Maniobras!$D$5:$D$504,MATCH(A626,Maniobras!$A$5:$A$504,0)),""))</f>
        <v/>
      </c>
      <c r="F626" s="29" t="str">
        <f>IF(A626="","",IFERROR(INDEX(Maniobras!$K$5:$K$504,MATCH(A626,Maniobras!$A$5:$A$504,0)),""))</f>
        <v/>
      </c>
      <c r="G626" s="29"/>
      <c r="H626" s="29"/>
      <c r="I626" s="29" t="str">
        <f t="shared" si="19"/>
        <v/>
      </c>
      <c r="K626" s="30"/>
      <c r="M626" t="str">
        <f>IF($A626=Ficha!$B$3,COUNTIF($A$5:$A626,Ficha!$B$3),"")</f>
        <v/>
      </c>
    </row>
    <row r="627" spans="2:13" x14ac:dyDescent="0.3">
      <c r="B627" s="30" t="str">
        <f>IF(A627="","",IFERROR(INDEX(Maniobras!$B$5:$B$504,MATCH(A627,Maniobras!$A$5:$A$504,0)),""))</f>
        <v/>
      </c>
      <c r="C627" t="str">
        <f t="shared" si="18"/>
        <v/>
      </c>
      <c r="D627" t="str">
        <f>IF(A627="","",IFERROR(INDEX(Maniobras!$D$5:$D$504,MATCH(A627,Maniobras!$A$5:$A$504,0)),""))</f>
        <v/>
      </c>
      <c r="F627" s="29" t="str">
        <f>IF(A627="","",IFERROR(INDEX(Maniobras!$K$5:$K$504,MATCH(A627,Maniobras!$A$5:$A$504,0)),""))</f>
        <v/>
      </c>
      <c r="G627" s="29"/>
      <c r="H627" s="29"/>
      <c r="I627" s="29" t="str">
        <f t="shared" si="19"/>
        <v/>
      </c>
      <c r="K627" s="30"/>
      <c r="M627" t="str">
        <f>IF($A627=Ficha!$B$3,COUNTIF($A$5:$A627,Ficha!$B$3),"")</f>
        <v/>
      </c>
    </row>
    <row r="628" spans="2:13" x14ac:dyDescent="0.3">
      <c r="B628" s="30" t="str">
        <f>IF(A628="","",IFERROR(INDEX(Maniobras!$B$5:$B$504,MATCH(A628,Maniobras!$A$5:$A$504,0)),""))</f>
        <v/>
      </c>
      <c r="C628" t="str">
        <f t="shared" si="18"/>
        <v/>
      </c>
      <c r="D628" t="str">
        <f>IF(A628="","",IFERROR(INDEX(Maniobras!$D$5:$D$504,MATCH(A628,Maniobras!$A$5:$A$504,0)),""))</f>
        <v/>
      </c>
      <c r="F628" s="29" t="str">
        <f>IF(A628="","",IFERROR(INDEX(Maniobras!$K$5:$K$504,MATCH(A628,Maniobras!$A$5:$A$504,0)),""))</f>
        <v/>
      </c>
      <c r="G628" s="29"/>
      <c r="H628" s="29"/>
      <c r="I628" s="29" t="str">
        <f t="shared" si="19"/>
        <v/>
      </c>
      <c r="K628" s="30"/>
      <c r="M628" t="str">
        <f>IF($A628=Ficha!$B$3,COUNTIF($A$5:$A628,Ficha!$B$3),"")</f>
        <v/>
      </c>
    </row>
    <row r="629" spans="2:13" x14ac:dyDescent="0.3">
      <c r="B629" s="30" t="str">
        <f>IF(A629="","",IFERROR(INDEX(Maniobras!$B$5:$B$504,MATCH(A629,Maniobras!$A$5:$A$504,0)),""))</f>
        <v/>
      </c>
      <c r="C629" t="str">
        <f t="shared" si="18"/>
        <v/>
      </c>
      <c r="D629" t="str">
        <f>IF(A629="","",IFERROR(INDEX(Maniobras!$D$5:$D$504,MATCH(A629,Maniobras!$A$5:$A$504,0)),""))</f>
        <v/>
      </c>
      <c r="F629" s="29" t="str">
        <f>IF(A629="","",IFERROR(INDEX(Maniobras!$K$5:$K$504,MATCH(A629,Maniobras!$A$5:$A$504,0)),""))</f>
        <v/>
      </c>
      <c r="G629" s="29"/>
      <c r="H629" s="29"/>
      <c r="I629" s="29" t="str">
        <f t="shared" si="19"/>
        <v/>
      </c>
      <c r="K629" s="30"/>
      <c r="M629" t="str">
        <f>IF($A629=Ficha!$B$3,COUNTIF($A$5:$A629,Ficha!$B$3),"")</f>
        <v/>
      </c>
    </row>
    <row r="630" spans="2:13" x14ac:dyDescent="0.3">
      <c r="B630" s="30" t="str">
        <f>IF(A630="","",IFERROR(INDEX(Maniobras!$B$5:$B$504,MATCH(A630,Maniobras!$A$5:$A$504,0)),""))</f>
        <v/>
      </c>
      <c r="C630" t="str">
        <f t="shared" si="18"/>
        <v/>
      </c>
      <c r="D630" t="str">
        <f>IF(A630="","",IFERROR(INDEX(Maniobras!$D$5:$D$504,MATCH(A630,Maniobras!$A$5:$A$504,0)),""))</f>
        <v/>
      </c>
      <c r="F630" s="29" t="str">
        <f>IF(A630="","",IFERROR(INDEX(Maniobras!$K$5:$K$504,MATCH(A630,Maniobras!$A$5:$A$504,0)),""))</f>
        <v/>
      </c>
      <c r="G630" s="29"/>
      <c r="H630" s="29"/>
      <c r="I630" s="29" t="str">
        <f t="shared" si="19"/>
        <v/>
      </c>
      <c r="K630" s="30"/>
      <c r="M630" t="str">
        <f>IF($A630=Ficha!$B$3,COUNTIF($A$5:$A630,Ficha!$B$3),"")</f>
        <v/>
      </c>
    </row>
    <row r="631" spans="2:13" x14ac:dyDescent="0.3">
      <c r="B631" s="30" t="str">
        <f>IF(A631="","",IFERROR(INDEX(Maniobras!$B$5:$B$504,MATCH(A631,Maniobras!$A$5:$A$504,0)),""))</f>
        <v/>
      </c>
      <c r="C631" t="str">
        <f t="shared" si="18"/>
        <v/>
      </c>
      <c r="D631" t="str">
        <f>IF(A631="","",IFERROR(INDEX(Maniobras!$D$5:$D$504,MATCH(A631,Maniobras!$A$5:$A$504,0)),""))</f>
        <v/>
      </c>
      <c r="F631" s="29" t="str">
        <f>IF(A631="","",IFERROR(INDEX(Maniobras!$K$5:$K$504,MATCH(A631,Maniobras!$A$5:$A$504,0)),""))</f>
        <v/>
      </c>
      <c r="G631" s="29"/>
      <c r="H631" s="29"/>
      <c r="I631" s="29" t="str">
        <f t="shared" si="19"/>
        <v/>
      </c>
      <c r="K631" s="30"/>
      <c r="M631" t="str">
        <f>IF($A631=Ficha!$B$3,COUNTIF($A$5:$A631,Ficha!$B$3),"")</f>
        <v/>
      </c>
    </row>
    <row r="632" spans="2:13" x14ac:dyDescent="0.3">
      <c r="B632" s="30" t="str">
        <f>IF(A632="","",IFERROR(INDEX(Maniobras!$B$5:$B$504,MATCH(A632,Maniobras!$A$5:$A$504,0)),""))</f>
        <v/>
      </c>
      <c r="C632" t="str">
        <f t="shared" si="18"/>
        <v/>
      </c>
      <c r="D632" t="str">
        <f>IF(A632="","",IFERROR(INDEX(Maniobras!$D$5:$D$504,MATCH(A632,Maniobras!$A$5:$A$504,0)),""))</f>
        <v/>
      </c>
      <c r="F632" s="29" t="str">
        <f>IF(A632="","",IFERROR(INDEX(Maniobras!$K$5:$K$504,MATCH(A632,Maniobras!$A$5:$A$504,0)),""))</f>
        <v/>
      </c>
      <c r="G632" s="29"/>
      <c r="H632" s="29"/>
      <c r="I632" s="29" t="str">
        <f t="shared" si="19"/>
        <v/>
      </c>
      <c r="K632" s="30"/>
      <c r="M632" t="str">
        <f>IF($A632=Ficha!$B$3,COUNTIF($A$5:$A632,Ficha!$B$3),"")</f>
        <v/>
      </c>
    </row>
    <row r="633" spans="2:13" x14ac:dyDescent="0.3">
      <c r="B633" s="30" t="str">
        <f>IF(A633="","",IFERROR(INDEX(Maniobras!$B$5:$B$504,MATCH(A633,Maniobras!$A$5:$A$504,0)),""))</f>
        <v/>
      </c>
      <c r="C633" t="str">
        <f t="shared" si="18"/>
        <v/>
      </c>
      <c r="D633" t="str">
        <f>IF(A633="","",IFERROR(INDEX(Maniobras!$D$5:$D$504,MATCH(A633,Maniobras!$A$5:$A$504,0)),""))</f>
        <v/>
      </c>
      <c r="F633" s="29" t="str">
        <f>IF(A633="","",IFERROR(INDEX(Maniobras!$K$5:$K$504,MATCH(A633,Maniobras!$A$5:$A$504,0)),""))</f>
        <v/>
      </c>
      <c r="G633" s="29"/>
      <c r="H633" s="29"/>
      <c r="I633" s="29" t="str">
        <f t="shared" si="19"/>
        <v/>
      </c>
      <c r="K633" s="30"/>
      <c r="M633" t="str">
        <f>IF($A633=Ficha!$B$3,COUNTIF($A$5:$A633,Ficha!$B$3),"")</f>
        <v/>
      </c>
    </row>
    <row r="634" spans="2:13" x14ac:dyDescent="0.3">
      <c r="B634" s="30" t="str">
        <f>IF(A634="","",IFERROR(INDEX(Maniobras!$B$5:$B$504,MATCH(A634,Maniobras!$A$5:$A$504,0)),""))</f>
        <v/>
      </c>
      <c r="C634" t="str">
        <f t="shared" si="18"/>
        <v/>
      </c>
      <c r="D634" t="str">
        <f>IF(A634="","",IFERROR(INDEX(Maniobras!$D$5:$D$504,MATCH(A634,Maniobras!$A$5:$A$504,0)),""))</f>
        <v/>
      </c>
      <c r="F634" s="29" t="str">
        <f>IF(A634="","",IFERROR(INDEX(Maniobras!$K$5:$K$504,MATCH(A634,Maniobras!$A$5:$A$504,0)),""))</f>
        <v/>
      </c>
      <c r="G634" s="29"/>
      <c r="H634" s="29"/>
      <c r="I634" s="29" t="str">
        <f t="shared" si="19"/>
        <v/>
      </c>
      <c r="K634" s="30"/>
      <c r="M634" t="str">
        <f>IF($A634=Ficha!$B$3,COUNTIF($A$5:$A634,Ficha!$B$3),"")</f>
        <v/>
      </c>
    </row>
    <row r="635" spans="2:13" x14ac:dyDescent="0.3">
      <c r="B635" s="30" t="str">
        <f>IF(A635="","",IFERROR(INDEX(Maniobras!$B$5:$B$504,MATCH(A635,Maniobras!$A$5:$A$504,0)),""))</f>
        <v/>
      </c>
      <c r="C635" t="str">
        <f t="shared" si="18"/>
        <v/>
      </c>
      <c r="D635" t="str">
        <f>IF(A635="","",IFERROR(INDEX(Maniobras!$D$5:$D$504,MATCH(A635,Maniobras!$A$5:$A$504,0)),""))</f>
        <v/>
      </c>
      <c r="F635" s="29" t="str">
        <f>IF(A635="","",IFERROR(INDEX(Maniobras!$K$5:$K$504,MATCH(A635,Maniobras!$A$5:$A$504,0)),""))</f>
        <v/>
      </c>
      <c r="G635" s="29"/>
      <c r="H635" s="29"/>
      <c r="I635" s="29" t="str">
        <f t="shared" si="19"/>
        <v/>
      </c>
      <c r="K635" s="30"/>
      <c r="M635" t="str">
        <f>IF($A635=Ficha!$B$3,COUNTIF($A$5:$A635,Ficha!$B$3),"")</f>
        <v/>
      </c>
    </row>
    <row r="636" spans="2:13" x14ac:dyDescent="0.3">
      <c r="B636" s="30" t="str">
        <f>IF(A636="","",IFERROR(INDEX(Maniobras!$B$5:$B$504,MATCH(A636,Maniobras!$A$5:$A$504,0)),""))</f>
        <v/>
      </c>
      <c r="C636" t="str">
        <f t="shared" si="18"/>
        <v/>
      </c>
      <c r="D636" t="str">
        <f>IF(A636="","",IFERROR(INDEX(Maniobras!$D$5:$D$504,MATCH(A636,Maniobras!$A$5:$A$504,0)),""))</f>
        <v/>
      </c>
      <c r="F636" s="29" t="str">
        <f>IF(A636="","",IFERROR(INDEX(Maniobras!$K$5:$K$504,MATCH(A636,Maniobras!$A$5:$A$504,0)),""))</f>
        <v/>
      </c>
      <c r="G636" s="29"/>
      <c r="H636" s="29"/>
      <c r="I636" s="29" t="str">
        <f t="shared" si="19"/>
        <v/>
      </c>
      <c r="K636" s="30"/>
      <c r="M636" t="str">
        <f>IF($A636=Ficha!$B$3,COUNTIF($A$5:$A636,Ficha!$B$3),"")</f>
        <v/>
      </c>
    </row>
    <row r="637" spans="2:13" x14ac:dyDescent="0.3">
      <c r="B637" s="30" t="str">
        <f>IF(A637="","",IFERROR(INDEX(Maniobras!$B$5:$B$504,MATCH(A637,Maniobras!$A$5:$A$504,0)),""))</f>
        <v/>
      </c>
      <c r="C637" t="str">
        <f t="shared" si="18"/>
        <v/>
      </c>
      <c r="D637" t="str">
        <f>IF(A637="","",IFERROR(INDEX(Maniobras!$D$5:$D$504,MATCH(A637,Maniobras!$A$5:$A$504,0)),""))</f>
        <v/>
      </c>
      <c r="F637" s="29" t="str">
        <f>IF(A637="","",IFERROR(INDEX(Maniobras!$K$5:$K$504,MATCH(A637,Maniobras!$A$5:$A$504,0)),""))</f>
        <v/>
      </c>
      <c r="G637" s="29"/>
      <c r="H637" s="29"/>
      <c r="I637" s="29" t="str">
        <f t="shared" si="19"/>
        <v/>
      </c>
      <c r="K637" s="30"/>
      <c r="M637" t="str">
        <f>IF($A637=Ficha!$B$3,COUNTIF($A$5:$A637,Ficha!$B$3),"")</f>
        <v/>
      </c>
    </row>
    <row r="638" spans="2:13" x14ac:dyDescent="0.3">
      <c r="B638" s="30" t="str">
        <f>IF(A638="","",IFERROR(INDEX(Maniobras!$B$5:$B$504,MATCH(A638,Maniobras!$A$5:$A$504,0)),""))</f>
        <v/>
      </c>
      <c r="C638" t="str">
        <f t="shared" si="18"/>
        <v/>
      </c>
      <c r="D638" t="str">
        <f>IF(A638="","",IFERROR(INDEX(Maniobras!$D$5:$D$504,MATCH(A638,Maniobras!$A$5:$A$504,0)),""))</f>
        <v/>
      </c>
      <c r="F638" s="29" t="str">
        <f>IF(A638="","",IFERROR(INDEX(Maniobras!$K$5:$K$504,MATCH(A638,Maniobras!$A$5:$A$504,0)),""))</f>
        <v/>
      </c>
      <c r="G638" s="29"/>
      <c r="H638" s="29"/>
      <c r="I638" s="29" t="str">
        <f t="shared" si="19"/>
        <v/>
      </c>
      <c r="K638" s="30"/>
      <c r="M638" t="str">
        <f>IF($A638=Ficha!$B$3,COUNTIF($A$5:$A638,Ficha!$B$3),"")</f>
        <v/>
      </c>
    </row>
    <row r="639" spans="2:13" x14ac:dyDescent="0.3">
      <c r="B639" s="30" t="str">
        <f>IF(A639="","",IFERROR(INDEX(Maniobras!$B$5:$B$504,MATCH(A639,Maniobras!$A$5:$A$504,0)),""))</f>
        <v/>
      </c>
      <c r="C639" t="str">
        <f t="shared" si="18"/>
        <v/>
      </c>
      <c r="D639" t="str">
        <f>IF(A639="","",IFERROR(INDEX(Maniobras!$D$5:$D$504,MATCH(A639,Maniobras!$A$5:$A$504,0)),""))</f>
        <v/>
      </c>
      <c r="F639" s="29" t="str">
        <f>IF(A639="","",IFERROR(INDEX(Maniobras!$K$5:$K$504,MATCH(A639,Maniobras!$A$5:$A$504,0)),""))</f>
        <v/>
      </c>
      <c r="G639" s="29"/>
      <c r="H639" s="29"/>
      <c r="I639" s="29" t="str">
        <f t="shared" si="19"/>
        <v/>
      </c>
      <c r="K639" s="30"/>
      <c r="M639" t="str">
        <f>IF($A639=Ficha!$B$3,COUNTIF($A$5:$A639,Ficha!$B$3),"")</f>
        <v/>
      </c>
    </row>
    <row r="640" spans="2:13" x14ac:dyDescent="0.3">
      <c r="B640" s="30" t="str">
        <f>IF(A640="","",IFERROR(INDEX(Maniobras!$B$5:$B$504,MATCH(A640,Maniobras!$A$5:$A$504,0)),""))</f>
        <v/>
      </c>
      <c r="C640" t="str">
        <f t="shared" si="18"/>
        <v/>
      </c>
      <c r="D640" t="str">
        <f>IF(A640="","",IFERROR(INDEX(Maniobras!$D$5:$D$504,MATCH(A640,Maniobras!$A$5:$A$504,0)),""))</f>
        <v/>
      </c>
      <c r="F640" s="29" t="str">
        <f>IF(A640="","",IFERROR(INDEX(Maniobras!$K$5:$K$504,MATCH(A640,Maniobras!$A$5:$A$504,0)),""))</f>
        <v/>
      </c>
      <c r="G640" s="29"/>
      <c r="H640" s="29"/>
      <c r="I640" s="29" t="str">
        <f t="shared" si="19"/>
        <v/>
      </c>
      <c r="K640" s="30"/>
      <c r="M640" t="str">
        <f>IF($A640=Ficha!$B$3,COUNTIF($A$5:$A640,Ficha!$B$3),"")</f>
        <v/>
      </c>
    </row>
    <row r="641" spans="2:13" x14ac:dyDescent="0.3">
      <c r="B641" s="30" t="str">
        <f>IF(A641="","",IFERROR(INDEX(Maniobras!$B$5:$B$504,MATCH(A641,Maniobras!$A$5:$A$504,0)),""))</f>
        <v/>
      </c>
      <c r="C641" t="str">
        <f t="shared" si="18"/>
        <v/>
      </c>
      <c r="D641" t="str">
        <f>IF(A641="","",IFERROR(INDEX(Maniobras!$D$5:$D$504,MATCH(A641,Maniobras!$A$5:$A$504,0)),""))</f>
        <v/>
      </c>
      <c r="F641" s="29" t="str">
        <f>IF(A641="","",IFERROR(INDEX(Maniobras!$K$5:$K$504,MATCH(A641,Maniobras!$A$5:$A$504,0)),""))</f>
        <v/>
      </c>
      <c r="G641" s="29"/>
      <c r="H641" s="29"/>
      <c r="I641" s="29" t="str">
        <f t="shared" si="19"/>
        <v/>
      </c>
      <c r="K641" s="30"/>
      <c r="M641" t="str">
        <f>IF($A641=Ficha!$B$3,COUNTIF($A$5:$A641,Ficha!$B$3),"")</f>
        <v/>
      </c>
    </row>
    <row r="642" spans="2:13" x14ac:dyDescent="0.3">
      <c r="B642" s="30" t="str">
        <f>IF(A642="","",IFERROR(INDEX(Maniobras!$B$5:$B$504,MATCH(A642,Maniobras!$A$5:$A$504,0)),""))</f>
        <v/>
      </c>
      <c r="C642" t="str">
        <f t="shared" si="18"/>
        <v/>
      </c>
      <c r="D642" t="str">
        <f>IF(A642="","",IFERROR(INDEX(Maniobras!$D$5:$D$504,MATCH(A642,Maniobras!$A$5:$A$504,0)),""))</f>
        <v/>
      </c>
      <c r="F642" s="29" t="str">
        <f>IF(A642="","",IFERROR(INDEX(Maniobras!$K$5:$K$504,MATCH(A642,Maniobras!$A$5:$A$504,0)),""))</f>
        <v/>
      </c>
      <c r="G642" s="29"/>
      <c r="H642" s="29"/>
      <c r="I642" s="29" t="str">
        <f t="shared" si="19"/>
        <v/>
      </c>
      <c r="K642" s="30"/>
      <c r="M642" t="str">
        <f>IF($A642=Ficha!$B$3,COUNTIF($A$5:$A642,Ficha!$B$3),"")</f>
        <v/>
      </c>
    </row>
    <row r="643" spans="2:13" x14ac:dyDescent="0.3">
      <c r="B643" s="30" t="str">
        <f>IF(A643="","",IFERROR(INDEX(Maniobras!$B$5:$B$504,MATCH(A643,Maniobras!$A$5:$A$504,0)),""))</f>
        <v/>
      </c>
      <c r="C643" t="str">
        <f t="shared" si="18"/>
        <v/>
      </c>
      <c r="D643" t="str">
        <f>IF(A643="","",IFERROR(INDEX(Maniobras!$D$5:$D$504,MATCH(A643,Maniobras!$A$5:$A$504,0)),""))</f>
        <v/>
      </c>
      <c r="F643" s="29" t="str">
        <f>IF(A643="","",IFERROR(INDEX(Maniobras!$K$5:$K$504,MATCH(A643,Maniobras!$A$5:$A$504,0)),""))</f>
        <v/>
      </c>
      <c r="G643" s="29"/>
      <c r="H643" s="29"/>
      <c r="I643" s="29" t="str">
        <f t="shared" si="19"/>
        <v/>
      </c>
      <c r="K643" s="30"/>
      <c r="M643" t="str">
        <f>IF($A643=Ficha!$B$3,COUNTIF($A$5:$A643,Ficha!$B$3),"")</f>
        <v/>
      </c>
    </row>
    <row r="644" spans="2:13" x14ac:dyDescent="0.3">
      <c r="B644" s="30" t="str">
        <f>IF(A644="","",IFERROR(INDEX(Maniobras!$B$5:$B$504,MATCH(A644,Maniobras!$A$5:$A$504,0)),""))</f>
        <v/>
      </c>
      <c r="C644" t="str">
        <f t="shared" si="18"/>
        <v/>
      </c>
      <c r="D644" t="str">
        <f>IF(A644="","",IFERROR(INDEX(Maniobras!$D$5:$D$504,MATCH(A644,Maniobras!$A$5:$A$504,0)),""))</f>
        <v/>
      </c>
      <c r="F644" s="29" t="str">
        <f>IF(A644="","",IFERROR(INDEX(Maniobras!$K$5:$K$504,MATCH(A644,Maniobras!$A$5:$A$504,0)),""))</f>
        <v/>
      </c>
      <c r="G644" s="29"/>
      <c r="H644" s="29"/>
      <c r="I644" s="29" t="str">
        <f t="shared" si="19"/>
        <v/>
      </c>
      <c r="K644" s="30"/>
      <c r="M644" t="str">
        <f>IF($A644=Ficha!$B$3,COUNTIF($A$5:$A644,Ficha!$B$3),"")</f>
        <v/>
      </c>
    </row>
    <row r="645" spans="2:13" x14ac:dyDescent="0.3">
      <c r="B645" s="30" t="str">
        <f>IF(A645="","",IFERROR(INDEX(Maniobras!$B$5:$B$504,MATCH(A645,Maniobras!$A$5:$A$504,0)),""))</f>
        <v/>
      </c>
      <c r="C645" t="str">
        <f t="shared" ref="C645:C708" si="20">IF(B645="","",TEXT(B645,"yyyy-mm"))</f>
        <v/>
      </c>
      <c r="D645" t="str">
        <f>IF(A645="","",IFERROR(INDEX(Maniobras!$D$5:$D$504,MATCH(A645,Maniobras!$A$5:$A$504,0)),""))</f>
        <v/>
      </c>
      <c r="F645" s="29" t="str">
        <f>IF(A645="","",IFERROR(INDEX(Maniobras!$K$5:$K$504,MATCH(A645,Maniobras!$A$5:$A$504,0)),""))</f>
        <v/>
      </c>
      <c r="G645" s="29"/>
      <c r="H645" s="29"/>
      <c r="I645" s="29" t="str">
        <f t="shared" ref="I645:I708" si="21">IF(G645="","",G645+N(H645))</f>
        <v/>
      </c>
      <c r="K645" s="30"/>
      <c r="M645" t="str">
        <f>IF($A645=Ficha!$B$3,COUNTIF($A$5:$A645,Ficha!$B$3),"")</f>
        <v/>
      </c>
    </row>
    <row r="646" spans="2:13" x14ac:dyDescent="0.3">
      <c r="B646" s="30" t="str">
        <f>IF(A646="","",IFERROR(INDEX(Maniobras!$B$5:$B$504,MATCH(A646,Maniobras!$A$5:$A$504,0)),""))</f>
        <v/>
      </c>
      <c r="C646" t="str">
        <f t="shared" si="20"/>
        <v/>
      </c>
      <c r="D646" t="str">
        <f>IF(A646="","",IFERROR(INDEX(Maniobras!$D$5:$D$504,MATCH(A646,Maniobras!$A$5:$A$504,0)),""))</f>
        <v/>
      </c>
      <c r="F646" s="29" t="str">
        <f>IF(A646="","",IFERROR(INDEX(Maniobras!$K$5:$K$504,MATCH(A646,Maniobras!$A$5:$A$504,0)),""))</f>
        <v/>
      </c>
      <c r="G646" s="29"/>
      <c r="H646" s="29"/>
      <c r="I646" s="29" t="str">
        <f t="shared" si="21"/>
        <v/>
      </c>
      <c r="K646" s="30"/>
      <c r="M646" t="str">
        <f>IF($A646=Ficha!$B$3,COUNTIF($A$5:$A646,Ficha!$B$3),"")</f>
        <v/>
      </c>
    </row>
    <row r="647" spans="2:13" x14ac:dyDescent="0.3">
      <c r="B647" s="30" t="str">
        <f>IF(A647="","",IFERROR(INDEX(Maniobras!$B$5:$B$504,MATCH(A647,Maniobras!$A$5:$A$504,0)),""))</f>
        <v/>
      </c>
      <c r="C647" t="str">
        <f t="shared" si="20"/>
        <v/>
      </c>
      <c r="D647" t="str">
        <f>IF(A647="","",IFERROR(INDEX(Maniobras!$D$5:$D$504,MATCH(A647,Maniobras!$A$5:$A$504,0)),""))</f>
        <v/>
      </c>
      <c r="F647" s="29" t="str">
        <f>IF(A647="","",IFERROR(INDEX(Maniobras!$K$5:$K$504,MATCH(A647,Maniobras!$A$5:$A$504,0)),""))</f>
        <v/>
      </c>
      <c r="G647" s="29"/>
      <c r="H647" s="29"/>
      <c r="I647" s="29" t="str">
        <f t="shared" si="21"/>
        <v/>
      </c>
      <c r="K647" s="30"/>
      <c r="M647" t="str">
        <f>IF($A647=Ficha!$B$3,COUNTIF($A$5:$A647,Ficha!$B$3),"")</f>
        <v/>
      </c>
    </row>
    <row r="648" spans="2:13" x14ac:dyDescent="0.3">
      <c r="B648" s="30" t="str">
        <f>IF(A648="","",IFERROR(INDEX(Maniobras!$B$5:$B$504,MATCH(A648,Maniobras!$A$5:$A$504,0)),""))</f>
        <v/>
      </c>
      <c r="C648" t="str">
        <f t="shared" si="20"/>
        <v/>
      </c>
      <c r="D648" t="str">
        <f>IF(A648="","",IFERROR(INDEX(Maniobras!$D$5:$D$504,MATCH(A648,Maniobras!$A$5:$A$504,0)),""))</f>
        <v/>
      </c>
      <c r="F648" s="29" t="str">
        <f>IF(A648="","",IFERROR(INDEX(Maniobras!$K$5:$K$504,MATCH(A648,Maniobras!$A$5:$A$504,0)),""))</f>
        <v/>
      </c>
      <c r="G648" s="29"/>
      <c r="H648" s="29"/>
      <c r="I648" s="29" t="str">
        <f t="shared" si="21"/>
        <v/>
      </c>
      <c r="K648" s="30"/>
      <c r="M648" t="str">
        <f>IF($A648=Ficha!$B$3,COUNTIF($A$5:$A648,Ficha!$B$3),"")</f>
        <v/>
      </c>
    </row>
    <row r="649" spans="2:13" x14ac:dyDescent="0.3">
      <c r="B649" s="30" t="str">
        <f>IF(A649="","",IFERROR(INDEX(Maniobras!$B$5:$B$504,MATCH(A649,Maniobras!$A$5:$A$504,0)),""))</f>
        <v/>
      </c>
      <c r="C649" t="str">
        <f t="shared" si="20"/>
        <v/>
      </c>
      <c r="D649" t="str">
        <f>IF(A649="","",IFERROR(INDEX(Maniobras!$D$5:$D$504,MATCH(A649,Maniobras!$A$5:$A$504,0)),""))</f>
        <v/>
      </c>
      <c r="F649" s="29" t="str">
        <f>IF(A649="","",IFERROR(INDEX(Maniobras!$K$5:$K$504,MATCH(A649,Maniobras!$A$5:$A$504,0)),""))</f>
        <v/>
      </c>
      <c r="G649" s="29"/>
      <c r="H649" s="29"/>
      <c r="I649" s="29" t="str">
        <f t="shared" si="21"/>
        <v/>
      </c>
      <c r="K649" s="30"/>
      <c r="M649" t="str">
        <f>IF($A649=Ficha!$B$3,COUNTIF($A$5:$A649,Ficha!$B$3),"")</f>
        <v/>
      </c>
    </row>
    <row r="650" spans="2:13" x14ac:dyDescent="0.3">
      <c r="B650" s="30" t="str">
        <f>IF(A650="","",IFERROR(INDEX(Maniobras!$B$5:$B$504,MATCH(A650,Maniobras!$A$5:$A$504,0)),""))</f>
        <v/>
      </c>
      <c r="C650" t="str">
        <f t="shared" si="20"/>
        <v/>
      </c>
      <c r="D650" t="str">
        <f>IF(A650="","",IFERROR(INDEX(Maniobras!$D$5:$D$504,MATCH(A650,Maniobras!$A$5:$A$504,0)),""))</f>
        <v/>
      </c>
      <c r="F650" s="29" t="str">
        <f>IF(A650="","",IFERROR(INDEX(Maniobras!$K$5:$K$504,MATCH(A650,Maniobras!$A$5:$A$504,0)),""))</f>
        <v/>
      </c>
      <c r="G650" s="29"/>
      <c r="H650" s="29"/>
      <c r="I650" s="29" t="str">
        <f t="shared" si="21"/>
        <v/>
      </c>
      <c r="K650" s="30"/>
      <c r="M650" t="str">
        <f>IF($A650=Ficha!$B$3,COUNTIF($A$5:$A650,Ficha!$B$3),"")</f>
        <v/>
      </c>
    </row>
    <row r="651" spans="2:13" x14ac:dyDescent="0.3">
      <c r="B651" s="30" t="str">
        <f>IF(A651="","",IFERROR(INDEX(Maniobras!$B$5:$B$504,MATCH(A651,Maniobras!$A$5:$A$504,0)),""))</f>
        <v/>
      </c>
      <c r="C651" t="str">
        <f t="shared" si="20"/>
        <v/>
      </c>
      <c r="D651" t="str">
        <f>IF(A651="","",IFERROR(INDEX(Maniobras!$D$5:$D$504,MATCH(A651,Maniobras!$A$5:$A$504,0)),""))</f>
        <v/>
      </c>
      <c r="F651" s="29" t="str">
        <f>IF(A651="","",IFERROR(INDEX(Maniobras!$K$5:$K$504,MATCH(A651,Maniobras!$A$5:$A$504,0)),""))</f>
        <v/>
      </c>
      <c r="G651" s="29"/>
      <c r="H651" s="29"/>
      <c r="I651" s="29" t="str">
        <f t="shared" si="21"/>
        <v/>
      </c>
      <c r="K651" s="30"/>
      <c r="M651" t="str">
        <f>IF($A651=Ficha!$B$3,COUNTIF($A$5:$A651,Ficha!$B$3),"")</f>
        <v/>
      </c>
    </row>
    <row r="652" spans="2:13" x14ac:dyDescent="0.3">
      <c r="B652" s="30" t="str">
        <f>IF(A652="","",IFERROR(INDEX(Maniobras!$B$5:$B$504,MATCH(A652,Maniobras!$A$5:$A$504,0)),""))</f>
        <v/>
      </c>
      <c r="C652" t="str">
        <f t="shared" si="20"/>
        <v/>
      </c>
      <c r="D652" t="str">
        <f>IF(A652="","",IFERROR(INDEX(Maniobras!$D$5:$D$504,MATCH(A652,Maniobras!$A$5:$A$504,0)),""))</f>
        <v/>
      </c>
      <c r="F652" s="29" t="str">
        <f>IF(A652="","",IFERROR(INDEX(Maniobras!$K$5:$K$504,MATCH(A652,Maniobras!$A$5:$A$504,0)),""))</f>
        <v/>
      </c>
      <c r="G652" s="29"/>
      <c r="H652" s="29"/>
      <c r="I652" s="29" t="str">
        <f t="shared" si="21"/>
        <v/>
      </c>
      <c r="K652" s="30"/>
      <c r="M652" t="str">
        <f>IF($A652=Ficha!$B$3,COUNTIF($A$5:$A652,Ficha!$B$3),"")</f>
        <v/>
      </c>
    </row>
    <row r="653" spans="2:13" x14ac:dyDescent="0.3">
      <c r="B653" s="30" t="str">
        <f>IF(A653="","",IFERROR(INDEX(Maniobras!$B$5:$B$504,MATCH(A653,Maniobras!$A$5:$A$504,0)),""))</f>
        <v/>
      </c>
      <c r="C653" t="str">
        <f t="shared" si="20"/>
        <v/>
      </c>
      <c r="D653" t="str">
        <f>IF(A653="","",IFERROR(INDEX(Maniobras!$D$5:$D$504,MATCH(A653,Maniobras!$A$5:$A$504,0)),""))</f>
        <v/>
      </c>
      <c r="F653" s="29" t="str">
        <f>IF(A653="","",IFERROR(INDEX(Maniobras!$K$5:$K$504,MATCH(A653,Maniobras!$A$5:$A$504,0)),""))</f>
        <v/>
      </c>
      <c r="G653" s="29"/>
      <c r="H653" s="29"/>
      <c r="I653" s="29" t="str">
        <f t="shared" si="21"/>
        <v/>
      </c>
      <c r="K653" s="30"/>
      <c r="M653" t="str">
        <f>IF($A653=Ficha!$B$3,COUNTIF($A$5:$A653,Ficha!$B$3),"")</f>
        <v/>
      </c>
    </row>
    <row r="654" spans="2:13" x14ac:dyDescent="0.3">
      <c r="B654" s="30" t="str">
        <f>IF(A654="","",IFERROR(INDEX(Maniobras!$B$5:$B$504,MATCH(A654,Maniobras!$A$5:$A$504,0)),""))</f>
        <v/>
      </c>
      <c r="C654" t="str">
        <f t="shared" si="20"/>
        <v/>
      </c>
      <c r="D654" t="str">
        <f>IF(A654="","",IFERROR(INDEX(Maniobras!$D$5:$D$504,MATCH(A654,Maniobras!$A$5:$A$504,0)),""))</f>
        <v/>
      </c>
      <c r="F654" s="29" t="str">
        <f>IF(A654="","",IFERROR(INDEX(Maniobras!$K$5:$K$504,MATCH(A654,Maniobras!$A$5:$A$504,0)),""))</f>
        <v/>
      </c>
      <c r="G654" s="29"/>
      <c r="H654" s="29"/>
      <c r="I654" s="29" t="str">
        <f t="shared" si="21"/>
        <v/>
      </c>
      <c r="K654" s="30"/>
      <c r="M654" t="str">
        <f>IF($A654=Ficha!$B$3,COUNTIF($A$5:$A654,Ficha!$B$3),"")</f>
        <v/>
      </c>
    </row>
    <row r="655" spans="2:13" x14ac:dyDescent="0.3">
      <c r="B655" s="30" t="str">
        <f>IF(A655="","",IFERROR(INDEX(Maniobras!$B$5:$B$504,MATCH(A655,Maniobras!$A$5:$A$504,0)),""))</f>
        <v/>
      </c>
      <c r="C655" t="str">
        <f t="shared" si="20"/>
        <v/>
      </c>
      <c r="D655" t="str">
        <f>IF(A655="","",IFERROR(INDEX(Maniobras!$D$5:$D$504,MATCH(A655,Maniobras!$A$5:$A$504,0)),""))</f>
        <v/>
      </c>
      <c r="F655" s="29" t="str">
        <f>IF(A655="","",IFERROR(INDEX(Maniobras!$K$5:$K$504,MATCH(A655,Maniobras!$A$5:$A$504,0)),""))</f>
        <v/>
      </c>
      <c r="G655" s="29"/>
      <c r="H655" s="29"/>
      <c r="I655" s="29" t="str">
        <f t="shared" si="21"/>
        <v/>
      </c>
      <c r="K655" s="30"/>
      <c r="M655" t="str">
        <f>IF($A655=Ficha!$B$3,COUNTIF($A$5:$A655,Ficha!$B$3),"")</f>
        <v/>
      </c>
    </row>
    <row r="656" spans="2:13" x14ac:dyDescent="0.3">
      <c r="B656" s="30" t="str">
        <f>IF(A656="","",IFERROR(INDEX(Maniobras!$B$5:$B$504,MATCH(A656,Maniobras!$A$5:$A$504,0)),""))</f>
        <v/>
      </c>
      <c r="C656" t="str">
        <f t="shared" si="20"/>
        <v/>
      </c>
      <c r="D656" t="str">
        <f>IF(A656="","",IFERROR(INDEX(Maniobras!$D$5:$D$504,MATCH(A656,Maniobras!$A$5:$A$504,0)),""))</f>
        <v/>
      </c>
      <c r="F656" s="29" t="str">
        <f>IF(A656="","",IFERROR(INDEX(Maniobras!$K$5:$K$504,MATCH(A656,Maniobras!$A$5:$A$504,0)),""))</f>
        <v/>
      </c>
      <c r="G656" s="29"/>
      <c r="H656" s="29"/>
      <c r="I656" s="29" t="str">
        <f t="shared" si="21"/>
        <v/>
      </c>
      <c r="K656" s="30"/>
      <c r="M656" t="str">
        <f>IF($A656=Ficha!$B$3,COUNTIF($A$5:$A656,Ficha!$B$3),"")</f>
        <v/>
      </c>
    </row>
    <row r="657" spans="2:13" x14ac:dyDescent="0.3">
      <c r="B657" s="30" t="str">
        <f>IF(A657="","",IFERROR(INDEX(Maniobras!$B$5:$B$504,MATCH(A657,Maniobras!$A$5:$A$504,0)),""))</f>
        <v/>
      </c>
      <c r="C657" t="str">
        <f t="shared" si="20"/>
        <v/>
      </c>
      <c r="D657" t="str">
        <f>IF(A657="","",IFERROR(INDEX(Maniobras!$D$5:$D$504,MATCH(A657,Maniobras!$A$5:$A$504,0)),""))</f>
        <v/>
      </c>
      <c r="F657" s="29" t="str">
        <f>IF(A657="","",IFERROR(INDEX(Maniobras!$K$5:$K$504,MATCH(A657,Maniobras!$A$5:$A$504,0)),""))</f>
        <v/>
      </c>
      <c r="G657" s="29"/>
      <c r="H657" s="29"/>
      <c r="I657" s="29" t="str">
        <f t="shared" si="21"/>
        <v/>
      </c>
      <c r="K657" s="30"/>
      <c r="M657" t="str">
        <f>IF($A657=Ficha!$B$3,COUNTIF($A$5:$A657,Ficha!$B$3),"")</f>
        <v/>
      </c>
    </row>
    <row r="658" spans="2:13" x14ac:dyDescent="0.3">
      <c r="B658" s="30" t="str">
        <f>IF(A658="","",IFERROR(INDEX(Maniobras!$B$5:$B$504,MATCH(A658,Maniobras!$A$5:$A$504,0)),""))</f>
        <v/>
      </c>
      <c r="C658" t="str">
        <f t="shared" si="20"/>
        <v/>
      </c>
      <c r="D658" t="str">
        <f>IF(A658="","",IFERROR(INDEX(Maniobras!$D$5:$D$504,MATCH(A658,Maniobras!$A$5:$A$504,0)),""))</f>
        <v/>
      </c>
      <c r="F658" s="29" t="str">
        <f>IF(A658="","",IFERROR(INDEX(Maniobras!$K$5:$K$504,MATCH(A658,Maniobras!$A$5:$A$504,0)),""))</f>
        <v/>
      </c>
      <c r="G658" s="29"/>
      <c r="H658" s="29"/>
      <c r="I658" s="29" t="str">
        <f t="shared" si="21"/>
        <v/>
      </c>
      <c r="K658" s="30"/>
      <c r="M658" t="str">
        <f>IF($A658=Ficha!$B$3,COUNTIF($A$5:$A658,Ficha!$B$3),"")</f>
        <v/>
      </c>
    </row>
    <row r="659" spans="2:13" x14ac:dyDescent="0.3">
      <c r="B659" s="30" t="str">
        <f>IF(A659="","",IFERROR(INDEX(Maniobras!$B$5:$B$504,MATCH(A659,Maniobras!$A$5:$A$504,0)),""))</f>
        <v/>
      </c>
      <c r="C659" t="str">
        <f t="shared" si="20"/>
        <v/>
      </c>
      <c r="D659" t="str">
        <f>IF(A659="","",IFERROR(INDEX(Maniobras!$D$5:$D$504,MATCH(A659,Maniobras!$A$5:$A$504,0)),""))</f>
        <v/>
      </c>
      <c r="F659" s="29" t="str">
        <f>IF(A659="","",IFERROR(INDEX(Maniobras!$K$5:$K$504,MATCH(A659,Maniobras!$A$5:$A$504,0)),""))</f>
        <v/>
      </c>
      <c r="G659" s="29"/>
      <c r="H659" s="29"/>
      <c r="I659" s="29" t="str">
        <f t="shared" si="21"/>
        <v/>
      </c>
      <c r="K659" s="30"/>
      <c r="M659" t="str">
        <f>IF($A659=Ficha!$B$3,COUNTIF($A$5:$A659,Ficha!$B$3),"")</f>
        <v/>
      </c>
    </row>
    <row r="660" spans="2:13" x14ac:dyDescent="0.3">
      <c r="B660" s="30" t="str">
        <f>IF(A660="","",IFERROR(INDEX(Maniobras!$B$5:$B$504,MATCH(A660,Maniobras!$A$5:$A$504,0)),""))</f>
        <v/>
      </c>
      <c r="C660" t="str">
        <f t="shared" si="20"/>
        <v/>
      </c>
      <c r="D660" t="str">
        <f>IF(A660="","",IFERROR(INDEX(Maniobras!$D$5:$D$504,MATCH(A660,Maniobras!$A$5:$A$504,0)),""))</f>
        <v/>
      </c>
      <c r="F660" s="29" t="str">
        <f>IF(A660="","",IFERROR(INDEX(Maniobras!$K$5:$K$504,MATCH(A660,Maniobras!$A$5:$A$504,0)),""))</f>
        <v/>
      </c>
      <c r="G660" s="29"/>
      <c r="H660" s="29"/>
      <c r="I660" s="29" t="str">
        <f t="shared" si="21"/>
        <v/>
      </c>
      <c r="K660" s="30"/>
      <c r="M660" t="str">
        <f>IF($A660=Ficha!$B$3,COUNTIF($A$5:$A660,Ficha!$B$3),"")</f>
        <v/>
      </c>
    </row>
    <row r="661" spans="2:13" x14ac:dyDescent="0.3">
      <c r="B661" s="30" t="str">
        <f>IF(A661="","",IFERROR(INDEX(Maniobras!$B$5:$B$504,MATCH(A661,Maniobras!$A$5:$A$504,0)),""))</f>
        <v/>
      </c>
      <c r="C661" t="str">
        <f t="shared" si="20"/>
        <v/>
      </c>
      <c r="D661" t="str">
        <f>IF(A661="","",IFERROR(INDEX(Maniobras!$D$5:$D$504,MATCH(A661,Maniobras!$A$5:$A$504,0)),""))</f>
        <v/>
      </c>
      <c r="F661" s="29" t="str">
        <f>IF(A661="","",IFERROR(INDEX(Maniobras!$K$5:$K$504,MATCH(A661,Maniobras!$A$5:$A$504,0)),""))</f>
        <v/>
      </c>
      <c r="G661" s="29"/>
      <c r="H661" s="29"/>
      <c r="I661" s="29" t="str">
        <f t="shared" si="21"/>
        <v/>
      </c>
      <c r="K661" s="30"/>
      <c r="M661" t="str">
        <f>IF($A661=Ficha!$B$3,COUNTIF($A$5:$A661,Ficha!$B$3),"")</f>
        <v/>
      </c>
    </row>
    <row r="662" spans="2:13" x14ac:dyDescent="0.3">
      <c r="B662" s="30" t="str">
        <f>IF(A662="","",IFERROR(INDEX(Maniobras!$B$5:$B$504,MATCH(A662,Maniobras!$A$5:$A$504,0)),""))</f>
        <v/>
      </c>
      <c r="C662" t="str">
        <f t="shared" si="20"/>
        <v/>
      </c>
      <c r="D662" t="str">
        <f>IF(A662="","",IFERROR(INDEX(Maniobras!$D$5:$D$504,MATCH(A662,Maniobras!$A$5:$A$504,0)),""))</f>
        <v/>
      </c>
      <c r="F662" s="29" t="str">
        <f>IF(A662="","",IFERROR(INDEX(Maniobras!$K$5:$K$504,MATCH(A662,Maniobras!$A$5:$A$504,0)),""))</f>
        <v/>
      </c>
      <c r="G662" s="29"/>
      <c r="H662" s="29"/>
      <c r="I662" s="29" t="str">
        <f t="shared" si="21"/>
        <v/>
      </c>
      <c r="K662" s="30"/>
      <c r="M662" t="str">
        <f>IF($A662=Ficha!$B$3,COUNTIF($A$5:$A662,Ficha!$B$3),"")</f>
        <v/>
      </c>
    </row>
    <row r="663" spans="2:13" x14ac:dyDescent="0.3">
      <c r="B663" s="30" t="str">
        <f>IF(A663="","",IFERROR(INDEX(Maniobras!$B$5:$B$504,MATCH(A663,Maniobras!$A$5:$A$504,0)),""))</f>
        <v/>
      </c>
      <c r="C663" t="str">
        <f t="shared" si="20"/>
        <v/>
      </c>
      <c r="D663" t="str">
        <f>IF(A663="","",IFERROR(INDEX(Maniobras!$D$5:$D$504,MATCH(A663,Maniobras!$A$5:$A$504,0)),""))</f>
        <v/>
      </c>
      <c r="F663" s="29" t="str">
        <f>IF(A663="","",IFERROR(INDEX(Maniobras!$K$5:$K$504,MATCH(A663,Maniobras!$A$5:$A$504,0)),""))</f>
        <v/>
      </c>
      <c r="G663" s="29"/>
      <c r="H663" s="29"/>
      <c r="I663" s="29" t="str">
        <f t="shared" si="21"/>
        <v/>
      </c>
      <c r="K663" s="30"/>
      <c r="M663" t="str">
        <f>IF($A663=Ficha!$B$3,COUNTIF($A$5:$A663,Ficha!$B$3),"")</f>
        <v/>
      </c>
    </row>
    <row r="664" spans="2:13" x14ac:dyDescent="0.3">
      <c r="B664" s="30" t="str">
        <f>IF(A664="","",IFERROR(INDEX(Maniobras!$B$5:$B$504,MATCH(A664,Maniobras!$A$5:$A$504,0)),""))</f>
        <v/>
      </c>
      <c r="C664" t="str">
        <f t="shared" si="20"/>
        <v/>
      </c>
      <c r="D664" t="str">
        <f>IF(A664="","",IFERROR(INDEX(Maniobras!$D$5:$D$504,MATCH(A664,Maniobras!$A$5:$A$504,0)),""))</f>
        <v/>
      </c>
      <c r="F664" s="29" t="str">
        <f>IF(A664="","",IFERROR(INDEX(Maniobras!$K$5:$K$504,MATCH(A664,Maniobras!$A$5:$A$504,0)),""))</f>
        <v/>
      </c>
      <c r="G664" s="29"/>
      <c r="H664" s="29"/>
      <c r="I664" s="29" t="str">
        <f t="shared" si="21"/>
        <v/>
      </c>
      <c r="K664" s="30"/>
      <c r="M664" t="str">
        <f>IF($A664=Ficha!$B$3,COUNTIF($A$5:$A664,Ficha!$B$3),"")</f>
        <v/>
      </c>
    </row>
    <row r="665" spans="2:13" x14ac:dyDescent="0.3">
      <c r="B665" s="30" t="str">
        <f>IF(A665="","",IFERROR(INDEX(Maniobras!$B$5:$B$504,MATCH(A665,Maniobras!$A$5:$A$504,0)),""))</f>
        <v/>
      </c>
      <c r="C665" t="str">
        <f t="shared" si="20"/>
        <v/>
      </c>
      <c r="D665" t="str">
        <f>IF(A665="","",IFERROR(INDEX(Maniobras!$D$5:$D$504,MATCH(A665,Maniobras!$A$5:$A$504,0)),""))</f>
        <v/>
      </c>
      <c r="F665" s="29" t="str">
        <f>IF(A665="","",IFERROR(INDEX(Maniobras!$K$5:$K$504,MATCH(A665,Maniobras!$A$5:$A$504,0)),""))</f>
        <v/>
      </c>
      <c r="G665" s="29"/>
      <c r="H665" s="29"/>
      <c r="I665" s="29" t="str">
        <f t="shared" si="21"/>
        <v/>
      </c>
      <c r="K665" s="30"/>
      <c r="M665" t="str">
        <f>IF($A665=Ficha!$B$3,COUNTIF($A$5:$A665,Ficha!$B$3),"")</f>
        <v/>
      </c>
    </row>
    <row r="666" spans="2:13" x14ac:dyDescent="0.3">
      <c r="B666" s="30" t="str">
        <f>IF(A666="","",IFERROR(INDEX(Maniobras!$B$5:$B$504,MATCH(A666,Maniobras!$A$5:$A$504,0)),""))</f>
        <v/>
      </c>
      <c r="C666" t="str">
        <f t="shared" si="20"/>
        <v/>
      </c>
      <c r="D666" t="str">
        <f>IF(A666="","",IFERROR(INDEX(Maniobras!$D$5:$D$504,MATCH(A666,Maniobras!$A$5:$A$504,0)),""))</f>
        <v/>
      </c>
      <c r="F666" s="29" t="str">
        <f>IF(A666="","",IFERROR(INDEX(Maniobras!$K$5:$K$504,MATCH(A666,Maniobras!$A$5:$A$504,0)),""))</f>
        <v/>
      </c>
      <c r="G666" s="29"/>
      <c r="H666" s="29"/>
      <c r="I666" s="29" t="str">
        <f t="shared" si="21"/>
        <v/>
      </c>
      <c r="K666" s="30"/>
      <c r="M666" t="str">
        <f>IF($A666=Ficha!$B$3,COUNTIF($A$5:$A666,Ficha!$B$3),"")</f>
        <v/>
      </c>
    </row>
    <row r="667" spans="2:13" x14ac:dyDescent="0.3">
      <c r="B667" s="30" t="str">
        <f>IF(A667="","",IFERROR(INDEX(Maniobras!$B$5:$B$504,MATCH(A667,Maniobras!$A$5:$A$504,0)),""))</f>
        <v/>
      </c>
      <c r="C667" t="str">
        <f t="shared" si="20"/>
        <v/>
      </c>
      <c r="D667" t="str">
        <f>IF(A667="","",IFERROR(INDEX(Maniobras!$D$5:$D$504,MATCH(A667,Maniobras!$A$5:$A$504,0)),""))</f>
        <v/>
      </c>
      <c r="F667" s="29" t="str">
        <f>IF(A667="","",IFERROR(INDEX(Maniobras!$K$5:$K$504,MATCH(A667,Maniobras!$A$5:$A$504,0)),""))</f>
        <v/>
      </c>
      <c r="G667" s="29"/>
      <c r="H667" s="29"/>
      <c r="I667" s="29" t="str">
        <f t="shared" si="21"/>
        <v/>
      </c>
      <c r="K667" s="30"/>
      <c r="M667" t="str">
        <f>IF($A667=Ficha!$B$3,COUNTIF($A$5:$A667,Ficha!$B$3),"")</f>
        <v/>
      </c>
    </row>
    <row r="668" spans="2:13" x14ac:dyDescent="0.3">
      <c r="B668" s="30" t="str">
        <f>IF(A668="","",IFERROR(INDEX(Maniobras!$B$5:$B$504,MATCH(A668,Maniobras!$A$5:$A$504,0)),""))</f>
        <v/>
      </c>
      <c r="C668" t="str">
        <f t="shared" si="20"/>
        <v/>
      </c>
      <c r="D668" t="str">
        <f>IF(A668="","",IFERROR(INDEX(Maniobras!$D$5:$D$504,MATCH(A668,Maniobras!$A$5:$A$504,0)),""))</f>
        <v/>
      </c>
      <c r="F668" s="29" t="str">
        <f>IF(A668="","",IFERROR(INDEX(Maniobras!$K$5:$K$504,MATCH(A668,Maniobras!$A$5:$A$504,0)),""))</f>
        <v/>
      </c>
      <c r="G668" s="29"/>
      <c r="H668" s="29"/>
      <c r="I668" s="29" t="str">
        <f t="shared" si="21"/>
        <v/>
      </c>
      <c r="K668" s="30"/>
      <c r="M668" t="str">
        <f>IF($A668=Ficha!$B$3,COUNTIF($A$5:$A668,Ficha!$B$3),"")</f>
        <v/>
      </c>
    </row>
    <row r="669" spans="2:13" x14ac:dyDescent="0.3">
      <c r="B669" s="30" t="str">
        <f>IF(A669="","",IFERROR(INDEX(Maniobras!$B$5:$B$504,MATCH(A669,Maniobras!$A$5:$A$504,0)),""))</f>
        <v/>
      </c>
      <c r="C669" t="str">
        <f t="shared" si="20"/>
        <v/>
      </c>
      <c r="D669" t="str">
        <f>IF(A669="","",IFERROR(INDEX(Maniobras!$D$5:$D$504,MATCH(A669,Maniobras!$A$5:$A$504,0)),""))</f>
        <v/>
      </c>
      <c r="F669" s="29" t="str">
        <f>IF(A669="","",IFERROR(INDEX(Maniobras!$K$5:$K$504,MATCH(A669,Maniobras!$A$5:$A$504,0)),""))</f>
        <v/>
      </c>
      <c r="G669" s="29"/>
      <c r="H669" s="29"/>
      <c r="I669" s="29" t="str">
        <f t="shared" si="21"/>
        <v/>
      </c>
      <c r="K669" s="30"/>
      <c r="M669" t="str">
        <f>IF($A669=Ficha!$B$3,COUNTIF($A$5:$A669,Ficha!$B$3),"")</f>
        <v/>
      </c>
    </row>
    <row r="670" spans="2:13" x14ac:dyDescent="0.3">
      <c r="B670" s="30" t="str">
        <f>IF(A670="","",IFERROR(INDEX(Maniobras!$B$5:$B$504,MATCH(A670,Maniobras!$A$5:$A$504,0)),""))</f>
        <v/>
      </c>
      <c r="C670" t="str">
        <f t="shared" si="20"/>
        <v/>
      </c>
      <c r="D670" t="str">
        <f>IF(A670="","",IFERROR(INDEX(Maniobras!$D$5:$D$504,MATCH(A670,Maniobras!$A$5:$A$504,0)),""))</f>
        <v/>
      </c>
      <c r="F670" s="29" t="str">
        <f>IF(A670="","",IFERROR(INDEX(Maniobras!$K$5:$K$504,MATCH(A670,Maniobras!$A$5:$A$504,0)),""))</f>
        <v/>
      </c>
      <c r="G670" s="29"/>
      <c r="H670" s="29"/>
      <c r="I670" s="29" t="str">
        <f t="shared" si="21"/>
        <v/>
      </c>
      <c r="K670" s="30"/>
      <c r="M670" t="str">
        <f>IF($A670=Ficha!$B$3,COUNTIF($A$5:$A670,Ficha!$B$3),"")</f>
        <v/>
      </c>
    </row>
    <row r="671" spans="2:13" x14ac:dyDescent="0.3">
      <c r="B671" s="30" t="str">
        <f>IF(A671="","",IFERROR(INDEX(Maniobras!$B$5:$B$504,MATCH(A671,Maniobras!$A$5:$A$504,0)),""))</f>
        <v/>
      </c>
      <c r="C671" t="str">
        <f t="shared" si="20"/>
        <v/>
      </c>
      <c r="D671" t="str">
        <f>IF(A671="","",IFERROR(INDEX(Maniobras!$D$5:$D$504,MATCH(A671,Maniobras!$A$5:$A$504,0)),""))</f>
        <v/>
      </c>
      <c r="F671" s="29" t="str">
        <f>IF(A671="","",IFERROR(INDEX(Maniobras!$K$5:$K$504,MATCH(A671,Maniobras!$A$5:$A$504,0)),""))</f>
        <v/>
      </c>
      <c r="G671" s="29"/>
      <c r="H671" s="29"/>
      <c r="I671" s="29" t="str">
        <f t="shared" si="21"/>
        <v/>
      </c>
      <c r="K671" s="30"/>
      <c r="M671" t="str">
        <f>IF($A671=Ficha!$B$3,COUNTIF($A$5:$A671,Ficha!$B$3),"")</f>
        <v/>
      </c>
    </row>
    <row r="672" spans="2:13" x14ac:dyDescent="0.3">
      <c r="B672" s="30" t="str">
        <f>IF(A672="","",IFERROR(INDEX(Maniobras!$B$5:$B$504,MATCH(A672,Maniobras!$A$5:$A$504,0)),""))</f>
        <v/>
      </c>
      <c r="C672" t="str">
        <f t="shared" si="20"/>
        <v/>
      </c>
      <c r="D672" t="str">
        <f>IF(A672="","",IFERROR(INDEX(Maniobras!$D$5:$D$504,MATCH(A672,Maniobras!$A$5:$A$504,0)),""))</f>
        <v/>
      </c>
      <c r="F672" s="29" t="str">
        <f>IF(A672="","",IFERROR(INDEX(Maniobras!$K$5:$K$504,MATCH(A672,Maniobras!$A$5:$A$504,0)),""))</f>
        <v/>
      </c>
      <c r="G672" s="29"/>
      <c r="H672" s="29"/>
      <c r="I672" s="29" t="str">
        <f t="shared" si="21"/>
        <v/>
      </c>
      <c r="K672" s="30"/>
      <c r="M672" t="str">
        <f>IF($A672=Ficha!$B$3,COUNTIF($A$5:$A672,Ficha!$B$3),"")</f>
        <v/>
      </c>
    </row>
    <row r="673" spans="2:13" x14ac:dyDescent="0.3">
      <c r="B673" s="30" t="str">
        <f>IF(A673="","",IFERROR(INDEX(Maniobras!$B$5:$B$504,MATCH(A673,Maniobras!$A$5:$A$504,0)),""))</f>
        <v/>
      </c>
      <c r="C673" t="str">
        <f t="shared" si="20"/>
        <v/>
      </c>
      <c r="D673" t="str">
        <f>IF(A673="","",IFERROR(INDEX(Maniobras!$D$5:$D$504,MATCH(A673,Maniobras!$A$5:$A$504,0)),""))</f>
        <v/>
      </c>
      <c r="F673" s="29" t="str">
        <f>IF(A673="","",IFERROR(INDEX(Maniobras!$K$5:$K$504,MATCH(A673,Maniobras!$A$5:$A$504,0)),""))</f>
        <v/>
      </c>
      <c r="G673" s="29"/>
      <c r="H673" s="29"/>
      <c r="I673" s="29" t="str">
        <f t="shared" si="21"/>
        <v/>
      </c>
      <c r="K673" s="30"/>
      <c r="M673" t="str">
        <f>IF($A673=Ficha!$B$3,COUNTIF($A$5:$A673,Ficha!$B$3),"")</f>
        <v/>
      </c>
    </row>
    <row r="674" spans="2:13" x14ac:dyDescent="0.3">
      <c r="B674" s="30" t="str">
        <f>IF(A674="","",IFERROR(INDEX(Maniobras!$B$5:$B$504,MATCH(A674,Maniobras!$A$5:$A$504,0)),""))</f>
        <v/>
      </c>
      <c r="C674" t="str">
        <f t="shared" si="20"/>
        <v/>
      </c>
      <c r="D674" t="str">
        <f>IF(A674="","",IFERROR(INDEX(Maniobras!$D$5:$D$504,MATCH(A674,Maniobras!$A$5:$A$504,0)),""))</f>
        <v/>
      </c>
      <c r="F674" s="29" t="str">
        <f>IF(A674="","",IFERROR(INDEX(Maniobras!$K$5:$K$504,MATCH(A674,Maniobras!$A$5:$A$504,0)),""))</f>
        <v/>
      </c>
      <c r="G674" s="29"/>
      <c r="H674" s="29"/>
      <c r="I674" s="29" t="str">
        <f t="shared" si="21"/>
        <v/>
      </c>
      <c r="K674" s="30"/>
      <c r="M674" t="str">
        <f>IF($A674=Ficha!$B$3,COUNTIF($A$5:$A674,Ficha!$B$3),"")</f>
        <v/>
      </c>
    </row>
    <row r="675" spans="2:13" x14ac:dyDescent="0.3">
      <c r="B675" s="30" t="str">
        <f>IF(A675="","",IFERROR(INDEX(Maniobras!$B$5:$B$504,MATCH(A675,Maniobras!$A$5:$A$504,0)),""))</f>
        <v/>
      </c>
      <c r="C675" t="str">
        <f t="shared" si="20"/>
        <v/>
      </c>
      <c r="D675" t="str">
        <f>IF(A675="","",IFERROR(INDEX(Maniobras!$D$5:$D$504,MATCH(A675,Maniobras!$A$5:$A$504,0)),""))</f>
        <v/>
      </c>
      <c r="F675" s="29" t="str">
        <f>IF(A675="","",IFERROR(INDEX(Maniobras!$K$5:$K$504,MATCH(A675,Maniobras!$A$5:$A$504,0)),""))</f>
        <v/>
      </c>
      <c r="G675" s="29"/>
      <c r="H675" s="29"/>
      <c r="I675" s="29" t="str">
        <f t="shared" si="21"/>
        <v/>
      </c>
      <c r="K675" s="30"/>
      <c r="M675" t="str">
        <f>IF($A675=Ficha!$B$3,COUNTIF($A$5:$A675,Ficha!$B$3),"")</f>
        <v/>
      </c>
    </row>
    <row r="676" spans="2:13" x14ac:dyDescent="0.3">
      <c r="B676" s="30" t="str">
        <f>IF(A676="","",IFERROR(INDEX(Maniobras!$B$5:$B$504,MATCH(A676,Maniobras!$A$5:$A$504,0)),""))</f>
        <v/>
      </c>
      <c r="C676" t="str">
        <f t="shared" si="20"/>
        <v/>
      </c>
      <c r="D676" t="str">
        <f>IF(A676="","",IFERROR(INDEX(Maniobras!$D$5:$D$504,MATCH(A676,Maniobras!$A$5:$A$504,0)),""))</f>
        <v/>
      </c>
      <c r="F676" s="29" t="str">
        <f>IF(A676="","",IFERROR(INDEX(Maniobras!$K$5:$K$504,MATCH(A676,Maniobras!$A$5:$A$504,0)),""))</f>
        <v/>
      </c>
      <c r="G676" s="29"/>
      <c r="H676" s="29"/>
      <c r="I676" s="29" t="str">
        <f t="shared" si="21"/>
        <v/>
      </c>
      <c r="K676" s="30"/>
      <c r="M676" t="str">
        <f>IF($A676=Ficha!$B$3,COUNTIF($A$5:$A676,Ficha!$B$3),"")</f>
        <v/>
      </c>
    </row>
    <row r="677" spans="2:13" x14ac:dyDescent="0.3">
      <c r="B677" s="30" t="str">
        <f>IF(A677="","",IFERROR(INDEX(Maniobras!$B$5:$B$504,MATCH(A677,Maniobras!$A$5:$A$504,0)),""))</f>
        <v/>
      </c>
      <c r="C677" t="str">
        <f t="shared" si="20"/>
        <v/>
      </c>
      <c r="D677" t="str">
        <f>IF(A677="","",IFERROR(INDEX(Maniobras!$D$5:$D$504,MATCH(A677,Maniobras!$A$5:$A$504,0)),""))</f>
        <v/>
      </c>
      <c r="F677" s="29" t="str">
        <f>IF(A677="","",IFERROR(INDEX(Maniobras!$K$5:$K$504,MATCH(A677,Maniobras!$A$5:$A$504,0)),""))</f>
        <v/>
      </c>
      <c r="G677" s="29"/>
      <c r="H677" s="29"/>
      <c r="I677" s="29" t="str">
        <f t="shared" si="21"/>
        <v/>
      </c>
      <c r="K677" s="30"/>
      <c r="M677" t="str">
        <f>IF($A677=Ficha!$B$3,COUNTIF($A$5:$A677,Ficha!$B$3),"")</f>
        <v/>
      </c>
    </row>
    <row r="678" spans="2:13" x14ac:dyDescent="0.3">
      <c r="B678" s="30" t="str">
        <f>IF(A678="","",IFERROR(INDEX(Maniobras!$B$5:$B$504,MATCH(A678,Maniobras!$A$5:$A$504,0)),""))</f>
        <v/>
      </c>
      <c r="C678" t="str">
        <f t="shared" si="20"/>
        <v/>
      </c>
      <c r="D678" t="str">
        <f>IF(A678="","",IFERROR(INDEX(Maniobras!$D$5:$D$504,MATCH(A678,Maniobras!$A$5:$A$504,0)),""))</f>
        <v/>
      </c>
      <c r="F678" s="29" t="str">
        <f>IF(A678="","",IFERROR(INDEX(Maniobras!$K$5:$K$504,MATCH(A678,Maniobras!$A$5:$A$504,0)),""))</f>
        <v/>
      </c>
      <c r="G678" s="29"/>
      <c r="H678" s="29"/>
      <c r="I678" s="29" t="str">
        <f t="shared" si="21"/>
        <v/>
      </c>
      <c r="K678" s="30"/>
      <c r="M678" t="str">
        <f>IF($A678=Ficha!$B$3,COUNTIF($A$5:$A678,Ficha!$B$3),"")</f>
        <v/>
      </c>
    </row>
    <row r="679" spans="2:13" x14ac:dyDescent="0.3">
      <c r="B679" s="30" t="str">
        <f>IF(A679="","",IFERROR(INDEX(Maniobras!$B$5:$B$504,MATCH(A679,Maniobras!$A$5:$A$504,0)),""))</f>
        <v/>
      </c>
      <c r="C679" t="str">
        <f t="shared" si="20"/>
        <v/>
      </c>
      <c r="D679" t="str">
        <f>IF(A679="","",IFERROR(INDEX(Maniobras!$D$5:$D$504,MATCH(A679,Maniobras!$A$5:$A$504,0)),""))</f>
        <v/>
      </c>
      <c r="F679" s="29" t="str">
        <f>IF(A679="","",IFERROR(INDEX(Maniobras!$K$5:$K$504,MATCH(A679,Maniobras!$A$5:$A$504,0)),""))</f>
        <v/>
      </c>
      <c r="G679" s="29"/>
      <c r="H679" s="29"/>
      <c r="I679" s="29" t="str">
        <f t="shared" si="21"/>
        <v/>
      </c>
      <c r="K679" s="30"/>
      <c r="M679" t="str">
        <f>IF($A679=Ficha!$B$3,COUNTIF($A$5:$A679,Ficha!$B$3),"")</f>
        <v/>
      </c>
    </row>
    <row r="680" spans="2:13" x14ac:dyDescent="0.3">
      <c r="B680" s="30" t="str">
        <f>IF(A680="","",IFERROR(INDEX(Maniobras!$B$5:$B$504,MATCH(A680,Maniobras!$A$5:$A$504,0)),""))</f>
        <v/>
      </c>
      <c r="C680" t="str">
        <f t="shared" si="20"/>
        <v/>
      </c>
      <c r="D680" t="str">
        <f>IF(A680="","",IFERROR(INDEX(Maniobras!$D$5:$D$504,MATCH(A680,Maniobras!$A$5:$A$504,0)),""))</f>
        <v/>
      </c>
      <c r="F680" s="29" t="str">
        <f>IF(A680="","",IFERROR(INDEX(Maniobras!$K$5:$K$504,MATCH(A680,Maniobras!$A$5:$A$504,0)),""))</f>
        <v/>
      </c>
      <c r="G680" s="29"/>
      <c r="H680" s="29"/>
      <c r="I680" s="29" t="str">
        <f t="shared" si="21"/>
        <v/>
      </c>
      <c r="K680" s="30"/>
      <c r="M680" t="str">
        <f>IF($A680=Ficha!$B$3,COUNTIF($A$5:$A680,Ficha!$B$3),"")</f>
        <v/>
      </c>
    </row>
    <row r="681" spans="2:13" x14ac:dyDescent="0.3">
      <c r="B681" s="30" t="str">
        <f>IF(A681="","",IFERROR(INDEX(Maniobras!$B$5:$B$504,MATCH(A681,Maniobras!$A$5:$A$504,0)),""))</f>
        <v/>
      </c>
      <c r="C681" t="str">
        <f t="shared" si="20"/>
        <v/>
      </c>
      <c r="D681" t="str">
        <f>IF(A681="","",IFERROR(INDEX(Maniobras!$D$5:$D$504,MATCH(A681,Maniobras!$A$5:$A$504,0)),""))</f>
        <v/>
      </c>
      <c r="F681" s="29" t="str">
        <f>IF(A681="","",IFERROR(INDEX(Maniobras!$K$5:$K$504,MATCH(A681,Maniobras!$A$5:$A$504,0)),""))</f>
        <v/>
      </c>
      <c r="G681" s="29"/>
      <c r="H681" s="29"/>
      <c r="I681" s="29" t="str">
        <f t="shared" si="21"/>
        <v/>
      </c>
      <c r="K681" s="30"/>
      <c r="M681" t="str">
        <f>IF($A681=Ficha!$B$3,COUNTIF($A$5:$A681,Ficha!$B$3),"")</f>
        <v/>
      </c>
    </row>
    <row r="682" spans="2:13" x14ac:dyDescent="0.3">
      <c r="B682" s="30" t="str">
        <f>IF(A682="","",IFERROR(INDEX(Maniobras!$B$5:$B$504,MATCH(A682,Maniobras!$A$5:$A$504,0)),""))</f>
        <v/>
      </c>
      <c r="C682" t="str">
        <f t="shared" si="20"/>
        <v/>
      </c>
      <c r="D682" t="str">
        <f>IF(A682="","",IFERROR(INDEX(Maniobras!$D$5:$D$504,MATCH(A682,Maniobras!$A$5:$A$504,0)),""))</f>
        <v/>
      </c>
      <c r="F682" s="29" t="str">
        <f>IF(A682="","",IFERROR(INDEX(Maniobras!$K$5:$K$504,MATCH(A682,Maniobras!$A$5:$A$504,0)),""))</f>
        <v/>
      </c>
      <c r="G682" s="29"/>
      <c r="H682" s="29"/>
      <c r="I682" s="29" t="str">
        <f t="shared" si="21"/>
        <v/>
      </c>
      <c r="K682" s="30"/>
      <c r="M682" t="str">
        <f>IF($A682=Ficha!$B$3,COUNTIF($A$5:$A682,Ficha!$B$3),"")</f>
        <v/>
      </c>
    </row>
    <row r="683" spans="2:13" x14ac:dyDescent="0.3">
      <c r="B683" s="30" t="str">
        <f>IF(A683="","",IFERROR(INDEX(Maniobras!$B$5:$B$504,MATCH(A683,Maniobras!$A$5:$A$504,0)),""))</f>
        <v/>
      </c>
      <c r="C683" t="str">
        <f t="shared" si="20"/>
        <v/>
      </c>
      <c r="D683" t="str">
        <f>IF(A683="","",IFERROR(INDEX(Maniobras!$D$5:$D$504,MATCH(A683,Maniobras!$A$5:$A$504,0)),""))</f>
        <v/>
      </c>
      <c r="F683" s="29" t="str">
        <f>IF(A683="","",IFERROR(INDEX(Maniobras!$K$5:$K$504,MATCH(A683,Maniobras!$A$5:$A$504,0)),""))</f>
        <v/>
      </c>
      <c r="G683" s="29"/>
      <c r="H683" s="29"/>
      <c r="I683" s="29" t="str">
        <f t="shared" si="21"/>
        <v/>
      </c>
      <c r="K683" s="30"/>
      <c r="M683" t="str">
        <f>IF($A683=Ficha!$B$3,COUNTIF($A$5:$A683,Ficha!$B$3),"")</f>
        <v/>
      </c>
    </row>
    <row r="684" spans="2:13" x14ac:dyDescent="0.3">
      <c r="B684" s="30" t="str">
        <f>IF(A684="","",IFERROR(INDEX(Maniobras!$B$5:$B$504,MATCH(A684,Maniobras!$A$5:$A$504,0)),""))</f>
        <v/>
      </c>
      <c r="C684" t="str">
        <f t="shared" si="20"/>
        <v/>
      </c>
      <c r="D684" t="str">
        <f>IF(A684="","",IFERROR(INDEX(Maniobras!$D$5:$D$504,MATCH(A684,Maniobras!$A$5:$A$504,0)),""))</f>
        <v/>
      </c>
      <c r="F684" s="29" t="str">
        <f>IF(A684="","",IFERROR(INDEX(Maniobras!$K$5:$K$504,MATCH(A684,Maniobras!$A$5:$A$504,0)),""))</f>
        <v/>
      </c>
      <c r="G684" s="29"/>
      <c r="H684" s="29"/>
      <c r="I684" s="29" t="str">
        <f t="shared" si="21"/>
        <v/>
      </c>
      <c r="K684" s="30"/>
      <c r="M684" t="str">
        <f>IF($A684=Ficha!$B$3,COUNTIF($A$5:$A684,Ficha!$B$3),"")</f>
        <v/>
      </c>
    </row>
    <row r="685" spans="2:13" x14ac:dyDescent="0.3">
      <c r="B685" s="30" t="str">
        <f>IF(A685="","",IFERROR(INDEX(Maniobras!$B$5:$B$504,MATCH(A685,Maniobras!$A$5:$A$504,0)),""))</f>
        <v/>
      </c>
      <c r="C685" t="str">
        <f t="shared" si="20"/>
        <v/>
      </c>
      <c r="D685" t="str">
        <f>IF(A685="","",IFERROR(INDEX(Maniobras!$D$5:$D$504,MATCH(A685,Maniobras!$A$5:$A$504,0)),""))</f>
        <v/>
      </c>
      <c r="F685" s="29" t="str">
        <f>IF(A685="","",IFERROR(INDEX(Maniobras!$K$5:$K$504,MATCH(A685,Maniobras!$A$5:$A$504,0)),""))</f>
        <v/>
      </c>
      <c r="G685" s="29"/>
      <c r="H685" s="29"/>
      <c r="I685" s="29" t="str">
        <f t="shared" si="21"/>
        <v/>
      </c>
      <c r="K685" s="30"/>
      <c r="M685" t="str">
        <f>IF($A685=Ficha!$B$3,COUNTIF($A$5:$A685,Ficha!$B$3),"")</f>
        <v/>
      </c>
    </row>
    <row r="686" spans="2:13" x14ac:dyDescent="0.3">
      <c r="B686" s="30" t="str">
        <f>IF(A686="","",IFERROR(INDEX(Maniobras!$B$5:$B$504,MATCH(A686,Maniobras!$A$5:$A$504,0)),""))</f>
        <v/>
      </c>
      <c r="C686" t="str">
        <f t="shared" si="20"/>
        <v/>
      </c>
      <c r="D686" t="str">
        <f>IF(A686="","",IFERROR(INDEX(Maniobras!$D$5:$D$504,MATCH(A686,Maniobras!$A$5:$A$504,0)),""))</f>
        <v/>
      </c>
      <c r="F686" s="29" t="str">
        <f>IF(A686="","",IFERROR(INDEX(Maniobras!$K$5:$K$504,MATCH(A686,Maniobras!$A$5:$A$504,0)),""))</f>
        <v/>
      </c>
      <c r="G686" s="29"/>
      <c r="H686" s="29"/>
      <c r="I686" s="29" t="str">
        <f t="shared" si="21"/>
        <v/>
      </c>
      <c r="K686" s="30"/>
      <c r="M686" t="str">
        <f>IF($A686=Ficha!$B$3,COUNTIF($A$5:$A686,Ficha!$B$3),"")</f>
        <v/>
      </c>
    </row>
    <row r="687" spans="2:13" x14ac:dyDescent="0.3">
      <c r="B687" s="30" t="str">
        <f>IF(A687="","",IFERROR(INDEX(Maniobras!$B$5:$B$504,MATCH(A687,Maniobras!$A$5:$A$504,0)),""))</f>
        <v/>
      </c>
      <c r="C687" t="str">
        <f t="shared" si="20"/>
        <v/>
      </c>
      <c r="D687" t="str">
        <f>IF(A687="","",IFERROR(INDEX(Maniobras!$D$5:$D$504,MATCH(A687,Maniobras!$A$5:$A$504,0)),""))</f>
        <v/>
      </c>
      <c r="F687" s="29" t="str">
        <f>IF(A687="","",IFERROR(INDEX(Maniobras!$K$5:$K$504,MATCH(A687,Maniobras!$A$5:$A$504,0)),""))</f>
        <v/>
      </c>
      <c r="G687" s="29"/>
      <c r="H687" s="29"/>
      <c r="I687" s="29" t="str">
        <f t="shared" si="21"/>
        <v/>
      </c>
      <c r="K687" s="30"/>
      <c r="M687" t="str">
        <f>IF($A687=Ficha!$B$3,COUNTIF($A$5:$A687,Ficha!$B$3),"")</f>
        <v/>
      </c>
    </row>
    <row r="688" spans="2:13" x14ac:dyDescent="0.3">
      <c r="B688" s="30" t="str">
        <f>IF(A688="","",IFERROR(INDEX(Maniobras!$B$5:$B$504,MATCH(A688,Maniobras!$A$5:$A$504,0)),""))</f>
        <v/>
      </c>
      <c r="C688" t="str">
        <f t="shared" si="20"/>
        <v/>
      </c>
      <c r="D688" t="str">
        <f>IF(A688="","",IFERROR(INDEX(Maniobras!$D$5:$D$504,MATCH(A688,Maniobras!$A$5:$A$504,0)),""))</f>
        <v/>
      </c>
      <c r="F688" s="29" t="str">
        <f>IF(A688="","",IFERROR(INDEX(Maniobras!$K$5:$K$504,MATCH(A688,Maniobras!$A$5:$A$504,0)),""))</f>
        <v/>
      </c>
      <c r="G688" s="29"/>
      <c r="H688" s="29"/>
      <c r="I688" s="29" t="str">
        <f t="shared" si="21"/>
        <v/>
      </c>
      <c r="K688" s="30"/>
      <c r="M688" t="str">
        <f>IF($A688=Ficha!$B$3,COUNTIF($A$5:$A688,Ficha!$B$3),"")</f>
        <v/>
      </c>
    </row>
    <row r="689" spans="2:13" x14ac:dyDescent="0.3">
      <c r="B689" s="30" t="str">
        <f>IF(A689="","",IFERROR(INDEX(Maniobras!$B$5:$B$504,MATCH(A689,Maniobras!$A$5:$A$504,0)),""))</f>
        <v/>
      </c>
      <c r="C689" t="str">
        <f t="shared" si="20"/>
        <v/>
      </c>
      <c r="D689" t="str">
        <f>IF(A689="","",IFERROR(INDEX(Maniobras!$D$5:$D$504,MATCH(A689,Maniobras!$A$5:$A$504,0)),""))</f>
        <v/>
      </c>
      <c r="F689" s="29" t="str">
        <f>IF(A689="","",IFERROR(INDEX(Maniobras!$K$5:$K$504,MATCH(A689,Maniobras!$A$5:$A$504,0)),""))</f>
        <v/>
      </c>
      <c r="G689" s="29"/>
      <c r="H689" s="29"/>
      <c r="I689" s="29" t="str">
        <f t="shared" si="21"/>
        <v/>
      </c>
      <c r="K689" s="30"/>
      <c r="M689" t="str">
        <f>IF($A689=Ficha!$B$3,COUNTIF($A$5:$A689,Ficha!$B$3),"")</f>
        <v/>
      </c>
    </row>
    <row r="690" spans="2:13" x14ac:dyDescent="0.3">
      <c r="B690" s="30" t="str">
        <f>IF(A690="","",IFERROR(INDEX(Maniobras!$B$5:$B$504,MATCH(A690,Maniobras!$A$5:$A$504,0)),""))</f>
        <v/>
      </c>
      <c r="C690" t="str">
        <f t="shared" si="20"/>
        <v/>
      </c>
      <c r="D690" t="str">
        <f>IF(A690="","",IFERROR(INDEX(Maniobras!$D$5:$D$504,MATCH(A690,Maniobras!$A$5:$A$504,0)),""))</f>
        <v/>
      </c>
      <c r="F690" s="29" t="str">
        <f>IF(A690="","",IFERROR(INDEX(Maniobras!$K$5:$K$504,MATCH(A690,Maniobras!$A$5:$A$504,0)),""))</f>
        <v/>
      </c>
      <c r="G690" s="29"/>
      <c r="H690" s="29"/>
      <c r="I690" s="29" t="str">
        <f t="shared" si="21"/>
        <v/>
      </c>
      <c r="K690" s="30"/>
      <c r="M690" t="str">
        <f>IF($A690=Ficha!$B$3,COUNTIF($A$5:$A690,Ficha!$B$3),"")</f>
        <v/>
      </c>
    </row>
    <row r="691" spans="2:13" x14ac:dyDescent="0.3">
      <c r="B691" s="30" t="str">
        <f>IF(A691="","",IFERROR(INDEX(Maniobras!$B$5:$B$504,MATCH(A691,Maniobras!$A$5:$A$504,0)),""))</f>
        <v/>
      </c>
      <c r="C691" t="str">
        <f t="shared" si="20"/>
        <v/>
      </c>
      <c r="D691" t="str">
        <f>IF(A691="","",IFERROR(INDEX(Maniobras!$D$5:$D$504,MATCH(A691,Maniobras!$A$5:$A$504,0)),""))</f>
        <v/>
      </c>
      <c r="F691" s="29" t="str">
        <f>IF(A691="","",IFERROR(INDEX(Maniobras!$K$5:$K$504,MATCH(A691,Maniobras!$A$5:$A$504,0)),""))</f>
        <v/>
      </c>
      <c r="G691" s="29"/>
      <c r="H691" s="29"/>
      <c r="I691" s="29" t="str">
        <f t="shared" si="21"/>
        <v/>
      </c>
      <c r="K691" s="30"/>
      <c r="M691" t="str">
        <f>IF($A691=Ficha!$B$3,COUNTIF($A$5:$A691,Ficha!$B$3),"")</f>
        <v/>
      </c>
    </row>
    <row r="692" spans="2:13" x14ac:dyDescent="0.3">
      <c r="B692" s="30" t="str">
        <f>IF(A692="","",IFERROR(INDEX(Maniobras!$B$5:$B$504,MATCH(A692,Maniobras!$A$5:$A$504,0)),""))</f>
        <v/>
      </c>
      <c r="C692" t="str">
        <f t="shared" si="20"/>
        <v/>
      </c>
      <c r="D692" t="str">
        <f>IF(A692="","",IFERROR(INDEX(Maniobras!$D$5:$D$504,MATCH(A692,Maniobras!$A$5:$A$504,0)),""))</f>
        <v/>
      </c>
      <c r="F692" s="29" t="str">
        <f>IF(A692="","",IFERROR(INDEX(Maniobras!$K$5:$K$504,MATCH(A692,Maniobras!$A$5:$A$504,0)),""))</f>
        <v/>
      </c>
      <c r="G692" s="29"/>
      <c r="H692" s="29"/>
      <c r="I692" s="29" t="str">
        <f t="shared" si="21"/>
        <v/>
      </c>
      <c r="K692" s="30"/>
      <c r="M692" t="str">
        <f>IF($A692=Ficha!$B$3,COUNTIF($A$5:$A692,Ficha!$B$3),"")</f>
        <v/>
      </c>
    </row>
    <row r="693" spans="2:13" x14ac:dyDescent="0.3">
      <c r="B693" s="30" t="str">
        <f>IF(A693="","",IFERROR(INDEX(Maniobras!$B$5:$B$504,MATCH(A693,Maniobras!$A$5:$A$504,0)),""))</f>
        <v/>
      </c>
      <c r="C693" t="str">
        <f t="shared" si="20"/>
        <v/>
      </c>
      <c r="D693" t="str">
        <f>IF(A693="","",IFERROR(INDEX(Maniobras!$D$5:$D$504,MATCH(A693,Maniobras!$A$5:$A$504,0)),""))</f>
        <v/>
      </c>
      <c r="F693" s="29" t="str">
        <f>IF(A693="","",IFERROR(INDEX(Maniobras!$K$5:$K$504,MATCH(A693,Maniobras!$A$5:$A$504,0)),""))</f>
        <v/>
      </c>
      <c r="G693" s="29"/>
      <c r="H693" s="29"/>
      <c r="I693" s="29" t="str">
        <f t="shared" si="21"/>
        <v/>
      </c>
      <c r="K693" s="30"/>
      <c r="M693" t="str">
        <f>IF($A693=Ficha!$B$3,COUNTIF($A$5:$A693,Ficha!$B$3),"")</f>
        <v/>
      </c>
    </row>
    <row r="694" spans="2:13" x14ac:dyDescent="0.3">
      <c r="B694" s="30" t="str">
        <f>IF(A694="","",IFERROR(INDEX(Maniobras!$B$5:$B$504,MATCH(A694,Maniobras!$A$5:$A$504,0)),""))</f>
        <v/>
      </c>
      <c r="C694" t="str">
        <f t="shared" si="20"/>
        <v/>
      </c>
      <c r="D694" t="str">
        <f>IF(A694="","",IFERROR(INDEX(Maniobras!$D$5:$D$504,MATCH(A694,Maniobras!$A$5:$A$504,0)),""))</f>
        <v/>
      </c>
      <c r="F694" s="29" t="str">
        <f>IF(A694="","",IFERROR(INDEX(Maniobras!$K$5:$K$504,MATCH(A694,Maniobras!$A$5:$A$504,0)),""))</f>
        <v/>
      </c>
      <c r="G694" s="29"/>
      <c r="H694" s="29"/>
      <c r="I694" s="29" t="str">
        <f t="shared" si="21"/>
        <v/>
      </c>
      <c r="K694" s="30"/>
      <c r="M694" t="str">
        <f>IF($A694=Ficha!$B$3,COUNTIF($A$5:$A694,Ficha!$B$3),"")</f>
        <v/>
      </c>
    </row>
    <row r="695" spans="2:13" x14ac:dyDescent="0.3">
      <c r="B695" s="30" t="str">
        <f>IF(A695="","",IFERROR(INDEX(Maniobras!$B$5:$B$504,MATCH(A695,Maniobras!$A$5:$A$504,0)),""))</f>
        <v/>
      </c>
      <c r="C695" t="str">
        <f t="shared" si="20"/>
        <v/>
      </c>
      <c r="D695" t="str">
        <f>IF(A695="","",IFERROR(INDEX(Maniobras!$D$5:$D$504,MATCH(A695,Maniobras!$A$5:$A$504,0)),""))</f>
        <v/>
      </c>
      <c r="F695" s="29" t="str">
        <f>IF(A695="","",IFERROR(INDEX(Maniobras!$K$5:$K$504,MATCH(A695,Maniobras!$A$5:$A$504,0)),""))</f>
        <v/>
      </c>
      <c r="G695" s="29"/>
      <c r="H695" s="29"/>
      <c r="I695" s="29" t="str">
        <f t="shared" si="21"/>
        <v/>
      </c>
      <c r="K695" s="30"/>
      <c r="M695" t="str">
        <f>IF($A695=Ficha!$B$3,COUNTIF($A$5:$A695,Ficha!$B$3),"")</f>
        <v/>
      </c>
    </row>
    <row r="696" spans="2:13" x14ac:dyDescent="0.3">
      <c r="B696" s="30" t="str">
        <f>IF(A696="","",IFERROR(INDEX(Maniobras!$B$5:$B$504,MATCH(A696,Maniobras!$A$5:$A$504,0)),""))</f>
        <v/>
      </c>
      <c r="C696" t="str">
        <f t="shared" si="20"/>
        <v/>
      </c>
      <c r="D696" t="str">
        <f>IF(A696="","",IFERROR(INDEX(Maniobras!$D$5:$D$504,MATCH(A696,Maniobras!$A$5:$A$504,0)),""))</f>
        <v/>
      </c>
      <c r="F696" s="29" t="str">
        <f>IF(A696="","",IFERROR(INDEX(Maniobras!$K$5:$K$504,MATCH(A696,Maniobras!$A$5:$A$504,0)),""))</f>
        <v/>
      </c>
      <c r="G696" s="29"/>
      <c r="H696" s="29"/>
      <c r="I696" s="29" t="str">
        <f t="shared" si="21"/>
        <v/>
      </c>
      <c r="K696" s="30"/>
      <c r="M696" t="str">
        <f>IF($A696=Ficha!$B$3,COUNTIF($A$5:$A696,Ficha!$B$3),"")</f>
        <v/>
      </c>
    </row>
    <row r="697" spans="2:13" x14ac:dyDescent="0.3">
      <c r="B697" s="30" t="str">
        <f>IF(A697="","",IFERROR(INDEX(Maniobras!$B$5:$B$504,MATCH(A697,Maniobras!$A$5:$A$504,0)),""))</f>
        <v/>
      </c>
      <c r="C697" t="str">
        <f t="shared" si="20"/>
        <v/>
      </c>
      <c r="D697" t="str">
        <f>IF(A697="","",IFERROR(INDEX(Maniobras!$D$5:$D$504,MATCH(A697,Maniobras!$A$5:$A$504,0)),""))</f>
        <v/>
      </c>
      <c r="F697" s="29" t="str">
        <f>IF(A697="","",IFERROR(INDEX(Maniobras!$K$5:$K$504,MATCH(A697,Maniobras!$A$5:$A$504,0)),""))</f>
        <v/>
      </c>
      <c r="G697" s="29"/>
      <c r="H697" s="29"/>
      <c r="I697" s="29" t="str">
        <f t="shared" si="21"/>
        <v/>
      </c>
      <c r="K697" s="30"/>
      <c r="M697" t="str">
        <f>IF($A697=Ficha!$B$3,COUNTIF($A$5:$A697,Ficha!$B$3),"")</f>
        <v/>
      </c>
    </row>
    <row r="698" spans="2:13" x14ac:dyDescent="0.3">
      <c r="B698" s="30" t="str">
        <f>IF(A698="","",IFERROR(INDEX(Maniobras!$B$5:$B$504,MATCH(A698,Maniobras!$A$5:$A$504,0)),""))</f>
        <v/>
      </c>
      <c r="C698" t="str">
        <f t="shared" si="20"/>
        <v/>
      </c>
      <c r="D698" t="str">
        <f>IF(A698="","",IFERROR(INDEX(Maniobras!$D$5:$D$504,MATCH(A698,Maniobras!$A$5:$A$504,0)),""))</f>
        <v/>
      </c>
      <c r="F698" s="29" t="str">
        <f>IF(A698="","",IFERROR(INDEX(Maniobras!$K$5:$K$504,MATCH(A698,Maniobras!$A$5:$A$504,0)),""))</f>
        <v/>
      </c>
      <c r="G698" s="29"/>
      <c r="H698" s="29"/>
      <c r="I698" s="29" t="str">
        <f t="shared" si="21"/>
        <v/>
      </c>
      <c r="K698" s="30"/>
      <c r="M698" t="str">
        <f>IF($A698=Ficha!$B$3,COUNTIF($A$5:$A698,Ficha!$B$3),"")</f>
        <v/>
      </c>
    </row>
    <row r="699" spans="2:13" x14ac:dyDescent="0.3">
      <c r="B699" s="30" t="str">
        <f>IF(A699="","",IFERROR(INDEX(Maniobras!$B$5:$B$504,MATCH(A699,Maniobras!$A$5:$A$504,0)),""))</f>
        <v/>
      </c>
      <c r="C699" t="str">
        <f t="shared" si="20"/>
        <v/>
      </c>
      <c r="D699" t="str">
        <f>IF(A699="","",IFERROR(INDEX(Maniobras!$D$5:$D$504,MATCH(A699,Maniobras!$A$5:$A$504,0)),""))</f>
        <v/>
      </c>
      <c r="F699" s="29" t="str">
        <f>IF(A699="","",IFERROR(INDEX(Maniobras!$K$5:$K$504,MATCH(A699,Maniobras!$A$5:$A$504,0)),""))</f>
        <v/>
      </c>
      <c r="G699" s="29"/>
      <c r="H699" s="29"/>
      <c r="I699" s="29" t="str">
        <f t="shared" si="21"/>
        <v/>
      </c>
      <c r="K699" s="30"/>
      <c r="M699" t="str">
        <f>IF($A699=Ficha!$B$3,COUNTIF($A$5:$A699,Ficha!$B$3),"")</f>
        <v/>
      </c>
    </row>
    <row r="700" spans="2:13" x14ac:dyDescent="0.3">
      <c r="B700" s="30" t="str">
        <f>IF(A700="","",IFERROR(INDEX(Maniobras!$B$5:$B$504,MATCH(A700,Maniobras!$A$5:$A$504,0)),""))</f>
        <v/>
      </c>
      <c r="C700" t="str">
        <f t="shared" si="20"/>
        <v/>
      </c>
      <c r="D700" t="str">
        <f>IF(A700="","",IFERROR(INDEX(Maniobras!$D$5:$D$504,MATCH(A700,Maniobras!$A$5:$A$504,0)),""))</f>
        <v/>
      </c>
      <c r="F700" s="29" t="str">
        <f>IF(A700="","",IFERROR(INDEX(Maniobras!$K$5:$K$504,MATCH(A700,Maniobras!$A$5:$A$504,0)),""))</f>
        <v/>
      </c>
      <c r="G700" s="29"/>
      <c r="H700" s="29"/>
      <c r="I700" s="29" t="str">
        <f t="shared" si="21"/>
        <v/>
      </c>
      <c r="K700" s="30"/>
      <c r="M700" t="str">
        <f>IF($A700=Ficha!$B$3,COUNTIF($A$5:$A700,Ficha!$B$3),"")</f>
        <v/>
      </c>
    </row>
    <row r="701" spans="2:13" x14ac:dyDescent="0.3">
      <c r="B701" s="30" t="str">
        <f>IF(A701="","",IFERROR(INDEX(Maniobras!$B$5:$B$504,MATCH(A701,Maniobras!$A$5:$A$504,0)),""))</f>
        <v/>
      </c>
      <c r="C701" t="str">
        <f t="shared" si="20"/>
        <v/>
      </c>
      <c r="D701" t="str">
        <f>IF(A701="","",IFERROR(INDEX(Maniobras!$D$5:$D$504,MATCH(A701,Maniobras!$A$5:$A$504,0)),""))</f>
        <v/>
      </c>
      <c r="F701" s="29" t="str">
        <f>IF(A701="","",IFERROR(INDEX(Maniobras!$K$5:$K$504,MATCH(A701,Maniobras!$A$5:$A$504,0)),""))</f>
        <v/>
      </c>
      <c r="G701" s="29"/>
      <c r="H701" s="29"/>
      <c r="I701" s="29" t="str">
        <f t="shared" si="21"/>
        <v/>
      </c>
      <c r="K701" s="30"/>
      <c r="M701" t="str">
        <f>IF($A701=Ficha!$B$3,COUNTIF($A$5:$A701,Ficha!$B$3),"")</f>
        <v/>
      </c>
    </row>
    <row r="702" spans="2:13" x14ac:dyDescent="0.3">
      <c r="B702" s="30" t="str">
        <f>IF(A702="","",IFERROR(INDEX(Maniobras!$B$5:$B$504,MATCH(A702,Maniobras!$A$5:$A$504,0)),""))</f>
        <v/>
      </c>
      <c r="C702" t="str">
        <f t="shared" si="20"/>
        <v/>
      </c>
      <c r="D702" t="str">
        <f>IF(A702="","",IFERROR(INDEX(Maniobras!$D$5:$D$504,MATCH(A702,Maniobras!$A$5:$A$504,0)),""))</f>
        <v/>
      </c>
      <c r="F702" s="29" t="str">
        <f>IF(A702="","",IFERROR(INDEX(Maniobras!$K$5:$K$504,MATCH(A702,Maniobras!$A$5:$A$504,0)),""))</f>
        <v/>
      </c>
      <c r="G702" s="29"/>
      <c r="H702" s="29"/>
      <c r="I702" s="29" t="str">
        <f t="shared" si="21"/>
        <v/>
      </c>
      <c r="K702" s="30"/>
      <c r="M702" t="str">
        <f>IF($A702=Ficha!$B$3,COUNTIF($A$5:$A702,Ficha!$B$3),"")</f>
        <v/>
      </c>
    </row>
    <row r="703" spans="2:13" x14ac:dyDescent="0.3">
      <c r="B703" s="30" t="str">
        <f>IF(A703="","",IFERROR(INDEX(Maniobras!$B$5:$B$504,MATCH(A703,Maniobras!$A$5:$A$504,0)),""))</f>
        <v/>
      </c>
      <c r="C703" t="str">
        <f t="shared" si="20"/>
        <v/>
      </c>
      <c r="D703" t="str">
        <f>IF(A703="","",IFERROR(INDEX(Maniobras!$D$5:$D$504,MATCH(A703,Maniobras!$A$5:$A$504,0)),""))</f>
        <v/>
      </c>
      <c r="F703" s="29" t="str">
        <f>IF(A703="","",IFERROR(INDEX(Maniobras!$K$5:$K$504,MATCH(A703,Maniobras!$A$5:$A$504,0)),""))</f>
        <v/>
      </c>
      <c r="G703" s="29"/>
      <c r="H703" s="29"/>
      <c r="I703" s="29" t="str">
        <f t="shared" si="21"/>
        <v/>
      </c>
      <c r="K703" s="30"/>
      <c r="M703" t="str">
        <f>IF($A703=Ficha!$B$3,COUNTIF($A$5:$A703,Ficha!$B$3),"")</f>
        <v/>
      </c>
    </row>
    <row r="704" spans="2:13" x14ac:dyDescent="0.3">
      <c r="B704" s="30" t="str">
        <f>IF(A704="","",IFERROR(INDEX(Maniobras!$B$5:$B$504,MATCH(A704,Maniobras!$A$5:$A$504,0)),""))</f>
        <v/>
      </c>
      <c r="C704" t="str">
        <f t="shared" si="20"/>
        <v/>
      </c>
      <c r="D704" t="str">
        <f>IF(A704="","",IFERROR(INDEX(Maniobras!$D$5:$D$504,MATCH(A704,Maniobras!$A$5:$A$504,0)),""))</f>
        <v/>
      </c>
      <c r="F704" s="29" t="str">
        <f>IF(A704="","",IFERROR(INDEX(Maniobras!$K$5:$K$504,MATCH(A704,Maniobras!$A$5:$A$504,0)),""))</f>
        <v/>
      </c>
      <c r="G704" s="29"/>
      <c r="H704" s="29"/>
      <c r="I704" s="29" t="str">
        <f t="shared" si="21"/>
        <v/>
      </c>
      <c r="K704" s="30"/>
      <c r="M704" t="str">
        <f>IF($A704=Ficha!$B$3,COUNTIF($A$5:$A704,Ficha!$B$3),"")</f>
        <v/>
      </c>
    </row>
    <row r="705" spans="2:13" x14ac:dyDescent="0.3">
      <c r="B705" s="30" t="str">
        <f>IF(A705="","",IFERROR(INDEX(Maniobras!$B$5:$B$504,MATCH(A705,Maniobras!$A$5:$A$504,0)),""))</f>
        <v/>
      </c>
      <c r="C705" t="str">
        <f t="shared" si="20"/>
        <v/>
      </c>
      <c r="D705" t="str">
        <f>IF(A705="","",IFERROR(INDEX(Maniobras!$D$5:$D$504,MATCH(A705,Maniobras!$A$5:$A$504,0)),""))</f>
        <v/>
      </c>
      <c r="F705" s="29" t="str">
        <f>IF(A705="","",IFERROR(INDEX(Maniobras!$K$5:$K$504,MATCH(A705,Maniobras!$A$5:$A$504,0)),""))</f>
        <v/>
      </c>
      <c r="G705" s="29"/>
      <c r="H705" s="29"/>
      <c r="I705" s="29" t="str">
        <f t="shared" si="21"/>
        <v/>
      </c>
      <c r="K705" s="30"/>
      <c r="M705" t="str">
        <f>IF($A705=Ficha!$B$3,COUNTIF($A$5:$A705,Ficha!$B$3),"")</f>
        <v/>
      </c>
    </row>
    <row r="706" spans="2:13" x14ac:dyDescent="0.3">
      <c r="B706" s="30" t="str">
        <f>IF(A706="","",IFERROR(INDEX(Maniobras!$B$5:$B$504,MATCH(A706,Maniobras!$A$5:$A$504,0)),""))</f>
        <v/>
      </c>
      <c r="C706" t="str">
        <f t="shared" si="20"/>
        <v/>
      </c>
      <c r="D706" t="str">
        <f>IF(A706="","",IFERROR(INDEX(Maniobras!$D$5:$D$504,MATCH(A706,Maniobras!$A$5:$A$504,0)),""))</f>
        <v/>
      </c>
      <c r="F706" s="29" t="str">
        <f>IF(A706="","",IFERROR(INDEX(Maniobras!$K$5:$K$504,MATCH(A706,Maniobras!$A$5:$A$504,0)),""))</f>
        <v/>
      </c>
      <c r="G706" s="29"/>
      <c r="H706" s="29"/>
      <c r="I706" s="29" t="str">
        <f t="shared" si="21"/>
        <v/>
      </c>
      <c r="K706" s="30"/>
      <c r="M706" t="str">
        <f>IF($A706=Ficha!$B$3,COUNTIF($A$5:$A706,Ficha!$B$3),"")</f>
        <v/>
      </c>
    </row>
    <row r="707" spans="2:13" x14ac:dyDescent="0.3">
      <c r="B707" s="30" t="str">
        <f>IF(A707="","",IFERROR(INDEX(Maniobras!$B$5:$B$504,MATCH(A707,Maniobras!$A$5:$A$504,0)),""))</f>
        <v/>
      </c>
      <c r="C707" t="str">
        <f t="shared" si="20"/>
        <v/>
      </c>
      <c r="D707" t="str">
        <f>IF(A707="","",IFERROR(INDEX(Maniobras!$D$5:$D$504,MATCH(A707,Maniobras!$A$5:$A$504,0)),""))</f>
        <v/>
      </c>
      <c r="F707" s="29" t="str">
        <f>IF(A707="","",IFERROR(INDEX(Maniobras!$K$5:$K$504,MATCH(A707,Maniobras!$A$5:$A$504,0)),""))</f>
        <v/>
      </c>
      <c r="G707" s="29"/>
      <c r="H707" s="29"/>
      <c r="I707" s="29" t="str">
        <f t="shared" si="21"/>
        <v/>
      </c>
      <c r="K707" s="30"/>
      <c r="M707" t="str">
        <f>IF($A707=Ficha!$B$3,COUNTIF($A$5:$A707,Ficha!$B$3),"")</f>
        <v/>
      </c>
    </row>
    <row r="708" spans="2:13" x14ac:dyDescent="0.3">
      <c r="B708" s="30" t="str">
        <f>IF(A708="","",IFERROR(INDEX(Maniobras!$B$5:$B$504,MATCH(A708,Maniobras!$A$5:$A$504,0)),""))</f>
        <v/>
      </c>
      <c r="C708" t="str">
        <f t="shared" si="20"/>
        <v/>
      </c>
      <c r="D708" t="str">
        <f>IF(A708="","",IFERROR(INDEX(Maniobras!$D$5:$D$504,MATCH(A708,Maniobras!$A$5:$A$504,0)),""))</f>
        <v/>
      </c>
      <c r="F708" s="29" t="str">
        <f>IF(A708="","",IFERROR(INDEX(Maniobras!$K$5:$K$504,MATCH(A708,Maniobras!$A$5:$A$504,0)),""))</f>
        <v/>
      </c>
      <c r="G708" s="29"/>
      <c r="H708" s="29"/>
      <c r="I708" s="29" t="str">
        <f t="shared" si="21"/>
        <v/>
      </c>
      <c r="K708" s="30"/>
      <c r="M708" t="str">
        <f>IF($A708=Ficha!$B$3,COUNTIF($A$5:$A708,Ficha!$B$3),"")</f>
        <v/>
      </c>
    </row>
    <row r="709" spans="2:13" x14ac:dyDescent="0.3">
      <c r="B709" s="30" t="str">
        <f>IF(A709="","",IFERROR(INDEX(Maniobras!$B$5:$B$504,MATCH(A709,Maniobras!$A$5:$A$504,0)),""))</f>
        <v/>
      </c>
      <c r="C709" t="str">
        <f t="shared" ref="C709:C772" si="22">IF(B709="","",TEXT(B709,"yyyy-mm"))</f>
        <v/>
      </c>
      <c r="D709" t="str">
        <f>IF(A709="","",IFERROR(INDEX(Maniobras!$D$5:$D$504,MATCH(A709,Maniobras!$A$5:$A$504,0)),""))</f>
        <v/>
      </c>
      <c r="F709" s="29" t="str">
        <f>IF(A709="","",IFERROR(INDEX(Maniobras!$K$5:$K$504,MATCH(A709,Maniobras!$A$5:$A$504,0)),""))</f>
        <v/>
      </c>
      <c r="G709" s="29"/>
      <c r="H709" s="29"/>
      <c r="I709" s="29" t="str">
        <f t="shared" ref="I709:I772" si="23">IF(G709="","",G709+N(H709))</f>
        <v/>
      </c>
      <c r="K709" s="30"/>
      <c r="M709" t="str">
        <f>IF($A709=Ficha!$B$3,COUNTIF($A$5:$A709,Ficha!$B$3),"")</f>
        <v/>
      </c>
    </row>
    <row r="710" spans="2:13" x14ac:dyDescent="0.3">
      <c r="B710" s="30" t="str">
        <f>IF(A710="","",IFERROR(INDEX(Maniobras!$B$5:$B$504,MATCH(A710,Maniobras!$A$5:$A$504,0)),""))</f>
        <v/>
      </c>
      <c r="C710" t="str">
        <f t="shared" si="22"/>
        <v/>
      </c>
      <c r="D710" t="str">
        <f>IF(A710="","",IFERROR(INDEX(Maniobras!$D$5:$D$504,MATCH(A710,Maniobras!$A$5:$A$504,0)),""))</f>
        <v/>
      </c>
      <c r="F710" s="29" t="str">
        <f>IF(A710="","",IFERROR(INDEX(Maniobras!$K$5:$K$504,MATCH(A710,Maniobras!$A$5:$A$504,0)),""))</f>
        <v/>
      </c>
      <c r="G710" s="29"/>
      <c r="H710" s="29"/>
      <c r="I710" s="29" t="str">
        <f t="shared" si="23"/>
        <v/>
      </c>
      <c r="K710" s="30"/>
      <c r="M710" t="str">
        <f>IF($A710=Ficha!$B$3,COUNTIF($A$5:$A710,Ficha!$B$3),"")</f>
        <v/>
      </c>
    </row>
    <row r="711" spans="2:13" x14ac:dyDescent="0.3">
      <c r="B711" s="30" t="str">
        <f>IF(A711="","",IFERROR(INDEX(Maniobras!$B$5:$B$504,MATCH(A711,Maniobras!$A$5:$A$504,0)),""))</f>
        <v/>
      </c>
      <c r="C711" t="str">
        <f t="shared" si="22"/>
        <v/>
      </c>
      <c r="D711" t="str">
        <f>IF(A711="","",IFERROR(INDEX(Maniobras!$D$5:$D$504,MATCH(A711,Maniobras!$A$5:$A$504,0)),""))</f>
        <v/>
      </c>
      <c r="F711" s="29" t="str">
        <f>IF(A711="","",IFERROR(INDEX(Maniobras!$K$5:$K$504,MATCH(A711,Maniobras!$A$5:$A$504,0)),""))</f>
        <v/>
      </c>
      <c r="G711" s="29"/>
      <c r="H711" s="29"/>
      <c r="I711" s="29" t="str">
        <f t="shared" si="23"/>
        <v/>
      </c>
      <c r="K711" s="30"/>
      <c r="M711" t="str">
        <f>IF($A711=Ficha!$B$3,COUNTIF($A$5:$A711,Ficha!$B$3),"")</f>
        <v/>
      </c>
    </row>
    <row r="712" spans="2:13" x14ac:dyDescent="0.3">
      <c r="B712" s="30" t="str">
        <f>IF(A712="","",IFERROR(INDEX(Maniobras!$B$5:$B$504,MATCH(A712,Maniobras!$A$5:$A$504,0)),""))</f>
        <v/>
      </c>
      <c r="C712" t="str">
        <f t="shared" si="22"/>
        <v/>
      </c>
      <c r="D712" t="str">
        <f>IF(A712="","",IFERROR(INDEX(Maniobras!$D$5:$D$504,MATCH(A712,Maniobras!$A$5:$A$504,0)),""))</f>
        <v/>
      </c>
      <c r="F712" s="29" t="str">
        <f>IF(A712="","",IFERROR(INDEX(Maniobras!$K$5:$K$504,MATCH(A712,Maniobras!$A$5:$A$504,0)),""))</f>
        <v/>
      </c>
      <c r="G712" s="29"/>
      <c r="H712" s="29"/>
      <c r="I712" s="29" t="str">
        <f t="shared" si="23"/>
        <v/>
      </c>
      <c r="K712" s="30"/>
      <c r="M712" t="str">
        <f>IF($A712=Ficha!$B$3,COUNTIF($A$5:$A712,Ficha!$B$3),"")</f>
        <v/>
      </c>
    </row>
    <row r="713" spans="2:13" x14ac:dyDescent="0.3">
      <c r="B713" s="30" t="str">
        <f>IF(A713="","",IFERROR(INDEX(Maniobras!$B$5:$B$504,MATCH(A713,Maniobras!$A$5:$A$504,0)),""))</f>
        <v/>
      </c>
      <c r="C713" t="str">
        <f t="shared" si="22"/>
        <v/>
      </c>
      <c r="D713" t="str">
        <f>IF(A713="","",IFERROR(INDEX(Maniobras!$D$5:$D$504,MATCH(A713,Maniobras!$A$5:$A$504,0)),""))</f>
        <v/>
      </c>
      <c r="F713" s="29" t="str">
        <f>IF(A713="","",IFERROR(INDEX(Maniobras!$K$5:$K$504,MATCH(A713,Maniobras!$A$5:$A$504,0)),""))</f>
        <v/>
      </c>
      <c r="G713" s="29"/>
      <c r="H713" s="29"/>
      <c r="I713" s="29" t="str">
        <f t="shared" si="23"/>
        <v/>
      </c>
      <c r="K713" s="30"/>
      <c r="M713" t="str">
        <f>IF($A713=Ficha!$B$3,COUNTIF($A$5:$A713,Ficha!$B$3),"")</f>
        <v/>
      </c>
    </row>
    <row r="714" spans="2:13" x14ac:dyDescent="0.3">
      <c r="B714" s="30" t="str">
        <f>IF(A714="","",IFERROR(INDEX(Maniobras!$B$5:$B$504,MATCH(A714,Maniobras!$A$5:$A$504,0)),""))</f>
        <v/>
      </c>
      <c r="C714" t="str">
        <f t="shared" si="22"/>
        <v/>
      </c>
      <c r="D714" t="str">
        <f>IF(A714="","",IFERROR(INDEX(Maniobras!$D$5:$D$504,MATCH(A714,Maniobras!$A$5:$A$504,0)),""))</f>
        <v/>
      </c>
      <c r="F714" s="29" t="str">
        <f>IF(A714="","",IFERROR(INDEX(Maniobras!$K$5:$K$504,MATCH(A714,Maniobras!$A$5:$A$504,0)),""))</f>
        <v/>
      </c>
      <c r="G714" s="29"/>
      <c r="H714" s="29"/>
      <c r="I714" s="29" t="str">
        <f t="shared" si="23"/>
        <v/>
      </c>
      <c r="K714" s="30"/>
      <c r="M714" t="str">
        <f>IF($A714=Ficha!$B$3,COUNTIF($A$5:$A714,Ficha!$B$3),"")</f>
        <v/>
      </c>
    </row>
    <row r="715" spans="2:13" x14ac:dyDescent="0.3">
      <c r="B715" s="30" t="str">
        <f>IF(A715="","",IFERROR(INDEX(Maniobras!$B$5:$B$504,MATCH(A715,Maniobras!$A$5:$A$504,0)),""))</f>
        <v/>
      </c>
      <c r="C715" t="str">
        <f t="shared" si="22"/>
        <v/>
      </c>
      <c r="D715" t="str">
        <f>IF(A715="","",IFERROR(INDEX(Maniobras!$D$5:$D$504,MATCH(A715,Maniobras!$A$5:$A$504,0)),""))</f>
        <v/>
      </c>
      <c r="F715" s="29" t="str">
        <f>IF(A715="","",IFERROR(INDEX(Maniobras!$K$5:$K$504,MATCH(A715,Maniobras!$A$5:$A$504,0)),""))</f>
        <v/>
      </c>
      <c r="G715" s="29"/>
      <c r="H715" s="29"/>
      <c r="I715" s="29" t="str">
        <f t="shared" si="23"/>
        <v/>
      </c>
      <c r="K715" s="30"/>
      <c r="M715" t="str">
        <f>IF($A715=Ficha!$B$3,COUNTIF($A$5:$A715,Ficha!$B$3),"")</f>
        <v/>
      </c>
    </row>
    <row r="716" spans="2:13" x14ac:dyDescent="0.3">
      <c r="B716" s="30" t="str">
        <f>IF(A716="","",IFERROR(INDEX(Maniobras!$B$5:$B$504,MATCH(A716,Maniobras!$A$5:$A$504,0)),""))</f>
        <v/>
      </c>
      <c r="C716" t="str">
        <f t="shared" si="22"/>
        <v/>
      </c>
      <c r="D716" t="str">
        <f>IF(A716="","",IFERROR(INDEX(Maniobras!$D$5:$D$504,MATCH(A716,Maniobras!$A$5:$A$504,0)),""))</f>
        <v/>
      </c>
      <c r="F716" s="29" t="str">
        <f>IF(A716="","",IFERROR(INDEX(Maniobras!$K$5:$K$504,MATCH(A716,Maniobras!$A$5:$A$504,0)),""))</f>
        <v/>
      </c>
      <c r="G716" s="29"/>
      <c r="H716" s="29"/>
      <c r="I716" s="29" t="str">
        <f t="shared" si="23"/>
        <v/>
      </c>
      <c r="K716" s="30"/>
      <c r="M716" t="str">
        <f>IF($A716=Ficha!$B$3,COUNTIF($A$5:$A716,Ficha!$B$3),"")</f>
        <v/>
      </c>
    </row>
    <row r="717" spans="2:13" x14ac:dyDescent="0.3">
      <c r="B717" s="30" t="str">
        <f>IF(A717="","",IFERROR(INDEX(Maniobras!$B$5:$B$504,MATCH(A717,Maniobras!$A$5:$A$504,0)),""))</f>
        <v/>
      </c>
      <c r="C717" t="str">
        <f t="shared" si="22"/>
        <v/>
      </c>
      <c r="D717" t="str">
        <f>IF(A717="","",IFERROR(INDEX(Maniobras!$D$5:$D$504,MATCH(A717,Maniobras!$A$5:$A$504,0)),""))</f>
        <v/>
      </c>
      <c r="F717" s="29" t="str">
        <f>IF(A717="","",IFERROR(INDEX(Maniobras!$K$5:$K$504,MATCH(A717,Maniobras!$A$5:$A$504,0)),""))</f>
        <v/>
      </c>
      <c r="G717" s="29"/>
      <c r="H717" s="29"/>
      <c r="I717" s="29" t="str">
        <f t="shared" si="23"/>
        <v/>
      </c>
      <c r="K717" s="30"/>
      <c r="M717" t="str">
        <f>IF($A717=Ficha!$B$3,COUNTIF($A$5:$A717,Ficha!$B$3),"")</f>
        <v/>
      </c>
    </row>
    <row r="718" spans="2:13" x14ac:dyDescent="0.3">
      <c r="B718" s="30" t="str">
        <f>IF(A718="","",IFERROR(INDEX(Maniobras!$B$5:$B$504,MATCH(A718,Maniobras!$A$5:$A$504,0)),""))</f>
        <v/>
      </c>
      <c r="C718" t="str">
        <f t="shared" si="22"/>
        <v/>
      </c>
      <c r="D718" t="str">
        <f>IF(A718="","",IFERROR(INDEX(Maniobras!$D$5:$D$504,MATCH(A718,Maniobras!$A$5:$A$504,0)),""))</f>
        <v/>
      </c>
      <c r="F718" s="29" t="str">
        <f>IF(A718="","",IFERROR(INDEX(Maniobras!$K$5:$K$504,MATCH(A718,Maniobras!$A$5:$A$504,0)),""))</f>
        <v/>
      </c>
      <c r="G718" s="29"/>
      <c r="H718" s="29"/>
      <c r="I718" s="29" t="str">
        <f t="shared" si="23"/>
        <v/>
      </c>
      <c r="K718" s="30"/>
      <c r="M718" t="str">
        <f>IF($A718=Ficha!$B$3,COUNTIF($A$5:$A718,Ficha!$B$3),"")</f>
        <v/>
      </c>
    </row>
    <row r="719" spans="2:13" x14ac:dyDescent="0.3">
      <c r="B719" s="30" t="str">
        <f>IF(A719="","",IFERROR(INDEX(Maniobras!$B$5:$B$504,MATCH(A719,Maniobras!$A$5:$A$504,0)),""))</f>
        <v/>
      </c>
      <c r="C719" t="str">
        <f t="shared" si="22"/>
        <v/>
      </c>
      <c r="D719" t="str">
        <f>IF(A719="","",IFERROR(INDEX(Maniobras!$D$5:$D$504,MATCH(A719,Maniobras!$A$5:$A$504,0)),""))</f>
        <v/>
      </c>
      <c r="F719" s="29" t="str">
        <f>IF(A719="","",IFERROR(INDEX(Maniobras!$K$5:$K$504,MATCH(A719,Maniobras!$A$5:$A$504,0)),""))</f>
        <v/>
      </c>
      <c r="G719" s="29"/>
      <c r="H719" s="29"/>
      <c r="I719" s="29" t="str">
        <f t="shared" si="23"/>
        <v/>
      </c>
      <c r="K719" s="30"/>
      <c r="M719" t="str">
        <f>IF($A719=Ficha!$B$3,COUNTIF($A$5:$A719,Ficha!$B$3),"")</f>
        <v/>
      </c>
    </row>
    <row r="720" spans="2:13" x14ac:dyDescent="0.3">
      <c r="B720" s="30" t="str">
        <f>IF(A720="","",IFERROR(INDEX(Maniobras!$B$5:$B$504,MATCH(A720,Maniobras!$A$5:$A$504,0)),""))</f>
        <v/>
      </c>
      <c r="C720" t="str">
        <f t="shared" si="22"/>
        <v/>
      </c>
      <c r="D720" t="str">
        <f>IF(A720="","",IFERROR(INDEX(Maniobras!$D$5:$D$504,MATCH(A720,Maniobras!$A$5:$A$504,0)),""))</f>
        <v/>
      </c>
      <c r="F720" s="29" t="str">
        <f>IF(A720="","",IFERROR(INDEX(Maniobras!$K$5:$K$504,MATCH(A720,Maniobras!$A$5:$A$504,0)),""))</f>
        <v/>
      </c>
      <c r="G720" s="29"/>
      <c r="H720" s="29"/>
      <c r="I720" s="29" t="str">
        <f t="shared" si="23"/>
        <v/>
      </c>
      <c r="K720" s="30"/>
      <c r="M720" t="str">
        <f>IF($A720=Ficha!$B$3,COUNTIF($A$5:$A720,Ficha!$B$3),"")</f>
        <v/>
      </c>
    </row>
    <row r="721" spans="2:13" x14ac:dyDescent="0.3">
      <c r="B721" s="30" t="str">
        <f>IF(A721="","",IFERROR(INDEX(Maniobras!$B$5:$B$504,MATCH(A721,Maniobras!$A$5:$A$504,0)),""))</f>
        <v/>
      </c>
      <c r="C721" t="str">
        <f t="shared" si="22"/>
        <v/>
      </c>
      <c r="D721" t="str">
        <f>IF(A721="","",IFERROR(INDEX(Maniobras!$D$5:$D$504,MATCH(A721,Maniobras!$A$5:$A$504,0)),""))</f>
        <v/>
      </c>
      <c r="F721" s="29" t="str">
        <f>IF(A721="","",IFERROR(INDEX(Maniobras!$K$5:$K$504,MATCH(A721,Maniobras!$A$5:$A$504,0)),""))</f>
        <v/>
      </c>
      <c r="G721" s="29"/>
      <c r="H721" s="29"/>
      <c r="I721" s="29" t="str">
        <f t="shared" si="23"/>
        <v/>
      </c>
      <c r="K721" s="30"/>
      <c r="M721" t="str">
        <f>IF($A721=Ficha!$B$3,COUNTIF($A$5:$A721,Ficha!$B$3),"")</f>
        <v/>
      </c>
    </row>
    <row r="722" spans="2:13" x14ac:dyDescent="0.3">
      <c r="B722" s="30" t="str">
        <f>IF(A722="","",IFERROR(INDEX(Maniobras!$B$5:$B$504,MATCH(A722,Maniobras!$A$5:$A$504,0)),""))</f>
        <v/>
      </c>
      <c r="C722" t="str">
        <f t="shared" si="22"/>
        <v/>
      </c>
      <c r="D722" t="str">
        <f>IF(A722="","",IFERROR(INDEX(Maniobras!$D$5:$D$504,MATCH(A722,Maniobras!$A$5:$A$504,0)),""))</f>
        <v/>
      </c>
      <c r="F722" s="29" t="str">
        <f>IF(A722="","",IFERROR(INDEX(Maniobras!$K$5:$K$504,MATCH(A722,Maniobras!$A$5:$A$504,0)),""))</f>
        <v/>
      </c>
      <c r="G722" s="29"/>
      <c r="H722" s="29"/>
      <c r="I722" s="29" t="str">
        <f t="shared" si="23"/>
        <v/>
      </c>
      <c r="K722" s="30"/>
      <c r="M722" t="str">
        <f>IF($A722=Ficha!$B$3,COUNTIF($A$5:$A722,Ficha!$B$3),"")</f>
        <v/>
      </c>
    </row>
    <row r="723" spans="2:13" x14ac:dyDescent="0.3">
      <c r="B723" s="30" t="str">
        <f>IF(A723="","",IFERROR(INDEX(Maniobras!$B$5:$B$504,MATCH(A723,Maniobras!$A$5:$A$504,0)),""))</f>
        <v/>
      </c>
      <c r="C723" t="str">
        <f t="shared" si="22"/>
        <v/>
      </c>
      <c r="D723" t="str">
        <f>IF(A723="","",IFERROR(INDEX(Maniobras!$D$5:$D$504,MATCH(A723,Maniobras!$A$5:$A$504,0)),""))</f>
        <v/>
      </c>
      <c r="F723" s="29" t="str">
        <f>IF(A723="","",IFERROR(INDEX(Maniobras!$K$5:$K$504,MATCH(A723,Maniobras!$A$5:$A$504,0)),""))</f>
        <v/>
      </c>
      <c r="G723" s="29"/>
      <c r="H723" s="29"/>
      <c r="I723" s="29" t="str">
        <f t="shared" si="23"/>
        <v/>
      </c>
      <c r="K723" s="30"/>
      <c r="M723" t="str">
        <f>IF($A723=Ficha!$B$3,COUNTIF($A$5:$A723,Ficha!$B$3),"")</f>
        <v/>
      </c>
    </row>
    <row r="724" spans="2:13" x14ac:dyDescent="0.3">
      <c r="B724" s="30" t="str">
        <f>IF(A724="","",IFERROR(INDEX(Maniobras!$B$5:$B$504,MATCH(A724,Maniobras!$A$5:$A$504,0)),""))</f>
        <v/>
      </c>
      <c r="C724" t="str">
        <f t="shared" si="22"/>
        <v/>
      </c>
      <c r="D724" t="str">
        <f>IF(A724="","",IFERROR(INDEX(Maniobras!$D$5:$D$504,MATCH(A724,Maniobras!$A$5:$A$504,0)),""))</f>
        <v/>
      </c>
      <c r="F724" s="29" t="str">
        <f>IF(A724="","",IFERROR(INDEX(Maniobras!$K$5:$K$504,MATCH(A724,Maniobras!$A$5:$A$504,0)),""))</f>
        <v/>
      </c>
      <c r="G724" s="29"/>
      <c r="H724" s="29"/>
      <c r="I724" s="29" t="str">
        <f t="shared" si="23"/>
        <v/>
      </c>
      <c r="K724" s="30"/>
      <c r="M724" t="str">
        <f>IF($A724=Ficha!$B$3,COUNTIF($A$5:$A724,Ficha!$B$3),"")</f>
        <v/>
      </c>
    </row>
    <row r="725" spans="2:13" x14ac:dyDescent="0.3">
      <c r="B725" s="30" t="str">
        <f>IF(A725="","",IFERROR(INDEX(Maniobras!$B$5:$B$504,MATCH(A725,Maniobras!$A$5:$A$504,0)),""))</f>
        <v/>
      </c>
      <c r="C725" t="str">
        <f t="shared" si="22"/>
        <v/>
      </c>
      <c r="D725" t="str">
        <f>IF(A725="","",IFERROR(INDEX(Maniobras!$D$5:$D$504,MATCH(A725,Maniobras!$A$5:$A$504,0)),""))</f>
        <v/>
      </c>
      <c r="F725" s="29" t="str">
        <f>IF(A725="","",IFERROR(INDEX(Maniobras!$K$5:$K$504,MATCH(A725,Maniobras!$A$5:$A$504,0)),""))</f>
        <v/>
      </c>
      <c r="G725" s="29"/>
      <c r="H725" s="29"/>
      <c r="I725" s="29" t="str">
        <f t="shared" si="23"/>
        <v/>
      </c>
      <c r="K725" s="30"/>
      <c r="M725" t="str">
        <f>IF($A725=Ficha!$B$3,COUNTIF($A$5:$A725,Ficha!$B$3),"")</f>
        <v/>
      </c>
    </row>
    <row r="726" spans="2:13" x14ac:dyDescent="0.3">
      <c r="B726" s="30" t="str">
        <f>IF(A726="","",IFERROR(INDEX(Maniobras!$B$5:$B$504,MATCH(A726,Maniobras!$A$5:$A$504,0)),""))</f>
        <v/>
      </c>
      <c r="C726" t="str">
        <f t="shared" si="22"/>
        <v/>
      </c>
      <c r="D726" t="str">
        <f>IF(A726="","",IFERROR(INDEX(Maniobras!$D$5:$D$504,MATCH(A726,Maniobras!$A$5:$A$504,0)),""))</f>
        <v/>
      </c>
      <c r="F726" s="29" t="str">
        <f>IF(A726="","",IFERROR(INDEX(Maniobras!$K$5:$K$504,MATCH(A726,Maniobras!$A$5:$A$504,0)),""))</f>
        <v/>
      </c>
      <c r="G726" s="29"/>
      <c r="H726" s="29"/>
      <c r="I726" s="29" t="str">
        <f t="shared" si="23"/>
        <v/>
      </c>
      <c r="K726" s="30"/>
      <c r="M726" t="str">
        <f>IF($A726=Ficha!$B$3,COUNTIF($A$5:$A726,Ficha!$B$3),"")</f>
        <v/>
      </c>
    </row>
    <row r="727" spans="2:13" x14ac:dyDescent="0.3">
      <c r="B727" s="30" t="str">
        <f>IF(A727="","",IFERROR(INDEX(Maniobras!$B$5:$B$504,MATCH(A727,Maniobras!$A$5:$A$504,0)),""))</f>
        <v/>
      </c>
      <c r="C727" t="str">
        <f t="shared" si="22"/>
        <v/>
      </c>
      <c r="D727" t="str">
        <f>IF(A727="","",IFERROR(INDEX(Maniobras!$D$5:$D$504,MATCH(A727,Maniobras!$A$5:$A$504,0)),""))</f>
        <v/>
      </c>
      <c r="F727" s="29" t="str">
        <f>IF(A727="","",IFERROR(INDEX(Maniobras!$K$5:$K$504,MATCH(A727,Maniobras!$A$5:$A$504,0)),""))</f>
        <v/>
      </c>
      <c r="G727" s="29"/>
      <c r="H727" s="29"/>
      <c r="I727" s="29" t="str">
        <f t="shared" si="23"/>
        <v/>
      </c>
      <c r="K727" s="30"/>
      <c r="M727" t="str">
        <f>IF($A727=Ficha!$B$3,COUNTIF($A$5:$A727,Ficha!$B$3),"")</f>
        <v/>
      </c>
    </row>
    <row r="728" spans="2:13" x14ac:dyDescent="0.3">
      <c r="B728" s="30" t="str">
        <f>IF(A728="","",IFERROR(INDEX(Maniobras!$B$5:$B$504,MATCH(A728,Maniobras!$A$5:$A$504,0)),""))</f>
        <v/>
      </c>
      <c r="C728" t="str">
        <f t="shared" si="22"/>
        <v/>
      </c>
      <c r="D728" t="str">
        <f>IF(A728="","",IFERROR(INDEX(Maniobras!$D$5:$D$504,MATCH(A728,Maniobras!$A$5:$A$504,0)),""))</f>
        <v/>
      </c>
      <c r="F728" s="29" t="str">
        <f>IF(A728="","",IFERROR(INDEX(Maniobras!$K$5:$K$504,MATCH(A728,Maniobras!$A$5:$A$504,0)),""))</f>
        <v/>
      </c>
      <c r="G728" s="29"/>
      <c r="H728" s="29"/>
      <c r="I728" s="29" t="str">
        <f t="shared" si="23"/>
        <v/>
      </c>
      <c r="K728" s="30"/>
      <c r="M728" t="str">
        <f>IF($A728=Ficha!$B$3,COUNTIF($A$5:$A728,Ficha!$B$3),"")</f>
        <v/>
      </c>
    </row>
    <row r="729" spans="2:13" x14ac:dyDescent="0.3">
      <c r="B729" s="30" t="str">
        <f>IF(A729="","",IFERROR(INDEX(Maniobras!$B$5:$B$504,MATCH(A729,Maniobras!$A$5:$A$504,0)),""))</f>
        <v/>
      </c>
      <c r="C729" t="str">
        <f t="shared" si="22"/>
        <v/>
      </c>
      <c r="D729" t="str">
        <f>IF(A729="","",IFERROR(INDEX(Maniobras!$D$5:$D$504,MATCH(A729,Maniobras!$A$5:$A$504,0)),""))</f>
        <v/>
      </c>
      <c r="F729" s="29" t="str">
        <f>IF(A729="","",IFERROR(INDEX(Maniobras!$K$5:$K$504,MATCH(A729,Maniobras!$A$5:$A$504,0)),""))</f>
        <v/>
      </c>
      <c r="G729" s="29"/>
      <c r="H729" s="29"/>
      <c r="I729" s="29" t="str">
        <f t="shared" si="23"/>
        <v/>
      </c>
      <c r="K729" s="30"/>
      <c r="M729" t="str">
        <f>IF($A729=Ficha!$B$3,COUNTIF($A$5:$A729,Ficha!$B$3),"")</f>
        <v/>
      </c>
    </row>
    <row r="730" spans="2:13" x14ac:dyDescent="0.3">
      <c r="B730" s="30" t="str">
        <f>IF(A730="","",IFERROR(INDEX(Maniobras!$B$5:$B$504,MATCH(A730,Maniobras!$A$5:$A$504,0)),""))</f>
        <v/>
      </c>
      <c r="C730" t="str">
        <f t="shared" si="22"/>
        <v/>
      </c>
      <c r="D730" t="str">
        <f>IF(A730="","",IFERROR(INDEX(Maniobras!$D$5:$D$504,MATCH(A730,Maniobras!$A$5:$A$504,0)),""))</f>
        <v/>
      </c>
      <c r="F730" s="29" t="str">
        <f>IF(A730="","",IFERROR(INDEX(Maniobras!$K$5:$K$504,MATCH(A730,Maniobras!$A$5:$A$504,0)),""))</f>
        <v/>
      </c>
      <c r="G730" s="29"/>
      <c r="H730" s="29"/>
      <c r="I730" s="29" t="str">
        <f t="shared" si="23"/>
        <v/>
      </c>
      <c r="K730" s="30"/>
      <c r="M730" t="str">
        <f>IF($A730=Ficha!$B$3,COUNTIF($A$5:$A730,Ficha!$B$3),"")</f>
        <v/>
      </c>
    </row>
    <row r="731" spans="2:13" x14ac:dyDescent="0.3">
      <c r="B731" s="30" t="str">
        <f>IF(A731="","",IFERROR(INDEX(Maniobras!$B$5:$B$504,MATCH(A731,Maniobras!$A$5:$A$504,0)),""))</f>
        <v/>
      </c>
      <c r="C731" t="str">
        <f t="shared" si="22"/>
        <v/>
      </c>
      <c r="D731" t="str">
        <f>IF(A731="","",IFERROR(INDEX(Maniobras!$D$5:$D$504,MATCH(A731,Maniobras!$A$5:$A$504,0)),""))</f>
        <v/>
      </c>
      <c r="F731" s="29" t="str">
        <f>IF(A731="","",IFERROR(INDEX(Maniobras!$K$5:$K$504,MATCH(A731,Maniobras!$A$5:$A$504,0)),""))</f>
        <v/>
      </c>
      <c r="G731" s="29"/>
      <c r="H731" s="29"/>
      <c r="I731" s="29" t="str">
        <f t="shared" si="23"/>
        <v/>
      </c>
      <c r="K731" s="30"/>
      <c r="M731" t="str">
        <f>IF($A731=Ficha!$B$3,COUNTIF($A$5:$A731,Ficha!$B$3),"")</f>
        <v/>
      </c>
    </row>
    <row r="732" spans="2:13" x14ac:dyDescent="0.3">
      <c r="B732" s="30" t="str">
        <f>IF(A732="","",IFERROR(INDEX(Maniobras!$B$5:$B$504,MATCH(A732,Maniobras!$A$5:$A$504,0)),""))</f>
        <v/>
      </c>
      <c r="C732" t="str">
        <f t="shared" si="22"/>
        <v/>
      </c>
      <c r="D732" t="str">
        <f>IF(A732="","",IFERROR(INDEX(Maniobras!$D$5:$D$504,MATCH(A732,Maniobras!$A$5:$A$504,0)),""))</f>
        <v/>
      </c>
      <c r="F732" s="29" t="str">
        <f>IF(A732="","",IFERROR(INDEX(Maniobras!$K$5:$K$504,MATCH(A732,Maniobras!$A$5:$A$504,0)),""))</f>
        <v/>
      </c>
      <c r="G732" s="29"/>
      <c r="H732" s="29"/>
      <c r="I732" s="29" t="str">
        <f t="shared" si="23"/>
        <v/>
      </c>
      <c r="K732" s="30"/>
      <c r="M732" t="str">
        <f>IF($A732=Ficha!$B$3,COUNTIF($A$5:$A732,Ficha!$B$3),"")</f>
        <v/>
      </c>
    </row>
    <row r="733" spans="2:13" x14ac:dyDescent="0.3">
      <c r="B733" s="30" t="str">
        <f>IF(A733="","",IFERROR(INDEX(Maniobras!$B$5:$B$504,MATCH(A733,Maniobras!$A$5:$A$504,0)),""))</f>
        <v/>
      </c>
      <c r="C733" t="str">
        <f t="shared" si="22"/>
        <v/>
      </c>
      <c r="D733" t="str">
        <f>IF(A733="","",IFERROR(INDEX(Maniobras!$D$5:$D$504,MATCH(A733,Maniobras!$A$5:$A$504,0)),""))</f>
        <v/>
      </c>
      <c r="F733" s="29" t="str">
        <f>IF(A733="","",IFERROR(INDEX(Maniobras!$K$5:$K$504,MATCH(A733,Maniobras!$A$5:$A$504,0)),""))</f>
        <v/>
      </c>
      <c r="G733" s="29"/>
      <c r="H733" s="29"/>
      <c r="I733" s="29" t="str">
        <f t="shared" si="23"/>
        <v/>
      </c>
      <c r="K733" s="30"/>
      <c r="M733" t="str">
        <f>IF($A733=Ficha!$B$3,COUNTIF($A$5:$A733,Ficha!$B$3),"")</f>
        <v/>
      </c>
    </row>
    <row r="734" spans="2:13" x14ac:dyDescent="0.3">
      <c r="B734" s="30" t="str">
        <f>IF(A734="","",IFERROR(INDEX(Maniobras!$B$5:$B$504,MATCH(A734,Maniobras!$A$5:$A$504,0)),""))</f>
        <v/>
      </c>
      <c r="C734" t="str">
        <f t="shared" si="22"/>
        <v/>
      </c>
      <c r="D734" t="str">
        <f>IF(A734="","",IFERROR(INDEX(Maniobras!$D$5:$D$504,MATCH(A734,Maniobras!$A$5:$A$504,0)),""))</f>
        <v/>
      </c>
      <c r="F734" s="29" t="str">
        <f>IF(A734="","",IFERROR(INDEX(Maniobras!$K$5:$K$504,MATCH(A734,Maniobras!$A$5:$A$504,0)),""))</f>
        <v/>
      </c>
      <c r="G734" s="29"/>
      <c r="H734" s="29"/>
      <c r="I734" s="29" t="str">
        <f t="shared" si="23"/>
        <v/>
      </c>
      <c r="K734" s="30"/>
      <c r="M734" t="str">
        <f>IF($A734=Ficha!$B$3,COUNTIF($A$5:$A734,Ficha!$B$3),"")</f>
        <v/>
      </c>
    </row>
    <row r="735" spans="2:13" x14ac:dyDescent="0.3">
      <c r="B735" s="30" t="str">
        <f>IF(A735="","",IFERROR(INDEX(Maniobras!$B$5:$B$504,MATCH(A735,Maniobras!$A$5:$A$504,0)),""))</f>
        <v/>
      </c>
      <c r="C735" t="str">
        <f t="shared" si="22"/>
        <v/>
      </c>
      <c r="D735" t="str">
        <f>IF(A735="","",IFERROR(INDEX(Maniobras!$D$5:$D$504,MATCH(A735,Maniobras!$A$5:$A$504,0)),""))</f>
        <v/>
      </c>
      <c r="F735" s="29" t="str">
        <f>IF(A735="","",IFERROR(INDEX(Maniobras!$K$5:$K$504,MATCH(A735,Maniobras!$A$5:$A$504,0)),""))</f>
        <v/>
      </c>
      <c r="G735" s="29"/>
      <c r="H735" s="29"/>
      <c r="I735" s="29" t="str">
        <f t="shared" si="23"/>
        <v/>
      </c>
      <c r="K735" s="30"/>
      <c r="M735" t="str">
        <f>IF($A735=Ficha!$B$3,COUNTIF($A$5:$A735,Ficha!$B$3),"")</f>
        <v/>
      </c>
    </row>
    <row r="736" spans="2:13" x14ac:dyDescent="0.3">
      <c r="B736" s="30" t="str">
        <f>IF(A736="","",IFERROR(INDEX(Maniobras!$B$5:$B$504,MATCH(A736,Maniobras!$A$5:$A$504,0)),""))</f>
        <v/>
      </c>
      <c r="C736" t="str">
        <f t="shared" si="22"/>
        <v/>
      </c>
      <c r="D736" t="str">
        <f>IF(A736="","",IFERROR(INDEX(Maniobras!$D$5:$D$504,MATCH(A736,Maniobras!$A$5:$A$504,0)),""))</f>
        <v/>
      </c>
      <c r="F736" s="29" t="str">
        <f>IF(A736="","",IFERROR(INDEX(Maniobras!$K$5:$K$504,MATCH(A736,Maniobras!$A$5:$A$504,0)),""))</f>
        <v/>
      </c>
      <c r="G736" s="29"/>
      <c r="H736" s="29"/>
      <c r="I736" s="29" t="str">
        <f t="shared" si="23"/>
        <v/>
      </c>
      <c r="K736" s="30"/>
      <c r="M736" t="str">
        <f>IF($A736=Ficha!$B$3,COUNTIF($A$5:$A736,Ficha!$B$3),"")</f>
        <v/>
      </c>
    </row>
    <row r="737" spans="2:13" x14ac:dyDescent="0.3">
      <c r="B737" s="30" t="str">
        <f>IF(A737="","",IFERROR(INDEX(Maniobras!$B$5:$B$504,MATCH(A737,Maniobras!$A$5:$A$504,0)),""))</f>
        <v/>
      </c>
      <c r="C737" t="str">
        <f t="shared" si="22"/>
        <v/>
      </c>
      <c r="D737" t="str">
        <f>IF(A737="","",IFERROR(INDEX(Maniobras!$D$5:$D$504,MATCH(A737,Maniobras!$A$5:$A$504,0)),""))</f>
        <v/>
      </c>
      <c r="F737" s="29" t="str">
        <f>IF(A737="","",IFERROR(INDEX(Maniobras!$K$5:$K$504,MATCH(A737,Maniobras!$A$5:$A$504,0)),""))</f>
        <v/>
      </c>
      <c r="G737" s="29"/>
      <c r="H737" s="29"/>
      <c r="I737" s="29" t="str">
        <f t="shared" si="23"/>
        <v/>
      </c>
      <c r="K737" s="30"/>
      <c r="M737" t="str">
        <f>IF($A737=Ficha!$B$3,COUNTIF($A$5:$A737,Ficha!$B$3),"")</f>
        <v/>
      </c>
    </row>
    <row r="738" spans="2:13" x14ac:dyDescent="0.3">
      <c r="B738" s="30" t="str">
        <f>IF(A738="","",IFERROR(INDEX(Maniobras!$B$5:$B$504,MATCH(A738,Maniobras!$A$5:$A$504,0)),""))</f>
        <v/>
      </c>
      <c r="C738" t="str">
        <f t="shared" si="22"/>
        <v/>
      </c>
      <c r="D738" t="str">
        <f>IF(A738="","",IFERROR(INDEX(Maniobras!$D$5:$D$504,MATCH(A738,Maniobras!$A$5:$A$504,0)),""))</f>
        <v/>
      </c>
      <c r="F738" s="29" t="str">
        <f>IF(A738="","",IFERROR(INDEX(Maniobras!$K$5:$K$504,MATCH(A738,Maniobras!$A$5:$A$504,0)),""))</f>
        <v/>
      </c>
      <c r="G738" s="29"/>
      <c r="H738" s="29"/>
      <c r="I738" s="29" t="str">
        <f t="shared" si="23"/>
        <v/>
      </c>
      <c r="K738" s="30"/>
      <c r="M738" t="str">
        <f>IF($A738=Ficha!$B$3,COUNTIF($A$5:$A738,Ficha!$B$3),"")</f>
        <v/>
      </c>
    </row>
    <row r="739" spans="2:13" x14ac:dyDescent="0.3">
      <c r="B739" s="30" t="str">
        <f>IF(A739="","",IFERROR(INDEX(Maniobras!$B$5:$B$504,MATCH(A739,Maniobras!$A$5:$A$504,0)),""))</f>
        <v/>
      </c>
      <c r="C739" t="str">
        <f t="shared" si="22"/>
        <v/>
      </c>
      <c r="D739" t="str">
        <f>IF(A739="","",IFERROR(INDEX(Maniobras!$D$5:$D$504,MATCH(A739,Maniobras!$A$5:$A$504,0)),""))</f>
        <v/>
      </c>
      <c r="F739" s="29" t="str">
        <f>IF(A739="","",IFERROR(INDEX(Maniobras!$K$5:$K$504,MATCH(A739,Maniobras!$A$5:$A$504,0)),""))</f>
        <v/>
      </c>
      <c r="G739" s="29"/>
      <c r="H739" s="29"/>
      <c r="I739" s="29" t="str">
        <f t="shared" si="23"/>
        <v/>
      </c>
      <c r="K739" s="30"/>
      <c r="M739" t="str">
        <f>IF($A739=Ficha!$B$3,COUNTIF($A$5:$A739,Ficha!$B$3),"")</f>
        <v/>
      </c>
    </row>
    <row r="740" spans="2:13" x14ac:dyDescent="0.3">
      <c r="B740" s="30" t="str">
        <f>IF(A740="","",IFERROR(INDEX(Maniobras!$B$5:$B$504,MATCH(A740,Maniobras!$A$5:$A$504,0)),""))</f>
        <v/>
      </c>
      <c r="C740" t="str">
        <f t="shared" si="22"/>
        <v/>
      </c>
      <c r="D740" t="str">
        <f>IF(A740="","",IFERROR(INDEX(Maniobras!$D$5:$D$504,MATCH(A740,Maniobras!$A$5:$A$504,0)),""))</f>
        <v/>
      </c>
      <c r="F740" s="29" t="str">
        <f>IF(A740="","",IFERROR(INDEX(Maniobras!$K$5:$K$504,MATCH(A740,Maniobras!$A$5:$A$504,0)),""))</f>
        <v/>
      </c>
      <c r="G740" s="29"/>
      <c r="H740" s="29"/>
      <c r="I740" s="29" t="str">
        <f t="shared" si="23"/>
        <v/>
      </c>
      <c r="K740" s="30"/>
      <c r="M740" t="str">
        <f>IF($A740=Ficha!$B$3,COUNTIF($A$5:$A740,Ficha!$B$3),"")</f>
        <v/>
      </c>
    </row>
    <row r="741" spans="2:13" x14ac:dyDescent="0.3">
      <c r="B741" s="30" t="str">
        <f>IF(A741="","",IFERROR(INDEX(Maniobras!$B$5:$B$504,MATCH(A741,Maniobras!$A$5:$A$504,0)),""))</f>
        <v/>
      </c>
      <c r="C741" t="str">
        <f t="shared" si="22"/>
        <v/>
      </c>
      <c r="D741" t="str">
        <f>IF(A741="","",IFERROR(INDEX(Maniobras!$D$5:$D$504,MATCH(A741,Maniobras!$A$5:$A$504,0)),""))</f>
        <v/>
      </c>
      <c r="F741" s="29" t="str">
        <f>IF(A741="","",IFERROR(INDEX(Maniobras!$K$5:$K$504,MATCH(A741,Maniobras!$A$5:$A$504,0)),""))</f>
        <v/>
      </c>
      <c r="G741" s="29"/>
      <c r="H741" s="29"/>
      <c r="I741" s="29" t="str">
        <f t="shared" si="23"/>
        <v/>
      </c>
      <c r="K741" s="30"/>
      <c r="M741" t="str">
        <f>IF($A741=Ficha!$B$3,COUNTIF($A$5:$A741,Ficha!$B$3),"")</f>
        <v/>
      </c>
    </row>
    <row r="742" spans="2:13" x14ac:dyDescent="0.3">
      <c r="B742" s="30" t="str">
        <f>IF(A742="","",IFERROR(INDEX(Maniobras!$B$5:$B$504,MATCH(A742,Maniobras!$A$5:$A$504,0)),""))</f>
        <v/>
      </c>
      <c r="C742" t="str">
        <f t="shared" si="22"/>
        <v/>
      </c>
      <c r="D742" t="str">
        <f>IF(A742="","",IFERROR(INDEX(Maniobras!$D$5:$D$504,MATCH(A742,Maniobras!$A$5:$A$504,0)),""))</f>
        <v/>
      </c>
      <c r="F742" s="29" t="str">
        <f>IF(A742="","",IFERROR(INDEX(Maniobras!$K$5:$K$504,MATCH(A742,Maniobras!$A$5:$A$504,0)),""))</f>
        <v/>
      </c>
      <c r="G742" s="29"/>
      <c r="H742" s="29"/>
      <c r="I742" s="29" t="str">
        <f t="shared" si="23"/>
        <v/>
      </c>
      <c r="K742" s="30"/>
      <c r="M742" t="str">
        <f>IF($A742=Ficha!$B$3,COUNTIF($A$5:$A742,Ficha!$B$3),"")</f>
        <v/>
      </c>
    </row>
    <row r="743" spans="2:13" x14ac:dyDescent="0.3">
      <c r="B743" s="30" t="str">
        <f>IF(A743="","",IFERROR(INDEX(Maniobras!$B$5:$B$504,MATCH(A743,Maniobras!$A$5:$A$504,0)),""))</f>
        <v/>
      </c>
      <c r="C743" t="str">
        <f t="shared" si="22"/>
        <v/>
      </c>
      <c r="D743" t="str">
        <f>IF(A743="","",IFERROR(INDEX(Maniobras!$D$5:$D$504,MATCH(A743,Maniobras!$A$5:$A$504,0)),""))</f>
        <v/>
      </c>
      <c r="F743" s="29" t="str">
        <f>IF(A743="","",IFERROR(INDEX(Maniobras!$K$5:$K$504,MATCH(A743,Maniobras!$A$5:$A$504,0)),""))</f>
        <v/>
      </c>
      <c r="G743" s="29"/>
      <c r="H743" s="29"/>
      <c r="I743" s="29" t="str">
        <f t="shared" si="23"/>
        <v/>
      </c>
      <c r="K743" s="30"/>
      <c r="M743" t="str">
        <f>IF($A743=Ficha!$B$3,COUNTIF($A$5:$A743,Ficha!$B$3),"")</f>
        <v/>
      </c>
    </row>
    <row r="744" spans="2:13" x14ac:dyDescent="0.3">
      <c r="B744" s="30" t="str">
        <f>IF(A744="","",IFERROR(INDEX(Maniobras!$B$5:$B$504,MATCH(A744,Maniobras!$A$5:$A$504,0)),""))</f>
        <v/>
      </c>
      <c r="C744" t="str">
        <f t="shared" si="22"/>
        <v/>
      </c>
      <c r="D744" t="str">
        <f>IF(A744="","",IFERROR(INDEX(Maniobras!$D$5:$D$504,MATCH(A744,Maniobras!$A$5:$A$504,0)),""))</f>
        <v/>
      </c>
      <c r="F744" s="29" t="str">
        <f>IF(A744="","",IFERROR(INDEX(Maniobras!$K$5:$K$504,MATCH(A744,Maniobras!$A$5:$A$504,0)),""))</f>
        <v/>
      </c>
      <c r="G744" s="29"/>
      <c r="H744" s="29"/>
      <c r="I744" s="29" t="str">
        <f t="shared" si="23"/>
        <v/>
      </c>
      <c r="K744" s="30"/>
      <c r="M744" t="str">
        <f>IF($A744=Ficha!$B$3,COUNTIF($A$5:$A744,Ficha!$B$3),"")</f>
        <v/>
      </c>
    </row>
    <row r="745" spans="2:13" x14ac:dyDescent="0.3">
      <c r="B745" s="30" t="str">
        <f>IF(A745="","",IFERROR(INDEX(Maniobras!$B$5:$B$504,MATCH(A745,Maniobras!$A$5:$A$504,0)),""))</f>
        <v/>
      </c>
      <c r="C745" t="str">
        <f t="shared" si="22"/>
        <v/>
      </c>
      <c r="D745" t="str">
        <f>IF(A745="","",IFERROR(INDEX(Maniobras!$D$5:$D$504,MATCH(A745,Maniobras!$A$5:$A$504,0)),""))</f>
        <v/>
      </c>
      <c r="F745" s="29" t="str">
        <f>IF(A745="","",IFERROR(INDEX(Maniobras!$K$5:$K$504,MATCH(A745,Maniobras!$A$5:$A$504,0)),""))</f>
        <v/>
      </c>
      <c r="G745" s="29"/>
      <c r="H745" s="29"/>
      <c r="I745" s="29" t="str">
        <f t="shared" si="23"/>
        <v/>
      </c>
      <c r="K745" s="30"/>
      <c r="M745" t="str">
        <f>IF($A745=Ficha!$B$3,COUNTIF($A$5:$A745,Ficha!$B$3),"")</f>
        <v/>
      </c>
    </row>
    <row r="746" spans="2:13" x14ac:dyDescent="0.3">
      <c r="B746" s="30" t="str">
        <f>IF(A746="","",IFERROR(INDEX(Maniobras!$B$5:$B$504,MATCH(A746,Maniobras!$A$5:$A$504,0)),""))</f>
        <v/>
      </c>
      <c r="C746" t="str">
        <f t="shared" si="22"/>
        <v/>
      </c>
      <c r="D746" t="str">
        <f>IF(A746="","",IFERROR(INDEX(Maniobras!$D$5:$D$504,MATCH(A746,Maniobras!$A$5:$A$504,0)),""))</f>
        <v/>
      </c>
      <c r="F746" s="29" t="str">
        <f>IF(A746="","",IFERROR(INDEX(Maniobras!$K$5:$K$504,MATCH(A746,Maniobras!$A$5:$A$504,0)),""))</f>
        <v/>
      </c>
      <c r="G746" s="29"/>
      <c r="H746" s="29"/>
      <c r="I746" s="29" t="str">
        <f t="shared" si="23"/>
        <v/>
      </c>
      <c r="K746" s="30"/>
      <c r="M746" t="str">
        <f>IF($A746=Ficha!$B$3,COUNTIF($A$5:$A746,Ficha!$B$3),"")</f>
        <v/>
      </c>
    </row>
    <row r="747" spans="2:13" x14ac:dyDescent="0.3">
      <c r="B747" s="30" t="str">
        <f>IF(A747="","",IFERROR(INDEX(Maniobras!$B$5:$B$504,MATCH(A747,Maniobras!$A$5:$A$504,0)),""))</f>
        <v/>
      </c>
      <c r="C747" t="str">
        <f t="shared" si="22"/>
        <v/>
      </c>
      <c r="D747" t="str">
        <f>IF(A747="","",IFERROR(INDEX(Maniobras!$D$5:$D$504,MATCH(A747,Maniobras!$A$5:$A$504,0)),""))</f>
        <v/>
      </c>
      <c r="F747" s="29" t="str">
        <f>IF(A747="","",IFERROR(INDEX(Maniobras!$K$5:$K$504,MATCH(A747,Maniobras!$A$5:$A$504,0)),""))</f>
        <v/>
      </c>
      <c r="G747" s="29"/>
      <c r="H747" s="29"/>
      <c r="I747" s="29" t="str">
        <f t="shared" si="23"/>
        <v/>
      </c>
      <c r="K747" s="30"/>
      <c r="M747" t="str">
        <f>IF($A747=Ficha!$B$3,COUNTIF($A$5:$A747,Ficha!$B$3),"")</f>
        <v/>
      </c>
    </row>
    <row r="748" spans="2:13" x14ac:dyDescent="0.3">
      <c r="B748" s="30" t="str">
        <f>IF(A748="","",IFERROR(INDEX(Maniobras!$B$5:$B$504,MATCH(A748,Maniobras!$A$5:$A$504,0)),""))</f>
        <v/>
      </c>
      <c r="C748" t="str">
        <f t="shared" si="22"/>
        <v/>
      </c>
      <c r="D748" t="str">
        <f>IF(A748="","",IFERROR(INDEX(Maniobras!$D$5:$D$504,MATCH(A748,Maniobras!$A$5:$A$504,0)),""))</f>
        <v/>
      </c>
      <c r="F748" s="29" t="str">
        <f>IF(A748="","",IFERROR(INDEX(Maniobras!$K$5:$K$504,MATCH(A748,Maniobras!$A$5:$A$504,0)),""))</f>
        <v/>
      </c>
      <c r="G748" s="29"/>
      <c r="H748" s="29"/>
      <c r="I748" s="29" t="str">
        <f t="shared" si="23"/>
        <v/>
      </c>
      <c r="K748" s="30"/>
      <c r="M748" t="str">
        <f>IF($A748=Ficha!$B$3,COUNTIF($A$5:$A748,Ficha!$B$3),"")</f>
        <v/>
      </c>
    </row>
    <row r="749" spans="2:13" x14ac:dyDescent="0.3">
      <c r="B749" s="30" t="str">
        <f>IF(A749="","",IFERROR(INDEX(Maniobras!$B$5:$B$504,MATCH(A749,Maniobras!$A$5:$A$504,0)),""))</f>
        <v/>
      </c>
      <c r="C749" t="str">
        <f t="shared" si="22"/>
        <v/>
      </c>
      <c r="D749" t="str">
        <f>IF(A749="","",IFERROR(INDEX(Maniobras!$D$5:$D$504,MATCH(A749,Maniobras!$A$5:$A$504,0)),""))</f>
        <v/>
      </c>
      <c r="F749" s="29" t="str">
        <f>IF(A749="","",IFERROR(INDEX(Maniobras!$K$5:$K$504,MATCH(A749,Maniobras!$A$5:$A$504,0)),""))</f>
        <v/>
      </c>
      <c r="G749" s="29"/>
      <c r="H749" s="29"/>
      <c r="I749" s="29" t="str">
        <f t="shared" si="23"/>
        <v/>
      </c>
      <c r="K749" s="30"/>
      <c r="M749" t="str">
        <f>IF($A749=Ficha!$B$3,COUNTIF($A$5:$A749,Ficha!$B$3),"")</f>
        <v/>
      </c>
    </row>
    <row r="750" spans="2:13" x14ac:dyDescent="0.3">
      <c r="B750" s="30" t="str">
        <f>IF(A750="","",IFERROR(INDEX(Maniobras!$B$5:$B$504,MATCH(A750,Maniobras!$A$5:$A$504,0)),""))</f>
        <v/>
      </c>
      <c r="C750" t="str">
        <f t="shared" si="22"/>
        <v/>
      </c>
      <c r="D750" t="str">
        <f>IF(A750="","",IFERROR(INDEX(Maniobras!$D$5:$D$504,MATCH(A750,Maniobras!$A$5:$A$504,0)),""))</f>
        <v/>
      </c>
      <c r="F750" s="29" t="str">
        <f>IF(A750="","",IFERROR(INDEX(Maniobras!$K$5:$K$504,MATCH(A750,Maniobras!$A$5:$A$504,0)),""))</f>
        <v/>
      </c>
      <c r="G750" s="29"/>
      <c r="H750" s="29"/>
      <c r="I750" s="29" t="str">
        <f t="shared" si="23"/>
        <v/>
      </c>
      <c r="K750" s="30"/>
      <c r="M750" t="str">
        <f>IF($A750=Ficha!$B$3,COUNTIF($A$5:$A750,Ficha!$B$3),"")</f>
        <v/>
      </c>
    </row>
    <row r="751" spans="2:13" x14ac:dyDescent="0.3">
      <c r="B751" s="30" t="str">
        <f>IF(A751="","",IFERROR(INDEX(Maniobras!$B$5:$B$504,MATCH(A751,Maniobras!$A$5:$A$504,0)),""))</f>
        <v/>
      </c>
      <c r="C751" t="str">
        <f t="shared" si="22"/>
        <v/>
      </c>
      <c r="D751" t="str">
        <f>IF(A751="","",IFERROR(INDEX(Maniobras!$D$5:$D$504,MATCH(A751,Maniobras!$A$5:$A$504,0)),""))</f>
        <v/>
      </c>
      <c r="F751" s="29" t="str">
        <f>IF(A751="","",IFERROR(INDEX(Maniobras!$K$5:$K$504,MATCH(A751,Maniobras!$A$5:$A$504,0)),""))</f>
        <v/>
      </c>
      <c r="G751" s="29"/>
      <c r="H751" s="29"/>
      <c r="I751" s="29" t="str">
        <f t="shared" si="23"/>
        <v/>
      </c>
      <c r="K751" s="30"/>
      <c r="M751" t="str">
        <f>IF($A751=Ficha!$B$3,COUNTIF($A$5:$A751,Ficha!$B$3),"")</f>
        <v/>
      </c>
    </row>
    <row r="752" spans="2:13" x14ac:dyDescent="0.3">
      <c r="B752" s="30" t="str">
        <f>IF(A752="","",IFERROR(INDEX(Maniobras!$B$5:$B$504,MATCH(A752,Maniobras!$A$5:$A$504,0)),""))</f>
        <v/>
      </c>
      <c r="C752" t="str">
        <f t="shared" si="22"/>
        <v/>
      </c>
      <c r="D752" t="str">
        <f>IF(A752="","",IFERROR(INDEX(Maniobras!$D$5:$D$504,MATCH(A752,Maniobras!$A$5:$A$504,0)),""))</f>
        <v/>
      </c>
      <c r="F752" s="29" t="str">
        <f>IF(A752="","",IFERROR(INDEX(Maniobras!$K$5:$K$504,MATCH(A752,Maniobras!$A$5:$A$504,0)),""))</f>
        <v/>
      </c>
      <c r="G752" s="29"/>
      <c r="H752" s="29"/>
      <c r="I752" s="29" t="str">
        <f t="shared" si="23"/>
        <v/>
      </c>
      <c r="K752" s="30"/>
      <c r="M752" t="str">
        <f>IF($A752=Ficha!$B$3,COUNTIF($A$5:$A752,Ficha!$B$3),"")</f>
        <v/>
      </c>
    </row>
    <row r="753" spans="2:13" x14ac:dyDescent="0.3">
      <c r="B753" s="30" t="str">
        <f>IF(A753="","",IFERROR(INDEX(Maniobras!$B$5:$B$504,MATCH(A753,Maniobras!$A$5:$A$504,0)),""))</f>
        <v/>
      </c>
      <c r="C753" t="str">
        <f t="shared" si="22"/>
        <v/>
      </c>
      <c r="D753" t="str">
        <f>IF(A753="","",IFERROR(INDEX(Maniobras!$D$5:$D$504,MATCH(A753,Maniobras!$A$5:$A$504,0)),""))</f>
        <v/>
      </c>
      <c r="F753" s="29" t="str">
        <f>IF(A753="","",IFERROR(INDEX(Maniobras!$K$5:$K$504,MATCH(A753,Maniobras!$A$5:$A$504,0)),""))</f>
        <v/>
      </c>
      <c r="G753" s="29"/>
      <c r="H753" s="29"/>
      <c r="I753" s="29" t="str">
        <f t="shared" si="23"/>
        <v/>
      </c>
      <c r="K753" s="30"/>
      <c r="M753" t="str">
        <f>IF($A753=Ficha!$B$3,COUNTIF($A$5:$A753,Ficha!$B$3),"")</f>
        <v/>
      </c>
    </row>
    <row r="754" spans="2:13" x14ac:dyDescent="0.3">
      <c r="B754" s="30" t="str">
        <f>IF(A754="","",IFERROR(INDEX(Maniobras!$B$5:$B$504,MATCH(A754,Maniobras!$A$5:$A$504,0)),""))</f>
        <v/>
      </c>
      <c r="C754" t="str">
        <f t="shared" si="22"/>
        <v/>
      </c>
      <c r="D754" t="str">
        <f>IF(A754="","",IFERROR(INDEX(Maniobras!$D$5:$D$504,MATCH(A754,Maniobras!$A$5:$A$504,0)),""))</f>
        <v/>
      </c>
      <c r="F754" s="29" t="str">
        <f>IF(A754="","",IFERROR(INDEX(Maniobras!$K$5:$K$504,MATCH(A754,Maniobras!$A$5:$A$504,0)),""))</f>
        <v/>
      </c>
      <c r="G754" s="29"/>
      <c r="H754" s="29"/>
      <c r="I754" s="29" t="str">
        <f t="shared" si="23"/>
        <v/>
      </c>
      <c r="K754" s="30"/>
      <c r="M754" t="str">
        <f>IF($A754=Ficha!$B$3,COUNTIF($A$5:$A754,Ficha!$B$3),"")</f>
        <v/>
      </c>
    </row>
    <row r="755" spans="2:13" x14ac:dyDescent="0.3">
      <c r="B755" s="30" t="str">
        <f>IF(A755="","",IFERROR(INDEX(Maniobras!$B$5:$B$504,MATCH(A755,Maniobras!$A$5:$A$504,0)),""))</f>
        <v/>
      </c>
      <c r="C755" t="str">
        <f t="shared" si="22"/>
        <v/>
      </c>
      <c r="D755" t="str">
        <f>IF(A755="","",IFERROR(INDEX(Maniobras!$D$5:$D$504,MATCH(A755,Maniobras!$A$5:$A$504,0)),""))</f>
        <v/>
      </c>
      <c r="F755" s="29" t="str">
        <f>IF(A755="","",IFERROR(INDEX(Maniobras!$K$5:$K$504,MATCH(A755,Maniobras!$A$5:$A$504,0)),""))</f>
        <v/>
      </c>
      <c r="G755" s="29"/>
      <c r="H755" s="29"/>
      <c r="I755" s="29" t="str">
        <f t="shared" si="23"/>
        <v/>
      </c>
      <c r="K755" s="30"/>
      <c r="M755" t="str">
        <f>IF($A755=Ficha!$B$3,COUNTIF($A$5:$A755,Ficha!$B$3),"")</f>
        <v/>
      </c>
    </row>
    <row r="756" spans="2:13" x14ac:dyDescent="0.3">
      <c r="B756" s="30" t="str">
        <f>IF(A756="","",IFERROR(INDEX(Maniobras!$B$5:$B$504,MATCH(A756,Maniobras!$A$5:$A$504,0)),""))</f>
        <v/>
      </c>
      <c r="C756" t="str">
        <f t="shared" si="22"/>
        <v/>
      </c>
      <c r="D756" t="str">
        <f>IF(A756="","",IFERROR(INDEX(Maniobras!$D$5:$D$504,MATCH(A756,Maniobras!$A$5:$A$504,0)),""))</f>
        <v/>
      </c>
      <c r="F756" s="29" t="str">
        <f>IF(A756="","",IFERROR(INDEX(Maniobras!$K$5:$K$504,MATCH(A756,Maniobras!$A$5:$A$504,0)),""))</f>
        <v/>
      </c>
      <c r="G756" s="29"/>
      <c r="H756" s="29"/>
      <c r="I756" s="29" t="str">
        <f t="shared" si="23"/>
        <v/>
      </c>
      <c r="K756" s="30"/>
      <c r="M756" t="str">
        <f>IF($A756=Ficha!$B$3,COUNTIF($A$5:$A756,Ficha!$B$3),"")</f>
        <v/>
      </c>
    </row>
    <row r="757" spans="2:13" x14ac:dyDescent="0.3">
      <c r="B757" s="30" t="str">
        <f>IF(A757="","",IFERROR(INDEX(Maniobras!$B$5:$B$504,MATCH(A757,Maniobras!$A$5:$A$504,0)),""))</f>
        <v/>
      </c>
      <c r="C757" t="str">
        <f t="shared" si="22"/>
        <v/>
      </c>
      <c r="D757" t="str">
        <f>IF(A757="","",IFERROR(INDEX(Maniobras!$D$5:$D$504,MATCH(A757,Maniobras!$A$5:$A$504,0)),""))</f>
        <v/>
      </c>
      <c r="F757" s="29" t="str">
        <f>IF(A757="","",IFERROR(INDEX(Maniobras!$K$5:$K$504,MATCH(A757,Maniobras!$A$5:$A$504,0)),""))</f>
        <v/>
      </c>
      <c r="G757" s="29"/>
      <c r="H757" s="29"/>
      <c r="I757" s="29" t="str">
        <f t="shared" si="23"/>
        <v/>
      </c>
      <c r="K757" s="30"/>
      <c r="M757" t="str">
        <f>IF($A757=Ficha!$B$3,COUNTIF($A$5:$A757,Ficha!$B$3),"")</f>
        <v/>
      </c>
    </row>
    <row r="758" spans="2:13" x14ac:dyDescent="0.3">
      <c r="B758" s="30" t="str">
        <f>IF(A758="","",IFERROR(INDEX(Maniobras!$B$5:$B$504,MATCH(A758,Maniobras!$A$5:$A$504,0)),""))</f>
        <v/>
      </c>
      <c r="C758" t="str">
        <f t="shared" si="22"/>
        <v/>
      </c>
      <c r="D758" t="str">
        <f>IF(A758="","",IFERROR(INDEX(Maniobras!$D$5:$D$504,MATCH(A758,Maniobras!$A$5:$A$504,0)),""))</f>
        <v/>
      </c>
      <c r="F758" s="29" t="str">
        <f>IF(A758="","",IFERROR(INDEX(Maniobras!$K$5:$K$504,MATCH(A758,Maniobras!$A$5:$A$504,0)),""))</f>
        <v/>
      </c>
      <c r="G758" s="29"/>
      <c r="H758" s="29"/>
      <c r="I758" s="29" t="str">
        <f t="shared" si="23"/>
        <v/>
      </c>
      <c r="K758" s="30"/>
      <c r="M758" t="str">
        <f>IF($A758=Ficha!$B$3,COUNTIF($A$5:$A758,Ficha!$B$3),"")</f>
        <v/>
      </c>
    </row>
    <row r="759" spans="2:13" x14ac:dyDescent="0.3">
      <c r="B759" s="30" t="str">
        <f>IF(A759="","",IFERROR(INDEX(Maniobras!$B$5:$B$504,MATCH(A759,Maniobras!$A$5:$A$504,0)),""))</f>
        <v/>
      </c>
      <c r="C759" t="str">
        <f t="shared" si="22"/>
        <v/>
      </c>
      <c r="D759" t="str">
        <f>IF(A759="","",IFERROR(INDEX(Maniobras!$D$5:$D$504,MATCH(A759,Maniobras!$A$5:$A$504,0)),""))</f>
        <v/>
      </c>
      <c r="F759" s="29" t="str">
        <f>IF(A759="","",IFERROR(INDEX(Maniobras!$K$5:$K$504,MATCH(A759,Maniobras!$A$5:$A$504,0)),""))</f>
        <v/>
      </c>
      <c r="G759" s="29"/>
      <c r="H759" s="29"/>
      <c r="I759" s="29" t="str">
        <f t="shared" si="23"/>
        <v/>
      </c>
      <c r="K759" s="30"/>
      <c r="M759" t="str">
        <f>IF($A759=Ficha!$B$3,COUNTIF($A$5:$A759,Ficha!$B$3),"")</f>
        <v/>
      </c>
    </row>
    <row r="760" spans="2:13" x14ac:dyDescent="0.3">
      <c r="B760" s="30" t="str">
        <f>IF(A760="","",IFERROR(INDEX(Maniobras!$B$5:$B$504,MATCH(A760,Maniobras!$A$5:$A$504,0)),""))</f>
        <v/>
      </c>
      <c r="C760" t="str">
        <f t="shared" si="22"/>
        <v/>
      </c>
      <c r="D760" t="str">
        <f>IF(A760="","",IFERROR(INDEX(Maniobras!$D$5:$D$504,MATCH(A760,Maniobras!$A$5:$A$504,0)),""))</f>
        <v/>
      </c>
      <c r="F760" s="29" t="str">
        <f>IF(A760="","",IFERROR(INDEX(Maniobras!$K$5:$K$504,MATCH(A760,Maniobras!$A$5:$A$504,0)),""))</f>
        <v/>
      </c>
      <c r="G760" s="29"/>
      <c r="H760" s="29"/>
      <c r="I760" s="29" t="str">
        <f t="shared" si="23"/>
        <v/>
      </c>
      <c r="K760" s="30"/>
      <c r="M760" t="str">
        <f>IF($A760=Ficha!$B$3,COUNTIF($A$5:$A760,Ficha!$B$3),"")</f>
        <v/>
      </c>
    </row>
    <row r="761" spans="2:13" x14ac:dyDescent="0.3">
      <c r="B761" s="30" t="str">
        <f>IF(A761="","",IFERROR(INDEX(Maniobras!$B$5:$B$504,MATCH(A761,Maniobras!$A$5:$A$504,0)),""))</f>
        <v/>
      </c>
      <c r="C761" t="str">
        <f t="shared" si="22"/>
        <v/>
      </c>
      <c r="D761" t="str">
        <f>IF(A761="","",IFERROR(INDEX(Maniobras!$D$5:$D$504,MATCH(A761,Maniobras!$A$5:$A$504,0)),""))</f>
        <v/>
      </c>
      <c r="F761" s="29" t="str">
        <f>IF(A761="","",IFERROR(INDEX(Maniobras!$K$5:$K$504,MATCH(A761,Maniobras!$A$5:$A$504,0)),""))</f>
        <v/>
      </c>
      <c r="G761" s="29"/>
      <c r="H761" s="29"/>
      <c r="I761" s="29" t="str">
        <f t="shared" si="23"/>
        <v/>
      </c>
      <c r="K761" s="30"/>
      <c r="M761" t="str">
        <f>IF($A761=Ficha!$B$3,COUNTIF($A$5:$A761,Ficha!$B$3),"")</f>
        <v/>
      </c>
    </row>
    <row r="762" spans="2:13" x14ac:dyDescent="0.3">
      <c r="B762" s="30" t="str">
        <f>IF(A762="","",IFERROR(INDEX(Maniobras!$B$5:$B$504,MATCH(A762,Maniobras!$A$5:$A$504,0)),""))</f>
        <v/>
      </c>
      <c r="C762" t="str">
        <f t="shared" si="22"/>
        <v/>
      </c>
      <c r="D762" t="str">
        <f>IF(A762="","",IFERROR(INDEX(Maniobras!$D$5:$D$504,MATCH(A762,Maniobras!$A$5:$A$504,0)),""))</f>
        <v/>
      </c>
      <c r="F762" s="29" t="str">
        <f>IF(A762="","",IFERROR(INDEX(Maniobras!$K$5:$K$504,MATCH(A762,Maniobras!$A$5:$A$504,0)),""))</f>
        <v/>
      </c>
      <c r="G762" s="29"/>
      <c r="H762" s="29"/>
      <c r="I762" s="29" t="str">
        <f t="shared" si="23"/>
        <v/>
      </c>
      <c r="K762" s="30"/>
      <c r="M762" t="str">
        <f>IF($A762=Ficha!$B$3,COUNTIF($A$5:$A762,Ficha!$B$3),"")</f>
        <v/>
      </c>
    </row>
    <row r="763" spans="2:13" x14ac:dyDescent="0.3">
      <c r="B763" s="30" t="str">
        <f>IF(A763="","",IFERROR(INDEX(Maniobras!$B$5:$B$504,MATCH(A763,Maniobras!$A$5:$A$504,0)),""))</f>
        <v/>
      </c>
      <c r="C763" t="str">
        <f t="shared" si="22"/>
        <v/>
      </c>
      <c r="D763" t="str">
        <f>IF(A763="","",IFERROR(INDEX(Maniobras!$D$5:$D$504,MATCH(A763,Maniobras!$A$5:$A$504,0)),""))</f>
        <v/>
      </c>
      <c r="F763" s="29" t="str">
        <f>IF(A763="","",IFERROR(INDEX(Maniobras!$K$5:$K$504,MATCH(A763,Maniobras!$A$5:$A$504,0)),""))</f>
        <v/>
      </c>
      <c r="G763" s="29"/>
      <c r="H763" s="29"/>
      <c r="I763" s="29" t="str">
        <f t="shared" si="23"/>
        <v/>
      </c>
      <c r="K763" s="30"/>
      <c r="M763" t="str">
        <f>IF($A763=Ficha!$B$3,COUNTIF($A$5:$A763,Ficha!$B$3),"")</f>
        <v/>
      </c>
    </row>
    <row r="764" spans="2:13" x14ac:dyDescent="0.3">
      <c r="B764" s="30" t="str">
        <f>IF(A764="","",IFERROR(INDEX(Maniobras!$B$5:$B$504,MATCH(A764,Maniobras!$A$5:$A$504,0)),""))</f>
        <v/>
      </c>
      <c r="C764" t="str">
        <f t="shared" si="22"/>
        <v/>
      </c>
      <c r="D764" t="str">
        <f>IF(A764="","",IFERROR(INDEX(Maniobras!$D$5:$D$504,MATCH(A764,Maniobras!$A$5:$A$504,0)),""))</f>
        <v/>
      </c>
      <c r="F764" s="29" t="str">
        <f>IF(A764="","",IFERROR(INDEX(Maniobras!$K$5:$K$504,MATCH(A764,Maniobras!$A$5:$A$504,0)),""))</f>
        <v/>
      </c>
      <c r="G764" s="29"/>
      <c r="H764" s="29"/>
      <c r="I764" s="29" t="str">
        <f t="shared" si="23"/>
        <v/>
      </c>
      <c r="K764" s="30"/>
      <c r="M764" t="str">
        <f>IF($A764=Ficha!$B$3,COUNTIF($A$5:$A764,Ficha!$B$3),"")</f>
        <v/>
      </c>
    </row>
    <row r="765" spans="2:13" x14ac:dyDescent="0.3">
      <c r="B765" s="30" t="str">
        <f>IF(A765="","",IFERROR(INDEX(Maniobras!$B$5:$B$504,MATCH(A765,Maniobras!$A$5:$A$504,0)),""))</f>
        <v/>
      </c>
      <c r="C765" t="str">
        <f t="shared" si="22"/>
        <v/>
      </c>
      <c r="D765" t="str">
        <f>IF(A765="","",IFERROR(INDEX(Maniobras!$D$5:$D$504,MATCH(A765,Maniobras!$A$5:$A$504,0)),""))</f>
        <v/>
      </c>
      <c r="F765" s="29" t="str">
        <f>IF(A765="","",IFERROR(INDEX(Maniobras!$K$5:$K$504,MATCH(A765,Maniobras!$A$5:$A$504,0)),""))</f>
        <v/>
      </c>
      <c r="G765" s="29"/>
      <c r="H765" s="29"/>
      <c r="I765" s="29" t="str">
        <f t="shared" si="23"/>
        <v/>
      </c>
      <c r="K765" s="30"/>
      <c r="M765" t="str">
        <f>IF($A765=Ficha!$B$3,COUNTIF($A$5:$A765,Ficha!$B$3),"")</f>
        <v/>
      </c>
    </row>
    <row r="766" spans="2:13" x14ac:dyDescent="0.3">
      <c r="B766" s="30" t="str">
        <f>IF(A766="","",IFERROR(INDEX(Maniobras!$B$5:$B$504,MATCH(A766,Maniobras!$A$5:$A$504,0)),""))</f>
        <v/>
      </c>
      <c r="C766" t="str">
        <f t="shared" si="22"/>
        <v/>
      </c>
      <c r="D766" t="str">
        <f>IF(A766="","",IFERROR(INDEX(Maniobras!$D$5:$D$504,MATCH(A766,Maniobras!$A$5:$A$504,0)),""))</f>
        <v/>
      </c>
      <c r="F766" s="29" t="str">
        <f>IF(A766="","",IFERROR(INDEX(Maniobras!$K$5:$K$504,MATCH(A766,Maniobras!$A$5:$A$504,0)),""))</f>
        <v/>
      </c>
      <c r="G766" s="29"/>
      <c r="H766" s="29"/>
      <c r="I766" s="29" t="str">
        <f t="shared" si="23"/>
        <v/>
      </c>
      <c r="K766" s="30"/>
      <c r="M766" t="str">
        <f>IF($A766=Ficha!$B$3,COUNTIF($A$5:$A766,Ficha!$B$3),"")</f>
        <v/>
      </c>
    </row>
    <row r="767" spans="2:13" x14ac:dyDescent="0.3">
      <c r="B767" s="30" t="str">
        <f>IF(A767="","",IFERROR(INDEX(Maniobras!$B$5:$B$504,MATCH(A767,Maniobras!$A$5:$A$504,0)),""))</f>
        <v/>
      </c>
      <c r="C767" t="str">
        <f t="shared" si="22"/>
        <v/>
      </c>
      <c r="D767" t="str">
        <f>IF(A767="","",IFERROR(INDEX(Maniobras!$D$5:$D$504,MATCH(A767,Maniobras!$A$5:$A$504,0)),""))</f>
        <v/>
      </c>
      <c r="F767" s="29" t="str">
        <f>IF(A767="","",IFERROR(INDEX(Maniobras!$K$5:$K$504,MATCH(A767,Maniobras!$A$5:$A$504,0)),""))</f>
        <v/>
      </c>
      <c r="G767" s="29"/>
      <c r="H767" s="29"/>
      <c r="I767" s="29" t="str">
        <f t="shared" si="23"/>
        <v/>
      </c>
      <c r="K767" s="30"/>
      <c r="M767" t="str">
        <f>IF($A767=Ficha!$B$3,COUNTIF($A$5:$A767,Ficha!$B$3),"")</f>
        <v/>
      </c>
    </row>
    <row r="768" spans="2:13" x14ac:dyDescent="0.3">
      <c r="B768" s="30" t="str">
        <f>IF(A768="","",IFERROR(INDEX(Maniobras!$B$5:$B$504,MATCH(A768,Maniobras!$A$5:$A$504,0)),""))</f>
        <v/>
      </c>
      <c r="C768" t="str">
        <f t="shared" si="22"/>
        <v/>
      </c>
      <c r="D768" t="str">
        <f>IF(A768="","",IFERROR(INDEX(Maniobras!$D$5:$D$504,MATCH(A768,Maniobras!$A$5:$A$504,0)),""))</f>
        <v/>
      </c>
      <c r="F768" s="29" t="str">
        <f>IF(A768="","",IFERROR(INDEX(Maniobras!$K$5:$K$504,MATCH(A768,Maniobras!$A$5:$A$504,0)),""))</f>
        <v/>
      </c>
      <c r="G768" s="29"/>
      <c r="H768" s="29"/>
      <c r="I768" s="29" t="str">
        <f t="shared" si="23"/>
        <v/>
      </c>
      <c r="K768" s="30"/>
      <c r="M768" t="str">
        <f>IF($A768=Ficha!$B$3,COUNTIF($A$5:$A768,Ficha!$B$3),"")</f>
        <v/>
      </c>
    </row>
    <row r="769" spans="2:13" x14ac:dyDescent="0.3">
      <c r="B769" s="30" t="str">
        <f>IF(A769="","",IFERROR(INDEX(Maniobras!$B$5:$B$504,MATCH(A769,Maniobras!$A$5:$A$504,0)),""))</f>
        <v/>
      </c>
      <c r="C769" t="str">
        <f t="shared" si="22"/>
        <v/>
      </c>
      <c r="D769" t="str">
        <f>IF(A769="","",IFERROR(INDEX(Maniobras!$D$5:$D$504,MATCH(A769,Maniobras!$A$5:$A$504,0)),""))</f>
        <v/>
      </c>
      <c r="F769" s="29" t="str">
        <f>IF(A769="","",IFERROR(INDEX(Maniobras!$K$5:$K$504,MATCH(A769,Maniobras!$A$5:$A$504,0)),""))</f>
        <v/>
      </c>
      <c r="G769" s="29"/>
      <c r="H769" s="29"/>
      <c r="I769" s="29" t="str">
        <f t="shared" si="23"/>
        <v/>
      </c>
      <c r="K769" s="30"/>
      <c r="M769" t="str">
        <f>IF($A769=Ficha!$B$3,COUNTIF($A$5:$A769,Ficha!$B$3),"")</f>
        <v/>
      </c>
    </row>
    <row r="770" spans="2:13" x14ac:dyDescent="0.3">
      <c r="B770" s="30" t="str">
        <f>IF(A770="","",IFERROR(INDEX(Maniobras!$B$5:$B$504,MATCH(A770,Maniobras!$A$5:$A$504,0)),""))</f>
        <v/>
      </c>
      <c r="C770" t="str">
        <f t="shared" si="22"/>
        <v/>
      </c>
      <c r="D770" t="str">
        <f>IF(A770="","",IFERROR(INDEX(Maniobras!$D$5:$D$504,MATCH(A770,Maniobras!$A$5:$A$504,0)),""))</f>
        <v/>
      </c>
      <c r="F770" s="29" t="str">
        <f>IF(A770="","",IFERROR(INDEX(Maniobras!$K$5:$K$504,MATCH(A770,Maniobras!$A$5:$A$504,0)),""))</f>
        <v/>
      </c>
      <c r="G770" s="29"/>
      <c r="H770" s="29"/>
      <c r="I770" s="29" t="str">
        <f t="shared" si="23"/>
        <v/>
      </c>
      <c r="K770" s="30"/>
      <c r="M770" t="str">
        <f>IF($A770=Ficha!$B$3,COUNTIF($A$5:$A770,Ficha!$B$3),"")</f>
        <v/>
      </c>
    </row>
    <row r="771" spans="2:13" x14ac:dyDescent="0.3">
      <c r="B771" s="30" t="str">
        <f>IF(A771="","",IFERROR(INDEX(Maniobras!$B$5:$B$504,MATCH(A771,Maniobras!$A$5:$A$504,0)),""))</f>
        <v/>
      </c>
      <c r="C771" t="str">
        <f t="shared" si="22"/>
        <v/>
      </c>
      <c r="D771" t="str">
        <f>IF(A771="","",IFERROR(INDEX(Maniobras!$D$5:$D$504,MATCH(A771,Maniobras!$A$5:$A$504,0)),""))</f>
        <v/>
      </c>
      <c r="F771" s="29" t="str">
        <f>IF(A771="","",IFERROR(INDEX(Maniobras!$K$5:$K$504,MATCH(A771,Maniobras!$A$5:$A$504,0)),""))</f>
        <v/>
      </c>
      <c r="G771" s="29"/>
      <c r="H771" s="29"/>
      <c r="I771" s="29" t="str">
        <f t="shared" si="23"/>
        <v/>
      </c>
      <c r="K771" s="30"/>
      <c r="M771" t="str">
        <f>IF($A771=Ficha!$B$3,COUNTIF($A$5:$A771,Ficha!$B$3),"")</f>
        <v/>
      </c>
    </row>
    <row r="772" spans="2:13" x14ac:dyDescent="0.3">
      <c r="B772" s="30" t="str">
        <f>IF(A772="","",IFERROR(INDEX(Maniobras!$B$5:$B$504,MATCH(A772,Maniobras!$A$5:$A$504,0)),""))</f>
        <v/>
      </c>
      <c r="C772" t="str">
        <f t="shared" si="22"/>
        <v/>
      </c>
      <c r="D772" t="str">
        <f>IF(A772="","",IFERROR(INDEX(Maniobras!$D$5:$D$504,MATCH(A772,Maniobras!$A$5:$A$504,0)),""))</f>
        <v/>
      </c>
      <c r="F772" s="29" t="str">
        <f>IF(A772="","",IFERROR(INDEX(Maniobras!$K$5:$K$504,MATCH(A772,Maniobras!$A$5:$A$504,0)),""))</f>
        <v/>
      </c>
      <c r="G772" s="29"/>
      <c r="H772" s="29"/>
      <c r="I772" s="29" t="str">
        <f t="shared" si="23"/>
        <v/>
      </c>
      <c r="K772" s="30"/>
      <c r="M772" t="str">
        <f>IF($A772=Ficha!$B$3,COUNTIF($A$5:$A772,Ficha!$B$3),"")</f>
        <v/>
      </c>
    </row>
    <row r="773" spans="2:13" x14ac:dyDescent="0.3">
      <c r="B773" s="30" t="str">
        <f>IF(A773="","",IFERROR(INDEX(Maniobras!$B$5:$B$504,MATCH(A773,Maniobras!$A$5:$A$504,0)),""))</f>
        <v/>
      </c>
      <c r="C773" t="str">
        <f t="shared" ref="C773:C836" si="24">IF(B773="","",TEXT(B773,"yyyy-mm"))</f>
        <v/>
      </c>
      <c r="D773" t="str">
        <f>IF(A773="","",IFERROR(INDEX(Maniobras!$D$5:$D$504,MATCH(A773,Maniobras!$A$5:$A$504,0)),""))</f>
        <v/>
      </c>
      <c r="F773" s="29" t="str">
        <f>IF(A773="","",IFERROR(INDEX(Maniobras!$K$5:$K$504,MATCH(A773,Maniobras!$A$5:$A$504,0)),""))</f>
        <v/>
      </c>
      <c r="G773" s="29"/>
      <c r="H773" s="29"/>
      <c r="I773" s="29" t="str">
        <f t="shared" ref="I773:I836" si="25">IF(G773="","",G773+N(H773))</f>
        <v/>
      </c>
      <c r="K773" s="30"/>
      <c r="M773" t="str">
        <f>IF($A773=Ficha!$B$3,COUNTIF($A$5:$A773,Ficha!$B$3),"")</f>
        <v/>
      </c>
    </row>
    <row r="774" spans="2:13" x14ac:dyDescent="0.3">
      <c r="B774" s="30" t="str">
        <f>IF(A774="","",IFERROR(INDEX(Maniobras!$B$5:$B$504,MATCH(A774,Maniobras!$A$5:$A$504,0)),""))</f>
        <v/>
      </c>
      <c r="C774" t="str">
        <f t="shared" si="24"/>
        <v/>
      </c>
      <c r="D774" t="str">
        <f>IF(A774="","",IFERROR(INDEX(Maniobras!$D$5:$D$504,MATCH(A774,Maniobras!$A$5:$A$504,0)),""))</f>
        <v/>
      </c>
      <c r="F774" s="29" t="str">
        <f>IF(A774="","",IFERROR(INDEX(Maniobras!$K$5:$K$504,MATCH(A774,Maniobras!$A$5:$A$504,0)),""))</f>
        <v/>
      </c>
      <c r="G774" s="29"/>
      <c r="H774" s="29"/>
      <c r="I774" s="29" t="str">
        <f t="shared" si="25"/>
        <v/>
      </c>
      <c r="K774" s="30"/>
      <c r="M774" t="str">
        <f>IF($A774=Ficha!$B$3,COUNTIF($A$5:$A774,Ficha!$B$3),"")</f>
        <v/>
      </c>
    </row>
    <row r="775" spans="2:13" x14ac:dyDescent="0.3">
      <c r="B775" s="30" t="str">
        <f>IF(A775="","",IFERROR(INDEX(Maniobras!$B$5:$B$504,MATCH(A775,Maniobras!$A$5:$A$504,0)),""))</f>
        <v/>
      </c>
      <c r="C775" t="str">
        <f t="shared" si="24"/>
        <v/>
      </c>
      <c r="D775" t="str">
        <f>IF(A775="","",IFERROR(INDEX(Maniobras!$D$5:$D$504,MATCH(A775,Maniobras!$A$5:$A$504,0)),""))</f>
        <v/>
      </c>
      <c r="F775" s="29" t="str">
        <f>IF(A775="","",IFERROR(INDEX(Maniobras!$K$5:$K$504,MATCH(A775,Maniobras!$A$5:$A$504,0)),""))</f>
        <v/>
      </c>
      <c r="G775" s="29"/>
      <c r="H775" s="29"/>
      <c r="I775" s="29" t="str">
        <f t="shared" si="25"/>
        <v/>
      </c>
      <c r="K775" s="30"/>
      <c r="M775" t="str">
        <f>IF($A775=Ficha!$B$3,COUNTIF($A$5:$A775,Ficha!$B$3),"")</f>
        <v/>
      </c>
    </row>
    <row r="776" spans="2:13" x14ac:dyDescent="0.3">
      <c r="B776" s="30" t="str">
        <f>IF(A776="","",IFERROR(INDEX(Maniobras!$B$5:$B$504,MATCH(A776,Maniobras!$A$5:$A$504,0)),""))</f>
        <v/>
      </c>
      <c r="C776" t="str">
        <f t="shared" si="24"/>
        <v/>
      </c>
      <c r="D776" t="str">
        <f>IF(A776="","",IFERROR(INDEX(Maniobras!$D$5:$D$504,MATCH(A776,Maniobras!$A$5:$A$504,0)),""))</f>
        <v/>
      </c>
      <c r="F776" s="29" t="str">
        <f>IF(A776="","",IFERROR(INDEX(Maniobras!$K$5:$K$504,MATCH(A776,Maniobras!$A$5:$A$504,0)),""))</f>
        <v/>
      </c>
      <c r="G776" s="29"/>
      <c r="H776" s="29"/>
      <c r="I776" s="29" t="str">
        <f t="shared" si="25"/>
        <v/>
      </c>
      <c r="K776" s="30"/>
      <c r="M776" t="str">
        <f>IF($A776=Ficha!$B$3,COUNTIF($A$5:$A776,Ficha!$B$3),"")</f>
        <v/>
      </c>
    </row>
    <row r="777" spans="2:13" x14ac:dyDescent="0.3">
      <c r="B777" s="30" t="str">
        <f>IF(A777="","",IFERROR(INDEX(Maniobras!$B$5:$B$504,MATCH(A777,Maniobras!$A$5:$A$504,0)),""))</f>
        <v/>
      </c>
      <c r="C777" t="str">
        <f t="shared" si="24"/>
        <v/>
      </c>
      <c r="D777" t="str">
        <f>IF(A777="","",IFERROR(INDEX(Maniobras!$D$5:$D$504,MATCH(A777,Maniobras!$A$5:$A$504,0)),""))</f>
        <v/>
      </c>
      <c r="F777" s="29" t="str">
        <f>IF(A777="","",IFERROR(INDEX(Maniobras!$K$5:$K$504,MATCH(A777,Maniobras!$A$5:$A$504,0)),""))</f>
        <v/>
      </c>
      <c r="G777" s="29"/>
      <c r="H777" s="29"/>
      <c r="I777" s="29" t="str">
        <f t="shared" si="25"/>
        <v/>
      </c>
      <c r="K777" s="30"/>
      <c r="M777" t="str">
        <f>IF($A777=Ficha!$B$3,COUNTIF($A$5:$A777,Ficha!$B$3),"")</f>
        <v/>
      </c>
    </row>
    <row r="778" spans="2:13" x14ac:dyDescent="0.3">
      <c r="B778" s="30" t="str">
        <f>IF(A778="","",IFERROR(INDEX(Maniobras!$B$5:$B$504,MATCH(A778,Maniobras!$A$5:$A$504,0)),""))</f>
        <v/>
      </c>
      <c r="C778" t="str">
        <f t="shared" si="24"/>
        <v/>
      </c>
      <c r="D778" t="str">
        <f>IF(A778="","",IFERROR(INDEX(Maniobras!$D$5:$D$504,MATCH(A778,Maniobras!$A$5:$A$504,0)),""))</f>
        <v/>
      </c>
      <c r="F778" s="29" t="str">
        <f>IF(A778="","",IFERROR(INDEX(Maniobras!$K$5:$K$504,MATCH(A778,Maniobras!$A$5:$A$504,0)),""))</f>
        <v/>
      </c>
      <c r="G778" s="29"/>
      <c r="H778" s="29"/>
      <c r="I778" s="29" t="str">
        <f t="shared" si="25"/>
        <v/>
      </c>
      <c r="K778" s="30"/>
      <c r="M778" t="str">
        <f>IF($A778=Ficha!$B$3,COUNTIF($A$5:$A778,Ficha!$B$3),"")</f>
        <v/>
      </c>
    </row>
    <row r="779" spans="2:13" x14ac:dyDescent="0.3">
      <c r="B779" s="30" t="str">
        <f>IF(A779="","",IFERROR(INDEX(Maniobras!$B$5:$B$504,MATCH(A779,Maniobras!$A$5:$A$504,0)),""))</f>
        <v/>
      </c>
      <c r="C779" t="str">
        <f t="shared" si="24"/>
        <v/>
      </c>
      <c r="D779" t="str">
        <f>IF(A779="","",IFERROR(INDEX(Maniobras!$D$5:$D$504,MATCH(A779,Maniobras!$A$5:$A$504,0)),""))</f>
        <v/>
      </c>
      <c r="F779" s="29" t="str">
        <f>IF(A779="","",IFERROR(INDEX(Maniobras!$K$5:$K$504,MATCH(A779,Maniobras!$A$5:$A$504,0)),""))</f>
        <v/>
      </c>
      <c r="G779" s="29"/>
      <c r="H779" s="29"/>
      <c r="I779" s="29" t="str">
        <f t="shared" si="25"/>
        <v/>
      </c>
      <c r="K779" s="30"/>
      <c r="M779" t="str">
        <f>IF($A779=Ficha!$B$3,COUNTIF($A$5:$A779,Ficha!$B$3),"")</f>
        <v/>
      </c>
    </row>
    <row r="780" spans="2:13" x14ac:dyDescent="0.3">
      <c r="B780" s="30" t="str">
        <f>IF(A780="","",IFERROR(INDEX(Maniobras!$B$5:$B$504,MATCH(A780,Maniobras!$A$5:$A$504,0)),""))</f>
        <v/>
      </c>
      <c r="C780" t="str">
        <f t="shared" si="24"/>
        <v/>
      </c>
      <c r="D780" t="str">
        <f>IF(A780="","",IFERROR(INDEX(Maniobras!$D$5:$D$504,MATCH(A780,Maniobras!$A$5:$A$504,0)),""))</f>
        <v/>
      </c>
      <c r="F780" s="29" t="str">
        <f>IF(A780="","",IFERROR(INDEX(Maniobras!$K$5:$K$504,MATCH(A780,Maniobras!$A$5:$A$504,0)),""))</f>
        <v/>
      </c>
      <c r="G780" s="29"/>
      <c r="H780" s="29"/>
      <c r="I780" s="29" t="str">
        <f t="shared" si="25"/>
        <v/>
      </c>
      <c r="K780" s="30"/>
      <c r="M780" t="str">
        <f>IF($A780=Ficha!$B$3,COUNTIF($A$5:$A780,Ficha!$B$3),"")</f>
        <v/>
      </c>
    </row>
    <row r="781" spans="2:13" x14ac:dyDescent="0.3">
      <c r="B781" s="30" t="str">
        <f>IF(A781="","",IFERROR(INDEX(Maniobras!$B$5:$B$504,MATCH(A781,Maniobras!$A$5:$A$504,0)),""))</f>
        <v/>
      </c>
      <c r="C781" t="str">
        <f t="shared" si="24"/>
        <v/>
      </c>
      <c r="D781" t="str">
        <f>IF(A781="","",IFERROR(INDEX(Maniobras!$D$5:$D$504,MATCH(A781,Maniobras!$A$5:$A$504,0)),""))</f>
        <v/>
      </c>
      <c r="F781" s="29" t="str">
        <f>IF(A781="","",IFERROR(INDEX(Maniobras!$K$5:$K$504,MATCH(A781,Maniobras!$A$5:$A$504,0)),""))</f>
        <v/>
      </c>
      <c r="G781" s="29"/>
      <c r="H781" s="29"/>
      <c r="I781" s="29" t="str">
        <f t="shared" si="25"/>
        <v/>
      </c>
      <c r="K781" s="30"/>
      <c r="M781" t="str">
        <f>IF($A781=Ficha!$B$3,COUNTIF($A$5:$A781,Ficha!$B$3),"")</f>
        <v/>
      </c>
    </row>
    <row r="782" spans="2:13" x14ac:dyDescent="0.3">
      <c r="B782" s="30" t="str">
        <f>IF(A782="","",IFERROR(INDEX(Maniobras!$B$5:$B$504,MATCH(A782,Maniobras!$A$5:$A$504,0)),""))</f>
        <v/>
      </c>
      <c r="C782" t="str">
        <f t="shared" si="24"/>
        <v/>
      </c>
      <c r="D782" t="str">
        <f>IF(A782="","",IFERROR(INDEX(Maniobras!$D$5:$D$504,MATCH(A782,Maniobras!$A$5:$A$504,0)),""))</f>
        <v/>
      </c>
      <c r="F782" s="29" t="str">
        <f>IF(A782="","",IFERROR(INDEX(Maniobras!$K$5:$K$504,MATCH(A782,Maniobras!$A$5:$A$504,0)),""))</f>
        <v/>
      </c>
      <c r="G782" s="29"/>
      <c r="H782" s="29"/>
      <c r="I782" s="29" t="str">
        <f t="shared" si="25"/>
        <v/>
      </c>
      <c r="K782" s="30"/>
      <c r="M782" t="str">
        <f>IF($A782=Ficha!$B$3,COUNTIF($A$5:$A782,Ficha!$B$3),"")</f>
        <v/>
      </c>
    </row>
    <row r="783" spans="2:13" x14ac:dyDescent="0.3">
      <c r="B783" s="30" t="str">
        <f>IF(A783="","",IFERROR(INDEX(Maniobras!$B$5:$B$504,MATCH(A783,Maniobras!$A$5:$A$504,0)),""))</f>
        <v/>
      </c>
      <c r="C783" t="str">
        <f t="shared" si="24"/>
        <v/>
      </c>
      <c r="D783" t="str">
        <f>IF(A783="","",IFERROR(INDEX(Maniobras!$D$5:$D$504,MATCH(A783,Maniobras!$A$5:$A$504,0)),""))</f>
        <v/>
      </c>
      <c r="F783" s="29" t="str">
        <f>IF(A783="","",IFERROR(INDEX(Maniobras!$K$5:$K$504,MATCH(A783,Maniobras!$A$5:$A$504,0)),""))</f>
        <v/>
      </c>
      <c r="G783" s="29"/>
      <c r="H783" s="29"/>
      <c r="I783" s="29" t="str">
        <f t="shared" si="25"/>
        <v/>
      </c>
      <c r="K783" s="30"/>
      <c r="M783" t="str">
        <f>IF($A783=Ficha!$B$3,COUNTIF($A$5:$A783,Ficha!$B$3),"")</f>
        <v/>
      </c>
    </row>
    <row r="784" spans="2:13" x14ac:dyDescent="0.3">
      <c r="B784" s="30" t="str">
        <f>IF(A784="","",IFERROR(INDEX(Maniobras!$B$5:$B$504,MATCH(A784,Maniobras!$A$5:$A$504,0)),""))</f>
        <v/>
      </c>
      <c r="C784" t="str">
        <f t="shared" si="24"/>
        <v/>
      </c>
      <c r="D784" t="str">
        <f>IF(A784="","",IFERROR(INDEX(Maniobras!$D$5:$D$504,MATCH(A784,Maniobras!$A$5:$A$504,0)),""))</f>
        <v/>
      </c>
      <c r="F784" s="29" t="str">
        <f>IF(A784="","",IFERROR(INDEX(Maniobras!$K$5:$K$504,MATCH(A784,Maniobras!$A$5:$A$504,0)),""))</f>
        <v/>
      </c>
      <c r="G784" s="29"/>
      <c r="H784" s="29"/>
      <c r="I784" s="29" t="str">
        <f t="shared" si="25"/>
        <v/>
      </c>
      <c r="K784" s="30"/>
      <c r="M784" t="str">
        <f>IF($A784=Ficha!$B$3,COUNTIF($A$5:$A784,Ficha!$B$3),"")</f>
        <v/>
      </c>
    </row>
    <row r="785" spans="2:13" x14ac:dyDescent="0.3">
      <c r="B785" s="30" t="str">
        <f>IF(A785="","",IFERROR(INDEX(Maniobras!$B$5:$B$504,MATCH(A785,Maniobras!$A$5:$A$504,0)),""))</f>
        <v/>
      </c>
      <c r="C785" t="str">
        <f t="shared" si="24"/>
        <v/>
      </c>
      <c r="D785" t="str">
        <f>IF(A785="","",IFERROR(INDEX(Maniobras!$D$5:$D$504,MATCH(A785,Maniobras!$A$5:$A$504,0)),""))</f>
        <v/>
      </c>
      <c r="F785" s="29" t="str">
        <f>IF(A785="","",IFERROR(INDEX(Maniobras!$K$5:$K$504,MATCH(A785,Maniobras!$A$5:$A$504,0)),""))</f>
        <v/>
      </c>
      <c r="G785" s="29"/>
      <c r="H785" s="29"/>
      <c r="I785" s="29" t="str">
        <f t="shared" si="25"/>
        <v/>
      </c>
      <c r="K785" s="30"/>
      <c r="M785" t="str">
        <f>IF($A785=Ficha!$B$3,COUNTIF($A$5:$A785,Ficha!$B$3),"")</f>
        <v/>
      </c>
    </row>
    <row r="786" spans="2:13" x14ac:dyDescent="0.3">
      <c r="B786" s="30" t="str">
        <f>IF(A786="","",IFERROR(INDEX(Maniobras!$B$5:$B$504,MATCH(A786,Maniobras!$A$5:$A$504,0)),""))</f>
        <v/>
      </c>
      <c r="C786" t="str">
        <f t="shared" si="24"/>
        <v/>
      </c>
      <c r="D786" t="str">
        <f>IF(A786="","",IFERROR(INDEX(Maniobras!$D$5:$D$504,MATCH(A786,Maniobras!$A$5:$A$504,0)),""))</f>
        <v/>
      </c>
      <c r="F786" s="29" t="str">
        <f>IF(A786="","",IFERROR(INDEX(Maniobras!$K$5:$K$504,MATCH(A786,Maniobras!$A$5:$A$504,0)),""))</f>
        <v/>
      </c>
      <c r="G786" s="29"/>
      <c r="H786" s="29"/>
      <c r="I786" s="29" t="str">
        <f t="shared" si="25"/>
        <v/>
      </c>
      <c r="K786" s="30"/>
      <c r="M786" t="str">
        <f>IF($A786=Ficha!$B$3,COUNTIF($A$5:$A786,Ficha!$B$3),"")</f>
        <v/>
      </c>
    </row>
    <row r="787" spans="2:13" x14ac:dyDescent="0.3">
      <c r="B787" s="30" t="str">
        <f>IF(A787="","",IFERROR(INDEX(Maniobras!$B$5:$B$504,MATCH(A787,Maniobras!$A$5:$A$504,0)),""))</f>
        <v/>
      </c>
      <c r="C787" t="str">
        <f t="shared" si="24"/>
        <v/>
      </c>
      <c r="D787" t="str">
        <f>IF(A787="","",IFERROR(INDEX(Maniobras!$D$5:$D$504,MATCH(A787,Maniobras!$A$5:$A$504,0)),""))</f>
        <v/>
      </c>
      <c r="F787" s="29" t="str">
        <f>IF(A787="","",IFERROR(INDEX(Maniobras!$K$5:$K$504,MATCH(A787,Maniobras!$A$5:$A$504,0)),""))</f>
        <v/>
      </c>
      <c r="G787" s="29"/>
      <c r="H787" s="29"/>
      <c r="I787" s="29" t="str">
        <f t="shared" si="25"/>
        <v/>
      </c>
      <c r="K787" s="30"/>
      <c r="M787" t="str">
        <f>IF($A787=Ficha!$B$3,COUNTIF($A$5:$A787,Ficha!$B$3),"")</f>
        <v/>
      </c>
    </row>
    <row r="788" spans="2:13" x14ac:dyDescent="0.3">
      <c r="B788" s="30" t="str">
        <f>IF(A788="","",IFERROR(INDEX(Maniobras!$B$5:$B$504,MATCH(A788,Maniobras!$A$5:$A$504,0)),""))</f>
        <v/>
      </c>
      <c r="C788" t="str">
        <f t="shared" si="24"/>
        <v/>
      </c>
      <c r="D788" t="str">
        <f>IF(A788="","",IFERROR(INDEX(Maniobras!$D$5:$D$504,MATCH(A788,Maniobras!$A$5:$A$504,0)),""))</f>
        <v/>
      </c>
      <c r="F788" s="29" t="str">
        <f>IF(A788="","",IFERROR(INDEX(Maniobras!$K$5:$K$504,MATCH(A788,Maniobras!$A$5:$A$504,0)),""))</f>
        <v/>
      </c>
      <c r="G788" s="29"/>
      <c r="H788" s="29"/>
      <c r="I788" s="29" t="str">
        <f t="shared" si="25"/>
        <v/>
      </c>
      <c r="K788" s="30"/>
      <c r="M788" t="str">
        <f>IF($A788=Ficha!$B$3,COUNTIF($A$5:$A788,Ficha!$B$3),"")</f>
        <v/>
      </c>
    </row>
    <row r="789" spans="2:13" x14ac:dyDescent="0.3">
      <c r="B789" s="30" t="str">
        <f>IF(A789="","",IFERROR(INDEX(Maniobras!$B$5:$B$504,MATCH(A789,Maniobras!$A$5:$A$504,0)),""))</f>
        <v/>
      </c>
      <c r="C789" t="str">
        <f t="shared" si="24"/>
        <v/>
      </c>
      <c r="D789" t="str">
        <f>IF(A789="","",IFERROR(INDEX(Maniobras!$D$5:$D$504,MATCH(A789,Maniobras!$A$5:$A$504,0)),""))</f>
        <v/>
      </c>
      <c r="F789" s="29" t="str">
        <f>IF(A789="","",IFERROR(INDEX(Maniobras!$K$5:$K$504,MATCH(A789,Maniobras!$A$5:$A$504,0)),""))</f>
        <v/>
      </c>
      <c r="G789" s="29"/>
      <c r="H789" s="29"/>
      <c r="I789" s="29" t="str">
        <f t="shared" si="25"/>
        <v/>
      </c>
      <c r="K789" s="30"/>
      <c r="M789" t="str">
        <f>IF($A789=Ficha!$B$3,COUNTIF($A$5:$A789,Ficha!$B$3),"")</f>
        <v/>
      </c>
    </row>
    <row r="790" spans="2:13" x14ac:dyDescent="0.3">
      <c r="B790" s="30" t="str">
        <f>IF(A790="","",IFERROR(INDEX(Maniobras!$B$5:$B$504,MATCH(A790,Maniobras!$A$5:$A$504,0)),""))</f>
        <v/>
      </c>
      <c r="C790" t="str">
        <f t="shared" si="24"/>
        <v/>
      </c>
      <c r="D790" t="str">
        <f>IF(A790="","",IFERROR(INDEX(Maniobras!$D$5:$D$504,MATCH(A790,Maniobras!$A$5:$A$504,0)),""))</f>
        <v/>
      </c>
      <c r="F790" s="29" t="str">
        <f>IF(A790="","",IFERROR(INDEX(Maniobras!$K$5:$K$504,MATCH(A790,Maniobras!$A$5:$A$504,0)),""))</f>
        <v/>
      </c>
      <c r="G790" s="29"/>
      <c r="H790" s="29"/>
      <c r="I790" s="29" t="str">
        <f t="shared" si="25"/>
        <v/>
      </c>
      <c r="K790" s="30"/>
      <c r="M790" t="str">
        <f>IF($A790=Ficha!$B$3,COUNTIF($A$5:$A790,Ficha!$B$3),"")</f>
        <v/>
      </c>
    </row>
    <row r="791" spans="2:13" x14ac:dyDescent="0.3">
      <c r="B791" s="30" t="str">
        <f>IF(A791="","",IFERROR(INDEX(Maniobras!$B$5:$B$504,MATCH(A791,Maniobras!$A$5:$A$504,0)),""))</f>
        <v/>
      </c>
      <c r="C791" t="str">
        <f t="shared" si="24"/>
        <v/>
      </c>
      <c r="D791" t="str">
        <f>IF(A791="","",IFERROR(INDEX(Maniobras!$D$5:$D$504,MATCH(A791,Maniobras!$A$5:$A$504,0)),""))</f>
        <v/>
      </c>
      <c r="F791" s="29" t="str">
        <f>IF(A791="","",IFERROR(INDEX(Maniobras!$K$5:$K$504,MATCH(A791,Maniobras!$A$5:$A$504,0)),""))</f>
        <v/>
      </c>
      <c r="G791" s="29"/>
      <c r="H791" s="29"/>
      <c r="I791" s="29" t="str">
        <f t="shared" si="25"/>
        <v/>
      </c>
      <c r="K791" s="30"/>
      <c r="M791" t="str">
        <f>IF($A791=Ficha!$B$3,COUNTIF($A$5:$A791,Ficha!$B$3),"")</f>
        <v/>
      </c>
    </row>
    <row r="792" spans="2:13" x14ac:dyDescent="0.3">
      <c r="B792" s="30" t="str">
        <f>IF(A792="","",IFERROR(INDEX(Maniobras!$B$5:$B$504,MATCH(A792,Maniobras!$A$5:$A$504,0)),""))</f>
        <v/>
      </c>
      <c r="C792" t="str">
        <f t="shared" si="24"/>
        <v/>
      </c>
      <c r="D792" t="str">
        <f>IF(A792="","",IFERROR(INDEX(Maniobras!$D$5:$D$504,MATCH(A792,Maniobras!$A$5:$A$504,0)),""))</f>
        <v/>
      </c>
      <c r="F792" s="29" t="str">
        <f>IF(A792="","",IFERROR(INDEX(Maniobras!$K$5:$K$504,MATCH(A792,Maniobras!$A$5:$A$504,0)),""))</f>
        <v/>
      </c>
      <c r="G792" s="29"/>
      <c r="H792" s="29"/>
      <c r="I792" s="29" t="str">
        <f t="shared" si="25"/>
        <v/>
      </c>
      <c r="K792" s="30"/>
      <c r="M792" t="str">
        <f>IF($A792=Ficha!$B$3,COUNTIF($A$5:$A792,Ficha!$B$3),"")</f>
        <v/>
      </c>
    </row>
    <row r="793" spans="2:13" x14ac:dyDescent="0.3">
      <c r="B793" s="30" t="str">
        <f>IF(A793="","",IFERROR(INDEX(Maniobras!$B$5:$B$504,MATCH(A793,Maniobras!$A$5:$A$504,0)),""))</f>
        <v/>
      </c>
      <c r="C793" t="str">
        <f t="shared" si="24"/>
        <v/>
      </c>
      <c r="D793" t="str">
        <f>IF(A793="","",IFERROR(INDEX(Maniobras!$D$5:$D$504,MATCH(A793,Maniobras!$A$5:$A$504,0)),""))</f>
        <v/>
      </c>
      <c r="F793" s="29" t="str">
        <f>IF(A793="","",IFERROR(INDEX(Maniobras!$K$5:$K$504,MATCH(A793,Maniobras!$A$5:$A$504,0)),""))</f>
        <v/>
      </c>
      <c r="G793" s="29"/>
      <c r="H793" s="29"/>
      <c r="I793" s="29" t="str">
        <f t="shared" si="25"/>
        <v/>
      </c>
      <c r="K793" s="30"/>
      <c r="M793" t="str">
        <f>IF($A793=Ficha!$B$3,COUNTIF($A$5:$A793,Ficha!$B$3),"")</f>
        <v/>
      </c>
    </row>
    <row r="794" spans="2:13" x14ac:dyDescent="0.3">
      <c r="B794" s="30" t="str">
        <f>IF(A794="","",IFERROR(INDEX(Maniobras!$B$5:$B$504,MATCH(A794,Maniobras!$A$5:$A$504,0)),""))</f>
        <v/>
      </c>
      <c r="C794" t="str">
        <f t="shared" si="24"/>
        <v/>
      </c>
      <c r="D794" t="str">
        <f>IF(A794="","",IFERROR(INDEX(Maniobras!$D$5:$D$504,MATCH(A794,Maniobras!$A$5:$A$504,0)),""))</f>
        <v/>
      </c>
      <c r="F794" s="29" t="str">
        <f>IF(A794="","",IFERROR(INDEX(Maniobras!$K$5:$K$504,MATCH(A794,Maniobras!$A$5:$A$504,0)),""))</f>
        <v/>
      </c>
      <c r="G794" s="29"/>
      <c r="H794" s="29"/>
      <c r="I794" s="29" t="str">
        <f t="shared" si="25"/>
        <v/>
      </c>
      <c r="K794" s="30"/>
      <c r="M794" t="str">
        <f>IF($A794=Ficha!$B$3,COUNTIF($A$5:$A794,Ficha!$B$3),"")</f>
        <v/>
      </c>
    </row>
    <row r="795" spans="2:13" x14ac:dyDescent="0.3">
      <c r="B795" s="30" t="str">
        <f>IF(A795="","",IFERROR(INDEX(Maniobras!$B$5:$B$504,MATCH(A795,Maniobras!$A$5:$A$504,0)),""))</f>
        <v/>
      </c>
      <c r="C795" t="str">
        <f t="shared" si="24"/>
        <v/>
      </c>
      <c r="D795" t="str">
        <f>IF(A795="","",IFERROR(INDEX(Maniobras!$D$5:$D$504,MATCH(A795,Maniobras!$A$5:$A$504,0)),""))</f>
        <v/>
      </c>
      <c r="F795" s="29" t="str">
        <f>IF(A795="","",IFERROR(INDEX(Maniobras!$K$5:$K$504,MATCH(A795,Maniobras!$A$5:$A$504,0)),""))</f>
        <v/>
      </c>
      <c r="G795" s="29"/>
      <c r="H795" s="29"/>
      <c r="I795" s="29" t="str">
        <f t="shared" si="25"/>
        <v/>
      </c>
      <c r="K795" s="30"/>
      <c r="M795" t="str">
        <f>IF($A795=Ficha!$B$3,COUNTIF($A$5:$A795,Ficha!$B$3),"")</f>
        <v/>
      </c>
    </row>
    <row r="796" spans="2:13" x14ac:dyDescent="0.3">
      <c r="B796" s="30" t="str">
        <f>IF(A796="","",IFERROR(INDEX(Maniobras!$B$5:$B$504,MATCH(A796,Maniobras!$A$5:$A$504,0)),""))</f>
        <v/>
      </c>
      <c r="C796" t="str">
        <f t="shared" si="24"/>
        <v/>
      </c>
      <c r="D796" t="str">
        <f>IF(A796="","",IFERROR(INDEX(Maniobras!$D$5:$D$504,MATCH(A796,Maniobras!$A$5:$A$504,0)),""))</f>
        <v/>
      </c>
      <c r="F796" s="29" t="str">
        <f>IF(A796="","",IFERROR(INDEX(Maniobras!$K$5:$K$504,MATCH(A796,Maniobras!$A$5:$A$504,0)),""))</f>
        <v/>
      </c>
      <c r="G796" s="29"/>
      <c r="H796" s="29"/>
      <c r="I796" s="29" t="str">
        <f t="shared" si="25"/>
        <v/>
      </c>
      <c r="K796" s="30"/>
      <c r="M796" t="str">
        <f>IF($A796=Ficha!$B$3,COUNTIF($A$5:$A796,Ficha!$B$3),"")</f>
        <v/>
      </c>
    </row>
    <row r="797" spans="2:13" x14ac:dyDescent="0.3">
      <c r="B797" s="30" t="str">
        <f>IF(A797="","",IFERROR(INDEX(Maniobras!$B$5:$B$504,MATCH(A797,Maniobras!$A$5:$A$504,0)),""))</f>
        <v/>
      </c>
      <c r="C797" t="str">
        <f t="shared" si="24"/>
        <v/>
      </c>
      <c r="D797" t="str">
        <f>IF(A797="","",IFERROR(INDEX(Maniobras!$D$5:$D$504,MATCH(A797,Maniobras!$A$5:$A$504,0)),""))</f>
        <v/>
      </c>
      <c r="F797" s="29" t="str">
        <f>IF(A797="","",IFERROR(INDEX(Maniobras!$K$5:$K$504,MATCH(A797,Maniobras!$A$5:$A$504,0)),""))</f>
        <v/>
      </c>
      <c r="G797" s="29"/>
      <c r="H797" s="29"/>
      <c r="I797" s="29" t="str">
        <f t="shared" si="25"/>
        <v/>
      </c>
      <c r="K797" s="30"/>
      <c r="M797" t="str">
        <f>IF($A797=Ficha!$B$3,COUNTIF($A$5:$A797,Ficha!$B$3),"")</f>
        <v/>
      </c>
    </row>
    <row r="798" spans="2:13" x14ac:dyDescent="0.3">
      <c r="B798" s="30" t="str">
        <f>IF(A798="","",IFERROR(INDEX(Maniobras!$B$5:$B$504,MATCH(A798,Maniobras!$A$5:$A$504,0)),""))</f>
        <v/>
      </c>
      <c r="C798" t="str">
        <f t="shared" si="24"/>
        <v/>
      </c>
      <c r="D798" t="str">
        <f>IF(A798="","",IFERROR(INDEX(Maniobras!$D$5:$D$504,MATCH(A798,Maniobras!$A$5:$A$504,0)),""))</f>
        <v/>
      </c>
      <c r="F798" s="29" t="str">
        <f>IF(A798="","",IFERROR(INDEX(Maniobras!$K$5:$K$504,MATCH(A798,Maniobras!$A$5:$A$504,0)),""))</f>
        <v/>
      </c>
      <c r="G798" s="29"/>
      <c r="H798" s="29"/>
      <c r="I798" s="29" t="str">
        <f t="shared" si="25"/>
        <v/>
      </c>
      <c r="K798" s="30"/>
      <c r="M798" t="str">
        <f>IF($A798=Ficha!$B$3,COUNTIF($A$5:$A798,Ficha!$B$3),"")</f>
        <v/>
      </c>
    </row>
    <row r="799" spans="2:13" x14ac:dyDescent="0.3">
      <c r="B799" s="30" t="str">
        <f>IF(A799="","",IFERROR(INDEX(Maniobras!$B$5:$B$504,MATCH(A799,Maniobras!$A$5:$A$504,0)),""))</f>
        <v/>
      </c>
      <c r="C799" t="str">
        <f t="shared" si="24"/>
        <v/>
      </c>
      <c r="D799" t="str">
        <f>IF(A799="","",IFERROR(INDEX(Maniobras!$D$5:$D$504,MATCH(A799,Maniobras!$A$5:$A$504,0)),""))</f>
        <v/>
      </c>
      <c r="F799" s="29" t="str">
        <f>IF(A799="","",IFERROR(INDEX(Maniobras!$K$5:$K$504,MATCH(A799,Maniobras!$A$5:$A$504,0)),""))</f>
        <v/>
      </c>
      <c r="G799" s="29"/>
      <c r="H799" s="29"/>
      <c r="I799" s="29" t="str">
        <f t="shared" si="25"/>
        <v/>
      </c>
      <c r="K799" s="30"/>
      <c r="M799" t="str">
        <f>IF($A799=Ficha!$B$3,COUNTIF($A$5:$A799,Ficha!$B$3),"")</f>
        <v/>
      </c>
    </row>
    <row r="800" spans="2:13" x14ac:dyDescent="0.3">
      <c r="B800" s="30" t="str">
        <f>IF(A800="","",IFERROR(INDEX(Maniobras!$B$5:$B$504,MATCH(A800,Maniobras!$A$5:$A$504,0)),""))</f>
        <v/>
      </c>
      <c r="C800" t="str">
        <f t="shared" si="24"/>
        <v/>
      </c>
      <c r="D800" t="str">
        <f>IF(A800="","",IFERROR(INDEX(Maniobras!$D$5:$D$504,MATCH(A800,Maniobras!$A$5:$A$504,0)),""))</f>
        <v/>
      </c>
      <c r="F800" s="29" t="str">
        <f>IF(A800="","",IFERROR(INDEX(Maniobras!$K$5:$K$504,MATCH(A800,Maniobras!$A$5:$A$504,0)),""))</f>
        <v/>
      </c>
      <c r="G800" s="29"/>
      <c r="H800" s="29"/>
      <c r="I800" s="29" t="str">
        <f t="shared" si="25"/>
        <v/>
      </c>
      <c r="K800" s="30"/>
      <c r="M800" t="str">
        <f>IF($A800=Ficha!$B$3,COUNTIF($A$5:$A800,Ficha!$B$3),"")</f>
        <v/>
      </c>
    </row>
    <row r="801" spans="2:13" x14ac:dyDescent="0.3">
      <c r="B801" s="30" t="str">
        <f>IF(A801="","",IFERROR(INDEX(Maniobras!$B$5:$B$504,MATCH(A801,Maniobras!$A$5:$A$504,0)),""))</f>
        <v/>
      </c>
      <c r="C801" t="str">
        <f t="shared" si="24"/>
        <v/>
      </c>
      <c r="D801" t="str">
        <f>IF(A801="","",IFERROR(INDEX(Maniobras!$D$5:$D$504,MATCH(A801,Maniobras!$A$5:$A$504,0)),""))</f>
        <v/>
      </c>
      <c r="F801" s="29" t="str">
        <f>IF(A801="","",IFERROR(INDEX(Maniobras!$K$5:$K$504,MATCH(A801,Maniobras!$A$5:$A$504,0)),""))</f>
        <v/>
      </c>
      <c r="G801" s="29"/>
      <c r="H801" s="29"/>
      <c r="I801" s="29" t="str">
        <f t="shared" si="25"/>
        <v/>
      </c>
      <c r="K801" s="30"/>
      <c r="M801" t="str">
        <f>IF($A801=Ficha!$B$3,COUNTIF($A$5:$A801,Ficha!$B$3),"")</f>
        <v/>
      </c>
    </row>
    <row r="802" spans="2:13" x14ac:dyDescent="0.3">
      <c r="B802" s="30" t="str">
        <f>IF(A802="","",IFERROR(INDEX(Maniobras!$B$5:$B$504,MATCH(A802,Maniobras!$A$5:$A$504,0)),""))</f>
        <v/>
      </c>
      <c r="C802" t="str">
        <f t="shared" si="24"/>
        <v/>
      </c>
      <c r="D802" t="str">
        <f>IF(A802="","",IFERROR(INDEX(Maniobras!$D$5:$D$504,MATCH(A802,Maniobras!$A$5:$A$504,0)),""))</f>
        <v/>
      </c>
      <c r="F802" s="29" t="str">
        <f>IF(A802="","",IFERROR(INDEX(Maniobras!$K$5:$K$504,MATCH(A802,Maniobras!$A$5:$A$504,0)),""))</f>
        <v/>
      </c>
      <c r="G802" s="29"/>
      <c r="H802" s="29"/>
      <c r="I802" s="29" t="str">
        <f t="shared" si="25"/>
        <v/>
      </c>
      <c r="K802" s="30"/>
      <c r="M802" t="str">
        <f>IF($A802=Ficha!$B$3,COUNTIF($A$5:$A802,Ficha!$B$3),"")</f>
        <v/>
      </c>
    </row>
    <row r="803" spans="2:13" x14ac:dyDescent="0.3">
      <c r="B803" s="30" t="str">
        <f>IF(A803="","",IFERROR(INDEX(Maniobras!$B$5:$B$504,MATCH(A803,Maniobras!$A$5:$A$504,0)),""))</f>
        <v/>
      </c>
      <c r="C803" t="str">
        <f t="shared" si="24"/>
        <v/>
      </c>
      <c r="D803" t="str">
        <f>IF(A803="","",IFERROR(INDEX(Maniobras!$D$5:$D$504,MATCH(A803,Maniobras!$A$5:$A$504,0)),""))</f>
        <v/>
      </c>
      <c r="F803" s="29" t="str">
        <f>IF(A803="","",IFERROR(INDEX(Maniobras!$K$5:$K$504,MATCH(A803,Maniobras!$A$5:$A$504,0)),""))</f>
        <v/>
      </c>
      <c r="G803" s="29"/>
      <c r="H803" s="29"/>
      <c r="I803" s="29" t="str">
        <f t="shared" si="25"/>
        <v/>
      </c>
      <c r="K803" s="30"/>
      <c r="M803" t="str">
        <f>IF($A803=Ficha!$B$3,COUNTIF($A$5:$A803,Ficha!$B$3),"")</f>
        <v/>
      </c>
    </row>
    <row r="804" spans="2:13" x14ac:dyDescent="0.3">
      <c r="B804" s="30" t="str">
        <f>IF(A804="","",IFERROR(INDEX(Maniobras!$B$5:$B$504,MATCH(A804,Maniobras!$A$5:$A$504,0)),""))</f>
        <v/>
      </c>
      <c r="C804" t="str">
        <f t="shared" si="24"/>
        <v/>
      </c>
      <c r="D804" t="str">
        <f>IF(A804="","",IFERROR(INDEX(Maniobras!$D$5:$D$504,MATCH(A804,Maniobras!$A$5:$A$504,0)),""))</f>
        <v/>
      </c>
      <c r="F804" s="29" t="str">
        <f>IF(A804="","",IFERROR(INDEX(Maniobras!$K$5:$K$504,MATCH(A804,Maniobras!$A$5:$A$504,0)),""))</f>
        <v/>
      </c>
      <c r="G804" s="29"/>
      <c r="H804" s="29"/>
      <c r="I804" s="29" t="str">
        <f t="shared" si="25"/>
        <v/>
      </c>
      <c r="K804" s="30"/>
      <c r="M804" t="str">
        <f>IF($A804=Ficha!$B$3,COUNTIF($A$5:$A804,Ficha!$B$3),"")</f>
        <v/>
      </c>
    </row>
    <row r="805" spans="2:13" x14ac:dyDescent="0.3">
      <c r="B805" s="30" t="str">
        <f>IF(A805="","",IFERROR(INDEX(Maniobras!$B$5:$B$504,MATCH(A805,Maniobras!$A$5:$A$504,0)),""))</f>
        <v/>
      </c>
      <c r="C805" t="str">
        <f t="shared" si="24"/>
        <v/>
      </c>
      <c r="D805" t="str">
        <f>IF(A805="","",IFERROR(INDEX(Maniobras!$D$5:$D$504,MATCH(A805,Maniobras!$A$5:$A$504,0)),""))</f>
        <v/>
      </c>
      <c r="F805" s="29" t="str">
        <f>IF(A805="","",IFERROR(INDEX(Maniobras!$K$5:$K$504,MATCH(A805,Maniobras!$A$5:$A$504,0)),""))</f>
        <v/>
      </c>
      <c r="G805" s="29"/>
      <c r="H805" s="29"/>
      <c r="I805" s="29" t="str">
        <f t="shared" si="25"/>
        <v/>
      </c>
      <c r="K805" s="30"/>
      <c r="M805" t="str">
        <f>IF($A805=Ficha!$B$3,COUNTIF($A$5:$A805,Ficha!$B$3),"")</f>
        <v/>
      </c>
    </row>
    <row r="806" spans="2:13" x14ac:dyDescent="0.3">
      <c r="B806" s="30" t="str">
        <f>IF(A806="","",IFERROR(INDEX(Maniobras!$B$5:$B$504,MATCH(A806,Maniobras!$A$5:$A$504,0)),""))</f>
        <v/>
      </c>
      <c r="C806" t="str">
        <f t="shared" si="24"/>
        <v/>
      </c>
      <c r="D806" t="str">
        <f>IF(A806="","",IFERROR(INDEX(Maniobras!$D$5:$D$504,MATCH(A806,Maniobras!$A$5:$A$504,0)),""))</f>
        <v/>
      </c>
      <c r="F806" s="29" t="str">
        <f>IF(A806="","",IFERROR(INDEX(Maniobras!$K$5:$K$504,MATCH(A806,Maniobras!$A$5:$A$504,0)),""))</f>
        <v/>
      </c>
      <c r="G806" s="29"/>
      <c r="H806" s="29"/>
      <c r="I806" s="29" t="str">
        <f t="shared" si="25"/>
        <v/>
      </c>
      <c r="K806" s="30"/>
      <c r="M806" t="str">
        <f>IF($A806=Ficha!$B$3,COUNTIF($A$5:$A806,Ficha!$B$3),"")</f>
        <v/>
      </c>
    </row>
    <row r="807" spans="2:13" x14ac:dyDescent="0.3">
      <c r="B807" s="30" t="str">
        <f>IF(A807="","",IFERROR(INDEX(Maniobras!$B$5:$B$504,MATCH(A807,Maniobras!$A$5:$A$504,0)),""))</f>
        <v/>
      </c>
      <c r="C807" t="str">
        <f t="shared" si="24"/>
        <v/>
      </c>
      <c r="D807" t="str">
        <f>IF(A807="","",IFERROR(INDEX(Maniobras!$D$5:$D$504,MATCH(A807,Maniobras!$A$5:$A$504,0)),""))</f>
        <v/>
      </c>
      <c r="F807" s="29" t="str">
        <f>IF(A807="","",IFERROR(INDEX(Maniobras!$K$5:$K$504,MATCH(A807,Maniobras!$A$5:$A$504,0)),""))</f>
        <v/>
      </c>
      <c r="G807" s="29"/>
      <c r="H807" s="29"/>
      <c r="I807" s="29" t="str">
        <f t="shared" si="25"/>
        <v/>
      </c>
      <c r="K807" s="30"/>
      <c r="M807" t="str">
        <f>IF($A807=Ficha!$B$3,COUNTIF($A$5:$A807,Ficha!$B$3),"")</f>
        <v/>
      </c>
    </row>
    <row r="808" spans="2:13" x14ac:dyDescent="0.3">
      <c r="B808" s="30" t="str">
        <f>IF(A808="","",IFERROR(INDEX(Maniobras!$B$5:$B$504,MATCH(A808,Maniobras!$A$5:$A$504,0)),""))</f>
        <v/>
      </c>
      <c r="C808" t="str">
        <f t="shared" si="24"/>
        <v/>
      </c>
      <c r="D808" t="str">
        <f>IF(A808="","",IFERROR(INDEX(Maniobras!$D$5:$D$504,MATCH(A808,Maniobras!$A$5:$A$504,0)),""))</f>
        <v/>
      </c>
      <c r="F808" s="29" t="str">
        <f>IF(A808="","",IFERROR(INDEX(Maniobras!$K$5:$K$504,MATCH(A808,Maniobras!$A$5:$A$504,0)),""))</f>
        <v/>
      </c>
      <c r="G808" s="29"/>
      <c r="H808" s="29"/>
      <c r="I808" s="29" t="str">
        <f t="shared" si="25"/>
        <v/>
      </c>
      <c r="K808" s="30"/>
      <c r="M808" t="str">
        <f>IF($A808=Ficha!$B$3,COUNTIF($A$5:$A808,Ficha!$B$3),"")</f>
        <v/>
      </c>
    </row>
    <row r="809" spans="2:13" x14ac:dyDescent="0.3">
      <c r="B809" s="30" t="str">
        <f>IF(A809="","",IFERROR(INDEX(Maniobras!$B$5:$B$504,MATCH(A809,Maniobras!$A$5:$A$504,0)),""))</f>
        <v/>
      </c>
      <c r="C809" t="str">
        <f t="shared" si="24"/>
        <v/>
      </c>
      <c r="D809" t="str">
        <f>IF(A809="","",IFERROR(INDEX(Maniobras!$D$5:$D$504,MATCH(A809,Maniobras!$A$5:$A$504,0)),""))</f>
        <v/>
      </c>
      <c r="F809" s="29" t="str">
        <f>IF(A809="","",IFERROR(INDEX(Maniobras!$K$5:$K$504,MATCH(A809,Maniobras!$A$5:$A$504,0)),""))</f>
        <v/>
      </c>
      <c r="G809" s="29"/>
      <c r="H809" s="29"/>
      <c r="I809" s="29" t="str">
        <f t="shared" si="25"/>
        <v/>
      </c>
      <c r="K809" s="30"/>
      <c r="M809" t="str">
        <f>IF($A809=Ficha!$B$3,COUNTIF($A$5:$A809,Ficha!$B$3),"")</f>
        <v/>
      </c>
    </row>
    <row r="810" spans="2:13" x14ac:dyDescent="0.3">
      <c r="B810" s="30" t="str">
        <f>IF(A810="","",IFERROR(INDEX(Maniobras!$B$5:$B$504,MATCH(A810,Maniobras!$A$5:$A$504,0)),""))</f>
        <v/>
      </c>
      <c r="C810" t="str">
        <f t="shared" si="24"/>
        <v/>
      </c>
      <c r="D810" t="str">
        <f>IF(A810="","",IFERROR(INDEX(Maniobras!$D$5:$D$504,MATCH(A810,Maniobras!$A$5:$A$504,0)),""))</f>
        <v/>
      </c>
      <c r="F810" s="29" t="str">
        <f>IF(A810="","",IFERROR(INDEX(Maniobras!$K$5:$K$504,MATCH(A810,Maniobras!$A$5:$A$504,0)),""))</f>
        <v/>
      </c>
      <c r="G810" s="29"/>
      <c r="H810" s="29"/>
      <c r="I810" s="29" t="str">
        <f t="shared" si="25"/>
        <v/>
      </c>
      <c r="K810" s="30"/>
      <c r="M810" t="str">
        <f>IF($A810=Ficha!$B$3,COUNTIF($A$5:$A810,Ficha!$B$3),"")</f>
        <v/>
      </c>
    </row>
    <row r="811" spans="2:13" x14ac:dyDescent="0.3">
      <c r="B811" s="30" t="str">
        <f>IF(A811="","",IFERROR(INDEX(Maniobras!$B$5:$B$504,MATCH(A811,Maniobras!$A$5:$A$504,0)),""))</f>
        <v/>
      </c>
      <c r="C811" t="str">
        <f t="shared" si="24"/>
        <v/>
      </c>
      <c r="D811" t="str">
        <f>IF(A811="","",IFERROR(INDEX(Maniobras!$D$5:$D$504,MATCH(A811,Maniobras!$A$5:$A$504,0)),""))</f>
        <v/>
      </c>
      <c r="F811" s="29" t="str">
        <f>IF(A811="","",IFERROR(INDEX(Maniobras!$K$5:$K$504,MATCH(A811,Maniobras!$A$5:$A$504,0)),""))</f>
        <v/>
      </c>
      <c r="G811" s="29"/>
      <c r="H811" s="29"/>
      <c r="I811" s="29" t="str">
        <f t="shared" si="25"/>
        <v/>
      </c>
      <c r="K811" s="30"/>
      <c r="M811" t="str">
        <f>IF($A811=Ficha!$B$3,COUNTIF($A$5:$A811,Ficha!$B$3),"")</f>
        <v/>
      </c>
    </row>
    <row r="812" spans="2:13" x14ac:dyDescent="0.3">
      <c r="B812" s="30" t="str">
        <f>IF(A812="","",IFERROR(INDEX(Maniobras!$B$5:$B$504,MATCH(A812,Maniobras!$A$5:$A$504,0)),""))</f>
        <v/>
      </c>
      <c r="C812" t="str">
        <f t="shared" si="24"/>
        <v/>
      </c>
      <c r="D812" t="str">
        <f>IF(A812="","",IFERROR(INDEX(Maniobras!$D$5:$D$504,MATCH(A812,Maniobras!$A$5:$A$504,0)),""))</f>
        <v/>
      </c>
      <c r="F812" s="29" t="str">
        <f>IF(A812="","",IFERROR(INDEX(Maniobras!$K$5:$K$504,MATCH(A812,Maniobras!$A$5:$A$504,0)),""))</f>
        <v/>
      </c>
      <c r="G812" s="29"/>
      <c r="H812" s="29"/>
      <c r="I812" s="29" t="str">
        <f t="shared" si="25"/>
        <v/>
      </c>
      <c r="K812" s="30"/>
      <c r="M812" t="str">
        <f>IF($A812=Ficha!$B$3,COUNTIF($A$5:$A812,Ficha!$B$3),"")</f>
        <v/>
      </c>
    </row>
    <row r="813" spans="2:13" x14ac:dyDescent="0.3">
      <c r="B813" s="30" t="str">
        <f>IF(A813="","",IFERROR(INDEX(Maniobras!$B$5:$B$504,MATCH(A813,Maniobras!$A$5:$A$504,0)),""))</f>
        <v/>
      </c>
      <c r="C813" t="str">
        <f t="shared" si="24"/>
        <v/>
      </c>
      <c r="D813" t="str">
        <f>IF(A813="","",IFERROR(INDEX(Maniobras!$D$5:$D$504,MATCH(A813,Maniobras!$A$5:$A$504,0)),""))</f>
        <v/>
      </c>
      <c r="F813" s="29" t="str">
        <f>IF(A813="","",IFERROR(INDEX(Maniobras!$K$5:$K$504,MATCH(A813,Maniobras!$A$5:$A$504,0)),""))</f>
        <v/>
      </c>
      <c r="G813" s="29"/>
      <c r="H813" s="29"/>
      <c r="I813" s="29" t="str">
        <f t="shared" si="25"/>
        <v/>
      </c>
      <c r="K813" s="30"/>
      <c r="M813" t="str">
        <f>IF($A813=Ficha!$B$3,COUNTIF($A$5:$A813,Ficha!$B$3),"")</f>
        <v/>
      </c>
    </row>
    <row r="814" spans="2:13" x14ac:dyDescent="0.3">
      <c r="B814" s="30" t="str">
        <f>IF(A814="","",IFERROR(INDEX(Maniobras!$B$5:$B$504,MATCH(A814,Maniobras!$A$5:$A$504,0)),""))</f>
        <v/>
      </c>
      <c r="C814" t="str">
        <f t="shared" si="24"/>
        <v/>
      </c>
      <c r="D814" t="str">
        <f>IF(A814="","",IFERROR(INDEX(Maniobras!$D$5:$D$504,MATCH(A814,Maniobras!$A$5:$A$504,0)),""))</f>
        <v/>
      </c>
      <c r="F814" s="29" t="str">
        <f>IF(A814="","",IFERROR(INDEX(Maniobras!$K$5:$K$504,MATCH(A814,Maniobras!$A$5:$A$504,0)),""))</f>
        <v/>
      </c>
      <c r="G814" s="29"/>
      <c r="H814" s="29"/>
      <c r="I814" s="29" t="str">
        <f t="shared" si="25"/>
        <v/>
      </c>
      <c r="K814" s="30"/>
      <c r="M814" t="str">
        <f>IF($A814=Ficha!$B$3,COUNTIF($A$5:$A814,Ficha!$B$3),"")</f>
        <v/>
      </c>
    </row>
    <row r="815" spans="2:13" x14ac:dyDescent="0.3">
      <c r="B815" s="30" t="str">
        <f>IF(A815="","",IFERROR(INDEX(Maniobras!$B$5:$B$504,MATCH(A815,Maniobras!$A$5:$A$504,0)),""))</f>
        <v/>
      </c>
      <c r="C815" t="str">
        <f t="shared" si="24"/>
        <v/>
      </c>
      <c r="D815" t="str">
        <f>IF(A815="","",IFERROR(INDEX(Maniobras!$D$5:$D$504,MATCH(A815,Maniobras!$A$5:$A$504,0)),""))</f>
        <v/>
      </c>
      <c r="F815" s="29" t="str">
        <f>IF(A815="","",IFERROR(INDEX(Maniobras!$K$5:$K$504,MATCH(A815,Maniobras!$A$5:$A$504,0)),""))</f>
        <v/>
      </c>
      <c r="G815" s="29"/>
      <c r="H815" s="29"/>
      <c r="I815" s="29" t="str">
        <f t="shared" si="25"/>
        <v/>
      </c>
      <c r="K815" s="30"/>
      <c r="M815" t="str">
        <f>IF($A815=Ficha!$B$3,COUNTIF($A$5:$A815,Ficha!$B$3),"")</f>
        <v/>
      </c>
    </row>
    <row r="816" spans="2:13" x14ac:dyDescent="0.3">
      <c r="B816" s="30" t="str">
        <f>IF(A816="","",IFERROR(INDEX(Maniobras!$B$5:$B$504,MATCH(A816,Maniobras!$A$5:$A$504,0)),""))</f>
        <v/>
      </c>
      <c r="C816" t="str">
        <f t="shared" si="24"/>
        <v/>
      </c>
      <c r="D816" t="str">
        <f>IF(A816="","",IFERROR(INDEX(Maniobras!$D$5:$D$504,MATCH(A816,Maniobras!$A$5:$A$504,0)),""))</f>
        <v/>
      </c>
      <c r="F816" s="29" t="str">
        <f>IF(A816="","",IFERROR(INDEX(Maniobras!$K$5:$K$504,MATCH(A816,Maniobras!$A$5:$A$504,0)),""))</f>
        <v/>
      </c>
      <c r="G816" s="29"/>
      <c r="H816" s="29"/>
      <c r="I816" s="29" t="str">
        <f t="shared" si="25"/>
        <v/>
      </c>
      <c r="K816" s="30"/>
      <c r="M816" t="str">
        <f>IF($A816=Ficha!$B$3,COUNTIF($A$5:$A816,Ficha!$B$3),"")</f>
        <v/>
      </c>
    </row>
    <row r="817" spans="2:13" x14ac:dyDescent="0.3">
      <c r="B817" s="30" t="str">
        <f>IF(A817="","",IFERROR(INDEX(Maniobras!$B$5:$B$504,MATCH(A817,Maniobras!$A$5:$A$504,0)),""))</f>
        <v/>
      </c>
      <c r="C817" t="str">
        <f t="shared" si="24"/>
        <v/>
      </c>
      <c r="D817" t="str">
        <f>IF(A817="","",IFERROR(INDEX(Maniobras!$D$5:$D$504,MATCH(A817,Maniobras!$A$5:$A$504,0)),""))</f>
        <v/>
      </c>
      <c r="F817" s="29" t="str">
        <f>IF(A817="","",IFERROR(INDEX(Maniobras!$K$5:$K$504,MATCH(A817,Maniobras!$A$5:$A$504,0)),""))</f>
        <v/>
      </c>
      <c r="G817" s="29"/>
      <c r="H817" s="29"/>
      <c r="I817" s="29" t="str">
        <f t="shared" si="25"/>
        <v/>
      </c>
      <c r="K817" s="30"/>
      <c r="M817" t="str">
        <f>IF($A817=Ficha!$B$3,COUNTIF($A$5:$A817,Ficha!$B$3),"")</f>
        <v/>
      </c>
    </row>
    <row r="818" spans="2:13" x14ac:dyDescent="0.3">
      <c r="B818" s="30" t="str">
        <f>IF(A818="","",IFERROR(INDEX(Maniobras!$B$5:$B$504,MATCH(A818,Maniobras!$A$5:$A$504,0)),""))</f>
        <v/>
      </c>
      <c r="C818" t="str">
        <f t="shared" si="24"/>
        <v/>
      </c>
      <c r="D818" t="str">
        <f>IF(A818="","",IFERROR(INDEX(Maniobras!$D$5:$D$504,MATCH(A818,Maniobras!$A$5:$A$504,0)),""))</f>
        <v/>
      </c>
      <c r="F818" s="29" t="str">
        <f>IF(A818="","",IFERROR(INDEX(Maniobras!$K$5:$K$504,MATCH(A818,Maniobras!$A$5:$A$504,0)),""))</f>
        <v/>
      </c>
      <c r="G818" s="29"/>
      <c r="H818" s="29"/>
      <c r="I818" s="29" t="str">
        <f t="shared" si="25"/>
        <v/>
      </c>
      <c r="K818" s="30"/>
      <c r="M818" t="str">
        <f>IF($A818=Ficha!$B$3,COUNTIF($A$5:$A818,Ficha!$B$3),"")</f>
        <v/>
      </c>
    </row>
    <row r="819" spans="2:13" x14ac:dyDescent="0.3">
      <c r="B819" s="30" t="str">
        <f>IF(A819="","",IFERROR(INDEX(Maniobras!$B$5:$B$504,MATCH(A819,Maniobras!$A$5:$A$504,0)),""))</f>
        <v/>
      </c>
      <c r="C819" t="str">
        <f t="shared" si="24"/>
        <v/>
      </c>
      <c r="D819" t="str">
        <f>IF(A819="","",IFERROR(INDEX(Maniobras!$D$5:$D$504,MATCH(A819,Maniobras!$A$5:$A$504,0)),""))</f>
        <v/>
      </c>
      <c r="F819" s="29" t="str">
        <f>IF(A819="","",IFERROR(INDEX(Maniobras!$K$5:$K$504,MATCH(A819,Maniobras!$A$5:$A$504,0)),""))</f>
        <v/>
      </c>
      <c r="G819" s="29"/>
      <c r="H819" s="29"/>
      <c r="I819" s="29" t="str">
        <f t="shared" si="25"/>
        <v/>
      </c>
      <c r="K819" s="30"/>
      <c r="M819" t="str">
        <f>IF($A819=Ficha!$B$3,COUNTIF($A$5:$A819,Ficha!$B$3),"")</f>
        <v/>
      </c>
    </row>
    <row r="820" spans="2:13" x14ac:dyDescent="0.3">
      <c r="B820" s="30" t="str">
        <f>IF(A820="","",IFERROR(INDEX(Maniobras!$B$5:$B$504,MATCH(A820,Maniobras!$A$5:$A$504,0)),""))</f>
        <v/>
      </c>
      <c r="C820" t="str">
        <f t="shared" si="24"/>
        <v/>
      </c>
      <c r="D820" t="str">
        <f>IF(A820="","",IFERROR(INDEX(Maniobras!$D$5:$D$504,MATCH(A820,Maniobras!$A$5:$A$504,0)),""))</f>
        <v/>
      </c>
      <c r="F820" s="29" t="str">
        <f>IF(A820="","",IFERROR(INDEX(Maniobras!$K$5:$K$504,MATCH(A820,Maniobras!$A$5:$A$504,0)),""))</f>
        <v/>
      </c>
      <c r="G820" s="29"/>
      <c r="H820" s="29"/>
      <c r="I820" s="29" t="str">
        <f t="shared" si="25"/>
        <v/>
      </c>
      <c r="K820" s="30"/>
      <c r="M820" t="str">
        <f>IF($A820=Ficha!$B$3,COUNTIF($A$5:$A820,Ficha!$B$3),"")</f>
        <v/>
      </c>
    </row>
    <row r="821" spans="2:13" x14ac:dyDescent="0.3">
      <c r="B821" s="30" t="str">
        <f>IF(A821="","",IFERROR(INDEX(Maniobras!$B$5:$B$504,MATCH(A821,Maniobras!$A$5:$A$504,0)),""))</f>
        <v/>
      </c>
      <c r="C821" t="str">
        <f t="shared" si="24"/>
        <v/>
      </c>
      <c r="D821" t="str">
        <f>IF(A821="","",IFERROR(INDEX(Maniobras!$D$5:$D$504,MATCH(A821,Maniobras!$A$5:$A$504,0)),""))</f>
        <v/>
      </c>
      <c r="F821" s="29" t="str">
        <f>IF(A821="","",IFERROR(INDEX(Maniobras!$K$5:$K$504,MATCH(A821,Maniobras!$A$5:$A$504,0)),""))</f>
        <v/>
      </c>
      <c r="G821" s="29"/>
      <c r="H821" s="29"/>
      <c r="I821" s="29" t="str">
        <f t="shared" si="25"/>
        <v/>
      </c>
      <c r="K821" s="30"/>
      <c r="M821" t="str">
        <f>IF($A821=Ficha!$B$3,COUNTIF($A$5:$A821,Ficha!$B$3),"")</f>
        <v/>
      </c>
    </row>
    <row r="822" spans="2:13" x14ac:dyDescent="0.3">
      <c r="B822" s="30" t="str">
        <f>IF(A822="","",IFERROR(INDEX(Maniobras!$B$5:$B$504,MATCH(A822,Maniobras!$A$5:$A$504,0)),""))</f>
        <v/>
      </c>
      <c r="C822" t="str">
        <f t="shared" si="24"/>
        <v/>
      </c>
      <c r="D822" t="str">
        <f>IF(A822="","",IFERROR(INDEX(Maniobras!$D$5:$D$504,MATCH(A822,Maniobras!$A$5:$A$504,0)),""))</f>
        <v/>
      </c>
      <c r="F822" s="29" t="str">
        <f>IF(A822="","",IFERROR(INDEX(Maniobras!$K$5:$K$504,MATCH(A822,Maniobras!$A$5:$A$504,0)),""))</f>
        <v/>
      </c>
      <c r="G822" s="29"/>
      <c r="H822" s="29"/>
      <c r="I822" s="29" t="str">
        <f t="shared" si="25"/>
        <v/>
      </c>
      <c r="K822" s="30"/>
      <c r="M822" t="str">
        <f>IF($A822=Ficha!$B$3,COUNTIF($A$5:$A822,Ficha!$B$3),"")</f>
        <v/>
      </c>
    </row>
    <row r="823" spans="2:13" x14ac:dyDescent="0.3">
      <c r="B823" s="30" t="str">
        <f>IF(A823="","",IFERROR(INDEX(Maniobras!$B$5:$B$504,MATCH(A823,Maniobras!$A$5:$A$504,0)),""))</f>
        <v/>
      </c>
      <c r="C823" t="str">
        <f t="shared" si="24"/>
        <v/>
      </c>
      <c r="D823" t="str">
        <f>IF(A823="","",IFERROR(INDEX(Maniobras!$D$5:$D$504,MATCH(A823,Maniobras!$A$5:$A$504,0)),""))</f>
        <v/>
      </c>
      <c r="F823" s="29" t="str">
        <f>IF(A823="","",IFERROR(INDEX(Maniobras!$K$5:$K$504,MATCH(A823,Maniobras!$A$5:$A$504,0)),""))</f>
        <v/>
      </c>
      <c r="G823" s="29"/>
      <c r="H823" s="29"/>
      <c r="I823" s="29" t="str">
        <f t="shared" si="25"/>
        <v/>
      </c>
      <c r="K823" s="30"/>
      <c r="M823" t="str">
        <f>IF($A823=Ficha!$B$3,COUNTIF($A$5:$A823,Ficha!$B$3),"")</f>
        <v/>
      </c>
    </row>
    <row r="824" spans="2:13" x14ac:dyDescent="0.3">
      <c r="B824" s="30" t="str">
        <f>IF(A824="","",IFERROR(INDEX(Maniobras!$B$5:$B$504,MATCH(A824,Maniobras!$A$5:$A$504,0)),""))</f>
        <v/>
      </c>
      <c r="C824" t="str">
        <f t="shared" si="24"/>
        <v/>
      </c>
      <c r="D824" t="str">
        <f>IF(A824="","",IFERROR(INDEX(Maniobras!$D$5:$D$504,MATCH(A824,Maniobras!$A$5:$A$504,0)),""))</f>
        <v/>
      </c>
      <c r="F824" s="29" t="str">
        <f>IF(A824="","",IFERROR(INDEX(Maniobras!$K$5:$K$504,MATCH(A824,Maniobras!$A$5:$A$504,0)),""))</f>
        <v/>
      </c>
      <c r="G824" s="29"/>
      <c r="H824" s="29"/>
      <c r="I824" s="29" t="str">
        <f t="shared" si="25"/>
        <v/>
      </c>
      <c r="K824" s="30"/>
      <c r="M824" t="str">
        <f>IF($A824=Ficha!$B$3,COUNTIF($A$5:$A824,Ficha!$B$3),"")</f>
        <v/>
      </c>
    </row>
    <row r="825" spans="2:13" x14ac:dyDescent="0.3">
      <c r="B825" s="30" t="str">
        <f>IF(A825="","",IFERROR(INDEX(Maniobras!$B$5:$B$504,MATCH(A825,Maniobras!$A$5:$A$504,0)),""))</f>
        <v/>
      </c>
      <c r="C825" t="str">
        <f t="shared" si="24"/>
        <v/>
      </c>
      <c r="D825" t="str">
        <f>IF(A825="","",IFERROR(INDEX(Maniobras!$D$5:$D$504,MATCH(A825,Maniobras!$A$5:$A$504,0)),""))</f>
        <v/>
      </c>
      <c r="F825" s="29" t="str">
        <f>IF(A825="","",IFERROR(INDEX(Maniobras!$K$5:$K$504,MATCH(A825,Maniobras!$A$5:$A$504,0)),""))</f>
        <v/>
      </c>
      <c r="G825" s="29"/>
      <c r="H825" s="29"/>
      <c r="I825" s="29" t="str">
        <f t="shared" si="25"/>
        <v/>
      </c>
      <c r="K825" s="30"/>
      <c r="M825" t="str">
        <f>IF($A825=Ficha!$B$3,COUNTIF($A$5:$A825,Ficha!$B$3),"")</f>
        <v/>
      </c>
    </row>
    <row r="826" spans="2:13" x14ac:dyDescent="0.3">
      <c r="B826" s="30" t="str">
        <f>IF(A826="","",IFERROR(INDEX(Maniobras!$B$5:$B$504,MATCH(A826,Maniobras!$A$5:$A$504,0)),""))</f>
        <v/>
      </c>
      <c r="C826" t="str">
        <f t="shared" si="24"/>
        <v/>
      </c>
      <c r="D826" t="str">
        <f>IF(A826="","",IFERROR(INDEX(Maniobras!$D$5:$D$504,MATCH(A826,Maniobras!$A$5:$A$504,0)),""))</f>
        <v/>
      </c>
      <c r="F826" s="29" t="str">
        <f>IF(A826="","",IFERROR(INDEX(Maniobras!$K$5:$K$504,MATCH(A826,Maniobras!$A$5:$A$504,0)),""))</f>
        <v/>
      </c>
      <c r="G826" s="29"/>
      <c r="H826" s="29"/>
      <c r="I826" s="29" t="str">
        <f t="shared" si="25"/>
        <v/>
      </c>
      <c r="K826" s="30"/>
      <c r="M826" t="str">
        <f>IF($A826=Ficha!$B$3,COUNTIF($A$5:$A826,Ficha!$B$3),"")</f>
        <v/>
      </c>
    </row>
    <row r="827" spans="2:13" x14ac:dyDescent="0.3">
      <c r="B827" s="30" t="str">
        <f>IF(A827="","",IFERROR(INDEX(Maniobras!$B$5:$B$504,MATCH(A827,Maniobras!$A$5:$A$504,0)),""))</f>
        <v/>
      </c>
      <c r="C827" t="str">
        <f t="shared" si="24"/>
        <v/>
      </c>
      <c r="D827" t="str">
        <f>IF(A827="","",IFERROR(INDEX(Maniobras!$D$5:$D$504,MATCH(A827,Maniobras!$A$5:$A$504,0)),""))</f>
        <v/>
      </c>
      <c r="F827" s="29" t="str">
        <f>IF(A827="","",IFERROR(INDEX(Maniobras!$K$5:$K$504,MATCH(A827,Maniobras!$A$5:$A$504,0)),""))</f>
        <v/>
      </c>
      <c r="G827" s="29"/>
      <c r="H827" s="29"/>
      <c r="I827" s="29" t="str">
        <f t="shared" si="25"/>
        <v/>
      </c>
      <c r="K827" s="30"/>
      <c r="M827" t="str">
        <f>IF($A827=Ficha!$B$3,COUNTIF($A$5:$A827,Ficha!$B$3),"")</f>
        <v/>
      </c>
    </row>
    <row r="828" spans="2:13" x14ac:dyDescent="0.3">
      <c r="B828" s="30" t="str">
        <f>IF(A828="","",IFERROR(INDEX(Maniobras!$B$5:$B$504,MATCH(A828,Maniobras!$A$5:$A$504,0)),""))</f>
        <v/>
      </c>
      <c r="C828" t="str">
        <f t="shared" si="24"/>
        <v/>
      </c>
      <c r="D828" t="str">
        <f>IF(A828="","",IFERROR(INDEX(Maniobras!$D$5:$D$504,MATCH(A828,Maniobras!$A$5:$A$504,0)),""))</f>
        <v/>
      </c>
      <c r="F828" s="29" t="str">
        <f>IF(A828="","",IFERROR(INDEX(Maniobras!$K$5:$K$504,MATCH(A828,Maniobras!$A$5:$A$504,0)),""))</f>
        <v/>
      </c>
      <c r="G828" s="29"/>
      <c r="H828" s="29"/>
      <c r="I828" s="29" t="str">
        <f t="shared" si="25"/>
        <v/>
      </c>
      <c r="K828" s="30"/>
      <c r="M828" t="str">
        <f>IF($A828=Ficha!$B$3,COUNTIF($A$5:$A828,Ficha!$B$3),"")</f>
        <v/>
      </c>
    </row>
    <row r="829" spans="2:13" x14ac:dyDescent="0.3">
      <c r="B829" s="30" t="str">
        <f>IF(A829="","",IFERROR(INDEX(Maniobras!$B$5:$B$504,MATCH(A829,Maniobras!$A$5:$A$504,0)),""))</f>
        <v/>
      </c>
      <c r="C829" t="str">
        <f t="shared" si="24"/>
        <v/>
      </c>
      <c r="D829" t="str">
        <f>IF(A829="","",IFERROR(INDEX(Maniobras!$D$5:$D$504,MATCH(A829,Maniobras!$A$5:$A$504,0)),""))</f>
        <v/>
      </c>
      <c r="F829" s="29" t="str">
        <f>IF(A829="","",IFERROR(INDEX(Maniobras!$K$5:$K$504,MATCH(A829,Maniobras!$A$5:$A$504,0)),""))</f>
        <v/>
      </c>
      <c r="G829" s="29"/>
      <c r="H829" s="29"/>
      <c r="I829" s="29" t="str">
        <f t="shared" si="25"/>
        <v/>
      </c>
      <c r="K829" s="30"/>
      <c r="M829" t="str">
        <f>IF($A829=Ficha!$B$3,COUNTIF($A$5:$A829,Ficha!$B$3),"")</f>
        <v/>
      </c>
    </row>
    <row r="830" spans="2:13" x14ac:dyDescent="0.3">
      <c r="B830" s="30" t="str">
        <f>IF(A830="","",IFERROR(INDEX(Maniobras!$B$5:$B$504,MATCH(A830,Maniobras!$A$5:$A$504,0)),""))</f>
        <v/>
      </c>
      <c r="C830" t="str">
        <f t="shared" si="24"/>
        <v/>
      </c>
      <c r="D830" t="str">
        <f>IF(A830="","",IFERROR(INDEX(Maniobras!$D$5:$D$504,MATCH(A830,Maniobras!$A$5:$A$504,0)),""))</f>
        <v/>
      </c>
      <c r="F830" s="29" t="str">
        <f>IF(A830="","",IFERROR(INDEX(Maniobras!$K$5:$K$504,MATCH(A830,Maniobras!$A$5:$A$504,0)),""))</f>
        <v/>
      </c>
      <c r="G830" s="29"/>
      <c r="H830" s="29"/>
      <c r="I830" s="29" t="str">
        <f t="shared" si="25"/>
        <v/>
      </c>
      <c r="K830" s="30"/>
      <c r="M830" t="str">
        <f>IF($A830=Ficha!$B$3,COUNTIF($A$5:$A830,Ficha!$B$3),"")</f>
        <v/>
      </c>
    </row>
    <row r="831" spans="2:13" x14ac:dyDescent="0.3">
      <c r="B831" s="30" t="str">
        <f>IF(A831="","",IFERROR(INDEX(Maniobras!$B$5:$B$504,MATCH(A831,Maniobras!$A$5:$A$504,0)),""))</f>
        <v/>
      </c>
      <c r="C831" t="str">
        <f t="shared" si="24"/>
        <v/>
      </c>
      <c r="D831" t="str">
        <f>IF(A831="","",IFERROR(INDEX(Maniobras!$D$5:$D$504,MATCH(A831,Maniobras!$A$5:$A$504,0)),""))</f>
        <v/>
      </c>
      <c r="F831" s="29" t="str">
        <f>IF(A831="","",IFERROR(INDEX(Maniobras!$K$5:$K$504,MATCH(A831,Maniobras!$A$5:$A$504,0)),""))</f>
        <v/>
      </c>
      <c r="G831" s="29"/>
      <c r="H831" s="29"/>
      <c r="I831" s="29" t="str">
        <f t="shared" si="25"/>
        <v/>
      </c>
      <c r="K831" s="30"/>
      <c r="M831" t="str">
        <f>IF($A831=Ficha!$B$3,COUNTIF($A$5:$A831,Ficha!$B$3),"")</f>
        <v/>
      </c>
    </row>
    <row r="832" spans="2:13" x14ac:dyDescent="0.3">
      <c r="B832" s="30" t="str">
        <f>IF(A832="","",IFERROR(INDEX(Maniobras!$B$5:$B$504,MATCH(A832,Maniobras!$A$5:$A$504,0)),""))</f>
        <v/>
      </c>
      <c r="C832" t="str">
        <f t="shared" si="24"/>
        <v/>
      </c>
      <c r="D832" t="str">
        <f>IF(A832="","",IFERROR(INDEX(Maniobras!$D$5:$D$504,MATCH(A832,Maniobras!$A$5:$A$504,0)),""))</f>
        <v/>
      </c>
      <c r="F832" s="29" t="str">
        <f>IF(A832="","",IFERROR(INDEX(Maniobras!$K$5:$K$504,MATCH(A832,Maniobras!$A$5:$A$504,0)),""))</f>
        <v/>
      </c>
      <c r="G832" s="29"/>
      <c r="H832" s="29"/>
      <c r="I832" s="29" t="str">
        <f t="shared" si="25"/>
        <v/>
      </c>
      <c r="K832" s="30"/>
      <c r="M832" t="str">
        <f>IF($A832=Ficha!$B$3,COUNTIF($A$5:$A832,Ficha!$B$3),"")</f>
        <v/>
      </c>
    </row>
    <row r="833" spans="2:13" x14ac:dyDescent="0.3">
      <c r="B833" s="30" t="str">
        <f>IF(A833="","",IFERROR(INDEX(Maniobras!$B$5:$B$504,MATCH(A833,Maniobras!$A$5:$A$504,0)),""))</f>
        <v/>
      </c>
      <c r="C833" t="str">
        <f t="shared" si="24"/>
        <v/>
      </c>
      <c r="D833" t="str">
        <f>IF(A833="","",IFERROR(INDEX(Maniobras!$D$5:$D$504,MATCH(A833,Maniobras!$A$5:$A$504,0)),""))</f>
        <v/>
      </c>
      <c r="F833" s="29" t="str">
        <f>IF(A833="","",IFERROR(INDEX(Maniobras!$K$5:$K$504,MATCH(A833,Maniobras!$A$5:$A$504,0)),""))</f>
        <v/>
      </c>
      <c r="G833" s="29"/>
      <c r="H833" s="29"/>
      <c r="I833" s="29" t="str">
        <f t="shared" si="25"/>
        <v/>
      </c>
      <c r="K833" s="30"/>
      <c r="M833" t="str">
        <f>IF($A833=Ficha!$B$3,COUNTIF($A$5:$A833,Ficha!$B$3),"")</f>
        <v/>
      </c>
    </row>
    <row r="834" spans="2:13" x14ac:dyDescent="0.3">
      <c r="B834" s="30" t="str">
        <f>IF(A834="","",IFERROR(INDEX(Maniobras!$B$5:$B$504,MATCH(A834,Maniobras!$A$5:$A$504,0)),""))</f>
        <v/>
      </c>
      <c r="C834" t="str">
        <f t="shared" si="24"/>
        <v/>
      </c>
      <c r="D834" t="str">
        <f>IF(A834="","",IFERROR(INDEX(Maniobras!$D$5:$D$504,MATCH(A834,Maniobras!$A$5:$A$504,0)),""))</f>
        <v/>
      </c>
      <c r="F834" s="29" t="str">
        <f>IF(A834="","",IFERROR(INDEX(Maniobras!$K$5:$K$504,MATCH(A834,Maniobras!$A$5:$A$504,0)),""))</f>
        <v/>
      </c>
      <c r="G834" s="29"/>
      <c r="H834" s="29"/>
      <c r="I834" s="29" t="str">
        <f t="shared" si="25"/>
        <v/>
      </c>
      <c r="K834" s="30"/>
      <c r="M834" t="str">
        <f>IF($A834=Ficha!$B$3,COUNTIF($A$5:$A834,Ficha!$B$3),"")</f>
        <v/>
      </c>
    </row>
    <row r="835" spans="2:13" x14ac:dyDescent="0.3">
      <c r="B835" s="30" t="str">
        <f>IF(A835="","",IFERROR(INDEX(Maniobras!$B$5:$B$504,MATCH(A835,Maniobras!$A$5:$A$504,0)),""))</f>
        <v/>
      </c>
      <c r="C835" t="str">
        <f t="shared" si="24"/>
        <v/>
      </c>
      <c r="D835" t="str">
        <f>IF(A835="","",IFERROR(INDEX(Maniobras!$D$5:$D$504,MATCH(A835,Maniobras!$A$5:$A$504,0)),""))</f>
        <v/>
      </c>
      <c r="F835" s="29" t="str">
        <f>IF(A835="","",IFERROR(INDEX(Maniobras!$K$5:$K$504,MATCH(A835,Maniobras!$A$5:$A$504,0)),""))</f>
        <v/>
      </c>
      <c r="G835" s="29"/>
      <c r="H835" s="29"/>
      <c r="I835" s="29" t="str">
        <f t="shared" si="25"/>
        <v/>
      </c>
      <c r="K835" s="30"/>
      <c r="M835" t="str">
        <f>IF($A835=Ficha!$B$3,COUNTIF($A$5:$A835,Ficha!$B$3),"")</f>
        <v/>
      </c>
    </row>
    <row r="836" spans="2:13" x14ac:dyDescent="0.3">
      <c r="B836" s="30" t="str">
        <f>IF(A836="","",IFERROR(INDEX(Maniobras!$B$5:$B$504,MATCH(A836,Maniobras!$A$5:$A$504,0)),""))</f>
        <v/>
      </c>
      <c r="C836" t="str">
        <f t="shared" si="24"/>
        <v/>
      </c>
      <c r="D836" t="str">
        <f>IF(A836="","",IFERROR(INDEX(Maniobras!$D$5:$D$504,MATCH(A836,Maniobras!$A$5:$A$504,0)),""))</f>
        <v/>
      </c>
      <c r="F836" s="29" t="str">
        <f>IF(A836="","",IFERROR(INDEX(Maniobras!$K$5:$K$504,MATCH(A836,Maniobras!$A$5:$A$504,0)),""))</f>
        <v/>
      </c>
      <c r="G836" s="29"/>
      <c r="H836" s="29"/>
      <c r="I836" s="29" t="str">
        <f t="shared" si="25"/>
        <v/>
      </c>
      <c r="K836" s="30"/>
      <c r="M836" t="str">
        <f>IF($A836=Ficha!$B$3,COUNTIF($A$5:$A836,Ficha!$B$3),"")</f>
        <v/>
      </c>
    </row>
    <row r="837" spans="2:13" x14ac:dyDescent="0.3">
      <c r="B837" s="30" t="str">
        <f>IF(A837="","",IFERROR(INDEX(Maniobras!$B$5:$B$504,MATCH(A837,Maniobras!$A$5:$A$504,0)),""))</f>
        <v/>
      </c>
      <c r="C837" t="str">
        <f t="shared" ref="C837:C900" si="26">IF(B837="","",TEXT(B837,"yyyy-mm"))</f>
        <v/>
      </c>
      <c r="D837" t="str">
        <f>IF(A837="","",IFERROR(INDEX(Maniobras!$D$5:$D$504,MATCH(A837,Maniobras!$A$5:$A$504,0)),""))</f>
        <v/>
      </c>
      <c r="F837" s="29" t="str">
        <f>IF(A837="","",IFERROR(INDEX(Maniobras!$K$5:$K$504,MATCH(A837,Maniobras!$A$5:$A$504,0)),""))</f>
        <v/>
      </c>
      <c r="G837" s="29"/>
      <c r="H837" s="29"/>
      <c r="I837" s="29" t="str">
        <f t="shared" ref="I837:I900" si="27">IF(G837="","",G837+N(H837))</f>
        <v/>
      </c>
      <c r="K837" s="30"/>
      <c r="M837" t="str">
        <f>IF($A837=Ficha!$B$3,COUNTIF($A$5:$A837,Ficha!$B$3),"")</f>
        <v/>
      </c>
    </row>
    <row r="838" spans="2:13" x14ac:dyDescent="0.3">
      <c r="B838" s="30" t="str">
        <f>IF(A838="","",IFERROR(INDEX(Maniobras!$B$5:$B$504,MATCH(A838,Maniobras!$A$5:$A$504,0)),""))</f>
        <v/>
      </c>
      <c r="C838" t="str">
        <f t="shared" si="26"/>
        <v/>
      </c>
      <c r="D838" t="str">
        <f>IF(A838="","",IFERROR(INDEX(Maniobras!$D$5:$D$504,MATCH(A838,Maniobras!$A$5:$A$504,0)),""))</f>
        <v/>
      </c>
      <c r="F838" s="29" t="str">
        <f>IF(A838="","",IFERROR(INDEX(Maniobras!$K$5:$K$504,MATCH(A838,Maniobras!$A$5:$A$504,0)),""))</f>
        <v/>
      </c>
      <c r="G838" s="29"/>
      <c r="H838" s="29"/>
      <c r="I838" s="29" t="str">
        <f t="shared" si="27"/>
        <v/>
      </c>
      <c r="K838" s="30"/>
      <c r="M838" t="str">
        <f>IF($A838=Ficha!$B$3,COUNTIF($A$5:$A838,Ficha!$B$3),"")</f>
        <v/>
      </c>
    </row>
    <row r="839" spans="2:13" x14ac:dyDescent="0.3">
      <c r="B839" s="30" t="str">
        <f>IF(A839="","",IFERROR(INDEX(Maniobras!$B$5:$B$504,MATCH(A839,Maniobras!$A$5:$A$504,0)),""))</f>
        <v/>
      </c>
      <c r="C839" t="str">
        <f t="shared" si="26"/>
        <v/>
      </c>
      <c r="D839" t="str">
        <f>IF(A839="","",IFERROR(INDEX(Maniobras!$D$5:$D$504,MATCH(A839,Maniobras!$A$5:$A$504,0)),""))</f>
        <v/>
      </c>
      <c r="F839" s="29" t="str">
        <f>IF(A839="","",IFERROR(INDEX(Maniobras!$K$5:$K$504,MATCH(A839,Maniobras!$A$5:$A$504,0)),""))</f>
        <v/>
      </c>
      <c r="G839" s="29"/>
      <c r="H839" s="29"/>
      <c r="I839" s="29" t="str">
        <f t="shared" si="27"/>
        <v/>
      </c>
      <c r="K839" s="30"/>
      <c r="M839" t="str">
        <f>IF($A839=Ficha!$B$3,COUNTIF($A$5:$A839,Ficha!$B$3),"")</f>
        <v/>
      </c>
    </row>
    <row r="840" spans="2:13" x14ac:dyDescent="0.3">
      <c r="B840" s="30" t="str">
        <f>IF(A840="","",IFERROR(INDEX(Maniobras!$B$5:$B$504,MATCH(A840,Maniobras!$A$5:$A$504,0)),""))</f>
        <v/>
      </c>
      <c r="C840" t="str">
        <f t="shared" si="26"/>
        <v/>
      </c>
      <c r="D840" t="str">
        <f>IF(A840="","",IFERROR(INDEX(Maniobras!$D$5:$D$504,MATCH(A840,Maniobras!$A$5:$A$504,0)),""))</f>
        <v/>
      </c>
      <c r="F840" s="29" t="str">
        <f>IF(A840="","",IFERROR(INDEX(Maniobras!$K$5:$K$504,MATCH(A840,Maniobras!$A$5:$A$504,0)),""))</f>
        <v/>
      </c>
      <c r="G840" s="29"/>
      <c r="H840" s="29"/>
      <c r="I840" s="29" t="str">
        <f t="shared" si="27"/>
        <v/>
      </c>
      <c r="K840" s="30"/>
      <c r="M840" t="str">
        <f>IF($A840=Ficha!$B$3,COUNTIF($A$5:$A840,Ficha!$B$3),"")</f>
        <v/>
      </c>
    </row>
    <row r="841" spans="2:13" x14ac:dyDescent="0.3">
      <c r="B841" s="30" t="str">
        <f>IF(A841="","",IFERROR(INDEX(Maniobras!$B$5:$B$504,MATCH(A841,Maniobras!$A$5:$A$504,0)),""))</f>
        <v/>
      </c>
      <c r="C841" t="str">
        <f t="shared" si="26"/>
        <v/>
      </c>
      <c r="D841" t="str">
        <f>IF(A841="","",IFERROR(INDEX(Maniobras!$D$5:$D$504,MATCH(A841,Maniobras!$A$5:$A$504,0)),""))</f>
        <v/>
      </c>
      <c r="F841" s="29" t="str">
        <f>IF(A841="","",IFERROR(INDEX(Maniobras!$K$5:$K$504,MATCH(A841,Maniobras!$A$5:$A$504,0)),""))</f>
        <v/>
      </c>
      <c r="G841" s="29"/>
      <c r="H841" s="29"/>
      <c r="I841" s="29" t="str">
        <f t="shared" si="27"/>
        <v/>
      </c>
      <c r="K841" s="30"/>
      <c r="M841" t="str">
        <f>IF($A841=Ficha!$B$3,COUNTIF($A$5:$A841,Ficha!$B$3),"")</f>
        <v/>
      </c>
    </row>
    <row r="842" spans="2:13" x14ac:dyDescent="0.3">
      <c r="B842" s="30" t="str">
        <f>IF(A842="","",IFERROR(INDEX(Maniobras!$B$5:$B$504,MATCH(A842,Maniobras!$A$5:$A$504,0)),""))</f>
        <v/>
      </c>
      <c r="C842" t="str">
        <f t="shared" si="26"/>
        <v/>
      </c>
      <c r="D842" t="str">
        <f>IF(A842="","",IFERROR(INDEX(Maniobras!$D$5:$D$504,MATCH(A842,Maniobras!$A$5:$A$504,0)),""))</f>
        <v/>
      </c>
      <c r="F842" s="29" t="str">
        <f>IF(A842="","",IFERROR(INDEX(Maniobras!$K$5:$K$504,MATCH(A842,Maniobras!$A$5:$A$504,0)),""))</f>
        <v/>
      </c>
      <c r="G842" s="29"/>
      <c r="H842" s="29"/>
      <c r="I842" s="29" t="str">
        <f t="shared" si="27"/>
        <v/>
      </c>
      <c r="K842" s="30"/>
      <c r="M842" t="str">
        <f>IF($A842=Ficha!$B$3,COUNTIF($A$5:$A842,Ficha!$B$3),"")</f>
        <v/>
      </c>
    </row>
    <row r="843" spans="2:13" x14ac:dyDescent="0.3">
      <c r="B843" s="30" t="str">
        <f>IF(A843="","",IFERROR(INDEX(Maniobras!$B$5:$B$504,MATCH(A843,Maniobras!$A$5:$A$504,0)),""))</f>
        <v/>
      </c>
      <c r="C843" t="str">
        <f t="shared" si="26"/>
        <v/>
      </c>
      <c r="D843" t="str">
        <f>IF(A843="","",IFERROR(INDEX(Maniobras!$D$5:$D$504,MATCH(A843,Maniobras!$A$5:$A$504,0)),""))</f>
        <v/>
      </c>
      <c r="F843" s="29" t="str">
        <f>IF(A843="","",IFERROR(INDEX(Maniobras!$K$5:$K$504,MATCH(A843,Maniobras!$A$5:$A$504,0)),""))</f>
        <v/>
      </c>
      <c r="G843" s="29"/>
      <c r="H843" s="29"/>
      <c r="I843" s="29" t="str">
        <f t="shared" si="27"/>
        <v/>
      </c>
      <c r="K843" s="30"/>
      <c r="M843" t="str">
        <f>IF($A843=Ficha!$B$3,COUNTIF($A$5:$A843,Ficha!$B$3),"")</f>
        <v/>
      </c>
    </row>
    <row r="844" spans="2:13" x14ac:dyDescent="0.3">
      <c r="B844" s="30" t="str">
        <f>IF(A844="","",IFERROR(INDEX(Maniobras!$B$5:$B$504,MATCH(A844,Maniobras!$A$5:$A$504,0)),""))</f>
        <v/>
      </c>
      <c r="C844" t="str">
        <f t="shared" si="26"/>
        <v/>
      </c>
      <c r="D844" t="str">
        <f>IF(A844="","",IFERROR(INDEX(Maniobras!$D$5:$D$504,MATCH(A844,Maniobras!$A$5:$A$504,0)),""))</f>
        <v/>
      </c>
      <c r="F844" s="29" t="str">
        <f>IF(A844="","",IFERROR(INDEX(Maniobras!$K$5:$K$504,MATCH(A844,Maniobras!$A$5:$A$504,0)),""))</f>
        <v/>
      </c>
      <c r="G844" s="29"/>
      <c r="H844" s="29"/>
      <c r="I844" s="29" t="str">
        <f t="shared" si="27"/>
        <v/>
      </c>
      <c r="K844" s="30"/>
      <c r="M844" t="str">
        <f>IF($A844=Ficha!$B$3,COUNTIF($A$5:$A844,Ficha!$B$3),"")</f>
        <v/>
      </c>
    </row>
    <row r="845" spans="2:13" x14ac:dyDescent="0.3">
      <c r="B845" s="30" t="str">
        <f>IF(A845="","",IFERROR(INDEX(Maniobras!$B$5:$B$504,MATCH(A845,Maniobras!$A$5:$A$504,0)),""))</f>
        <v/>
      </c>
      <c r="C845" t="str">
        <f t="shared" si="26"/>
        <v/>
      </c>
      <c r="D845" t="str">
        <f>IF(A845="","",IFERROR(INDEX(Maniobras!$D$5:$D$504,MATCH(A845,Maniobras!$A$5:$A$504,0)),""))</f>
        <v/>
      </c>
      <c r="F845" s="29" t="str">
        <f>IF(A845="","",IFERROR(INDEX(Maniobras!$K$5:$K$504,MATCH(A845,Maniobras!$A$5:$A$504,0)),""))</f>
        <v/>
      </c>
      <c r="G845" s="29"/>
      <c r="H845" s="29"/>
      <c r="I845" s="29" t="str">
        <f t="shared" si="27"/>
        <v/>
      </c>
      <c r="K845" s="30"/>
      <c r="M845" t="str">
        <f>IF($A845=Ficha!$B$3,COUNTIF($A$5:$A845,Ficha!$B$3),"")</f>
        <v/>
      </c>
    </row>
    <row r="846" spans="2:13" x14ac:dyDescent="0.3">
      <c r="B846" s="30" t="str">
        <f>IF(A846="","",IFERROR(INDEX(Maniobras!$B$5:$B$504,MATCH(A846,Maniobras!$A$5:$A$504,0)),""))</f>
        <v/>
      </c>
      <c r="C846" t="str">
        <f t="shared" si="26"/>
        <v/>
      </c>
      <c r="D846" t="str">
        <f>IF(A846="","",IFERROR(INDEX(Maniobras!$D$5:$D$504,MATCH(A846,Maniobras!$A$5:$A$504,0)),""))</f>
        <v/>
      </c>
      <c r="F846" s="29" t="str">
        <f>IF(A846="","",IFERROR(INDEX(Maniobras!$K$5:$K$504,MATCH(A846,Maniobras!$A$5:$A$504,0)),""))</f>
        <v/>
      </c>
      <c r="G846" s="29"/>
      <c r="H846" s="29"/>
      <c r="I846" s="29" t="str">
        <f t="shared" si="27"/>
        <v/>
      </c>
      <c r="K846" s="30"/>
      <c r="M846" t="str">
        <f>IF($A846=Ficha!$B$3,COUNTIF($A$5:$A846,Ficha!$B$3),"")</f>
        <v/>
      </c>
    </row>
    <row r="847" spans="2:13" x14ac:dyDescent="0.3">
      <c r="B847" s="30" t="str">
        <f>IF(A847="","",IFERROR(INDEX(Maniobras!$B$5:$B$504,MATCH(A847,Maniobras!$A$5:$A$504,0)),""))</f>
        <v/>
      </c>
      <c r="C847" t="str">
        <f t="shared" si="26"/>
        <v/>
      </c>
      <c r="D847" t="str">
        <f>IF(A847="","",IFERROR(INDEX(Maniobras!$D$5:$D$504,MATCH(A847,Maniobras!$A$5:$A$504,0)),""))</f>
        <v/>
      </c>
      <c r="F847" s="29" t="str">
        <f>IF(A847="","",IFERROR(INDEX(Maniobras!$K$5:$K$504,MATCH(A847,Maniobras!$A$5:$A$504,0)),""))</f>
        <v/>
      </c>
      <c r="G847" s="29"/>
      <c r="H847" s="29"/>
      <c r="I847" s="29" t="str">
        <f t="shared" si="27"/>
        <v/>
      </c>
      <c r="K847" s="30"/>
      <c r="M847" t="str">
        <f>IF($A847=Ficha!$B$3,COUNTIF($A$5:$A847,Ficha!$B$3),"")</f>
        <v/>
      </c>
    </row>
    <row r="848" spans="2:13" x14ac:dyDescent="0.3">
      <c r="B848" s="30" t="str">
        <f>IF(A848="","",IFERROR(INDEX(Maniobras!$B$5:$B$504,MATCH(A848,Maniobras!$A$5:$A$504,0)),""))</f>
        <v/>
      </c>
      <c r="C848" t="str">
        <f t="shared" si="26"/>
        <v/>
      </c>
      <c r="D848" t="str">
        <f>IF(A848="","",IFERROR(INDEX(Maniobras!$D$5:$D$504,MATCH(A848,Maniobras!$A$5:$A$504,0)),""))</f>
        <v/>
      </c>
      <c r="F848" s="29" t="str">
        <f>IF(A848="","",IFERROR(INDEX(Maniobras!$K$5:$K$504,MATCH(A848,Maniobras!$A$5:$A$504,0)),""))</f>
        <v/>
      </c>
      <c r="G848" s="29"/>
      <c r="H848" s="29"/>
      <c r="I848" s="29" t="str">
        <f t="shared" si="27"/>
        <v/>
      </c>
      <c r="K848" s="30"/>
      <c r="M848" t="str">
        <f>IF($A848=Ficha!$B$3,COUNTIF($A$5:$A848,Ficha!$B$3),"")</f>
        <v/>
      </c>
    </row>
    <row r="849" spans="2:13" x14ac:dyDescent="0.3">
      <c r="B849" s="30" t="str">
        <f>IF(A849="","",IFERROR(INDEX(Maniobras!$B$5:$B$504,MATCH(A849,Maniobras!$A$5:$A$504,0)),""))</f>
        <v/>
      </c>
      <c r="C849" t="str">
        <f t="shared" si="26"/>
        <v/>
      </c>
      <c r="D849" t="str">
        <f>IF(A849="","",IFERROR(INDEX(Maniobras!$D$5:$D$504,MATCH(A849,Maniobras!$A$5:$A$504,0)),""))</f>
        <v/>
      </c>
      <c r="F849" s="29" t="str">
        <f>IF(A849="","",IFERROR(INDEX(Maniobras!$K$5:$K$504,MATCH(A849,Maniobras!$A$5:$A$504,0)),""))</f>
        <v/>
      </c>
      <c r="G849" s="29"/>
      <c r="H849" s="29"/>
      <c r="I849" s="29" t="str">
        <f t="shared" si="27"/>
        <v/>
      </c>
      <c r="K849" s="30"/>
      <c r="M849" t="str">
        <f>IF($A849=Ficha!$B$3,COUNTIF($A$5:$A849,Ficha!$B$3),"")</f>
        <v/>
      </c>
    </row>
    <row r="850" spans="2:13" x14ac:dyDescent="0.3">
      <c r="B850" s="30" t="str">
        <f>IF(A850="","",IFERROR(INDEX(Maniobras!$B$5:$B$504,MATCH(A850,Maniobras!$A$5:$A$504,0)),""))</f>
        <v/>
      </c>
      <c r="C850" t="str">
        <f t="shared" si="26"/>
        <v/>
      </c>
      <c r="D850" t="str">
        <f>IF(A850="","",IFERROR(INDEX(Maniobras!$D$5:$D$504,MATCH(A850,Maniobras!$A$5:$A$504,0)),""))</f>
        <v/>
      </c>
      <c r="F850" s="29" t="str">
        <f>IF(A850="","",IFERROR(INDEX(Maniobras!$K$5:$K$504,MATCH(A850,Maniobras!$A$5:$A$504,0)),""))</f>
        <v/>
      </c>
      <c r="G850" s="29"/>
      <c r="H850" s="29"/>
      <c r="I850" s="29" t="str">
        <f t="shared" si="27"/>
        <v/>
      </c>
      <c r="K850" s="30"/>
      <c r="M850" t="str">
        <f>IF($A850=Ficha!$B$3,COUNTIF($A$5:$A850,Ficha!$B$3),"")</f>
        <v/>
      </c>
    </row>
    <row r="851" spans="2:13" x14ac:dyDescent="0.3">
      <c r="B851" s="30" t="str">
        <f>IF(A851="","",IFERROR(INDEX(Maniobras!$B$5:$B$504,MATCH(A851,Maniobras!$A$5:$A$504,0)),""))</f>
        <v/>
      </c>
      <c r="C851" t="str">
        <f t="shared" si="26"/>
        <v/>
      </c>
      <c r="D851" t="str">
        <f>IF(A851="","",IFERROR(INDEX(Maniobras!$D$5:$D$504,MATCH(A851,Maniobras!$A$5:$A$504,0)),""))</f>
        <v/>
      </c>
      <c r="F851" s="29" t="str">
        <f>IF(A851="","",IFERROR(INDEX(Maniobras!$K$5:$K$504,MATCH(A851,Maniobras!$A$5:$A$504,0)),""))</f>
        <v/>
      </c>
      <c r="G851" s="29"/>
      <c r="H851" s="29"/>
      <c r="I851" s="29" t="str">
        <f t="shared" si="27"/>
        <v/>
      </c>
      <c r="K851" s="30"/>
      <c r="M851" t="str">
        <f>IF($A851=Ficha!$B$3,COUNTIF($A$5:$A851,Ficha!$B$3),"")</f>
        <v/>
      </c>
    </row>
    <row r="852" spans="2:13" x14ac:dyDescent="0.3">
      <c r="B852" s="30" t="str">
        <f>IF(A852="","",IFERROR(INDEX(Maniobras!$B$5:$B$504,MATCH(A852,Maniobras!$A$5:$A$504,0)),""))</f>
        <v/>
      </c>
      <c r="C852" t="str">
        <f t="shared" si="26"/>
        <v/>
      </c>
      <c r="D852" t="str">
        <f>IF(A852="","",IFERROR(INDEX(Maniobras!$D$5:$D$504,MATCH(A852,Maniobras!$A$5:$A$504,0)),""))</f>
        <v/>
      </c>
      <c r="F852" s="29" t="str">
        <f>IF(A852="","",IFERROR(INDEX(Maniobras!$K$5:$K$504,MATCH(A852,Maniobras!$A$5:$A$504,0)),""))</f>
        <v/>
      </c>
      <c r="G852" s="29"/>
      <c r="H852" s="29"/>
      <c r="I852" s="29" t="str">
        <f t="shared" si="27"/>
        <v/>
      </c>
      <c r="K852" s="30"/>
      <c r="M852" t="str">
        <f>IF($A852=Ficha!$B$3,COUNTIF($A$5:$A852,Ficha!$B$3),"")</f>
        <v/>
      </c>
    </row>
    <row r="853" spans="2:13" x14ac:dyDescent="0.3">
      <c r="B853" s="30" t="str">
        <f>IF(A853="","",IFERROR(INDEX(Maniobras!$B$5:$B$504,MATCH(A853,Maniobras!$A$5:$A$504,0)),""))</f>
        <v/>
      </c>
      <c r="C853" t="str">
        <f t="shared" si="26"/>
        <v/>
      </c>
      <c r="D853" t="str">
        <f>IF(A853="","",IFERROR(INDEX(Maniobras!$D$5:$D$504,MATCH(A853,Maniobras!$A$5:$A$504,0)),""))</f>
        <v/>
      </c>
      <c r="F853" s="29" t="str">
        <f>IF(A853="","",IFERROR(INDEX(Maniobras!$K$5:$K$504,MATCH(A853,Maniobras!$A$5:$A$504,0)),""))</f>
        <v/>
      </c>
      <c r="G853" s="29"/>
      <c r="H853" s="29"/>
      <c r="I853" s="29" t="str">
        <f t="shared" si="27"/>
        <v/>
      </c>
      <c r="K853" s="30"/>
      <c r="M853" t="str">
        <f>IF($A853=Ficha!$B$3,COUNTIF($A$5:$A853,Ficha!$B$3),"")</f>
        <v/>
      </c>
    </row>
    <row r="854" spans="2:13" x14ac:dyDescent="0.3">
      <c r="B854" s="30" t="str">
        <f>IF(A854="","",IFERROR(INDEX(Maniobras!$B$5:$B$504,MATCH(A854,Maniobras!$A$5:$A$504,0)),""))</f>
        <v/>
      </c>
      <c r="C854" t="str">
        <f t="shared" si="26"/>
        <v/>
      </c>
      <c r="D854" t="str">
        <f>IF(A854="","",IFERROR(INDEX(Maniobras!$D$5:$D$504,MATCH(A854,Maniobras!$A$5:$A$504,0)),""))</f>
        <v/>
      </c>
      <c r="F854" s="29" t="str">
        <f>IF(A854="","",IFERROR(INDEX(Maniobras!$K$5:$K$504,MATCH(A854,Maniobras!$A$5:$A$504,0)),""))</f>
        <v/>
      </c>
      <c r="G854" s="29"/>
      <c r="H854" s="29"/>
      <c r="I854" s="29" t="str">
        <f t="shared" si="27"/>
        <v/>
      </c>
      <c r="K854" s="30"/>
      <c r="M854" t="str">
        <f>IF($A854=Ficha!$B$3,COUNTIF($A$5:$A854,Ficha!$B$3),"")</f>
        <v/>
      </c>
    </row>
    <row r="855" spans="2:13" x14ac:dyDescent="0.3">
      <c r="B855" s="30" t="str">
        <f>IF(A855="","",IFERROR(INDEX(Maniobras!$B$5:$B$504,MATCH(A855,Maniobras!$A$5:$A$504,0)),""))</f>
        <v/>
      </c>
      <c r="C855" t="str">
        <f t="shared" si="26"/>
        <v/>
      </c>
      <c r="D855" t="str">
        <f>IF(A855="","",IFERROR(INDEX(Maniobras!$D$5:$D$504,MATCH(A855,Maniobras!$A$5:$A$504,0)),""))</f>
        <v/>
      </c>
      <c r="F855" s="29" t="str">
        <f>IF(A855="","",IFERROR(INDEX(Maniobras!$K$5:$K$504,MATCH(A855,Maniobras!$A$5:$A$504,0)),""))</f>
        <v/>
      </c>
      <c r="G855" s="29"/>
      <c r="H855" s="29"/>
      <c r="I855" s="29" t="str">
        <f t="shared" si="27"/>
        <v/>
      </c>
      <c r="K855" s="30"/>
      <c r="M855" t="str">
        <f>IF($A855=Ficha!$B$3,COUNTIF($A$5:$A855,Ficha!$B$3),"")</f>
        <v/>
      </c>
    </row>
    <row r="856" spans="2:13" x14ac:dyDescent="0.3">
      <c r="B856" s="30" t="str">
        <f>IF(A856="","",IFERROR(INDEX(Maniobras!$B$5:$B$504,MATCH(A856,Maniobras!$A$5:$A$504,0)),""))</f>
        <v/>
      </c>
      <c r="C856" t="str">
        <f t="shared" si="26"/>
        <v/>
      </c>
      <c r="D856" t="str">
        <f>IF(A856="","",IFERROR(INDEX(Maniobras!$D$5:$D$504,MATCH(A856,Maniobras!$A$5:$A$504,0)),""))</f>
        <v/>
      </c>
      <c r="F856" s="29" t="str">
        <f>IF(A856="","",IFERROR(INDEX(Maniobras!$K$5:$K$504,MATCH(A856,Maniobras!$A$5:$A$504,0)),""))</f>
        <v/>
      </c>
      <c r="G856" s="29"/>
      <c r="H856" s="29"/>
      <c r="I856" s="29" t="str">
        <f t="shared" si="27"/>
        <v/>
      </c>
      <c r="K856" s="30"/>
      <c r="M856" t="str">
        <f>IF($A856=Ficha!$B$3,COUNTIF($A$5:$A856,Ficha!$B$3),"")</f>
        <v/>
      </c>
    </row>
    <row r="857" spans="2:13" x14ac:dyDescent="0.3">
      <c r="B857" s="30" t="str">
        <f>IF(A857="","",IFERROR(INDEX(Maniobras!$B$5:$B$504,MATCH(A857,Maniobras!$A$5:$A$504,0)),""))</f>
        <v/>
      </c>
      <c r="C857" t="str">
        <f t="shared" si="26"/>
        <v/>
      </c>
      <c r="D857" t="str">
        <f>IF(A857="","",IFERROR(INDEX(Maniobras!$D$5:$D$504,MATCH(A857,Maniobras!$A$5:$A$504,0)),""))</f>
        <v/>
      </c>
      <c r="F857" s="29" t="str">
        <f>IF(A857="","",IFERROR(INDEX(Maniobras!$K$5:$K$504,MATCH(A857,Maniobras!$A$5:$A$504,0)),""))</f>
        <v/>
      </c>
      <c r="G857" s="29"/>
      <c r="H857" s="29"/>
      <c r="I857" s="29" t="str">
        <f t="shared" si="27"/>
        <v/>
      </c>
      <c r="K857" s="30"/>
      <c r="M857" t="str">
        <f>IF($A857=Ficha!$B$3,COUNTIF($A$5:$A857,Ficha!$B$3),"")</f>
        <v/>
      </c>
    </row>
    <row r="858" spans="2:13" x14ac:dyDescent="0.3">
      <c r="B858" s="30" t="str">
        <f>IF(A858="","",IFERROR(INDEX(Maniobras!$B$5:$B$504,MATCH(A858,Maniobras!$A$5:$A$504,0)),""))</f>
        <v/>
      </c>
      <c r="C858" t="str">
        <f t="shared" si="26"/>
        <v/>
      </c>
      <c r="D858" t="str">
        <f>IF(A858="","",IFERROR(INDEX(Maniobras!$D$5:$D$504,MATCH(A858,Maniobras!$A$5:$A$504,0)),""))</f>
        <v/>
      </c>
      <c r="F858" s="29" t="str">
        <f>IF(A858="","",IFERROR(INDEX(Maniobras!$K$5:$K$504,MATCH(A858,Maniobras!$A$5:$A$504,0)),""))</f>
        <v/>
      </c>
      <c r="G858" s="29"/>
      <c r="H858" s="29"/>
      <c r="I858" s="29" t="str">
        <f t="shared" si="27"/>
        <v/>
      </c>
      <c r="K858" s="30"/>
      <c r="M858" t="str">
        <f>IF($A858=Ficha!$B$3,COUNTIF($A$5:$A858,Ficha!$B$3),"")</f>
        <v/>
      </c>
    </row>
    <row r="859" spans="2:13" x14ac:dyDescent="0.3">
      <c r="B859" s="30" t="str">
        <f>IF(A859="","",IFERROR(INDEX(Maniobras!$B$5:$B$504,MATCH(A859,Maniobras!$A$5:$A$504,0)),""))</f>
        <v/>
      </c>
      <c r="C859" t="str">
        <f t="shared" si="26"/>
        <v/>
      </c>
      <c r="D859" t="str">
        <f>IF(A859="","",IFERROR(INDEX(Maniobras!$D$5:$D$504,MATCH(A859,Maniobras!$A$5:$A$504,0)),""))</f>
        <v/>
      </c>
      <c r="F859" s="29" t="str">
        <f>IF(A859="","",IFERROR(INDEX(Maniobras!$K$5:$K$504,MATCH(A859,Maniobras!$A$5:$A$504,0)),""))</f>
        <v/>
      </c>
      <c r="G859" s="29"/>
      <c r="H859" s="29"/>
      <c r="I859" s="29" t="str">
        <f t="shared" si="27"/>
        <v/>
      </c>
      <c r="K859" s="30"/>
      <c r="M859" t="str">
        <f>IF($A859=Ficha!$B$3,COUNTIF($A$5:$A859,Ficha!$B$3),"")</f>
        <v/>
      </c>
    </row>
    <row r="860" spans="2:13" x14ac:dyDescent="0.3">
      <c r="B860" s="30" t="str">
        <f>IF(A860="","",IFERROR(INDEX(Maniobras!$B$5:$B$504,MATCH(A860,Maniobras!$A$5:$A$504,0)),""))</f>
        <v/>
      </c>
      <c r="C860" t="str">
        <f t="shared" si="26"/>
        <v/>
      </c>
      <c r="D860" t="str">
        <f>IF(A860="","",IFERROR(INDEX(Maniobras!$D$5:$D$504,MATCH(A860,Maniobras!$A$5:$A$504,0)),""))</f>
        <v/>
      </c>
      <c r="F860" s="29" t="str">
        <f>IF(A860="","",IFERROR(INDEX(Maniobras!$K$5:$K$504,MATCH(A860,Maniobras!$A$5:$A$504,0)),""))</f>
        <v/>
      </c>
      <c r="G860" s="29"/>
      <c r="H860" s="29"/>
      <c r="I860" s="29" t="str">
        <f t="shared" si="27"/>
        <v/>
      </c>
      <c r="K860" s="30"/>
      <c r="M860" t="str">
        <f>IF($A860=Ficha!$B$3,COUNTIF($A$5:$A860,Ficha!$B$3),"")</f>
        <v/>
      </c>
    </row>
    <row r="861" spans="2:13" x14ac:dyDescent="0.3">
      <c r="B861" s="30" t="str">
        <f>IF(A861="","",IFERROR(INDEX(Maniobras!$B$5:$B$504,MATCH(A861,Maniobras!$A$5:$A$504,0)),""))</f>
        <v/>
      </c>
      <c r="C861" t="str">
        <f t="shared" si="26"/>
        <v/>
      </c>
      <c r="D861" t="str">
        <f>IF(A861="","",IFERROR(INDEX(Maniobras!$D$5:$D$504,MATCH(A861,Maniobras!$A$5:$A$504,0)),""))</f>
        <v/>
      </c>
      <c r="F861" s="29" t="str">
        <f>IF(A861="","",IFERROR(INDEX(Maniobras!$K$5:$K$504,MATCH(A861,Maniobras!$A$5:$A$504,0)),""))</f>
        <v/>
      </c>
      <c r="G861" s="29"/>
      <c r="H861" s="29"/>
      <c r="I861" s="29" t="str">
        <f t="shared" si="27"/>
        <v/>
      </c>
      <c r="K861" s="30"/>
      <c r="M861" t="str">
        <f>IF($A861=Ficha!$B$3,COUNTIF($A$5:$A861,Ficha!$B$3),"")</f>
        <v/>
      </c>
    </row>
    <row r="862" spans="2:13" x14ac:dyDescent="0.3">
      <c r="B862" s="30" t="str">
        <f>IF(A862="","",IFERROR(INDEX(Maniobras!$B$5:$B$504,MATCH(A862,Maniobras!$A$5:$A$504,0)),""))</f>
        <v/>
      </c>
      <c r="C862" t="str">
        <f t="shared" si="26"/>
        <v/>
      </c>
      <c r="D862" t="str">
        <f>IF(A862="","",IFERROR(INDEX(Maniobras!$D$5:$D$504,MATCH(A862,Maniobras!$A$5:$A$504,0)),""))</f>
        <v/>
      </c>
      <c r="F862" s="29" t="str">
        <f>IF(A862="","",IFERROR(INDEX(Maniobras!$K$5:$K$504,MATCH(A862,Maniobras!$A$5:$A$504,0)),""))</f>
        <v/>
      </c>
      <c r="G862" s="29"/>
      <c r="H862" s="29"/>
      <c r="I862" s="29" t="str">
        <f t="shared" si="27"/>
        <v/>
      </c>
      <c r="K862" s="30"/>
      <c r="M862" t="str">
        <f>IF($A862=Ficha!$B$3,COUNTIF($A$5:$A862,Ficha!$B$3),"")</f>
        <v/>
      </c>
    </row>
    <row r="863" spans="2:13" x14ac:dyDescent="0.3">
      <c r="B863" s="30" t="str">
        <f>IF(A863="","",IFERROR(INDEX(Maniobras!$B$5:$B$504,MATCH(A863,Maniobras!$A$5:$A$504,0)),""))</f>
        <v/>
      </c>
      <c r="C863" t="str">
        <f t="shared" si="26"/>
        <v/>
      </c>
      <c r="D863" t="str">
        <f>IF(A863="","",IFERROR(INDEX(Maniobras!$D$5:$D$504,MATCH(A863,Maniobras!$A$5:$A$504,0)),""))</f>
        <v/>
      </c>
      <c r="F863" s="29" t="str">
        <f>IF(A863="","",IFERROR(INDEX(Maniobras!$K$5:$K$504,MATCH(A863,Maniobras!$A$5:$A$504,0)),""))</f>
        <v/>
      </c>
      <c r="G863" s="29"/>
      <c r="H863" s="29"/>
      <c r="I863" s="29" t="str">
        <f t="shared" si="27"/>
        <v/>
      </c>
      <c r="K863" s="30"/>
      <c r="M863" t="str">
        <f>IF($A863=Ficha!$B$3,COUNTIF($A$5:$A863,Ficha!$B$3),"")</f>
        <v/>
      </c>
    </row>
    <row r="864" spans="2:13" x14ac:dyDescent="0.3">
      <c r="B864" s="30" t="str">
        <f>IF(A864="","",IFERROR(INDEX(Maniobras!$B$5:$B$504,MATCH(A864,Maniobras!$A$5:$A$504,0)),""))</f>
        <v/>
      </c>
      <c r="C864" t="str">
        <f t="shared" si="26"/>
        <v/>
      </c>
      <c r="D864" t="str">
        <f>IF(A864="","",IFERROR(INDEX(Maniobras!$D$5:$D$504,MATCH(A864,Maniobras!$A$5:$A$504,0)),""))</f>
        <v/>
      </c>
      <c r="F864" s="29" t="str">
        <f>IF(A864="","",IFERROR(INDEX(Maniobras!$K$5:$K$504,MATCH(A864,Maniobras!$A$5:$A$504,0)),""))</f>
        <v/>
      </c>
      <c r="G864" s="29"/>
      <c r="H864" s="29"/>
      <c r="I864" s="29" t="str">
        <f t="shared" si="27"/>
        <v/>
      </c>
      <c r="K864" s="30"/>
      <c r="M864" t="str">
        <f>IF($A864=Ficha!$B$3,COUNTIF($A$5:$A864,Ficha!$B$3),"")</f>
        <v/>
      </c>
    </row>
    <row r="865" spans="2:13" x14ac:dyDescent="0.3">
      <c r="B865" s="30" t="str">
        <f>IF(A865="","",IFERROR(INDEX(Maniobras!$B$5:$B$504,MATCH(A865,Maniobras!$A$5:$A$504,0)),""))</f>
        <v/>
      </c>
      <c r="C865" t="str">
        <f t="shared" si="26"/>
        <v/>
      </c>
      <c r="D865" t="str">
        <f>IF(A865="","",IFERROR(INDEX(Maniobras!$D$5:$D$504,MATCH(A865,Maniobras!$A$5:$A$504,0)),""))</f>
        <v/>
      </c>
      <c r="F865" s="29" t="str">
        <f>IF(A865="","",IFERROR(INDEX(Maniobras!$K$5:$K$504,MATCH(A865,Maniobras!$A$5:$A$504,0)),""))</f>
        <v/>
      </c>
      <c r="G865" s="29"/>
      <c r="H865" s="29"/>
      <c r="I865" s="29" t="str">
        <f t="shared" si="27"/>
        <v/>
      </c>
      <c r="K865" s="30"/>
      <c r="M865" t="str">
        <f>IF($A865=Ficha!$B$3,COUNTIF($A$5:$A865,Ficha!$B$3),"")</f>
        <v/>
      </c>
    </row>
    <row r="866" spans="2:13" x14ac:dyDescent="0.3">
      <c r="B866" s="30" t="str">
        <f>IF(A866="","",IFERROR(INDEX(Maniobras!$B$5:$B$504,MATCH(A866,Maniobras!$A$5:$A$504,0)),""))</f>
        <v/>
      </c>
      <c r="C866" t="str">
        <f t="shared" si="26"/>
        <v/>
      </c>
      <c r="D866" t="str">
        <f>IF(A866="","",IFERROR(INDEX(Maniobras!$D$5:$D$504,MATCH(A866,Maniobras!$A$5:$A$504,0)),""))</f>
        <v/>
      </c>
      <c r="F866" s="29" t="str">
        <f>IF(A866="","",IFERROR(INDEX(Maniobras!$K$5:$K$504,MATCH(A866,Maniobras!$A$5:$A$504,0)),""))</f>
        <v/>
      </c>
      <c r="G866" s="29"/>
      <c r="H866" s="29"/>
      <c r="I866" s="29" t="str">
        <f t="shared" si="27"/>
        <v/>
      </c>
      <c r="K866" s="30"/>
      <c r="M866" t="str">
        <f>IF($A866=Ficha!$B$3,COUNTIF($A$5:$A866,Ficha!$B$3),"")</f>
        <v/>
      </c>
    </row>
    <row r="867" spans="2:13" x14ac:dyDescent="0.3">
      <c r="B867" s="30" t="str">
        <f>IF(A867="","",IFERROR(INDEX(Maniobras!$B$5:$B$504,MATCH(A867,Maniobras!$A$5:$A$504,0)),""))</f>
        <v/>
      </c>
      <c r="C867" t="str">
        <f t="shared" si="26"/>
        <v/>
      </c>
      <c r="D867" t="str">
        <f>IF(A867="","",IFERROR(INDEX(Maniobras!$D$5:$D$504,MATCH(A867,Maniobras!$A$5:$A$504,0)),""))</f>
        <v/>
      </c>
      <c r="F867" s="29" t="str">
        <f>IF(A867="","",IFERROR(INDEX(Maniobras!$K$5:$K$504,MATCH(A867,Maniobras!$A$5:$A$504,0)),""))</f>
        <v/>
      </c>
      <c r="G867" s="29"/>
      <c r="H867" s="29"/>
      <c r="I867" s="29" t="str">
        <f t="shared" si="27"/>
        <v/>
      </c>
      <c r="K867" s="30"/>
      <c r="M867" t="str">
        <f>IF($A867=Ficha!$B$3,COUNTIF($A$5:$A867,Ficha!$B$3),"")</f>
        <v/>
      </c>
    </row>
    <row r="868" spans="2:13" x14ac:dyDescent="0.3">
      <c r="B868" s="30" t="str">
        <f>IF(A868="","",IFERROR(INDEX(Maniobras!$B$5:$B$504,MATCH(A868,Maniobras!$A$5:$A$504,0)),""))</f>
        <v/>
      </c>
      <c r="C868" t="str">
        <f t="shared" si="26"/>
        <v/>
      </c>
      <c r="D868" t="str">
        <f>IF(A868="","",IFERROR(INDEX(Maniobras!$D$5:$D$504,MATCH(A868,Maniobras!$A$5:$A$504,0)),""))</f>
        <v/>
      </c>
      <c r="F868" s="29" t="str">
        <f>IF(A868="","",IFERROR(INDEX(Maniobras!$K$5:$K$504,MATCH(A868,Maniobras!$A$5:$A$504,0)),""))</f>
        <v/>
      </c>
      <c r="G868" s="29"/>
      <c r="H868" s="29"/>
      <c r="I868" s="29" t="str">
        <f t="shared" si="27"/>
        <v/>
      </c>
      <c r="K868" s="30"/>
      <c r="M868" t="str">
        <f>IF($A868=Ficha!$B$3,COUNTIF($A$5:$A868,Ficha!$B$3),"")</f>
        <v/>
      </c>
    </row>
    <row r="869" spans="2:13" x14ac:dyDescent="0.3">
      <c r="B869" s="30" t="str">
        <f>IF(A869="","",IFERROR(INDEX(Maniobras!$B$5:$B$504,MATCH(A869,Maniobras!$A$5:$A$504,0)),""))</f>
        <v/>
      </c>
      <c r="C869" t="str">
        <f t="shared" si="26"/>
        <v/>
      </c>
      <c r="D869" t="str">
        <f>IF(A869="","",IFERROR(INDEX(Maniobras!$D$5:$D$504,MATCH(A869,Maniobras!$A$5:$A$504,0)),""))</f>
        <v/>
      </c>
      <c r="F869" s="29" t="str">
        <f>IF(A869="","",IFERROR(INDEX(Maniobras!$K$5:$K$504,MATCH(A869,Maniobras!$A$5:$A$504,0)),""))</f>
        <v/>
      </c>
      <c r="G869" s="29"/>
      <c r="H869" s="29"/>
      <c r="I869" s="29" t="str">
        <f t="shared" si="27"/>
        <v/>
      </c>
      <c r="K869" s="30"/>
      <c r="M869" t="str">
        <f>IF($A869=Ficha!$B$3,COUNTIF($A$5:$A869,Ficha!$B$3),"")</f>
        <v/>
      </c>
    </row>
    <row r="870" spans="2:13" x14ac:dyDescent="0.3">
      <c r="B870" s="30" t="str">
        <f>IF(A870="","",IFERROR(INDEX(Maniobras!$B$5:$B$504,MATCH(A870,Maniobras!$A$5:$A$504,0)),""))</f>
        <v/>
      </c>
      <c r="C870" t="str">
        <f t="shared" si="26"/>
        <v/>
      </c>
      <c r="D870" t="str">
        <f>IF(A870="","",IFERROR(INDEX(Maniobras!$D$5:$D$504,MATCH(A870,Maniobras!$A$5:$A$504,0)),""))</f>
        <v/>
      </c>
      <c r="F870" s="29" t="str">
        <f>IF(A870="","",IFERROR(INDEX(Maniobras!$K$5:$K$504,MATCH(A870,Maniobras!$A$5:$A$504,0)),""))</f>
        <v/>
      </c>
      <c r="G870" s="29"/>
      <c r="H870" s="29"/>
      <c r="I870" s="29" t="str">
        <f t="shared" si="27"/>
        <v/>
      </c>
      <c r="K870" s="30"/>
      <c r="M870" t="str">
        <f>IF($A870=Ficha!$B$3,COUNTIF($A$5:$A870,Ficha!$B$3),"")</f>
        <v/>
      </c>
    </row>
    <row r="871" spans="2:13" x14ac:dyDescent="0.3">
      <c r="B871" s="30" t="str">
        <f>IF(A871="","",IFERROR(INDEX(Maniobras!$B$5:$B$504,MATCH(A871,Maniobras!$A$5:$A$504,0)),""))</f>
        <v/>
      </c>
      <c r="C871" t="str">
        <f t="shared" si="26"/>
        <v/>
      </c>
      <c r="D871" t="str">
        <f>IF(A871="","",IFERROR(INDEX(Maniobras!$D$5:$D$504,MATCH(A871,Maniobras!$A$5:$A$504,0)),""))</f>
        <v/>
      </c>
      <c r="F871" s="29" t="str">
        <f>IF(A871="","",IFERROR(INDEX(Maniobras!$K$5:$K$504,MATCH(A871,Maniobras!$A$5:$A$504,0)),""))</f>
        <v/>
      </c>
      <c r="G871" s="29"/>
      <c r="H871" s="29"/>
      <c r="I871" s="29" t="str">
        <f t="shared" si="27"/>
        <v/>
      </c>
      <c r="K871" s="30"/>
      <c r="M871" t="str">
        <f>IF($A871=Ficha!$B$3,COUNTIF($A$5:$A871,Ficha!$B$3),"")</f>
        <v/>
      </c>
    </row>
    <row r="872" spans="2:13" x14ac:dyDescent="0.3">
      <c r="B872" s="30" t="str">
        <f>IF(A872="","",IFERROR(INDEX(Maniobras!$B$5:$B$504,MATCH(A872,Maniobras!$A$5:$A$504,0)),""))</f>
        <v/>
      </c>
      <c r="C872" t="str">
        <f t="shared" si="26"/>
        <v/>
      </c>
      <c r="D872" t="str">
        <f>IF(A872="","",IFERROR(INDEX(Maniobras!$D$5:$D$504,MATCH(A872,Maniobras!$A$5:$A$504,0)),""))</f>
        <v/>
      </c>
      <c r="F872" s="29" t="str">
        <f>IF(A872="","",IFERROR(INDEX(Maniobras!$K$5:$K$504,MATCH(A872,Maniobras!$A$5:$A$504,0)),""))</f>
        <v/>
      </c>
      <c r="G872" s="29"/>
      <c r="H872" s="29"/>
      <c r="I872" s="29" t="str">
        <f t="shared" si="27"/>
        <v/>
      </c>
      <c r="K872" s="30"/>
      <c r="M872" t="str">
        <f>IF($A872=Ficha!$B$3,COUNTIF($A$5:$A872,Ficha!$B$3),"")</f>
        <v/>
      </c>
    </row>
    <row r="873" spans="2:13" x14ac:dyDescent="0.3">
      <c r="B873" s="30" t="str">
        <f>IF(A873="","",IFERROR(INDEX(Maniobras!$B$5:$B$504,MATCH(A873,Maniobras!$A$5:$A$504,0)),""))</f>
        <v/>
      </c>
      <c r="C873" t="str">
        <f t="shared" si="26"/>
        <v/>
      </c>
      <c r="D873" t="str">
        <f>IF(A873="","",IFERROR(INDEX(Maniobras!$D$5:$D$504,MATCH(A873,Maniobras!$A$5:$A$504,0)),""))</f>
        <v/>
      </c>
      <c r="F873" s="29" t="str">
        <f>IF(A873="","",IFERROR(INDEX(Maniobras!$K$5:$K$504,MATCH(A873,Maniobras!$A$5:$A$504,0)),""))</f>
        <v/>
      </c>
      <c r="G873" s="29"/>
      <c r="H873" s="29"/>
      <c r="I873" s="29" t="str">
        <f t="shared" si="27"/>
        <v/>
      </c>
      <c r="K873" s="30"/>
      <c r="M873" t="str">
        <f>IF($A873=Ficha!$B$3,COUNTIF($A$5:$A873,Ficha!$B$3),"")</f>
        <v/>
      </c>
    </row>
    <row r="874" spans="2:13" x14ac:dyDescent="0.3">
      <c r="B874" s="30" t="str">
        <f>IF(A874="","",IFERROR(INDEX(Maniobras!$B$5:$B$504,MATCH(A874,Maniobras!$A$5:$A$504,0)),""))</f>
        <v/>
      </c>
      <c r="C874" t="str">
        <f t="shared" si="26"/>
        <v/>
      </c>
      <c r="D874" t="str">
        <f>IF(A874="","",IFERROR(INDEX(Maniobras!$D$5:$D$504,MATCH(A874,Maniobras!$A$5:$A$504,0)),""))</f>
        <v/>
      </c>
      <c r="F874" s="29" t="str">
        <f>IF(A874="","",IFERROR(INDEX(Maniobras!$K$5:$K$504,MATCH(A874,Maniobras!$A$5:$A$504,0)),""))</f>
        <v/>
      </c>
      <c r="G874" s="29"/>
      <c r="H874" s="29"/>
      <c r="I874" s="29" t="str">
        <f t="shared" si="27"/>
        <v/>
      </c>
      <c r="K874" s="30"/>
      <c r="M874" t="str">
        <f>IF($A874=Ficha!$B$3,COUNTIF($A$5:$A874,Ficha!$B$3),"")</f>
        <v/>
      </c>
    </row>
    <row r="875" spans="2:13" x14ac:dyDescent="0.3">
      <c r="B875" s="30" t="str">
        <f>IF(A875="","",IFERROR(INDEX(Maniobras!$B$5:$B$504,MATCH(A875,Maniobras!$A$5:$A$504,0)),""))</f>
        <v/>
      </c>
      <c r="C875" t="str">
        <f t="shared" si="26"/>
        <v/>
      </c>
      <c r="D875" t="str">
        <f>IF(A875="","",IFERROR(INDEX(Maniobras!$D$5:$D$504,MATCH(A875,Maniobras!$A$5:$A$504,0)),""))</f>
        <v/>
      </c>
      <c r="F875" s="29" t="str">
        <f>IF(A875="","",IFERROR(INDEX(Maniobras!$K$5:$K$504,MATCH(A875,Maniobras!$A$5:$A$504,0)),""))</f>
        <v/>
      </c>
      <c r="G875" s="29"/>
      <c r="H875" s="29"/>
      <c r="I875" s="29" t="str">
        <f t="shared" si="27"/>
        <v/>
      </c>
      <c r="K875" s="30"/>
      <c r="M875" t="str">
        <f>IF($A875=Ficha!$B$3,COUNTIF($A$5:$A875,Ficha!$B$3),"")</f>
        <v/>
      </c>
    </row>
    <row r="876" spans="2:13" x14ac:dyDescent="0.3">
      <c r="B876" s="30" t="str">
        <f>IF(A876="","",IFERROR(INDEX(Maniobras!$B$5:$B$504,MATCH(A876,Maniobras!$A$5:$A$504,0)),""))</f>
        <v/>
      </c>
      <c r="C876" t="str">
        <f t="shared" si="26"/>
        <v/>
      </c>
      <c r="D876" t="str">
        <f>IF(A876="","",IFERROR(INDEX(Maniobras!$D$5:$D$504,MATCH(A876,Maniobras!$A$5:$A$504,0)),""))</f>
        <v/>
      </c>
      <c r="F876" s="29" t="str">
        <f>IF(A876="","",IFERROR(INDEX(Maniobras!$K$5:$K$504,MATCH(A876,Maniobras!$A$5:$A$504,0)),""))</f>
        <v/>
      </c>
      <c r="G876" s="29"/>
      <c r="H876" s="29"/>
      <c r="I876" s="29" t="str">
        <f t="shared" si="27"/>
        <v/>
      </c>
      <c r="K876" s="30"/>
      <c r="M876" t="str">
        <f>IF($A876=Ficha!$B$3,COUNTIF($A$5:$A876,Ficha!$B$3),"")</f>
        <v/>
      </c>
    </row>
    <row r="877" spans="2:13" x14ac:dyDescent="0.3">
      <c r="B877" s="30" t="str">
        <f>IF(A877="","",IFERROR(INDEX(Maniobras!$B$5:$B$504,MATCH(A877,Maniobras!$A$5:$A$504,0)),""))</f>
        <v/>
      </c>
      <c r="C877" t="str">
        <f t="shared" si="26"/>
        <v/>
      </c>
      <c r="D877" t="str">
        <f>IF(A877="","",IFERROR(INDEX(Maniobras!$D$5:$D$504,MATCH(A877,Maniobras!$A$5:$A$504,0)),""))</f>
        <v/>
      </c>
      <c r="F877" s="29" t="str">
        <f>IF(A877="","",IFERROR(INDEX(Maniobras!$K$5:$K$504,MATCH(A877,Maniobras!$A$5:$A$504,0)),""))</f>
        <v/>
      </c>
      <c r="G877" s="29"/>
      <c r="H877" s="29"/>
      <c r="I877" s="29" t="str">
        <f t="shared" si="27"/>
        <v/>
      </c>
      <c r="K877" s="30"/>
      <c r="M877" t="str">
        <f>IF($A877=Ficha!$B$3,COUNTIF($A$5:$A877,Ficha!$B$3),"")</f>
        <v/>
      </c>
    </row>
    <row r="878" spans="2:13" x14ac:dyDescent="0.3">
      <c r="B878" s="30" t="str">
        <f>IF(A878="","",IFERROR(INDEX(Maniobras!$B$5:$B$504,MATCH(A878,Maniobras!$A$5:$A$504,0)),""))</f>
        <v/>
      </c>
      <c r="C878" t="str">
        <f t="shared" si="26"/>
        <v/>
      </c>
      <c r="D878" t="str">
        <f>IF(A878="","",IFERROR(INDEX(Maniobras!$D$5:$D$504,MATCH(A878,Maniobras!$A$5:$A$504,0)),""))</f>
        <v/>
      </c>
      <c r="F878" s="29" t="str">
        <f>IF(A878="","",IFERROR(INDEX(Maniobras!$K$5:$K$504,MATCH(A878,Maniobras!$A$5:$A$504,0)),""))</f>
        <v/>
      </c>
      <c r="G878" s="29"/>
      <c r="H878" s="29"/>
      <c r="I878" s="29" t="str">
        <f t="shared" si="27"/>
        <v/>
      </c>
      <c r="K878" s="30"/>
      <c r="M878" t="str">
        <f>IF($A878=Ficha!$B$3,COUNTIF($A$5:$A878,Ficha!$B$3),"")</f>
        <v/>
      </c>
    </row>
    <row r="879" spans="2:13" x14ac:dyDescent="0.3">
      <c r="B879" s="30" t="str">
        <f>IF(A879="","",IFERROR(INDEX(Maniobras!$B$5:$B$504,MATCH(A879,Maniobras!$A$5:$A$504,0)),""))</f>
        <v/>
      </c>
      <c r="C879" t="str">
        <f t="shared" si="26"/>
        <v/>
      </c>
      <c r="D879" t="str">
        <f>IF(A879="","",IFERROR(INDEX(Maniobras!$D$5:$D$504,MATCH(A879,Maniobras!$A$5:$A$504,0)),""))</f>
        <v/>
      </c>
      <c r="F879" s="29" t="str">
        <f>IF(A879="","",IFERROR(INDEX(Maniobras!$K$5:$K$504,MATCH(A879,Maniobras!$A$5:$A$504,0)),""))</f>
        <v/>
      </c>
      <c r="G879" s="29"/>
      <c r="H879" s="29"/>
      <c r="I879" s="29" t="str">
        <f t="shared" si="27"/>
        <v/>
      </c>
      <c r="K879" s="30"/>
      <c r="M879" t="str">
        <f>IF($A879=Ficha!$B$3,COUNTIF($A$5:$A879,Ficha!$B$3),"")</f>
        <v/>
      </c>
    </row>
    <row r="880" spans="2:13" x14ac:dyDescent="0.3">
      <c r="B880" s="30" t="str">
        <f>IF(A880="","",IFERROR(INDEX(Maniobras!$B$5:$B$504,MATCH(A880,Maniobras!$A$5:$A$504,0)),""))</f>
        <v/>
      </c>
      <c r="C880" t="str">
        <f t="shared" si="26"/>
        <v/>
      </c>
      <c r="D880" t="str">
        <f>IF(A880="","",IFERROR(INDEX(Maniobras!$D$5:$D$504,MATCH(A880,Maniobras!$A$5:$A$504,0)),""))</f>
        <v/>
      </c>
      <c r="F880" s="29" t="str">
        <f>IF(A880="","",IFERROR(INDEX(Maniobras!$K$5:$K$504,MATCH(A880,Maniobras!$A$5:$A$504,0)),""))</f>
        <v/>
      </c>
      <c r="G880" s="29"/>
      <c r="H880" s="29"/>
      <c r="I880" s="29" t="str">
        <f t="shared" si="27"/>
        <v/>
      </c>
      <c r="K880" s="30"/>
      <c r="M880" t="str">
        <f>IF($A880=Ficha!$B$3,COUNTIF($A$5:$A880,Ficha!$B$3),"")</f>
        <v/>
      </c>
    </row>
    <row r="881" spans="2:13" x14ac:dyDescent="0.3">
      <c r="B881" s="30" t="str">
        <f>IF(A881="","",IFERROR(INDEX(Maniobras!$B$5:$B$504,MATCH(A881,Maniobras!$A$5:$A$504,0)),""))</f>
        <v/>
      </c>
      <c r="C881" t="str">
        <f t="shared" si="26"/>
        <v/>
      </c>
      <c r="D881" t="str">
        <f>IF(A881="","",IFERROR(INDEX(Maniobras!$D$5:$D$504,MATCH(A881,Maniobras!$A$5:$A$504,0)),""))</f>
        <v/>
      </c>
      <c r="F881" s="29" t="str">
        <f>IF(A881="","",IFERROR(INDEX(Maniobras!$K$5:$K$504,MATCH(A881,Maniobras!$A$5:$A$504,0)),""))</f>
        <v/>
      </c>
      <c r="G881" s="29"/>
      <c r="H881" s="29"/>
      <c r="I881" s="29" t="str">
        <f t="shared" si="27"/>
        <v/>
      </c>
      <c r="K881" s="30"/>
      <c r="M881" t="str">
        <f>IF($A881=Ficha!$B$3,COUNTIF($A$5:$A881,Ficha!$B$3),"")</f>
        <v/>
      </c>
    </row>
    <row r="882" spans="2:13" x14ac:dyDescent="0.3">
      <c r="B882" s="30" t="str">
        <f>IF(A882="","",IFERROR(INDEX(Maniobras!$B$5:$B$504,MATCH(A882,Maniobras!$A$5:$A$504,0)),""))</f>
        <v/>
      </c>
      <c r="C882" t="str">
        <f t="shared" si="26"/>
        <v/>
      </c>
      <c r="D882" t="str">
        <f>IF(A882="","",IFERROR(INDEX(Maniobras!$D$5:$D$504,MATCH(A882,Maniobras!$A$5:$A$504,0)),""))</f>
        <v/>
      </c>
      <c r="F882" s="29" t="str">
        <f>IF(A882="","",IFERROR(INDEX(Maniobras!$K$5:$K$504,MATCH(A882,Maniobras!$A$5:$A$504,0)),""))</f>
        <v/>
      </c>
      <c r="G882" s="29"/>
      <c r="H882" s="29"/>
      <c r="I882" s="29" t="str">
        <f t="shared" si="27"/>
        <v/>
      </c>
      <c r="K882" s="30"/>
      <c r="M882" t="str">
        <f>IF($A882=Ficha!$B$3,COUNTIF($A$5:$A882,Ficha!$B$3),"")</f>
        <v/>
      </c>
    </row>
    <row r="883" spans="2:13" x14ac:dyDescent="0.3">
      <c r="B883" s="30" t="str">
        <f>IF(A883="","",IFERROR(INDEX(Maniobras!$B$5:$B$504,MATCH(A883,Maniobras!$A$5:$A$504,0)),""))</f>
        <v/>
      </c>
      <c r="C883" t="str">
        <f t="shared" si="26"/>
        <v/>
      </c>
      <c r="D883" t="str">
        <f>IF(A883="","",IFERROR(INDEX(Maniobras!$D$5:$D$504,MATCH(A883,Maniobras!$A$5:$A$504,0)),""))</f>
        <v/>
      </c>
      <c r="F883" s="29" t="str">
        <f>IF(A883="","",IFERROR(INDEX(Maniobras!$K$5:$K$504,MATCH(A883,Maniobras!$A$5:$A$504,0)),""))</f>
        <v/>
      </c>
      <c r="G883" s="29"/>
      <c r="H883" s="29"/>
      <c r="I883" s="29" t="str">
        <f t="shared" si="27"/>
        <v/>
      </c>
      <c r="K883" s="30"/>
      <c r="M883" t="str">
        <f>IF($A883=Ficha!$B$3,COUNTIF($A$5:$A883,Ficha!$B$3),"")</f>
        <v/>
      </c>
    </row>
    <row r="884" spans="2:13" x14ac:dyDescent="0.3">
      <c r="B884" s="30" t="str">
        <f>IF(A884="","",IFERROR(INDEX(Maniobras!$B$5:$B$504,MATCH(A884,Maniobras!$A$5:$A$504,0)),""))</f>
        <v/>
      </c>
      <c r="C884" t="str">
        <f t="shared" si="26"/>
        <v/>
      </c>
      <c r="D884" t="str">
        <f>IF(A884="","",IFERROR(INDEX(Maniobras!$D$5:$D$504,MATCH(A884,Maniobras!$A$5:$A$504,0)),""))</f>
        <v/>
      </c>
      <c r="F884" s="29" t="str">
        <f>IF(A884="","",IFERROR(INDEX(Maniobras!$K$5:$K$504,MATCH(A884,Maniobras!$A$5:$A$504,0)),""))</f>
        <v/>
      </c>
      <c r="G884" s="29"/>
      <c r="H884" s="29"/>
      <c r="I884" s="29" t="str">
        <f t="shared" si="27"/>
        <v/>
      </c>
      <c r="K884" s="30"/>
      <c r="M884" t="str">
        <f>IF($A884=Ficha!$B$3,COUNTIF($A$5:$A884,Ficha!$B$3),"")</f>
        <v/>
      </c>
    </row>
    <row r="885" spans="2:13" x14ac:dyDescent="0.3">
      <c r="B885" s="30" t="str">
        <f>IF(A885="","",IFERROR(INDEX(Maniobras!$B$5:$B$504,MATCH(A885,Maniobras!$A$5:$A$504,0)),""))</f>
        <v/>
      </c>
      <c r="C885" t="str">
        <f t="shared" si="26"/>
        <v/>
      </c>
      <c r="D885" t="str">
        <f>IF(A885="","",IFERROR(INDEX(Maniobras!$D$5:$D$504,MATCH(A885,Maniobras!$A$5:$A$504,0)),""))</f>
        <v/>
      </c>
      <c r="F885" s="29" t="str">
        <f>IF(A885="","",IFERROR(INDEX(Maniobras!$K$5:$K$504,MATCH(A885,Maniobras!$A$5:$A$504,0)),""))</f>
        <v/>
      </c>
      <c r="G885" s="29"/>
      <c r="H885" s="29"/>
      <c r="I885" s="29" t="str">
        <f t="shared" si="27"/>
        <v/>
      </c>
      <c r="K885" s="30"/>
      <c r="M885" t="str">
        <f>IF($A885=Ficha!$B$3,COUNTIF($A$5:$A885,Ficha!$B$3),"")</f>
        <v/>
      </c>
    </row>
    <row r="886" spans="2:13" x14ac:dyDescent="0.3">
      <c r="B886" s="30" t="str">
        <f>IF(A886="","",IFERROR(INDEX(Maniobras!$B$5:$B$504,MATCH(A886,Maniobras!$A$5:$A$504,0)),""))</f>
        <v/>
      </c>
      <c r="C886" t="str">
        <f t="shared" si="26"/>
        <v/>
      </c>
      <c r="D886" t="str">
        <f>IF(A886="","",IFERROR(INDEX(Maniobras!$D$5:$D$504,MATCH(A886,Maniobras!$A$5:$A$504,0)),""))</f>
        <v/>
      </c>
      <c r="F886" s="29" t="str">
        <f>IF(A886="","",IFERROR(INDEX(Maniobras!$K$5:$K$504,MATCH(A886,Maniobras!$A$5:$A$504,0)),""))</f>
        <v/>
      </c>
      <c r="G886" s="29"/>
      <c r="H886" s="29"/>
      <c r="I886" s="29" t="str">
        <f t="shared" si="27"/>
        <v/>
      </c>
      <c r="K886" s="30"/>
      <c r="M886" t="str">
        <f>IF($A886=Ficha!$B$3,COUNTIF($A$5:$A886,Ficha!$B$3),"")</f>
        <v/>
      </c>
    </row>
    <row r="887" spans="2:13" x14ac:dyDescent="0.3">
      <c r="B887" s="30" t="str">
        <f>IF(A887="","",IFERROR(INDEX(Maniobras!$B$5:$B$504,MATCH(A887,Maniobras!$A$5:$A$504,0)),""))</f>
        <v/>
      </c>
      <c r="C887" t="str">
        <f t="shared" si="26"/>
        <v/>
      </c>
      <c r="D887" t="str">
        <f>IF(A887="","",IFERROR(INDEX(Maniobras!$D$5:$D$504,MATCH(A887,Maniobras!$A$5:$A$504,0)),""))</f>
        <v/>
      </c>
      <c r="F887" s="29" t="str">
        <f>IF(A887="","",IFERROR(INDEX(Maniobras!$K$5:$K$504,MATCH(A887,Maniobras!$A$5:$A$504,0)),""))</f>
        <v/>
      </c>
      <c r="G887" s="29"/>
      <c r="H887" s="29"/>
      <c r="I887" s="29" t="str">
        <f t="shared" si="27"/>
        <v/>
      </c>
      <c r="K887" s="30"/>
      <c r="M887" t="str">
        <f>IF($A887=Ficha!$B$3,COUNTIF($A$5:$A887,Ficha!$B$3),"")</f>
        <v/>
      </c>
    </row>
    <row r="888" spans="2:13" x14ac:dyDescent="0.3">
      <c r="B888" s="30" t="str">
        <f>IF(A888="","",IFERROR(INDEX(Maniobras!$B$5:$B$504,MATCH(A888,Maniobras!$A$5:$A$504,0)),""))</f>
        <v/>
      </c>
      <c r="C888" t="str">
        <f t="shared" si="26"/>
        <v/>
      </c>
      <c r="D888" t="str">
        <f>IF(A888="","",IFERROR(INDEX(Maniobras!$D$5:$D$504,MATCH(A888,Maniobras!$A$5:$A$504,0)),""))</f>
        <v/>
      </c>
      <c r="F888" s="29" t="str">
        <f>IF(A888="","",IFERROR(INDEX(Maniobras!$K$5:$K$504,MATCH(A888,Maniobras!$A$5:$A$504,0)),""))</f>
        <v/>
      </c>
      <c r="G888" s="29"/>
      <c r="H888" s="29"/>
      <c r="I888" s="29" t="str">
        <f t="shared" si="27"/>
        <v/>
      </c>
      <c r="K888" s="30"/>
      <c r="M888" t="str">
        <f>IF($A888=Ficha!$B$3,COUNTIF($A$5:$A888,Ficha!$B$3),"")</f>
        <v/>
      </c>
    </row>
    <row r="889" spans="2:13" x14ac:dyDescent="0.3">
      <c r="B889" s="30" t="str">
        <f>IF(A889="","",IFERROR(INDEX(Maniobras!$B$5:$B$504,MATCH(A889,Maniobras!$A$5:$A$504,0)),""))</f>
        <v/>
      </c>
      <c r="C889" t="str">
        <f t="shared" si="26"/>
        <v/>
      </c>
      <c r="D889" t="str">
        <f>IF(A889="","",IFERROR(INDEX(Maniobras!$D$5:$D$504,MATCH(A889,Maniobras!$A$5:$A$504,0)),""))</f>
        <v/>
      </c>
      <c r="F889" s="29" t="str">
        <f>IF(A889="","",IFERROR(INDEX(Maniobras!$K$5:$K$504,MATCH(A889,Maniobras!$A$5:$A$504,0)),""))</f>
        <v/>
      </c>
      <c r="G889" s="29"/>
      <c r="H889" s="29"/>
      <c r="I889" s="29" t="str">
        <f t="shared" si="27"/>
        <v/>
      </c>
      <c r="K889" s="30"/>
      <c r="M889" t="str">
        <f>IF($A889=Ficha!$B$3,COUNTIF($A$5:$A889,Ficha!$B$3),"")</f>
        <v/>
      </c>
    </row>
    <row r="890" spans="2:13" x14ac:dyDescent="0.3">
      <c r="B890" s="30" t="str">
        <f>IF(A890="","",IFERROR(INDEX(Maniobras!$B$5:$B$504,MATCH(A890,Maniobras!$A$5:$A$504,0)),""))</f>
        <v/>
      </c>
      <c r="C890" t="str">
        <f t="shared" si="26"/>
        <v/>
      </c>
      <c r="D890" t="str">
        <f>IF(A890="","",IFERROR(INDEX(Maniobras!$D$5:$D$504,MATCH(A890,Maniobras!$A$5:$A$504,0)),""))</f>
        <v/>
      </c>
      <c r="F890" s="29" t="str">
        <f>IF(A890="","",IFERROR(INDEX(Maniobras!$K$5:$K$504,MATCH(A890,Maniobras!$A$5:$A$504,0)),""))</f>
        <v/>
      </c>
      <c r="G890" s="29"/>
      <c r="H890" s="29"/>
      <c r="I890" s="29" t="str">
        <f t="shared" si="27"/>
        <v/>
      </c>
      <c r="K890" s="30"/>
      <c r="M890" t="str">
        <f>IF($A890=Ficha!$B$3,COUNTIF($A$5:$A890,Ficha!$B$3),"")</f>
        <v/>
      </c>
    </row>
    <row r="891" spans="2:13" x14ac:dyDescent="0.3">
      <c r="B891" s="30" t="str">
        <f>IF(A891="","",IFERROR(INDEX(Maniobras!$B$5:$B$504,MATCH(A891,Maniobras!$A$5:$A$504,0)),""))</f>
        <v/>
      </c>
      <c r="C891" t="str">
        <f t="shared" si="26"/>
        <v/>
      </c>
      <c r="D891" t="str">
        <f>IF(A891="","",IFERROR(INDEX(Maniobras!$D$5:$D$504,MATCH(A891,Maniobras!$A$5:$A$504,0)),""))</f>
        <v/>
      </c>
      <c r="F891" s="29" t="str">
        <f>IF(A891="","",IFERROR(INDEX(Maniobras!$K$5:$K$504,MATCH(A891,Maniobras!$A$5:$A$504,0)),""))</f>
        <v/>
      </c>
      <c r="G891" s="29"/>
      <c r="H891" s="29"/>
      <c r="I891" s="29" t="str">
        <f t="shared" si="27"/>
        <v/>
      </c>
      <c r="K891" s="30"/>
      <c r="M891" t="str">
        <f>IF($A891=Ficha!$B$3,COUNTIF($A$5:$A891,Ficha!$B$3),"")</f>
        <v/>
      </c>
    </row>
    <row r="892" spans="2:13" x14ac:dyDescent="0.3">
      <c r="B892" s="30" t="str">
        <f>IF(A892="","",IFERROR(INDEX(Maniobras!$B$5:$B$504,MATCH(A892,Maniobras!$A$5:$A$504,0)),""))</f>
        <v/>
      </c>
      <c r="C892" t="str">
        <f t="shared" si="26"/>
        <v/>
      </c>
      <c r="D892" t="str">
        <f>IF(A892="","",IFERROR(INDEX(Maniobras!$D$5:$D$504,MATCH(A892,Maniobras!$A$5:$A$504,0)),""))</f>
        <v/>
      </c>
      <c r="F892" s="29" t="str">
        <f>IF(A892="","",IFERROR(INDEX(Maniobras!$K$5:$K$504,MATCH(A892,Maniobras!$A$5:$A$504,0)),""))</f>
        <v/>
      </c>
      <c r="G892" s="29"/>
      <c r="H892" s="29"/>
      <c r="I892" s="29" t="str">
        <f t="shared" si="27"/>
        <v/>
      </c>
      <c r="K892" s="30"/>
      <c r="M892" t="str">
        <f>IF($A892=Ficha!$B$3,COUNTIF($A$5:$A892,Ficha!$B$3),"")</f>
        <v/>
      </c>
    </row>
    <row r="893" spans="2:13" x14ac:dyDescent="0.3">
      <c r="B893" s="30" t="str">
        <f>IF(A893="","",IFERROR(INDEX(Maniobras!$B$5:$B$504,MATCH(A893,Maniobras!$A$5:$A$504,0)),""))</f>
        <v/>
      </c>
      <c r="C893" t="str">
        <f t="shared" si="26"/>
        <v/>
      </c>
      <c r="D893" t="str">
        <f>IF(A893="","",IFERROR(INDEX(Maniobras!$D$5:$D$504,MATCH(A893,Maniobras!$A$5:$A$504,0)),""))</f>
        <v/>
      </c>
      <c r="F893" s="29" t="str">
        <f>IF(A893="","",IFERROR(INDEX(Maniobras!$K$5:$K$504,MATCH(A893,Maniobras!$A$5:$A$504,0)),""))</f>
        <v/>
      </c>
      <c r="G893" s="29"/>
      <c r="H893" s="29"/>
      <c r="I893" s="29" t="str">
        <f t="shared" si="27"/>
        <v/>
      </c>
      <c r="K893" s="30"/>
      <c r="M893" t="str">
        <f>IF($A893=Ficha!$B$3,COUNTIF($A$5:$A893,Ficha!$B$3),"")</f>
        <v/>
      </c>
    </row>
    <row r="894" spans="2:13" x14ac:dyDescent="0.3">
      <c r="B894" s="30" t="str">
        <f>IF(A894="","",IFERROR(INDEX(Maniobras!$B$5:$B$504,MATCH(A894,Maniobras!$A$5:$A$504,0)),""))</f>
        <v/>
      </c>
      <c r="C894" t="str">
        <f t="shared" si="26"/>
        <v/>
      </c>
      <c r="D894" t="str">
        <f>IF(A894="","",IFERROR(INDEX(Maniobras!$D$5:$D$504,MATCH(A894,Maniobras!$A$5:$A$504,0)),""))</f>
        <v/>
      </c>
      <c r="F894" s="29" t="str">
        <f>IF(A894="","",IFERROR(INDEX(Maniobras!$K$5:$K$504,MATCH(A894,Maniobras!$A$5:$A$504,0)),""))</f>
        <v/>
      </c>
      <c r="G894" s="29"/>
      <c r="H894" s="29"/>
      <c r="I894" s="29" t="str">
        <f t="shared" si="27"/>
        <v/>
      </c>
      <c r="K894" s="30"/>
      <c r="M894" t="str">
        <f>IF($A894=Ficha!$B$3,COUNTIF($A$5:$A894,Ficha!$B$3),"")</f>
        <v/>
      </c>
    </row>
    <row r="895" spans="2:13" x14ac:dyDescent="0.3">
      <c r="B895" s="30" t="str">
        <f>IF(A895="","",IFERROR(INDEX(Maniobras!$B$5:$B$504,MATCH(A895,Maniobras!$A$5:$A$504,0)),""))</f>
        <v/>
      </c>
      <c r="C895" t="str">
        <f t="shared" si="26"/>
        <v/>
      </c>
      <c r="D895" t="str">
        <f>IF(A895="","",IFERROR(INDEX(Maniobras!$D$5:$D$504,MATCH(A895,Maniobras!$A$5:$A$504,0)),""))</f>
        <v/>
      </c>
      <c r="F895" s="29" t="str">
        <f>IF(A895="","",IFERROR(INDEX(Maniobras!$K$5:$K$504,MATCH(A895,Maniobras!$A$5:$A$504,0)),""))</f>
        <v/>
      </c>
      <c r="G895" s="29"/>
      <c r="H895" s="29"/>
      <c r="I895" s="29" t="str">
        <f t="shared" si="27"/>
        <v/>
      </c>
      <c r="K895" s="30"/>
      <c r="M895" t="str">
        <f>IF($A895=Ficha!$B$3,COUNTIF($A$5:$A895,Ficha!$B$3),"")</f>
        <v/>
      </c>
    </row>
    <row r="896" spans="2:13" x14ac:dyDescent="0.3">
      <c r="B896" s="30" t="str">
        <f>IF(A896="","",IFERROR(INDEX(Maniobras!$B$5:$B$504,MATCH(A896,Maniobras!$A$5:$A$504,0)),""))</f>
        <v/>
      </c>
      <c r="C896" t="str">
        <f t="shared" si="26"/>
        <v/>
      </c>
      <c r="D896" t="str">
        <f>IF(A896="","",IFERROR(INDEX(Maniobras!$D$5:$D$504,MATCH(A896,Maniobras!$A$5:$A$504,0)),""))</f>
        <v/>
      </c>
      <c r="F896" s="29" t="str">
        <f>IF(A896="","",IFERROR(INDEX(Maniobras!$K$5:$K$504,MATCH(A896,Maniobras!$A$5:$A$504,0)),""))</f>
        <v/>
      </c>
      <c r="G896" s="29"/>
      <c r="H896" s="29"/>
      <c r="I896" s="29" t="str">
        <f t="shared" si="27"/>
        <v/>
      </c>
      <c r="K896" s="30"/>
      <c r="M896" t="str">
        <f>IF($A896=Ficha!$B$3,COUNTIF($A$5:$A896,Ficha!$B$3),"")</f>
        <v/>
      </c>
    </row>
    <row r="897" spans="2:13" x14ac:dyDescent="0.3">
      <c r="B897" s="30" t="str">
        <f>IF(A897="","",IFERROR(INDEX(Maniobras!$B$5:$B$504,MATCH(A897,Maniobras!$A$5:$A$504,0)),""))</f>
        <v/>
      </c>
      <c r="C897" t="str">
        <f t="shared" si="26"/>
        <v/>
      </c>
      <c r="D897" t="str">
        <f>IF(A897="","",IFERROR(INDEX(Maniobras!$D$5:$D$504,MATCH(A897,Maniobras!$A$5:$A$504,0)),""))</f>
        <v/>
      </c>
      <c r="F897" s="29" t="str">
        <f>IF(A897="","",IFERROR(INDEX(Maniobras!$K$5:$K$504,MATCH(A897,Maniobras!$A$5:$A$504,0)),""))</f>
        <v/>
      </c>
      <c r="G897" s="29"/>
      <c r="H897" s="29"/>
      <c r="I897" s="29" t="str">
        <f t="shared" si="27"/>
        <v/>
      </c>
      <c r="K897" s="30"/>
      <c r="M897" t="str">
        <f>IF($A897=Ficha!$B$3,COUNTIF($A$5:$A897,Ficha!$B$3),"")</f>
        <v/>
      </c>
    </row>
    <row r="898" spans="2:13" x14ac:dyDescent="0.3">
      <c r="B898" s="30" t="str">
        <f>IF(A898="","",IFERROR(INDEX(Maniobras!$B$5:$B$504,MATCH(A898,Maniobras!$A$5:$A$504,0)),""))</f>
        <v/>
      </c>
      <c r="C898" t="str">
        <f t="shared" si="26"/>
        <v/>
      </c>
      <c r="D898" t="str">
        <f>IF(A898="","",IFERROR(INDEX(Maniobras!$D$5:$D$504,MATCH(A898,Maniobras!$A$5:$A$504,0)),""))</f>
        <v/>
      </c>
      <c r="F898" s="29" t="str">
        <f>IF(A898="","",IFERROR(INDEX(Maniobras!$K$5:$K$504,MATCH(A898,Maniobras!$A$5:$A$504,0)),""))</f>
        <v/>
      </c>
      <c r="G898" s="29"/>
      <c r="H898" s="29"/>
      <c r="I898" s="29" t="str">
        <f t="shared" si="27"/>
        <v/>
      </c>
      <c r="K898" s="30"/>
      <c r="M898" t="str">
        <f>IF($A898=Ficha!$B$3,COUNTIF($A$5:$A898,Ficha!$B$3),"")</f>
        <v/>
      </c>
    </row>
    <row r="899" spans="2:13" x14ac:dyDescent="0.3">
      <c r="B899" s="30" t="str">
        <f>IF(A899="","",IFERROR(INDEX(Maniobras!$B$5:$B$504,MATCH(A899,Maniobras!$A$5:$A$504,0)),""))</f>
        <v/>
      </c>
      <c r="C899" t="str">
        <f t="shared" si="26"/>
        <v/>
      </c>
      <c r="D899" t="str">
        <f>IF(A899="","",IFERROR(INDEX(Maniobras!$D$5:$D$504,MATCH(A899,Maniobras!$A$5:$A$504,0)),""))</f>
        <v/>
      </c>
      <c r="F899" s="29" t="str">
        <f>IF(A899="","",IFERROR(INDEX(Maniobras!$K$5:$K$504,MATCH(A899,Maniobras!$A$5:$A$504,0)),""))</f>
        <v/>
      </c>
      <c r="G899" s="29"/>
      <c r="H899" s="29"/>
      <c r="I899" s="29" t="str">
        <f t="shared" si="27"/>
        <v/>
      </c>
      <c r="K899" s="30"/>
      <c r="M899" t="str">
        <f>IF($A899=Ficha!$B$3,COUNTIF($A$5:$A899,Ficha!$B$3),"")</f>
        <v/>
      </c>
    </row>
    <row r="900" spans="2:13" x14ac:dyDescent="0.3">
      <c r="B900" s="30" t="str">
        <f>IF(A900="","",IFERROR(INDEX(Maniobras!$B$5:$B$504,MATCH(A900,Maniobras!$A$5:$A$504,0)),""))</f>
        <v/>
      </c>
      <c r="C900" t="str">
        <f t="shared" si="26"/>
        <v/>
      </c>
      <c r="D900" t="str">
        <f>IF(A900="","",IFERROR(INDEX(Maniobras!$D$5:$D$504,MATCH(A900,Maniobras!$A$5:$A$504,0)),""))</f>
        <v/>
      </c>
      <c r="F900" s="29" t="str">
        <f>IF(A900="","",IFERROR(INDEX(Maniobras!$K$5:$K$504,MATCH(A900,Maniobras!$A$5:$A$504,0)),""))</f>
        <v/>
      </c>
      <c r="G900" s="29"/>
      <c r="H900" s="29"/>
      <c r="I900" s="29" t="str">
        <f t="shared" si="27"/>
        <v/>
      </c>
      <c r="K900" s="30"/>
      <c r="M900" t="str">
        <f>IF($A900=Ficha!$B$3,COUNTIF($A$5:$A900,Ficha!$B$3),"")</f>
        <v/>
      </c>
    </row>
    <row r="901" spans="2:13" x14ac:dyDescent="0.3">
      <c r="B901" s="30" t="str">
        <f>IF(A901="","",IFERROR(INDEX(Maniobras!$B$5:$B$504,MATCH(A901,Maniobras!$A$5:$A$504,0)),""))</f>
        <v/>
      </c>
      <c r="C901" t="str">
        <f t="shared" ref="C901:C964" si="28">IF(B901="","",TEXT(B901,"yyyy-mm"))</f>
        <v/>
      </c>
      <c r="D901" t="str">
        <f>IF(A901="","",IFERROR(INDEX(Maniobras!$D$5:$D$504,MATCH(A901,Maniobras!$A$5:$A$504,0)),""))</f>
        <v/>
      </c>
      <c r="F901" s="29" t="str">
        <f>IF(A901="","",IFERROR(INDEX(Maniobras!$K$5:$K$504,MATCH(A901,Maniobras!$A$5:$A$504,0)),""))</f>
        <v/>
      </c>
      <c r="G901" s="29"/>
      <c r="H901" s="29"/>
      <c r="I901" s="29" t="str">
        <f t="shared" ref="I901:I964" si="29">IF(G901="","",G901+N(H901))</f>
        <v/>
      </c>
      <c r="K901" s="30"/>
      <c r="M901" t="str">
        <f>IF($A901=Ficha!$B$3,COUNTIF($A$5:$A901,Ficha!$B$3),"")</f>
        <v/>
      </c>
    </row>
    <row r="902" spans="2:13" x14ac:dyDescent="0.3">
      <c r="B902" s="30" t="str">
        <f>IF(A902="","",IFERROR(INDEX(Maniobras!$B$5:$B$504,MATCH(A902,Maniobras!$A$5:$A$504,0)),""))</f>
        <v/>
      </c>
      <c r="C902" t="str">
        <f t="shared" si="28"/>
        <v/>
      </c>
      <c r="D902" t="str">
        <f>IF(A902="","",IFERROR(INDEX(Maniobras!$D$5:$D$504,MATCH(A902,Maniobras!$A$5:$A$504,0)),""))</f>
        <v/>
      </c>
      <c r="F902" s="29" t="str">
        <f>IF(A902="","",IFERROR(INDEX(Maniobras!$K$5:$K$504,MATCH(A902,Maniobras!$A$5:$A$504,0)),""))</f>
        <v/>
      </c>
      <c r="G902" s="29"/>
      <c r="H902" s="29"/>
      <c r="I902" s="29" t="str">
        <f t="shared" si="29"/>
        <v/>
      </c>
      <c r="K902" s="30"/>
      <c r="M902" t="str">
        <f>IF($A902=Ficha!$B$3,COUNTIF($A$5:$A902,Ficha!$B$3),"")</f>
        <v/>
      </c>
    </row>
    <row r="903" spans="2:13" x14ac:dyDescent="0.3">
      <c r="B903" s="30" t="str">
        <f>IF(A903="","",IFERROR(INDEX(Maniobras!$B$5:$B$504,MATCH(A903,Maniobras!$A$5:$A$504,0)),""))</f>
        <v/>
      </c>
      <c r="C903" t="str">
        <f t="shared" si="28"/>
        <v/>
      </c>
      <c r="D903" t="str">
        <f>IF(A903="","",IFERROR(INDEX(Maniobras!$D$5:$D$504,MATCH(A903,Maniobras!$A$5:$A$504,0)),""))</f>
        <v/>
      </c>
      <c r="F903" s="29" t="str">
        <f>IF(A903="","",IFERROR(INDEX(Maniobras!$K$5:$K$504,MATCH(A903,Maniobras!$A$5:$A$504,0)),""))</f>
        <v/>
      </c>
      <c r="G903" s="29"/>
      <c r="H903" s="29"/>
      <c r="I903" s="29" t="str">
        <f t="shared" si="29"/>
        <v/>
      </c>
      <c r="K903" s="30"/>
      <c r="M903" t="str">
        <f>IF($A903=Ficha!$B$3,COUNTIF($A$5:$A903,Ficha!$B$3),"")</f>
        <v/>
      </c>
    </row>
    <row r="904" spans="2:13" x14ac:dyDescent="0.3">
      <c r="B904" s="30" t="str">
        <f>IF(A904="","",IFERROR(INDEX(Maniobras!$B$5:$B$504,MATCH(A904,Maniobras!$A$5:$A$504,0)),""))</f>
        <v/>
      </c>
      <c r="C904" t="str">
        <f t="shared" si="28"/>
        <v/>
      </c>
      <c r="D904" t="str">
        <f>IF(A904="","",IFERROR(INDEX(Maniobras!$D$5:$D$504,MATCH(A904,Maniobras!$A$5:$A$504,0)),""))</f>
        <v/>
      </c>
      <c r="F904" s="29" t="str">
        <f>IF(A904="","",IFERROR(INDEX(Maniobras!$K$5:$K$504,MATCH(A904,Maniobras!$A$5:$A$504,0)),""))</f>
        <v/>
      </c>
      <c r="G904" s="29"/>
      <c r="H904" s="29"/>
      <c r="I904" s="29" t="str">
        <f t="shared" si="29"/>
        <v/>
      </c>
      <c r="K904" s="30"/>
      <c r="M904" t="str">
        <f>IF($A904=Ficha!$B$3,COUNTIF($A$5:$A904,Ficha!$B$3),"")</f>
        <v/>
      </c>
    </row>
    <row r="905" spans="2:13" x14ac:dyDescent="0.3">
      <c r="B905" s="30" t="str">
        <f>IF(A905="","",IFERROR(INDEX(Maniobras!$B$5:$B$504,MATCH(A905,Maniobras!$A$5:$A$504,0)),""))</f>
        <v/>
      </c>
      <c r="C905" t="str">
        <f t="shared" si="28"/>
        <v/>
      </c>
      <c r="D905" t="str">
        <f>IF(A905="","",IFERROR(INDEX(Maniobras!$D$5:$D$504,MATCH(A905,Maniobras!$A$5:$A$504,0)),""))</f>
        <v/>
      </c>
      <c r="F905" s="29" t="str">
        <f>IF(A905="","",IFERROR(INDEX(Maniobras!$K$5:$K$504,MATCH(A905,Maniobras!$A$5:$A$504,0)),""))</f>
        <v/>
      </c>
      <c r="G905" s="29"/>
      <c r="H905" s="29"/>
      <c r="I905" s="29" t="str">
        <f t="shared" si="29"/>
        <v/>
      </c>
      <c r="K905" s="30"/>
      <c r="M905" t="str">
        <f>IF($A905=Ficha!$B$3,COUNTIF($A$5:$A905,Ficha!$B$3),"")</f>
        <v/>
      </c>
    </row>
    <row r="906" spans="2:13" x14ac:dyDescent="0.3">
      <c r="B906" s="30" t="str">
        <f>IF(A906="","",IFERROR(INDEX(Maniobras!$B$5:$B$504,MATCH(A906,Maniobras!$A$5:$A$504,0)),""))</f>
        <v/>
      </c>
      <c r="C906" t="str">
        <f t="shared" si="28"/>
        <v/>
      </c>
      <c r="D906" t="str">
        <f>IF(A906="","",IFERROR(INDEX(Maniobras!$D$5:$D$504,MATCH(A906,Maniobras!$A$5:$A$504,0)),""))</f>
        <v/>
      </c>
      <c r="F906" s="29" t="str">
        <f>IF(A906="","",IFERROR(INDEX(Maniobras!$K$5:$K$504,MATCH(A906,Maniobras!$A$5:$A$504,0)),""))</f>
        <v/>
      </c>
      <c r="G906" s="29"/>
      <c r="H906" s="29"/>
      <c r="I906" s="29" t="str">
        <f t="shared" si="29"/>
        <v/>
      </c>
      <c r="K906" s="30"/>
      <c r="M906" t="str">
        <f>IF($A906=Ficha!$B$3,COUNTIF($A$5:$A906,Ficha!$B$3),"")</f>
        <v/>
      </c>
    </row>
    <row r="907" spans="2:13" x14ac:dyDescent="0.3">
      <c r="B907" s="30" t="str">
        <f>IF(A907="","",IFERROR(INDEX(Maniobras!$B$5:$B$504,MATCH(A907,Maniobras!$A$5:$A$504,0)),""))</f>
        <v/>
      </c>
      <c r="C907" t="str">
        <f t="shared" si="28"/>
        <v/>
      </c>
      <c r="D907" t="str">
        <f>IF(A907="","",IFERROR(INDEX(Maniobras!$D$5:$D$504,MATCH(A907,Maniobras!$A$5:$A$504,0)),""))</f>
        <v/>
      </c>
      <c r="F907" s="29" t="str">
        <f>IF(A907="","",IFERROR(INDEX(Maniobras!$K$5:$K$504,MATCH(A907,Maniobras!$A$5:$A$504,0)),""))</f>
        <v/>
      </c>
      <c r="G907" s="29"/>
      <c r="H907" s="29"/>
      <c r="I907" s="29" t="str">
        <f t="shared" si="29"/>
        <v/>
      </c>
      <c r="K907" s="30"/>
      <c r="M907" t="str">
        <f>IF($A907=Ficha!$B$3,COUNTIF($A$5:$A907,Ficha!$B$3),"")</f>
        <v/>
      </c>
    </row>
    <row r="908" spans="2:13" x14ac:dyDescent="0.3">
      <c r="B908" s="30" t="str">
        <f>IF(A908="","",IFERROR(INDEX(Maniobras!$B$5:$B$504,MATCH(A908,Maniobras!$A$5:$A$504,0)),""))</f>
        <v/>
      </c>
      <c r="C908" t="str">
        <f t="shared" si="28"/>
        <v/>
      </c>
      <c r="D908" t="str">
        <f>IF(A908="","",IFERROR(INDEX(Maniobras!$D$5:$D$504,MATCH(A908,Maniobras!$A$5:$A$504,0)),""))</f>
        <v/>
      </c>
      <c r="F908" s="29" t="str">
        <f>IF(A908="","",IFERROR(INDEX(Maniobras!$K$5:$K$504,MATCH(A908,Maniobras!$A$5:$A$504,0)),""))</f>
        <v/>
      </c>
      <c r="G908" s="29"/>
      <c r="H908" s="29"/>
      <c r="I908" s="29" t="str">
        <f t="shared" si="29"/>
        <v/>
      </c>
      <c r="K908" s="30"/>
      <c r="M908" t="str">
        <f>IF($A908=Ficha!$B$3,COUNTIF($A$5:$A908,Ficha!$B$3),"")</f>
        <v/>
      </c>
    </row>
    <row r="909" spans="2:13" x14ac:dyDescent="0.3">
      <c r="B909" s="30" t="str">
        <f>IF(A909="","",IFERROR(INDEX(Maniobras!$B$5:$B$504,MATCH(A909,Maniobras!$A$5:$A$504,0)),""))</f>
        <v/>
      </c>
      <c r="C909" t="str">
        <f t="shared" si="28"/>
        <v/>
      </c>
      <c r="D909" t="str">
        <f>IF(A909="","",IFERROR(INDEX(Maniobras!$D$5:$D$504,MATCH(A909,Maniobras!$A$5:$A$504,0)),""))</f>
        <v/>
      </c>
      <c r="F909" s="29" t="str">
        <f>IF(A909="","",IFERROR(INDEX(Maniobras!$K$5:$K$504,MATCH(A909,Maniobras!$A$5:$A$504,0)),""))</f>
        <v/>
      </c>
      <c r="G909" s="29"/>
      <c r="H909" s="29"/>
      <c r="I909" s="29" t="str">
        <f t="shared" si="29"/>
        <v/>
      </c>
      <c r="K909" s="30"/>
      <c r="M909" t="str">
        <f>IF($A909=Ficha!$B$3,COUNTIF($A$5:$A909,Ficha!$B$3),"")</f>
        <v/>
      </c>
    </row>
    <row r="910" spans="2:13" x14ac:dyDescent="0.3">
      <c r="B910" s="30" t="str">
        <f>IF(A910="","",IFERROR(INDEX(Maniobras!$B$5:$B$504,MATCH(A910,Maniobras!$A$5:$A$504,0)),""))</f>
        <v/>
      </c>
      <c r="C910" t="str">
        <f t="shared" si="28"/>
        <v/>
      </c>
      <c r="D910" t="str">
        <f>IF(A910="","",IFERROR(INDEX(Maniobras!$D$5:$D$504,MATCH(A910,Maniobras!$A$5:$A$504,0)),""))</f>
        <v/>
      </c>
      <c r="F910" s="29" t="str">
        <f>IF(A910="","",IFERROR(INDEX(Maniobras!$K$5:$K$504,MATCH(A910,Maniobras!$A$5:$A$504,0)),""))</f>
        <v/>
      </c>
      <c r="G910" s="29"/>
      <c r="H910" s="29"/>
      <c r="I910" s="29" t="str">
        <f t="shared" si="29"/>
        <v/>
      </c>
      <c r="K910" s="30"/>
      <c r="M910" t="str">
        <f>IF($A910=Ficha!$B$3,COUNTIF($A$5:$A910,Ficha!$B$3),"")</f>
        <v/>
      </c>
    </row>
    <row r="911" spans="2:13" x14ac:dyDescent="0.3">
      <c r="B911" s="30" t="str">
        <f>IF(A911="","",IFERROR(INDEX(Maniobras!$B$5:$B$504,MATCH(A911,Maniobras!$A$5:$A$504,0)),""))</f>
        <v/>
      </c>
      <c r="C911" t="str">
        <f t="shared" si="28"/>
        <v/>
      </c>
      <c r="D911" t="str">
        <f>IF(A911="","",IFERROR(INDEX(Maniobras!$D$5:$D$504,MATCH(A911,Maniobras!$A$5:$A$504,0)),""))</f>
        <v/>
      </c>
      <c r="F911" s="29" t="str">
        <f>IF(A911="","",IFERROR(INDEX(Maniobras!$K$5:$K$504,MATCH(A911,Maniobras!$A$5:$A$504,0)),""))</f>
        <v/>
      </c>
      <c r="G911" s="29"/>
      <c r="H911" s="29"/>
      <c r="I911" s="29" t="str">
        <f t="shared" si="29"/>
        <v/>
      </c>
      <c r="K911" s="30"/>
      <c r="M911" t="str">
        <f>IF($A911=Ficha!$B$3,COUNTIF($A$5:$A911,Ficha!$B$3),"")</f>
        <v/>
      </c>
    </row>
    <row r="912" spans="2:13" x14ac:dyDescent="0.3">
      <c r="B912" s="30" t="str">
        <f>IF(A912="","",IFERROR(INDEX(Maniobras!$B$5:$B$504,MATCH(A912,Maniobras!$A$5:$A$504,0)),""))</f>
        <v/>
      </c>
      <c r="C912" t="str">
        <f t="shared" si="28"/>
        <v/>
      </c>
      <c r="D912" t="str">
        <f>IF(A912="","",IFERROR(INDEX(Maniobras!$D$5:$D$504,MATCH(A912,Maniobras!$A$5:$A$504,0)),""))</f>
        <v/>
      </c>
      <c r="F912" s="29" t="str">
        <f>IF(A912="","",IFERROR(INDEX(Maniobras!$K$5:$K$504,MATCH(A912,Maniobras!$A$5:$A$504,0)),""))</f>
        <v/>
      </c>
      <c r="G912" s="29"/>
      <c r="H912" s="29"/>
      <c r="I912" s="29" t="str">
        <f t="shared" si="29"/>
        <v/>
      </c>
      <c r="K912" s="30"/>
      <c r="M912" t="str">
        <f>IF($A912=Ficha!$B$3,COUNTIF($A$5:$A912,Ficha!$B$3),"")</f>
        <v/>
      </c>
    </row>
    <row r="913" spans="2:13" x14ac:dyDescent="0.3">
      <c r="B913" s="30" t="str">
        <f>IF(A913="","",IFERROR(INDEX(Maniobras!$B$5:$B$504,MATCH(A913,Maniobras!$A$5:$A$504,0)),""))</f>
        <v/>
      </c>
      <c r="C913" t="str">
        <f t="shared" si="28"/>
        <v/>
      </c>
      <c r="D913" t="str">
        <f>IF(A913="","",IFERROR(INDEX(Maniobras!$D$5:$D$504,MATCH(A913,Maniobras!$A$5:$A$504,0)),""))</f>
        <v/>
      </c>
      <c r="F913" s="29" t="str">
        <f>IF(A913="","",IFERROR(INDEX(Maniobras!$K$5:$K$504,MATCH(A913,Maniobras!$A$5:$A$504,0)),""))</f>
        <v/>
      </c>
      <c r="G913" s="29"/>
      <c r="H913" s="29"/>
      <c r="I913" s="29" t="str">
        <f t="shared" si="29"/>
        <v/>
      </c>
      <c r="K913" s="30"/>
      <c r="M913" t="str">
        <f>IF($A913=Ficha!$B$3,COUNTIF($A$5:$A913,Ficha!$B$3),"")</f>
        <v/>
      </c>
    </row>
    <row r="914" spans="2:13" x14ac:dyDescent="0.3">
      <c r="B914" s="30" t="str">
        <f>IF(A914="","",IFERROR(INDEX(Maniobras!$B$5:$B$504,MATCH(A914,Maniobras!$A$5:$A$504,0)),""))</f>
        <v/>
      </c>
      <c r="C914" t="str">
        <f t="shared" si="28"/>
        <v/>
      </c>
      <c r="D914" t="str">
        <f>IF(A914="","",IFERROR(INDEX(Maniobras!$D$5:$D$504,MATCH(A914,Maniobras!$A$5:$A$504,0)),""))</f>
        <v/>
      </c>
      <c r="F914" s="29" t="str">
        <f>IF(A914="","",IFERROR(INDEX(Maniobras!$K$5:$K$504,MATCH(A914,Maniobras!$A$5:$A$504,0)),""))</f>
        <v/>
      </c>
      <c r="G914" s="29"/>
      <c r="H914" s="29"/>
      <c r="I914" s="29" t="str">
        <f t="shared" si="29"/>
        <v/>
      </c>
      <c r="K914" s="30"/>
      <c r="M914" t="str">
        <f>IF($A914=Ficha!$B$3,COUNTIF($A$5:$A914,Ficha!$B$3),"")</f>
        <v/>
      </c>
    </row>
    <row r="915" spans="2:13" x14ac:dyDescent="0.3">
      <c r="B915" s="30" t="str">
        <f>IF(A915="","",IFERROR(INDEX(Maniobras!$B$5:$B$504,MATCH(A915,Maniobras!$A$5:$A$504,0)),""))</f>
        <v/>
      </c>
      <c r="C915" t="str">
        <f t="shared" si="28"/>
        <v/>
      </c>
      <c r="D915" t="str">
        <f>IF(A915="","",IFERROR(INDEX(Maniobras!$D$5:$D$504,MATCH(A915,Maniobras!$A$5:$A$504,0)),""))</f>
        <v/>
      </c>
      <c r="F915" s="29" t="str">
        <f>IF(A915="","",IFERROR(INDEX(Maniobras!$K$5:$K$504,MATCH(A915,Maniobras!$A$5:$A$504,0)),""))</f>
        <v/>
      </c>
      <c r="G915" s="29"/>
      <c r="H915" s="29"/>
      <c r="I915" s="29" t="str">
        <f t="shared" si="29"/>
        <v/>
      </c>
      <c r="K915" s="30"/>
      <c r="M915" t="str">
        <f>IF($A915=Ficha!$B$3,COUNTIF($A$5:$A915,Ficha!$B$3),"")</f>
        <v/>
      </c>
    </row>
    <row r="916" spans="2:13" x14ac:dyDescent="0.3">
      <c r="B916" s="30" t="str">
        <f>IF(A916="","",IFERROR(INDEX(Maniobras!$B$5:$B$504,MATCH(A916,Maniobras!$A$5:$A$504,0)),""))</f>
        <v/>
      </c>
      <c r="C916" t="str">
        <f t="shared" si="28"/>
        <v/>
      </c>
      <c r="D916" t="str">
        <f>IF(A916="","",IFERROR(INDEX(Maniobras!$D$5:$D$504,MATCH(A916,Maniobras!$A$5:$A$504,0)),""))</f>
        <v/>
      </c>
      <c r="F916" s="29" t="str">
        <f>IF(A916="","",IFERROR(INDEX(Maniobras!$K$5:$K$504,MATCH(A916,Maniobras!$A$5:$A$504,0)),""))</f>
        <v/>
      </c>
      <c r="G916" s="29"/>
      <c r="H916" s="29"/>
      <c r="I916" s="29" t="str">
        <f t="shared" si="29"/>
        <v/>
      </c>
      <c r="K916" s="30"/>
      <c r="M916" t="str">
        <f>IF($A916=Ficha!$B$3,COUNTIF($A$5:$A916,Ficha!$B$3),"")</f>
        <v/>
      </c>
    </row>
    <row r="917" spans="2:13" x14ac:dyDescent="0.3">
      <c r="B917" s="30" t="str">
        <f>IF(A917="","",IFERROR(INDEX(Maniobras!$B$5:$B$504,MATCH(A917,Maniobras!$A$5:$A$504,0)),""))</f>
        <v/>
      </c>
      <c r="C917" t="str">
        <f t="shared" si="28"/>
        <v/>
      </c>
      <c r="D917" t="str">
        <f>IF(A917="","",IFERROR(INDEX(Maniobras!$D$5:$D$504,MATCH(A917,Maniobras!$A$5:$A$504,0)),""))</f>
        <v/>
      </c>
      <c r="F917" s="29" t="str">
        <f>IF(A917="","",IFERROR(INDEX(Maniobras!$K$5:$K$504,MATCH(A917,Maniobras!$A$5:$A$504,0)),""))</f>
        <v/>
      </c>
      <c r="G917" s="29"/>
      <c r="H917" s="29"/>
      <c r="I917" s="29" t="str">
        <f t="shared" si="29"/>
        <v/>
      </c>
      <c r="K917" s="30"/>
      <c r="M917" t="str">
        <f>IF($A917=Ficha!$B$3,COUNTIF($A$5:$A917,Ficha!$B$3),"")</f>
        <v/>
      </c>
    </row>
    <row r="918" spans="2:13" x14ac:dyDescent="0.3">
      <c r="B918" s="30" t="str">
        <f>IF(A918="","",IFERROR(INDEX(Maniobras!$B$5:$B$504,MATCH(A918,Maniobras!$A$5:$A$504,0)),""))</f>
        <v/>
      </c>
      <c r="C918" t="str">
        <f t="shared" si="28"/>
        <v/>
      </c>
      <c r="D918" t="str">
        <f>IF(A918="","",IFERROR(INDEX(Maniobras!$D$5:$D$504,MATCH(A918,Maniobras!$A$5:$A$504,0)),""))</f>
        <v/>
      </c>
      <c r="F918" s="29" t="str">
        <f>IF(A918="","",IFERROR(INDEX(Maniobras!$K$5:$K$504,MATCH(A918,Maniobras!$A$5:$A$504,0)),""))</f>
        <v/>
      </c>
      <c r="G918" s="29"/>
      <c r="H918" s="29"/>
      <c r="I918" s="29" t="str">
        <f t="shared" si="29"/>
        <v/>
      </c>
      <c r="K918" s="30"/>
      <c r="M918" t="str">
        <f>IF($A918=Ficha!$B$3,COUNTIF($A$5:$A918,Ficha!$B$3),"")</f>
        <v/>
      </c>
    </row>
    <row r="919" spans="2:13" x14ac:dyDescent="0.3">
      <c r="B919" s="30" t="str">
        <f>IF(A919="","",IFERROR(INDEX(Maniobras!$B$5:$B$504,MATCH(A919,Maniobras!$A$5:$A$504,0)),""))</f>
        <v/>
      </c>
      <c r="C919" t="str">
        <f t="shared" si="28"/>
        <v/>
      </c>
      <c r="D919" t="str">
        <f>IF(A919="","",IFERROR(INDEX(Maniobras!$D$5:$D$504,MATCH(A919,Maniobras!$A$5:$A$504,0)),""))</f>
        <v/>
      </c>
      <c r="F919" s="29" t="str">
        <f>IF(A919="","",IFERROR(INDEX(Maniobras!$K$5:$K$504,MATCH(A919,Maniobras!$A$5:$A$504,0)),""))</f>
        <v/>
      </c>
      <c r="G919" s="29"/>
      <c r="H919" s="29"/>
      <c r="I919" s="29" t="str">
        <f t="shared" si="29"/>
        <v/>
      </c>
      <c r="K919" s="30"/>
      <c r="M919" t="str">
        <f>IF($A919=Ficha!$B$3,COUNTIF($A$5:$A919,Ficha!$B$3),"")</f>
        <v/>
      </c>
    </row>
    <row r="920" spans="2:13" x14ac:dyDescent="0.3">
      <c r="B920" s="30" t="str">
        <f>IF(A920="","",IFERROR(INDEX(Maniobras!$B$5:$B$504,MATCH(A920,Maniobras!$A$5:$A$504,0)),""))</f>
        <v/>
      </c>
      <c r="C920" t="str">
        <f t="shared" si="28"/>
        <v/>
      </c>
      <c r="D920" t="str">
        <f>IF(A920="","",IFERROR(INDEX(Maniobras!$D$5:$D$504,MATCH(A920,Maniobras!$A$5:$A$504,0)),""))</f>
        <v/>
      </c>
      <c r="F920" s="29" t="str">
        <f>IF(A920="","",IFERROR(INDEX(Maniobras!$K$5:$K$504,MATCH(A920,Maniobras!$A$5:$A$504,0)),""))</f>
        <v/>
      </c>
      <c r="G920" s="29"/>
      <c r="H920" s="29"/>
      <c r="I920" s="29" t="str">
        <f t="shared" si="29"/>
        <v/>
      </c>
      <c r="K920" s="30"/>
      <c r="M920" t="str">
        <f>IF($A920=Ficha!$B$3,COUNTIF($A$5:$A920,Ficha!$B$3),"")</f>
        <v/>
      </c>
    </row>
    <row r="921" spans="2:13" x14ac:dyDescent="0.3">
      <c r="B921" s="30" t="str">
        <f>IF(A921="","",IFERROR(INDEX(Maniobras!$B$5:$B$504,MATCH(A921,Maniobras!$A$5:$A$504,0)),""))</f>
        <v/>
      </c>
      <c r="C921" t="str">
        <f t="shared" si="28"/>
        <v/>
      </c>
      <c r="D921" t="str">
        <f>IF(A921="","",IFERROR(INDEX(Maniobras!$D$5:$D$504,MATCH(A921,Maniobras!$A$5:$A$504,0)),""))</f>
        <v/>
      </c>
      <c r="F921" s="29" t="str">
        <f>IF(A921="","",IFERROR(INDEX(Maniobras!$K$5:$K$504,MATCH(A921,Maniobras!$A$5:$A$504,0)),""))</f>
        <v/>
      </c>
      <c r="G921" s="29"/>
      <c r="H921" s="29"/>
      <c r="I921" s="29" t="str">
        <f t="shared" si="29"/>
        <v/>
      </c>
      <c r="K921" s="30"/>
      <c r="M921" t="str">
        <f>IF($A921=Ficha!$B$3,COUNTIF($A$5:$A921,Ficha!$B$3),"")</f>
        <v/>
      </c>
    </row>
    <row r="922" spans="2:13" x14ac:dyDescent="0.3">
      <c r="B922" s="30" t="str">
        <f>IF(A922="","",IFERROR(INDEX(Maniobras!$B$5:$B$504,MATCH(A922,Maniobras!$A$5:$A$504,0)),""))</f>
        <v/>
      </c>
      <c r="C922" t="str">
        <f t="shared" si="28"/>
        <v/>
      </c>
      <c r="D922" t="str">
        <f>IF(A922="","",IFERROR(INDEX(Maniobras!$D$5:$D$504,MATCH(A922,Maniobras!$A$5:$A$504,0)),""))</f>
        <v/>
      </c>
      <c r="F922" s="29" t="str">
        <f>IF(A922="","",IFERROR(INDEX(Maniobras!$K$5:$K$504,MATCH(A922,Maniobras!$A$5:$A$504,0)),""))</f>
        <v/>
      </c>
      <c r="G922" s="29"/>
      <c r="H922" s="29"/>
      <c r="I922" s="29" t="str">
        <f t="shared" si="29"/>
        <v/>
      </c>
      <c r="K922" s="30"/>
      <c r="M922" t="str">
        <f>IF($A922=Ficha!$B$3,COUNTIF($A$5:$A922,Ficha!$B$3),"")</f>
        <v/>
      </c>
    </row>
    <row r="923" spans="2:13" x14ac:dyDescent="0.3">
      <c r="B923" s="30" t="str">
        <f>IF(A923="","",IFERROR(INDEX(Maniobras!$B$5:$B$504,MATCH(A923,Maniobras!$A$5:$A$504,0)),""))</f>
        <v/>
      </c>
      <c r="C923" t="str">
        <f t="shared" si="28"/>
        <v/>
      </c>
      <c r="D923" t="str">
        <f>IF(A923="","",IFERROR(INDEX(Maniobras!$D$5:$D$504,MATCH(A923,Maniobras!$A$5:$A$504,0)),""))</f>
        <v/>
      </c>
      <c r="F923" s="29" t="str">
        <f>IF(A923="","",IFERROR(INDEX(Maniobras!$K$5:$K$504,MATCH(A923,Maniobras!$A$5:$A$504,0)),""))</f>
        <v/>
      </c>
      <c r="G923" s="29"/>
      <c r="H923" s="29"/>
      <c r="I923" s="29" t="str">
        <f t="shared" si="29"/>
        <v/>
      </c>
      <c r="K923" s="30"/>
      <c r="M923" t="str">
        <f>IF($A923=Ficha!$B$3,COUNTIF($A$5:$A923,Ficha!$B$3),"")</f>
        <v/>
      </c>
    </row>
    <row r="924" spans="2:13" x14ac:dyDescent="0.3">
      <c r="B924" s="30" t="str">
        <f>IF(A924="","",IFERROR(INDEX(Maniobras!$B$5:$B$504,MATCH(A924,Maniobras!$A$5:$A$504,0)),""))</f>
        <v/>
      </c>
      <c r="C924" t="str">
        <f t="shared" si="28"/>
        <v/>
      </c>
      <c r="D924" t="str">
        <f>IF(A924="","",IFERROR(INDEX(Maniobras!$D$5:$D$504,MATCH(A924,Maniobras!$A$5:$A$504,0)),""))</f>
        <v/>
      </c>
      <c r="F924" s="29" t="str">
        <f>IF(A924="","",IFERROR(INDEX(Maniobras!$K$5:$K$504,MATCH(A924,Maniobras!$A$5:$A$504,0)),""))</f>
        <v/>
      </c>
      <c r="G924" s="29"/>
      <c r="H924" s="29"/>
      <c r="I924" s="29" t="str">
        <f t="shared" si="29"/>
        <v/>
      </c>
      <c r="K924" s="30"/>
      <c r="M924" t="str">
        <f>IF($A924=Ficha!$B$3,COUNTIF($A$5:$A924,Ficha!$B$3),"")</f>
        <v/>
      </c>
    </row>
    <row r="925" spans="2:13" x14ac:dyDescent="0.3">
      <c r="B925" s="30" t="str">
        <f>IF(A925="","",IFERROR(INDEX(Maniobras!$B$5:$B$504,MATCH(A925,Maniobras!$A$5:$A$504,0)),""))</f>
        <v/>
      </c>
      <c r="C925" t="str">
        <f t="shared" si="28"/>
        <v/>
      </c>
      <c r="D925" t="str">
        <f>IF(A925="","",IFERROR(INDEX(Maniobras!$D$5:$D$504,MATCH(A925,Maniobras!$A$5:$A$504,0)),""))</f>
        <v/>
      </c>
      <c r="F925" s="29" t="str">
        <f>IF(A925="","",IFERROR(INDEX(Maniobras!$K$5:$K$504,MATCH(A925,Maniobras!$A$5:$A$504,0)),""))</f>
        <v/>
      </c>
      <c r="G925" s="29"/>
      <c r="H925" s="29"/>
      <c r="I925" s="29" t="str">
        <f t="shared" si="29"/>
        <v/>
      </c>
      <c r="K925" s="30"/>
      <c r="M925" t="str">
        <f>IF($A925=Ficha!$B$3,COUNTIF($A$5:$A925,Ficha!$B$3),"")</f>
        <v/>
      </c>
    </row>
    <row r="926" spans="2:13" x14ac:dyDescent="0.3">
      <c r="B926" s="30" t="str">
        <f>IF(A926="","",IFERROR(INDEX(Maniobras!$B$5:$B$504,MATCH(A926,Maniobras!$A$5:$A$504,0)),""))</f>
        <v/>
      </c>
      <c r="C926" t="str">
        <f t="shared" si="28"/>
        <v/>
      </c>
      <c r="D926" t="str">
        <f>IF(A926="","",IFERROR(INDEX(Maniobras!$D$5:$D$504,MATCH(A926,Maniobras!$A$5:$A$504,0)),""))</f>
        <v/>
      </c>
      <c r="F926" s="29" t="str">
        <f>IF(A926="","",IFERROR(INDEX(Maniobras!$K$5:$K$504,MATCH(A926,Maniobras!$A$5:$A$504,0)),""))</f>
        <v/>
      </c>
      <c r="G926" s="29"/>
      <c r="H926" s="29"/>
      <c r="I926" s="29" t="str">
        <f t="shared" si="29"/>
        <v/>
      </c>
      <c r="K926" s="30"/>
      <c r="M926" t="str">
        <f>IF($A926=Ficha!$B$3,COUNTIF($A$5:$A926,Ficha!$B$3),"")</f>
        <v/>
      </c>
    </row>
    <row r="927" spans="2:13" x14ac:dyDescent="0.3">
      <c r="B927" s="30" t="str">
        <f>IF(A927="","",IFERROR(INDEX(Maniobras!$B$5:$B$504,MATCH(A927,Maniobras!$A$5:$A$504,0)),""))</f>
        <v/>
      </c>
      <c r="C927" t="str">
        <f t="shared" si="28"/>
        <v/>
      </c>
      <c r="D927" t="str">
        <f>IF(A927="","",IFERROR(INDEX(Maniobras!$D$5:$D$504,MATCH(A927,Maniobras!$A$5:$A$504,0)),""))</f>
        <v/>
      </c>
      <c r="F927" s="29" t="str">
        <f>IF(A927="","",IFERROR(INDEX(Maniobras!$K$5:$K$504,MATCH(A927,Maniobras!$A$5:$A$504,0)),""))</f>
        <v/>
      </c>
      <c r="G927" s="29"/>
      <c r="H927" s="29"/>
      <c r="I927" s="29" t="str">
        <f t="shared" si="29"/>
        <v/>
      </c>
      <c r="K927" s="30"/>
      <c r="M927" t="str">
        <f>IF($A927=Ficha!$B$3,COUNTIF($A$5:$A927,Ficha!$B$3),"")</f>
        <v/>
      </c>
    </row>
    <row r="928" spans="2:13" x14ac:dyDescent="0.3">
      <c r="B928" s="30" t="str">
        <f>IF(A928="","",IFERROR(INDEX(Maniobras!$B$5:$B$504,MATCH(A928,Maniobras!$A$5:$A$504,0)),""))</f>
        <v/>
      </c>
      <c r="C928" t="str">
        <f t="shared" si="28"/>
        <v/>
      </c>
      <c r="D928" t="str">
        <f>IF(A928="","",IFERROR(INDEX(Maniobras!$D$5:$D$504,MATCH(A928,Maniobras!$A$5:$A$504,0)),""))</f>
        <v/>
      </c>
      <c r="F928" s="29" t="str">
        <f>IF(A928="","",IFERROR(INDEX(Maniobras!$K$5:$K$504,MATCH(A928,Maniobras!$A$5:$A$504,0)),""))</f>
        <v/>
      </c>
      <c r="G928" s="29"/>
      <c r="H928" s="29"/>
      <c r="I928" s="29" t="str">
        <f t="shared" si="29"/>
        <v/>
      </c>
      <c r="K928" s="30"/>
      <c r="M928" t="str">
        <f>IF($A928=Ficha!$B$3,COUNTIF($A$5:$A928,Ficha!$B$3),"")</f>
        <v/>
      </c>
    </row>
    <row r="929" spans="2:13" x14ac:dyDescent="0.3">
      <c r="B929" s="30" t="str">
        <f>IF(A929="","",IFERROR(INDEX(Maniobras!$B$5:$B$504,MATCH(A929,Maniobras!$A$5:$A$504,0)),""))</f>
        <v/>
      </c>
      <c r="C929" t="str">
        <f t="shared" si="28"/>
        <v/>
      </c>
      <c r="D929" t="str">
        <f>IF(A929="","",IFERROR(INDEX(Maniobras!$D$5:$D$504,MATCH(A929,Maniobras!$A$5:$A$504,0)),""))</f>
        <v/>
      </c>
      <c r="F929" s="29" t="str">
        <f>IF(A929="","",IFERROR(INDEX(Maniobras!$K$5:$K$504,MATCH(A929,Maniobras!$A$5:$A$504,0)),""))</f>
        <v/>
      </c>
      <c r="G929" s="29"/>
      <c r="H929" s="29"/>
      <c r="I929" s="29" t="str">
        <f t="shared" si="29"/>
        <v/>
      </c>
      <c r="K929" s="30"/>
      <c r="M929" t="str">
        <f>IF($A929=Ficha!$B$3,COUNTIF($A$5:$A929,Ficha!$B$3),"")</f>
        <v/>
      </c>
    </row>
    <row r="930" spans="2:13" x14ac:dyDescent="0.3">
      <c r="B930" s="30" t="str">
        <f>IF(A930="","",IFERROR(INDEX(Maniobras!$B$5:$B$504,MATCH(A930,Maniobras!$A$5:$A$504,0)),""))</f>
        <v/>
      </c>
      <c r="C930" t="str">
        <f t="shared" si="28"/>
        <v/>
      </c>
      <c r="D930" t="str">
        <f>IF(A930="","",IFERROR(INDEX(Maniobras!$D$5:$D$504,MATCH(A930,Maniobras!$A$5:$A$504,0)),""))</f>
        <v/>
      </c>
      <c r="F930" s="29" t="str">
        <f>IF(A930="","",IFERROR(INDEX(Maniobras!$K$5:$K$504,MATCH(A930,Maniobras!$A$5:$A$504,0)),""))</f>
        <v/>
      </c>
      <c r="G930" s="29"/>
      <c r="H930" s="29"/>
      <c r="I930" s="29" t="str">
        <f t="shared" si="29"/>
        <v/>
      </c>
      <c r="K930" s="30"/>
      <c r="M930" t="str">
        <f>IF($A930=Ficha!$B$3,COUNTIF($A$5:$A930,Ficha!$B$3),"")</f>
        <v/>
      </c>
    </row>
    <row r="931" spans="2:13" x14ac:dyDescent="0.3">
      <c r="B931" s="30" t="str">
        <f>IF(A931="","",IFERROR(INDEX(Maniobras!$B$5:$B$504,MATCH(A931,Maniobras!$A$5:$A$504,0)),""))</f>
        <v/>
      </c>
      <c r="C931" t="str">
        <f t="shared" si="28"/>
        <v/>
      </c>
      <c r="D931" t="str">
        <f>IF(A931="","",IFERROR(INDEX(Maniobras!$D$5:$D$504,MATCH(A931,Maniobras!$A$5:$A$504,0)),""))</f>
        <v/>
      </c>
      <c r="F931" s="29" t="str">
        <f>IF(A931="","",IFERROR(INDEX(Maniobras!$K$5:$K$504,MATCH(A931,Maniobras!$A$5:$A$504,0)),""))</f>
        <v/>
      </c>
      <c r="G931" s="29"/>
      <c r="H931" s="29"/>
      <c r="I931" s="29" t="str">
        <f t="shared" si="29"/>
        <v/>
      </c>
      <c r="K931" s="30"/>
      <c r="M931" t="str">
        <f>IF($A931=Ficha!$B$3,COUNTIF($A$5:$A931,Ficha!$B$3),"")</f>
        <v/>
      </c>
    </row>
    <row r="932" spans="2:13" x14ac:dyDescent="0.3">
      <c r="B932" s="30" t="str">
        <f>IF(A932="","",IFERROR(INDEX(Maniobras!$B$5:$B$504,MATCH(A932,Maniobras!$A$5:$A$504,0)),""))</f>
        <v/>
      </c>
      <c r="C932" t="str">
        <f t="shared" si="28"/>
        <v/>
      </c>
      <c r="D932" t="str">
        <f>IF(A932="","",IFERROR(INDEX(Maniobras!$D$5:$D$504,MATCH(A932,Maniobras!$A$5:$A$504,0)),""))</f>
        <v/>
      </c>
      <c r="F932" s="29" t="str">
        <f>IF(A932="","",IFERROR(INDEX(Maniobras!$K$5:$K$504,MATCH(A932,Maniobras!$A$5:$A$504,0)),""))</f>
        <v/>
      </c>
      <c r="G932" s="29"/>
      <c r="H932" s="29"/>
      <c r="I932" s="29" t="str">
        <f t="shared" si="29"/>
        <v/>
      </c>
      <c r="K932" s="30"/>
      <c r="M932" t="str">
        <f>IF($A932=Ficha!$B$3,COUNTIF($A$5:$A932,Ficha!$B$3),"")</f>
        <v/>
      </c>
    </row>
    <row r="933" spans="2:13" x14ac:dyDescent="0.3">
      <c r="B933" s="30" t="str">
        <f>IF(A933="","",IFERROR(INDEX(Maniobras!$B$5:$B$504,MATCH(A933,Maniobras!$A$5:$A$504,0)),""))</f>
        <v/>
      </c>
      <c r="C933" t="str">
        <f t="shared" si="28"/>
        <v/>
      </c>
      <c r="D933" t="str">
        <f>IF(A933="","",IFERROR(INDEX(Maniobras!$D$5:$D$504,MATCH(A933,Maniobras!$A$5:$A$504,0)),""))</f>
        <v/>
      </c>
      <c r="F933" s="29" t="str">
        <f>IF(A933="","",IFERROR(INDEX(Maniobras!$K$5:$K$504,MATCH(A933,Maniobras!$A$5:$A$504,0)),""))</f>
        <v/>
      </c>
      <c r="G933" s="29"/>
      <c r="H933" s="29"/>
      <c r="I933" s="29" t="str">
        <f t="shared" si="29"/>
        <v/>
      </c>
      <c r="K933" s="30"/>
      <c r="M933" t="str">
        <f>IF($A933=Ficha!$B$3,COUNTIF($A$5:$A933,Ficha!$B$3),"")</f>
        <v/>
      </c>
    </row>
    <row r="934" spans="2:13" x14ac:dyDescent="0.3">
      <c r="B934" s="30" t="str">
        <f>IF(A934="","",IFERROR(INDEX(Maniobras!$B$5:$B$504,MATCH(A934,Maniobras!$A$5:$A$504,0)),""))</f>
        <v/>
      </c>
      <c r="C934" t="str">
        <f t="shared" si="28"/>
        <v/>
      </c>
      <c r="D934" t="str">
        <f>IF(A934="","",IFERROR(INDEX(Maniobras!$D$5:$D$504,MATCH(A934,Maniobras!$A$5:$A$504,0)),""))</f>
        <v/>
      </c>
      <c r="F934" s="29" t="str">
        <f>IF(A934="","",IFERROR(INDEX(Maniobras!$K$5:$K$504,MATCH(A934,Maniobras!$A$5:$A$504,0)),""))</f>
        <v/>
      </c>
      <c r="G934" s="29"/>
      <c r="H934" s="29"/>
      <c r="I934" s="29" t="str">
        <f t="shared" si="29"/>
        <v/>
      </c>
      <c r="K934" s="30"/>
      <c r="M934" t="str">
        <f>IF($A934=Ficha!$B$3,COUNTIF($A$5:$A934,Ficha!$B$3),"")</f>
        <v/>
      </c>
    </row>
    <row r="935" spans="2:13" x14ac:dyDescent="0.3">
      <c r="B935" s="30" t="str">
        <f>IF(A935="","",IFERROR(INDEX(Maniobras!$B$5:$B$504,MATCH(A935,Maniobras!$A$5:$A$504,0)),""))</f>
        <v/>
      </c>
      <c r="C935" t="str">
        <f t="shared" si="28"/>
        <v/>
      </c>
      <c r="D935" t="str">
        <f>IF(A935="","",IFERROR(INDEX(Maniobras!$D$5:$D$504,MATCH(A935,Maniobras!$A$5:$A$504,0)),""))</f>
        <v/>
      </c>
      <c r="F935" s="29" t="str">
        <f>IF(A935="","",IFERROR(INDEX(Maniobras!$K$5:$K$504,MATCH(A935,Maniobras!$A$5:$A$504,0)),""))</f>
        <v/>
      </c>
      <c r="G935" s="29"/>
      <c r="H935" s="29"/>
      <c r="I935" s="29" t="str">
        <f t="shared" si="29"/>
        <v/>
      </c>
      <c r="K935" s="30"/>
      <c r="M935" t="str">
        <f>IF($A935=Ficha!$B$3,COUNTIF($A$5:$A935,Ficha!$B$3),"")</f>
        <v/>
      </c>
    </row>
    <row r="936" spans="2:13" x14ac:dyDescent="0.3">
      <c r="B936" s="30" t="str">
        <f>IF(A936="","",IFERROR(INDEX(Maniobras!$B$5:$B$504,MATCH(A936,Maniobras!$A$5:$A$504,0)),""))</f>
        <v/>
      </c>
      <c r="C936" t="str">
        <f t="shared" si="28"/>
        <v/>
      </c>
      <c r="D936" t="str">
        <f>IF(A936="","",IFERROR(INDEX(Maniobras!$D$5:$D$504,MATCH(A936,Maniobras!$A$5:$A$504,0)),""))</f>
        <v/>
      </c>
      <c r="F936" s="29" t="str">
        <f>IF(A936="","",IFERROR(INDEX(Maniobras!$K$5:$K$504,MATCH(A936,Maniobras!$A$5:$A$504,0)),""))</f>
        <v/>
      </c>
      <c r="G936" s="29"/>
      <c r="H936" s="29"/>
      <c r="I936" s="29" t="str">
        <f t="shared" si="29"/>
        <v/>
      </c>
      <c r="K936" s="30"/>
      <c r="M936" t="str">
        <f>IF($A936=Ficha!$B$3,COUNTIF($A$5:$A936,Ficha!$B$3),"")</f>
        <v/>
      </c>
    </row>
    <row r="937" spans="2:13" x14ac:dyDescent="0.3">
      <c r="B937" s="30" t="str">
        <f>IF(A937="","",IFERROR(INDEX(Maniobras!$B$5:$B$504,MATCH(A937,Maniobras!$A$5:$A$504,0)),""))</f>
        <v/>
      </c>
      <c r="C937" t="str">
        <f t="shared" si="28"/>
        <v/>
      </c>
      <c r="D937" t="str">
        <f>IF(A937="","",IFERROR(INDEX(Maniobras!$D$5:$D$504,MATCH(A937,Maniobras!$A$5:$A$504,0)),""))</f>
        <v/>
      </c>
      <c r="F937" s="29" t="str">
        <f>IF(A937="","",IFERROR(INDEX(Maniobras!$K$5:$K$504,MATCH(A937,Maniobras!$A$5:$A$504,0)),""))</f>
        <v/>
      </c>
      <c r="G937" s="29"/>
      <c r="H937" s="29"/>
      <c r="I937" s="29" t="str">
        <f t="shared" si="29"/>
        <v/>
      </c>
      <c r="K937" s="30"/>
      <c r="M937" t="str">
        <f>IF($A937=Ficha!$B$3,COUNTIF($A$5:$A937,Ficha!$B$3),"")</f>
        <v/>
      </c>
    </row>
    <row r="938" spans="2:13" x14ac:dyDescent="0.3">
      <c r="B938" s="30" t="str">
        <f>IF(A938="","",IFERROR(INDEX(Maniobras!$B$5:$B$504,MATCH(A938,Maniobras!$A$5:$A$504,0)),""))</f>
        <v/>
      </c>
      <c r="C938" t="str">
        <f t="shared" si="28"/>
        <v/>
      </c>
      <c r="D938" t="str">
        <f>IF(A938="","",IFERROR(INDEX(Maniobras!$D$5:$D$504,MATCH(A938,Maniobras!$A$5:$A$504,0)),""))</f>
        <v/>
      </c>
      <c r="F938" s="29" t="str">
        <f>IF(A938="","",IFERROR(INDEX(Maniobras!$K$5:$K$504,MATCH(A938,Maniobras!$A$5:$A$504,0)),""))</f>
        <v/>
      </c>
      <c r="G938" s="29"/>
      <c r="H938" s="29"/>
      <c r="I938" s="29" t="str">
        <f t="shared" si="29"/>
        <v/>
      </c>
      <c r="K938" s="30"/>
      <c r="M938" t="str">
        <f>IF($A938=Ficha!$B$3,COUNTIF($A$5:$A938,Ficha!$B$3),"")</f>
        <v/>
      </c>
    </row>
    <row r="939" spans="2:13" x14ac:dyDescent="0.3">
      <c r="B939" s="30" t="str">
        <f>IF(A939="","",IFERROR(INDEX(Maniobras!$B$5:$B$504,MATCH(A939,Maniobras!$A$5:$A$504,0)),""))</f>
        <v/>
      </c>
      <c r="C939" t="str">
        <f t="shared" si="28"/>
        <v/>
      </c>
      <c r="D939" t="str">
        <f>IF(A939="","",IFERROR(INDEX(Maniobras!$D$5:$D$504,MATCH(A939,Maniobras!$A$5:$A$504,0)),""))</f>
        <v/>
      </c>
      <c r="F939" s="29" t="str">
        <f>IF(A939="","",IFERROR(INDEX(Maniobras!$K$5:$K$504,MATCH(A939,Maniobras!$A$5:$A$504,0)),""))</f>
        <v/>
      </c>
      <c r="G939" s="29"/>
      <c r="H939" s="29"/>
      <c r="I939" s="29" t="str">
        <f t="shared" si="29"/>
        <v/>
      </c>
      <c r="K939" s="30"/>
      <c r="M939" t="str">
        <f>IF($A939=Ficha!$B$3,COUNTIF($A$5:$A939,Ficha!$B$3),"")</f>
        <v/>
      </c>
    </row>
    <row r="940" spans="2:13" x14ac:dyDescent="0.3">
      <c r="B940" s="30" t="str">
        <f>IF(A940="","",IFERROR(INDEX(Maniobras!$B$5:$B$504,MATCH(A940,Maniobras!$A$5:$A$504,0)),""))</f>
        <v/>
      </c>
      <c r="C940" t="str">
        <f t="shared" si="28"/>
        <v/>
      </c>
      <c r="D940" t="str">
        <f>IF(A940="","",IFERROR(INDEX(Maniobras!$D$5:$D$504,MATCH(A940,Maniobras!$A$5:$A$504,0)),""))</f>
        <v/>
      </c>
      <c r="F940" s="29" t="str">
        <f>IF(A940="","",IFERROR(INDEX(Maniobras!$K$5:$K$504,MATCH(A940,Maniobras!$A$5:$A$504,0)),""))</f>
        <v/>
      </c>
      <c r="G940" s="29"/>
      <c r="H940" s="29"/>
      <c r="I940" s="29" t="str">
        <f t="shared" si="29"/>
        <v/>
      </c>
      <c r="K940" s="30"/>
      <c r="M940" t="str">
        <f>IF($A940=Ficha!$B$3,COUNTIF($A$5:$A940,Ficha!$B$3),"")</f>
        <v/>
      </c>
    </row>
    <row r="941" spans="2:13" x14ac:dyDescent="0.3">
      <c r="B941" s="30" t="str">
        <f>IF(A941="","",IFERROR(INDEX(Maniobras!$B$5:$B$504,MATCH(A941,Maniobras!$A$5:$A$504,0)),""))</f>
        <v/>
      </c>
      <c r="C941" t="str">
        <f t="shared" si="28"/>
        <v/>
      </c>
      <c r="D941" t="str">
        <f>IF(A941="","",IFERROR(INDEX(Maniobras!$D$5:$D$504,MATCH(A941,Maniobras!$A$5:$A$504,0)),""))</f>
        <v/>
      </c>
      <c r="F941" s="29" t="str">
        <f>IF(A941="","",IFERROR(INDEX(Maniobras!$K$5:$K$504,MATCH(A941,Maniobras!$A$5:$A$504,0)),""))</f>
        <v/>
      </c>
      <c r="G941" s="29"/>
      <c r="H941" s="29"/>
      <c r="I941" s="29" t="str">
        <f t="shared" si="29"/>
        <v/>
      </c>
      <c r="K941" s="30"/>
      <c r="M941" t="str">
        <f>IF($A941=Ficha!$B$3,COUNTIF($A$5:$A941,Ficha!$B$3),"")</f>
        <v/>
      </c>
    </row>
    <row r="942" spans="2:13" x14ac:dyDescent="0.3">
      <c r="B942" s="30" t="str">
        <f>IF(A942="","",IFERROR(INDEX(Maniobras!$B$5:$B$504,MATCH(A942,Maniobras!$A$5:$A$504,0)),""))</f>
        <v/>
      </c>
      <c r="C942" t="str">
        <f t="shared" si="28"/>
        <v/>
      </c>
      <c r="D942" t="str">
        <f>IF(A942="","",IFERROR(INDEX(Maniobras!$D$5:$D$504,MATCH(A942,Maniobras!$A$5:$A$504,0)),""))</f>
        <v/>
      </c>
      <c r="F942" s="29" t="str">
        <f>IF(A942="","",IFERROR(INDEX(Maniobras!$K$5:$K$504,MATCH(A942,Maniobras!$A$5:$A$504,0)),""))</f>
        <v/>
      </c>
      <c r="G942" s="29"/>
      <c r="H942" s="29"/>
      <c r="I942" s="29" t="str">
        <f t="shared" si="29"/>
        <v/>
      </c>
      <c r="K942" s="30"/>
      <c r="M942" t="str">
        <f>IF($A942=Ficha!$B$3,COUNTIF($A$5:$A942,Ficha!$B$3),"")</f>
        <v/>
      </c>
    </row>
    <row r="943" spans="2:13" x14ac:dyDescent="0.3">
      <c r="B943" s="30" t="str">
        <f>IF(A943="","",IFERROR(INDEX(Maniobras!$B$5:$B$504,MATCH(A943,Maniobras!$A$5:$A$504,0)),""))</f>
        <v/>
      </c>
      <c r="C943" t="str">
        <f t="shared" si="28"/>
        <v/>
      </c>
      <c r="D943" t="str">
        <f>IF(A943="","",IFERROR(INDEX(Maniobras!$D$5:$D$504,MATCH(A943,Maniobras!$A$5:$A$504,0)),""))</f>
        <v/>
      </c>
      <c r="F943" s="29" t="str">
        <f>IF(A943="","",IFERROR(INDEX(Maniobras!$K$5:$K$504,MATCH(A943,Maniobras!$A$5:$A$504,0)),""))</f>
        <v/>
      </c>
      <c r="G943" s="29"/>
      <c r="H943" s="29"/>
      <c r="I943" s="29" t="str">
        <f t="shared" si="29"/>
        <v/>
      </c>
      <c r="K943" s="30"/>
      <c r="M943" t="str">
        <f>IF($A943=Ficha!$B$3,COUNTIF($A$5:$A943,Ficha!$B$3),"")</f>
        <v/>
      </c>
    </row>
    <row r="944" spans="2:13" x14ac:dyDescent="0.3">
      <c r="B944" s="30" t="str">
        <f>IF(A944="","",IFERROR(INDEX(Maniobras!$B$5:$B$504,MATCH(A944,Maniobras!$A$5:$A$504,0)),""))</f>
        <v/>
      </c>
      <c r="C944" t="str">
        <f t="shared" si="28"/>
        <v/>
      </c>
      <c r="D944" t="str">
        <f>IF(A944="","",IFERROR(INDEX(Maniobras!$D$5:$D$504,MATCH(A944,Maniobras!$A$5:$A$504,0)),""))</f>
        <v/>
      </c>
      <c r="F944" s="29" t="str">
        <f>IF(A944="","",IFERROR(INDEX(Maniobras!$K$5:$K$504,MATCH(A944,Maniobras!$A$5:$A$504,0)),""))</f>
        <v/>
      </c>
      <c r="G944" s="29"/>
      <c r="H944" s="29"/>
      <c r="I944" s="29" t="str">
        <f t="shared" si="29"/>
        <v/>
      </c>
      <c r="K944" s="30"/>
      <c r="M944" t="str">
        <f>IF($A944=Ficha!$B$3,COUNTIF($A$5:$A944,Ficha!$B$3),"")</f>
        <v/>
      </c>
    </row>
    <row r="945" spans="2:13" x14ac:dyDescent="0.3">
      <c r="B945" s="30" t="str">
        <f>IF(A945="","",IFERROR(INDEX(Maniobras!$B$5:$B$504,MATCH(A945,Maniobras!$A$5:$A$504,0)),""))</f>
        <v/>
      </c>
      <c r="C945" t="str">
        <f t="shared" si="28"/>
        <v/>
      </c>
      <c r="D945" t="str">
        <f>IF(A945="","",IFERROR(INDEX(Maniobras!$D$5:$D$504,MATCH(A945,Maniobras!$A$5:$A$504,0)),""))</f>
        <v/>
      </c>
      <c r="F945" s="29" t="str">
        <f>IF(A945="","",IFERROR(INDEX(Maniobras!$K$5:$K$504,MATCH(A945,Maniobras!$A$5:$A$504,0)),""))</f>
        <v/>
      </c>
      <c r="G945" s="29"/>
      <c r="H945" s="29"/>
      <c r="I945" s="29" t="str">
        <f t="shared" si="29"/>
        <v/>
      </c>
      <c r="K945" s="30"/>
      <c r="M945" t="str">
        <f>IF($A945=Ficha!$B$3,COUNTIF($A$5:$A945,Ficha!$B$3),"")</f>
        <v/>
      </c>
    </row>
    <row r="946" spans="2:13" x14ac:dyDescent="0.3">
      <c r="B946" s="30" t="str">
        <f>IF(A946="","",IFERROR(INDEX(Maniobras!$B$5:$B$504,MATCH(A946,Maniobras!$A$5:$A$504,0)),""))</f>
        <v/>
      </c>
      <c r="C946" t="str">
        <f t="shared" si="28"/>
        <v/>
      </c>
      <c r="D946" t="str">
        <f>IF(A946="","",IFERROR(INDEX(Maniobras!$D$5:$D$504,MATCH(A946,Maniobras!$A$5:$A$504,0)),""))</f>
        <v/>
      </c>
      <c r="F946" s="29" t="str">
        <f>IF(A946="","",IFERROR(INDEX(Maniobras!$K$5:$K$504,MATCH(A946,Maniobras!$A$5:$A$504,0)),""))</f>
        <v/>
      </c>
      <c r="G946" s="29"/>
      <c r="H946" s="29"/>
      <c r="I946" s="29" t="str">
        <f t="shared" si="29"/>
        <v/>
      </c>
      <c r="K946" s="30"/>
      <c r="M946" t="str">
        <f>IF($A946=Ficha!$B$3,COUNTIF($A$5:$A946,Ficha!$B$3),"")</f>
        <v/>
      </c>
    </row>
    <row r="947" spans="2:13" x14ac:dyDescent="0.3">
      <c r="B947" s="30" t="str">
        <f>IF(A947="","",IFERROR(INDEX(Maniobras!$B$5:$B$504,MATCH(A947,Maniobras!$A$5:$A$504,0)),""))</f>
        <v/>
      </c>
      <c r="C947" t="str">
        <f t="shared" si="28"/>
        <v/>
      </c>
      <c r="D947" t="str">
        <f>IF(A947="","",IFERROR(INDEX(Maniobras!$D$5:$D$504,MATCH(A947,Maniobras!$A$5:$A$504,0)),""))</f>
        <v/>
      </c>
      <c r="F947" s="29" t="str">
        <f>IF(A947="","",IFERROR(INDEX(Maniobras!$K$5:$K$504,MATCH(A947,Maniobras!$A$5:$A$504,0)),""))</f>
        <v/>
      </c>
      <c r="G947" s="29"/>
      <c r="H947" s="29"/>
      <c r="I947" s="29" t="str">
        <f t="shared" si="29"/>
        <v/>
      </c>
      <c r="K947" s="30"/>
      <c r="M947" t="str">
        <f>IF($A947=Ficha!$B$3,COUNTIF($A$5:$A947,Ficha!$B$3),"")</f>
        <v/>
      </c>
    </row>
    <row r="948" spans="2:13" x14ac:dyDescent="0.3">
      <c r="B948" s="30" t="str">
        <f>IF(A948="","",IFERROR(INDEX(Maniobras!$B$5:$B$504,MATCH(A948,Maniobras!$A$5:$A$504,0)),""))</f>
        <v/>
      </c>
      <c r="C948" t="str">
        <f t="shared" si="28"/>
        <v/>
      </c>
      <c r="D948" t="str">
        <f>IF(A948="","",IFERROR(INDEX(Maniobras!$D$5:$D$504,MATCH(A948,Maniobras!$A$5:$A$504,0)),""))</f>
        <v/>
      </c>
      <c r="F948" s="29" t="str">
        <f>IF(A948="","",IFERROR(INDEX(Maniobras!$K$5:$K$504,MATCH(A948,Maniobras!$A$5:$A$504,0)),""))</f>
        <v/>
      </c>
      <c r="G948" s="29"/>
      <c r="H948" s="29"/>
      <c r="I948" s="29" t="str">
        <f t="shared" si="29"/>
        <v/>
      </c>
      <c r="K948" s="30"/>
      <c r="M948" t="str">
        <f>IF($A948=Ficha!$B$3,COUNTIF($A$5:$A948,Ficha!$B$3),"")</f>
        <v/>
      </c>
    </row>
    <row r="949" spans="2:13" x14ac:dyDescent="0.3">
      <c r="B949" s="30" t="str">
        <f>IF(A949="","",IFERROR(INDEX(Maniobras!$B$5:$B$504,MATCH(A949,Maniobras!$A$5:$A$504,0)),""))</f>
        <v/>
      </c>
      <c r="C949" t="str">
        <f t="shared" si="28"/>
        <v/>
      </c>
      <c r="D949" t="str">
        <f>IF(A949="","",IFERROR(INDEX(Maniobras!$D$5:$D$504,MATCH(A949,Maniobras!$A$5:$A$504,0)),""))</f>
        <v/>
      </c>
      <c r="F949" s="29" t="str">
        <f>IF(A949="","",IFERROR(INDEX(Maniobras!$K$5:$K$504,MATCH(A949,Maniobras!$A$5:$A$504,0)),""))</f>
        <v/>
      </c>
      <c r="G949" s="29"/>
      <c r="H949" s="29"/>
      <c r="I949" s="29" t="str">
        <f t="shared" si="29"/>
        <v/>
      </c>
      <c r="K949" s="30"/>
      <c r="M949" t="str">
        <f>IF($A949=Ficha!$B$3,COUNTIF($A$5:$A949,Ficha!$B$3),"")</f>
        <v/>
      </c>
    </row>
    <row r="950" spans="2:13" x14ac:dyDescent="0.3">
      <c r="B950" s="30" t="str">
        <f>IF(A950="","",IFERROR(INDEX(Maniobras!$B$5:$B$504,MATCH(A950,Maniobras!$A$5:$A$504,0)),""))</f>
        <v/>
      </c>
      <c r="C950" t="str">
        <f t="shared" si="28"/>
        <v/>
      </c>
      <c r="D950" t="str">
        <f>IF(A950="","",IFERROR(INDEX(Maniobras!$D$5:$D$504,MATCH(A950,Maniobras!$A$5:$A$504,0)),""))</f>
        <v/>
      </c>
      <c r="F950" s="29" t="str">
        <f>IF(A950="","",IFERROR(INDEX(Maniobras!$K$5:$K$504,MATCH(A950,Maniobras!$A$5:$A$504,0)),""))</f>
        <v/>
      </c>
      <c r="G950" s="29"/>
      <c r="H950" s="29"/>
      <c r="I950" s="29" t="str">
        <f t="shared" si="29"/>
        <v/>
      </c>
      <c r="K950" s="30"/>
      <c r="M950" t="str">
        <f>IF($A950=Ficha!$B$3,COUNTIF($A$5:$A950,Ficha!$B$3),"")</f>
        <v/>
      </c>
    </row>
    <row r="951" spans="2:13" x14ac:dyDescent="0.3">
      <c r="B951" s="30" t="str">
        <f>IF(A951="","",IFERROR(INDEX(Maniobras!$B$5:$B$504,MATCH(A951,Maniobras!$A$5:$A$504,0)),""))</f>
        <v/>
      </c>
      <c r="C951" t="str">
        <f t="shared" si="28"/>
        <v/>
      </c>
      <c r="D951" t="str">
        <f>IF(A951="","",IFERROR(INDEX(Maniobras!$D$5:$D$504,MATCH(A951,Maniobras!$A$5:$A$504,0)),""))</f>
        <v/>
      </c>
      <c r="F951" s="29" t="str">
        <f>IF(A951="","",IFERROR(INDEX(Maniobras!$K$5:$K$504,MATCH(A951,Maniobras!$A$5:$A$504,0)),""))</f>
        <v/>
      </c>
      <c r="G951" s="29"/>
      <c r="H951" s="29"/>
      <c r="I951" s="29" t="str">
        <f t="shared" si="29"/>
        <v/>
      </c>
      <c r="K951" s="30"/>
      <c r="M951" t="str">
        <f>IF($A951=Ficha!$B$3,COUNTIF($A$5:$A951,Ficha!$B$3),"")</f>
        <v/>
      </c>
    </row>
    <row r="952" spans="2:13" x14ac:dyDescent="0.3">
      <c r="B952" s="30" t="str">
        <f>IF(A952="","",IFERROR(INDEX(Maniobras!$B$5:$B$504,MATCH(A952,Maniobras!$A$5:$A$504,0)),""))</f>
        <v/>
      </c>
      <c r="C952" t="str">
        <f t="shared" si="28"/>
        <v/>
      </c>
      <c r="D952" t="str">
        <f>IF(A952="","",IFERROR(INDEX(Maniobras!$D$5:$D$504,MATCH(A952,Maniobras!$A$5:$A$504,0)),""))</f>
        <v/>
      </c>
      <c r="F952" s="29" t="str">
        <f>IF(A952="","",IFERROR(INDEX(Maniobras!$K$5:$K$504,MATCH(A952,Maniobras!$A$5:$A$504,0)),""))</f>
        <v/>
      </c>
      <c r="G952" s="29"/>
      <c r="H952" s="29"/>
      <c r="I952" s="29" t="str">
        <f t="shared" si="29"/>
        <v/>
      </c>
      <c r="K952" s="30"/>
      <c r="M952" t="str">
        <f>IF($A952=Ficha!$B$3,COUNTIF($A$5:$A952,Ficha!$B$3),"")</f>
        <v/>
      </c>
    </row>
    <row r="953" spans="2:13" x14ac:dyDescent="0.3">
      <c r="B953" s="30" t="str">
        <f>IF(A953="","",IFERROR(INDEX(Maniobras!$B$5:$B$504,MATCH(A953,Maniobras!$A$5:$A$504,0)),""))</f>
        <v/>
      </c>
      <c r="C953" t="str">
        <f t="shared" si="28"/>
        <v/>
      </c>
      <c r="D953" t="str">
        <f>IF(A953="","",IFERROR(INDEX(Maniobras!$D$5:$D$504,MATCH(A953,Maniobras!$A$5:$A$504,0)),""))</f>
        <v/>
      </c>
      <c r="F953" s="29" t="str">
        <f>IF(A953="","",IFERROR(INDEX(Maniobras!$K$5:$K$504,MATCH(A953,Maniobras!$A$5:$A$504,0)),""))</f>
        <v/>
      </c>
      <c r="G953" s="29"/>
      <c r="H953" s="29"/>
      <c r="I953" s="29" t="str">
        <f t="shared" si="29"/>
        <v/>
      </c>
      <c r="K953" s="30"/>
      <c r="M953" t="str">
        <f>IF($A953=Ficha!$B$3,COUNTIF($A$5:$A953,Ficha!$B$3),"")</f>
        <v/>
      </c>
    </row>
    <row r="954" spans="2:13" x14ac:dyDescent="0.3">
      <c r="B954" s="30" t="str">
        <f>IF(A954="","",IFERROR(INDEX(Maniobras!$B$5:$B$504,MATCH(A954,Maniobras!$A$5:$A$504,0)),""))</f>
        <v/>
      </c>
      <c r="C954" t="str">
        <f t="shared" si="28"/>
        <v/>
      </c>
      <c r="D954" t="str">
        <f>IF(A954="","",IFERROR(INDEX(Maniobras!$D$5:$D$504,MATCH(A954,Maniobras!$A$5:$A$504,0)),""))</f>
        <v/>
      </c>
      <c r="F954" s="29" t="str">
        <f>IF(A954="","",IFERROR(INDEX(Maniobras!$K$5:$K$504,MATCH(A954,Maniobras!$A$5:$A$504,0)),""))</f>
        <v/>
      </c>
      <c r="G954" s="29"/>
      <c r="H954" s="29"/>
      <c r="I954" s="29" t="str">
        <f t="shared" si="29"/>
        <v/>
      </c>
      <c r="K954" s="30"/>
      <c r="M954" t="str">
        <f>IF($A954=Ficha!$B$3,COUNTIF($A$5:$A954,Ficha!$B$3),"")</f>
        <v/>
      </c>
    </row>
    <row r="955" spans="2:13" x14ac:dyDescent="0.3">
      <c r="B955" s="30" t="str">
        <f>IF(A955="","",IFERROR(INDEX(Maniobras!$B$5:$B$504,MATCH(A955,Maniobras!$A$5:$A$504,0)),""))</f>
        <v/>
      </c>
      <c r="C955" t="str">
        <f t="shared" si="28"/>
        <v/>
      </c>
      <c r="D955" t="str">
        <f>IF(A955="","",IFERROR(INDEX(Maniobras!$D$5:$D$504,MATCH(A955,Maniobras!$A$5:$A$504,0)),""))</f>
        <v/>
      </c>
      <c r="F955" s="29" t="str">
        <f>IF(A955="","",IFERROR(INDEX(Maniobras!$K$5:$K$504,MATCH(A955,Maniobras!$A$5:$A$504,0)),""))</f>
        <v/>
      </c>
      <c r="G955" s="29"/>
      <c r="H955" s="29"/>
      <c r="I955" s="29" t="str">
        <f t="shared" si="29"/>
        <v/>
      </c>
      <c r="K955" s="30"/>
      <c r="M955" t="str">
        <f>IF($A955=Ficha!$B$3,COUNTIF($A$5:$A955,Ficha!$B$3),"")</f>
        <v/>
      </c>
    </row>
    <row r="956" spans="2:13" x14ac:dyDescent="0.3">
      <c r="B956" s="30" t="str">
        <f>IF(A956="","",IFERROR(INDEX(Maniobras!$B$5:$B$504,MATCH(A956,Maniobras!$A$5:$A$504,0)),""))</f>
        <v/>
      </c>
      <c r="C956" t="str">
        <f t="shared" si="28"/>
        <v/>
      </c>
      <c r="D956" t="str">
        <f>IF(A956="","",IFERROR(INDEX(Maniobras!$D$5:$D$504,MATCH(A956,Maniobras!$A$5:$A$504,0)),""))</f>
        <v/>
      </c>
      <c r="F956" s="29" t="str">
        <f>IF(A956="","",IFERROR(INDEX(Maniobras!$K$5:$K$504,MATCH(A956,Maniobras!$A$5:$A$504,0)),""))</f>
        <v/>
      </c>
      <c r="G956" s="29"/>
      <c r="H956" s="29"/>
      <c r="I956" s="29" t="str">
        <f t="shared" si="29"/>
        <v/>
      </c>
      <c r="K956" s="30"/>
      <c r="M956" t="str">
        <f>IF($A956=Ficha!$B$3,COUNTIF($A$5:$A956,Ficha!$B$3),"")</f>
        <v/>
      </c>
    </row>
    <row r="957" spans="2:13" x14ac:dyDescent="0.3">
      <c r="B957" s="30" t="str">
        <f>IF(A957="","",IFERROR(INDEX(Maniobras!$B$5:$B$504,MATCH(A957,Maniobras!$A$5:$A$504,0)),""))</f>
        <v/>
      </c>
      <c r="C957" t="str">
        <f t="shared" si="28"/>
        <v/>
      </c>
      <c r="D957" t="str">
        <f>IF(A957="","",IFERROR(INDEX(Maniobras!$D$5:$D$504,MATCH(A957,Maniobras!$A$5:$A$504,0)),""))</f>
        <v/>
      </c>
      <c r="F957" s="29" t="str">
        <f>IF(A957="","",IFERROR(INDEX(Maniobras!$K$5:$K$504,MATCH(A957,Maniobras!$A$5:$A$504,0)),""))</f>
        <v/>
      </c>
      <c r="G957" s="29"/>
      <c r="H957" s="29"/>
      <c r="I957" s="29" t="str">
        <f t="shared" si="29"/>
        <v/>
      </c>
      <c r="K957" s="30"/>
      <c r="M957" t="str">
        <f>IF($A957=Ficha!$B$3,COUNTIF($A$5:$A957,Ficha!$B$3),"")</f>
        <v/>
      </c>
    </row>
    <row r="958" spans="2:13" x14ac:dyDescent="0.3">
      <c r="B958" s="30" t="str">
        <f>IF(A958="","",IFERROR(INDEX(Maniobras!$B$5:$B$504,MATCH(A958,Maniobras!$A$5:$A$504,0)),""))</f>
        <v/>
      </c>
      <c r="C958" t="str">
        <f t="shared" si="28"/>
        <v/>
      </c>
      <c r="D958" t="str">
        <f>IF(A958="","",IFERROR(INDEX(Maniobras!$D$5:$D$504,MATCH(A958,Maniobras!$A$5:$A$504,0)),""))</f>
        <v/>
      </c>
      <c r="F958" s="29" t="str">
        <f>IF(A958="","",IFERROR(INDEX(Maniobras!$K$5:$K$504,MATCH(A958,Maniobras!$A$5:$A$504,0)),""))</f>
        <v/>
      </c>
      <c r="G958" s="29"/>
      <c r="H958" s="29"/>
      <c r="I958" s="29" t="str">
        <f t="shared" si="29"/>
        <v/>
      </c>
      <c r="K958" s="30"/>
      <c r="M958" t="str">
        <f>IF($A958=Ficha!$B$3,COUNTIF($A$5:$A958,Ficha!$B$3),"")</f>
        <v/>
      </c>
    </row>
    <row r="959" spans="2:13" x14ac:dyDescent="0.3">
      <c r="B959" s="30" t="str">
        <f>IF(A959="","",IFERROR(INDEX(Maniobras!$B$5:$B$504,MATCH(A959,Maniobras!$A$5:$A$504,0)),""))</f>
        <v/>
      </c>
      <c r="C959" t="str">
        <f t="shared" si="28"/>
        <v/>
      </c>
      <c r="D959" t="str">
        <f>IF(A959="","",IFERROR(INDEX(Maniobras!$D$5:$D$504,MATCH(A959,Maniobras!$A$5:$A$504,0)),""))</f>
        <v/>
      </c>
      <c r="F959" s="29" t="str">
        <f>IF(A959="","",IFERROR(INDEX(Maniobras!$K$5:$K$504,MATCH(A959,Maniobras!$A$5:$A$504,0)),""))</f>
        <v/>
      </c>
      <c r="G959" s="29"/>
      <c r="H959" s="29"/>
      <c r="I959" s="29" t="str">
        <f t="shared" si="29"/>
        <v/>
      </c>
      <c r="K959" s="30"/>
      <c r="M959" t="str">
        <f>IF($A959=Ficha!$B$3,COUNTIF($A$5:$A959,Ficha!$B$3),"")</f>
        <v/>
      </c>
    </row>
    <row r="960" spans="2:13" x14ac:dyDescent="0.3">
      <c r="B960" s="30" t="str">
        <f>IF(A960="","",IFERROR(INDEX(Maniobras!$B$5:$B$504,MATCH(A960,Maniobras!$A$5:$A$504,0)),""))</f>
        <v/>
      </c>
      <c r="C960" t="str">
        <f t="shared" si="28"/>
        <v/>
      </c>
      <c r="D960" t="str">
        <f>IF(A960="","",IFERROR(INDEX(Maniobras!$D$5:$D$504,MATCH(A960,Maniobras!$A$5:$A$504,0)),""))</f>
        <v/>
      </c>
      <c r="F960" s="29" t="str">
        <f>IF(A960="","",IFERROR(INDEX(Maniobras!$K$5:$K$504,MATCH(A960,Maniobras!$A$5:$A$504,0)),""))</f>
        <v/>
      </c>
      <c r="G960" s="29"/>
      <c r="H960" s="29"/>
      <c r="I960" s="29" t="str">
        <f t="shared" si="29"/>
        <v/>
      </c>
      <c r="K960" s="30"/>
      <c r="M960" t="str">
        <f>IF($A960=Ficha!$B$3,COUNTIF($A$5:$A960,Ficha!$B$3),"")</f>
        <v/>
      </c>
    </row>
    <row r="961" spans="2:13" x14ac:dyDescent="0.3">
      <c r="B961" s="30" t="str">
        <f>IF(A961="","",IFERROR(INDEX(Maniobras!$B$5:$B$504,MATCH(A961,Maniobras!$A$5:$A$504,0)),""))</f>
        <v/>
      </c>
      <c r="C961" t="str">
        <f t="shared" si="28"/>
        <v/>
      </c>
      <c r="D961" t="str">
        <f>IF(A961="","",IFERROR(INDEX(Maniobras!$D$5:$D$504,MATCH(A961,Maniobras!$A$5:$A$504,0)),""))</f>
        <v/>
      </c>
      <c r="F961" s="29" t="str">
        <f>IF(A961="","",IFERROR(INDEX(Maniobras!$K$5:$K$504,MATCH(A961,Maniobras!$A$5:$A$504,0)),""))</f>
        <v/>
      </c>
      <c r="G961" s="29"/>
      <c r="H961" s="29"/>
      <c r="I961" s="29" t="str">
        <f t="shared" si="29"/>
        <v/>
      </c>
      <c r="K961" s="30"/>
      <c r="M961" t="str">
        <f>IF($A961=Ficha!$B$3,COUNTIF($A$5:$A961,Ficha!$B$3),"")</f>
        <v/>
      </c>
    </row>
    <row r="962" spans="2:13" x14ac:dyDescent="0.3">
      <c r="B962" s="30" t="str">
        <f>IF(A962="","",IFERROR(INDEX(Maniobras!$B$5:$B$504,MATCH(A962,Maniobras!$A$5:$A$504,0)),""))</f>
        <v/>
      </c>
      <c r="C962" t="str">
        <f t="shared" si="28"/>
        <v/>
      </c>
      <c r="D962" t="str">
        <f>IF(A962="","",IFERROR(INDEX(Maniobras!$D$5:$D$504,MATCH(A962,Maniobras!$A$5:$A$504,0)),""))</f>
        <v/>
      </c>
      <c r="F962" s="29" t="str">
        <f>IF(A962="","",IFERROR(INDEX(Maniobras!$K$5:$K$504,MATCH(A962,Maniobras!$A$5:$A$504,0)),""))</f>
        <v/>
      </c>
      <c r="G962" s="29"/>
      <c r="H962" s="29"/>
      <c r="I962" s="29" t="str">
        <f t="shared" si="29"/>
        <v/>
      </c>
      <c r="K962" s="30"/>
      <c r="M962" t="str">
        <f>IF($A962=Ficha!$B$3,COUNTIF($A$5:$A962,Ficha!$B$3),"")</f>
        <v/>
      </c>
    </row>
    <row r="963" spans="2:13" x14ac:dyDescent="0.3">
      <c r="B963" s="30" t="str">
        <f>IF(A963="","",IFERROR(INDEX(Maniobras!$B$5:$B$504,MATCH(A963,Maniobras!$A$5:$A$504,0)),""))</f>
        <v/>
      </c>
      <c r="C963" t="str">
        <f t="shared" si="28"/>
        <v/>
      </c>
      <c r="D963" t="str">
        <f>IF(A963="","",IFERROR(INDEX(Maniobras!$D$5:$D$504,MATCH(A963,Maniobras!$A$5:$A$504,0)),""))</f>
        <v/>
      </c>
      <c r="F963" s="29" t="str">
        <f>IF(A963="","",IFERROR(INDEX(Maniobras!$K$5:$K$504,MATCH(A963,Maniobras!$A$5:$A$504,0)),""))</f>
        <v/>
      </c>
      <c r="G963" s="29"/>
      <c r="H963" s="29"/>
      <c r="I963" s="29" t="str">
        <f t="shared" si="29"/>
        <v/>
      </c>
      <c r="K963" s="30"/>
      <c r="M963" t="str">
        <f>IF($A963=Ficha!$B$3,COUNTIF($A$5:$A963,Ficha!$B$3),"")</f>
        <v/>
      </c>
    </row>
    <row r="964" spans="2:13" x14ac:dyDescent="0.3">
      <c r="B964" s="30" t="str">
        <f>IF(A964="","",IFERROR(INDEX(Maniobras!$B$5:$B$504,MATCH(A964,Maniobras!$A$5:$A$504,0)),""))</f>
        <v/>
      </c>
      <c r="C964" t="str">
        <f t="shared" si="28"/>
        <v/>
      </c>
      <c r="D964" t="str">
        <f>IF(A964="","",IFERROR(INDEX(Maniobras!$D$5:$D$504,MATCH(A964,Maniobras!$A$5:$A$504,0)),""))</f>
        <v/>
      </c>
      <c r="F964" s="29" t="str">
        <f>IF(A964="","",IFERROR(INDEX(Maniobras!$K$5:$K$504,MATCH(A964,Maniobras!$A$5:$A$504,0)),""))</f>
        <v/>
      </c>
      <c r="G964" s="29"/>
      <c r="H964" s="29"/>
      <c r="I964" s="29" t="str">
        <f t="shared" si="29"/>
        <v/>
      </c>
      <c r="K964" s="30"/>
      <c r="M964" t="str">
        <f>IF($A964=Ficha!$B$3,COUNTIF($A$5:$A964,Ficha!$B$3),"")</f>
        <v/>
      </c>
    </row>
    <row r="965" spans="2:13" x14ac:dyDescent="0.3">
      <c r="B965" s="30" t="str">
        <f>IF(A965="","",IFERROR(INDEX(Maniobras!$B$5:$B$504,MATCH(A965,Maniobras!$A$5:$A$504,0)),""))</f>
        <v/>
      </c>
      <c r="C965" t="str">
        <f t="shared" ref="C965:C1028" si="30">IF(B965="","",TEXT(B965,"yyyy-mm"))</f>
        <v/>
      </c>
      <c r="D965" t="str">
        <f>IF(A965="","",IFERROR(INDEX(Maniobras!$D$5:$D$504,MATCH(A965,Maniobras!$A$5:$A$504,0)),""))</f>
        <v/>
      </c>
      <c r="F965" s="29" t="str">
        <f>IF(A965="","",IFERROR(INDEX(Maniobras!$K$5:$K$504,MATCH(A965,Maniobras!$A$5:$A$504,0)),""))</f>
        <v/>
      </c>
      <c r="G965" s="29"/>
      <c r="H965" s="29"/>
      <c r="I965" s="29" t="str">
        <f t="shared" ref="I965:I1028" si="31">IF(G965="","",G965+N(H965))</f>
        <v/>
      </c>
      <c r="K965" s="30"/>
      <c r="M965" t="str">
        <f>IF($A965=Ficha!$B$3,COUNTIF($A$5:$A965,Ficha!$B$3),"")</f>
        <v/>
      </c>
    </row>
    <row r="966" spans="2:13" x14ac:dyDescent="0.3">
      <c r="B966" s="30" t="str">
        <f>IF(A966="","",IFERROR(INDEX(Maniobras!$B$5:$B$504,MATCH(A966,Maniobras!$A$5:$A$504,0)),""))</f>
        <v/>
      </c>
      <c r="C966" t="str">
        <f t="shared" si="30"/>
        <v/>
      </c>
      <c r="D966" t="str">
        <f>IF(A966="","",IFERROR(INDEX(Maniobras!$D$5:$D$504,MATCH(A966,Maniobras!$A$5:$A$504,0)),""))</f>
        <v/>
      </c>
      <c r="F966" s="29" t="str">
        <f>IF(A966="","",IFERROR(INDEX(Maniobras!$K$5:$K$504,MATCH(A966,Maniobras!$A$5:$A$504,0)),""))</f>
        <v/>
      </c>
      <c r="G966" s="29"/>
      <c r="H966" s="29"/>
      <c r="I966" s="29" t="str">
        <f t="shared" si="31"/>
        <v/>
      </c>
      <c r="K966" s="30"/>
      <c r="M966" t="str">
        <f>IF($A966=Ficha!$B$3,COUNTIF($A$5:$A966,Ficha!$B$3),"")</f>
        <v/>
      </c>
    </row>
    <row r="967" spans="2:13" x14ac:dyDescent="0.3">
      <c r="B967" s="30" t="str">
        <f>IF(A967="","",IFERROR(INDEX(Maniobras!$B$5:$B$504,MATCH(A967,Maniobras!$A$5:$A$504,0)),""))</f>
        <v/>
      </c>
      <c r="C967" t="str">
        <f t="shared" si="30"/>
        <v/>
      </c>
      <c r="D967" t="str">
        <f>IF(A967="","",IFERROR(INDEX(Maniobras!$D$5:$D$504,MATCH(A967,Maniobras!$A$5:$A$504,0)),""))</f>
        <v/>
      </c>
      <c r="F967" s="29" t="str">
        <f>IF(A967="","",IFERROR(INDEX(Maniobras!$K$5:$K$504,MATCH(A967,Maniobras!$A$5:$A$504,0)),""))</f>
        <v/>
      </c>
      <c r="G967" s="29"/>
      <c r="H967" s="29"/>
      <c r="I967" s="29" t="str">
        <f t="shared" si="31"/>
        <v/>
      </c>
      <c r="K967" s="30"/>
      <c r="M967" t="str">
        <f>IF($A967=Ficha!$B$3,COUNTIF($A$5:$A967,Ficha!$B$3),"")</f>
        <v/>
      </c>
    </row>
    <row r="968" spans="2:13" x14ac:dyDescent="0.3">
      <c r="B968" s="30" t="str">
        <f>IF(A968="","",IFERROR(INDEX(Maniobras!$B$5:$B$504,MATCH(A968,Maniobras!$A$5:$A$504,0)),""))</f>
        <v/>
      </c>
      <c r="C968" t="str">
        <f t="shared" si="30"/>
        <v/>
      </c>
      <c r="D968" t="str">
        <f>IF(A968="","",IFERROR(INDEX(Maniobras!$D$5:$D$504,MATCH(A968,Maniobras!$A$5:$A$504,0)),""))</f>
        <v/>
      </c>
      <c r="F968" s="29" t="str">
        <f>IF(A968="","",IFERROR(INDEX(Maniobras!$K$5:$K$504,MATCH(A968,Maniobras!$A$5:$A$504,0)),""))</f>
        <v/>
      </c>
      <c r="G968" s="29"/>
      <c r="H968" s="29"/>
      <c r="I968" s="29" t="str">
        <f t="shared" si="31"/>
        <v/>
      </c>
      <c r="K968" s="30"/>
      <c r="M968" t="str">
        <f>IF($A968=Ficha!$B$3,COUNTIF($A$5:$A968,Ficha!$B$3),"")</f>
        <v/>
      </c>
    </row>
    <row r="969" spans="2:13" x14ac:dyDescent="0.3">
      <c r="B969" s="30" t="str">
        <f>IF(A969="","",IFERROR(INDEX(Maniobras!$B$5:$B$504,MATCH(A969,Maniobras!$A$5:$A$504,0)),""))</f>
        <v/>
      </c>
      <c r="C969" t="str">
        <f t="shared" si="30"/>
        <v/>
      </c>
      <c r="D969" t="str">
        <f>IF(A969="","",IFERROR(INDEX(Maniobras!$D$5:$D$504,MATCH(A969,Maniobras!$A$5:$A$504,0)),""))</f>
        <v/>
      </c>
      <c r="F969" s="29" t="str">
        <f>IF(A969="","",IFERROR(INDEX(Maniobras!$K$5:$K$504,MATCH(A969,Maniobras!$A$5:$A$504,0)),""))</f>
        <v/>
      </c>
      <c r="G969" s="29"/>
      <c r="H969" s="29"/>
      <c r="I969" s="29" t="str">
        <f t="shared" si="31"/>
        <v/>
      </c>
      <c r="K969" s="30"/>
      <c r="M969" t="str">
        <f>IF($A969=Ficha!$B$3,COUNTIF($A$5:$A969,Ficha!$B$3),"")</f>
        <v/>
      </c>
    </row>
    <row r="970" spans="2:13" x14ac:dyDescent="0.3">
      <c r="B970" s="30" t="str">
        <f>IF(A970="","",IFERROR(INDEX(Maniobras!$B$5:$B$504,MATCH(A970,Maniobras!$A$5:$A$504,0)),""))</f>
        <v/>
      </c>
      <c r="C970" t="str">
        <f t="shared" si="30"/>
        <v/>
      </c>
      <c r="D970" t="str">
        <f>IF(A970="","",IFERROR(INDEX(Maniobras!$D$5:$D$504,MATCH(A970,Maniobras!$A$5:$A$504,0)),""))</f>
        <v/>
      </c>
      <c r="F970" s="29" t="str">
        <f>IF(A970="","",IFERROR(INDEX(Maniobras!$K$5:$K$504,MATCH(A970,Maniobras!$A$5:$A$504,0)),""))</f>
        <v/>
      </c>
      <c r="G970" s="29"/>
      <c r="H970" s="29"/>
      <c r="I970" s="29" t="str">
        <f t="shared" si="31"/>
        <v/>
      </c>
      <c r="K970" s="30"/>
      <c r="M970" t="str">
        <f>IF($A970=Ficha!$B$3,COUNTIF($A$5:$A970,Ficha!$B$3),"")</f>
        <v/>
      </c>
    </row>
    <row r="971" spans="2:13" x14ac:dyDescent="0.3">
      <c r="B971" s="30" t="str">
        <f>IF(A971="","",IFERROR(INDEX(Maniobras!$B$5:$B$504,MATCH(A971,Maniobras!$A$5:$A$504,0)),""))</f>
        <v/>
      </c>
      <c r="C971" t="str">
        <f t="shared" si="30"/>
        <v/>
      </c>
      <c r="D971" t="str">
        <f>IF(A971="","",IFERROR(INDEX(Maniobras!$D$5:$D$504,MATCH(A971,Maniobras!$A$5:$A$504,0)),""))</f>
        <v/>
      </c>
      <c r="F971" s="29" t="str">
        <f>IF(A971="","",IFERROR(INDEX(Maniobras!$K$5:$K$504,MATCH(A971,Maniobras!$A$5:$A$504,0)),""))</f>
        <v/>
      </c>
      <c r="G971" s="29"/>
      <c r="H971" s="29"/>
      <c r="I971" s="29" t="str">
        <f t="shared" si="31"/>
        <v/>
      </c>
      <c r="K971" s="30"/>
      <c r="M971" t="str">
        <f>IF($A971=Ficha!$B$3,COUNTIF($A$5:$A971,Ficha!$B$3),"")</f>
        <v/>
      </c>
    </row>
    <row r="972" spans="2:13" x14ac:dyDescent="0.3">
      <c r="B972" s="30" t="str">
        <f>IF(A972="","",IFERROR(INDEX(Maniobras!$B$5:$B$504,MATCH(A972,Maniobras!$A$5:$A$504,0)),""))</f>
        <v/>
      </c>
      <c r="C972" t="str">
        <f t="shared" si="30"/>
        <v/>
      </c>
      <c r="D972" t="str">
        <f>IF(A972="","",IFERROR(INDEX(Maniobras!$D$5:$D$504,MATCH(A972,Maniobras!$A$5:$A$504,0)),""))</f>
        <v/>
      </c>
      <c r="F972" s="29" t="str">
        <f>IF(A972="","",IFERROR(INDEX(Maniobras!$K$5:$K$504,MATCH(A972,Maniobras!$A$5:$A$504,0)),""))</f>
        <v/>
      </c>
      <c r="G972" s="29"/>
      <c r="H972" s="29"/>
      <c r="I972" s="29" t="str">
        <f t="shared" si="31"/>
        <v/>
      </c>
      <c r="K972" s="30"/>
      <c r="M972" t="str">
        <f>IF($A972=Ficha!$B$3,COUNTIF($A$5:$A972,Ficha!$B$3),"")</f>
        <v/>
      </c>
    </row>
    <row r="973" spans="2:13" x14ac:dyDescent="0.3">
      <c r="B973" s="30" t="str">
        <f>IF(A973="","",IFERROR(INDEX(Maniobras!$B$5:$B$504,MATCH(A973,Maniobras!$A$5:$A$504,0)),""))</f>
        <v/>
      </c>
      <c r="C973" t="str">
        <f t="shared" si="30"/>
        <v/>
      </c>
      <c r="D973" t="str">
        <f>IF(A973="","",IFERROR(INDEX(Maniobras!$D$5:$D$504,MATCH(A973,Maniobras!$A$5:$A$504,0)),""))</f>
        <v/>
      </c>
      <c r="F973" s="29" t="str">
        <f>IF(A973="","",IFERROR(INDEX(Maniobras!$K$5:$K$504,MATCH(A973,Maniobras!$A$5:$A$504,0)),""))</f>
        <v/>
      </c>
      <c r="G973" s="29"/>
      <c r="H973" s="29"/>
      <c r="I973" s="29" t="str">
        <f t="shared" si="31"/>
        <v/>
      </c>
      <c r="K973" s="30"/>
      <c r="M973" t="str">
        <f>IF($A973=Ficha!$B$3,COUNTIF($A$5:$A973,Ficha!$B$3),"")</f>
        <v/>
      </c>
    </row>
    <row r="974" spans="2:13" x14ac:dyDescent="0.3">
      <c r="B974" s="30" t="str">
        <f>IF(A974="","",IFERROR(INDEX(Maniobras!$B$5:$B$504,MATCH(A974,Maniobras!$A$5:$A$504,0)),""))</f>
        <v/>
      </c>
      <c r="C974" t="str">
        <f t="shared" si="30"/>
        <v/>
      </c>
      <c r="D974" t="str">
        <f>IF(A974="","",IFERROR(INDEX(Maniobras!$D$5:$D$504,MATCH(A974,Maniobras!$A$5:$A$504,0)),""))</f>
        <v/>
      </c>
      <c r="F974" s="29" t="str">
        <f>IF(A974="","",IFERROR(INDEX(Maniobras!$K$5:$K$504,MATCH(A974,Maniobras!$A$5:$A$504,0)),""))</f>
        <v/>
      </c>
      <c r="G974" s="29"/>
      <c r="H974" s="29"/>
      <c r="I974" s="29" t="str">
        <f t="shared" si="31"/>
        <v/>
      </c>
      <c r="K974" s="30"/>
      <c r="M974" t="str">
        <f>IF($A974=Ficha!$B$3,COUNTIF($A$5:$A974,Ficha!$B$3),"")</f>
        <v/>
      </c>
    </row>
    <row r="975" spans="2:13" x14ac:dyDescent="0.3">
      <c r="B975" s="30" t="str">
        <f>IF(A975="","",IFERROR(INDEX(Maniobras!$B$5:$B$504,MATCH(A975,Maniobras!$A$5:$A$504,0)),""))</f>
        <v/>
      </c>
      <c r="C975" t="str">
        <f t="shared" si="30"/>
        <v/>
      </c>
      <c r="D975" t="str">
        <f>IF(A975="","",IFERROR(INDEX(Maniobras!$D$5:$D$504,MATCH(A975,Maniobras!$A$5:$A$504,0)),""))</f>
        <v/>
      </c>
      <c r="F975" s="29" t="str">
        <f>IF(A975="","",IFERROR(INDEX(Maniobras!$K$5:$K$504,MATCH(A975,Maniobras!$A$5:$A$504,0)),""))</f>
        <v/>
      </c>
      <c r="G975" s="29"/>
      <c r="H975" s="29"/>
      <c r="I975" s="29" t="str">
        <f t="shared" si="31"/>
        <v/>
      </c>
      <c r="K975" s="30"/>
      <c r="M975" t="str">
        <f>IF($A975=Ficha!$B$3,COUNTIF($A$5:$A975,Ficha!$B$3),"")</f>
        <v/>
      </c>
    </row>
    <row r="976" spans="2:13" x14ac:dyDescent="0.3">
      <c r="B976" s="30" t="str">
        <f>IF(A976="","",IFERROR(INDEX(Maniobras!$B$5:$B$504,MATCH(A976,Maniobras!$A$5:$A$504,0)),""))</f>
        <v/>
      </c>
      <c r="C976" t="str">
        <f t="shared" si="30"/>
        <v/>
      </c>
      <c r="D976" t="str">
        <f>IF(A976="","",IFERROR(INDEX(Maniobras!$D$5:$D$504,MATCH(A976,Maniobras!$A$5:$A$504,0)),""))</f>
        <v/>
      </c>
      <c r="F976" s="29" t="str">
        <f>IF(A976="","",IFERROR(INDEX(Maniobras!$K$5:$K$504,MATCH(A976,Maniobras!$A$5:$A$504,0)),""))</f>
        <v/>
      </c>
      <c r="G976" s="29"/>
      <c r="H976" s="29"/>
      <c r="I976" s="29" t="str">
        <f t="shared" si="31"/>
        <v/>
      </c>
      <c r="K976" s="30"/>
      <c r="M976" t="str">
        <f>IF($A976=Ficha!$B$3,COUNTIF($A$5:$A976,Ficha!$B$3),"")</f>
        <v/>
      </c>
    </row>
    <row r="977" spans="2:13" x14ac:dyDescent="0.3">
      <c r="B977" s="30" t="str">
        <f>IF(A977="","",IFERROR(INDEX(Maniobras!$B$5:$B$504,MATCH(A977,Maniobras!$A$5:$A$504,0)),""))</f>
        <v/>
      </c>
      <c r="C977" t="str">
        <f t="shared" si="30"/>
        <v/>
      </c>
      <c r="D977" t="str">
        <f>IF(A977="","",IFERROR(INDEX(Maniobras!$D$5:$D$504,MATCH(A977,Maniobras!$A$5:$A$504,0)),""))</f>
        <v/>
      </c>
      <c r="F977" s="29" t="str">
        <f>IF(A977="","",IFERROR(INDEX(Maniobras!$K$5:$K$504,MATCH(A977,Maniobras!$A$5:$A$504,0)),""))</f>
        <v/>
      </c>
      <c r="G977" s="29"/>
      <c r="H977" s="29"/>
      <c r="I977" s="29" t="str">
        <f t="shared" si="31"/>
        <v/>
      </c>
      <c r="K977" s="30"/>
      <c r="M977" t="str">
        <f>IF($A977=Ficha!$B$3,COUNTIF($A$5:$A977,Ficha!$B$3),"")</f>
        <v/>
      </c>
    </row>
    <row r="978" spans="2:13" x14ac:dyDescent="0.3">
      <c r="B978" s="30" t="str">
        <f>IF(A978="","",IFERROR(INDEX(Maniobras!$B$5:$B$504,MATCH(A978,Maniobras!$A$5:$A$504,0)),""))</f>
        <v/>
      </c>
      <c r="C978" t="str">
        <f t="shared" si="30"/>
        <v/>
      </c>
      <c r="D978" t="str">
        <f>IF(A978="","",IFERROR(INDEX(Maniobras!$D$5:$D$504,MATCH(A978,Maniobras!$A$5:$A$504,0)),""))</f>
        <v/>
      </c>
      <c r="F978" s="29" t="str">
        <f>IF(A978="","",IFERROR(INDEX(Maniobras!$K$5:$K$504,MATCH(A978,Maniobras!$A$5:$A$504,0)),""))</f>
        <v/>
      </c>
      <c r="G978" s="29"/>
      <c r="H978" s="29"/>
      <c r="I978" s="29" t="str">
        <f t="shared" si="31"/>
        <v/>
      </c>
      <c r="K978" s="30"/>
      <c r="M978" t="str">
        <f>IF($A978=Ficha!$B$3,COUNTIF($A$5:$A978,Ficha!$B$3),"")</f>
        <v/>
      </c>
    </row>
    <row r="979" spans="2:13" x14ac:dyDescent="0.3">
      <c r="B979" s="30" t="str">
        <f>IF(A979="","",IFERROR(INDEX(Maniobras!$B$5:$B$504,MATCH(A979,Maniobras!$A$5:$A$504,0)),""))</f>
        <v/>
      </c>
      <c r="C979" t="str">
        <f t="shared" si="30"/>
        <v/>
      </c>
      <c r="D979" t="str">
        <f>IF(A979="","",IFERROR(INDEX(Maniobras!$D$5:$D$504,MATCH(A979,Maniobras!$A$5:$A$504,0)),""))</f>
        <v/>
      </c>
      <c r="F979" s="29" t="str">
        <f>IF(A979="","",IFERROR(INDEX(Maniobras!$K$5:$K$504,MATCH(A979,Maniobras!$A$5:$A$504,0)),""))</f>
        <v/>
      </c>
      <c r="G979" s="29"/>
      <c r="H979" s="29"/>
      <c r="I979" s="29" t="str">
        <f t="shared" si="31"/>
        <v/>
      </c>
      <c r="K979" s="30"/>
      <c r="M979" t="str">
        <f>IF($A979=Ficha!$B$3,COUNTIF($A$5:$A979,Ficha!$B$3),"")</f>
        <v/>
      </c>
    </row>
    <row r="980" spans="2:13" x14ac:dyDescent="0.3">
      <c r="B980" s="30" t="str">
        <f>IF(A980="","",IFERROR(INDEX(Maniobras!$B$5:$B$504,MATCH(A980,Maniobras!$A$5:$A$504,0)),""))</f>
        <v/>
      </c>
      <c r="C980" t="str">
        <f t="shared" si="30"/>
        <v/>
      </c>
      <c r="D980" t="str">
        <f>IF(A980="","",IFERROR(INDEX(Maniobras!$D$5:$D$504,MATCH(A980,Maniobras!$A$5:$A$504,0)),""))</f>
        <v/>
      </c>
      <c r="F980" s="29" t="str">
        <f>IF(A980="","",IFERROR(INDEX(Maniobras!$K$5:$K$504,MATCH(A980,Maniobras!$A$5:$A$504,0)),""))</f>
        <v/>
      </c>
      <c r="G980" s="29"/>
      <c r="H980" s="29"/>
      <c r="I980" s="29" t="str">
        <f t="shared" si="31"/>
        <v/>
      </c>
      <c r="K980" s="30"/>
      <c r="M980" t="str">
        <f>IF($A980=Ficha!$B$3,COUNTIF($A$5:$A980,Ficha!$B$3),"")</f>
        <v/>
      </c>
    </row>
    <row r="981" spans="2:13" x14ac:dyDescent="0.3">
      <c r="B981" s="30" t="str">
        <f>IF(A981="","",IFERROR(INDEX(Maniobras!$B$5:$B$504,MATCH(A981,Maniobras!$A$5:$A$504,0)),""))</f>
        <v/>
      </c>
      <c r="C981" t="str">
        <f t="shared" si="30"/>
        <v/>
      </c>
      <c r="D981" t="str">
        <f>IF(A981="","",IFERROR(INDEX(Maniobras!$D$5:$D$504,MATCH(A981,Maniobras!$A$5:$A$504,0)),""))</f>
        <v/>
      </c>
      <c r="F981" s="29" t="str">
        <f>IF(A981="","",IFERROR(INDEX(Maniobras!$K$5:$K$504,MATCH(A981,Maniobras!$A$5:$A$504,0)),""))</f>
        <v/>
      </c>
      <c r="G981" s="29"/>
      <c r="H981" s="29"/>
      <c r="I981" s="29" t="str">
        <f t="shared" si="31"/>
        <v/>
      </c>
      <c r="K981" s="30"/>
      <c r="M981" t="str">
        <f>IF($A981=Ficha!$B$3,COUNTIF($A$5:$A981,Ficha!$B$3),"")</f>
        <v/>
      </c>
    </row>
    <row r="982" spans="2:13" x14ac:dyDescent="0.3">
      <c r="B982" s="30" t="str">
        <f>IF(A982="","",IFERROR(INDEX(Maniobras!$B$5:$B$504,MATCH(A982,Maniobras!$A$5:$A$504,0)),""))</f>
        <v/>
      </c>
      <c r="C982" t="str">
        <f t="shared" si="30"/>
        <v/>
      </c>
      <c r="D982" t="str">
        <f>IF(A982="","",IFERROR(INDEX(Maniobras!$D$5:$D$504,MATCH(A982,Maniobras!$A$5:$A$504,0)),""))</f>
        <v/>
      </c>
      <c r="F982" s="29" t="str">
        <f>IF(A982="","",IFERROR(INDEX(Maniobras!$K$5:$K$504,MATCH(A982,Maniobras!$A$5:$A$504,0)),""))</f>
        <v/>
      </c>
      <c r="G982" s="29"/>
      <c r="H982" s="29"/>
      <c r="I982" s="29" t="str">
        <f t="shared" si="31"/>
        <v/>
      </c>
      <c r="K982" s="30"/>
      <c r="M982" t="str">
        <f>IF($A982=Ficha!$B$3,COUNTIF($A$5:$A982,Ficha!$B$3),"")</f>
        <v/>
      </c>
    </row>
    <row r="983" spans="2:13" x14ac:dyDescent="0.3">
      <c r="B983" s="30" t="str">
        <f>IF(A983="","",IFERROR(INDEX(Maniobras!$B$5:$B$504,MATCH(A983,Maniobras!$A$5:$A$504,0)),""))</f>
        <v/>
      </c>
      <c r="C983" t="str">
        <f t="shared" si="30"/>
        <v/>
      </c>
      <c r="D983" t="str">
        <f>IF(A983="","",IFERROR(INDEX(Maniobras!$D$5:$D$504,MATCH(A983,Maniobras!$A$5:$A$504,0)),""))</f>
        <v/>
      </c>
      <c r="F983" s="29" t="str">
        <f>IF(A983="","",IFERROR(INDEX(Maniobras!$K$5:$K$504,MATCH(A983,Maniobras!$A$5:$A$504,0)),""))</f>
        <v/>
      </c>
      <c r="G983" s="29"/>
      <c r="H983" s="29"/>
      <c r="I983" s="29" t="str">
        <f t="shared" si="31"/>
        <v/>
      </c>
      <c r="K983" s="30"/>
      <c r="M983" t="str">
        <f>IF($A983=Ficha!$B$3,COUNTIF($A$5:$A983,Ficha!$B$3),"")</f>
        <v/>
      </c>
    </row>
    <row r="984" spans="2:13" x14ac:dyDescent="0.3">
      <c r="B984" s="30" t="str">
        <f>IF(A984="","",IFERROR(INDEX(Maniobras!$B$5:$B$504,MATCH(A984,Maniobras!$A$5:$A$504,0)),""))</f>
        <v/>
      </c>
      <c r="C984" t="str">
        <f t="shared" si="30"/>
        <v/>
      </c>
      <c r="D984" t="str">
        <f>IF(A984="","",IFERROR(INDEX(Maniobras!$D$5:$D$504,MATCH(A984,Maniobras!$A$5:$A$504,0)),""))</f>
        <v/>
      </c>
      <c r="F984" s="29" t="str">
        <f>IF(A984="","",IFERROR(INDEX(Maniobras!$K$5:$K$504,MATCH(A984,Maniobras!$A$5:$A$504,0)),""))</f>
        <v/>
      </c>
      <c r="G984" s="29"/>
      <c r="H984" s="29"/>
      <c r="I984" s="29" t="str">
        <f t="shared" si="31"/>
        <v/>
      </c>
      <c r="K984" s="30"/>
      <c r="M984" t="str">
        <f>IF($A984=Ficha!$B$3,COUNTIF($A$5:$A984,Ficha!$B$3),"")</f>
        <v/>
      </c>
    </row>
    <row r="985" spans="2:13" x14ac:dyDescent="0.3">
      <c r="B985" s="30" t="str">
        <f>IF(A985="","",IFERROR(INDEX(Maniobras!$B$5:$B$504,MATCH(A985,Maniobras!$A$5:$A$504,0)),""))</f>
        <v/>
      </c>
      <c r="C985" t="str">
        <f t="shared" si="30"/>
        <v/>
      </c>
      <c r="D985" t="str">
        <f>IF(A985="","",IFERROR(INDEX(Maniobras!$D$5:$D$504,MATCH(A985,Maniobras!$A$5:$A$504,0)),""))</f>
        <v/>
      </c>
      <c r="F985" s="29" t="str">
        <f>IF(A985="","",IFERROR(INDEX(Maniobras!$K$5:$K$504,MATCH(A985,Maniobras!$A$5:$A$504,0)),""))</f>
        <v/>
      </c>
      <c r="G985" s="29"/>
      <c r="H985" s="29"/>
      <c r="I985" s="29" t="str">
        <f t="shared" si="31"/>
        <v/>
      </c>
      <c r="K985" s="30"/>
      <c r="M985" t="str">
        <f>IF($A985=Ficha!$B$3,COUNTIF($A$5:$A985,Ficha!$B$3),"")</f>
        <v/>
      </c>
    </row>
    <row r="986" spans="2:13" x14ac:dyDescent="0.3">
      <c r="B986" s="30" t="str">
        <f>IF(A986="","",IFERROR(INDEX(Maniobras!$B$5:$B$504,MATCH(A986,Maniobras!$A$5:$A$504,0)),""))</f>
        <v/>
      </c>
      <c r="C986" t="str">
        <f t="shared" si="30"/>
        <v/>
      </c>
      <c r="D986" t="str">
        <f>IF(A986="","",IFERROR(INDEX(Maniobras!$D$5:$D$504,MATCH(A986,Maniobras!$A$5:$A$504,0)),""))</f>
        <v/>
      </c>
      <c r="F986" s="29" t="str">
        <f>IF(A986="","",IFERROR(INDEX(Maniobras!$K$5:$K$504,MATCH(A986,Maniobras!$A$5:$A$504,0)),""))</f>
        <v/>
      </c>
      <c r="G986" s="29"/>
      <c r="H986" s="29"/>
      <c r="I986" s="29" t="str">
        <f t="shared" si="31"/>
        <v/>
      </c>
      <c r="K986" s="30"/>
      <c r="M986" t="str">
        <f>IF($A986=Ficha!$B$3,COUNTIF($A$5:$A986,Ficha!$B$3),"")</f>
        <v/>
      </c>
    </row>
    <row r="987" spans="2:13" x14ac:dyDescent="0.3">
      <c r="B987" s="30" t="str">
        <f>IF(A987="","",IFERROR(INDEX(Maniobras!$B$5:$B$504,MATCH(A987,Maniobras!$A$5:$A$504,0)),""))</f>
        <v/>
      </c>
      <c r="C987" t="str">
        <f t="shared" si="30"/>
        <v/>
      </c>
      <c r="D987" t="str">
        <f>IF(A987="","",IFERROR(INDEX(Maniobras!$D$5:$D$504,MATCH(A987,Maniobras!$A$5:$A$504,0)),""))</f>
        <v/>
      </c>
      <c r="F987" s="29" t="str">
        <f>IF(A987="","",IFERROR(INDEX(Maniobras!$K$5:$K$504,MATCH(A987,Maniobras!$A$5:$A$504,0)),""))</f>
        <v/>
      </c>
      <c r="G987" s="29"/>
      <c r="H987" s="29"/>
      <c r="I987" s="29" t="str">
        <f t="shared" si="31"/>
        <v/>
      </c>
      <c r="K987" s="30"/>
      <c r="M987" t="str">
        <f>IF($A987=Ficha!$B$3,COUNTIF($A$5:$A987,Ficha!$B$3),"")</f>
        <v/>
      </c>
    </row>
    <row r="988" spans="2:13" x14ac:dyDescent="0.3">
      <c r="B988" s="30" t="str">
        <f>IF(A988="","",IFERROR(INDEX(Maniobras!$B$5:$B$504,MATCH(A988,Maniobras!$A$5:$A$504,0)),""))</f>
        <v/>
      </c>
      <c r="C988" t="str">
        <f t="shared" si="30"/>
        <v/>
      </c>
      <c r="D988" t="str">
        <f>IF(A988="","",IFERROR(INDEX(Maniobras!$D$5:$D$504,MATCH(A988,Maniobras!$A$5:$A$504,0)),""))</f>
        <v/>
      </c>
      <c r="F988" s="29" t="str">
        <f>IF(A988="","",IFERROR(INDEX(Maniobras!$K$5:$K$504,MATCH(A988,Maniobras!$A$5:$A$504,0)),""))</f>
        <v/>
      </c>
      <c r="G988" s="29"/>
      <c r="H988" s="29"/>
      <c r="I988" s="29" t="str">
        <f t="shared" si="31"/>
        <v/>
      </c>
      <c r="K988" s="30"/>
      <c r="M988" t="str">
        <f>IF($A988=Ficha!$B$3,COUNTIF($A$5:$A988,Ficha!$B$3),"")</f>
        <v/>
      </c>
    </row>
    <row r="989" spans="2:13" x14ac:dyDescent="0.3">
      <c r="B989" s="30" t="str">
        <f>IF(A989="","",IFERROR(INDEX(Maniobras!$B$5:$B$504,MATCH(A989,Maniobras!$A$5:$A$504,0)),""))</f>
        <v/>
      </c>
      <c r="C989" t="str">
        <f t="shared" si="30"/>
        <v/>
      </c>
      <c r="D989" t="str">
        <f>IF(A989="","",IFERROR(INDEX(Maniobras!$D$5:$D$504,MATCH(A989,Maniobras!$A$5:$A$504,0)),""))</f>
        <v/>
      </c>
      <c r="F989" s="29" t="str">
        <f>IF(A989="","",IFERROR(INDEX(Maniobras!$K$5:$K$504,MATCH(A989,Maniobras!$A$5:$A$504,0)),""))</f>
        <v/>
      </c>
      <c r="G989" s="29"/>
      <c r="H989" s="29"/>
      <c r="I989" s="29" t="str">
        <f t="shared" si="31"/>
        <v/>
      </c>
      <c r="K989" s="30"/>
      <c r="M989" t="str">
        <f>IF($A989=Ficha!$B$3,COUNTIF($A$5:$A989,Ficha!$B$3),"")</f>
        <v/>
      </c>
    </row>
    <row r="990" spans="2:13" x14ac:dyDescent="0.3">
      <c r="B990" s="30" t="str">
        <f>IF(A990="","",IFERROR(INDEX(Maniobras!$B$5:$B$504,MATCH(A990,Maniobras!$A$5:$A$504,0)),""))</f>
        <v/>
      </c>
      <c r="C990" t="str">
        <f t="shared" si="30"/>
        <v/>
      </c>
      <c r="D990" t="str">
        <f>IF(A990="","",IFERROR(INDEX(Maniobras!$D$5:$D$504,MATCH(A990,Maniobras!$A$5:$A$504,0)),""))</f>
        <v/>
      </c>
      <c r="F990" s="29" t="str">
        <f>IF(A990="","",IFERROR(INDEX(Maniobras!$K$5:$K$504,MATCH(A990,Maniobras!$A$5:$A$504,0)),""))</f>
        <v/>
      </c>
      <c r="G990" s="29"/>
      <c r="H990" s="29"/>
      <c r="I990" s="29" t="str">
        <f t="shared" si="31"/>
        <v/>
      </c>
      <c r="K990" s="30"/>
      <c r="M990" t="str">
        <f>IF($A990=Ficha!$B$3,COUNTIF($A$5:$A990,Ficha!$B$3),"")</f>
        <v/>
      </c>
    </row>
    <row r="991" spans="2:13" x14ac:dyDescent="0.3">
      <c r="B991" s="30" t="str">
        <f>IF(A991="","",IFERROR(INDEX(Maniobras!$B$5:$B$504,MATCH(A991,Maniobras!$A$5:$A$504,0)),""))</f>
        <v/>
      </c>
      <c r="C991" t="str">
        <f t="shared" si="30"/>
        <v/>
      </c>
      <c r="D991" t="str">
        <f>IF(A991="","",IFERROR(INDEX(Maniobras!$D$5:$D$504,MATCH(A991,Maniobras!$A$5:$A$504,0)),""))</f>
        <v/>
      </c>
      <c r="F991" s="29" t="str">
        <f>IF(A991="","",IFERROR(INDEX(Maniobras!$K$5:$K$504,MATCH(A991,Maniobras!$A$5:$A$504,0)),""))</f>
        <v/>
      </c>
      <c r="G991" s="29"/>
      <c r="H991" s="29"/>
      <c r="I991" s="29" t="str">
        <f t="shared" si="31"/>
        <v/>
      </c>
      <c r="K991" s="30"/>
      <c r="M991" t="str">
        <f>IF($A991=Ficha!$B$3,COUNTIF($A$5:$A991,Ficha!$B$3),"")</f>
        <v/>
      </c>
    </row>
    <row r="992" spans="2:13" x14ac:dyDescent="0.3">
      <c r="B992" s="30" t="str">
        <f>IF(A992="","",IFERROR(INDEX(Maniobras!$B$5:$B$504,MATCH(A992,Maniobras!$A$5:$A$504,0)),""))</f>
        <v/>
      </c>
      <c r="C992" t="str">
        <f t="shared" si="30"/>
        <v/>
      </c>
      <c r="D992" t="str">
        <f>IF(A992="","",IFERROR(INDEX(Maniobras!$D$5:$D$504,MATCH(A992,Maniobras!$A$5:$A$504,0)),""))</f>
        <v/>
      </c>
      <c r="F992" s="29" t="str">
        <f>IF(A992="","",IFERROR(INDEX(Maniobras!$K$5:$K$504,MATCH(A992,Maniobras!$A$5:$A$504,0)),""))</f>
        <v/>
      </c>
      <c r="G992" s="29"/>
      <c r="H992" s="29"/>
      <c r="I992" s="29" t="str">
        <f t="shared" si="31"/>
        <v/>
      </c>
      <c r="K992" s="30"/>
      <c r="M992" t="str">
        <f>IF($A992=Ficha!$B$3,COUNTIF($A$5:$A992,Ficha!$B$3),"")</f>
        <v/>
      </c>
    </row>
    <row r="993" spans="2:13" x14ac:dyDescent="0.3">
      <c r="B993" s="30" t="str">
        <f>IF(A993="","",IFERROR(INDEX(Maniobras!$B$5:$B$504,MATCH(A993,Maniobras!$A$5:$A$504,0)),""))</f>
        <v/>
      </c>
      <c r="C993" t="str">
        <f t="shared" si="30"/>
        <v/>
      </c>
      <c r="D993" t="str">
        <f>IF(A993="","",IFERROR(INDEX(Maniobras!$D$5:$D$504,MATCH(A993,Maniobras!$A$5:$A$504,0)),""))</f>
        <v/>
      </c>
      <c r="F993" s="29" t="str">
        <f>IF(A993="","",IFERROR(INDEX(Maniobras!$K$5:$K$504,MATCH(A993,Maniobras!$A$5:$A$504,0)),""))</f>
        <v/>
      </c>
      <c r="G993" s="29"/>
      <c r="H993" s="29"/>
      <c r="I993" s="29" t="str">
        <f t="shared" si="31"/>
        <v/>
      </c>
      <c r="K993" s="30"/>
      <c r="M993" t="str">
        <f>IF($A993=Ficha!$B$3,COUNTIF($A$5:$A993,Ficha!$B$3),"")</f>
        <v/>
      </c>
    </row>
    <row r="994" spans="2:13" x14ac:dyDescent="0.3">
      <c r="B994" s="30" t="str">
        <f>IF(A994="","",IFERROR(INDEX(Maniobras!$B$5:$B$504,MATCH(A994,Maniobras!$A$5:$A$504,0)),""))</f>
        <v/>
      </c>
      <c r="C994" t="str">
        <f t="shared" si="30"/>
        <v/>
      </c>
      <c r="D994" t="str">
        <f>IF(A994="","",IFERROR(INDEX(Maniobras!$D$5:$D$504,MATCH(A994,Maniobras!$A$5:$A$504,0)),""))</f>
        <v/>
      </c>
      <c r="F994" s="29" t="str">
        <f>IF(A994="","",IFERROR(INDEX(Maniobras!$K$5:$K$504,MATCH(A994,Maniobras!$A$5:$A$504,0)),""))</f>
        <v/>
      </c>
      <c r="G994" s="29"/>
      <c r="H994" s="29"/>
      <c r="I994" s="29" t="str">
        <f t="shared" si="31"/>
        <v/>
      </c>
      <c r="K994" s="30"/>
      <c r="M994" t="str">
        <f>IF($A994=Ficha!$B$3,COUNTIF($A$5:$A994,Ficha!$B$3),"")</f>
        <v/>
      </c>
    </row>
    <row r="995" spans="2:13" x14ac:dyDescent="0.3">
      <c r="B995" s="30" t="str">
        <f>IF(A995="","",IFERROR(INDEX(Maniobras!$B$5:$B$504,MATCH(A995,Maniobras!$A$5:$A$504,0)),""))</f>
        <v/>
      </c>
      <c r="C995" t="str">
        <f t="shared" si="30"/>
        <v/>
      </c>
      <c r="D995" t="str">
        <f>IF(A995="","",IFERROR(INDEX(Maniobras!$D$5:$D$504,MATCH(A995,Maniobras!$A$5:$A$504,0)),""))</f>
        <v/>
      </c>
      <c r="F995" s="29" t="str">
        <f>IF(A995="","",IFERROR(INDEX(Maniobras!$K$5:$K$504,MATCH(A995,Maniobras!$A$5:$A$504,0)),""))</f>
        <v/>
      </c>
      <c r="G995" s="29"/>
      <c r="H995" s="29"/>
      <c r="I995" s="29" t="str">
        <f t="shared" si="31"/>
        <v/>
      </c>
      <c r="K995" s="30"/>
      <c r="M995" t="str">
        <f>IF($A995=Ficha!$B$3,COUNTIF($A$5:$A995,Ficha!$B$3),"")</f>
        <v/>
      </c>
    </row>
    <row r="996" spans="2:13" x14ac:dyDescent="0.3">
      <c r="B996" s="30" t="str">
        <f>IF(A996="","",IFERROR(INDEX(Maniobras!$B$5:$B$504,MATCH(A996,Maniobras!$A$5:$A$504,0)),""))</f>
        <v/>
      </c>
      <c r="C996" t="str">
        <f t="shared" si="30"/>
        <v/>
      </c>
      <c r="D996" t="str">
        <f>IF(A996="","",IFERROR(INDEX(Maniobras!$D$5:$D$504,MATCH(A996,Maniobras!$A$5:$A$504,0)),""))</f>
        <v/>
      </c>
      <c r="F996" s="29" t="str">
        <f>IF(A996="","",IFERROR(INDEX(Maniobras!$K$5:$K$504,MATCH(A996,Maniobras!$A$5:$A$504,0)),""))</f>
        <v/>
      </c>
      <c r="G996" s="29"/>
      <c r="H996" s="29"/>
      <c r="I996" s="29" t="str">
        <f t="shared" si="31"/>
        <v/>
      </c>
      <c r="K996" s="30"/>
      <c r="M996" t="str">
        <f>IF($A996=Ficha!$B$3,COUNTIF($A$5:$A996,Ficha!$B$3),"")</f>
        <v/>
      </c>
    </row>
    <row r="997" spans="2:13" x14ac:dyDescent="0.3">
      <c r="B997" s="30" t="str">
        <f>IF(A997="","",IFERROR(INDEX(Maniobras!$B$5:$B$504,MATCH(A997,Maniobras!$A$5:$A$504,0)),""))</f>
        <v/>
      </c>
      <c r="C997" t="str">
        <f t="shared" si="30"/>
        <v/>
      </c>
      <c r="D997" t="str">
        <f>IF(A997="","",IFERROR(INDEX(Maniobras!$D$5:$D$504,MATCH(A997,Maniobras!$A$5:$A$504,0)),""))</f>
        <v/>
      </c>
      <c r="F997" s="29" t="str">
        <f>IF(A997="","",IFERROR(INDEX(Maniobras!$K$5:$K$504,MATCH(A997,Maniobras!$A$5:$A$504,0)),""))</f>
        <v/>
      </c>
      <c r="G997" s="29"/>
      <c r="H997" s="29"/>
      <c r="I997" s="29" t="str">
        <f t="shared" si="31"/>
        <v/>
      </c>
      <c r="K997" s="30"/>
      <c r="M997" t="str">
        <f>IF($A997=Ficha!$B$3,COUNTIF($A$5:$A997,Ficha!$B$3),"")</f>
        <v/>
      </c>
    </row>
    <row r="998" spans="2:13" x14ac:dyDescent="0.3">
      <c r="B998" s="30" t="str">
        <f>IF(A998="","",IFERROR(INDEX(Maniobras!$B$5:$B$504,MATCH(A998,Maniobras!$A$5:$A$504,0)),""))</f>
        <v/>
      </c>
      <c r="C998" t="str">
        <f t="shared" si="30"/>
        <v/>
      </c>
      <c r="D998" t="str">
        <f>IF(A998="","",IFERROR(INDEX(Maniobras!$D$5:$D$504,MATCH(A998,Maniobras!$A$5:$A$504,0)),""))</f>
        <v/>
      </c>
      <c r="F998" s="29" t="str">
        <f>IF(A998="","",IFERROR(INDEX(Maniobras!$K$5:$K$504,MATCH(A998,Maniobras!$A$5:$A$504,0)),""))</f>
        <v/>
      </c>
      <c r="G998" s="29"/>
      <c r="H998" s="29"/>
      <c r="I998" s="29" t="str">
        <f t="shared" si="31"/>
        <v/>
      </c>
      <c r="K998" s="30"/>
      <c r="M998" t="str">
        <f>IF($A998=Ficha!$B$3,COUNTIF($A$5:$A998,Ficha!$B$3),"")</f>
        <v/>
      </c>
    </row>
    <row r="999" spans="2:13" x14ac:dyDescent="0.3">
      <c r="B999" s="30" t="str">
        <f>IF(A999="","",IFERROR(INDEX(Maniobras!$B$5:$B$504,MATCH(A999,Maniobras!$A$5:$A$504,0)),""))</f>
        <v/>
      </c>
      <c r="C999" t="str">
        <f t="shared" si="30"/>
        <v/>
      </c>
      <c r="D999" t="str">
        <f>IF(A999="","",IFERROR(INDEX(Maniobras!$D$5:$D$504,MATCH(A999,Maniobras!$A$5:$A$504,0)),""))</f>
        <v/>
      </c>
      <c r="F999" s="29" t="str">
        <f>IF(A999="","",IFERROR(INDEX(Maniobras!$K$5:$K$504,MATCH(A999,Maniobras!$A$5:$A$504,0)),""))</f>
        <v/>
      </c>
      <c r="G999" s="29"/>
      <c r="H999" s="29"/>
      <c r="I999" s="29" t="str">
        <f t="shared" si="31"/>
        <v/>
      </c>
      <c r="K999" s="30"/>
      <c r="M999" t="str">
        <f>IF($A999=Ficha!$B$3,COUNTIF($A$5:$A999,Ficha!$B$3),"")</f>
        <v/>
      </c>
    </row>
    <row r="1000" spans="2:13" x14ac:dyDescent="0.3">
      <c r="B1000" s="30" t="str">
        <f>IF(A1000="","",IFERROR(INDEX(Maniobras!$B$5:$B$504,MATCH(A1000,Maniobras!$A$5:$A$504,0)),""))</f>
        <v/>
      </c>
      <c r="C1000" t="str">
        <f t="shared" si="30"/>
        <v/>
      </c>
      <c r="D1000" t="str">
        <f>IF(A1000="","",IFERROR(INDEX(Maniobras!$D$5:$D$504,MATCH(A1000,Maniobras!$A$5:$A$504,0)),""))</f>
        <v/>
      </c>
      <c r="F1000" s="29" t="str">
        <f>IF(A1000="","",IFERROR(INDEX(Maniobras!$K$5:$K$504,MATCH(A1000,Maniobras!$A$5:$A$504,0)),""))</f>
        <v/>
      </c>
      <c r="G1000" s="29"/>
      <c r="H1000" s="29"/>
      <c r="I1000" s="29" t="str">
        <f t="shared" si="31"/>
        <v/>
      </c>
      <c r="K1000" s="30"/>
      <c r="M1000" t="str">
        <f>IF($A1000=Ficha!$B$3,COUNTIF($A$5:$A1000,Ficha!$B$3),"")</f>
        <v/>
      </c>
    </row>
    <row r="1001" spans="2:13" x14ac:dyDescent="0.3">
      <c r="B1001" s="30" t="str">
        <f>IF(A1001="","",IFERROR(INDEX(Maniobras!$B$5:$B$504,MATCH(A1001,Maniobras!$A$5:$A$504,0)),""))</f>
        <v/>
      </c>
      <c r="C1001" t="str">
        <f t="shared" si="30"/>
        <v/>
      </c>
      <c r="D1001" t="str">
        <f>IF(A1001="","",IFERROR(INDEX(Maniobras!$D$5:$D$504,MATCH(A1001,Maniobras!$A$5:$A$504,0)),""))</f>
        <v/>
      </c>
      <c r="F1001" s="29" t="str">
        <f>IF(A1001="","",IFERROR(INDEX(Maniobras!$K$5:$K$504,MATCH(A1001,Maniobras!$A$5:$A$504,0)),""))</f>
        <v/>
      </c>
      <c r="G1001" s="29"/>
      <c r="H1001" s="29"/>
      <c r="I1001" s="29" t="str">
        <f t="shared" si="31"/>
        <v/>
      </c>
      <c r="K1001" s="30"/>
      <c r="M1001" t="str">
        <f>IF($A1001=Ficha!$B$3,COUNTIF($A$5:$A1001,Ficha!$B$3),"")</f>
        <v/>
      </c>
    </row>
    <row r="1002" spans="2:13" x14ac:dyDescent="0.3">
      <c r="B1002" s="30" t="str">
        <f>IF(A1002="","",IFERROR(INDEX(Maniobras!$B$5:$B$504,MATCH(A1002,Maniobras!$A$5:$A$504,0)),""))</f>
        <v/>
      </c>
      <c r="C1002" t="str">
        <f t="shared" si="30"/>
        <v/>
      </c>
      <c r="D1002" t="str">
        <f>IF(A1002="","",IFERROR(INDEX(Maniobras!$D$5:$D$504,MATCH(A1002,Maniobras!$A$5:$A$504,0)),""))</f>
        <v/>
      </c>
      <c r="F1002" s="29" t="str">
        <f>IF(A1002="","",IFERROR(INDEX(Maniobras!$K$5:$K$504,MATCH(A1002,Maniobras!$A$5:$A$504,0)),""))</f>
        <v/>
      </c>
      <c r="G1002" s="29"/>
      <c r="H1002" s="29"/>
      <c r="I1002" s="29" t="str">
        <f t="shared" si="31"/>
        <v/>
      </c>
      <c r="K1002" s="30"/>
      <c r="M1002" t="str">
        <f>IF($A1002=Ficha!$B$3,COUNTIF($A$5:$A1002,Ficha!$B$3),"")</f>
        <v/>
      </c>
    </row>
    <row r="1003" spans="2:13" x14ac:dyDescent="0.3">
      <c r="B1003" s="30" t="str">
        <f>IF(A1003="","",IFERROR(INDEX(Maniobras!$B$5:$B$504,MATCH(A1003,Maniobras!$A$5:$A$504,0)),""))</f>
        <v/>
      </c>
      <c r="C1003" t="str">
        <f t="shared" si="30"/>
        <v/>
      </c>
      <c r="D1003" t="str">
        <f>IF(A1003="","",IFERROR(INDEX(Maniobras!$D$5:$D$504,MATCH(A1003,Maniobras!$A$5:$A$504,0)),""))</f>
        <v/>
      </c>
      <c r="F1003" s="29" t="str">
        <f>IF(A1003="","",IFERROR(INDEX(Maniobras!$K$5:$K$504,MATCH(A1003,Maniobras!$A$5:$A$504,0)),""))</f>
        <v/>
      </c>
      <c r="G1003" s="29"/>
      <c r="H1003" s="29"/>
      <c r="I1003" s="29" t="str">
        <f t="shared" si="31"/>
        <v/>
      </c>
      <c r="K1003" s="30"/>
      <c r="M1003" t="str">
        <f>IF($A1003=Ficha!$B$3,COUNTIF($A$5:$A1003,Ficha!$B$3),"")</f>
        <v/>
      </c>
    </row>
    <row r="1004" spans="2:13" x14ac:dyDescent="0.3">
      <c r="B1004" s="30" t="str">
        <f>IF(A1004="","",IFERROR(INDEX(Maniobras!$B$5:$B$504,MATCH(A1004,Maniobras!$A$5:$A$504,0)),""))</f>
        <v/>
      </c>
      <c r="C1004" t="str">
        <f t="shared" si="30"/>
        <v/>
      </c>
      <c r="D1004" t="str">
        <f>IF(A1004="","",IFERROR(INDEX(Maniobras!$D$5:$D$504,MATCH(A1004,Maniobras!$A$5:$A$504,0)),""))</f>
        <v/>
      </c>
      <c r="F1004" s="29" t="str">
        <f>IF(A1004="","",IFERROR(INDEX(Maniobras!$K$5:$K$504,MATCH(A1004,Maniobras!$A$5:$A$504,0)),""))</f>
        <v/>
      </c>
      <c r="G1004" s="29"/>
      <c r="H1004" s="29"/>
      <c r="I1004" s="29" t="str">
        <f t="shared" si="31"/>
        <v/>
      </c>
      <c r="K1004" s="30"/>
      <c r="M1004" t="str">
        <f>IF($A1004=Ficha!$B$3,COUNTIF($A$5:$A1004,Ficha!$B$3),"")</f>
        <v/>
      </c>
    </row>
    <row r="1005" spans="2:13" x14ac:dyDescent="0.3">
      <c r="B1005" s="30" t="str">
        <f>IF(A1005="","",IFERROR(INDEX(Maniobras!$B$5:$B$504,MATCH(A1005,Maniobras!$A$5:$A$504,0)),""))</f>
        <v/>
      </c>
      <c r="C1005" t="str">
        <f t="shared" si="30"/>
        <v/>
      </c>
      <c r="D1005" t="str">
        <f>IF(A1005="","",IFERROR(INDEX(Maniobras!$D$5:$D$504,MATCH(A1005,Maniobras!$A$5:$A$504,0)),""))</f>
        <v/>
      </c>
      <c r="F1005" s="29" t="str">
        <f>IF(A1005="","",IFERROR(INDEX(Maniobras!$K$5:$K$504,MATCH(A1005,Maniobras!$A$5:$A$504,0)),""))</f>
        <v/>
      </c>
      <c r="G1005" s="29"/>
      <c r="H1005" s="29"/>
      <c r="I1005" s="29" t="str">
        <f t="shared" si="31"/>
        <v/>
      </c>
      <c r="K1005" s="30"/>
      <c r="M1005" t="str">
        <f>IF($A1005=Ficha!$B$3,COUNTIF($A$5:$A1005,Ficha!$B$3),"")</f>
        <v/>
      </c>
    </row>
    <row r="1006" spans="2:13" x14ac:dyDescent="0.3">
      <c r="B1006" s="30" t="str">
        <f>IF(A1006="","",IFERROR(INDEX(Maniobras!$B$5:$B$504,MATCH(A1006,Maniobras!$A$5:$A$504,0)),""))</f>
        <v/>
      </c>
      <c r="C1006" t="str">
        <f t="shared" si="30"/>
        <v/>
      </c>
      <c r="D1006" t="str">
        <f>IF(A1006="","",IFERROR(INDEX(Maniobras!$D$5:$D$504,MATCH(A1006,Maniobras!$A$5:$A$504,0)),""))</f>
        <v/>
      </c>
      <c r="F1006" s="29" t="str">
        <f>IF(A1006="","",IFERROR(INDEX(Maniobras!$K$5:$K$504,MATCH(A1006,Maniobras!$A$5:$A$504,0)),""))</f>
        <v/>
      </c>
      <c r="G1006" s="29"/>
      <c r="H1006" s="29"/>
      <c r="I1006" s="29" t="str">
        <f t="shared" si="31"/>
        <v/>
      </c>
      <c r="K1006" s="30"/>
      <c r="M1006" t="str">
        <f>IF($A1006=Ficha!$B$3,COUNTIF($A$5:$A1006,Ficha!$B$3),"")</f>
        <v/>
      </c>
    </row>
    <row r="1007" spans="2:13" x14ac:dyDescent="0.3">
      <c r="B1007" s="30" t="str">
        <f>IF(A1007="","",IFERROR(INDEX(Maniobras!$B$5:$B$504,MATCH(A1007,Maniobras!$A$5:$A$504,0)),""))</f>
        <v/>
      </c>
      <c r="C1007" t="str">
        <f t="shared" si="30"/>
        <v/>
      </c>
      <c r="D1007" t="str">
        <f>IF(A1007="","",IFERROR(INDEX(Maniobras!$D$5:$D$504,MATCH(A1007,Maniobras!$A$5:$A$504,0)),""))</f>
        <v/>
      </c>
      <c r="F1007" s="29" t="str">
        <f>IF(A1007="","",IFERROR(INDEX(Maniobras!$K$5:$K$504,MATCH(A1007,Maniobras!$A$5:$A$504,0)),""))</f>
        <v/>
      </c>
      <c r="G1007" s="29"/>
      <c r="H1007" s="29"/>
      <c r="I1007" s="29" t="str">
        <f t="shared" si="31"/>
        <v/>
      </c>
      <c r="K1007" s="30"/>
      <c r="M1007" t="str">
        <f>IF($A1007=Ficha!$B$3,COUNTIF($A$5:$A1007,Ficha!$B$3),"")</f>
        <v/>
      </c>
    </row>
    <row r="1008" spans="2:13" x14ac:dyDescent="0.3">
      <c r="B1008" s="30" t="str">
        <f>IF(A1008="","",IFERROR(INDEX(Maniobras!$B$5:$B$504,MATCH(A1008,Maniobras!$A$5:$A$504,0)),""))</f>
        <v/>
      </c>
      <c r="C1008" t="str">
        <f t="shared" si="30"/>
        <v/>
      </c>
      <c r="D1008" t="str">
        <f>IF(A1008="","",IFERROR(INDEX(Maniobras!$D$5:$D$504,MATCH(A1008,Maniobras!$A$5:$A$504,0)),""))</f>
        <v/>
      </c>
      <c r="F1008" s="29" t="str">
        <f>IF(A1008="","",IFERROR(INDEX(Maniobras!$K$5:$K$504,MATCH(A1008,Maniobras!$A$5:$A$504,0)),""))</f>
        <v/>
      </c>
      <c r="G1008" s="29"/>
      <c r="H1008" s="29"/>
      <c r="I1008" s="29" t="str">
        <f t="shared" si="31"/>
        <v/>
      </c>
      <c r="K1008" s="30"/>
      <c r="M1008" t="str">
        <f>IF($A1008=Ficha!$B$3,COUNTIF($A$5:$A1008,Ficha!$B$3),"")</f>
        <v/>
      </c>
    </row>
    <row r="1009" spans="2:13" x14ac:dyDescent="0.3">
      <c r="B1009" s="30" t="str">
        <f>IF(A1009="","",IFERROR(INDEX(Maniobras!$B$5:$B$504,MATCH(A1009,Maniobras!$A$5:$A$504,0)),""))</f>
        <v/>
      </c>
      <c r="C1009" t="str">
        <f t="shared" si="30"/>
        <v/>
      </c>
      <c r="D1009" t="str">
        <f>IF(A1009="","",IFERROR(INDEX(Maniobras!$D$5:$D$504,MATCH(A1009,Maniobras!$A$5:$A$504,0)),""))</f>
        <v/>
      </c>
      <c r="F1009" s="29" t="str">
        <f>IF(A1009="","",IFERROR(INDEX(Maniobras!$K$5:$K$504,MATCH(A1009,Maniobras!$A$5:$A$504,0)),""))</f>
        <v/>
      </c>
      <c r="G1009" s="29"/>
      <c r="H1009" s="29"/>
      <c r="I1009" s="29" t="str">
        <f t="shared" si="31"/>
        <v/>
      </c>
      <c r="K1009" s="30"/>
      <c r="M1009" t="str">
        <f>IF($A1009=Ficha!$B$3,COUNTIF($A$5:$A1009,Ficha!$B$3),"")</f>
        <v/>
      </c>
    </row>
    <row r="1010" spans="2:13" x14ac:dyDescent="0.3">
      <c r="B1010" s="30" t="str">
        <f>IF(A1010="","",IFERROR(INDEX(Maniobras!$B$5:$B$504,MATCH(A1010,Maniobras!$A$5:$A$504,0)),""))</f>
        <v/>
      </c>
      <c r="C1010" t="str">
        <f t="shared" si="30"/>
        <v/>
      </c>
      <c r="D1010" t="str">
        <f>IF(A1010="","",IFERROR(INDEX(Maniobras!$D$5:$D$504,MATCH(A1010,Maniobras!$A$5:$A$504,0)),""))</f>
        <v/>
      </c>
      <c r="F1010" s="29" t="str">
        <f>IF(A1010="","",IFERROR(INDEX(Maniobras!$K$5:$K$504,MATCH(A1010,Maniobras!$A$5:$A$504,0)),""))</f>
        <v/>
      </c>
      <c r="G1010" s="29"/>
      <c r="H1010" s="29"/>
      <c r="I1010" s="29" t="str">
        <f t="shared" si="31"/>
        <v/>
      </c>
      <c r="K1010" s="30"/>
      <c r="M1010" t="str">
        <f>IF($A1010=Ficha!$B$3,COUNTIF($A$5:$A1010,Ficha!$B$3),"")</f>
        <v/>
      </c>
    </row>
    <row r="1011" spans="2:13" x14ac:dyDescent="0.3">
      <c r="B1011" s="30" t="str">
        <f>IF(A1011="","",IFERROR(INDEX(Maniobras!$B$5:$B$504,MATCH(A1011,Maniobras!$A$5:$A$504,0)),""))</f>
        <v/>
      </c>
      <c r="C1011" t="str">
        <f t="shared" si="30"/>
        <v/>
      </c>
      <c r="D1011" t="str">
        <f>IF(A1011="","",IFERROR(INDEX(Maniobras!$D$5:$D$504,MATCH(A1011,Maniobras!$A$5:$A$504,0)),""))</f>
        <v/>
      </c>
      <c r="F1011" s="29" t="str">
        <f>IF(A1011="","",IFERROR(INDEX(Maniobras!$K$5:$K$504,MATCH(A1011,Maniobras!$A$5:$A$504,0)),""))</f>
        <v/>
      </c>
      <c r="G1011" s="29"/>
      <c r="H1011" s="29"/>
      <c r="I1011" s="29" t="str">
        <f t="shared" si="31"/>
        <v/>
      </c>
      <c r="K1011" s="30"/>
      <c r="M1011" t="str">
        <f>IF($A1011=Ficha!$B$3,COUNTIF($A$5:$A1011,Ficha!$B$3),"")</f>
        <v/>
      </c>
    </row>
    <row r="1012" spans="2:13" x14ac:dyDescent="0.3">
      <c r="B1012" s="30" t="str">
        <f>IF(A1012="","",IFERROR(INDEX(Maniobras!$B$5:$B$504,MATCH(A1012,Maniobras!$A$5:$A$504,0)),""))</f>
        <v/>
      </c>
      <c r="C1012" t="str">
        <f t="shared" si="30"/>
        <v/>
      </c>
      <c r="D1012" t="str">
        <f>IF(A1012="","",IFERROR(INDEX(Maniobras!$D$5:$D$504,MATCH(A1012,Maniobras!$A$5:$A$504,0)),""))</f>
        <v/>
      </c>
      <c r="F1012" s="29" t="str">
        <f>IF(A1012="","",IFERROR(INDEX(Maniobras!$K$5:$K$504,MATCH(A1012,Maniobras!$A$5:$A$504,0)),""))</f>
        <v/>
      </c>
      <c r="G1012" s="29"/>
      <c r="H1012" s="29"/>
      <c r="I1012" s="29" t="str">
        <f t="shared" si="31"/>
        <v/>
      </c>
      <c r="K1012" s="30"/>
      <c r="M1012" t="str">
        <f>IF($A1012=Ficha!$B$3,COUNTIF($A$5:$A1012,Ficha!$B$3),"")</f>
        <v/>
      </c>
    </row>
    <row r="1013" spans="2:13" x14ac:dyDescent="0.3">
      <c r="B1013" s="30" t="str">
        <f>IF(A1013="","",IFERROR(INDEX(Maniobras!$B$5:$B$504,MATCH(A1013,Maniobras!$A$5:$A$504,0)),""))</f>
        <v/>
      </c>
      <c r="C1013" t="str">
        <f t="shared" si="30"/>
        <v/>
      </c>
      <c r="D1013" t="str">
        <f>IF(A1013="","",IFERROR(INDEX(Maniobras!$D$5:$D$504,MATCH(A1013,Maniobras!$A$5:$A$504,0)),""))</f>
        <v/>
      </c>
      <c r="F1013" s="29" t="str">
        <f>IF(A1013="","",IFERROR(INDEX(Maniobras!$K$5:$K$504,MATCH(A1013,Maniobras!$A$5:$A$504,0)),""))</f>
        <v/>
      </c>
      <c r="G1013" s="29"/>
      <c r="H1013" s="29"/>
      <c r="I1013" s="29" t="str">
        <f t="shared" si="31"/>
        <v/>
      </c>
      <c r="K1013" s="30"/>
      <c r="M1013" t="str">
        <f>IF($A1013=Ficha!$B$3,COUNTIF($A$5:$A1013,Ficha!$B$3),"")</f>
        <v/>
      </c>
    </row>
    <row r="1014" spans="2:13" x14ac:dyDescent="0.3">
      <c r="B1014" s="30" t="str">
        <f>IF(A1014="","",IFERROR(INDEX(Maniobras!$B$5:$B$504,MATCH(A1014,Maniobras!$A$5:$A$504,0)),""))</f>
        <v/>
      </c>
      <c r="C1014" t="str">
        <f t="shared" si="30"/>
        <v/>
      </c>
      <c r="D1014" t="str">
        <f>IF(A1014="","",IFERROR(INDEX(Maniobras!$D$5:$D$504,MATCH(A1014,Maniobras!$A$5:$A$504,0)),""))</f>
        <v/>
      </c>
      <c r="F1014" s="29" t="str">
        <f>IF(A1014="","",IFERROR(INDEX(Maniobras!$K$5:$K$504,MATCH(A1014,Maniobras!$A$5:$A$504,0)),""))</f>
        <v/>
      </c>
      <c r="G1014" s="29"/>
      <c r="H1014" s="29"/>
      <c r="I1014" s="29" t="str">
        <f t="shared" si="31"/>
        <v/>
      </c>
      <c r="K1014" s="30"/>
      <c r="M1014" t="str">
        <f>IF($A1014=Ficha!$B$3,COUNTIF($A$5:$A1014,Ficha!$B$3),"")</f>
        <v/>
      </c>
    </row>
    <row r="1015" spans="2:13" x14ac:dyDescent="0.3">
      <c r="B1015" s="30" t="str">
        <f>IF(A1015="","",IFERROR(INDEX(Maniobras!$B$5:$B$504,MATCH(A1015,Maniobras!$A$5:$A$504,0)),""))</f>
        <v/>
      </c>
      <c r="C1015" t="str">
        <f t="shared" si="30"/>
        <v/>
      </c>
      <c r="D1015" t="str">
        <f>IF(A1015="","",IFERROR(INDEX(Maniobras!$D$5:$D$504,MATCH(A1015,Maniobras!$A$5:$A$504,0)),""))</f>
        <v/>
      </c>
      <c r="F1015" s="29" t="str">
        <f>IF(A1015="","",IFERROR(INDEX(Maniobras!$K$5:$K$504,MATCH(A1015,Maniobras!$A$5:$A$504,0)),""))</f>
        <v/>
      </c>
      <c r="G1015" s="29"/>
      <c r="H1015" s="29"/>
      <c r="I1015" s="29" t="str">
        <f t="shared" si="31"/>
        <v/>
      </c>
      <c r="K1015" s="30"/>
      <c r="M1015" t="str">
        <f>IF($A1015=Ficha!$B$3,COUNTIF($A$5:$A1015,Ficha!$B$3),"")</f>
        <v/>
      </c>
    </row>
    <row r="1016" spans="2:13" x14ac:dyDescent="0.3">
      <c r="B1016" s="30" t="str">
        <f>IF(A1016="","",IFERROR(INDEX(Maniobras!$B$5:$B$504,MATCH(A1016,Maniobras!$A$5:$A$504,0)),""))</f>
        <v/>
      </c>
      <c r="C1016" t="str">
        <f t="shared" si="30"/>
        <v/>
      </c>
      <c r="D1016" t="str">
        <f>IF(A1016="","",IFERROR(INDEX(Maniobras!$D$5:$D$504,MATCH(A1016,Maniobras!$A$5:$A$504,0)),""))</f>
        <v/>
      </c>
      <c r="F1016" s="29" t="str">
        <f>IF(A1016="","",IFERROR(INDEX(Maniobras!$K$5:$K$504,MATCH(A1016,Maniobras!$A$5:$A$504,0)),""))</f>
        <v/>
      </c>
      <c r="G1016" s="29"/>
      <c r="H1016" s="29"/>
      <c r="I1016" s="29" t="str">
        <f t="shared" si="31"/>
        <v/>
      </c>
      <c r="K1016" s="30"/>
      <c r="M1016" t="str">
        <f>IF($A1016=Ficha!$B$3,COUNTIF($A$5:$A1016,Ficha!$B$3),"")</f>
        <v/>
      </c>
    </row>
    <row r="1017" spans="2:13" x14ac:dyDescent="0.3">
      <c r="B1017" s="30" t="str">
        <f>IF(A1017="","",IFERROR(INDEX(Maniobras!$B$5:$B$504,MATCH(A1017,Maniobras!$A$5:$A$504,0)),""))</f>
        <v/>
      </c>
      <c r="C1017" t="str">
        <f t="shared" si="30"/>
        <v/>
      </c>
      <c r="D1017" t="str">
        <f>IF(A1017="","",IFERROR(INDEX(Maniobras!$D$5:$D$504,MATCH(A1017,Maniobras!$A$5:$A$504,0)),""))</f>
        <v/>
      </c>
      <c r="F1017" s="29" t="str">
        <f>IF(A1017="","",IFERROR(INDEX(Maniobras!$K$5:$K$504,MATCH(A1017,Maniobras!$A$5:$A$504,0)),""))</f>
        <v/>
      </c>
      <c r="G1017" s="29"/>
      <c r="H1017" s="29"/>
      <c r="I1017" s="29" t="str">
        <f t="shared" si="31"/>
        <v/>
      </c>
      <c r="K1017" s="30"/>
      <c r="M1017" t="str">
        <f>IF($A1017=Ficha!$B$3,COUNTIF($A$5:$A1017,Ficha!$B$3),"")</f>
        <v/>
      </c>
    </row>
    <row r="1018" spans="2:13" x14ac:dyDescent="0.3">
      <c r="B1018" s="30" t="str">
        <f>IF(A1018="","",IFERROR(INDEX(Maniobras!$B$5:$B$504,MATCH(A1018,Maniobras!$A$5:$A$504,0)),""))</f>
        <v/>
      </c>
      <c r="C1018" t="str">
        <f t="shared" si="30"/>
        <v/>
      </c>
      <c r="D1018" t="str">
        <f>IF(A1018="","",IFERROR(INDEX(Maniobras!$D$5:$D$504,MATCH(A1018,Maniobras!$A$5:$A$504,0)),""))</f>
        <v/>
      </c>
      <c r="F1018" s="29" t="str">
        <f>IF(A1018="","",IFERROR(INDEX(Maniobras!$K$5:$K$504,MATCH(A1018,Maniobras!$A$5:$A$504,0)),""))</f>
        <v/>
      </c>
      <c r="G1018" s="29"/>
      <c r="H1018" s="29"/>
      <c r="I1018" s="29" t="str">
        <f t="shared" si="31"/>
        <v/>
      </c>
      <c r="K1018" s="30"/>
      <c r="M1018" t="str">
        <f>IF($A1018=Ficha!$B$3,COUNTIF($A$5:$A1018,Ficha!$B$3),"")</f>
        <v/>
      </c>
    </row>
    <row r="1019" spans="2:13" x14ac:dyDescent="0.3">
      <c r="B1019" s="30" t="str">
        <f>IF(A1019="","",IFERROR(INDEX(Maniobras!$B$5:$B$504,MATCH(A1019,Maniobras!$A$5:$A$504,0)),""))</f>
        <v/>
      </c>
      <c r="C1019" t="str">
        <f t="shared" si="30"/>
        <v/>
      </c>
      <c r="D1019" t="str">
        <f>IF(A1019="","",IFERROR(INDEX(Maniobras!$D$5:$D$504,MATCH(A1019,Maniobras!$A$5:$A$504,0)),""))</f>
        <v/>
      </c>
      <c r="F1019" s="29" t="str">
        <f>IF(A1019="","",IFERROR(INDEX(Maniobras!$K$5:$K$504,MATCH(A1019,Maniobras!$A$5:$A$504,0)),""))</f>
        <v/>
      </c>
      <c r="G1019" s="29"/>
      <c r="H1019" s="29"/>
      <c r="I1019" s="29" t="str">
        <f t="shared" si="31"/>
        <v/>
      </c>
      <c r="K1019" s="30"/>
      <c r="M1019" t="str">
        <f>IF($A1019=Ficha!$B$3,COUNTIF($A$5:$A1019,Ficha!$B$3),"")</f>
        <v/>
      </c>
    </row>
    <row r="1020" spans="2:13" x14ac:dyDescent="0.3">
      <c r="B1020" s="30" t="str">
        <f>IF(A1020="","",IFERROR(INDEX(Maniobras!$B$5:$B$504,MATCH(A1020,Maniobras!$A$5:$A$504,0)),""))</f>
        <v/>
      </c>
      <c r="C1020" t="str">
        <f t="shared" si="30"/>
        <v/>
      </c>
      <c r="D1020" t="str">
        <f>IF(A1020="","",IFERROR(INDEX(Maniobras!$D$5:$D$504,MATCH(A1020,Maniobras!$A$5:$A$504,0)),""))</f>
        <v/>
      </c>
      <c r="F1020" s="29" t="str">
        <f>IF(A1020="","",IFERROR(INDEX(Maniobras!$K$5:$K$504,MATCH(A1020,Maniobras!$A$5:$A$504,0)),""))</f>
        <v/>
      </c>
      <c r="G1020" s="29"/>
      <c r="H1020" s="29"/>
      <c r="I1020" s="29" t="str">
        <f t="shared" si="31"/>
        <v/>
      </c>
      <c r="K1020" s="30"/>
      <c r="M1020" t="str">
        <f>IF($A1020=Ficha!$B$3,COUNTIF($A$5:$A1020,Ficha!$B$3),"")</f>
        <v/>
      </c>
    </row>
    <row r="1021" spans="2:13" x14ac:dyDescent="0.3">
      <c r="B1021" s="30" t="str">
        <f>IF(A1021="","",IFERROR(INDEX(Maniobras!$B$5:$B$504,MATCH(A1021,Maniobras!$A$5:$A$504,0)),""))</f>
        <v/>
      </c>
      <c r="C1021" t="str">
        <f t="shared" si="30"/>
        <v/>
      </c>
      <c r="D1021" t="str">
        <f>IF(A1021="","",IFERROR(INDEX(Maniobras!$D$5:$D$504,MATCH(A1021,Maniobras!$A$5:$A$504,0)),""))</f>
        <v/>
      </c>
      <c r="F1021" s="29" t="str">
        <f>IF(A1021="","",IFERROR(INDEX(Maniobras!$K$5:$K$504,MATCH(A1021,Maniobras!$A$5:$A$504,0)),""))</f>
        <v/>
      </c>
      <c r="G1021" s="29"/>
      <c r="H1021" s="29"/>
      <c r="I1021" s="29" t="str">
        <f t="shared" si="31"/>
        <v/>
      </c>
      <c r="K1021" s="30"/>
      <c r="M1021" t="str">
        <f>IF($A1021=Ficha!$B$3,COUNTIF($A$5:$A1021,Ficha!$B$3),"")</f>
        <v/>
      </c>
    </row>
    <row r="1022" spans="2:13" x14ac:dyDescent="0.3">
      <c r="B1022" s="30" t="str">
        <f>IF(A1022="","",IFERROR(INDEX(Maniobras!$B$5:$B$504,MATCH(A1022,Maniobras!$A$5:$A$504,0)),""))</f>
        <v/>
      </c>
      <c r="C1022" t="str">
        <f t="shared" si="30"/>
        <v/>
      </c>
      <c r="D1022" t="str">
        <f>IF(A1022="","",IFERROR(INDEX(Maniobras!$D$5:$D$504,MATCH(A1022,Maniobras!$A$5:$A$504,0)),""))</f>
        <v/>
      </c>
      <c r="F1022" s="29" t="str">
        <f>IF(A1022="","",IFERROR(INDEX(Maniobras!$K$5:$K$504,MATCH(A1022,Maniobras!$A$5:$A$504,0)),""))</f>
        <v/>
      </c>
      <c r="G1022" s="29"/>
      <c r="H1022" s="29"/>
      <c r="I1022" s="29" t="str">
        <f t="shared" si="31"/>
        <v/>
      </c>
      <c r="K1022" s="30"/>
      <c r="M1022" t="str">
        <f>IF($A1022=Ficha!$B$3,COUNTIF($A$5:$A1022,Ficha!$B$3),"")</f>
        <v/>
      </c>
    </row>
    <row r="1023" spans="2:13" x14ac:dyDescent="0.3">
      <c r="B1023" s="30" t="str">
        <f>IF(A1023="","",IFERROR(INDEX(Maniobras!$B$5:$B$504,MATCH(A1023,Maniobras!$A$5:$A$504,0)),""))</f>
        <v/>
      </c>
      <c r="C1023" t="str">
        <f t="shared" si="30"/>
        <v/>
      </c>
      <c r="D1023" t="str">
        <f>IF(A1023="","",IFERROR(INDEX(Maniobras!$D$5:$D$504,MATCH(A1023,Maniobras!$A$5:$A$504,0)),""))</f>
        <v/>
      </c>
      <c r="F1023" s="29" t="str">
        <f>IF(A1023="","",IFERROR(INDEX(Maniobras!$K$5:$K$504,MATCH(A1023,Maniobras!$A$5:$A$504,0)),""))</f>
        <v/>
      </c>
      <c r="G1023" s="29"/>
      <c r="H1023" s="29"/>
      <c r="I1023" s="29" t="str">
        <f t="shared" si="31"/>
        <v/>
      </c>
      <c r="K1023" s="30"/>
      <c r="M1023" t="str">
        <f>IF($A1023=Ficha!$B$3,COUNTIF($A$5:$A1023,Ficha!$B$3),"")</f>
        <v/>
      </c>
    </row>
    <row r="1024" spans="2:13" x14ac:dyDescent="0.3">
      <c r="B1024" s="30" t="str">
        <f>IF(A1024="","",IFERROR(INDEX(Maniobras!$B$5:$B$504,MATCH(A1024,Maniobras!$A$5:$A$504,0)),""))</f>
        <v/>
      </c>
      <c r="C1024" t="str">
        <f t="shared" si="30"/>
        <v/>
      </c>
      <c r="D1024" t="str">
        <f>IF(A1024="","",IFERROR(INDEX(Maniobras!$D$5:$D$504,MATCH(A1024,Maniobras!$A$5:$A$504,0)),""))</f>
        <v/>
      </c>
      <c r="F1024" s="29" t="str">
        <f>IF(A1024="","",IFERROR(INDEX(Maniobras!$K$5:$K$504,MATCH(A1024,Maniobras!$A$5:$A$504,0)),""))</f>
        <v/>
      </c>
      <c r="G1024" s="29"/>
      <c r="H1024" s="29"/>
      <c r="I1024" s="29" t="str">
        <f t="shared" si="31"/>
        <v/>
      </c>
      <c r="K1024" s="30"/>
      <c r="M1024" t="str">
        <f>IF($A1024=Ficha!$B$3,COUNTIF($A$5:$A1024,Ficha!$B$3),"")</f>
        <v/>
      </c>
    </row>
    <row r="1025" spans="2:13" x14ac:dyDescent="0.3">
      <c r="B1025" s="30" t="str">
        <f>IF(A1025="","",IFERROR(INDEX(Maniobras!$B$5:$B$504,MATCH(A1025,Maniobras!$A$5:$A$504,0)),""))</f>
        <v/>
      </c>
      <c r="C1025" t="str">
        <f t="shared" si="30"/>
        <v/>
      </c>
      <c r="D1025" t="str">
        <f>IF(A1025="","",IFERROR(INDEX(Maniobras!$D$5:$D$504,MATCH(A1025,Maniobras!$A$5:$A$504,0)),""))</f>
        <v/>
      </c>
      <c r="F1025" s="29" t="str">
        <f>IF(A1025="","",IFERROR(INDEX(Maniobras!$K$5:$K$504,MATCH(A1025,Maniobras!$A$5:$A$504,0)),""))</f>
        <v/>
      </c>
      <c r="G1025" s="29"/>
      <c r="H1025" s="29"/>
      <c r="I1025" s="29" t="str">
        <f t="shared" si="31"/>
        <v/>
      </c>
      <c r="K1025" s="30"/>
      <c r="M1025" t="str">
        <f>IF($A1025=Ficha!$B$3,COUNTIF($A$5:$A1025,Ficha!$B$3),"")</f>
        <v/>
      </c>
    </row>
    <row r="1026" spans="2:13" x14ac:dyDescent="0.3">
      <c r="B1026" s="30" t="str">
        <f>IF(A1026="","",IFERROR(INDEX(Maniobras!$B$5:$B$504,MATCH(A1026,Maniobras!$A$5:$A$504,0)),""))</f>
        <v/>
      </c>
      <c r="C1026" t="str">
        <f t="shared" si="30"/>
        <v/>
      </c>
      <c r="D1026" t="str">
        <f>IF(A1026="","",IFERROR(INDEX(Maniobras!$D$5:$D$504,MATCH(A1026,Maniobras!$A$5:$A$504,0)),""))</f>
        <v/>
      </c>
      <c r="F1026" s="29" t="str">
        <f>IF(A1026="","",IFERROR(INDEX(Maniobras!$K$5:$K$504,MATCH(A1026,Maniobras!$A$5:$A$504,0)),""))</f>
        <v/>
      </c>
      <c r="G1026" s="29"/>
      <c r="H1026" s="29"/>
      <c r="I1026" s="29" t="str">
        <f t="shared" si="31"/>
        <v/>
      </c>
      <c r="K1026" s="30"/>
      <c r="M1026" t="str">
        <f>IF($A1026=Ficha!$B$3,COUNTIF($A$5:$A1026,Ficha!$B$3),"")</f>
        <v/>
      </c>
    </row>
    <row r="1027" spans="2:13" x14ac:dyDescent="0.3">
      <c r="B1027" s="30" t="str">
        <f>IF(A1027="","",IFERROR(INDEX(Maniobras!$B$5:$B$504,MATCH(A1027,Maniobras!$A$5:$A$504,0)),""))</f>
        <v/>
      </c>
      <c r="C1027" t="str">
        <f t="shared" si="30"/>
        <v/>
      </c>
      <c r="D1027" t="str">
        <f>IF(A1027="","",IFERROR(INDEX(Maniobras!$D$5:$D$504,MATCH(A1027,Maniobras!$A$5:$A$504,0)),""))</f>
        <v/>
      </c>
      <c r="F1027" s="29" t="str">
        <f>IF(A1027="","",IFERROR(INDEX(Maniobras!$K$5:$K$504,MATCH(A1027,Maniobras!$A$5:$A$504,0)),""))</f>
        <v/>
      </c>
      <c r="G1027" s="29"/>
      <c r="H1027" s="29"/>
      <c r="I1027" s="29" t="str">
        <f t="shared" si="31"/>
        <v/>
      </c>
      <c r="K1027" s="30"/>
      <c r="M1027" t="str">
        <f>IF($A1027=Ficha!$B$3,COUNTIF($A$5:$A1027,Ficha!$B$3),"")</f>
        <v/>
      </c>
    </row>
    <row r="1028" spans="2:13" x14ac:dyDescent="0.3">
      <c r="B1028" s="30" t="str">
        <f>IF(A1028="","",IFERROR(INDEX(Maniobras!$B$5:$B$504,MATCH(A1028,Maniobras!$A$5:$A$504,0)),""))</f>
        <v/>
      </c>
      <c r="C1028" t="str">
        <f t="shared" si="30"/>
        <v/>
      </c>
      <c r="D1028" t="str">
        <f>IF(A1028="","",IFERROR(INDEX(Maniobras!$D$5:$D$504,MATCH(A1028,Maniobras!$A$5:$A$504,0)),""))</f>
        <v/>
      </c>
      <c r="F1028" s="29" t="str">
        <f>IF(A1028="","",IFERROR(INDEX(Maniobras!$K$5:$K$504,MATCH(A1028,Maniobras!$A$5:$A$504,0)),""))</f>
        <v/>
      </c>
      <c r="G1028" s="29"/>
      <c r="H1028" s="29"/>
      <c r="I1028" s="29" t="str">
        <f t="shared" si="31"/>
        <v/>
      </c>
      <c r="K1028" s="30"/>
      <c r="M1028" t="str">
        <f>IF($A1028=Ficha!$B$3,COUNTIF($A$5:$A1028,Ficha!$B$3),"")</f>
        <v/>
      </c>
    </row>
    <row r="1029" spans="2:13" x14ac:dyDescent="0.3">
      <c r="B1029" s="30" t="str">
        <f>IF(A1029="","",IFERROR(INDEX(Maniobras!$B$5:$B$504,MATCH(A1029,Maniobras!$A$5:$A$504,0)),""))</f>
        <v/>
      </c>
      <c r="C1029" t="str">
        <f t="shared" ref="C1029:C1092" si="32">IF(B1029="","",TEXT(B1029,"yyyy-mm"))</f>
        <v/>
      </c>
      <c r="D1029" t="str">
        <f>IF(A1029="","",IFERROR(INDEX(Maniobras!$D$5:$D$504,MATCH(A1029,Maniobras!$A$5:$A$504,0)),""))</f>
        <v/>
      </c>
      <c r="F1029" s="29" t="str">
        <f>IF(A1029="","",IFERROR(INDEX(Maniobras!$K$5:$K$504,MATCH(A1029,Maniobras!$A$5:$A$504,0)),""))</f>
        <v/>
      </c>
      <c r="G1029" s="29"/>
      <c r="H1029" s="29"/>
      <c r="I1029" s="29" t="str">
        <f t="shared" ref="I1029:I1092" si="33">IF(G1029="","",G1029+N(H1029))</f>
        <v/>
      </c>
      <c r="K1029" s="30"/>
      <c r="M1029" t="str">
        <f>IF($A1029=Ficha!$B$3,COUNTIF($A$5:$A1029,Ficha!$B$3),"")</f>
        <v/>
      </c>
    </row>
    <row r="1030" spans="2:13" x14ac:dyDescent="0.3">
      <c r="B1030" s="30" t="str">
        <f>IF(A1030="","",IFERROR(INDEX(Maniobras!$B$5:$B$504,MATCH(A1030,Maniobras!$A$5:$A$504,0)),""))</f>
        <v/>
      </c>
      <c r="C1030" t="str">
        <f t="shared" si="32"/>
        <v/>
      </c>
      <c r="D1030" t="str">
        <f>IF(A1030="","",IFERROR(INDEX(Maniobras!$D$5:$D$504,MATCH(A1030,Maniobras!$A$5:$A$504,0)),""))</f>
        <v/>
      </c>
      <c r="F1030" s="29" t="str">
        <f>IF(A1030="","",IFERROR(INDEX(Maniobras!$K$5:$K$504,MATCH(A1030,Maniobras!$A$5:$A$504,0)),""))</f>
        <v/>
      </c>
      <c r="G1030" s="29"/>
      <c r="H1030" s="29"/>
      <c r="I1030" s="29" t="str">
        <f t="shared" si="33"/>
        <v/>
      </c>
      <c r="K1030" s="30"/>
      <c r="M1030" t="str">
        <f>IF($A1030=Ficha!$B$3,COUNTIF($A$5:$A1030,Ficha!$B$3),"")</f>
        <v/>
      </c>
    </row>
    <row r="1031" spans="2:13" x14ac:dyDescent="0.3">
      <c r="B1031" s="30" t="str">
        <f>IF(A1031="","",IFERROR(INDEX(Maniobras!$B$5:$B$504,MATCH(A1031,Maniobras!$A$5:$A$504,0)),""))</f>
        <v/>
      </c>
      <c r="C1031" t="str">
        <f t="shared" si="32"/>
        <v/>
      </c>
      <c r="D1031" t="str">
        <f>IF(A1031="","",IFERROR(INDEX(Maniobras!$D$5:$D$504,MATCH(A1031,Maniobras!$A$5:$A$504,0)),""))</f>
        <v/>
      </c>
      <c r="F1031" s="29" t="str">
        <f>IF(A1031="","",IFERROR(INDEX(Maniobras!$K$5:$K$504,MATCH(A1031,Maniobras!$A$5:$A$504,0)),""))</f>
        <v/>
      </c>
      <c r="G1031" s="29"/>
      <c r="H1031" s="29"/>
      <c r="I1031" s="29" t="str">
        <f t="shared" si="33"/>
        <v/>
      </c>
      <c r="K1031" s="30"/>
      <c r="M1031" t="str">
        <f>IF($A1031=Ficha!$B$3,COUNTIF($A$5:$A1031,Ficha!$B$3),"")</f>
        <v/>
      </c>
    </row>
    <row r="1032" spans="2:13" x14ac:dyDescent="0.3">
      <c r="B1032" s="30" t="str">
        <f>IF(A1032="","",IFERROR(INDEX(Maniobras!$B$5:$B$504,MATCH(A1032,Maniobras!$A$5:$A$504,0)),""))</f>
        <v/>
      </c>
      <c r="C1032" t="str">
        <f t="shared" si="32"/>
        <v/>
      </c>
      <c r="D1032" t="str">
        <f>IF(A1032="","",IFERROR(INDEX(Maniobras!$D$5:$D$504,MATCH(A1032,Maniobras!$A$5:$A$504,0)),""))</f>
        <v/>
      </c>
      <c r="F1032" s="29" t="str">
        <f>IF(A1032="","",IFERROR(INDEX(Maniobras!$K$5:$K$504,MATCH(A1032,Maniobras!$A$5:$A$504,0)),""))</f>
        <v/>
      </c>
      <c r="G1032" s="29"/>
      <c r="H1032" s="29"/>
      <c r="I1032" s="29" t="str">
        <f t="shared" si="33"/>
        <v/>
      </c>
      <c r="K1032" s="30"/>
      <c r="M1032" t="str">
        <f>IF($A1032=Ficha!$B$3,COUNTIF($A$5:$A1032,Ficha!$B$3),"")</f>
        <v/>
      </c>
    </row>
    <row r="1033" spans="2:13" x14ac:dyDescent="0.3">
      <c r="B1033" s="30" t="str">
        <f>IF(A1033="","",IFERROR(INDEX(Maniobras!$B$5:$B$504,MATCH(A1033,Maniobras!$A$5:$A$504,0)),""))</f>
        <v/>
      </c>
      <c r="C1033" t="str">
        <f t="shared" si="32"/>
        <v/>
      </c>
      <c r="D1033" t="str">
        <f>IF(A1033="","",IFERROR(INDEX(Maniobras!$D$5:$D$504,MATCH(A1033,Maniobras!$A$5:$A$504,0)),""))</f>
        <v/>
      </c>
      <c r="F1033" s="29" t="str">
        <f>IF(A1033="","",IFERROR(INDEX(Maniobras!$K$5:$K$504,MATCH(A1033,Maniobras!$A$5:$A$504,0)),""))</f>
        <v/>
      </c>
      <c r="G1033" s="29"/>
      <c r="H1033" s="29"/>
      <c r="I1033" s="29" t="str">
        <f t="shared" si="33"/>
        <v/>
      </c>
      <c r="K1033" s="30"/>
      <c r="M1033" t="str">
        <f>IF($A1033=Ficha!$B$3,COUNTIF($A$5:$A1033,Ficha!$B$3),"")</f>
        <v/>
      </c>
    </row>
    <row r="1034" spans="2:13" x14ac:dyDescent="0.3">
      <c r="B1034" s="30" t="str">
        <f>IF(A1034="","",IFERROR(INDEX(Maniobras!$B$5:$B$504,MATCH(A1034,Maniobras!$A$5:$A$504,0)),""))</f>
        <v/>
      </c>
      <c r="C1034" t="str">
        <f t="shared" si="32"/>
        <v/>
      </c>
      <c r="D1034" t="str">
        <f>IF(A1034="","",IFERROR(INDEX(Maniobras!$D$5:$D$504,MATCH(A1034,Maniobras!$A$5:$A$504,0)),""))</f>
        <v/>
      </c>
      <c r="F1034" s="29" t="str">
        <f>IF(A1034="","",IFERROR(INDEX(Maniobras!$K$5:$K$504,MATCH(A1034,Maniobras!$A$5:$A$504,0)),""))</f>
        <v/>
      </c>
      <c r="G1034" s="29"/>
      <c r="H1034" s="29"/>
      <c r="I1034" s="29" t="str">
        <f t="shared" si="33"/>
        <v/>
      </c>
      <c r="K1034" s="30"/>
      <c r="M1034" t="str">
        <f>IF($A1034=Ficha!$B$3,COUNTIF($A$5:$A1034,Ficha!$B$3),"")</f>
        <v/>
      </c>
    </row>
    <row r="1035" spans="2:13" x14ac:dyDescent="0.3">
      <c r="B1035" s="30" t="str">
        <f>IF(A1035="","",IFERROR(INDEX(Maniobras!$B$5:$B$504,MATCH(A1035,Maniobras!$A$5:$A$504,0)),""))</f>
        <v/>
      </c>
      <c r="C1035" t="str">
        <f t="shared" si="32"/>
        <v/>
      </c>
      <c r="D1035" t="str">
        <f>IF(A1035="","",IFERROR(INDEX(Maniobras!$D$5:$D$504,MATCH(A1035,Maniobras!$A$5:$A$504,0)),""))</f>
        <v/>
      </c>
      <c r="F1035" s="29" t="str">
        <f>IF(A1035="","",IFERROR(INDEX(Maniobras!$K$5:$K$504,MATCH(A1035,Maniobras!$A$5:$A$504,0)),""))</f>
        <v/>
      </c>
      <c r="G1035" s="29"/>
      <c r="H1035" s="29"/>
      <c r="I1035" s="29" t="str">
        <f t="shared" si="33"/>
        <v/>
      </c>
      <c r="K1035" s="30"/>
      <c r="M1035" t="str">
        <f>IF($A1035=Ficha!$B$3,COUNTIF($A$5:$A1035,Ficha!$B$3),"")</f>
        <v/>
      </c>
    </row>
    <row r="1036" spans="2:13" x14ac:dyDescent="0.3">
      <c r="B1036" s="30" t="str">
        <f>IF(A1036="","",IFERROR(INDEX(Maniobras!$B$5:$B$504,MATCH(A1036,Maniobras!$A$5:$A$504,0)),""))</f>
        <v/>
      </c>
      <c r="C1036" t="str">
        <f t="shared" si="32"/>
        <v/>
      </c>
      <c r="D1036" t="str">
        <f>IF(A1036="","",IFERROR(INDEX(Maniobras!$D$5:$D$504,MATCH(A1036,Maniobras!$A$5:$A$504,0)),""))</f>
        <v/>
      </c>
      <c r="F1036" s="29" t="str">
        <f>IF(A1036="","",IFERROR(INDEX(Maniobras!$K$5:$K$504,MATCH(A1036,Maniobras!$A$5:$A$504,0)),""))</f>
        <v/>
      </c>
      <c r="G1036" s="29"/>
      <c r="H1036" s="29"/>
      <c r="I1036" s="29" t="str">
        <f t="shared" si="33"/>
        <v/>
      </c>
      <c r="K1036" s="30"/>
      <c r="M1036" t="str">
        <f>IF($A1036=Ficha!$B$3,COUNTIF($A$5:$A1036,Ficha!$B$3),"")</f>
        <v/>
      </c>
    </row>
    <row r="1037" spans="2:13" x14ac:dyDescent="0.3">
      <c r="B1037" s="30" t="str">
        <f>IF(A1037="","",IFERROR(INDEX(Maniobras!$B$5:$B$504,MATCH(A1037,Maniobras!$A$5:$A$504,0)),""))</f>
        <v/>
      </c>
      <c r="C1037" t="str">
        <f t="shared" si="32"/>
        <v/>
      </c>
      <c r="D1037" t="str">
        <f>IF(A1037="","",IFERROR(INDEX(Maniobras!$D$5:$D$504,MATCH(A1037,Maniobras!$A$5:$A$504,0)),""))</f>
        <v/>
      </c>
      <c r="F1037" s="29" t="str">
        <f>IF(A1037="","",IFERROR(INDEX(Maniobras!$K$5:$K$504,MATCH(A1037,Maniobras!$A$5:$A$504,0)),""))</f>
        <v/>
      </c>
      <c r="G1037" s="29"/>
      <c r="H1037" s="29"/>
      <c r="I1037" s="29" t="str">
        <f t="shared" si="33"/>
        <v/>
      </c>
      <c r="K1037" s="30"/>
      <c r="M1037" t="str">
        <f>IF($A1037=Ficha!$B$3,COUNTIF($A$5:$A1037,Ficha!$B$3),"")</f>
        <v/>
      </c>
    </row>
    <row r="1038" spans="2:13" x14ac:dyDescent="0.3">
      <c r="B1038" s="30" t="str">
        <f>IF(A1038="","",IFERROR(INDEX(Maniobras!$B$5:$B$504,MATCH(A1038,Maniobras!$A$5:$A$504,0)),""))</f>
        <v/>
      </c>
      <c r="C1038" t="str">
        <f t="shared" si="32"/>
        <v/>
      </c>
      <c r="D1038" t="str">
        <f>IF(A1038="","",IFERROR(INDEX(Maniobras!$D$5:$D$504,MATCH(A1038,Maniobras!$A$5:$A$504,0)),""))</f>
        <v/>
      </c>
      <c r="F1038" s="29" t="str">
        <f>IF(A1038="","",IFERROR(INDEX(Maniobras!$K$5:$K$504,MATCH(A1038,Maniobras!$A$5:$A$504,0)),""))</f>
        <v/>
      </c>
      <c r="G1038" s="29"/>
      <c r="H1038" s="29"/>
      <c r="I1038" s="29" t="str">
        <f t="shared" si="33"/>
        <v/>
      </c>
      <c r="K1038" s="30"/>
      <c r="M1038" t="str">
        <f>IF($A1038=Ficha!$B$3,COUNTIF($A$5:$A1038,Ficha!$B$3),"")</f>
        <v/>
      </c>
    </row>
    <row r="1039" spans="2:13" x14ac:dyDescent="0.3">
      <c r="B1039" s="30" t="str">
        <f>IF(A1039="","",IFERROR(INDEX(Maniobras!$B$5:$B$504,MATCH(A1039,Maniobras!$A$5:$A$504,0)),""))</f>
        <v/>
      </c>
      <c r="C1039" t="str">
        <f t="shared" si="32"/>
        <v/>
      </c>
      <c r="D1039" t="str">
        <f>IF(A1039="","",IFERROR(INDEX(Maniobras!$D$5:$D$504,MATCH(A1039,Maniobras!$A$5:$A$504,0)),""))</f>
        <v/>
      </c>
      <c r="F1039" s="29" t="str">
        <f>IF(A1039="","",IFERROR(INDEX(Maniobras!$K$5:$K$504,MATCH(A1039,Maniobras!$A$5:$A$504,0)),""))</f>
        <v/>
      </c>
      <c r="G1039" s="29"/>
      <c r="H1039" s="29"/>
      <c r="I1039" s="29" t="str">
        <f t="shared" si="33"/>
        <v/>
      </c>
      <c r="K1039" s="30"/>
      <c r="M1039" t="str">
        <f>IF($A1039=Ficha!$B$3,COUNTIF($A$5:$A1039,Ficha!$B$3),"")</f>
        <v/>
      </c>
    </row>
    <row r="1040" spans="2:13" x14ac:dyDescent="0.3">
      <c r="B1040" s="30" t="str">
        <f>IF(A1040="","",IFERROR(INDEX(Maniobras!$B$5:$B$504,MATCH(A1040,Maniobras!$A$5:$A$504,0)),""))</f>
        <v/>
      </c>
      <c r="C1040" t="str">
        <f t="shared" si="32"/>
        <v/>
      </c>
      <c r="D1040" t="str">
        <f>IF(A1040="","",IFERROR(INDEX(Maniobras!$D$5:$D$504,MATCH(A1040,Maniobras!$A$5:$A$504,0)),""))</f>
        <v/>
      </c>
      <c r="F1040" s="29" t="str">
        <f>IF(A1040="","",IFERROR(INDEX(Maniobras!$K$5:$K$504,MATCH(A1040,Maniobras!$A$5:$A$504,0)),""))</f>
        <v/>
      </c>
      <c r="G1040" s="29"/>
      <c r="H1040" s="29"/>
      <c r="I1040" s="29" t="str">
        <f t="shared" si="33"/>
        <v/>
      </c>
      <c r="K1040" s="30"/>
      <c r="M1040" t="str">
        <f>IF($A1040=Ficha!$B$3,COUNTIF($A$5:$A1040,Ficha!$B$3),"")</f>
        <v/>
      </c>
    </row>
    <row r="1041" spans="2:13" x14ac:dyDescent="0.3">
      <c r="B1041" s="30" t="str">
        <f>IF(A1041="","",IFERROR(INDEX(Maniobras!$B$5:$B$504,MATCH(A1041,Maniobras!$A$5:$A$504,0)),""))</f>
        <v/>
      </c>
      <c r="C1041" t="str">
        <f t="shared" si="32"/>
        <v/>
      </c>
      <c r="D1041" t="str">
        <f>IF(A1041="","",IFERROR(INDEX(Maniobras!$D$5:$D$504,MATCH(A1041,Maniobras!$A$5:$A$504,0)),""))</f>
        <v/>
      </c>
      <c r="F1041" s="29" t="str">
        <f>IF(A1041="","",IFERROR(INDEX(Maniobras!$K$5:$K$504,MATCH(A1041,Maniobras!$A$5:$A$504,0)),""))</f>
        <v/>
      </c>
      <c r="G1041" s="29"/>
      <c r="H1041" s="29"/>
      <c r="I1041" s="29" t="str">
        <f t="shared" si="33"/>
        <v/>
      </c>
      <c r="K1041" s="30"/>
      <c r="M1041" t="str">
        <f>IF($A1041=Ficha!$B$3,COUNTIF($A$5:$A1041,Ficha!$B$3),"")</f>
        <v/>
      </c>
    </row>
    <row r="1042" spans="2:13" x14ac:dyDescent="0.3">
      <c r="B1042" s="30" t="str">
        <f>IF(A1042="","",IFERROR(INDEX(Maniobras!$B$5:$B$504,MATCH(A1042,Maniobras!$A$5:$A$504,0)),""))</f>
        <v/>
      </c>
      <c r="C1042" t="str">
        <f t="shared" si="32"/>
        <v/>
      </c>
      <c r="D1042" t="str">
        <f>IF(A1042="","",IFERROR(INDEX(Maniobras!$D$5:$D$504,MATCH(A1042,Maniobras!$A$5:$A$504,0)),""))</f>
        <v/>
      </c>
      <c r="F1042" s="29" t="str">
        <f>IF(A1042="","",IFERROR(INDEX(Maniobras!$K$5:$K$504,MATCH(A1042,Maniobras!$A$5:$A$504,0)),""))</f>
        <v/>
      </c>
      <c r="G1042" s="29"/>
      <c r="H1042" s="29"/>
      <c r="I1042" s="29" t="str">
        <f t="shared" si="33"/>
        <v/>
      </c>
      <c r="K1042" s="30"/>
      <c r="M1042" t="str">
        <f>IF($A1042=Ficha!$B$3,COUNTIF($A$5:$A1042,Ficha!$B$3),"")</f>
        <v/>
      </c>
    </row>
    <row r="1043" spans="2:13" x14ac:dyDescent="0.3">
      <c r="B1043" s="30" t="str">
        <f>IF(A1043="","",IFERROR(INDEX(Maniobras!$B$5:$B$504,MATCH(A1043,Maniobras!$A$5:$A$504,0)),""))</f>
        <v/>
      </c>
      <c r="C1043" t="str">
        <f t="shared" si="32"/>
        <v/>
      </c>
      <c r="D1043" t="str">
        <f>IF(A1043="","",IFERROR(INDEX(Maniobras!$D$5:$D$504,MATCH(A1043,Maniobras!$A$5:$A$504,0)),""))</f>
        <v/>
      </c>
      <c r="F1043" s="29" t="str">
        <f>IF(A1043="","",IFERROR(INDEX(Maniobras!$K$5:$K$504,MATCH(A1043,Maniobras!$A$5:$A$504,0)),""))</f>
        <v/>
      </c>
      <c r="G1043" s="29"/>
      <c r="H1043" s="29"/>
      <c r="I1043" s="29" t="str">
        <f t="shared" si="33"/>
        <v/>
      </c>
      <c r="K1043" s="30"/>
      <c r="M1043" t="str">
        <f>IF($A1043=Ficha!$B$3,COUNTIF($A$5:$A1043,Ficha!$B$3),"")</f>
        <v/>
      </c>
    </row>
    <row r="1044" spans="2:13" x14ac:dyDescent="0.3">
      <c r="B1044" s="30" t="str">
        <f>IF(A1044="","",IFERROR(INDEX(Maniobras!$B$5:$B$504,MATCH(A1044,Maniobras!$A$5:$A$504,0)),""))</f>
        <v/>
      </c>
      <c r="C1044" t="str">
        <f t="shared" si="32"/>
        <v/>
      </c>
      <c r="D1044" t="str">
        <f>IF(A1044="","",IFERROR(INDEX(Maniobras!$D$5:$D$504,MATCH(A1044,Maniobras!$A$5:$A$504,0)),""))</f>
        <v/>
      </c>
      <c r="F1044" s="29" t="str">
        <f>IF(A1044="","",IFERROR(INDEX(Maniobras!$K$5:$K$504,MATCH(A1044,Maniobras!$A$5:$A$504,0)),""))</f>
        <v/>
      </c>
      <c r="G1044" s="29"/>
      <c r="H1044" s="29"/>
      <c r="I1044" s="29" t="str">
        <f t="shared" si="33"/>
        <v/>
      </c>
      <c r="K1044" s="30"/>
      <c r="M1044" t="str">
        <f>IF($A1044=Ficha!$B$3,COUNTIF($A$5:$A1044,Ficha!$B$3),"")</f>
        <v/>
      </c>
    </row>
    <row r="1045" spans="2:13" x14ac:dyDescent="0.3">
      <c r="B1045" s="30" t="str">
        <f>IF(A1045="","",IFERROR(INDEX(Maniobras!$B$5:$B$504,MATCH(A1045,Maniobras!$A$5:$A$504,0)),""))</f>
        <v/>
      </c>
      <c r="C1045" t="str">
        <f t="shared" si="32"/>
        <v/>
      </c>
      <c r="D1045" t="str">
        <f>IF(A1045="","",IFERROR(INDEX(Maniobras!$D$5:$D$504,MATCH(A1045,Maniobras!$A$5:$A$504,0)),""))</f>
        <v/>
      </c>
      <c r="F1045" s="29" t="str">
        <f>IF(A1045="","",IFERROR(INDEX(Maniobras!$K$5:$K$504,MATCH(A1045,Maniobras!$A$5:$A$504,0)),""))</f>
        <v/>
      </c>
      <c r="G1045" s="29"/>
      <c r="H1045" s="29"/>
      <c r="I1045" s="29" t="str">
        <f t="shared" si="33"/>
        <v/>
      </c>
      <c r="K1045" s="30"/>
      <c r="M1045" t="str">
        <f>IF($A1045=Ficha!$B$3,COUNTIF($A$5:$A1045,Ficha!$B$3),"")</f>
        <v/>
      </c>
    </row>
    <row r="1046" spans="2:13" x14ac:dyDescent="0.3">
      <c r="B1046" s="30" t="str">
        <f>IF(A1046="","",IFERROR(INDEX(Maniobras!$B$5:$B$504,MATCH(A1046,Maniobras!$A$5:$A$504,0)),""))</f>
        <v/>
      </c>
      <c r="C1046" t="str">
        <f t="shared" si="32"/>
        <v/>
      </c>
      <c r="D1046" t="str">
        <f>IF(A1046="","",IFERROR(INDEX(Maniobras!$D$5:$D$504,MATCH(A1046,Maniobras!$A$5:$A$504,0)),""))</f>
        <v/>
      </c>
      <c r="F1046" s="29" t="str">
        <f>IF(A1046="","",IFERROR(INDEX(Maniobras!$K$5:$K$504,MATCH(A1046,Maniobras!$A$5:$A$504,0)),""))</f>
        <v/>
      </c>
      <c r="G1046" s="29"/>
      <c r="H1046" s="29"/>
      <c r="I1046" s="29" t="str">
        <f t="shared" si="33"/>
        <v/>
      </c>
      <c r="K1046" s="30"/>
      <c r="M1046" t="str">
        <f>IF($A1046=Ficha!$B$3,COUNTIF($A$5:$A1046,Ficha!$B$3),"")</f>
        <v/>
      </c>
    </row>
    <row r="1047" spans="2:13" x14ac:dyDescent="0.3">
      <c r="B1047" s="30" t="str">
        <f>IF(A1047="","",IFERROR(INDEX(Maniobras!$B$5:$B$504,MATCH(A1047,Maniobras!$A$5:$A$504,0)),""))</f>
        <v/>
      </c>
      <c r="C1047" t="str">
        <f t="shared" si="32"/>
        <v/>
      </c>
      <c r="D1047" t="str">
        <f>IF(A1047="","",IFERROR(INDEX(Maniobras!$D$5:$D$504,MATCH(A1047,Maniobras!$A$5:$A$504,0)),""))</f>
        <v/>
      </c>
      <c r="F1047" s="29" t="str">
        <f>IF(A1047="","",IFERROR(INDEX(Maniobras!$K$5:$K$504,MATCH(A1047,Maniobras!$A$5:$A$504,0)),""))</f>
        <v/>
      </c>
      <c r="G1047" s="29"/>
      <c r="H1047" s="29"/>
      <c r="I1047" s="29" t="str">
        <f t="shared" si="33"/>
        <v/>
      </c>
      <c r="K1047" s="30"/>
      <c r="M1047" t="str">
        <f>IF($A1047=Ficha!$B$3,COUNTIF($A$5:$A1047,Ficha!$B$3),"")</f>
        <v/>
      </c>
    </row>
    <row r="1048" spans="2:13" x14ac:dyDescent="0.3">
      <c r="B1048" s="30" t="str">
        <f>IF(A1048="","",IFERROR(INDEX(Maniobras!$B$5:$B$504,MATCH(A1048,Maniobras!$A$5:$A$504,0)),""))</f>
        <v/>
      </c>
      <c r="C1048" t="str">
        <f t="shared" si="32"/>
        <v/>
      </c>
      <c r="D1048" t="str">
        <f>IF(A1048="","",IFERROR(INDEX(Maniobras!$D$5:$D$504,MATCH(A1048,Maniobras!$A$5:$A$504,0)),""))</f>
        <v/>
      </c>
      <c r="F1048" s="29" t="str">
        <f>IF(A1048="","",IFERROR(INDEX(Maniobras!$K$5:$K$504,MATCH(A1048,Maniobras!$A$5:$A$504,0)),""))</f>
        <v/>
      </c>
      <c r="G1048" s="29"/>
      <c r="H1048" s="29"/>
      <c r="I1048" s="29" t="str">
        <f t="shared" si="33"/>
        <v/>
      </c>
      <c r="K1048" s="30"/>
      <c r="M1048" t="str">
        <f>IF($A1048=Ficha!$B$3,COUNTIF($A$5:$A1048,Ficha!$B$3),"")</f>
        <v/>
      </c>
    </row>
    <row r="1049" spans="2:13" x14ac:dyDescent="0.3">
      <c r="B1049" s="30" t="str">
        <f>IF(A1049="","",IFERROR(INDEX(Maniobras!$B$5:$B$504,MATCH(A1049,Maniobras!$A$5:$A$504,0)),""))</f>
        <v/>
      </c>
      <c r="C1049" t="str">
        <f t="shared" si="32"/>
        <v/>
      </c>
      <c r="D1049" t="str">
        <f>IF(A1049="","",IFERROR(INDEX(Maniobras!$D$5:$D$504,MATCH(A1049,Maniobras!$A$5:$A$504,0)),""))</f>
        <v/>
      </c>
      <c r="F1049" s="29" t="str">
        <f>IF(A1049="","",IFERROR(INDEX(Maniobras!$K$5:$K$504,MATCH(A1049,Maniobras!$A$5:$A$504,0)),""))</f>
        <v/>
      </c>
      <c r="G1049" s="29"/>
      <c r="H1049" s="29"/>
      <c r="I1049" s="29" t="str">
        <f t="shared" si="33"/>
        <v/>
      </c>
      <c r="K1049" s="30"/>
      <c r="M1049" t="str">
        <f>IF($A1049=Ficha!$B$3,COUNTIF($A$5:$A1049,Ficha!$B$3),"")</f>
        <v/>
      </c>
    </row>
    <row r="1050" spans="2:13" x14ac:dyDescent="0.3">
      <c r="B1050" s="30" t="str">
        <f>IF(A1050="","",IFERROR(INDEX(Maniobras!$B$5:$B$504,MATCH(A1050,Maniobras!$A$5:$A$504,0)),""))</f>
        <v/>
      </c>
      <c r="C1050" t="str">
        <f t="shared" si="32"/>
        <v/>
      </c>
      <c r="D1050" t="str">
        <f>IF(A1050="","",IFERROR(INDEX(Maniobras!$D$5:$D$504,MATCH(A1050,Maniobras!$A$5:$A$504,0)),""))</f>
        <v/>
      </c>
      <c r="F1050" s="29" t="str">
        <f>IF(A1050="","",IFERROR(INDEX(Maniobras!$K$5:$K$504,MATCH(A1050,Maniobras!$A$5:$A$504,0)),""))</f>
        <v/>
      </c>
      <c r="G1050" s="29"/>
      <c r="H1050" s="29"/>
      <c r="I1050" s="29" t="str">
        <f t="shared" si="33"/>
        <v/>
      </c>
      <c r="K1050" s="30"/>
      <c r="M1050" t="str">
        <f>IF($A1050=Ficha!$B$3,COUNTIF($A$5:$A1050,Ficha!$B$3),"")</f>
        <v/>
      </c>
    </row>
    <row r="1051" spans="2:13" x14ac:dyDescent="0.3">
      <c r="B1051" s="30" t="str">
        <f>IF(A1051="","",IFERROR(INDEX(Maniobras!$B$5:$B$504,MATCH(A1051,Maniobras!$A$5:$A$504,0)),""))</f>
        <v/>
      </c>
      <c r="C1051" t="str">
        <f t="shared" si="32"/>
        <v/>
      </c>
      <c r="D1051" t="str">
        <f>IF(A1051="","",IFERROR(INDEX(Maniobras!$D$5:$D$504,MATCH(A1051,Maniobras!$A$5:$A$504,0)),""))</f>
        <v/>
      </c>
      <c r="F1051" s="29" t="str">
        <f>IF(A1051="","",IFERROR(INDEX(Maniobras!$K$5:$K$504,MATCH(A1051,Maniobras!$A$5:$A$504,0)),""))</f>
        <v/>
      </c>
      <c r="G1051" s="29"/>
      <c r="H1051" s="29"/>
      <c r="I1051" s="29" t="str">
        <f t="shared" si="33"/>
        <v/>
      </c>
      <c r="K1051" s="30"/>
      <c r="M1051" t="str">
        <f>IF($A1051=Ficha!$B$3,COUNTIF($A$5:$A1051,Ficha!$B$3),"")</f>
        <v/>
      </c>
    </row>
    <row r="1052" spans="2:13" x14ac:dyDescent="0.3">
      <c r="B1052" s="30" t="str">
        <f>IF(A1052="","",IFERROR(INDEX(Maniobras!$B$5:$B$504,MATCH(A1052,Maniobras!$A$5:$A$504,0)),""))</f>
        <v/>
      </c>
      <c r="C1052" t="str">
        <f t="shared" si="32"/>
        <v/>
      </c>
      <c r="D1052" t="str">
        <f>IF(A1052="","",IFERROR(INDEX(Maniobras!$D$5:$D$504,MATCH(A1052,Maniobras!$A$5:$A$504,0)),""))</f>
        <v/>
      </c>
      <c r="F1052" s="29" t="str">
        <f>IF(A1052="","",IFERROR(INDEX(Maniobras!$K$5:$K$504,MATCH(A1052,Maniobras!$A$5:$A$504,0)),""))</f>
        <v/>
      </c>
      <c r="G1052" s="29"/>
      <c r="H1052" s="29"/>
      <c r="I1052" s="29" t="str">
        <f t="shared" si="33"/>
        <v/>
      </c>
      <c r="K1052" s="30"/>
      <c r="M1052" t="str">
        <f>IF($A1052=Ficha!$B$3,COUNTIF($A$5:$A1052,Ficha!$B$3),"")</f>
        <v/>
      </c>
    </row>
    <row r="1053" spans="2:13" x14ac:dyDescent="0.3">
      <c r="B1053" s="30" t="str">
        <f>IF(A1053="","",IFERROR(INDEX(Maniobras!$B$5:$B$504,MATCH(A1053,Maniobras!$A$5:$A$504,0)),""))</f>
        <v/>
      </c>
      <c r="C1053" t="str">
        <f t="shared" si="32"/>
        <v/>
      </c>
      <c r="D1053" t="str">
        <f>IF(A1053="","",IFERROR(INDEX(Maniobras!$D$5:$D$504,MATCH(A1053,Maniobras!$A$5:$A$504,0)),""))</f>
        <v/>
      </c>
      <c r="F1053" s="29" t="str">
        <f>IF(A1053="","",IFERROR(INDEX(Maniobras!$K$5:$K$504,MATCH(A1053,Maniobras!$A$5:$A$504,0)),""))</f>
        <v/>
      </c>
      <c r="G1053" s="29"/>
      <c r="H1053" s="29"/>
      <c r="I1053" s="29" t="str">
        <f t="shared" si="33"/>
        <v/>
      </c>
      <c r="K1053" s="30"/>
      <c r="M1053" t="str">
        <f>IF($A1053=Ficha!$B$3,COUNTIF($A$5:$A1053,Ficha!$B$3),"")</f>
        <v/>
      </c>
    </row>
    <row r="1054" spans="2:13" x14ac:dyDescent="0.3">
      <c r="B1054" s="30" t="str">
        <f>IF(A1054="","",IFERROR(INDEX(Maniobras!$B$5:$B$504,MATCH(A1054,Maniobras!$A$5:$A$504,0)),""))</f>
        <v/>
      </c>
      <c r="C1054" t="str">
        <f t="shared" si="32"/>
        <v/>
      </c>
      <c r="D1054" t="str">
        <f>IF(A1054="","",IFERROR(INDEX(Maniobras!$D$5:$D$504,MATCH(A1054,Maniobras!$A$5:$A$504,0)),""))</f>
        <v/>
      </c>
      <c r="F1054" s="29" t="str">
        <f>IF(A1054="","",IFERROR(INDEX(Maniobras!$K$5:$K$504,MATCH(A1054,Maniobras!$A$5:$A$504,0)),""))</f>
        <v/>
      </c>
      <c r="G1054" s="29"/>
      <c r="H1054" s="29"/>
      <c r="I1054" s="29" t="str">
        <f t="shared" si="33"/>
        <v/>
      </c>
      <c r="K1054" s="30"/>
      <c r="M1054" t="str">
        <f>IF($A1054=Ficha!$B$3,COUNTIF($A$5:$A1054,Ficha!$B$3),"")</f>
        <v/>
      </c>
    </row>
    <row r="1055" spans="2:13" x14ac:dyDescent="0.3">
      <c r="B1055" s="30" t="str">
        <f>IF(A1055="","",IFERROR(INDEX(Maniobras!$B$5:$B$504,MATCH(A1055,Maniobras!$A$5:$A$504,0)),""))</f>
        <v/>
      </c>
      <c r="C1055" t="str">
        <f t="shared" si="32"/>
        <v/>
      </c>
      <c r="D1055" t="str">
        <f>IF(A1055="","",IFERROR(INDEX(Maniobras!$D$5:$D$504,MATCH(A1055,Maniobras!$A$5:$A$504,0)),""))</f>
        <v/>
      </c>
      <c r="F1055" s="29" t="str">
        <f>IF(A1055="","",IFERROR(INDEX(Maniobras!$K$5:$K$504,MATCH(A1055,Maniobras!$A$5:$A$504,0)),""))</f>
        <v/>
      </c>
      <c r="G1055" s="29"/>
      <c r="H1055" s="29"/>
      <c r="I1055" s="29" t="str">
        <f t="shared" si="33"/>
        <v/>
      </c>
      <c r="K1055" s="30"/>
      <c r="M1055" t="str">
        <f>IF($A1055=Ficha!$B$3,COUNTIF($A$5:$A1055,Ficha!$B$3),"")</f>
        <v/>
      </c>
    </row>
    <row r="1056" spans="2:13" x14ac:dyDescent="0.3">
      <c r="B1056" s="30" t="str">
        <f>IF(A1056="","",IFERROR(INDEX(Maniobras!$B$5:$B$504,MATCH(A1056,Maniobras!$A$5:$A$504,0)),""))</f>
        <v/>
      </c>
      <c r="C1056" t="str">
        <f t="shared" si="32"/>
        <v/>
      </c>
      <c r="D1056" t="str">
        <f>IF(A1056="","",IFERROR(INDEX(Maniobras!$D$5:$D$504,MATCH(A1056,Maniobras!$A$5:$A$504,0)),""))</f>
        <v/>
      </c>
      <c r="F1056" s="29" t="str">
        <f>IF(A1056="","",IFERROR(INDEX(Maniobras!$K$5:$K$504,MATCH(A1056,Maniobras!$A$5:$A$504,0)),""))</f>
        <v/>
      </c>
      <c r="G1056" s="29"/>
      <c r="H1056" s="29"/>
      <c r="I1056" s="29" t="str">
        <f t="shared" si="33"/>
        <v/>
      </c>
      <c r="K1056" s="30"/>
      <c r="M1056" t="str">
        <f>IF($A1056=Ficha!$B$3,COUNTIF($A$5:$A1056,Ficha!$B$3),"")</f>
        <v/>
      </c>
    </row>
    <row r="1057" spans="2:13" x14ac:dyDescent="0.3">
      <c r="B1057" s="30" t="str">
        <f>IF(A1057="","",IFERROR(INDEX(Maniobras!$B$5:$B$504,MATCH(A1057,Maniobras!$A$5:$A$504,0)),""))</f>
        <v/>
      </c>
      <c r="C1057" t="str">
        <f t="shared" si="32"/>
        <v/>
      </c>
      <c r="D1057" t="str">
        <f>IF(A1057="","",IFERROR(INDEX(Maniobras!$D$5:$D$504,MATCH(A1057,Maniobras!$A$5:$A$504,0)),""))</f>
        <v/>
      </c>
      <c r="F1057" s="29" t="str">
        <f>IF(A1057="","",IFERROR(INDEX(Maniobras!$K$5:$K$504,MATCH(A1057,Maniobras!$A$5:$A$504,0)),""))</f>
        <v/>
      </c>
      <c r="G1057" s="29"/>
      <c r="H1057" s="29"/>
      <c r="I1057" s="29" t="str">
        <f t="shared" si="33"/>
        <v/>
      </c>
      <c r="K1057" s="30"/>
      <c r="M1057" t="str">
        <f>IF($A1057=Ficha!$B$3,COUNTIF($A$5:$A1057,Ficha!$B$3),"")</f>
        <v/>
      </c>
    </row>
    <row r="1058" spans="2:13" x14ac:dyDescent="0.3">
      <c r="B1058" s="30" t="str">
        <f>IF(A1058="","",IFERROR(INDEX(Maniobras!$B$5:$B$504,MATCH(A1058,Maniobras!$A$5:$A$504,0)),""))</f>
        <v/>
      </c>
      <c r="C1058" t="str">
        <f t="shared" si="32"/>
        <v/>
      </c>
      <c r="D1058" t="str">
        <f>IF(A1058="","",IFERROR(INDEX(Maniobras!$D$5:$D$504,MATCH(A1058,Maniobras!$A$5:$A$504,0)),""))</f>
        <v/>
      </c>
      <c r="F1058" s="29" t="str">
        <f>IF(A1058="","",IFERROR(INDEX(Maniobras!$K$5:$K$504,MATCH(A1058,Maniobras!$A$5:$A$504,0)),""))</f>
        <v/>
      </c>
      <c r="G1058" s="29"/>
      <c r="H1058" s="29"/>
      <c r="I1058" s="29" t="str">
        <f t="shared" si="33"/>
        <v/>
      </c>
      <c r="K1058" s="30"/>
      <c r="M1058" t="str">
        <f>IF($A1058=Ficha!$B$3,COUNTIF($A$5:$A1058,Ficha!$B$3),"")</f>
        <v/>
      </c>
    </row>
    <row r="1059" spans="2:13" x14ac:dyDescent="0.3">
      <c r="B1059" s="30" t="str">
        <f>IF(A1059="","",IFERROR(INDEX(Maniobras!$B$5:$B$504,MATCH(A1059,Maniobras!$A$5:$A$504,0)),""))</f>
        <v/>
      </c>
      <c r="C1059" t="str">
        <f t="shared" si="32"/>
        <v/>
      </c>
      <c r="D1059" t="str">
        <f>IF(A1059="","",IFERROR(INDEX(Maniobras!$D$5:$D$504,MATCH(A1059,Maniobras!$A$5:$A$504,0)),""))</f>
        <v/>
      </c>
      <c r="F1059" s="29" t="str">
        <f>IF(A1059="","",IFERROR(INDEX(Maniobras!$K$5:$K$504,MATCH(A1059,Maniobras!$A$5:$A$504,0)),""))</f>
        <v/>
      </c>
      <c r="G1059" s="29"/>
      <c r="H1059" s="29"/>
      <c r="I1059" s="29" t="str">
        <f t="shared" si="33"/>
        <v/>
      </c>
      <c r="K1059" s="30"/>
      <c r="M1059" t="str">
        <f>IF($A1059=Ficha!$B$3,COUNTIF($A$5:$A1059,Ficha!$B$3),"")</f>
        <v/>
      </c>
    </row>
    <row r="1060" spans="2:13" x14ac:dyDescent="0.3">
      <c r="B1060" s="30" t="str">
        <f>IF(A1060="","",IFERROR(INDEX(Maniobras!$B$5:$B$504,MATCH(A1060,Maniobras!$A$5:$A$504,0)),""))</f>
        <v/>
      </c>
      <c r="C1060" t="str">
        <f t="shared" si="32"/>
        <v/>
      </c>
      <c r="D1060" t="str">
        <f>IF(A1060="","",IFERROR(INDEX(Maniobras!$D$5:$D$504,MATCH(A1060,Maniobras!$A$5:$A$504,0)),""))</f>
        <v/>
      </c>
      <c r="F1060" s="29" t="str">
        <f>IF(A1060="","",IFERROR(INDEX(Maniobras!$K$5:$K$504,MATCH(A1060,Maniobras!$A$5:$A$504,0)),""))</f>
        <v/>
      </c>
      <c r="G1060" s="29"/>
      <c r="H1060" s="29"/>
      <c r="I1060" s="29" t="str">
        <f t="shared" si="33"/>
        <v/>
      </c>
      <c r="K1060" s="30"/>
      <c r="M1060" t="str">
        <f>IF($A1060=Ficha!$B$3,COUNTIF($A$5:$A1060,Ficha!$B$3),"")</f>
        <v/>
      </c>
    </row>
    <row r="1061" spans="2:13" x14ac:dyDescent="0.3">
      <c r="B1061" s="30" t="str">
        <f>IF(A1061="","",IFERROR(INDEX(Maniobras!$B$5:$B$504,MATCH(A1061,Maniobras!$A$5:$A$504,0)),""))</f>
        <v/>
      </c>
      <c r="C1061" t="str">
        <f t="shared" si="32"/>
        <v/>
      </c>
      <c r="D1061" t="str">
        <f>IF(A1061="","",IFERROR(INDEX(Maniobras!$D$5:$D$504,MATCH(A1061,Maniobras!$A$5:$A$504,0)),""))</f>
        <v/>
      </c>
      <c r="F1061" s="29" t="str">
        <f>IF(A1061="","",IFERROR(INDEX(Maniobras!$K$5:$K$504,MATCH(A1061,Maniobras!$A$5:$A$504,0)),""))</f>
        <v/>
      </c>
      <c r="G1061" s="29"/>
      <c r="H1061" s="29"/>
      <c r="I1061" s="29" t="str">
        <f t="shared" si="33"/>
        <v/>
      </c>
      <c r="K1061" s="30"/>
      <c r="M1061" t="str">
        <f>IF($A1061=Ficha!$B$3,COUNTIF($A$5:$A1061,Ficha!$B$3),"")</f>
        <v/>
      </c>
    </row>
    <row r="1062" spans="2:13" x14ac:dyDescent="0.3">
      <c r="B1062" s="30" t="str">
        <f>IF(A1062="","",IFERROR(INDEX(Maniobras!$B$5:$B$504,MATCH(A1062,Maniobras!$A$5:$A$504,0)),""))</f>
        <v/>
      </c>
      <c r="C1062" t="str">
        <f t="shared" si="32"/>
        <v/>
      </c>
      <c r="D1062" t="str">
        <f>IF(A1062="","",IFERROR(INDEX(Maniobras!$D$5:$D$504,MATCH(A1062,Maniobras!$A$5:$A$504,0)),""))</f>
        <v/>
      </c>
      <c r="F1062" s="29" t="str">
        <f>IF(A1062="","",IFERROR(INDEX(Maniobras!$K$5:$K$504,MATCH(A1062,Maniobras!$A$5:$A$504,0)),""))</f>
        <v/>
      </c>
      <c r="G1062" s="29"/>
      <c r="H1062" s="29"/>
      <c r="I1062" s="29" t="str">
        <f t="shared" si="33"/>
        <v/>
      </c>
      <c r="K1062" s="30"/>
      <c r="M1062" t="str">
        <f>IF($A1062=Ficha!$B$3,COUNTIF($A$5:$A1062,Ficha!$B$3),"")</f>
        <v/>
      </c>
    </row>
    <row r="1063" spans="2:13" x14ac:dyDescent="0.3">
      <c r="B1063" s="30" t="str">
        <f>IF(A1063="","",IFERROR(INDEX(Maniobras!$B$5:$B$504,MATCH(A1063,Maniobras!$A$5:$A$504,0)),""))</f>
        <v/>
      </c>
      <c r="C1063" t="str">
        <f t="shared" si="32"/>
        <v/>
      </c>
      <c r="D1063" t="str">
        <f>IF(A1063="","",IFERROR(INDEX(Maniobras!$D$5:$D$504,MATCH(A1063,Maniobras!$A$5:$A$504,0)),""))</f>
        <v/>
      </c>
      <c r="F1063" s="29" t="str">
        <f>IF(A1063="","",IFERROR(INDEX(Maniobras!$K$5:$K$504,MATCH(A1063,Maniobras!$A$5:$A$504,0)),""))</f>
        <v/>
      </c>
      <c r="G1063" s="29"/>
      <c r="H1063" s="29"/>
      <c r="I1063" s="29" t="str">
        <f t="shared" si="33"/>
        <v/>
      </c>
      <c r="K1063" s="30"/>
      <c r="M1063" t="str">
        <f>IF($A1063=Ficha!$B$3,COUNTIF($A$5:$A1063,Ficha!$B$3),"")</f>
        <v/>
      </c>
    </row>
    <row r="1064" spans="2:13" x14ac:dyDescent="0.3">
      <c r="B1064" s="30" t="str">
        <f>IF(A1064="","",IFERROR(INDEX(Maniobras!$B$5:$B$504,MATCH(A1064,Maniobras!$A$5:$A$504,0)),""))</f>
        <v/>
      </c>
      <c r="C1064" t="str">
        <f t="shared" si="32"/>
        <v/>
      </c>
      <c r="D1064" t="str">
        <f>IF(A1064="","",IFERROR(INDEX(Maniobras!$D$5:$D$504,MATCH(A1064,Maniobras!$A$5:$A$504,0)),""))</f>
        <v/>
      </c>
      <c r="F1064" s="29" t="str">
        <f>IF(A1064="","",IFERROR(INDEX(Maniobras!$K$5:$K$504,MATCH(A1064,Maniobras!$A$5:$A$504,0)),""))</f>
        <v/>
      </c>
      <c r="G1064" s="29"/>
      <c r="H1064" s="29"/>
      <c r="I1064" s="29" t="str">
        <f t="shared" si="33"/>
        <v/>
      </c>
      <c r="K1064" s="30"/>
      <c r="M1064" t="str">
        <f>IF($A1064=Ficha!$B$3,COUNTIF($A$5:$A1064,Ficha!$B$3),"")</f>
        <v/>
      </c>
    </row>
    <row r="1065" spans="2:13" x14ac:dyDescent="0.3">
      <c r="B1065" s="30" t="str">
        <f>IF(A1065="","",IFERROR(INDEX(Maniobras!$B$5:$B$504,MATCH(A1065,Maniobras!$A$5:$A$504,0)),""))</f>
        <v/>
      </c>
      <c r="C1065" t="str">
        <f t="shared" si="32"/>
        <v/>
      </c>
      <c r="D1065" t="str">
        <f>IF(A1065="","",IFERROR(INDEX(Maniobras!$D$5:$D$504,MATCH(A1065,Maniobras!$A$5:$A$504,0)),""))</f>
        <v/>
      </c>
      <c r="F1065" s="29" t="str">
        <f>IF(A1065="","",IFERROR(INDEX(Maniobras!$K$5:$K$504,MATCH(A1065,Maniobras!$A$5:$A$504,0)),""))</f>
        <v/>
      </c>
      <c r="G1065" s="29"/>
      <c r="H1065" s="29"/>
      <c r="I1065" s="29" t="str">
        <f t="shared" si="33"/>
        <v/>
      </c>
      <c r="K1065" s="30"/>
      <c r="M1065" t="str">
        <f>IF($A1065=Ficha!$B$3,COUNTIF($A$5:$A1065,Ficha!$B$3),"")</f>
        <v/>
      </c>
    </row>
    <row r="1066" spans="2:13" x14ac:dyDescent="0.3">
      <c r="B1066" s="30" t="str">
        <f>IF(A1066="","",IFERROR(INDEX(Maniobras!$B$5:$B$504,MATCH(A1066,Maniobras!$A$5:$A$504,0)),""))</f>
        <v/>
      </c>
      <c r="C1066" t="str">
        <f t="shared" si="32"/>
        <v/>
      </c>
      <c r="D1066" t="str">
        <f>IF(A1066="","",IFERROR(INDEX(Maniobras!$D$5:$D$504,MATCH(A1066,Maniobras!$A$5:$A$504,0)),""))</f>
        <v/>
      </c>
      <c r="F1066" s="29" t="str">
        <f>IF(A1066="","",IFERROR(INDEX(Maniobras!$K$5:$K$504,MATCH(A1066,Maniobras!$A$5:$A$504,0)),""))</f>
        <v/>
      </c>
      <c r="G1066" s="29"/>
      <c r="H1066" s="29"/>
      <c r="I1066" s="29" t="str">
        <f t="shared" si="33"/>
        <v/>
      </c>
      <c r="K1066" s="30"/>
      <c r="M1066" t="str">
        <f>IF($A1066=Ficha!$B$3,COUNTIF($A$5:$A1066,Ficha!$B$3),"")</f>
        <v/>
      </c>
    </row>
    <row r="1067" spans="2:13" x14ac:dyDescent="0.3">
      <c r="B1067" s="30" t="str">
        <f>IF(A1067="","",IFERROR(INDEX(Maniobras!$B$5:$B$504,MATCH(A1067,Maniobras!$A$5:$A$504,0)),""))</f>
        <v/>
      </c>
      <c r="C1067" t="str">
        <f t="shared" si="32"/>
        <v/>
      </c>
      <c r="D1067" t="str">
        <f>IF(A1067="","",IFERROR(INDEX(Maniobras!$D$5:$D$504,MATCH(A1067,Maniobras!$A$5:$A$504,0)),""))</f>
        <v/>
      </c>
      <c r="F1067" s="29" t="str">
        <f>IF(A1067="","",IFERROR(INDEX(Maniobras!$K$5:$K$504,MATCH(A1067,Maniobras!$A$5:$A$504,0)),""))</f>
        <v/>
      </c>
      <c r="G1067" s="29"/>
      <c r="H1067" s="29"/>
      <c r="I1067" s="29" t="str">
        <f t="shared" si="33"/>
        <v/>
      </c>
      <c r="K1067" s="30"/>
      <c r="M1067" t="str">
        <f>IF($A1067=Ficha!$B$3,COUNTIF($A$5:$A1067,Ficha!$B$3),"")</f>
        <v/>
      </c>
    </row>
    <row r="1068" spans="2:13" x14ac:dyDescent="0.3">
      <c r="B1068" s="30" t="str">
        <f>IF(A1068="","",IFERROR(INDEX(Maniobras!$B$5:$B$504,MATCH(A1068,Maniobras!$A$5:$A$504,0)),""))</f>
        <v/>
      </c>
      <c r="C1068" t="str">
        <f t="shared" si="32"/>
        <v/>
      </c>
      <c r="D1068" t="str">
        <f>IF(A1068="","",IFERROR(INDEX(Maniobras!$D$5:$D$504,MATCH(A1068,Maniobras!$A$5:$A$504,0)),""))</f>
        <v/>
      </c>
      <c r="F1068" s="29" t="str">
        <f>IF(A1068="","",IFERROR(INDEX(Maniobras!$K$5:$K$504,MATCH(A1068,Maniobras!$A$5:$A$504,0)),""))</f>
        <v/>
      </c>
      <c r="G1068" s="29"/>
      <c r="H1068" s="29"/>
      <c r="I1068" s="29" t="str">
        <f t="shared" si="33"/>
        <v/>
      </c>
      <c r="K1068" s="30"/>
      <c r="M1068" t="str">
        <f>IF($A1068=Ficha!$B$3,COUNTIF($A$5:$A1068,Ficha!$B$3),"")</f>
        <v/>
      </c>
    </row>
    <row r="1069" spans="2:13" x14ac:dyDescent="0.3">
      <c r="B1069" s="30" t="str">
        <f>IF(A1069="","",IFERROR(INDEX(Maniobras!$B$5:$B$504,MATCH(A1069,Maniobras!$A$5:$A$504,0)),""))</f>
        <v/>
      </c>
      <c r="C1069" t="str">
        <f t="shared" si="32"/>
        <v/>
      </c>
      <c r="D1069" t="str">
        <f>IF(A1069="","",IFERROR(INDEX(Maniobras!$D$5:$D$504,MATCH(A1069,Maniobras!$A$5:$A$504,0)),""))</f>
        <v/>
      </c>
      <c r="F1069" s="29" t="str">
        <f>IF(A1069="","",IFERROR(INDEX(Maniobras!$K$5:$K$504,MATCH(A1069,Maniobras!$A$5:$A$504,0)),""))</f>
        <v/>
      </c>
      <c r="G1069" s="29"/>
      <c r="H1069" s="29"/>
      <c r="I1069" s="29" t="str">
        <f t="shared" si="33"/>
        <v/>
      </c>
      <c r="K1069" s="30"/>
      <c r="M1069" t="str">
        <f>IF($A1069=Ficha!$B$3,COUNTIF($A$5:$A1069,Ficha!$B$3),"")</f>
        <v/>
      </c>
    </row>
    <row r="1070" spans="2:13" x14ac:dyDescent="0.3">
      <c r="B1070" s="30" t="str">
        <f>IF(A1070="","",IFERROR(INDEX(Maniobras!$B$5:$B$504,MATCH(A1070,Maniobras!$A$5:$A$504,0)),""))</f>
        <v/>
      </c>
      <c r="C1070" t="str">
        <f t="shared" si="32"/>
        <v/>
      </c>
      <c r="D1070" t="str">
        <f>IF(A1070="","",IFERROR(INDEX(Maniobras!$D$5:$D$504,MATCH(A1070,Maniobras!$A$5:$A$504,0)),""))</f>
        <v/>
      </c>
      <c r="F1070" s="29" t="str">
        <f>IF(A1070="","",IFERROR(INDEX(Maniobras!$K$5:$K$504,MATCH(A1070,Maniobras!$A$5:$A$504,0)),""))</f>
        <v/>
      </c>
      <c r="G1070" s="29"/>
      <c r="H1070" s="29"/>
      <c r="I1070" s="29" t="str">
        <f t="shared" si="33"/>
        <v/>
      </c>
      <c r="K1070" s="30"/>
      <c r="M1070" t="str">
        <f>IF($A1070=Ficha!$B$3,COUNTIF($A$5:$A1070,Ficha!$B$3),"")</f>
        <v/>
      </c>
    </row>
    <row r="1071" spans="2:13" x14ac:dyDescent="0.3">
      <c r="B1071" s="30" t="str">
        <f>IF(A1071="","",IFERROR(INDEX(Maniobras!$B$5:$B$504,MATCH(A1071,Maniobras!$A$5:$A$504,0)),""))</f>
        <v/>
      </c>
      <c r="C1071" t="str">
        <f t="shared" si="32"/>
        <v/>
      </c>
      <c r="D1071" t="str">
        <f>IF(A1071="","",IFERROR(INDEX(Maniobras!$D$5:$D$504,MATCH(A1071,Maniobras!$A$5:$A$504,0)),""))</f>
        <v/>
      </c>
      <c r="F1071" s="29" t="str">
        <f>IF(A1071="","",IFERROR(INDEX(Maniobras!$K$5:$K$504,MATCH(A1071,Maniobras!$A$5:$A$504,0)),""))</f>
        <v/>
      </c>
      <c r="G1071" s="29"/>
      <c r="H1071" s="29"/>
      <c r="I1071" s="29" t="str">
        <f t="shared" si="33"/>
        <v/>
      </c>
      <c r="K1071" s="30"/>
      <c r="M1071" t="str">
        <f>IF($A1071=Ficha!$B$3,COUNTIF($A$5:$A1071,Ficha!$B$3),"")</f>
        <v/>
      </c>
    </row>
    <row r="1072" spans="2:13" x14ac:dyDescent="0.3">
      <c r="B1072" s="30" t="str">
        <f>IF(A1072="","",IFERROR(INDEX(Maniobras!$B$5:$B$504,MATCH(A1072,Maniobras!$A$5:$A$504,0)),""))</f>
        <v/>
      </c>
      <c r="C1072" t="str">
        <f t="shared" si="32"/>
        <v/>
      </c>
      <c r="D1072" t="str">
        <f>IF(A1072="","",IFERROR(INDEX(Maniobras!$D$5:$D$504,MATCH(A1072,Maniobras!$A$5:$A$504,0)),""))</f>
        <v/>
      </c>
      <c r="F1072" s="29" t="str">
        <f>IF(A1072="","",IFERROR(INDEX(Maniobras!$K$5:$K$504,MATCH(A1072,Maniobras!$A$5:$A$504,0)),""))</f>
        <v/>
      </c>
      <c r="G1072" s="29"/>
      <c r="H1072" s="29"/>
      <c r="I1072" s="29" t="str">
        <f t="shared" si="33"/>
        <v/>
      </c>
      <c r="K1072" s="30"/>
      <c r="M1072" t="str">
        <f>IF($A1072=Ficha!$B$3,COUNTIF($A$5:$A1072,Ficha!$B$3),"")</f>
        <v/>
      </c>
    </row>
    <row r="1073" spans="2:13" x14ac:dyDescent="0.3">
      <c r="B1073" s="30" t="str">
        <f>IF(A1073="","",IFERROR(INDEX(Maniobras!$B$5:$B$504,MATCH(A1073,Maniobras!$A$5:$A$504,0)),""))</f>
        <v/>
      </c>
      <c r="C1073" t="str">
        <f t="shared" si="32"/>
        <v/>
      </c>
      <c r="D1073" t="str">
        <f>IF(A1073="","",IFERROR(INDEX(Maniobras!$D$5:$D$504,MATCH(A1073,Maniobras!$A$5:$A$504,0)),""))</f>
        <v/>
      </c>
      <c r="F1073" s="29" t="str">
        <f>IF(A1073="","",IFERROR(INDEX(Maniobras!$K$5:$K$504,MATCH(A1073,Maniobras!$A$5:$A$504,0)),""))</f>
        <v/>
      </c>
      <c r="G1073" s="29"/>
      <c r="H1073" s="29"/>
      <c r="I1073" s="29" t="str">
        <f t="shared" si="33"/>
        <v/>
      </c>
      <c r="K1073" s="30"/>
      <c r="M1073" t="str">
        <f>IF($A1073=Ficha!$B$3,COUNTIF($A$5:$A1073,Ficha!$B$3),"")</f>
        <v/>
      </c>
    </row>
    <row r="1074" spans="2:13" x14ac:dyDescent="0.3">
      <c r="B1074" s="30" t="str">
        <f>IF(A1074="","",IFERROR(INDEX(Maniobras!$B$5:$B$504,MATCH(A1074,Maniobras!$A$5:$A$504,0)),""))</f>
        <v/>
      </c>
      <c r="C1074" t="str">
        <f t="shared" si="32"/>
        <v/>
      </c>
      <c r="D1074" t="str">
        <f>IF(A1074="","",IFERROR(INDEX(Maniobras!$D$5:$D$504,MATCH(A1074,Maniobras!$A$5:$A$504,0)),""))</f>
        <v/>
      </c>
      <c r="F1074" s="29" t="str">
        <f>IF(A1074="","",IFERROR(INDEX(Maniobras!$K$5:$K$504,MATCH(A1074,Maniobras!$A$5:$A$504,0)),""))</f>
        <v/>
      </c>
      <c r="G1074" s="29"/>
      <c r="H1074" s="29"/>
      <c r="I1074" s="29" t="str">
        <f t="shared" si="33"/>
        <v/>
      </c>
      <c r="K1074" s="30"/>
      <c r="M1074" t="str">
        <f>IF($A1074=Ficha!$B$3,COUNTIF($A$5:$A1074,Ficha!$B$3),"")</f>
        <v/>
      </c>
    </row>
    <row r="1075" spans="2:13" x14ac:dyDescent="0.3">
      <c r="B1075" s="30" t="str">
        <f>IF(A1075="","",IFERROR(INDEX(Maniobras!$B$5:$B$504,MATCH(A1075,Maniobras!$A$5:$A$504,0)),""))</f>
        <v/>
      </c>
      <c r="C1075" t="str">
        <f t="shared" si="32"/>
        <v/>
      </c>
      <c r="D1075" t="str">
        <f>IF(A1075="","",IFERROR(INDEX(Maniobras!$D$5:$D$504,MATCH(A1075,Maniobras!$A$5:$A$504,0)),""))</f>
        <v/>
      </c>
      <c r="F1075" s="29" t="str">
        <f>IF(A1075="","",IFERROR(INDEX(Maniobras!$K$5:$K$504,MATCH(A1075,Maniobras!$A$5:$A$504,0)),""))</f>
        <v/>
      </c>
      <c r="G1075" s="29"/>
      <c r="H1075" s="29"/>
      <c r="I1075" s="29" t="str">
        <f t="shared" si="33"/>
        <v/>
      </c>
      <c r="K1075" s="30"/>
      <c r="M1075" t="str">
        <f>IF($A1075=Ficha!$B$3,COUNTIF($A$5:$A1075,Ficha!$B$3),"")</f>
        <v/>
      </c>
    </row>
    <row r="1076" spans="2:13" x14ac:dyDescent="0.3">
      <c r="B1076" s="30" t="str">
        <f>IF(A1076="","",IFERROR(INDEX(Maniobras!$B$5:$B$504,MATCH(A1076,Maniobras!$A$5:$A$504,0)),""))</f>
        <v/>
      </c>
      <c r="C1076" t="str">
        <f t="shared" si="32"/>
        <v/>
      </c>
      <c r="D1076" t="str">
        <f>IF(A1076="","",IFERROR(INDEX(Maniobras!$D$5:$D$504,MATCH(A1076,Maniobras!$A$5:$A$504,0)),""))</f>
        <v/>
      </c>
      <c r="F1076" s="29" t="str">
        <f>IF(A1076="","",IFERROR(INDEX(Maniobras!$K$5:$K$504,MATCH(A1076,Maniobras!$A$5:$A$504,0)),""))</f>
        <v/>
      </c>
      <c r="G1076" s="29"/>
      <c r="H1076" s="29"/>
      <c r="I1076" s="29" t="str">
        <f t="shared" si="33"/>
        <v/>
      </c>
      <c r="K1076" s="30"/>
      <c r="M1076" t="str">
        <f>IF($A1076=Ficha!$B$3,COUNTIF($A$5:$A1076,Ficha!$B$3),"")</f>
        <v/>
      </c>
    </row>
    <row r="1077" spans="2:13" x14ac:dyDescent="0.3">
      <c r="B1077" s="30" t="str">
        <f>IF(A1077="","",IFERROR(INDEX(Maniobras!$B$5:$B$504,MATCH(A1077,Maniobras!$A$5:$A$504,0)),""))</f>
        <v/>
      </c>
      <c r="C1077" t="str">
        <f t="shared" si="32"/>
        <v/>
      </c>
      <c r="D1077" t="str">
        <f>IF(A1077="","",IFERROR(INDEX(Maniobras!$D$5:$D$504,MATCH(A1077,Maniobras!$A$5:$A$504,0)),""))</f>
        <v/>
      </c>
      <c r="F1077" s="29" t="str">
        <f>IF(A1077="","",IFERROR(INDEX(Maniobras!$K$5:$K$504,MATCH(A1077,Maniobras!$A$5:$A$504,0)),""))</f>
        <v/>
      </c>
      <c r="G1077" s="29"/>
      <c r="H1077" s="29"/>
      <c r="I1077" s="29" t="str">
        <f t="shared" si="33"/>
        <v/>
      </c>
      <c r="K1077" s="30"/>
      <c r="M1077" t="str">
        <f>IF($A1077=Ficha!$B$3,COUNTIF($A$5:$A1077,Ficha!$B$3),"")</f>
        <v/>
      </c>
    </row>
    <row r="1078" spans="2:13" x14ac:dyDescent="0.3">
      <c r="B1078" s="30" t="str">
        <f>IF(A1078="","",IFERROR(INDEX(Maniobras!$B$5:$B$504,MATCH(A1078,Maniobras!$A$5:$A$504,0)),""))</f>
        <v/>
      </c>
      <c r="C1078" t="str">
        <f t="shared" si="32"/>
        <v/>
      </c>
      <c r="D1078" t="str">
        <f>IF(A1078="","",IFERROR(INDEX(Maniobras!$D$5:$D$504,MATCH(A1078,Maniobras!$A$5:$A$504,0)),""))</f>
        <v/>
      </c>
      <c r="F1078" s="29" t="str">
        <f>IF(A1078="","",IFERROR(INDEX(Maniobras!$K$5:$K$504,MATCH(A1078,Maniobras!$A$5:$A$504,0)),""))</f>
        <v/>
      </c>
      <c r="G1078" s="29"/>
      <c r="H1078" s="29"/>
      <c r="I1078" s="29" t="str">
        <f t="shared" si="33"/>
        <v/>
      </c>
      <c r="K1078" s="30"/>
      <c r="M1078" t="str">
        <f>IF($A1078=Ficha!$B$3,COUNTIF($A$5:$A1078,Ficha!$B$3),"")</f>
        <v/>
      </c>
    </row>
    <row r="1079" spans="2:13" x14ac:dyDescent="0.3">
      <c r="B1079" s="30" t="str">
        <f>IF(A1079="","",IFERROR(INDEX(Maniobras!$B$5:$B$504,MATCH(A1079,Maniobras!$A$5:$A$504,0)),""))</f>
        <v/>
      </c>
      <c r="C1079" t="str">
        <f t="shared" si="32"/>
        <v/>
      </c>
      <c r="D1079" t="str">
        <f>IF(A1079="","",IFERROR(INDEX(Maniobras!$D$5:$D$504,MATCH(A1079,Maniobras!$A$5:$A$504,0)),""))</f>
        <v/>
      </c>
      <c r="F1079" s="29" t="str">
        <f>IF(A1079="","",IFERROR(INDEX(Maniobras!$K$5:$K$504,MATCH(A1079,Maniobras!$A$5:$A$504,0)),""))</f>
        <v/>
      </c>
      <c r="G1079" s="29"/>
      <c r="H1079" s="29"/>
      <c r="I1079" s="29" t="str">
        <f t="shared" si="33"/>
        <v/>
      </c>
      <c r="K1079" s="30"/>
      <c r="M1079" t="str">
        <f>IF($A1079=Ficha!$B$3,COUNTIF($A$5:$A1079,Ficha!$B$3),"")</f>
        <v/>
      </c>
    </row>
    <row r="1080" spans="2:13" x14ac:dyDescent="0.3">
      <c r="B1080" s="30" t="str">
        <f>IF(A1080="","",IFERROR(INDEX(Maniobras!$B$5:$B$504,MATCH(A1080,Maniobras!$A$5:$A$504,0)),""))</f>
        <v/>
      </c>
      <c r="C1080" t="str">
        <f t="shared" si="32"/>
        <v/>
      </c>
      <c r="D1080" t="str">
        <f>IF(A1080="","",IFERROR(INDEX(Maniobras!$D$5:$D$504,MATCH(A1080,Maniobras!$A$5:$A$504,0)),""))</f>
        <v/>
      </c>
      <c r="F1080" s="29" t="str">
        <f>IF(A1080="","",IFERROR(INDEX(Maniobras!$K$5:$K$504,MATCH(A1080,Maniobras!$A$5:$A$504,0)),""))</f>
        <v/>
      </c>
      <c r="G1080" s="29"/>
      <c r="H1080" s="29"/>
      <c r="I1080" s="29" t="str">
        <f t="shared" si="33"/>
        <v/>
      </c>
      <c r="K1080" s="30"/>
      <c r="M1080" t="str">
        <f>IF($A1080=Ficha!$B$3,COUNTIF($A$5:$A1080,Ficha!$B$3),"")</f>
        <v/>
      </c>
    </row>
    <row r="1081" spans="2:13" x14ac:dyDescent="0.3">
      <c r="B1081" s="30" t="str">
        <f>IF(A1081="","",IFERROR(INDEX(Maniobras!$B$5:$B$504,MATCH(A1081,Maniobras!$A$5:$A$504,0)),""))</f>
        <v/>
      </c>
      <c r="C1081" t="str">
        <f t="shared" si="32"/>
        <v/>
      </c>
      <c r="D1081" t="str">
        <f>IF(A1081="","",IFERROR(INDEX(Maniobras!$D$5:$D$504,MATCH(A1081,Maniobras!$A$5:$A$504,0)),""))</f>
        <v/>
      </c>
      <c r="F1081" s="29" t="str">
        <f>IF(A1081="","",IFERROR(INDEX(Maniobras!$K$5:$K$504,MATCH(A1081,Maniobras!$A$5:$A$504,0)),""))</f>
        <v/>
      </c>
      <c r="G1081" s="29"/>
      <c r="H1081" s="29"/>
      <c r="I1081" s="29" t="str">
        <f t="shared" si="33"/>
        <v/>
      </c>
      <c r="K1081" s="30"/>
      <c r="M1081" t="str">
        <f>IF($A1081=Ficha!$B$3,COUNTIF($A$5:$A1081,Ficha!$B$3),"")</f>
        <v/>
      </c>
    </row>
    <row r="1082" spans="2:13" x14ac:dyDescent="0.3">
      <c r="B1082" s="30" t="str">
        <f>IF(A1082="","",IFERROR(INDEX(Maniobras!$B$5:$B$504,MATCH(A1082,Maniobras!$A$5:$A$504,0)),""))</f>
        <v/>
      </c>
      <c r="C1082" t="str">
        <f t="shared" si="32"/>
        <v/>
      </c>
      <c r="D1082" t="str">
        <f>IF(A1082="","",IFERROR(INDEX(Maniobras!$D$5:$D$504,MATCH(A1082,Maniobras!$A$5:$A$504,0)),""))</f>
        <v/>
      </c>
      <c r="F1082" s="29" t="str">
        <f>IF(A1082="","",IFERROR(INDEX(Maniobras!$K$5:$K$504,MATCH(A1082,Maniobras!$A$5:$A$504,0)),""))</f>
        <v/>
      </c>
      <c r="G1082" s="29"/>
      <c r="H1082" s="29"/>
      <c r="I1082" s="29" t="str">
        <f t="shared" si="33"/>
        <v/>
      </c>
      <c r="K1082" s="30"/>
      <c r="M1082" t="str">
        <f>IF($A1082=Ficha!$B$3,COUNTIF($A$5:$A1082,Ficha!$B$3),"")</f>
        <v/>
      </c>
    </row>
    <row r="1083" spans="2:13" x14ac:dyDescent="0.3">
      <c r="B1083" s="30" t="str">
        <f>IF(A1083="","",IFERROR(INDEX(Maniobras!$B$5:$B$504,MATCH(A1083,Maniobras!$A$5:$A$504,0)),""))</f>
        <v/>
      </c>
      <c r="C1083" t="str">
        <f t="shared" si="32"/>
        <v/>
      </c>
      <c r="D1083" t="str">
        <f>IF(A1083="","",IFERROR(INDEX(Maniobras!$D$5:$D$504,MATCH(A1083,Maniobras!$A$5:$A$504,0)),""))</f>
        <v/>
      </c>
      <c r="F1083" s="29" t="str">
        <f>IF(A1083="","",IFERROR(INDEX(Maniobras!$K$5:$K$504,MATCH(A1083,Maniobras!$A$5:$A$504,0)),""))</f>
        <v/>
      </c>
      <c r="G1083" s="29"/>
      <c r="H1083" s="29"/>
      <c r="I1083" s="29" t="str">
        <f t="shared" si="33"/>
        <v/>
      </c>
      <c r="K1083" s="30"/>
      <c r="M1083" t="str">
        <f>IF($A1083=Ficha!$B$3,COUNTIF($A$5:$A1083,Ficha!$B$3),"")</f>
        <v/>
      </c>
    </row>
    <row r="1084" spans="2:13" x14ac:dyDescent="0.3">
      <c r="B1084" s="30" t="str">
        <f>IF(A1084="","",IFERROR(INDEX(Maniobras!$B$5:$B$504,MATCH(A1084,Maniobras!$A$5:$A$504,0)),""))</f>
        <v/>
      </c>
      <c r="C1084" t="str">
        <f t="shared" si="32"/>
        <v/>
      </c>
      <c r="D1084" t="str">
        <f>IF(A1084="","",IFERROR(INDEX(Maniobras!$D$5:$D$504,MATCH(A1084,Maniobras!$A$5:$A$504,0)),""))</f>
        <v/>
      </c>
      <c r="F1084" s="29" t="str">
        <f>IF(A1084="","",IFERROR(INDEX(Maniobras!$K$5:$K$504,MATCH(A1084,Maniobras!$A$5:$A$504,0)),""))</f>
        <v/>
      </c>
      <c r="G1084" s="29"/>
      <c r="H1084" s="29"/>
      <c r="I1084" s="29" t="str">
        <f t="shared" si="33"/>
        <v/>
      </c>
      <c r="K1084" s="30"/>
      <c r="M1084" t="str">
        <f>IF($A1084=Ficha!$B$3,COUNTIF($A$5:$A1084,Ficha!$B$3),"")</f>
        <v/>
      </c>
    </row>
    <row r="1085" spans="2:13" x14ac:dyDescent="0.3">
      <c r="B1085" s="30" t="str">
        <f>IF(A1085="","",IFERROR(INDEX(Maniobras!$B$5:$B$504,MATCH(A1085,Maniobras!$A$5:$A$504,0)),""))</f>
        <v/>
      </c>
      <c r="C1085" t="str">
        <f t="shared" si="32"/>
        <v/>
      </c>
      <c r="D1085" t="str">
        <f>IF(A1085="","",IFERROR(INDEX(Maniobras!$D$5:$D$504,MATCH(A1085,Maniobras!$A$5:$A$504,0)),""))</f>
        <v/>
      </c>
      <c r="F1085" s="29" t="str">
        <f>IF(A1085="","",IFERROR(INDEX(Maniobras!$K$5:$K$504,MATCH(A1085,Maniobras!$A$5:$A$504,0)),""))</f>
        <v/>
      </c>
      <c r="G1085" s="29"/>
      <c r="H1085" s="29"/>
      <c r="I1085" s="29" t="str">
        <f t="shared" si="33"/>
        <v/>
      </c>
      <c r="K1085" s="30"/>
      <c r="M1085" t="str">
        <f>IF($A1085=Ficha!$B$3,COUNTIF($A$5:$A1085,Ficha!$B$3),"")</f>
        <v/>
      </c>
    </row>
    <row r="1086" spans="2:13" x14ac:dyDescent="0.3">
      <c r="B1086" s="30" t="str">
        <f>IF(A1086="","",IFERROR(INDEX(Maniobras!$B$5:$B$504,MATCH(A1086,Maniobras!$A$5:$A$504,0)),""))</f>
        <v/>
      </c>
      <c r="C1086" t="str">
        <f t="shared" si="32"/>
        <v/>
      </c>
      <c r="D1086" t="str">
        <f>IF(A1086="","",IFERROR(INDEX(Maniobras!$D$5:$D$504,MATCH(A1086,Maniobras!$A$5:$A$504,0)),""))</f>
        <v/>
      </c>
      <c r="F1086" s="29" t="str">
        <f>IF(A1086="","",IFERROR(INDEX(Maniobras!$K$5:$K$504,MATCH(A1086,Maniobras!$A$5:$A$504,0)),""))</f>
        <v/>
      </c>
      <c r="G1086" s="29"/>
      <c r="H1086" s="29"/>
      <c r="I1086" s="29" t="str">
        <f t="shared" si="33"/>
        <v/>
      </c>
      <c r="K1086" s="30"/>
      <c r="M1086" t="str">
        <f>IF($A1086=Ficha!$B$3,COUNTIF($A$5:$A1086,Ficha!$B$3),"")</f>
        <v/>
      </c>
    </row>
    <row r="1087" spans="2:13" x14ac:dyDescent="0.3">
      <c r="B1087" s="30" t="str">
        <f>IF(A1087="","",IFERROR(INDEX(Maniobras!$B$5:$B$504,MATCH(A1087,Maniobras!$A$5:$A$504,0)),""))</f>
        <v/>
      </c>
      <c r="C1087" t="str">
        <f t="shared" si="32"/>
        <v/>
      </c>
      <c r="D1087" t="str">
        <f>IF(A1087="","",IFERROR(INDEX(Maniobras!$D$5:$D$504,MATCH(A1087,Maniobras!$A$5:$A$504,0)),""))</f>
        <v/>
      </c>
      <c r="F1087" s="29" t="str">
        <f>IF(A1087="","",IFERROR(INDEX(Maniobras!$K$5:$K$504,MATCH(A1087,Maniobras!$A$5:$A$504,0)),""))</f>
        <v/>
      </c>
      <c r="G1087" s="29"/>
      <c r="H1087" s="29"/>
      <c r="I1087" s="29" t="str">
        <f t="shared" si="33"/>
        <v/>
      </c>
      <c r="K1087" s="30"/>
      <c r="M1087" t="str">
        <f>IF($A1087=Ficha!$B$3,COUNTIF($A$5:$A1087,Ficha!$B$3),"")</f>
        <v/>
      </c>
    </row>
    <row r="1088" spans="2:13" x14ac:dyDescent="0.3">
      <c r="B1088" s="30" t="str">
        <f>IF(A1088="","",IFERROR(INDEX(Maniobras!$B$5:$B$504,MATCH(A1088,Maniobras!$A$5:$A$504,0)),""))</f>
        <v/>
      </c>
      <c r="C1088" t="str">
        <f t="shared" si="32"/>
        <v/>
      </c>
      <c r="D1088" t="str">
        <f>IF(A1088="","",IFERROR(INDEX(Maniobras!$D$5:$D$504,MATCH(A1088,Maniobras!$A$5:$A$504,0)),""))</f>
        <v/>
      </c>
      <c r="F1088" s="29" t="str">
        <f>IF(A1088="","",IFERROR(INDEX(Maniobras!$K$5:$K$504,MATCH(A1088,Maniobras!$A$5:$A$504,0)),""))</f>
        <v/>
      </c>
      <c r="G1088" s="29"/>
      <c r="H1088" s="29"/>
      <c r="I1088" s="29" t="str">
        <f t="shared" si="33"/>
        <v/>
      </c>
      <c r="K1088" s="30"/>
      <c r="M1088" t="str">
        <f>IF($A1088=Ficha!$B$3,COUNTIF($A$5:$A1088,Ficha!$B$3),"")</f>
        <v/>
      </c>
    </row>
    <row r="1089" spans="2:13" x14ac:dyDescent="0.3">
      <c r="B1089" s="30" t="str">
        <f>IF(A1089="","",IFERROR(INDEX(Maniobras!$B$5:$B$504,MATCH(A1089,Maniobras!$A$5:$A$504,0)),""))</f>
        <v/>
      </c>
      <c r="C1089" t="str">
        <f t="shared" si="32"/>
        <v/>
      </c>
      <c r="D1089" t="str">
        <f>IF(A1089="","",IFERROR(INDEX(Maniobras!$D$5:$D$504,MATCH(A1089,Maniobras!$A$5:$A$504,0)),""))</f>
        <v/>
      </c>
      <c r="F1089" s="29" t="str">
        <f>IF(A1089="","",IFERROR(INDEX(Maniobras!$K$5:$K$504,MATCH(A1089,Maniobras!$A$5:$A$504,0)),""))</f>
        <v/>
      </c>
      <c r="G1089" s="29"/>
      <c r="H1089" s="29"/>
      <c r="I1089" s="29" t="str">
        <f t="shared" si="33"/>
        <v/>
      </c>
      <c r="K1089" s="30"/>
      <c r="M1089" t="str">
        <f>IF($A1089=Ficha!$B$3,COUNTIF($A$5:$A1089,Ficha!$B$3),"")</f>
        <v/>
      </c>
    </row>
    <row r="1090" spans="2:13" x14ac:dyDescent="0.3">
      <c r="B1090" s="30" t="str">
        <f>IF(A1090="","",IFERROR(INDEX(Maniobras!$B$5:$B$504,MATCH(A1090,Maniobras!$A$5:$A$504,0)),""))</f>
        <v/>
      </c>
      <c r="C1090" t="str">
        <f t="shared" si="32"/>
        <v/>
      </c>
      <c r="D1090" t="str">
        <f>IF(A1090="","",IFERROR(INDEX(Maniobras!$D$5:$D$504,MATCH(A1090,Maniobras!$A$5:$A$504,0)),""))</f>
        <v/>
      </c>
      <c r="F1090" s="29" t="str">
        <f>IF(A1090="","",IFERROR(INDEX(Maniobras!$K$5:$K$504,MATCH(A1090,Maniobras!$A$5:$A$504,0)),""))</f>
        <v/>
      </c>
      <c r="G1090" s="29"/>
      <c r="H1090" s="29"/>
      <c r="I1090" s="29" t="str">
        <f t="shared" si="33"/>
        <v/>
      </c>
      <c r="K1090" s="30"/>
      <c r="M1090" t="str">
        <f>IF($A1090=Ficha!$B$3,COUNTIF($A$5:$A1090,Ficha!$B$3),"")</f>
        <v/>
      </c>
    </row>
    <row r="1091" spans="2:13" x14ac:dyDescent="0.3">
      <c r="B1091" s="30" t="str">
        <f>IF(A1091="","",IFERROR(INDEX(Maniobras!$B$5:$B$504,MATCH(A1091,Maniobras!$A$5:$A$504,0)),""))</f>
        <v/>
      </c>
      <c r="C1091" t="str">
        <f t="shared" si="32"/>
        <v/>
      </c>
      <c r="D1091" t="str">
        <f>IF(A1091="","",IFERROR(INDEX(Maniobras!$D$5:$D$504,MATCH(A1091,Maniobras!$A$5:$A$504,0)),""))</f>
        <v/>
      </c>
      <c r="F1091" s="29" t="str">
        <f>IF(A1091="","",IFERROR(INDEX(Maniobras!$K$5:$K$504,MATCH(A1091,Maniobras!$A$5:$A$504,0)),""))</f>
        <v/>
      </c>
      <c r="G1091" s="29"/>
      <c r="H1091" s="29"/>
      <c r="I1091" s="29" t="str">
        <f t="shared" si="33"/>
        <v/>
      </c>
      <c r="K1091" s="30"/>
      <c r="M1091" t="str">
        <f>IF($A1091=Ficha!$B$3,COUNTIF($A$5:$A1091,Ficha!$B$3),"")</f>
        <v/>
      </c>
    </row>
    <row r="1092" spans="2:13" x14ac:dyDescent="0.3">
      <c r="B1092" s="30" t="str">
        <f>IF(A1092="","",IFERROR(INDEX(Maniobras!$B$5:$B$504,MATCH(A1092,Maniobras!$A$5:$A$504,0)),""))</f>
        <v/>
      </c>
      <c r="C1092" t="str">
        <f t="shared" si="32"/>
        <v/>
      </c>
      <c r="D1092" t="str">
        <f>IF(A1092="","",IFERROR(INDEX(Maniobras!$D$5:$D$504,MATCH(A1092,Maniobras!$A$5:$A$504,0)),""))</f>
        <v/>
      </c>
      <c r="F1092" s="29" t="str">
        <f>IF(A1092="","",IFERROR(INDEX(Maniobras!$K$5:$K$504,MATCH(A1092,Maniobras!$A$5:$A$504,0)),""))</f>
        <v/>
      </c>
      <c r="G1092" s="29"/>
      <c r="H1092" s="29"/>
      <c r="I1092" s="29" t="str">
        <f t="shared" si="33"/>
        <v/>
      </c>
      <c r="K1092" s="30"/>
      <c r="M1092" t="str">
        <f>IF($A1092=Ficha!$B$3,COUNTIF($A$5:$A1092,Ficha!$B$3),"")</f>
        <v/>
      </c>
    </row>
    <row r="1093" spans="2:13" x14ac:dyDescent="0.3">
      <c r="B1093" s="30" t="str">
        <f>IF(A1093="","",IFERROR(INDEX(Maniobras!$B$5:$B$504,MATCH(A1093,Maniobras!$A$5:$A$504,0)),""))</f>
        <v/>
      </c>
      <c r="C1093" t="str">
        <f t="shared" ref="C1093:C1156" si="34">IF(B1093="","",TEXT(B1093,"yyyy-mm"))</f>
        <v/>
      </c>
      <c r="D1093" t="str">
        <f>IF(A1093="","",IFERROR(INDEX(Maniobras!$D$5:$D$504,MATCH(A1093,Maniobras!$A$5:$A$504,0)),""))</f>
        <v/>
      </c>
      <c r="F1093" s="29" t="str">
        <f>IF(A1093="","",IFERROR(INDEX(Maniobras!$K$5:$K$504,MATCH(A1093,Maniobras!$A$5:$A$504,0)),""))</f>
        <v/>
      </c>
      <c r="G1093" s="29"/>
      <c r="H1093" s="29"/>
      <c r="I1093" s="29" t="str">
        <f t="shared" ref="I1093:I1156" si="35">IF(G1093="","",G1093+N(H1093))</f>
        <v/>
      </c>
      <c r="K1093" s="30"/>
      <c r="M1093" t="str">
        <f>IF($A1093=Ficha!$B$3,COUNTIF($A$5:$A1093,Ficha!$B$3),"")</f>
        <v/>
      </c>
    </row>
    <row r="1094" spans="2:13" x14ac:dyDescent="0.3">
      <c r="B1094" s="30" t="str">
        <f>IF(A1094="","",IFERROR(INDEX(Maniobras!$B$5:$B$504,MATCH(A1094,Maniobras!$A$5:$A$504,0)),""))</f>
        <v/>
      </c>
      <c r="C1094" t="str">
        <f t="shared" si="34"/>
        <v/>
      </c>
      <c r="D1094" t="str">
        <f>IF(A1094="","",IFERROR(INDEX(Maniobras!$D$5:$D$504,MATCH(A1094,Maniobras!$A$5:$A$504,0)),""))</f>
        <v/>
      </c>
      <c r="F1094" s="29" t="str">
        <f>IF(A1094="","",IFERROR(INDEX(Maniobras!$K$5:$K$504,MATCH(A1094,Maniobras!$A$5:$A$504,0)),""))</f>
        <v/>
      </c>
      <c r="G1094" s="29"/>
      <c r="H1094" s="29"/>
      <c r="I1094" s="29" t="str">
        <f t="shared" si="35"/>
        <v/>
      </c>
      <c r="K1094" s="30"/>
      <c r="M1094" t="str">
        <f>IF($A1094=Ficha!$B$3,COUNTIF($A$5:$A1094,Ficha!$B$3),"")</f>
        <v/>
      </c>
    </row>
    <row r="1095" spans="2:13" x14ac:dyDescent="0.3">
      <c r="B1095" s="30" t="str">
        <f>IF(A1095="","",IFERROR(INDEX(Maniobras!$B$5:$B$504,MATCH(A1095,Maniobras!$A$5:$A$504,0)),""))</f>
        <v/>
      </c>
      <c r="C1095" t="str">
        <f t="shared" si="34"/>
        <v/>
      </c>
      <c r="D1095" t="str">
        <f>IF(A1095="","",IFERROR(INDEX(Maniobras!$D$5:$D$504,MATCH(A1095,Maniobras!$A$5:$A$504,0)),""))</f>
        <v/>
      </c>
      <c r="F1095" s="29" t="str">
        <f>IF(A1095="","",IFERROR(INDEX(Maniobras!$K$5:$K$504,MATCH(A1095,Maniobras!$A$5:$A$504,0)),""))</f>
        <v/>
      </c>
      <c r="G1095" s="29"/>
      <c r="H1095" s="29"/>
      <c r="I1095" s="29" t="str">
        <f t="shared" si="35"/>
        <v/>
      </c>
      <c r="K1095" s="30"/>
      <c r="M1095" t="str">
        <f>IF($A1095=Ficha!$B$3,COUNTIF($A$5:$A1095,Ficha!$B$3),"")</f>
        <v/>
      </c>
    </row>
    <row r="1096" spans="2:13" x14ac:dyDescent="0.3">
      <c r="B1096" s="30" t="str">
        <f>IF(A1096="","",IFERROR(INDEX(Maniobras!$B$5:$B$504,MATCH(A1096,Maniobras!$A$5:$A$504,0)),""))</f>
        <v/>
      </c>
      <c r="C1096" t="str">
        <f t="shared" si="34"/>
        <v/>
      </c>
      <c r="D1096" t="str">
        <f>IF(A1096="","",IFERROR(INDEX(Maniobras!$D$5:$D$504,MATCH(A1096,Maniobras!$A$5:$A$504,0)),""))</f>
        <v/>
      </c>
      <c r="F1096" s="29" t="str">
        <f>IF(A1096="","",IFERROR(INDEX(Maniobras!$K$5:$K$504,MATCH(A1096,Maniobras!$A$5:$A$504,0)),""))</f>
        <v/>
      </c>
      <c r="G1096" s="29"/>
      <c r="H1096" s="29"/>
      <c r="I1096" s="29" t="str">
        <f t="shared" si="35"/>
        <v/>
      </c>
      <c r="K1096" s="30"/>
      <c r="M1096" t="str">
        <f>IF($A1096=Ficha!$B$3,COUNTIF($A$5:$A1096,Ficha!$B$3),"")</f>
        <v/>
      </c>
    </row>
    <row r="1097" spans="2:13" x14ac:dyDescent="0.3">
      <c r="B1097" s="30" t="str">
        <f>IF(A1097="","",IFERROR(INDEX(Maniobras!$B$5:$B$504,MATCH(A1097,Maniobras!$A$5:$A$504,0)),""))</f>
        <v/>
      </c>
      <c r="C1097" t="str">
        <f t="shared" si="34"/>
        <v/>
      </c>
      <c r="D1097" t="str">
        <f>IF(A1097="","",IFERROR(INDEX(Maniobras!$D$5:$D$504,MATCH(A1097,Maniobras!$A$5:$A$504,0)),""))</f>
        <v/>
      </c>
      <c r="F1097" s="29" t="str">
        <f>IF(A1097="","",IFERROR(INDEX(Maniobras!$K$5:$K$504,MATCH(A1097,Maniobras!$A$5:$A$504,0)),""))</f>
        <v/>
      </c>
      <c r="G1097" s="29"/>
      <c r="H1097" s="29"/>
      <c r="I1097" s="29" t="str">
        <f t="shared" si="35"/>
        <v/>
      </c>
      <c r="K1097" s="30"/>
      <c r="M1097" t="str">
        <f>IF($A1097=Ficha!$B$3,COUNTIF($A$5:$A1097,Ficha!$B$3),"")</f>
        <v/>
      </c>
    </row>
    <row r="1098" spans="2:13" x14ac:dyDescent="0.3">
      <c r="B1098" s="30" t="str">
        <f>IF(A1098="","",IFERROR(INDEX(Maniobras!$B$5:$B$504,MATCH(A1098,Maniobras!$A$5:$A$504,0)),""))</f>
        <v/>
      </c>
      <c r="C1098" t="str">
        <f t="shared" si="34"/>
        <v/>
      </c>
      <c r="D1098" t="str">
        <f>IF(A1098="","",IFERROR(INDEX(Maniobras!$D$5:$D$504,MATCH(A1098,Maniobras!$A$5:$A$504,0)),""))</f>
        <v/>
      </c>
      <c r="F1098" s="29" t="str">
        <f>IF(A1098="","",IFERROR(INDEX(Maniobras!$K$5:$K$504,MATCH(A1098,Maniobras!$A$5:$A$504,0)),""))</f>
        <v/>
      </c>
      <c r="G1098" s="29"/>
      <c r="H1098" s="29"/>
      <c r="I1098" s="29" t="str">
        <f t="shared" si="35"/>
        <v/>
      </c>
      <c r="K1098" s="30"/>
      <c r="M1098" t="str">
        <f>IF($A1098=Ficha!$B$3,COUNTIF($A$5:$A1098,Ficha!$B$3),"")</f>
        <v/>
      </c>
    </row>
    <row r="1099" spans="2:13" x14ac:dyDescent="0.3">
      <c r="B1099" s="30" t="str">
        <f>IF(A1099="","",IFERROR(INDEX(Maniobras!$B$5:$B$504,MATCH(A1099,Maniobras!$A$5:$A$504,0)),""))</f>
        <v/>
      </c>
      <c r="C1099" t="str">
        <f t="shared" si="34"/>
        <v/>
      </c>
      <c r="D1099" t="str">
        <f>IF(A1099="","",IFERROR(INDEX(Maniobras!$D$5:$D$504,MATCH(A1099,Maniobras!$A$5:$A$504,0)),""))</f>
        <v/>
      </c>
      <c r="F1099" s="29" t="str">
        <f>IF(A1099="","",IFERROR(INDEX(Maniobras!$K$5:$K$504,MATCH(A1099,Maniobras!$A$5:$A$504,0)),""))</f>
        <v/>
      </c>
      <c r="G1099" s="29"/>
      <c r="H1099" s="29"/>
      <c r="I1099" s="29" t="str">
        <f t="shared" si="35"/>
        <v/>
      </c>
      <c r="K1099" s="30"/>
      <c r="M1099" t="str">
        <f>IF($A1099=Ficha!$B$3,COUNTIF($A$5:$A1099,Ficha!$B$3),"")</f>
        <v/>
      </c>
    </row>
    <row r="1100" spans="2:13" x14ac:dyDescent="0.3">
      <c r="B1100" s="30" t="str">
        <f>IF(A1100="","",IFERROR(INDEX(Maniobras!$B$5:$B$504,MATCH(A1100,Maniobras!$A$5:$A$504,0)),""))</f>
        <v/>
      </c>
      <c r="C1100" t="str">
        <f t="shared" si="34"/>
        <v/>
      </c>
      <c r="D1100" t="str">
        <f>IF(A1100="","",IFERROR(INDEX(Maniobras!$D$5:$D$504,MATCH(A1100,Maniobras!$A$5:$A$504,0)),""))</f>
        <v/>
      </c>
      <c r="F1100" s="29" t="str">
        <f>IF(A1100="","",IFERROR(INDEX(Maniobras!$K$5:$K$504,MATCH(A1100,Maniobras!$A$5:$A$504,0)),""))</f>
        <v/>
      </c>
      <c r="G1100" s="29"/>
      <c r="H1100" s="29"/>
      <c r="I1100" s="29" t="str">
        <f t="shared" si="35"/>
        <v/>
      </c>
      <c r="K1100" s="30"/>
      <c r="M1100" t="str">
        <f>IF($A1100=Ficha!$B$3,COUNTIF($A$5:$A1100,Ficha!$B$3),"")</f>
        <v/>
      </c>
    </row>
    <row r="1101" spans="2:13" x14ac:dyDescent="0.3">
      <c r="B1101" s="30" t="str">
        <f>IF(A1101="","",IFERROR(INDEX(Maniobras!$B$5:$B$504,MATCH(A1101,Maniobras!$A$5:$A$504,0)),""))</f>
        <v/>
      </c>
      <c r="C1101" t="str">
        <f t="shared" si="34"/>
        <v/>
      </c>
      <c r="D1101" t="str">
        <f>IF(A1101="","",IFERROR(INDEX(Maniobras!$D$5:$D$504,MATCH(A1101,Maniobras!$A$5:$A$504,0)),""))</f>
        <v/>
      </c>
      <c r="F1101" s="29" t="str">
        <f>IF(A1101="","",IFERROR(INDEX(Maniobras!$K$5:$K$504,MATCH(A1101,Maniobras!$A$5:$A$504,0)),""))</f>
        <v/>
      </c>
      <c r="G1101" s="29"/>
      <c r="H1101" s="29"/>
      <c r="I1101" s="29" t="str">
        <f t="shared" si="35"/>
        <v/>
      </c>
      <c r="K1101" s="30"/>
      <c r="M1101" t="str">
        <f>IF($A1101=Ficha!$B$3,COUNTIF($A$5:$A1101,Ficha!$B$3),"")</f>
        <v/>
      </c>
    </row>
    <row r="1102" spans="2:13" x14ac:dyDescent="0.3">
      <c r="B1102" s="30" t="str">
        <f>IF(A1102="","",IFERROR(INDEX(Maniobras!$B$5:$B$504,MATCH(A1102,Maniobras!$A$5:$A$504,0)),""))</f>
        <v/>
      </c>
      <c r="C1102" t="str">
        <f t="shared" si="34"/>
        <v/>
      </c>
      <c r="D1102" t="str">
        <f>IF(A1102="","",IFERROR(INDEX(Maniobras!$D$5:$D$504,MATCH(A1102,Maniobras!$A$5:$A$504,0)),""))</f>
        <v/>
      </c>
      <c r="F1102" s="29" t="str">
        <f>IF(A1102="","",IFERROR(INDEX(Maniobras!$K$5:$K$504,MATCH(A1102,Maniobras!$A$5:$A$504,0)),""))</f>
        <v/>
      </c>
      <c r="G1102" s="29"/>
      <c r="H1102" s="29"/>
      <c r="I1102" s="29" t="str">
        <f t="shared" si="35"/>
        <v/>
      </c>
      <c r="K1102" s="30"/>
      <c r="M1102" t="str">
        <f>IF($A1102=Ficha!$B$3,COUNTIF($A$5:$A1102,Ficha!$B$3),"")</f>
        <v/>
      </c>
    </row>
    <row r="1103" spans="2:13" x14ac:dyDescent="0.3">
      <c r="B1103" s="30" t="str">
        <f>IF(A1103="","",IFERROR(INDEX(Maniobras!$B$5:$B$504,MATCH(A1103,Maniobras!$A$5:$A$504,0)),""))</f>
        <v/>
      </c>
      <c r="C1103" t="str">
        <f t="shared" si="34"/>
        <v/>
      </c>
      <c r="D1103" t="str">
        <f>IF(A1103="","",IFERROR(INDEX(Maniobras!$D$5:$D$504,MATCH(A1103,Maniobras!$A$5:$A$504,0)),""))</f>
        <v/>
      </c>
      <c r="F1103" s="29" t="str">
        <f>IF(A1103="","",IFERROR(INDEX(Maniobras!$K$5:$K$504,MATCH(A1103,Maniobras!$A$5:$A$504,0)),""))</f>
        <v/>
      </c>
      <c r="G1103" s="29"/>
      <c r="H1103" s="29"/>
      <c r="I1103" s="29" t="str">
        <f t="shared" si="35"/>
        <v/>
      </c>
      <c r="K1103" s="30"/>
      <c r="M1103" t="str">
        <f>IF($A1103=Ficha!$B$3,COUNTIF($A$5:$A1103,Ficha!$B$3),"")</f>
        <v/>
      </c>
    </row>
    <row r="1104" spans="2:13" x14ac:dyDescent="0.3">
      <c r="B1104" s="30" t="str">
        <f>IF(A1104="","",IFERROR(INDEX(Maniobras!$B$5:$B$504,MATCH(A1104,Maniobras!$A$5:$A$504,0)),""))</f>
        <v/>
      </c>
      <c r="C1104" t="str">
        <f t="shared" si="34"/>
        <v/>
      </c>
      <c r="D1104" t="str">
        <f>IF(A1104="","",IFERROR(INDEX(Maniobras!$D$5:$D$504,MATCH(A1104,Maniobras!$A$5:$A$504,0)),""))</f>
        <v/>
      </c>
      <c r="F1104" s="29" t="str">
        <f>IF(A1104="","",IFERROR(INDEX(Maniobras!$K$5:$K$504,MATCH(A1104,Maniobras!$A$5:$A$504,0)),""))</f>
        <v/>
      </c>
      <c r="G1104" s="29"/>
      <c r="H1104" s="29"/>
      <c r="I1104" s="29" t="str">
        <f t="shared" si="35"/>
        <v/>
      </c>
      <c r="K1104" s="30"/>
      <c r="M1104" t="str">
        <f>IF($A1104=Ficha!$B$3,COUNTIF($A$5:$A1104,Ficha!$B$3),"")</f>
        <v/>
      </c>
    </row>
    <row r="1105" spans="2:13" x14ac:dyDescent="0.3">
      <c r="B1105" s="30" t="str">
        <f>IF(A1105="","",IFERROR(INDEX(Maniobras!$B$5:$B$504,MATCH(A1105,Maniobras!$A$5:$A$504,0)),""))</f>
        <v/>
      </c>
      <c r="C1105" t="str">
        <f t="shared" si="34"/>
        <v/>
      </c>
      <c r="D1105" t="str">
        <f>IF(A1105="","",IFERROR(INDEX(Maniobras!$D$5:$D$504,MATCH(A1105,Maniobras!$A$5:$A$504,0)),""))</f>
        <v/>
      </c>
      <c r="F1105" s="29" t="str">
        <f>IF(A1105="","",IFERROR(INDEX(Maniobras!$K$5:$K$504,MATCH(A1105,Maniobras!$A$5:$A$504,0)),""))</f>
        <v/>
      </c>
      <c r="G1105" s="29"/>
      <c r="H1105" s="29"/>
      <c r="I1105" s="29" t="str">
        <f t="shared" si="35"/>
        <v/>
      </c>
      <c r="K1105" s="30"/>
      <c r="M1105" t="str">
        <f>IF($A1105=Ficha!$B$3,COUNTIF($A$5:$A1105,Ficha!$B$3),"")</f>
        <v/>
      </c>
    </row>
    <row r="1106" spans="2:13" x14ac:dyDescent="0.3">
      <c r="B1106" s="30" t="str">
        <f>IF(A1106="","",IFERROR(INDEX(Maniobras!$B$5:$B$504,MATCH(A1106,Maniobras!$A$5:$A$504,0)),""))</f>
        <v/>
      </c>
      <c r="C1106" t="str">
        <f t="shared" si="34"/>
        <v/>
      </c>
      <c r="D1106" t="str">
        <f>IF(A1106="","",IFERROR(INDEX(Maniobras!$D$5:$D$504,MATCH(A1106,Maniobras!$A$5:$A$504,0)),""))</f>
        <v/>
      </c>
      <c r="F1106" s="29" t="str">
        <f>IF(A1106="","",IFERROR(INDEX(Maniobras!$K$5:$K$504,MATCH(A1106,Maniobras!$A$5:$A$504,0)),""))</f>
        <v/>
      </c>
      <c r="G1106" s="29"/>
      <c r="H1106" s="29"/>
      <c r="I1106" s="29" t="str">
        <f t="shared" si="35"/>
        <v/>
      </c>
      <c r="K1106" s="30"/>
      <c r="M1106" t="str">
        <f>IF($A1106=Ficha!$B$3,COUNTIF($A$5:$A1106,Ficha!$B$3),"")</f>
        <v/>
      </c>
    </row>
    <row r="1107" spans="2:13" x14ac:dyDescent="0.3">
      <c r="B1107" s="30" t="str">
        <f>IF(A1107="","",IFERROR(INDEX(Maniobras!$B$5:$B$504,MATCH(A1107,Maniobras!$A$5:$A$504,0)),""))</f>
        <v/>
      </c>
      <c r="C1107" t="str">
        <f t="shared" si="34"/>
        <v/>
      </c>
      <c r="D1107" t="str">
        <f>IF(A1107="","",IFERROR(INDEX(Maniobras!$D$5:$D$504,MATCH(A1107,Maniobras!$A$5:$A$504,0)),""))</f>
        <v/>
      </c>
      <c r="F1107" s="29" t="str">
        <f>IF(A1107="","",IFERROR(INDEX(Maniobras!$K$5:$K$504,MATCH(A1107,Maniobras!$A$5:$A$504,0)),""))</f>
        <v/>
      </c>
      <c r="G1107" s="29"/>
      <c r="H1107" s="29"/>
      <c r="I1107" s="29" t="str">
        <f t="shared" si="35"/>
        <v/>
      </c>
      <c r="K1107" s="30"/>
      <c r="M1107" t="str">
        <f>IF($A1107=Ficha!$B$3,COUNTIF($A$5:$A1107,Ficha!$B$3),"")</f>
        <v/>
      </c>
    </row>
    <row r="1108" spans="2:13" x14ac:dyDescent="0.3">
      <c r="B1108" s="30" t="str">
        <f>IF(A1108="","",IFERROR(INDEX(Maniobras!$B$5:$B$504,MATCH(A1108,Maniobras!$A$5:$A$504,0)),""))</f>
        <v/>
      </c>
      <c r="C1108" t="str">
        <f t="shared" si="34"/>
        <v/>
      </c>
      <c r="D1108" t="str">
        <f>IF(A1108="","",IFERROR(INDEX(Maniobras!$D$5:$D$504,MATCH(A1108,Maniobras!$A$5:$A$504,0)),""))</f>
        <v/>
      </c>
      <c r="F1108" s="29" t="str">
        <f>IF(A1108="","",IFERROR(INDEX(Maniobras!$K$5:$K$504,MATCH(A1108,Maniobras!$A$5:$A$504,0)),""))</f>
        <v/>
      </c>
      <c r="G1108" s="29"/>
      <c r="H1108" s="29"/>
      <c r="I1108" s="29" t="str">
        <f t="shared" si="35"/>
        <v/>
      </c>
      <c r="K1108" s="30"/>
      <c r="M1108" t="str">
        <f>IF($A1108=Ficha!$B$3,COUNTIF($A$5:$A1108,Ficha!$B$3),"")</f>
        <v/>
      </c>
    </row>
    <row r="1109" spans="2:13" x14ac:dyDescent="0.3">
      <c r="B1109" s="30" t="str">
        <f>IF(A1109="","",IFERROR(INDEX(Maniobras!$B$5:$B$504,MATCH(A1109,Maniobras!$A$5:$A$504,0)),""))</f>
        <v/>
      </c>
      <c r="C1109" t="str">
        <f t="shared" si="34"/>
        <v/>
      </c>
      <c r="D1109" t="str">
        <f>IF(A1109="","",IFERROR(INDEX(Maniobras!$D$5:$D$504,MATCH(A1109,Maniobras!$A$5:$A$504,0)),""))</f>
        <v/>
      </c>
      <c r="F1109" s="29" t="str">
        <f>IF(A1109="","",IFERROR(INDEX(Maniobras!$K$5:$K$504,MATCH(A1109,Maniobras!$A$5:$A$504,0)),""))</f>
        <v/>
      </c>
      <c r="G1109" s="29"/>
      <c r="H1109" s="29"/>
      <c r="I1109" s="29" t="str">
        <f t="shared" si="35"/>
        <v/>
      </c>
      <c r="K1109" s="30"/>
      <c r="M1109" t="str">
        <f>IF($A1109=Ficha!$B$3,COUNTIF($A$5:$A1109,Ficha!$B$3),"")</f>
        <v/>
      </c>
    </row>
    <row r="1110" spans="2:13" x14ac:dyDescent="0.3">
      <c r="B1110" s="30" t="str">
        <f>IF(A1110="","",IFERROR(INDEX(Maniobras!$B$5:$B$504,MATCH(A1110,Maniobras!$A$5:$A$504,0)),""))</f>
        <v/>
      </c>
      <c r="C1110" t="str">
        <f t="shared" si="34"/>
        <v/>
      </c>
      <c r="D1110" t="str">
        <f>IF(A1110="","",IFERROR(INDEX(Maniobras!$D$5:$D$504,MATCH(A1110,Maniobras!$A$5:$A$504,0)),""))</f>
        <v/>
      </c>
      <c r="F1110" s="29" t="str">
        <f>IF(A1110="","",IFERROR(INDEX(Maniobras!$K$5:$K$504,MATCH(A1110,Maniobras!$A$5:$A$504,0)),""))</f>
        <v/>
      </c>
      <c r="G1110" s="29"/>
      <c r="H1110" s="29"/>
      <c r="I1110" s="29" t="str">
        <f t="shared" si="35"/>
        <v/>
      </c>
      <c r="K1110" s="30"/>
      <c r="M1110" t="str">
        <f>IF($A1110=Ficha!$B$3,COUNTIF($A$5:$A1110,Ficha!$B$3),"")</f>
        <v/>
      </c>
    </row>
    <row r="1111" spans="2:13" x14ac:dyDescent="0.3">
      <c r="B1111" s="30" t="str">
        <f>IF(A1111="","",IFERROR(INDEX(Maniobras!$B$5:$B$504,MATCH(A1111,Maniobras!$A$5:$A$504,0)),""))</f>
        <v/>
      </c>
      <c r="C1111" t="str">
        <f t="shared" si="34"/>
        <v/>
      </c>
      <c r="D1111" t="str">
        <f>IF(A1111="","",IFERROR(INDEX(Maniobras!$D$5:$D$504,MATCH(A1111,Maniobras!$A$5:$A$504,0)),""))</f>
        <v/>
      </c>
      <c r="F1111" s="29" t="str">
        <f>IF(A1111="","",IFERROR(INDEX(Maniobras!$K$5:$K$504,MATCH(A1111,Maniobras!$A$5:$A$504,0)),""))</f>
        <v/>
      </c>
      <c r="G1111" s="29"/>
      <c r="H1111" s="29"/>
      <c r="I1111" s="29" t="str">
        <f t="shared" si="35"/>
        <v/>
      </c>
      <c r="K1111" s="30"/>
      <c r="M1111" t="str">
        <f>IF($A1111=Ficha!$B$3,COUNTIF($A$5:$A1111,Ficha!$B$3),"")</f>
        <v/>
      </c>
    </row>
    <row r="1112" spans="2:13" x14ac:dyDescent="0.3">
      <c r="B1112" s="30" t="str">
        <f>IF(A1112="","",IFERROR(INDEX(Maniobras!$B$5:$B$504,MATCH(A1112,Maniobras!$A$5:$A$504,0)),""))</f>
        <v/>
      </c>
      <c r="C1112" t="str">
        <f t="shared" si="34"/>
        <v/>
      </c>
      <c r="D1112" t="str">
        <f>IF(A1112="","",IFERROR(INDEX(Maniobras!$D$5:$D$504,MATCH(A1112,Maniobras!$A$5:$A$504,0)),""))</f>
        <v/>
      </c>
      <c r="F1112" s="29" t="str">
        <f>IF(A1112="","",IFERROR(INDEX(Maniobras!$K$5:$K$504,MATCH(A1112,Maniobras!$A$5:$A$504,0)),""))</f>
        <v/>
      </c>
      <c r="G1112" s="29"/>
      <c r="H1112" s="29"/>
      <c r="I1112" s="29" t="str">
        <f t="shared" si="35"/>
        <v/>
      </c>
      <c r="K1112" s="30"/>
      <c r="M1112" t="str">
        <f>IF($A1112=Ficha!$B$3,COUNTIF($A$5:$A1112,Ficha!$B$3),"")</f>
        <v/>
      </c>
    </row>
    <row r="1113" spans="2:13" x14ac:dyDescent="0.3">
      <c r="B1113" s="30" t="str">
        <f>IF(A1113="","",IFERROR(INDEX(Maniobras!$B$5:$B$504,MATCH(A1113,Maniobras!$A$5:$A$504,0)),""))</f>
        <v/>
      </c>
      <c r="C1113" t="str">
        <f t="shared" si="34"/>
        <v/>
      </c>
      <c r="D1113" t="str">
        <f>IF(A1113="","",IFERROR(INDEX(Maniobras!$D$5:$D$504,MATCH(A1113,Maniobras!$A$5:$A$504,0)),""))</f>
        <v/>
      </c>
      <c r="F1113" s="29" t="str">
        <f>IF(A1113="","",IFERROR(INDEX(Maniobras!$K$5:$K$504,MATCH(A1113,Maniobras!$A$5:$A$504,0)),""))</f>
        <v/>
      </c>
      <c r="G1113" s="29"/>
      <c r="H1113" s="29"/>
      <c r="I1113" s="29" t="str">
        <f t="shared" si="35"/>
        <v/>
      </c>
      <c r="K1113" s="30"/>
      <c r="M1113" t="str">
        <f>IF($A1113=Ficha!$B$3,COUNTIF($A$5:$A1113,Ficha!$B$3),"")</f>
        <v/>
      </c>
    </row>
    <row r="1114" spans="2:13" x14ac:dyDescent="0.3">
      <c r="B1114" s="30" t="str">
        <f>IF(A1114="","",IFERROR(INDEX(Maniobras!$B$5:$B$504,MATCH(A1114,Maniobras!$A$5:$A$504,0)),""))</f>
        <v/>
      </c>
      <c r="C1114" t="str">
        <f t="shared" si="34"/>
        <v/>
      </c>
      <c r="D1114" t="str">
        <f>IF(A1114="","",IFERROR(INDEX(Maniobras!$D$5:$D$504,MATCH(A1114,Maniobras!$A$5:$A$504,0)),""))</f>
        <v/>
      </c>
      <c r="F1114" s="29" t="str">
        <f>IF(A1114="","",IFERROR(INDEX(Maniobras!$K$5:$K$504,MATCH(A1114,Maniobras!$A$5:$A$504,0)),""))</f>
        <v/>
      </c>
      <c r="G1114" s="29"/>
      <c r="H1114" s="29"/>
      <c r="I1114" s="29" t="str">
        <f t="shared" si="35"/>
        <v/>
      </c>
      <c r="K1114" s="30"/>
      <c r="M1114" t="str">
        <f>IF($A1114=Ficha!$B$3,COUNTIF($A$5:$A1114,Ficha!$B$3),"")</f>
        <v/>
      </c>
    </row>
    <row r="1115" spans="2:13" x14ac:dyDescent="0.3">
      <c r="B1115" s="30" t="str">
        <f>IF(A1115="","",IFERROR(INDEX(Maniobras!$B$5:$B$504,MATCH(A1115,Maniobras!$A$5:$A$504,0)),""))</f>
        <v/>
      </c>
      <c r="C1115" t="str">
        <f t="shared" si="34"/>
        <v/>
      </c>
      <c r="D1115" t="str">
        <f>IF(A1115="","",IFERROR(INDEX(Maniobras!$D$5:$D$504,MATCH(A1115,Maniobras!$A$5:$A$504,0)),""))</f>
        <v/>
      </c>
      <c r="F1115" s="29" t="str">
        <f>IF(A1115="","",IFERROR(INDEX(Maniobras!$K$5:$K$504,MATCH(A1115,Maniobras!$A$5:$A$504,0)),""))</f>
        <v/>
      </c>
      <c r="G1115" s="29"/>
      <c r="H1115" s="29"/>
      <c r="I1115" s="29" t="str">
        <f t="shared" si="35"/>
        <v/>
      </c>
      <c r="K1115" s="30"/>
      <c r="M1115" t="str">
        <f>IF($A1115=Ficha!$B$3,COUNTIF($A$5:$A1115,Ficha!$B$3),"")</f>
        <v/>
      </c>
    </row>
    <row r="1116" spans="2:13" x14ac:dyDescent="0.3">
      <c r="B1116" s="30" t="str">
        <f>IF(A1116="","",IFERROR(INDEX(Maniobras!$B$5:$B$504,MATCH(A1116,Maniobras!$A$5:$A$504,0)),""))</f>
        <v/>
      </c>
      <c r="C1116" t="str">
        <f t="shared" si="34"/>
        <v/>
      </c>
      <c r="D1116" t="str">
        <f>IF(A1116="","",IFERROR(INDEX(Maniobras!$D$5:$D$504,MATCH(A1116,Maniobras!$A$5:$A$504,0)),""))</f>
        <v/>
      </c>
      <c r="F1116" s="29" t="str">
        <f>IF(A1116="","",IFERROR(INDEX(Maniobras!$K$5:$K$504,MATCH(A1116,Maniobras!$A$5:$A$504,0)),""))</f>
        <v/>
      </c>
      <c r="G1116" s="29"/>
      <c r="H1116" s="29"/>
      <c r="I1116" s="29" t="str">
        <f t="shared" si="35"/>
        <v/>
      </c>
      <c r="K1116" s="30"/>
      <c r="M1116" t="str">
        <f>IF($A1116=Ficha!$B$3,COUNTIF($A$5:$A1116,Ficha!$B$3),"")</f>
        <v/>
      </c>
    </row>
    <row r="1117" spans="2:13" x14ac:dyDescent="0.3">
      <c r="B1117" s="30" t="str">
        <f>IF(A1117="","",IFERROR(INDEX(Maniobras!$B$5:$B$504,MATCH(A1117,Maniobras!$A$5:$A$504,0)),""))</f>
        <v/>
      </c>
      <c r="C1117" t="str">
        <f t="shared" si="34"/>
        <v/>
      </c>
      <c r="D1117" t="str">
        <f>IF(A1117="","",IFERROR(INDEX(Maniobras!$D$5:$D$504,MATCH(A1117,Maniobras!$A$5:$A$504,0)),""))</f>
        <v/>
      </c>
      <c r="F1117" s="29" t="str">
        <f>IF(A1117="","",IFERROR(INDEX(Maniobras!$K$5:$K$504,MATCH(A1117,Maniobras!$A$5:$A$504,0)),""))</f>
        <v/>
      </c>
      <c r="G1117" s="29"/>
      <c r="H1117" s="29"/>
      <c r="I1117" s="29" t="str">
        <f t="shared" si="35"/>
        <v/>
      </c>
      <c r="K1117" s="30"/>
      <c r="M1117" t="str">
        <f>IF($A1117=Ficha!$B$3,COUNTIF($A$5:$A1117,Ficha!$B$3),"")</f>
        <v/>
      </c>
    </row>
    <row r="1118" spans="2:13" x14ac:dyDescent="0.3">
      <c r="B1118" s="30" t="str">
        <f>IF(A1118="","",IFERROR(INDEX(Maniobras!$B$5:$B$504,MATCH(A1118,Maniobras!$A$5:$A$504,0)),""))</f>
        <v/>
      </c>
      <c r="C1118" t="str">
        <f t="shared" si="34"/>
        <v/>
      </c>
      <c r="D1118" t="str">
        <f>IF(A1118="","",IFERROR(INDEX(Maniobras!$D$5:$D$504,MATCH(A1118,Maniobras!$A$5:$A$504,0)),""))</f>
        <v/>
      </c>
      <c r="F1118" s="29" t="str">
        <f>IF(A1118="","",IFERROR(INDEX(Maniobras!$K$5:$K$504,MATCH(A1118,Maniobras!$A$5:$A$504,0)),""))</f>
        <v/>
      </c>
      <c r="G1118" s="29"/>
      <c r="H1118" s="29"/>
      <c r="I1118" s="29" t="str">
        <f t="shared" si="35"/>
        <v/>
      </c>
      <c r="K1118" s="30"/>
      <c r="M1118" t="str">
        <f>IF($A1118=Ficha!$B$3,COUNTIF($A$5:$A1118,Ficha!$B$3),"")</f>
        <v/>
      </c>
    </row>
    <row r="1119" spans="2:13" x14ac:dyDescent="0.3">
      <c r="B1119" s="30" t="str">
        <f>IF(A1119="","",IFERROR(INDEX(Maniobras!$B$5:$B$504,MATCH(A1119,Maniobras!$A$5:$A$504,0)),""))</f>
        <v/>
      </c>
      <c r="C1119" t="str">
        <f t="shared" si="34"/>
        <v/>
      </c>
      <c r="D1119" t="str">
        <f>IF(A1119="","",IFERROR(INDEX(Maniobras!$D$5:$D$504,MATCH(A1119,Maniobras!$A$5:$A$504,0)),""))</f>
        <v/>
      </c>
      <c r="F1119" s="29" t="str">
        <f>IF(A1119="","",IFERROR(INDEX(Maniobras!$K$5:$K$504,MATCH(A1119,Maniobras!$A$5:$A$504,0)),""))</f>
        <v/>
      </c>
      <c r="G1119" s="29"/>
      <c r="H1119" s="29"/>
      <c r="I1119" s="29" t="str">
        <f t="shared" si="35"/>
        <v/>
      </c>
      <c r="K1119" s="30"/>
      <c r="M1119" t="str">
        <f>IF($A1119=Ficha!$B$3,COUNTIF($A$5:$A1119,Ficha!$B$3),"")</f>
        <v/>
      </c>
    </row>
    <row r="1120" spans="2:13" x14ac:dyDescent="0.3">
      <c r="B1120" s="30" t="str">
        <f>IF(A1120="","",IFERROR(INDEX(Maniobras!$B$5:$B$504,MATCH(A1120,Maniobras!$A$5:$A$504,0)),""))</f>
        <v/>
      </c>
      <c r="C1120" t="str">
        <f t="shared" si="34"/>
        <v/>
      </c>
      <c r="D1120" t="str">
        <f>IF(A1120="","",IFERROR(INDEX(Maniobras!$D$5:$D$504,MATCH(A1120,Maniobras!$A$5:$A$504,0)),""))</f>
        <v/>
      </c>
      <c r="F1120" s="29" t="str">
        <f>IF(A1120="","",IFERROR(INDEX(Maniobras!$K$5:$K$504,MATCH(A1120,Maniobras!$A$5:$A$504,0)),""))</f>
        <v/>
      </c>
      <c r="G1120" s="29"/>
      <c r="H1120" s="29"/>
      <c r="I1120" s="29" t="str">
        <f t="shared" si="35"/>
        <v/>
      </c>
      <c r="K1120" s="30"/>
      <c r="M1120" t="str">
        <f>IF($A1120=Ficha!$B$3,COUNTIF($A$5:$A1120,Ficha!$B$3),"")</f>
        <v/>
      </c>
    </row>
    <row r="1121" spans="2:13" x14ac:dyDescent="0.3">
      <c r="B1121" s="30" t="str">
        <f>IF(A1121="","",IFERROR(INDEX(Maniobras!$B$5:$B$504,MATCH(A1121,Maniobras!$A$5:$A$504,0)),""))</f>
        <v/>
      </c>
      <c r="C1121" t="str">
        <f t="shared" si="34"/>
        <v/>
      </c>
      <c r="D1121" t="str">
        <f>IF(A1121="","",IFERROR(INDEX(Maniobras!$D$5:$D$504,MATCH(A1121,Maniobras!$A$5:$A$504,0)),""))</f>
        <v/>
      </c>
      <c r="F1121" s="29" t="str">
        <f>IF(A1121="","",IFERROR(INDEX(Maniobras!$K$5:$K$504,MATCH(A1121,Maniobras!$A$5:$A$504,0)),""))</f>
        <v/>
      </c>
      <c r="G1121" s="29"/>
      <c r="H1121" s="29"/>
      <c r="I1121" s="29" t="str">
        <f t="shared" si="35"/>
        <v/>
      </c>
      <c r="K1121" s="30"/>
      <c r="M1121" t="str">
        <f>IF($A1121=Ficha!$B$3,COUNTIF($A$5:$A1121,Ficha!$B$3),"")</f>
        <v/>
      </c>
    </row>
    <row r="1122" spans="2:13" x14ac:dyDescent="0.3">
      <c r="B1122" s="30" t="str">
        <f>IF(A1122="","",IFERROR(INDEX(Maniobras!$B$5:$B$504,MATCH(A1122,Maniobras!$A$5:$A$504,0)),""))</f>
        <v/>
      </c>
      <c r="C1122" t="str">
        <f t="shared" si="34"/>
        <v/>
      </c>
      <c r="D1122" t="str">
        <f>IF(A1122="","",IFERROR(INDEX(Maniobras!$D$5:$D$504,MATCH(A1122,Maniobras!$A$5:$A$504,0)),""))</f>
        <v/>
      </c>
      <c r="F1122" s="29" t="str">
        <f>IF(A1122="","",IFERROR(INDEX(Maniobras!$K$5:$K$504,MATCH(A1122,Maniobras!$A$5:$A$504,0)),""))</f>
        <v/>
      </c>
      <c r="G1122" s="29"/>
      <c r="H1122" s="29"/>
      <c r="I1122" s="29" t="str">
        <f t="shared" si="35"/>
        <v/>
      </c>
      <c r="K1122" s="30"/>
      <c r="M1122" t="str">
        <f>IF($A1122=Ficha!$B$3,COUNTIF($A$5:$A1122,Ficha!$B$3),"")</f>
        <v/>
      </c>
    </row>
    <row r="1123" spans="2:13" x14ac:dyDescent="0.3">
      <c r="B1123" s="30" t="str">
        <f>IF(A1123="","",IFERROR(INDEX(Maniobras!$B$5:$B$504,MATCH(A1123,Maniobras!$A$5:$A$504,0)),""))</f>
        <v/>
      </c>
      <c r="C1123" t="str">
        <f t="shared" si="34"/>
        <v/>
      </c>
      <c r="D1123" t="str">
        <f>IF(A1123="","",IFERROR(INDEX(Maniobras!$D$5:$D$504,MATCH(A1123,Maniobras!$A$5:$A$504,0)),""))</f>
        <v/>
      </c>
      <c r="F1123" s="29" t="str">
        <f>IF(A1123="","",IFERROR(INDEX(Maniobras!$K$5:$K$504,MATCH(A1123,Maniobras!$A$5:$A$504,0)),""))</f>
        <v/>
      </c>
      <c r="G1123" s="29"/>
      <c r="H1123" s="29"/>
      <c r="I1123" s="29" t="str">
        <f t="shared" si="35"/>
        <v/>
      </c>
      <c r="K1123" s="30"/>
      <c r="M1123" t="str">
        <f>IF($A1123=Ficha!$B$3,COUNTIF($A$5:$A1123,Ficha!$B$3),"")</f>
        <v/>
      </c>
    </row>
    <row r="1124" spans="2:13" x14ac:dyDescent="0.3">
      <c r="B1124" s="30" t="str">
        <f>IF(A1124="","",IFERROR(INDEX(Maniobras!$B$5:$B$504,MATCH(A1124,Maniobras!$A$5:$A$504,0)),""))</f>
        <v/>
      </c>
      <c r="C1124" t="str">
        <f t="shared" si="34"/>
        <v/>
      </c>
      <c r="D1124" t="str">
        <f>IF(A1124="","",IFERROR(INDEX(Maniobras!$D$5:$D$504,MATCH(A1124,Maniobras!$A$5:$A$504,0)),""))</f>
        <v/>
      </c>
      <c r="F1124" s="29" t="str">
        <f>IF(A1124="","",IFERROR(INDEX(Maniobras!$K$5:$K$504,MATCH(A1124,Maniobras!$A$5:$A$504,0)),""))</f>
        <v/>
      </c>
      <c r="G1124" s="29"/>
      <c r="H1124" s="29"/>
      <c r="I1124" s="29" t="str">
        <f t="shared" si="35"/>
        <v/>
      </c>
      <c r="K1124" s="30"/>
      <c r="M1124" t="str">
        <f>IF($A1124=Ficha!$B$3,COUNTIF($A$5:$A1124,Ficha!$B$3),"")</f>
        <v/>
      </c>
    </row>
    <row r="1125" spans="2:13" x14ac:dyDescent="0.3">
      <c r="B1125" s="30" t="str">
        <f>IF(A1125="","",IFERROR(INDEX(Maniobras!$B$5:$B$504,MATCH(A1125,Maniobras!$A$5:$A$504,0)),""))</f>
        <v/>
      </c>
      <c r="C1125" t="str">
        <f t="shared" si="34"/>
        <v/>
      </c>
      <c r="D1125" t="str">
        <f>IF(A1125="","",IFERROR(INDEX(Maniobras!$D$5:$D$504,MATCH(A1125,Maniobras!$A$5:$A$504,0)),""))</f>
        <v/>
      </c>
      <c r="F1125" s="29" t="str">
        <f>IF(A1125="","",IFERROR(INDEX(Maniobras!$K$5:$K$504,MATCH(A1125,Maniobras!$A$5:$A$504,0)),""))</f>
        <v/>
      </c>
      <c r="G1125" s="29"/>
      <c r="H1125" s="29"/>
      <c r="I1125" s="29" t="str">
        <f t="shared" si="35"/>
        <v/>
      </c>
      <c r="K1125" s="30"/>
      <c r="M1125" t="str">
        <f>IF($A1125=Ficha!$B$3,COUNTIF($A$5:$A1125,Ficha!$B$3),"")</f>
        <v/>
      </c>
    </row>
    <row r="1126" spans="2:13" x14ac:dyDescent="0.3">
      <c r="B1126" s="30" t="str">
        <f>IF(A1126="","",IFERROR(INDEX(Maniobras!$B$5:$B$504,MATCH(A1126,Maniobras!$A$5:$A$504,0)),""))</f>
        <v/>
      </c>
      <c r="C1126" t="str">
        <f t="shared" si="34"/>
        <v/>
      </c>
      <c r="D1126" t="str">
        <f>IF(A1126="","",IFERROR(INDEX(Maniobras!$D$5:$D$504,MATCH(A1126,Maniobras!$A$5:$A$504,0)),""))</f>
        <v/>
      </c>
      <c r="F1126" s="29" t="str">
        <f>IF(A1126="","",IFERROR(INDEX(Maniobras!$K$5:$K$504,MATCH(A1126,Maniobras!$A$5:$A$504,0)),""))</f>
        <v/>
      </c>
      <c r="G1126" s="29"/>
      <c r="H1126" s="29"/>
      <c r="I1126" s="29" t="str">
        <f t="shared" si="35"/>
        <v/>
      </c>
      <c r="K1126" s="30"/>
      <c r="M1126" t="str">
        <f>IF($A1126=Ficha!$B$3,COUNTIF($A$5:$A1126,Ficha!$B$3),"")</f>
        <v/>
      </c>
    </row>
    <row r="1127" spans="2:13" x14ac:dyDescent="0.3">
      <c r="B1127" s="30" t="str">
        <f>IF(A1127="","",IFERROR(INDEX(Maniobras!$B$5:$B$504,MATCH(A1127,Maniobras!$A$5:$A$504,0)),""))</f>
        <v/>
      </c>
      <c r="C1127" t="str">
        <f t="shared" si="34"/>
        <v/>
      </c>
      <c r="D1127" t="str">
        <f>IF(A1127="","",IFERROR(INDEX(Maniobras!$D$5:$D$504,MATCH(A1127,Maniobras!$A$5:$A$504,0)),""))</f>
        <v/>
      </c>
      <c r="F1127" s="29" t="str">
        <f>IF(A1127="","",IFERROR(INDEX(Maniobras!$K$5:$K$504,MATCH(A1127,Maniobras!$A$5:$A$504,0)),""))</f>
        <v/>
      </c>
      <c r="G1127" s="29"/>
      <c r="H1127" s="29"/>
      <c r="I1127" s="29" t="str">
        <f t="shared" si="35"/>
        <v/>
      </c>
      <c r="K1127" s="30"/>
      <c r="M1127" t="str">
        <f>IF($A1127=Ficha!$B$3,COUNTIF($A$5:$A1127,Ficha!$B$3),"")</f>
        <v/>
      </c>
    </row>
    <row r="1128" spans="2:13" x14ac:dyDescent="0.3">
      <c r="B1128" s="30" t="str">
        <f>IF(A1128="","",IFERROR(INDEX(Maniobras!$B$5:$B$504,MATCH(A1128,Maniobras!$A$5:$A$504,0)),""))</f>
        <v/>
      </c>
      <c r="C1128" t="str">
        <f t="shared" si="34"/>
        <v/>
      </c>
      <c r="D1128" t="str">
        <f>IF(A1128="","",IFERROR(INDEX(Maniobras!$D$5:$D$504,MATCH(A1128,Maniobras!$A$5:$A$504,0)),""))</f>
        <v/>
      </c>
      <c r="F1128" s="29" t="str">
        <f>IF(A1128="","",IFERROR(INDEX(Maniobras!$K$5:$K$504,MATCH(A1128,Maniobras!$A$5:$A$504,0)),""))</f>
        <v/>
      </c>
      <c r="G1128" s="29"/>
      <c r="H1128" s="29"/>
      <c r="I1128" s="29" t="str">
        <f t="shared" si="35"/>
        <v/>
      </c>
      <c r="K1128" s="30"/>
      <c r="M1128" t="str">
        <f>IF($A1128=Ficha!$B$3,COUNTIF($A$5:$A1128,Ficha!$B$3),"")</f>
        <v/>
      </c>
    </row>
    <row r="1129" spans="2:13" x14ac:dyDescent="0.3">
      <c r="B1129" s="30" t="str">
        <f>IF(A1129="","",IFERROR(INDEX(Maniobras!$B$5:$B$504,MATCH(A1129,Maniobras!$A$5:$A$504,0)),""))</f>
        <v/>
      </c>
      <c r="C1129" t="str">
        <f t="shared" si="34"/>
        <v/>
      </c>
      <c r="D1129" t="str">
        <f>IF(A1129="","",IFERROR(INDEX(Maniobras!$D$5:$D$504,MATCH(A1129,Maniobras!$A$5:$A$504,0)),""))</f>
        <v/>
      </c>
      <c r="F1129" s="29" t="str">
        <f>IF(A1129="","",IFERROR(INDEX(Maniobras!$K$5:$K$504,MATCH(A1129,Maniobras!$A$5:$A$504,0)),""))</f>
        <v/>
      </c>
      <c r="G1129" s="29"/>
      <c r="H1129" s="29"/>
      <c r="I1129" s="29" t="str">
        <f t="shared" si="35"/>
        <v/>
      </c>
      <c r="K1129" s="30"/>
      <c r="M1129" t="str">
        <f>IF($A1129=Ficha!$B$3,COUNTIF($A$5:$A1129,Ficha!$B$3),"")</f>
        <v/>
      </c>
    </row>
    <row r="1130" spans="2:13" x14ac:dyDescent="0.3">
      <c r="B1130" s="30" t="str">
        <f>IF(A1130="","",IFERROR(INDEX(Maniobras!$B$5:$B$504,MATCH(A1130,Maniobras!$A$5:$A$504,0)),""))</f>
        <v/>
      </c>
      <c r="C1130" t="str">
        <f t="shared" si="34"/>
        <v/>
      </c>
      <c r="D1130" t="str">
        <f>IF(A1130="","",IFERROR(INDEX(Maniobras!$D$5:$D$504,MATCH(A1130,Maniobras!$A$5:$A$504,0)),""))</f>
        <v/>
      </c>
      <c r="F1130" s="29" t="str">
        <f>IF(A1130="","",IFERROR(INDEX(Maniobras!$K$5:$K$504,MATCH(A1130,Maniobras!$A$5:$A$504,0)),""))</f>
        <v/>
      </c>
      <c r="G1130" s="29"/>
      <c r="H1130" s="29"/>
      <c r="I1130" s="29" t="str">
        <f t="shared" si="35"/>
        <v/>
      </c>
      <c r="K1130" s="30"/>
      <c r="M1130" t="str">
        <f>IF($A1130=Ficha!$B$3,COUNTIF($A$5:$A1130,Ficha!$B$3),"")</f>
        <v/>
      </c>
    </row>
    <row r="1131" spans="2:13" x14ac:dyDescent="0.3">
      <c r="B1131" s="30" t="str">
        <f>IF(A1131="","",IFERROR(INDEX(Maniobras!$B$5:$B$504,MATCH(A1131,Maniobras!$A$5:$A$504,0)),""))</f>
        <v/>
      </c>
      <c r="C1131" t="str">
        <f t="shared" si="34"/>
        <v/>
      </c>
      <c r="D1131" t="str">
        <f>IF(A1131="","",IFERROR(INDEX(Maniobras!$D$5:$D$504,MATCH(A1131,Maniobras!$A$5:$A$504,0)),""))</f>
        <v/>
      </c>
      <c r="F1131" s="29" t="str">
        <f>IF(A1131="","",IFERROR(INDEX(Maniobras!$K$5:$K$504,MATCH(A1131,Maniobras!$A$5:$A$504,0)),""))</f>
        <v/>
      </c>
      <c r="G1131" s="29"/>
      <c r="H1131" s="29"/>
      <c r="I1131" s="29" t="str">
        <f t="shared" si="35"/>
        <v/>
      </c>
      <c r="K1131" s="30"/>
      <c r="M1131" t="str">
        <f>IF($A1131=Ficha!$B$3,COUNTIF($A$5:$A1131,Ficha!$B$3),"")</f>
        <v/>
      </c>
    </row>
    <row r="1132" spans="2:13" x14ac:dyDescent="0.3">
      <c r="B1132" s="30" t="str">
        <f>IF(A1132="","",IFERROR(INDEX(Maniobras!$B$5:$B$504,MATCH(A1132,Maniobras!$A$5:$A$504,0)),""))</f>
        <v/>
      </c>
      <c r="C1132" t="str">
        <f t="shared" si="34"/>
        <v/>
      </c>
      <c r="D1132" t="str">
        <f>IF(A1132="","",IFERROR(INDEX(Maniobras!$D$5:$D$504,MATCH(A1132,Maniobras!$A$5:$A$504,0)),""))</f>
        <v/>
      </c>
      <c r="F1132" s="29" t="str">
        <f>IF(A1132="","",IFERROR(INDEX(Maniobras!$K$5:$K$504,MATCH(A1132,Maniobras!$A$5:$A$504,0)),""))</f>
        <v/>
      </c>
      <c r="G1132" s="29"/>
      <c r="H1132" s="29"/>
      <c r="I1132" s="29" t="str">
        <f t="shared" si="35"/>
        <v/>
      </c>
      <c r="K1132" s="30"/>
      <c r="M1132" t="str">
        <f>IF($A1132=Ficha!$B$3,COUNTIF($A$5:$A1132,Ficha!$B$3),"")</f>
        <v/>
      </c>
    </row>
    <row r="1133" spans="2:13" x14ac:dyDescent="0.3">
      <c r="B1133" s="30" t="str">
        <f>IF(A1133="","",IFERROR(INDEX(Maniobras!$B$5:$B$504,MATCH(A1133,Maniobras!$A$5:$A$504,0)),""))</f>
        <v/>
      </c>
      <c r="C1133" t="str">
        <f t="shared" si="34"/>
        <v/>
      </c>
      <c r="D1133" t="str">
        <f>IF(A1133="","",IFERROR(INDEX(Maniobras!$D$5:$D$504,MATCH(A1133,Maniobras!$A$5:$A$504,0)),""))</f>
        <v/>
      </c>
      <c r="F1133" s="29" t="str">
        <f>IF(A1133="","",IFERROR(INDEX(Maniobras!$K$5:$K$504,MATCH(A1133,Maniobras!$A$5:$A$504,0)),""))</f>
        <v/>
      </c>
      <c r="G1133" s="29"/>
      <c r="H1133" s="29"/>
      <c r="I1133" s="29" t="str">
        <f t="shared" si="35"/>
        <v/>
      </c>
      <c r="K1133" s="30"/>
      <c r="M1133" t="str">
        <f>IF($A1133=Ficha!$B$3,COUNTIF($A$5:$A1133,Ficha!$B$3),"")</f>
        <v/>
      </c>
    </row>
    <row r="1134" spans="2:13" x14ac:dyDescent="0.3">
      <c r="B1134" s="30" t="str">
        <f>IF(A1134="","",IFERROR(INDEX(Maniobras!$B$5:$B$504,MATCH(A1134,Maniobras!$A$5:$A$504,0)),""))</f>
        <v/>
      </c>
      <c r="C1134" t="str">
        <f t="shared" si="34"/>
        <v/>
      </c>
      <c r="D1134" t="str">
        <f>IF(A1134="","",IFERROR(INDEX(Maniobras!$D$5:$D$504,MATCH(A1134,Maniobras!$A$5:$A$504,0)),""))</f>
        <v/>
      </c>
      <c r="F1134" s="29" t="str">
        <f>IF(A1134="","",IFERROR(INDEX(Maniobras!$K$5:$K$504,MATCH(A1134,Maniobras!$A$5:$A$504,0)),""))</f>
        <v/>
      </c>
      <c r="G1134" s="29"/>
      <c r="H1134" s="29"/>
      <c r="I1134" s="29" t="str">
        <f t="shared" si="35"/>
        <v/>
      </c>
      <c r="K1134" s="30"/>
      <c r="M1134" t="str">
        <f>IF($A1134=Ficha!$B$3,COUNTIF($A$5:$A1134,Ficha!$B$3),"")</f>
        <v/>
      </c>
    </row>
    <row r="1135" spans="2:13" x14ac:dyDescent="0.3">
      <c r="B1135" s="30" t="str">
        <f>IF(A1135="","",IFERROR(INDEX(Maniobras!$B$5:$B$504,MATCH(A1135,Maniobras!$A$5:$A$504,0)),""))</f>
        <v/>
      </c>
      <c r="C1135" t="str">
        <f t="shared" si="34"/>
        <v/>
      </c>
      <c r="D1135" t="str">
        <f>IF(A1135="","",IFERROR(INDEX(Maniobras!$D$5:$D$504,MATCH(A1135,Maniobras!$A$5:$A$504,0)),""))</f>
        <v/>
      </c>
      <c r="F1135" s="29" t="str">
        <f>IF(A1135="","",IFERROR(INDEX(Maniobras!$K$5:$K$504,MATCH(A1135,Maniobras!$A$5:$A$504,0)),""))</f>
        <v/>
      </c>
      <c r="G1135" s="29"/>
      <c r="H1135" s="29"/>
      <c r="I1135" s="29" t="str">
        <f t="shared" si="35"/>
        <v/>
      </c>
      <c r="K1135" s="30"/>
      <c r="M1135" t="str">
        <f>IF($A1135=Ficha!$B$3,COUNTIF($A$5:$A1135,Ficha!$B$3),"")</f>
        <v/>
      </c>
    </row>
    <row r="1136" spans="2:13" x14ac:dyDescent="0.3">
      <c r="B1136" s="30" t="str">
        <f>IF(A1136="","",IFERROR(INDEX(Maniobras!$B$5:$B$504,MATCH(A1136,Maniobras!$A$5:$A$504,0)),""))</f>
        <v/>
      </c>
      <c r="C1136" t="str">
        <f t="shared" si="34"/>
        <v/>
      </c>
      <c r="D1136" t="str">
        <f>IF(A1136="","",IFERROR(INDEX(Maniobras!$D$5:$D$504,MATCH(A1136,Maniobras!$A$5:$A$504,0)),""))</f>
        <v/>
      </c>
      <c r="F1136" s="29" t="str">
        <f>IF(A1136="","",IFERROR(INDEX(Maniobras!$K$5:$K$504,MATCH(A1136,Maniobras!$A$5:$A$504,0)),""))</f>
        <v/>
      </c>
      <c r="G1136" s="29"/>
      <c r="H1136" s="29"/>
      <c r="I1136" s="29" t="str">
        <f t="shared" si="35"/>
        <v/>
      </c>
      <c r="K1136" s="30"/>
      <c r="M1136" t="str">
        <f>IF($A1136=Ficha!$B$3,COUNTIF($A$5:$A1136,Ficha!$B$3),"")</f>
        <v/>
      </c>
    </row>
    <row r="1137" spans="2:13" x14ac:dyDescent="0.3">
      <c r="B1137" s="30" t="str">
        <f>IF(A1137="","",IFERROR(INDEX(Maniobras!$B$5:$B$504,MATCH(A1137,Maniobras!$A$5:$A$504,0)),""))</f>
        <v/>
      </c>
      <c r="C1137" t="str">
        <f t="shared" si="34"/>
        <v/>
      </c>
      <c r="D1137" t="str">
        <f>IF(A1137="","",IFERROR(INDEX(Maniobras!$D$5:$D$504,MATCH(A1137,Maniobras!$A$5:$A$504,0)),""))</f>
        <v/>
      </c>
      <c r="F1137" s="29" t="str">
        <f>IF(A1137="","",IFERROR(INDEX(Maniobras!$K$5:$K$504,MATCH(A1137,Maniobras!$A$5:$A$504,0)),""))</f>
        <v/>
      </c>
      <c r="G1137" s="29"/>
      <c r="H1137" s="29"/>
      <c r="I1137" s="29" t="str">
        <f t="shared" si="35"/>
        <v/>
      </c>
      <c r="K1137" s="30"/>
      <c r="M1137" t="str">
        <f>IF($A1137=Ficha!$B$3,COUNTIF($A$5:$A1137,Ficha!$B$3),"")</f>
        <v/>
      </c>
    </row>
    <row r="1138" spans="2:13" x14ac:dyDescent="0.3">
      <c r="B1138" s="30" t="str">
        <f>IF(A1138="","",IFERROR(INDEX(Maniobras!$B$5:$B$504,MATCH(A1138,Maniobras!$A$5:$A$504,0)),""))</f>
        <v/>
      </c>
      <c r="C1138" t="str">
        <f t="shared" si="34"/>
        <v/>
      </c>
      <c r="D1138" t="str">
        <f>IF(A1138="","",IFERROR(INDEX(Maniobras!$D$5:$D$504,MATCH(A1138,Maniobras!$A$5:$A$504,0)),""))</f>
        <v/>
      </c>
      <c r="F1138" s="29" t="str">
        <f>IF(A1138="","",IFERROR(INDEX(Maniobras!$K$5:$K$504,MATCH(A1138,Maniobras!$A$5:$A$504,0)),""))</f>
        <v/>
      </c>
      <c r="G1138" s="29"/>
      <c r="H1138" s="29"/>
      <c r="I1138" s="29" t="str">
        <f t="shared" si="35"/>
        <v/>
      </c>
      <c r="K1138" s="30"/>
      <c r="M1138" t="str">
        <f>IF($A1138=Ficha!$B$3,COUNTIF($A$5:$A1138,Ficha!$B$3),"")</f>
        <v/>
      </c>
    </row>
    <row r="1139" spans="2:13" x14ac:dyDescent="0.3">
      <c r="B1139" s="30" t="str">
        <f>IF(A1139="","",IFERROR(INDEX(Maniobras!$B$5:$B$504,MATCH(A1139,Maniobras!$A$5:$A$504,0)),""))</f>
        <v/>
      </c>
      <c r="C1139" t="str">
        <f t="shared" si="34"/>
        <v/>
      </c>
      <c r="D1139" t="str">
        <f>IF(A1139="","",IFERROR(INDEX(Maniobras!$D$5:$D$504,MATCH(A1139,Maniobras!$A$5:$A$504,0)),""))</f>
        <v/>
      </c>
      <c r="F1139" s="29" t="str">
        <f>IF(A1139="","",IFERROR(INDEX(Maniobras!$K$5:$K$504,MATCH(A1139,Maniobras!$A$5:$A$504,0)),""))</f>
        <v/>
      </c>
      <c r="G1139" s="29"/>
      <c r="H1139" s="29"/>
      <c r="I1139" s="29" t="str">
        <f t="shared" si="35"/>
        <v/>
      </c>
      <c r="K1139" s="30"/>
      <c r="M1139" t="str">
        <f>IF($A1139=Ficha!$B$3,COUNTIF($A$5:$A1139,Ficha!$B$3),"")</f>
        <v/>
      </c>
    </row>
    <row r="1140" spans="2:13" x14ac:dyDescent="0.3">
      <c r="B1140" s="30" t="str">
        <f>IF(A1140="","",IFERROR(INDEX(Maniobras!$B$5:$B$504,MATCH(A1140,Maniobras!$A$5:$A$504,0)),""))</f>
        <v/>
      </c>
      <c r="C1140" t="str">
        <f t="shared" si="34"/>
        <v/>
      </c>
      <c r="D1140" t="str">
        <f>IF(A1140="","",IFERROR(INDEX(Maniobras!$D$5:$D$504,MATCH(A1140,Maniobras!$A$5:$A$504,0)),""))</f>
        <v/>
      </c>
      <c r="F1140" s="29" t="str">
        <f>IF(A1140="","",IFERROR(INDEX(Maniobras!$K$5:$K$504,MATCH(A1140,Maniobras!$A$5:$A$504,0)),""))</f>
        <v/>
      </c>
      <c r="G1140" s="29"/>
      <c r="H1140" s="29"/>
      <c r="I1140" s="29" t="str">
        <f t="shared" si="35"/>
        <v/>
      </c>
      <c r="K1140" s="30"/>
      <c r="M1140" t="str">
        <f>IF($A1140=Ficha!$B$3,COUNTIF($A$5:$A1140,Ficha!$B$3),"")</f>
        <v/>
      </c>
    </row>
    <row r="1141" spans="2:13" x14ac:dyDescent="0.3">
      <c r="B1141" s="30" t="str">
        <f>IF(A1141="","",IFERROR(INDEX(Maniobras!$B$5:$B$504,MATCH(A1141,Maniobras!$A$5:$A$504,0)),""))</f>
        <v/>
      </c>
      <c r="C1141" t="str">
        <f t="shared" si="34"/>
        <v/>
      </c>
      <c r="D1141" t="str">
        <f>IF(A1141="","",IFERROR(INDEX(Maniobras!$D$5:$D$504,MATCH(A1141,Maniobras!$A$5:$A$504,0)),""))</f>
        <v/>
      </c>
      <c r="F1141" s="29" t="str">
        <f>IF(A1141="","",IFERROR(INDEX(Maniobras!$K$5:$K$504,MATCH(A1141,Maniobras!$A$5:$A$504,0)),""))</f>
        <v/>
      </c>
      <c r="G1141" s="29"/>
      <c r="H1141" s="29"/>
      <c r="I1141" s="29" t="str">
        <f t="shared" si="35"/>
        <v/>
      </c>
      <c r="K1141" s="30"/>
      <c r="M1141" t="str">
        <f>IF($A1141=Ficha!$B$3,COUNTIF($A$5:$A1141,Ficha!$B$3),"")</f>
        <v/>
      </c>
    </row>
    <row r="1142" spans="2:13" x14ac:dyDescent="0.3">
      <c r="B1142" s="30" t="str">
        <f>IF(A1142="","",IFERROR(INDEX(Maniobras!$B$5:$B$504,MATCH(A1142,Maniobras!$A$5:$A$504,0)),""))</f>
        <v/>
      </c>
      <c r="C1142" t="str">
        <f t="shared" si="34"/>
        <v/>
      </c>
      <c r="D1142" t="str">
        <f>IF(A1142="","",IFERROR(INDEX(Maniobras!$D$5:$D$504,MATCH(A1142,Maniobras!$A$5:$A$504,0)),""))</f>
        <v/>
      </c>
      <c r="F1142" s="29" t="str">
        <f>IF(A1142="","",IFERROR(INDEX(Maniobras!$K$5:$K$504,MATCH(A1142,Maniobras!$A$5:$A$504,0)),""))</f>
        <v/>
      </c>
      <c r="G1142" s="29"/>
      <c r="H1142" s="29"/>
      <c r="I1142" s="29" t="str">
        <f t="shared" si="35"/>
        <v/>
      </c>
      <c r="K1142" s="30"/>
      <c r="M1142" t="str">
        <f>IF($A1142=Ficha!$B$3,COUNTIF($A$5:$A1142,Ficha!$B$3),"")</f>
        <v/>
      </c>
    </row>
    <row r="1143" spans="2:13" x14ac:dyDescent="0.3">
      <c r="B1143" s="30" t="str">
        <f>IF(A1143="","",IFERROR(INDEX(Maniobras!$B$5:$B$504,MATCH(A1143,Maniobras!$A$5:$A$504,0)),""))</f>
        <v/>
      </c>
      <c r="C1143" t="str">
        <f t="shared" si="34"/>
        <v/>
      </c>
      <c r="D1143" t="str">
        <f>IF(A1143="","",IFERROR(INDEX(Maniobras!$D$5:$D$504,MATCH(A1143,Maniobras!$A$5:$A$504,0)),""))</f>
        <v/>
      </c>
      <c r="F1143" s="29" t="str">
        <f>IF(A1143="","",IFERROR(INDEX(Maniobras!$K$5:$K$504,MATCH(A1143,Maniobras!$A$5:$A$504,0)),""))</f>
        <v/>
      </c>
      <c r="G1143" s="29"/>
      <c r="H1143" s="29"/>
      <c r="I1143" s="29" t="str">
        <f t="shared" si="35"/>
        <v/>
      </c>
      <c r="K1143" s="30"/>
      <c r="M1143" t="str">
        <f>IF($A1143=Ficha!$B$3,COUNTIF($A$5:$A1143,Ficha!$B$3),"")</f>
        <v/>
      </c>
    </row>
    <row r="1144" spans="2:13" x14ac:dyDescent="0.3">
      <c r="B1144" s="30" t="str">
        <f>IF(A1144="","",IFERROR(INDEX(Maniobras!$B$5:$B$504,MATCH(A1144,Maniobras!$A$5:$A$504,0)),""))</f>
        <v/>
      </c>
      <c r="C1144" t="str">
        <f t="shared" si="34"/>
        <v/>
      </c>
      <c r="D1144" t="str">
        <f>IF(A1144="","",IFERROR(INDEX(Maniobras!$D$5:$D$504,MATCH(A1144,Maniobras!$A$5:$A$504,0)),""))</f>
        <v/>
      </c>
      <c r="F1144" s="29" t="str">
        <f>IF(A1144="","",IFERROR(INDEX(Maniobras!$K$5:$K$504,MATCH(A1144,Maniobras!$A$5:$A$504,0)),""))</f>
        <v/>
      </c>
      <c r="G1144" s="29"/>
      <c r="H1144" s="29"/>
      <c r="I1144" s="29" t="str">
        <f t="shared" si="35"/>
        <v/>
      </c>
      <c r="K1144" s="30"/>
      <c r="M1144" t="str">
        <f>IF($A1144=Ficha!$B$3,COUNTIF($A$5:$A1144,Ficha!$B$3),"")</f>
        <v/>
      </c>
    </row>
    <row r="1145" spans="2:13" x14ac:dyDescent="0.3">
      <c r="B1145" s="30" t="str">
        <f>IF(A1145="","",IFERROR(INDEX(Maniobras!$B$5:$B$504,MATCH(A1145,Maniobras!$A$5:$A$504,0)),""))</f>
        <v/>
      </c>
      <c r="C1145" t="str">
        <f t="shared" si="34"/>
        <v/>
      </c>
      <c r="D1145" t="str">
        <f>IF(A1145="","",IFERROR(INDEX(Maniobras!$D$5:$D$504,MATCH(A1145,Maniobras!$A$5:$A$504,0)),""))</f>
        <v/>
      </c>
      <c r="F1145" s="29" t="str">
        <f>IF(A1145="","",IFERROR(INDEX(Maniobras!$K$5:$K$504,MATCH(A1145,Maniobras!$A$5:$A$504,0)),""))</f>
        <v/>
      </c>
      <c r="G1145" s="29"/>
      <c r="H1145" s="29"/>
      <c r="I1145" s="29" t="str">
        <f t="shared" si="35"/>
        <v/>
      </c>
      <c r="K1145" s="30"/>
      <c r="M1145" t="str">
        <f>IF($A1145=Ficha!$B$3,COUNTIF($A$5:$A1145,Ficha!$B$3),"")</f>
        <v/>
      </c>
    </row>
    <row r="1146" spans="2:13" x14ac:dyDescent="0.3">
      <c r="B1146" s="30" t="str">
        <f>IF(A1146="","",IFERROR(INDEX(Maniobras!$B$5:$B$504,MATCH(A1146,Maniobras!$A$5:$A$504,0)),""))</f>
        <v/>
      </c>
      <c r="C1146" t="str">
        <f t="shared" si="34"/>
        <v/>
      </c>
      <c r="D1146" t="str">
        <f>IF(A1146="","",IFERROR(INDEX(Maniobras!$D$5:$D$504,MATCH(A1146,Maniobras!$A$5:$A$504,0)),""))</f>
        <v/>
      </c>
      <c r="F1146" s="29" t="str">
        <f>IF(A1146="","",IFERROR(INDEX(Maniobras!$K$5:$K$504,MATCH(A1146,Maniobras!$A$5:$A$504,0)),""))</f>
        <v/>
      </c>
      <c r="G1146" s="29"/>
      <c r="H1146" s="29"/>
      <c r="I1146" s="29" t="str">
        <f t="shared" si="35"/>
        <v/>
      </c>
      <c r="K1146" s="30"/>
      <c r="M1146" t="str">
        <f>IF($A1146=Ficha!$B$3,COUNTIF($A$5:$A1146,Ficha!$B$3),"")</f>
        <v/>
      </c>
    </row>
    <row r="1147" spans="2:13" x14ac:dyDescent="0.3">
      <c r="B1147" s="30" t="str">
        <f>IF(A1147="","",IFERROR(INDEX(Maniobras!$B$5:$B$504,MATCH(A1147,Maniobras!$A$5:$A$504,0)),""))</f>
        <v/>
      </c>
      <c r="C1147" t="str">
        <f t="shared" si="34"/>
        <v/>
      </c>
      <c r="D1147" t="str">
        <f>IF(A1147="","",IFERROR(INDEX(Maniobras!$D$5:$D$504,MATCH(A1147,Maniobras!$A$5:$A$504,0)),""))</f>
        <v/>
      </c>
      <c r="F1147" s="29" t="str">
        <f>IF(A1147="","",IFERROR(INDEX(Maniobras!$K$5:$K$504,MATCH(A1147,Maniobras!$A$5:$A$504,0)),""))</f>
        <v/>
      </c>
      <c r="G1147" s="29"/>
      <c r="H1147" s="29"/>
      <c r="I1147" s="29" t="str">
        <f t="shared" si="35"/>
        <v/>
      </c>
      <c r="K1147" s="30"/>
      <c r="M1147" t="str">
        <f>IF($A1147=Ficha!$B$3,COUNTIF($A$5:$A1147,Ficha!$B$3),"")</f>
        <v/>
      </c>
    </row>
    <row r="1148" spans="2:13" x14ac:dyDescent="0.3">
      <c r="B1148" s="30" t="str">
        <f>IF(A1148="","",IFERROR(INDEX(Maniobras!$B$5:$B$504,MATCH(A1148,Maniobras!$A$5:$A$504,0)),""))</f>
        <v/>
      </c>
      <c r="C1148" t="str">
        <f t="shared" si="34"/>
        <v/>
      </c>
      <c r="D1148" t="str">
        <f>IF(A1148="","",IFERROR(INDEX(Maniobras!$D$5:$D$504,MATCH(A1148,Maniobras!$A$5:$A$504,0)),""))</f>
        <v/>
      </c>
      <c r="F1148" s="29" t="str">
        <f>IF(A1148="","",IFERROR(INDEX(Maniobras!$K$5:$K$504,MATCH(A1148,Maniobras!$A$5:$A$504,0)),""))</f>
        <v/>
      </c>
      <c r="G1148" s="29"/>
      <c r="H1148" s="29"/>
      <c r="I1148" s="29" t="str">
        <f t="shared" si="35"/>
        <v/>
      </c>
      <c r="K1148" s="30"/>
      <c r="M1148" t="str">
        <f>IF($A1148=Ficha!$B$3,COUNTIF($A$5:$A1148,Ficha!$B$3),"")</f>
        <v/>
      </c>
    </row>
    <row r="1149" spans="2:13" x14ac:dyDescent="0.3">
      <c r="B1149" s="30" t="str">
        <f>IF(A1149="","",IFERROR(INDEX(Maniobras!$B$5:$B$504,MATCH(A1149,Maniobras!$A$5:$A$504,0)),""))</f>
        <v/>
      </c>
      <c r="C1149" t="str">
        <f t="shared" si="34"/>
        <v/>
      </c>
      <c r="D1149" t="str">
        <f>IF(A1149="","",IFERROR(INDEX(Maniobras!$D$5:$D$504,MATCH(A1149,Maniobras!$A$5:$A$504,0)),""))</f>
        <v/>
      </c>
      <c r="F1149" s="29" t="str">
        <f>IF(A1149="","",IFERROR(INDEX(Maniobras!$K$5:$K$504,MATCH(A1149,Maniobras!$A$5:$A$504,0)),""))</f>
        <v/>
      </c>
      <c r="G1149" s="29"/>
      <c r="H1149" s="29"/>
      <c r="I1149" s="29" t="str">
        <f t="shared" si="35"/>
        <v/>
      </c>
      <c r="K1149" s="30"/>
      <c r="M1149" t="str">
        <f>IF($A1149=Ficha!$B$3,COUNTIF($A$5:$A1149,Ficha!$B$3),"")</f>
        <v/>
      </c>
    </row>
    <row r="1150" spans="2:13" x14ac:dyDescent="0.3">
      <c r="B1150" s="30" t="str">
        <f>IF(A1150="","",IFERROR(INDEX(Maniobras!$B$5:$B$504,MATCH(A1150,Maniobras!$A$5:$A$504,0)),""))</f>
        <v/>
      </c>
      <c r="C1150" t="str">
        <f t="shared" si="34"/>
        <v/>
      </c>
      <c r="D1150" t="str">
        <f>IF(A1150="","",IFERROR(INDEX(Maniobras!$D$5:$D$504,MATCH(A1150,Maniobras!$A$5:$A$504,0)),""))</f>
        <v/>
      </c>
      <c r="F1150" s="29" t="str">
        <f>IF(A1150="","",IFERROR(INDEX(Maniobras!$K$5:$K$504,MATCH(A1150,Maniobras!$A$5:$A$504,0)),""))</f>
        <v/>
      </c>
      <c r="G1150" s="29"/>
      <c r="H1150" s="29"/>
      <c r="I1150" s="29" t="str">
        <f t="shared" si="35"/>
        <v/>
      </c>
      <c r="K1150" s="30"/>
      <c r="M1150" t="str">
        <f>IF($A1150=Ficha!$B$3,COUNTIF($A$5:$A1150,Ficha!$B$3),"")</f>
        <v/>
      </c>
    </row>
    <row r="1151" spans="2:13" x14ac:dyDescent="0.3">
      <c r="B1151" s="30" t="str">
        <f>IF(A1151="","",IFERROR(INDEX(Maniobras!$B$5:$B$504,MATCH(A1151,Maniobras!$A$5:$A$504,0)),""))</f>
        <v/>
      </c>
      <c r="C1151" t="str">
        <f t="shared" si="34"/>
        <v/>
      </c>
      <c r="D1151" t="str">
        <f>IF(A1151="","",IFERROR(INDEX(Maniobras!$D$5:$D$504,MATCH(A1151,Maniobras!$A$5:$A$504,0)),""))</f>
        <v/>
      </c>
      <c r="F1151" s="29" t="str">
        <f>IF(A1151="","",IFERROR(INDEX(Maniobras!$K$5:$K$504,MATCH(A1151,Maniobras!$A$5:$A$504,0)),""))</f>
        <v/>
      </c>
      <c r="G1151" s="29"/>
      <c r="H1151" s="29"/>
      <c r="I1151" s="29" t="str">
        <f t="shared" si="35"/>
        <v/>
      </c>
      <c r="K1151" s="30"/>
      <c r="M1151" t="str">
        <f>IF($A1151=Ficha!$B$3,COUNTIF($A$5:$A1151,Ficha!$B$3),"")</f>
        <v/>
      </c>
    </row>
    <row r="1152" spans="2:13" x14ac:dyDescent="0.3">
      <c r="B1152" s="30" t="str">
        <f>IF(A1152="","",IFERROR(INDEX(Maniobras!$B$5:$B$504,MATCH(A1152,Maniobras!$A$5:$A$504,0)),""))</f>
        <v/>
      </c>
      <c r="C1152" t="str">
        <f t="shared" si="34"/>
        <v/>
      </c>
      <c r="D1152" t="str">
        <f>IF(A1152="","",IFERROR(INDEX(Maniobras!$D$5:$D$504,MATCH(A1152,Maniobras!$A$5:$A$504,0)),""))</f>
        <v/>
      </c>
      <c r="F1152" s="29" t="str">
        <f>IF(A1152="","",IFERROR(INDEX(Maniobras!$K$5:$K$504,MATCH(A1152,Maniobras!$A$5:$A$504,0)),""))</f>
        <v/>
      </c>
      <c r="G1152" s="29"/>
      <c r="H1152" s="29"/>
      <c r="I1152" s="29" t="str">
        <f t="shared" si="35"/>
        <v/>
      </c>
      <c r="K1152" s="30"/>
      <c r="M1152" t="str">
        <f>IF($A1152=Ficha!$B$3,COUNTIF($A$5:$A1152,Ficha!$B$3),"")</f>
        <v/>
      </c>
    </row>
    <row r="1153" spans="2:13" x14ac:dyDescent="0.3">
      <c r="B1153" s="30" t="str">
        <f>IF(A1153="","",IFERROR(INDEX(Maniobras!$B$5:$B$504,MATCH(A1153,Maniobras!$A$5:$A$504,0)),""))</f>
        <v/>
      </c>
      <c r="C1153" t="str">
        <f t="shared" si="34"/>
        <v/>
      </c>
      <c r="D1153" t="str">
        <f>IF(A1153="","",IFERROR(INDEX(Maniobras!$D$5:$D$504,MATCH(A1153,Maniobras!$A$5:$A$504,0)),""))</f>
        <v/>
      </c>
      <c r="F1153" s="29" t="str">
        <f>IF(A1153="","",IFERROR(INDEX(Maniobras!$K$5:$K$504,MATCH(A1153,Maniobras!$A$5:$A$504,0)),""))</f>
        <v/>
      </c>
      <c r="G1153" s="29"/>
      <c r="H1153" s="29"/>
      <c r="I1153" s="29" t="str">
        <f t="shared" si="35"/>
        <v/>
      </c>
      <c r="K1153" s="30"/>
      <c r="M1153" t="str">
        <f>IF($A1153=Ficha!$B$3,COUNTIF($A$5:$A1153,Ficha!$B$3),"")</f>
        <v/>
      </c>
    </row>
    <row r="1154" spans="2:13" x14ac:dyDescent="0.3">
      <c r="B1154" s="30" t="str">
        <f>IF(A1154="","",IFERROR(INDEX(Maniobras!$B$5:$B$504,MATCH(A1154,Maniobras!$A$5:$A$504,0)),""))</f>
        <v/>
      </c>
      <c r="C1154" t="str">
        <f t="shared" si="34"/>
        <v/>
      </c>
      <c r="D1154" t="str">
        <f>IF(A1154="","",IFERROR(INDEX(Maniobras!$D$5:$D$504,MATCH(A1154,Maniobras!$A$5:$A$504,0)),""))</f>
        <v/>
      </c>
      <c r="F1154" s="29" t="str">
        <f>IF(A1154="","",IFERROR(INDEX(Maniobras!$K$5:$K$504,MATCH(A1154,Maniobras!$A$5:$A$504,0)),""))</f>
        <v/>
      </c>
      <c r="G1154" s="29"/>
      <c r="H1154" s="29"/>
      <c r="I1154" s="29" t="str">
        <f t="shared" si="35"/>
        <v/>
      </c>
      <c r="K1154" s="30"/>
      <c r="M1154" t="str">
        <f>IF($A1154=Ficha!$B$3,COUNTIF($A$5:$A1154,Ficha!$B$3),"")</f>
        <v/>
      </c>
    </row>
    <row r="1155" spans="2:13" x14ac:dyDescent="0.3">
      <c r="B1155" s="30" t="str">
        <f>IF(A1155="","",IFERROR(INDEX(Maniobras!$B$5:$B$504,MATCH(A1155,Maniobras!$A$5:$A$504,0)),""))</f>
        <v/>
      </c>
      <c r="C1155" t="str">
        <f t="shared" si="34"/>
        <v/>
      </c>
      <c r="D1155" t="str">
        <f>IF(A1155="","",IFERROR(INDEX(Maniobras!$D$5:$D$504,MATCH(A1155,Maniobras!$A$5:$A$504,0)),""))</f>
        <v/>
      </c>
      <c r="F1155" s="29" t="str">
        <f>IF(A1155="","",IFERROR(INDEX(Maniobras!$K$5:$K$504,MATCH(A1155,Maniobras!$A$5:$A$504,0)),""))</f>
        <v/>
      </c>
      <c r="G1155" s="29"/>
      <c r="H1155" s="29"/>
      <c r="I1155" s="29" t="str">
        <f t="shared" si="35"/>
        <v/>
      </c>
      <c r="K1155" s="30"/>
      <c r="M1155" t="str">
        <f>IF($A1155=Ficha!$B$3,COUNTIF($A$5:$A1155,Ficha!$B$3),"")</f>
        <v/>
      </c>
    </row>
    <row r="1156" spans="2:13" x14ac:dyDescent="0.3">
      <c r="B1156" s="30" t="str">
        <f>IF(A1156="","",IFERROR(INDEX(Maniobras!$B$5:$B$504,MATCH(A1156,Maniobras!$A$5:$A$504,0)),""))</f>
        <v/>
      </c>
      <c r="C1156" t="str">
        <f t="shared" si="34"/>
        <v/>
      </c>
      <c r="D1156" t="str">
        <f>IF(A1156="","",IFERROR(INDEX(Maniobras!$D$5:$D$504,MATCH(A1156,Maniobras!$A$5:$A$504,0)),""))</f>
        <v/>
      </c>
      <c r="F1156" s="29" t="str">
        <f>IF(A1156="","",IFERROR(INDEX(Maniobras!$K$5:$K$504,MATCH(A1156,Maniobras!$A$5:$A$504,0)),""))</f>
        <v/>
      </c>
      <c r="G1156" s="29"/>
      <c r="H1156" s="29"/>
      <c r="I1156" s="29" t="str">
        <f t="shared" si="35"/>
        <v/>
      </c>
      <c r="K1156" s="30"/>
      <c r="M1156" t="str">
        <f>IF($A1156=Ficha!$B$3,COUNTIF($A$5:$A1156,Ficha!$B$3),"")</f>
        <v/>
      </c>
    </row>
    <row r="1157" spans="2:13" x14ac:dyDescent="0.3">
      <c r="B1157" s="30" t="str">
        <f>IF(A1157="","",IFERROR(INDEX(Maniobras!$B$5:$B$504,MATCH(A1157,Maniobras!$A$5:$A$504,0)),""))</f>
        <v/>
      </c>
      <c r="C1157" t="str">
        <f t="shared" ref="C1157:C1220" si="36">IF(B1157="","",TEXT(B1157,"yyyy-mm"))</f>
        <v/>
      </c>
      <c r="D1157" t="str">
        <f>IF(A1157="","",IFERROR(INDEX(Maniobras!$D$5:$D$504,MATCH(A1157,Maniobras!$A$5:$A$504,0)),""))</f>
        <v/>
      </c>
      <c r="F1157" s="29" t="str">
        <f>IF(A1157="","",IFERROR(INDEX(Maniobras!$K$5:$K$504,MATCH(A1157,Maniobras!$A$5:$A$504,0)),""))</f>
        <v/>
      </c>
      <c r="G1157" s="29"/>
      <c r="H1157" s="29"/>
      <c r="I1157" s="29" t="str">
        <f t="shared" ref="I1157:I1220" si="37">IF(G1157="","",G1157+N(H1157))</f>
        <v/>
      </c>
      <c r="K1157" s="30"/>
      <c r="M1157" t="str">
        <f>IF($A1157=Ficha!$B$3,COUNTIF($A$5:$A1157,Ficha!$B$3),"")</f>
        <v/>
      </c>
    </row>
    <row r="1158" spans="2:13" x14ac:dyDescent="0.3">
      <c r="B1158" s="30" t="str">
        <f>IF(A1158="","",IFERROR(INDEX(Maniobras!$B$5:$B$504,MATCH(A1158,Maniobras!$A$5:$A$504,0)),""))</f>
        <v/>
      </c>
      <c r="C1158" t="str">
        <f t="shared" si="36"/>
        <v/>
      </c>
      <c r="D1158" t="str">
        <f>IF(A1158="","",IFERROR(INDEX(Maniobras!$D$5:$D$504,MATCH(A1158,Maniobras!$A$5:$A$504,0)),""))</f>
        <v/>
      </c>
      <c r="F1158" s="29" t="str">
        <f>IF(A1158="","",IFERROR(INDEX(Maniobras!$K$5:$K$504,MATCH(A1158,Maniobras!$A$5:$A$504,0)),""))</f>
        <v/>
      </c>
      <c r="G1158" s="29"/>
      <c r="H1158" s="29"/>
      <c r="I1158" s="29" t="str">
        <f t="shared" si="37"/>
        <v/>
      </c>
      <c r="K1158" s="30"/>
      <c r="M1158" t="str">
        <f>IF($A1158=Ficha!$B$3,COUNTIF($A$5:$A1158,Ficha!$B$3),"")</f>
        <v/>
      </c>
    </row>
    <row r="1159" spans="2:13" x14ac:dyDescent="0.3">
      <c r="B1159" s="30" t="str">
        <f>IF(A1159="","",IFERROR(INDEX(Maniobras!$B$5:$B$504,MATCH(A1159,Maniobras!$A$5:$A$504,0)),""))</f>
        <v/>
      </c>
      <c r="C1159" t="str">
        <f t="shared" si="36"/>
        <v/>
      </c>
      <c r="D1159" t="str">
        <f>IF(A1159="","",IFERROR(INDEX(Maniobras!$D$5:$D$504,MATCH(A1159,Maniobras!$A$5:$A$504,0)),""))</f>
        <v/>
      </c>
      <c r="F1159" s="29" t="str">
        <f>IF(A1159="","",IFERROR(INDEX(Maniobras!$K$5:$K$504,MATCH(A1159,Maniobras!$A$5:$A$504,0)),""))</f>
        <v/>
      </c>
      <c r="G1159" s="29"/>
      <c r="H1159" s="29"/>
      <c r="I1159" s="29" t="str">
        <f t="shared" si="37"/>
        <v/>
      </c>
      <c r="K1159" s="30"/>
      <c r="M1159" t="str">
        <f>IF($A1159=Ficha!$B$3,COUNTIF($A$5:$A1159,Ficha!$B$3),"")</f>
        <v/>
      </c>
    </row>
    <row r="1160" spans="2:13" x14ac:dyDescent="0.3">
      <c r="B1160" s="30" t="str">
        <f>IF(A1160="","",IFERROR(INDEX(Maniobras!$B$5:$B$504,MATCH(A1160,Maniobras!$A$5:$A$504,0)),""))</f>
        <v/>
      </c>
      <c r="C1160" t="str">
        <f t="shared" si="36"/>
        <v/>
      </c>
      <c r="D1160" t="str">
        <f>IF(A1160="","",IFERROR(INDEX(Maniobras!$D$5:$D$504,MATCH(A1160,Maniobras!$A$5:$A$504,0)),""))</f>
        <v/>
      </c>
      <c r="F1160" s="29" t="str">
        <f>IF(A1160="","",IFERROR(INDEX(Maniobras!$K$5:$K$504,MATCH(A1160,Maniobras!$A$5:$A$504,0)),""))</f>
        <v/>
      </c>
      <c r="G1160" s="29"/>
      <c r="H1160" s="29"/>
      <c r="I1160" s="29" t="str">
        <f t="shared" si="37"/>
        <v/>
      </c>
      <c r="K1160" s="30"/>
      <c r="M1160" t="str">
        <f>IF($A1160=Ficha!$B$3,COUNTIF($A$5:$A1160,Ficha!$B$3),"")</f>
        <v/>
      </c>
    </row>
    <row r="1161" spans="2:13" x14ac:dyDescent="0.3">
      <c r="B1161" s="30" t="str">
        <f>IF(A1161="","",IFERROR(INDEX(Maniobras!$B$5:$B$504,MATCH(A1161,Maniobras!$A$5:$A$504,0)),""))</f>
        <v/>
      </c>
      <c r="C1161" t="str">
        <f t="shared" si="36"/>
        <v/>
      </c>
      <c r="D1161" t="str">
        <f>IF(A1161="","",IFERROR(INDEX(Maniobras!$D$5:$D$504,MATCH(A1161,Maniobras!$A$5:$A$504,0)),""))</f>
        <v/>
      </c>
      <c r="F1161" s="29" t="str">
        <f>IF(A1161="","",IFERROR(INDEX(Maniobras!$K$5:$K$504,MATCH(A1161,Maniobras!$A$5:$A$504,0)),""))</f>
        <v/>
      </c>
      <c r="G1161" s="29"/>
      <c r="H1161" s="29"/>
      <c r="I1161" s="29" t="str">
        <f t="shared" si="37"/>
        <v/>
      </c>
      <c r="K1161" s="30"/>
      <c r="M1161" t="str">
        <f>IF($A1161=Ficha!$B$3,COUNTIF($A$5:$A1161,Ficha!$B$3),"")</f>
        <v/>
      </c>
    </row>
    <row r="1162" spans="2:13" x14ac:dyDescent="0.3">
      <c r="B1162" s="30" t="str">
        <f>IF(A1162="","",IFERROR(INDEX(Maniobras!$B$5:$B$504,MATCH(A1162,Maniobras!$A$5:$A$504,0)),""))</f>
        <v/>
      </c>
      <c r="C1162" t="str">
        <f t="shared" si="36"/>
        <v/>
      </c>
      <c r="D1162" t="str">
        <f>IF(A1162="","",IFERROR(INDEX(Maniobras!$D$5:$D$504,MATCH(A1162,Maniobras!$A$5:$A$504,0)),""))</f>
        <v/>
      </c>
      <c r="F1162" s="29" t="str">
        <f>IF(A1162="","",IFERROR(INDEX(Maniobras!$K$5:$K$504,MATCH(A1162,Maniobras!$A$5:$A$504,0)),""))</f>
        <v/>
      </c>
      <c r="G1162" s="29"/>
      <c r="H1162" s="29"/>
      <c r="I1162" s="29" t="str">
        <f t="shared" si="37"/>
        <v/>
      </c>
      <c r="K1162" s="30"/>
      <c r="M1162" t="str">
        <f>IF($A1162=Ficha!$B$3,COUNTIF($A$5:$A1162,Ficha!$B$3),"")</f>
        <v/>
      </c>
    </row>
    <row r="1163" spans="2:13" x14ac:dyDescent="0.3">
      <c r="B1163" s="30" t="str">
        <f>IF(A1163="","",IFERROR(INDEX(Maniobras!$B$5:$B$504,MATCH(A1163,Maniobras!$A$5:$A$504,0)),""))</f>
        <v/>
      </c>
      <c r="C1163" t="str">
        <f t="shared" si="36"/>
        <v/>
      </c>
      <c r="D1163" t="str">
        <f>IF(A1163="","",IFERROR(INDEX(Maniobras!$D$5:$D$504,MATCH(A1163,Maniobras!$A$5:$A$504,0)),""))</f>
        <v/>
      </c>
      <c r="F1163" s="29" t="str">
        <f>IF(A1163="","",IFERROR(INDEX(Maniobras!$K$5:$K$504,MATCH(A1163,Maniobras!$A$5:$A$504,0)),""))</f>
        <v/>
      </c>
      <c r="G1163" s="29"/>
      <c r="H1163" s="29"/>
      <c r="I1163" s="29" t="str">
        <f t="shared" si="37"/>
        <v/>
      </c>
      <c r="K1163" s="30"/>
      <c r="M1163" t="str">
        <f>IF($A1163=Ficha!$B$3,COUNTIF($A$5:$A1163,Ficha!$B$3),"")</f>
        <v/>
      </c>
    </row>
    <row r="1164" spans="2:13" x14ac:dyDescent="0.3">
      <c r="B1164" s="30" t="str">
        <f>IF(A1164="","",IFERROR(INDEX(Maniobras!$B$5:$B$504,MATCH(A1164,Maniobras!$A$5:$A$504,0)),""))</f>
        <v/>
      </c>
      <c r="C1164" t="str">
        <f t="shared" si="36"/>
        <v/>
      </c>
      <c r="D1164" t="str">
        <f>IF(A1164="","",IFERROR(INDEX(Maniobras!$D$5:$D$504,MATCH(A1164,Maniobras!$A$5:$A$504,0)),""))</f>
        <v/>
      </c>
      <c r="F1164" s="29" t="str">
        <f>IF(A1164="","",IFERROR(INDEX(Maniobras!$K$5:$K$504,MATCH(A1164,Maniobras!$A$5:$A$504,0)),""))</f>
        <v/>
      </c>
      <c r="G1164" s="29"/>
      <c r="H1164" s="29"/>
      <c r="I1164" s="29" t="str">
        <f t="shared" si="37"/>
        <v/>
      </c>
      <c r="K1164" s="30"/>
      <c r="M1164" t="str">
        <f>IF($A1164=Ficha!$B$3,COUNTIF($A$5:$A1164,Ficha!$B$3),"")</f>
        <v/>
      </c>
    </row>
    <row r="1165" spans="2:13" x14ac:dyDescent="0.3">
      <c r="B1165" s="30" t="str">
        <f>IF(A1165="","",IFERROR(INDEX(Maniobras!$B$5:$B$504,MATCH(A1165,Maniobras!$A$5:$A$504,0)),""))</f>
        <v/>
      </c>
      <c r="C1165" t="str">
        <f t="shared" si="36"/>
        <v/>
      </c>
      <c r="D1165" t="str">
        <f>IF(A1165="","",IFERROR(INDEX(Maniobras!$D$5:$D$504,MATCH(A1165,Maniobras!$A$5:$A$504,0)),""))</f>
        <v/>
      </c>
      <c r="F1165" s="29" t="str">
        <f>IF(A1165="","",IFERROR(INDEX(Maniobras!$K$5:$K$504,MATCH(A1165,Maniobras!$A$5:$A$504,0)),""))</f>
        <v/>
      </c>
      <c r="G1165" s="29"/>
      <c r="H1165" s="29"/>
      <c r="I1165" s="29" t="str">
        <f t="shared" si="37"/>
        <v/>
      </c>
      <c r="K1165" s="30"/>
      <c r="M1165" t="str">
        <f>IF($A1165=Ficha!$B$3,COUNTIF($A$5:$A1165,Ficha!$B$3),"")</f>
        <v/>
      </c>
    </row>
    <row r="1166" spans="2:13" x14ac:dyDescent="0.3">
      <c r="B1166" s="30" t="str">
        <f>IF(A1166="","",IFERROR(INDEX(Maniobras!$B$5:$B$504,MATCH(A1166,Maniobras!$A$5:$A$504,0)),""))</f>
        <v/>
      </c>
      <c r="C1166" t="str">
        <f t="shared" si="36"/>
        <v/>
      </c>
      <c r="D1166" t="str">
        <f>IF(A1166="","",IFERROR(INDEX(Maniobras!$D$5:$D$504,MATCH(A1166,Maniobras!$A$5:$A$504,0)),""))</f>
        <v/>
      </c>
      <c r="F1166" s="29" t="str">
        <f>IF(A1166="","",IFERROR(INDEX(Maniobras!$K$5:$K$504,MATCH(A1166,Maniobras!$A$5:$A$504,0)),""))</f>
        <v/>
      </c>
      <c r="G1166" s="29"/>
      <c r="H1166" s="29"/>
      <c r="I1166" s="29" t="str">
        <f t="shared" si="37"/>
        <v/>
      </c>
      <c r="K1166" s="30"/>
      <c r="M1166" t="str">
        <f>IF($A1166=Ficha!$B$3,COUNTIF($A$5:$A1166,Ficha!$B$3),"")</f>
        <v/>
      </c>
    </row>
    <row r="1167" spans="2:13" x14ac:dyDescent="0.3">
      <c r="B1167" s="30" t="str">
        <f>IF(A1167="","",IFERROR(INDEX(Maniobras!$B$5:$B$504,MATCH(A1167,Maniobras!$A$5:$A$504,0)),""))</f>
        <v/>
      </c>
      <c r="C1167" t="str">
        <f t="shared" si="36"/>
        <v/>
      </c>
      <c r="D1167" t="str">
        <f>IF(A1167="","",IFERROR(INDEX(Maniobras!$D$5:$D$504,MATCH(A1167,Maniobras!$A$5:$A$504,0)),""))</f>
        <v/>
      </c>
      <c r="F1167" s="29" t="str">
        <f>IF(A1167="","",IFERROR(INDEX(Maniobras!$K$5:$K$504,MATCH(A1167,Maniobras!$A$5:$A$504,0)),""))</f>
        <v/>
      </c>
      <c r="G1167" s="29"/>
      <c r="H1167" s="29"/>
      <c r="I1167" s="29" t="str">
        <f t="shared" si="37"/>
        <v/>
      </c>
      <c r="K1167" s="30"/>
      <c r="M1167" t="str">
        <f>IF($A1167=Ficha!$B$3,COUNTIF($A$5:$A1167,Ficha!$B$3),"")</f>
        <v/>
      </c>
    </row>
    <row r="1168" spans="2:13" x14ac:dyDescent="0.3">
      <c r="B1168" s="30" t="str">
        <f>IF(A1168="","",IFERROR(INDEX(Maniobras!$B$5:$B$504,MATCH(A1168,Maniobras!$A$5:$A$504,0)),""))</f>
        <v/>
      </c>
      <c r="C1168" t="str">
        <f t="shared" si="36"/>
        <v/>
      </c>
      <c r="D1168" t="str">
        <f>IF(A1168="","",IFERROR(INDEX(Maniobras!$D$5:$D$504,MATCH(A1168,Maniobras!$A$5:$A$504,0)),""))</f>
        <v/>
      </c>
      <c r="F1168" s="29" t="str">
        <f>IF(A1168="","",IFERROR(INDEX(Maniobras!$K$5:$K$504,MATCH(A1168,Maniobras!$A$5:$A$504,0)),""))</f>
        <v/>
      </c>
      <c r="G1168" s="29"/>
      <c r="H1168" s="29"/>
      <c r="I1168" s="29" t="str">
        <f t="shared" si="37"/>
        <v/>
      </c>
      <c r="K1168" s="30"/>
      <c r="M1168" t="str">
        <f>IF($A1168=Ficha!$B$3,COUNTIF($A$5:$A1168,Ficha!$B$3),"")</f>
        <v/>
      </c>
    </row>
    <row r="1169" spans="2:13" x14ac:dyDescent="0.3">
      <c r="B1169" s="30" t="str">
        <f>IF(A1169="","",IFERROR(INDEX(Maniobras!$B$5:$B$504,MATCH(A1169,Maniobras!$A$5:$A$504,0)),""))</f>
        <v/>
      </c>
      <c r="C1169" t="str">
        <f t="shared" si="36"/>
        <v/>
      </c>
      <c r="D1169" t="str">
        <f>IF(A1169="","",IFERROR(INDEX(Maniobras!$D$5:$D$504,MATCH(A1169,Maniobras!$A$5:$A$504,0)),""))</f>
        <v/>
      </c>
      <c r="F1169" s="29" t="str">
        <f>IF(A1169="","",IFERROR(INDEX(Maniobras!$K$5:$K$504,MATCH(A1169,Maniobras!$A$5:$A$504,0)),""))</f>
        <v/>
      </c>
      <c r="G1169" s="29"/>
      <c r="H1169" s="29"/>
      <c r="I1169" s="29" t="str">
        <f t="shared" si="37"/>
        <v/>
      </c>
      <c r="K1169" s="30"/>
      <c r="M1169" t="str">
        <f>IF($A1169=Ficha!$B$3,COUNTIF($A$5:$A1169,Ficha!$B$3),"")</f>
        <v/>
      </c>
    </row>
    <row r="1170" spans="2:13" x14ac:dyDescent="0.3">
      <c r="B1170" s="30" t="str">
        <f>IF(A1170="","",IFERROR(INDEX(Maniobras!$B$5:$B$504,MATCH(A1170,Maniobras!$A$5:$A$504,0)),""))</f>
        <v/>
      </c>
      <c r="C1170" t="str">
        <f t="shared" si="36"/>
        <v/>
      </c>
      <c r="D1170" t="str">
        <f>IF(A1170="","",IFERROR(INDEX(Maniobras!$D$5:$D$504,MATCH(A1170,Maniobras!$A$5:$A$504,0)),""))</f>
        <v/>
      </c>
      <c r="F1170" s="29" t="str">
        <f>IF(A1170="","",IFERROR(INDEX(Maniobras!$K$5:$K$504,MATCH(A1170,Maniobras!$A$5:$A$504,0)),""))</f>
        <v/>
      </c>
      <c r="G1170" s="29"/>
      <c r="H1170" s="29"/>
      <c r="I1170" s="29" t="str">
        <f t="shared" si="37"/>
        <v/>
      </c>
      <c r="K1170" s="30"/>
      <c r="M1170" t="str">
        <f>IF($A1170=Ficha!$B$3,COUNTIF($A$5:$A1170,Ficha!$B$3),"")</f>
        <v/>
      </c>
    </row>
    <row r="1171" spans="2:13" x14ac:dyDescent="0.3">
      <c r="B1171" s="30" t="str">
        <f>IF(A1171="","",IFERROR(INDEX(Maniobras!$B$5:$B$504,MATCH(A1171,Maniobras!$A$5:$A$504,0)),""))</f>
        <v/>
      </c>
      <c r="C1171" t="str">
        <f t="shared" si="36"/>
        <v/>
      </c>
      <c r="D1171" t="str">
        <f>IF(A1171="","",IFERROR(INDEX(Maniobras!$D$5:$D$504,MATCH(A1171,Maniobras!$A$5:$A$504,0)),""))</f>
        <v/>
      </c>
      <c r="F1171" s="29" t="str">
        <f>IF(A1171="","",IFERROR(INDEX(Maniobras!$K$5:$K$504,MATCH(A1171,Maniobras!$A$5:$A$504,0)),""))</f>
        <v/>
      </c>
      <c r="G1171" s="29"/>
      <c r="H1171" s="29"/>
      <c r="I1171" s="29" t="str">
        <f t="shared" si="37"/>
        <v/>
      </c>
      <c r="K1171" s="30"/>
      <c r="M1171" t="str">
        <f>IF($A1171=Ficha!$B$3,COUNTIF($A$5:$A1171,Ficha!$B$3),"")</f>
        <v/>
      </c>
    </row>
    <row r="1172" spans="2:13" x14ac:dyDescent="0.3">
      <c r="B1172" s="30" t="str">
        <f>IF(A1172="","",IFERROR(INDEX(Maniobras!$B$5:$B$504,MATCH(A1172,Maniobras!$A$5:$A$504,0)),""))</f>
        <v/>
      </c>
      <c r="C1172" t="str">
        <f t="shared" si="36"/>
        <v/>
      </c>
      <c r="D1172" t="str">
        <f>IF(A1172="","",IFERROR(INDEX(Maniobras!$D$5:$D$504,MATCH(A1172,Maniobras!$A$5:$A$504,0)),""))</f>
        <v/>
      </c>
      <c r="F1172" s="29" t="str">
        <f>IF(A1172="","",IFERROR(INDEX(Maniobras!$K$5:$K$504,MATCH(A1172,Maniobras!$A$5:$A$504,0)),""))</f>
        <v/>
      </c>
      <c r="G1172" s="29"/>
      <c r="H1172" s="29"/>
      <c r="I1172" s="29" t="str">
        <f t="shared" si="37"/>
        <v/>
      </c>
      <c r="K1172" s="30"/>
      <c r="M1172" t="str">
        <f>IF($A1172=Ficha!$B$3,COUNTIF($A$5:$A1172,Ficha!$B$3),"")</f>
        <v/>
      </c>
    </row>
    <row r="1173" spans="2:13" x14ac:dyDescent="0.3">
      <c r="B1173" s="30" t="str">
        <f>IF(A1173="","",IFERROR(INDEX(Maniobras!$B$5:$B$504,MATCH(A1173,Maniobras!$A$5:$A$504,0)),""))</f>
        <v/>
      </c>
      <c r="C1173" t="str">
        <f t="shared" si="36"/>
        <v/>
      </c>
      <c r="D1173" t="str">
        <f>IF(A1173="","",IFERROR(INDEX(Maniobras!$D$5:$D$504,MATCH(A1173,Maniobras!$A$5:$A$504,0)),""))</f>
        <v/>
      </c>
      <c r="F1173" s="29" t="str">
        <f>IF(A1173="","",IFERROR(INDEX(Maniobras!$K$5:$K$504,MATCH(A1173,Maniobras!$A$5:$A$504,0)),""))</f>
        <v/>
      </c>
      <c r="G1173" s="29"/>
      <c r="H1173" s="29"/>
      <c r="I1173" s="29" t="str">
        <f t="shared" si="37"/>
        <v/>
      </c>
      <c r="K1173" s="30"/>
      <c r="M1173" t="str">
        <f>IF($A1173=Ficha!$B$3,COUNTIF($A$5:$A1173,Ficha!$B$3),"")</f>
        <v/>
      </c>
    </row>
    <row r="1174" spans="2:13" x14ac:dyDescent="0.3">
      <c r="B1174" s="30" t="str">
        <f>IF(A1174="","",IFERROR(INDEX(Maniobras!$B$5:$B$504,MATCH(A1174,Maniobras!$A$5:$A$504,0)),""))</f>
        <v/>
      </c>
      <c r="C1174" t="str">
        <f t="shared" si="36"/>
        <v/>
      </c>
      <c r="D1174" t="str">
        <f>IF(A1174="","",IFERROR(INDEX(Maniobras!$D$5:$D$504,MATCH(A1174,Maniobras!$A$5:$A$504,0)),""))</f>
        <v/>
      </c>
      <c r="F1174" s="29" t="str">
        <f>IF(A1174="","",IFERROR(INDEX(Maniobras!$K$5:$K$504,MATCH(A1174,Maniobras!$A$5:$A$504,0)),""))</f>
        <v/>
      </c>
      <c r="G1174" s="29"/>
      <c r="H1174" s="29"/>
      <c r="I1174" s="29" t="str">
        <f t="shared" si="37"/>
        <v/>
      </c>
      <c r="K1174" s="30"/>
      <c r="M1174" t="str">
        <f>IF($A1174=Ficha!$B$3,COUNTIF($A$5:$A1174,Ficha!$B$3),"")</f>
        <v/>
      </c>
    </row>
    <row r="1175" spans="2:13" x14ac:dyDescent="0.3">
      <c r="B1175" s="30" t="str">
        <f>IF(A1175="","",IFERROR(INDEX(Maniobras!$B$5:$B$504,MATCH(A1175,Maniobras!$A$5:$A$504,0)),""))</f>
        <v/>
      </c>
      <c r="C1175" t="str">
        <f t="shared" si="36"/>
        <v/>
      </c>
      <c r="D1175" t="str">
        <f>IF(A1175="","",IFERROR(INDEX(Maniobras!$D$5:$D$504,MATCH(A1175,Maniobras!$A$5:$A$504,0)),""))</f>
        <v/>
      </c>
      <c r="F1175" s="29" t="str">
        <f>IF(A1175="","",IFERROR(INDEX(Maniobras!$K$5:$K$504,MATCH(A1175,Maniobras!$A$5:$A$504,0)),""))</f>
        <v/>
      </c>
      <c r="G1175" s="29"/>
      <c r="H1175" s="29"/>
      <c r="I1175" s="29" t="str">
        <f t="shared" si="37"/>
        <v/>
      </c>
      <c r="K1175" s="30"/>
      <c r="M1175" t="str">
        <f>IF($A1175=Ficha!$B$3,COUNTIF($A$5:$A1175,Ficha!$B$3),"")</f>
        <v/>
      </c>
    </row>
    <row r="1176" spans="2:13" x14ac:dyDescent="0.3">
      <c r="B1176" s="30" t="str">
        <f>IF(A1176="","",IFERROR(INDEX(Maniobras!$B$5:$B$504,MATCH(A1176,Maniobras!$A$5:$A$504,0)),""))</f>
        <v/>
      </c>
      <c r="C1176" t="str">
        <f t="shared" si="36"/>
        <v/>
      </c>
      <c r="D1176" t="str">
        <f>IF(A1176="","",IFERROR(INDEX(Maniobras!$D$5:$D$504,MATCH(A1176,Maniobras!$A$5:$A$504,0)),""))</f>
        <v/>
      </c>
      <c r="F1176" s="29" t="str">
        <f>IF(A1176="","",IFERROR(INDEX(Maniobras!$K$5:$K$504,MATCH(A1176,Maniobras!$A$5:$A$504,0)),""))</f>
        <v/>
      </c>
      <c r="G1176" s="29"/>
      <c r="H1176" s="29"/>
      <c r="I1176" s="29" t="str">
        <f t="shared" si="37"/>
        <v/>
      </c>
      <c r="K1176" s="30"/>
      <c r="M1176" t="str">
        <f>IF($A1176=Ficha!$B$3,COUNTIF($A$5:$A1176,Ficha!$B$3),"")</f>
        <v/>
      </c>
    </row>
    <row r="1177" spans="2:13" x14ac:dyDescent="0.3">
      <c r="B1177" s="30" t="str">
        <f>IF(A1177="","",IFERROR(INDEX(Maniobras!$B$5:$B$504,MATCH(A1177,Maniobras!$A$5:$A$504,0)),""))</f>
        <v/>
      </c>
      <c r="C1177" t="str">
        <f t="shared" si="36"/>
        <v/>
      </c>
      <c r="D1177" t="str">
        <f>IF(A1177="","",IFERROR(INDEX(Maniobras!$D$5:$D$504,MATCH(A1177,Maniobras!$A$5:$A$504,0)),""))</f>
        <v/>
      </c>
      <c r="F1177" s="29" t="str">
        <f>IF(A1177="","",IFERROR(INDEX(Maniobras!$K$5:$K$504,MATCH(A1177,Maniobras!$A$5:$A$504,0)),""))</f>
        <v/>
      </c>
      <c r="G1177" s="29"/>
      <c r="H1177" s="29"/>
      <c r="I1177" s="29" t="str">
        <f t="shared" si="37"/>
        <v/>
      </c>
      <c r="K1177" s="30"/>
      <c r="M1177" t="str">
        <f>IF($A1177=Ficha!$B$3,COUNTIF($A$5:$A1177,Ficha!$B$3),"")</f>
        <v/>
      </c>
    </row>
    <row r="1178" spans="2:13" x14ac:dyDescent="0.3">
      <c r="B1178" s="30" t="str">
        <f>IF(A1178="","",IFERROR(INDEX(Maniobras!$B$5:$B$504,MATCH(A1178,Maniobras!$A$5:$A$504,0)),""))</f>
        <v/>
      </c>
      <c r="C1178" t="str">
        <f t="shared" si="36"/>
        <v/>
      </c>
      <c r="D1178" t="str">
        <f>IF(A1178="","",IFERROR(INDEX(Maniobras!$D$5:$D$504,MATCH(A1178,Maniobras!$A$5:$A$504,0)),""))</f>
        <v/>
      </c>
      <c r="F1178" s="29" t="str">
        <f>IF(A1178="","",IFERROR(INDEX(Maniobras!$K$5:$K$504,MATCH(A1178,Maniobras!$A$5:$A$504,0)),""))</f>
        <v/>
      </c>
      <c r="G1178" s="29"/>
      <c r="H1178" s="29"/>
      <c r="I1178" s="29" t="str">
        <f t="shared" si="37"/>
        <v/>
      </c>
      <c r="K1178" s="30"/>
      <c r="M1178" t="str">
        <f>IF($A1178=Ficha!$B$3,COUNTIF($A$5:$A1178,Ficha!$B$3),"")</f>
        <v/>
      </c>
    </row>
    <row r="1179" spans="2:13" x14ac:dyDescent="0.3">
      <c r="B1179" s="30" t="str">
        <f>IF(A1179="","",IFERROR(INDEX(Maniobras!$B$5:$B$504,MATCH(A1179,Maniobras!$A$5:$A$504,0)),""))</f>
        <v/>
      </c>
      <c r="C1179" t="str">
        <f t="shared" si="36"/>
        <v/>
      </c>
      <c r="D1179" t="str">
        <f>IF(A1179="","",IFERROR(INDEX(Maniobras!$D$5:$D$504,MATCH(A1179,Maniobras!$A$5:$A$504,0)),""))</f>
        <v/>
      </c>
      <c r="F1179" s="29" t="str">
        <f>IF(A1179="","",IFERROR(INDEX(Maniobras!$K$5:$K$504,MATCH(A1179,Maniobras!$A$5:$A$504,0)),""))</f>
        <v/>
      </c>
      <c r="G1179" s="29"/>
      <c r="H1179" s="29"/>
      <c r="I1179" s="29" t="str">
        <f t="shared" si="37"/>
        <v/>
      </c>
      <c r="K1179" s="30"/>
      <c r="M1179" t="str">
        <f>IF($A1179=Ficha!$B$3,COUNTIF($A$5:$A1179,Ficha!$B$3),"")</f>
        <v/>
      </c>
    </row>
    <row r="1180" spans="2:13" x14ac:dyDescent="0.3">
      <c r="B1180" s="30" t="str">
        <f>IF(A1180="","",IFERROR(INDEX(Maniobras!$B$5:$B$504,MATCH(A1180,Maniobras!$A$5:$A$504,0)),""))</f>
        <v/>
      </c>
      <c r="C1180" t="str">
        <f t="shared" si="36"/>
        <v/>
      </c>
      <c r="D1180" t="str">
        <f>IF(A1180="","",IFERROR(INDEX(Maniobras!$D$5:$D$504,MATCH(A1180,Maniobras!$A$5:$A$504,0)),""))</f>
        <v/>
      </c>
      <c r="F1180" s="29" t="str">
        <f>IF(A1180="","",IFERROR(INDEX(Maniobras!$K$5:$K$504,MATCH(A1180,Maniobras!$A$5:$A$504,0)),""))</f>
        <v/>
      </c>
      <c r="G1180" s="29"/>
      <c r="H1180" s="29"/>
      <c r="I1180" s="29" t="str">
        <f t="shared" si="37"/>
        <v/>
      </c>
      <c r="K1180" s="30"/>
      <c r="M1180" t="str">
        <f>IF($A1180=Ficha!$B$3,COUNTIF($A$5:$A1180,Ficha!$B$3),"")</f>
        <v/>
      </c>
    </row>
    <row r="1181" spans="2:13" x14ac:dyDescent="0.3">
      <c r="B1181" s="30" t="str">
        <f>IF(A1181="","",IFERROR(INDEX(Maniobras!$B$5:$B$504,MATCH(A1181,Maniobras!$A$5:$A$504,0)),""))</f>
        <v/>
      </c>
      <c r="C1181" t="str">
        <f t="shared" si="36"/>
        <v/>
      </c>
      <c r="D1181" t="str">
        <f>IF(A1181="","",IFERROR(INDEX(Maniobras!$D$5:$D$504,MATCH(A1181,Maniobras!$A$5:$A$504,0)),""))</f>
        <v/>
      </c>
      <c r="F1181" s="29" t="str">
        <f>IF(A1181="","",IFERROR(INDEX(Maniobras!$K$5:$K$504,MATCH(A1181,Maniobras!$A$5:$A$504,0)),""))</f>
        <v/>
      </c>
      <c r="G1181" s="29"/>
      <c r="H1181" s="29"/>
      <c r="I1181" s="29" t="str">
        <f t="shared" si="37"/>
        <v/>
      </c>
      <c r="K1181" s="30"/>
      <c r="M1181" t="str">
        <f>IF($A1181=Ficha!$B$3,COUNTIF($A$5:$A1181,Ficha!$B$3),"")</f>
        <v/>
      </c>
    </row>
    <row r="1182" spans="2:13" x14ac:dyDescent="0.3">
      <c r="B1182" s="30" t="str">
        <f>IF(A1182="","",IFERROR(INDEX(Maniobras!$B$5:$B$504,MATCH(A1182,Maniobras!$A$5:$A$504,0)),""))</f>
        <v/>
      </c>
      <c r="C1182" t="str">
        <f t="shared" si="36"/>
        <v/>
      </c>
      <c r="D1182" t="str">
        <f>IF(A1182="","",IFERROR(INDEX(Maniobras!$D$5:$D$504,MATCH(A1182,Maniobras!$A$5:$A$504,0)),""))</f>
        <v/>
      </c>
      <c r="F1182" s="29" t="str">
        <f>IF(A1182="","",IFERROR(INDEX(Maniobras!$K$5:$K$504,MATCH(A1182,Maniobras!$A$5:$A$504,0)),""))</f>
        <v/>
      </c>
      <c r="G1182" s="29"/>
      <c r="H1182" s="29"/>
      <c r="I1182" s="29" t="str">
        <f t="shared" si="37"/>
        <v/>
      </c>
      <c r="K1182" s="30"/>
      <c r="M1182" t="str">
        <f>IF($A1182=Ficha!$B$3,COUNTIF($A$5:$A1182,Ficha!$B$3),"")</f>
        <v/>
      </c>
    </row>
    <row r="1183" spans="2:13" x14ac:dyDescent="0.3">
      <c r="B1183" s="30" t="str">
        <f>IF(A1183="","",IFERROR(INDEX(Maniobras!$B$5:$B$504,MATCH(A1183,Maniobras!$A$5:$A$504,0)),""))</f>
        <v/>
      </c>
      <c r="C1183" t="str">
        <f t="shared" si="36"/>
        <v/>
      </c>
      <c r="D1183" t="str">
        <f>IF(A1183="","",IFERROR(INDEX(Maniobras!$D$5:$D$504,MATCH(A1183,Maniobras!$A$5:$A$504,0)),""))</f>
        <v/>
      </c>
      <c r="F1183" s="29" t="str">
        <f>IF(A1183="","",IFERROR(INDEX(Maniobras!$K$5:$K$504,MATCH(A1183,Maniobras!$A$5:$A$504,0)),""))</f>
        <v/>
      </c>
      <c r="G1183" s="29"/>
      <c r="H1183" s="29"/>
      <c r="I1183" s="29" t="str">
        <f t="shared" si="37"/>
        <v/>
      </c>
      <c r="K1183" s="30"/>
      <c r="M1183" t="str">
        <f>IF($A1183=Ficha!$B$3,COUNTIF($A$5:$A1183,Ficha!$B$3),"")</f>
        <v/>
      </c>
    </row>
    <row r="1184" spans="2:13" x14ac:dyDescent="0.3">
      <c r="B1184" s="30" t="str">
        <f>IF(A1184="","",IFERROR(INDEX(Maniobras!$B$5:$B$504,MATCH(A1184,Maniobras!$A$5:$A$504,0)),""))</f>
        <v/>
      </c>
      <c r="C1184" t="str">
        <f t="shared" si="36"/>
        <v/>
      </c>
      <c r="D1184" t="str">
        <f>IF(A1184="","",IFERROR(INDEX(Maniobras!$D$5:$D$504,MATCH(A1184,Maniobras!$A$5:$A$504,0)),""))</f>
        <v/>
      </c>
      <c r="F1184" s="29" t="str">
        <f>IF(A1184="","",IFERROR(INDEX(Maniobras!$K$5:$K$504,MATCH(A1184,Maniobras!$A$5:$A$504,0)),""))</f>
        <v/>
      </c>
      <c r="G1184" s="29"/>
      <c r="H1184" s="29"/>
      <c r="I1184" s="29" t="str">
        <f t="shared" si="37"/>
        <v/>
      </c>
      <c r="K1184" s="30"/>
      <c r="M1184" t="str">
        <f>IF($A1184=Ficha!$B$3,COUNTIF($A$5:$A1184,Ficha!$B$3),"")</f>
        <v/>
      </c>
    </row>
    <row r="1185" spans="2:13" x14ac:dyDescent="0.3">
      <c r="B1185" s="30" t="str">
        <f>IF(A1185="","",IFERROR(INDEX(Maniobras!$B$5:$B$504,MATCH(A1185,Maniobras!$A$5:$A$504,0)),""))</f>
        <v/>
      </c>
      <c r="C1185" t="str">
        <f t="shared" si="36"/>
        <v/>
      </c>
      <c r="D1185" t="str">
        <f>IF(A1185="","",IFERROR(INDEX(Maniobras!$D$5:$D$504,MATCH(A1185,Maniobras!$A$5:$A$504,0)),""))</f>
        <v/>
      </c>
      <c r="F1185" s="29" t="str">
        <f>IF(A1185="","",IFERROR(INDEX(Maniobras!$K$5:$K$504,MATCH(A1185,Maniobras!$A$5:$A$504,0)),""))</f>
        <v/>
      </c>
      <c r="G1185" s="29"/>
      <c r="H1185" s="29"/>
      <c r="I1185" s="29" t="str">
        <f t="shared" si="37"/>
        <v/>
      </c>
      <c r="K1185" s="30"/>
      <c r="M1185" t="str">
        <f>IF($A1185=Ficha!$B$3,COUNTIF($A$5:$A1185,Ficha!$B$3),"")</f>
        <v/>
      </c>
    </row>
    <row r="1186" spans="2:13" x14ac:dyDescent="0.3">
      <c r="B1186" s="30" t="str">
        <f>IF(A1186="","",IFERROR(INDEX(Maniobras!$B$5:$B$504,MATCH(A1186,Maniobras!$A$5:$A$504,0)),""))</f>
        <v/>
      </c>
      <c r="C1186" t="str">
        <f t="shared" si="36"/>
        <v/>
      </c>
      <c r="D1186" t="str">
        <f>IF(A1186="","",IFERROR(INDEX(Maniobras!$D$5:$D$504,MATCH(A1186,Maniobras!$A$5:$A$504,0)),""))</f>
        <v/>
      </c>
      <c r="F1186" s="29" t="str">
        <f>IF(A1186="","",IFERROR(INDEX(Maniobras!$K$5:$K$504,MATCH(A1186,Maniobras!$A$5:$A$504,0)),""))</f>
        <v/>
      </c>
      <c r="G1186" s="29"/>
      <c r="H1186" s="29"/>
      <c r="I1186" s="29" t="str">
        <f t="shared" si="37"/>
        <v/>
      </c>
      <c r="K1186" s="30"/>
      <c r="M1186" t="str">
        <f>IF($A1186=Ficha!$B$3,COUNTIF($A$5:$A1186,Ficha!$B$3),"")</f>
        <v/>
      </c>
    </row>
    <row r="1187" spans="2:13" x14ac:dyDescent="0.3">
      <c r="B1187" s="30" t="str">
        <f>IF(A1187="","",IFERROR(INDEX(Maniobras!$B$5:$B$504,MATCH(A1187,Maniobras!$A$5:$A$504,0)),""))</f>
        <v/>
      </c>
      <c r="C1187" t="str">
        <f t="shared" si="36"/>
        <v/>
      </c>
      <c r="D1187" t="str">
        <f>IF(A1187="","",IFERROR(INDEX(Maniobras!$D$5:$D$504,MATCH(A1187,Maniobras!$A$5:$A$504,0)),""))</f>
        <v/>
      </c>
      <c r="F1187" s="29" t="str">
        <f>IF(A1187="","",IFERROR(INDEX(Maniobras!$K$5:$K$504,MATCH(A1187,Maniobras!$A$5:$A$504,0)),""))</f>
        <v/>
      </c>
      <c r="G1187" s="29"/>
      <c r="H1187" s="29"/>
      <c r="I1187" s="29" t="str">
        <f t="shared" si="37"/>
        <v/>
      </c>
      <c r="K1187" s="30"/>
      <c r="M1187" t="str">
        <f>IF($A1187=Ficha!$B$3,COUNTIF($A$5:$A1187,Ficha!$B$3),"")</f>
        <v/>
      </c>
    </row>
    <row r="1188" spans="2:13" x14ac:dyDescent="0.3">
      <c r="B1188" s="30" t="str">
        <f>IF(A1188="","",IFERROR(INDEX(Maniobras!$B$5:$B$504,MATCH(A1188,Maniobras!$A$5:$A$504,0)),""))</f>
        <v/>
      </c>
      <c r="C1188" t="str">
        <f t="shared" si="36"/>
        <v/>
      </c>
      <c r="D1188" t="str">
        <f>IF(A1188="","",IFERROR(INDEX(Maniobras!$D$5:$D$504,MATCH(A1188,Maniobras!$A$5:$A$504,0)),""))</f>
        <v/>
      </c>
      <c r="F1188" s="29" t="str">
        <f>IF(A1188="","",IFERROR(INDEX(Maniobras!$K$5:$K$504,MATCH(A1188,Maniobras!$A$5:$A$504,0)),""))</f>
        <v/>
      </c>
      <c r="G1188" s="29"/>
      <c r="H1188" s="29"/>
      <c r="I1188" s="29" t="str">
        <f t="shared" si="37"/>
        <v/>
      </c>
      <c r="K1188" s="30"/>
      <c r="M1188" t="str">
        <f>IF($A1188=Ficha!$B$3,COUNTIF($A$5:$A1188,Ficha!$B$3),"")</f>
        <v/>
      </c>
    </row>
    <row r="1189" spans="2:13" x14ac:dyDescent="0.3">
      <c r="B1189" s="30" t="str">
        <f>IF(A1189="","",IFERROR(INDEX(Maniobras!$B$5:$B$504,MATCH(A1189,Maniobras!$A$5:$A$504,0)),""))</f>
        <v/>
      </c>
      <c r="C1189" t="str">
        <f t="shared" si="36"/>
        <v/>
      </c>
      <c r="D1189" t="str">
        <f>IF(A1189="","",IFERROR(INDEX(Maniobras!$D$5:$D$504,MATCH(A1189,Maniobras!$A$5:$A$504,0)),""))</f>
        <v/>
      </c>
      <c r="F1189" s="29" t="str">
        <f>IF(A1189="","",IFERROR(INDEX(Maniobras!$K$5:$K$504,MATCH(A1189,Maniobras!$A$5:$A$504,0)),""))</f>
        <v/>
      </c>
      <c r="G1189" s="29"/>
      <c r="H1189" s="29"/>
      <c r="I1189" s="29" t="str">
        <f t="shared" si="37"/>
        <v/>
      </c>
      <c r="K1189" s="30"/>
      <c r="M1189" t="str">
        <f>IF($A1189=Ficha!$B$3,COUNTIF($A$5:$A1189,Ficha!$B$3),"")</f>
        <v/>
      </c>
    </row>
    <row r="1190" spans="2:13" x14ac:dyDescent="0.3">
      <c r="B1190" s="30" t="str">
        <f>IF(A1190="","",IFERROR(INDEX(Maniobras!$B$5:$B$504,MATCH(A1190,Maniobras!$A$5:$A$504,0)),""))</f>
        <v/>
      </c>
      <c r="C1190" t="str">
        <f t="shared" si="36"/>
        <v/>
      </c>
      <c r="D1190" t="str">
        <f>IF(A1190="","",IFERROR(INDEX(Maniobras!$D$5:$D$504,MATCH(A1190,Maniobras!$A$5:$A$504,0)),""))</f>
        <v/>
      </c>
      <c r="F1190" s="29" t="str">
        <f>IF(A1190="","",IFERROR(INDEX(Maniobras!$K$5:$K$504,MATCH(A1190,Maniobras!$A$5:$A$504,0)),""))</f>
        <v/>
      </c>
      <c r="G1190" s="29"/>
      <c r="H1190" s="29"/>
      <c r="I1190" s="29" t="str">
        <f t="shared" si="37"/>
        <v/>
      </c>
      <c r="K1190" s="30"/>
      <c r="M1190" t="str">
        <f>IF($A1190=Ficha!$B$3,COUNTIF($A$5:$A1190,Ficha!$B$3),"")</f>
        <v/>
      </c>
    </row>
    <row r="1191" spans="2:13" x14ac:dyDescent="0.3">
      <c r="B1191" s="30" t="str">
        <f>IF(A1191="","",IFERROR(INDEX(Maniobras!$B$5:$B$504,MATCH(A1191,Maniobras!$A$5:$A$504,0)),""))</f>
        <v/>
      </c>
      <c r="C1191" t="str">
        <f t="shared" si="36"/>
        <v/>
      </c>
      <c r="D1191" t="str">
        <f>IF(A1191="","",IFERROR(INDEX(Maniobras!$D$5:$D$504,MATCH(A1191,Maniobras!$A$5:$A$504,0)),""))</f>
        <v/>
      </c>
      <c r="F1191" s="29" t="str">
        <f>IF(A1191="","",IFERROR(INDEX(Maniobras!$K$5:$K$504,MATCH(A1191,Maniobras!$A$5:$A$504,0)),""))</f>
        <v/>
      </c>
      <c r="G1191" s="29"/>
      <c r="H1191" s="29"/>
      <c r="I1191" s="29" t="str">
        <f t="shared" si="37"/>
        <v/>
      </c>
      <c r="K1191" s="30"/>
      <c r="M1191" t="str">
        <f>IF($A1191=Ficha!$B$3,COUNTIF($A$5:$A1191,Ficha!$B$3),"")</f>
        <v/>
      </c>
    </row>
    <row r="1192" spans="2:13" x14ac:dyDescent="0.3">
      <c r="B1192" s="30" t="str">
        <f>IF(A1192="","",IFERROR(INDEX(Maniobras!$B$5:$B$504,MATCH(A1192,Maniobras!$A$5:$A$504,0)),""))</f>
        <v/>
      </c>
      <c r="C1192" t="str">
        <f t="shared" si="36"/>
        <v/>
      </c>
      <c r="D1192" t="str">
        <f>IF(A1192="","",IFERROR(INDEX(Maniobras!$D$5:$D$504,MATCH(A1192,Maniobras!$A$5:$A$504,0)),""))</f>
        <v/>
      </c>
      <c r="F1192" s="29" t="str">
        <f>IF(A1192="","",IFERROR(INDEX(Maniobras!$K$5:$K$504,MATCH(A1192,Maniobras!$A$5:$A$504,0)),""))</f>
        <v/>
      </c>
      <c r="G1192" s="29"/>
      <c r="H1192" s="29"/>
      <c r="I1192" s="29" t="str">
        <f t="shared" si="37"/>
        <v/>
      </c>
      <c r="K1192" s="30"/>
      <c r="M1192" t="str">
        <f>IF($A1192=Ficha!$B$3,COUNTIF($A$5:$A1192,Ficha!$B$3),"")</f>
        <v/>
      </c>
    </row>
    <row r="1193" spans="2:13" x14ac:dyDescent="0.3">
      <c r="B1193" s="30" t="str">
        <f>IF(A1193="","",IFERROR(INDEX(Maniobras!$B$5:$B$504,MATCH(A1193,Maniobras!$A$5:$A$504,0)),""))</f>
        <v/>
      </c>
      <c r="C1193" t="str">
        <f t="shared" si="36"/>
        <v/>
      </c>
      <c r="D1193" t="str">
        <f>IF(A1193="","",IFERROR(INDEX(Maniobras!$D$5:$D$504,MATCH(A1193,Maniobras!$A$5:$A$504,0)),""))</f>
        <v/>
      </c>
      <c r="F1193" s="29" t="str">
        <f>IF(A1193="","",IFERROR(INDEX(Maniobras!$K$5:$K$504,MATCH(A1193,Maniobras!$A$5:$A$504,0)),""))</f>
        <v/>
      </c>
      <c r="G1193" s="29"/>
      <c r="H1193" s="29"/>
      <c r="I1193" s="29" t="str">
        <f t="shared" si="37"/>
        <v/>
      </c>
      <c r="K1193" s="30"/>
      <c r="M1193" t="str">
        <f>IF($A1193=Ficha!$B$3,COUNTIF($A$5:$A1193,Ficha!$B$3),"")</f>
        <v/>
      </c>
    </row>
    <row r="1194" spans="2:13" x14ac:dyDescent="0.3">
      <c r="B1194" s="30" t="str">
        <f>IF(A1194="","",IFERROR(INDEX(Maniobras!$B$5:$B$504,MATCH(A1194,Maniobras!$A$5:$A$504,0)),""))</f>
        <v/>
      </c>
      <c r="C1194" t="str">
        <f t="shared" si="36"/>
        <v/>
      </c>
      <c r="D1194" t="str">
        <f>IF(A1194="","",IFERROR(INDEX(Maniobras!$D$5:$D$504,MATCH(A1194,Maniobras!$A$5:$A$504,0)),""))</f>
        <v/>
      </c>
      <c r="F1194" s="29" t="str">
        <f>IF(A1194="","",IFERROR(INDEX(Maniobras!$K$5:$K$504,MATCH(A1194,Maniobras!$A$5:$A$504,0)),""))</f>
        <v/>
      </c>
      <c r="G1194" s="29"/>
      <c r="H1194" s="29"/>
      <c r="I1194" s="29" t="str">
        <f t="shared" si="37"/>
        <v/>
      </c>
      <c r="K1194" s="30"/>
      <c r="M1194" t="str">
        <f>IF($A1194=Ficha!$B$3,COUNTIF($A$5:$A1194,Ficha!$B$3),"")</f>
        <v/>
      </c>
    </row>
    <row r="1195" spans="2:13" x14ac:dyDescent="0.3">
      <c r="B1195" s="30" t="str">
        <f>IF(A1195="","",IFERROR(INDEX(Maniobras!$B$5:$B$504,MATCH(A1195,Maniobras!$A$5:$A$504,0)),""))</f>
        <v/>
      </c>
      <c r="C1195" t="str">
        <f t="shared" si="36"/>
        <v/>
      </c>
      <c r="D1195" t="str">
        <f>IF(A1195="","",IFERROR(INDEX(Maniobras!$D$5:$D$504,MATCH(A1195,Maniobras!$A$5:$A$504,0)),""))</f>
        <v/>
      </c>
      <c r="F1195" s="29" t="str">
        <f>IF(A1195="","",IFERROR(INDEX(Maniobras!$K$5:$K$504,MATCH(A1195,Maniobras!$A$5:$A$504,0)),""))</f>
        <v/>
      </c>
      <c r="G1195" s="29"/>
      <c r="H1195" s="29"/>
      <c r="I1195" s="29" t="str">
        <f t="shared" si="37"/>
        <v/>
      </c>
      <c r="K1195" s="30"/>
      <c r="M1195" t="str">
        <f>IF($A1195=Ficha!$B$3,COUNTIF($A$5:$A1195,Ficha!$B$3),"")</f>
        <v/>
      </c>
    </row>
    <row r="1196" spans="2:13" x14ac:dyDescent="0.3">
      <c r="B1196" s="30" t="str">
        <f>IF(A1196="","",IFERROR(INDEX(Maniobras!$B$5:$B$504,MATCH(A1196,Maniobras!$A$5:$A$504,0)),""))</f>
        <v/>
      </c>
      <c r="C1196" t="str">
        <f t="shared" si="36"/>
        <v/>
      </c>
      <c r="D1196" t="str">
        <f>IF(A1196="","",IFERROR(INDEX(Maniobras!$D$5:$D$504,MATCH(A1196,Maniobras!$A$5:$A$504,0)),""))</f>
        <v/>
      </c>
      <c r="F1196" s="29" t="str">
        <f>IF(A1196="","",IFERROR(INDEX(Maniobras!$K$5:$K$504,MATCH(A1196,Maniobras!$A$5:$A$504,0)),""))</f>
        <v/>
      </c>
      <c r="G1196" s="29"/>
      <c r="H1196" s="29"/>
      <c r="I1196" s="29" t="str">
        <f t="shared" si="37"/>
        <v/>
      </c>
      <c r="K1196" s="30"/>
      <c r="M1196" t="str">
        <f>IF($A1196=Ficha!$B$3,COUNTIF($A$5:$A1196,Ficha!$B$3),"")</f>
        <v/>
      </c>
    </row>
    <row r="1197" spans="2:13" x14ac:dyDescent="0.3">
      <c r="B1197" s="30" t="str">
        <f>IF(A1197="","",IFERROR(INDEX(Maniobras!$B$5:$B$504,MATCH(A1197,Maniobras!$A$5:$A$504,0)),""))</f>
        <v/>
      </c>
      <c r="C1197" t="str">
        <f t="shared" si="36"/>
        <v/>
      </c>
      <c r="D1197" t="str">
        <f>IF(A1197="","",IFERROR(INDEX(Maniobras!$D$5:$D$504,MATCH(A1197,Maniobras!$A$5:$A$504,0)),""))</f>
        <v/>
      </c>
      <c r="F1197" s="29" t="str">
        <f>IF(A1197="","",IFERROR(INDEX(Maniobras!$K$5:$K$504,MATCH(A1197,Maniobras!$A$5:$A$504,0)),""))</f>
        <v/>
      </c>
      <c r="G1197" s="29"/>
      <c r="H1197" s="29"/>
      <c r="I1197" s="29" t="str">
        <f t="shared" si="37"/>
        <v/>
      </c>
      <c r="K1197" s="30"/>
      <c r="M1197" t="str">
        <f>IF($A1197=Ficha!$B$3,COUNTIF($A$5:$A1197,Ficha!$B$3),"")</f>
        <v/>
      </c>
    </row>
    <row r="1198" spans="2:13" x14ac:dyDescent="0.3">
      <c r="B1198" s="30" t="str">
        <f>IF(A1198="","",IFERROR(INDEX(Maniobras!$B$5:$B$504,MATCH(A1198,Maniobras!$A$5:$A$504,0)),""))</f>
        <v/>
      </c>
      <c r="C1198" t="str">
        <f t="shared" si="36"/>
        <v/>
      </c>
      <c r="D1198" t="str">
        <f>IF(A1198="","",IFERROR(INDEX(Maniobras!$D$5:$D$504,MATCH(A1198,Maniobras!$A$5:$A$504,0)),""))</f>
        <v/>
      </c>
      <c r="F1198" s="29" t="str">
        <f>IF(A1198="","",IFERROR(INDEX(Maniobras!$K$5:$K$504,MATCH(A1198,Maniobras!$A$5:$A$504,0)),""))</f>
        <v/>
      </c>
      <c r="G1198" s="29"/>
      <c r="H1198" s="29"/>
      <c r="I1198" s="29" t="str">
        <f t="shared" si="37"/>
        <v/>
      </c>
      <c r="K1198" s="30"/>
      <c r="M1198" t="str">
        <f>IF($A1198=Ficha!$B$3,COUNTIF($A$5:$A1198,Ficha!$B$3),"")</f>
        <v/>
      </c>
    </row>
    <row r="1199" spans="2:13" x14ac:dyDescent="0.3">
      <c r="B1199" s="30" t="str">
        <f>IF(A1199="","",IFERROR(INDEX(Maniobras!$B$5:$B$504,MATCH(A1199,Maniobras!$A$5:$A$504,0)),""))</f>
        <v/>
      </c>
      <c r="C1199" t="str">
        <f t="shared" si="36"/>
        <v/>
      </c>
      <c r="D1199" t="str">
        <f>IF(A1199="","",IFERROR(INDEX(Maniobras!$D$5:$D$504,MATCH(A1199,Maniobras!$A$5:$A$504,0)),""))</f>
        <v/>
      </c>
      <c r="F1199" s="29" t="str">
        <f>IF(A1199="","",IFERROR(INDEX(Maniobras!$K$5:$K$504,MATCH(A1199,Maniobras!$A$5:$A$504,0)),""))</f>
        <v/>
      </c>
      <c r="G1199" s="29"/>
      <c r="H1199" s="29"/>
      <c r="I1199" s="29" t="str">
        <f t="shared" si="37"/>
        <v/>
      </c>
      <c r="K1199" s="30"/>
      <c r="M1199" t="str">
        <f>IF($A1199=Ficha!$B$3,COUNTIF($A$5:$A1199,Ficha!$B$3),"")</f>
        <v/>
      </c>
    </row>
    <row r="1200" spans="2:13" x14ac:dyDescent="0.3">
      <c r="B1200" s="30" t="str">
        <f>IF(A1200="","",IFERROR(INDEX(Maniobras!$B$5:$B$504,MATCH(A1200,Maniobras!$A$5:$A$504,0)),""))</f>
        <v/>
      </c>
      <c r="C1200" t="str">
        <f t="shared" si="36"/>
        <v/>
      </c>
      <c r="D1200" t="str">
        <f>IF(A1200="","",IFERROR(INDEX(Maniobras!$D$5:$D$504,MATCH(A1200,Maniobras!$A$5:$A$504,0)),""))</f>
        <v/>
      </c>
      <c r="F1200" s="29" t="str">
        <f>IF(A1200="","",IFERROR(INDEX(Maniobras!$K$5:$K$504,MATCH(A1200,Maniobras!$A$5:$A$504,0)),""))</f>
        <v/>
      </c>
      <c r="G1200" s="29"/>
      <c r="H1200" s="29"/>
      <c r="I1200" s="29" t="str">
        <f t="shared" si="37"/>
        <v/>
      </c>
      <c r="K1200" s="30"/>
      <c r="M1200" t="str">
        <f>IF($A1200=Ficha!$B$3,COUNTIF($A$5:$A1200,Ficha!$B$3),"")</f>
        <v/>
      </c>
    </row>
    <row r="1201" spans="2:13" x14ac:dyDescent="0.3">
      <c r="B1201" s="30" t="str">
        <f>IF(A1201="","",IFERROR(INDEX(Maniobras!$B$5:$B$504,MATCH(A1201,Maniobras!$A$5:$A$504,0)),""))</f>
        <v/>
      </c>
      <c r="C1201" t="str">
        <f t="shared" si="36"/>
        <v/>
      </c>
      <c r="D1201" t="str">
        <f>IF(A1201="","",IFERROR(INDEX(Maniobras!$D$5:$D$504,MATCH(A1201,Maniobras!$A$5:$A$504,0)),""))</f>
        <v/>
      </c>
      <c r="F1201" s="29" t="str">
        <f>IF(A1201="","",IFERROR(INDEX(Maniobras!$K$5:$K$504,MATCH(A1201,Maniobras!$A$5:$A$504,0)),""))</f>
        <v/>
      </c>
      <c r="G1201" s="29"/>
      <c r="H1201" s="29"/>
      <c r="I1201" s="29" t="str">
        <f t="shared" si="37"/>
        <v/>
      </c>
      <c r="K1201" s="30"/>
      <c r="M1201" t="str">
        <f>IF($A1201=Ficha!$B$3,COUNTIF($A$5:$A1201,Ficha!$B$3),"")</f>
        <v/>
      </c>
    </row>
    <row r="1202" spans="2:13" x14ac:dyDescent="0.3">
      <c r="B1202" s="30" t="str">
        <f>IF(A1202="","",IFERROR(INDEX(Maniobras!$B$5:$B$504,MATCH(A1202,Maniobras!$A$5:$A$504,0)),""))</f>
        <v/>
      </c>
      <c r="C1202" t="str">
        <f t="shared" si="36"/>
        <v/>
      </c>
      <c r="D1202" t="str">
        <f>IF(A1202="","",IFERROR(INDEX(Maniobras!$D$5:$D$504,MATCH(A1202,Maniobras!$A$5:$A$504,0)),""))</f>
        <v/>
      </c>
      <c r="F1202" s="29" t="str">
        <f>IF(A1202="","",IFERROR(INDEX(Maniobras!$K$5:$K$504,MATCH(A1202,Maniobras!$A$5:$A$504,0)),""))</f>
        <v/>
      </c>
      <c r="G1202" s="29"/>
      <c r="H1202" s="29"/>
      <c r="I1202" s="29" t="str">
        <f t="shared" si="37"/>
        <v/>
      </c>
      <c r="K1202" s="30"/>
      <c r="M1202" t="str">
        <f>IF($A1202=Ficha!$B$3,COUNTIF($A$5:$A1202,Ficha!$B$3),"")</f>
        <v/>
      </c>
    </row>
    <row r="1203" spans="2:13" x14ac:dyDescent="0.3">
      <c r="B1203" s="30" t="str">
        <f>IF(A1203="","",IFERROR(INDEX(Maniobras!$B$5:$B$504,MATCH(A1203,Maniobras!$A$5:$A$504,0)),""))</f>
        <v/>
      </c>
      <c r="C1203" t="str">
        <f t="shared" si="36"/>
        <v/>
      </c>
      <c r="D1203" t="str">
        <f>IF(A1203="","",IFERROR(INDEX(Maniobras!$D$5:$D$504,MATCH(A1203,Maniobras!$A$5:$A$504,0)),""))</f>
        <v/>
      </c>
      <c r="F1203" s="29" t="str">
        <f>IF(A1203="","",IFERROR(INDEX(Maniobras!$K$5:$K$504,MATCH(A1203,Maniobras!$A$5:$A$504,0)),""))</f>
        <v/>
      </c>
      <c r="G1203" s="29"/>
      <c r="H1203" s="29"/>
      <c r="I1203" s="29" t="str">
        <f t="shared" si="37"/>
        <v/>
      </c>
      <c r="K1203" s="30"/>
      <c r="M1203" t="str">
        <f>IF($A1203=Ficha!$B$3,COUNTIF($A$5:$A1203,Ficha!$B$3),"")</f>
        <v/>
      </c>
    </row>
    <row r="1204" spans="2:13" x14ac:dyDescent="0.3">
      <c r="B1204" s="30" t="str">
        <f>IF(A1204="","",IFERROR(INDEX(Maniobras!$B$5:$B$504,MATCH(A1204,Maniobras!$A$5:$A$504,0)),""))</f>
        <v/>
      </c>
      <c r="C1204" t="str">
        <f t="shared" si="36"/>
        <v/>
      </c>
      <c r="D1204" t="str">
        <f>IF(A1204="","",IFERROR(INDEX(Maniobras!$D$5:$D$504,MATCH(A1204,Maniobras!$A$5:$A$504,0)),""))</f>
        <v/>
      </c>
      <c r="F1204" s="29" t="str">
        <f>IF(A1204="","",IFERROR(INDEX(Maniobras!$K$5:$K$504,MATCH(A1204,Maniobras!$A$5:$A$504,0)),""))</f>
        <v/>
      </c>
      <c r="G1204" s="29"/>
      <c r="H1204" s="29"/>
      <c r="I1204" s="29" t="str">
        <f t="shared" si="37"/>
        <v/>
      </c>
      <c r="K1204" s="30"/>
      <c r="M1204" t="str">
        <f>IF($A1204=Ficha!$B$3,COUNTIF($A$5:$A1204,Ficha!$B$3),"")</f>
        <v/>
      </c>
    </row>
    <row r="1205" spans="2:13" x14ac:dyDescent="0.3">
      <c r="B1205" s="30" t="str">
        <f>IF(A1205="","",IFERROR(INDEX(Maniobras!$B$5:$B$504,MATCH(A1205,Maniobras!$A$5:$A$504,0)),""))</f>
        <v/>
      </c>
      <c r="C1205" t="str">
        <f t="shared" si="36"/>
        <v/>
      </c>
      <c r="D1205" t="str">
        <f>IF(A1205="","",IFERROR(INDEX(Maniobras!$D$5:$D$504,MATCH(A1205,Maniobras!$A$5:$A$504,0)),""))</f>
        <v/>
      </c>
      <c r="F1205" s="29" t="str">
        <f>IF(A1205="","",IFERROR(INDEX(Maniobras!$K$5:$K$504,MATCH(A1205,Maniobras!$A$5:$A$504,0)),""))</f>
        <v/>
      </c>
      <c r="G1205" s="29"/>
      <c r="H1205" s="29"/>
      <c r="I1205" s="29" t="str">
        <f t="shared" si="37"/>
        <v/>
      </c>
      <c r="K1205" s="30"/>
      <c r="M1205" t="str">
        <f>IF($A1205=Ficha!$B$3,COUNTIF($A$5:$A1205,Ficha!$B$3),"")</f>
        <v/>
      </c>
    </row>
    <row r="1206" spans="2:13" x14ac:dyDescent="0.3">
      <c r="B1206" s="30" t="str">
        <f>IF(A1206="","",IFERROR(INDEX(Maniobras!$B$5:$B$504,MATCH(A1206,Maniobras!$A$5:$A$504,0)),""))</f>
        <v/>
      </c>
      <c r="C1206" t="str">
        <f t="shared" si="36"/>
        <v/>
      </c>
      <c r="D1206" t="str">
        <f>IF(A1206="","",IFERROR(INDEX(Maniobras!$D$5:$D$504,MATCH(A1206,Maniobras!$A$5:$A$504,0)),""))</f>
        <v/>
      </c>
      <c r="F1206" s="29" t="str">
        <f>IF(A1206="","",IFERROR(INDEX(Maniobras!$K$5:$K$504,MATCH(A1206,Maniobras!$A$5:$A$504,0)),""))</f>
        <v/>
      </c>
      <c r="G1206" s="29"/>
      <c r="H1206" s="29"/>
      <c r="I1206" s="29" t="str">
        <f t="shared" si="37"/>
        <v/>
      </c>
      <c r="K1206" s="30"/>
      <c r="M1206" t="str">
        <f>IF($A1206=Ficha!$B$3,COUNTIF($A$5:$A1206,Ficha!$B$3),"")</f>
        <v/>
      </c>
    </row>
    <row r="1207" spans="2:13" x14ac:dyDescent="0.3">
      <c r="B1207" s="30" t="str">
        <f>IF(A1207="","",IFERROR(INDEX(Maniobras!$B$5:$B$504,MATCH(A1207,Maniobras!$A$5:$A$504,0)),""))</f>
        <v/>
      </c>
      <c r="C1207" t="str">
        <f t="shared" si="36"/>
        <v/>
      </c>
      <c r="D1207" t="str">
        <f>IF(A1207="","",IFERROR(INDEX(Maniobras!$D$5:$D$504,MATCH(A1207,Maniobras!$A$5:$A$504,0)),""))</f>
        <v/>
      </c>
      <c r="F1207" s="29" t="str">
        <f>IF(A1207="","",IFERROR(INDEX(Maniobras!$K$5:$K$504,MATCH(A1207,Maniobras!$A$5:$A$504,0)),""))</f>
        <v/>
      </c>
      <c r="G1207" s="29"/>
      <c r="H1207" s="29"/>
      <c r="I1207" s="29" t="str">
        <f t="shared" si="37"/>
        <v/>
      </c>
      <c r="K1207" s="30"/>
      <c r="M1207" t="str">
        <f>IF($A1207=Ficha!$B$3,COUNTIF($A$5:$A1207,Ficha!$B$3),"")</f>
        <v/>
      </c>
    </row>
    <row r="1208" spans="2:13" x14ac:dyDescent="0.3">
      <c r="B1208" s="30" t="str">
        <f>IF(A1208="","",IFERROR(INDEX(Maniobras!$B$5:$B$504,MATCH(A1208,Maniobras!$A$5:$A$504,0)),""))</f>
        <v/>
      </c>
      <c r="C1208" t="str">
        <f t="shared" si="36"/>
        <v/>
      </c>
      <c r="D1208" t="str">
        <f>IF(A1208="","",IFERROR(INDEX(Maniobras!$D$5:$D$504,MATCH(A1208,Maniobras!$A$5:$A$504,0)),""))</f>
        <v/>
      </c>
      <c r="F1208" s="29" t="str">
        <f>IF(A1208="","",IFERROR(INDEX(Maniobras!$K$5:$K$504,MATCH(A1208,Maniobras!$A$5:$A$504,0)),""))</f>
        <v/>
      </c>
      <c r="G1208" s="29"/>
      <c r="H1208" s="29"/>
      <c r="I1208" s="29" t="str">
        <f t="shared" si="37"/>
        <v/>
      </c>
      <c r="K1208" s="30"/>
      <c r="M1208" t="str">
        <f>IF($A1208=Ficha!$B$3,COUNTIF($A$5:$A1208,Ficha!$B$3),"")</f>
        <v/>
      </c>
    </row>
    <row r="1209" spans="2:13" x14ac:dyDescent="0.3">
      <c r="B1209" s="30" t="str">
        <f>IF(A1209="","",IFERROR(INDEX(Maniobras!$B$5:$B$504,MATCH(A1209,Maniobras!$A$5:$A$504,0)),""))</f>
        <v/>
      </c>
      <c r="C1209" t="str">
        <f t="shared" si="36"/>
        <v/>
      </c>
      <c r="D1209" t="str">
        <f>IF(A1209="","",IFERROR(INDEX(Maniobras!$D$5:$D$504,MATCH(A1209,Maniobras!$A$5:$A$504,0)),""))</f>
        <v/>
      </c>
      <c r="F1209" s="29" t="str">
        <f>IF(A1209="","",IFERROR(INDEX(Maniobras!$K$5:$K$504,MATCH(A1209,Maniobras!$A$5:$A$504,0)),""))</f>
        <v/>
      </c>
      <c r="G1209" s="29"/>
      <c r="H1209" s="29"/>
      <c r="I1209" s="29" t="str">
        <f t="shared" si="37"/>
        <v/>
      </c>
      <c r="K1209" s="30"/>
      <c r="M1209" t="str">
        <f>IF($A1209=Ficha!$B$3,COUNTIF($A$5:$A1209,Ficha!$B$3),"")</f>
        <v/>
      </c>
    </row>
    <row r="1210" spans="2:13" x14ac:dyDescent="0.3">
      <c r="B1210" s="30" t="str">
        <f>IF(A1210="","",IFERROR(INDEX(Maniobras!$B$5:$B$504,MATCH(A1210,Maniobras!$A$5:$A$504,0)),""))</f>
        <v/>
      </c>
      <c r="C1210" t="str">
        <f t="shared" si="36"/>
        <v/>
      </c>
      <c r="D1210" t="str">
        <f>IF(A1210="","",IFERROR(INDEX(Maniobras!$D$5:$D$504,MATCH(A1210,Maniobras!$A$5:$A$504,0)),""))</f>
        <v/>
      </c>
      <c r="F1210" s="29" t="str">
        <f>IF(A1210="","",IFERROR(INDEX(Maniobras!$K$5:$K$504,MATCH(A1210,Maniobras!$A$5:$A$504,0)),""))</f>
        <v/>
      </c>
      <c r="G1210" s="29"/>
      <c r="H1210" s="29"/>
      <c r="I1210" s="29" t="str">
        <f t="shared" si="37"/>
        <v/>
      </c>
      <c r="K1210" s="30"/>
      <c r="M1210" t="str">
        <f>IF($A1210=Ficha!$B$3,COUNTIF($A$5:$A1210,Ficha!$B$3),"")</f>
        <v/>
      </c>
    </row>
    <row r="1211" spans="2:13" x14ac:dyDescent="0.3">
      <c r="B1211" s="30" t="str">
        <f>IF(A1211="","",IFERROR(INDEX(Maniobras!$B$5:$B$504,MATCH(A1211,Maniobras!$A$5:$A$504,0)),""))</f>
        <v/>
      </c>
      <c r="C1211" t="str">
        <f t="shared" si="36"/>
        <v/>
      </c>
      <c r="D1211" t="str">
        <f>IF(A1211="","",IFERROR(INDEX(Maniobras!$D$5:$D$504,MATCH(A1211,Maniobras!$A$5:$A$504,0)),""))</f>
        <v/>
      </c>
      <c r="F1211" s="29" t="str">
        <f>IF(A1211="","",IFERROR(INDEX(Maniobras!$K$5:$K$504,MATCH(A1211,Maniobras!$A$5:$A$504,0)),""))</f>
        <v/>
      </c>
      <c r="G1211" s="29"/>
      <c r="H1211" s="29"/>
      <c r="I1211" s="29" t="str">
        <f t="shared" si="37"/>
        <v/>
      </c>
      <c r="K1211" s="30"/>
      <c r="M1211" t="str">
        <f>IF($A1211=Ficha!$B$3,COUNTIF($A$5:$A1211,Ficha!$B$3),"")</f>
        <v/>
      </c>
    </row>
    <row r="1212" spans="2:13" x14ac:dyDescent="0.3">
      <c r="B1212" s="30" t="str">
        <f>IF(A1212="","",IFERROR(INDEX(Maniobras!$B$5:$B$504,MATCH(A1212,Maniobras!$A$5:$A$504,0)),""))</f>
        <v/>
      </c>
      <c r="C1212" t="str">
        <f t="shared" si="36"/>
        <v/>
      </c>
      <c r="D1212" t="str">
        <f>IF(A1212="","",IFERROR(INDEX(Maniobras!$D$5:$D$504,MATCH(A1212,Maniobras!$A$5:$A$504,0)),""))</f>
        <v/>
      </c>
      <c r="F1212" s="29" t="str">
        <f>IF(A1212="","",IFERROR(INDEX(Maniobras!$K$5:$K$504,MATCH(A1212,Maniobras!$A$5:$A$504,0)),""))</f>
        <v/>
      </c>
      <c r="G1212" s="29"/>
      <c r="H1212" s="29"/>
      <c r="I1212" s="29" t="str">
        <f t="shared" si="37"/>
        <v/>
      </c>
      <c r="K1212" s="30"/>
      <c r="M1212" t="str">
        <f>IF($A1212=Ficha!$B$3,COUNTIF($A$5:$A1212,Ficha!$B$3),"")</f>
        <v/>
      </c>
    </row>
    <row r="1213" spans="2:13" x14ac:dyDescent="0.3">
      <c r="B1213" s="30" t="str">
        <f>IF(A1213="","",IFERROR(INDEX(Maniobras!$B$5:$B$504,MATCH(A1213,Maniobras!$A$5:$A$504,0)),""))</f>
        <v/>
      </c>
      <c r="C1213" t="str">
        <f t="shared" si="36"/>
        <v/>
      </c>
      <c r="D1213" t="str">
        <f>IF(A1213="","",IFERROR(INDEX(Maniobras!$D$5:$D$504,MATCH(A1213,Maniobras!$A$5:$A$504,0)),""))</f>
        <v/>
      </c>
      <c r="F1213" s="29" t="str">
        <f>IF(A1213="","",IFERROR(INDEX(Maniobras!$K$5:$K$504,MATCH(A1213,Maniobras!$A$5:$A$504,0)),""))</f>
        <v/>
      </c>
      <c r="G1213" s="29"/>
      <c r="H1213" s="29"/>
      <c r="I1213" s="29" t="str">
        <f t="shared" si="37"/>
        <v/>
      </c>
      <c r="K1213" s="30"/>
      <c r="M1213" t="str">
        <f>IF($A1213=Ficha!$B$3,COUNTIF($A$5:$A1213,Ficha!$B$3),"")</f>
        <v/>
      </c>
    </row>
    <row r="1214" spans="2:13" x14ac:dyDescent="0.3">
      <c r="B1214" s="30" t="str">
        <f>IF(A1214="","",IFERROR(INDEX(Maniobras!$B$5:$B$504,MATCH(A1214,Maniobras!$A$5:$A$504,0)),""))</f>
        <v/>
      </c>
      <c r="C1214" t="str">
        <f t="shared" si="36"/>
        <v/>
      </c>
      <c r="D1214" t="str">
        <f>IF(A1214="","",IFERROR(INDEX(Maniobras!$D$5:$D$504,MATCH(A1214,Maniobras!$A$5:$A$504,0)),""))</f>
        <v/>
      </c>
      <c r="F1214" s="29" t="str">
        <f>IF(A1214="","",IFERROR(INDEX(Maniobras!$K$5:$K$504,MATCH(A1214,Maniobras!$A$5:$A$504,0)),""))</f>
        <v/>
      </c>
      <c r="G1214" s="29"/>
      <c r="H1214" s="29"/>
      <c r="I1214" s="29" t="str">
        <f t="shared" si="37"/>
        <v/>
      </c>
      <c r="K1214" s="30"/>
      <c r="M1214" t="str">
        <f>IF($A1214=Ficha!$B$3,COUNTIF($A$5:$A1214,Ficha!$B$3),"")</f>
        <v/>
      </c>
    </row>
    <row r="1215" spans="2:13" x14ac:dyDescent="0.3">
      <c r="B1215" s="30" t="str">
        <f>IF(A1215="","",IFERROR(INDEX(Maniobras!$B$5:$B$504,MATCH(A1215,Maniobras!$A$5:$A$504,0)),""))</f>
        <v/>
      </c>
      <c r="C1215" t="str">
        <f t="shared" si="36"/>
        <v/>
      </c>
      <c r="D1215" t="str">
        <f>IF(A1215="","",IFERROR(INDEX(Maniobras!$D$5:$D$504,MATCH(A1215,Maniobras!$A$5:$A$504,0)),""))</f>
        <v/>
      </c>
      <c r="F1215" s="29" t="str">
        <f>IF(A1215="","",IFERROR(INDEX(Maniobras!$K$5:$K$504,MATCH(A1215,Maniobras!$A$5:$A$504,0)),""))</f>
        <v/>
      </c>
      <c r="G1215" s="29"/>
      <c r="H1215" s="29"/>
      <c r="I1215" s="29" t="str">
        <f t="shared" si="37"/>
        <v/>
      </c>
      <c r="K1215" s="30"/>
      <c r="M1215" t="str">
        <f>IF($A1215=Ficha!$B$3,COUNTIF($A$5:$A1215,Ficha!$B$3),"")</f>
        <v/>
      </c>
    </row>
    <row r="1216" spans="2:13" x14ac:dyDescent="0.3">
      <c r="B1216" s="30" t="str">
        <f>IF(A1216="","",IFERROR(INDEX(Maniobras!$B$5:$B$504,MATCH(A1216,Maniobras!$A$5:$A$504,0)),""))</f>
        <v/>
      </c>
      <c r="C1216" t="str">
        <f t="shared" si="36"/>
        <v/>
      </c>
      <c r="D1216" t="str">
        <f>IF(A1216="","",IFERROR(INDEX(Maniobras!$D$5:$D$504,MATCH(A1216,Maniobras!$A$5:$A$504,0)),""))</f>
        <v/>
      </c>
      <c r="F1216" s="29" t="str">
        <f>IF(A1216="","",IFERROR(INDEX(Maniobras!$K$5:$K$504,MATCH(A1216,Maniobras!$A$5:$A$504,0)),""))</f>
        <v/>
      </c>
      <c r="G1216" s="29"/>
      <c r="H1216" s="29"/>
      <c r="I1216" s="29" t="str">
        <f t="shared" si="37"/>
        <v/>
      </c>
      <c r="K1216" s="30"/>
      <c r="M1216" t="str">
        <f>IF($A1216=Ficha!$B$3,COUNTIF($A$5:$A1216,Ficha!$B$3),"")</f>
        <v/>
      </c>
    </row>
    <row r="1217" spans="2:13" x14ac:dyDescent="0.3">
      <c r="B1217" s="30" t="str">
        <f>IF(A1217="","",IFERROR(INDEX(Maniobras!$B$5:$B$504,MATCH(A1217,Maniobras!$A$5:$A$504,0)),""))</f>
        <v/>
      </c>
      <c r="C1217" t="str">
        <f t="shared" si="36"/>
        <v/>
      </c>
      <c r="D1217" t="str">
        <f>IF(A1217="","",IFERROR(INDEX(Maniobras!$D$5:$D$504,MATCH(A1217,Maniobras!$A$5:$A$504,0)),""))</f>
        <v/>
      </c>
      <c r="F1217" s="29" t="str">
        <f>IF(A1217="","",IFERROR(INDEX(Maniobras!$K$5:$K$504,MATCH(A1217,Maniobras!$A$5:$A$504,0)),""))</f>
        <v/>
      </c>
      <c r="G1217" s="29"/>
      <c r="H1217" s="29"/>
      <c r="I1217" s="29" t="str">
        <f t="shared" si="37"/>
        <v/>
      </c>
      <c r="K1217" s="30"/>
      <c r="M1217" t="str">
        <f>IF($A1217=Ficha!$B$3,COUNTIF($A$5:$A1217,Ficha!$B$3),"")</f>
        <v/>
      </c>
    </row>
    <row r="1218" spans="2:13" x14ac:dyDescent="0.3">
      <c r="B1218" s="30" t="str">
        <f>IF(A1218="","",IFERROR(INDEX(Maniobras!$B$5:$B$504,MATCH(A1218,Maniobras!$A$5:$A$504,0)),""))</f>
        <v/>
      </c>
      <c r="C1218" t="str">
        <f t="shared" si="36"/>
        <v/>
      </c>
      <c r="D1218" t="str">
        <f>IF(A1218="","",IFERROR(INDEX(Maniobras!$D$5:$D$504,MATCH(A1218,Maniobras!$A$5:$A$504,0)),""))</f>
        <v/>
      </c>
      <c r="F1218" s="29" t="str">
        <f>IF(A1218="","",IFERROR(INDEX(Maniobras!$K$5:$K$504,MATCH(A1218,Maniobras!$A$5:$A$504,0)),""))</f>
        <v/>
      </c>
      <c r="G1218" s="29"/>
      <c r="H1218" s="29"/>
      <c r="I1218" s="29" t="str">
        <f t="shared" si="37"/>
        <v/>
      </c>
      <c r="K1218" s="30"/>
      <c r="M1218" t="str">
        <f>IF($A1218=Ficha!$B$3,COUNTIF($A$5:$A1218,Ficha!$B$3),"")</f>
        <v/>
      </c>
    </row>
    <row r="1219" spans="2:13" x14ac:dyDescent="0.3">
      <c r="B1219" s="30" t="str">
        <f>IF(A1219="","",IFERROR(INDEX(Maniobras!$B$5:$B$504,MATCH(A1219,Maniobras!$A$5:$A$504,0)),""))</f>
        <v/>
      </c>
      <c r="C1219" t="str">
        <f t="shared" si="36"/>
        <v/>
      </c>
      <c r="D1219" t="str">
        <f>IF(A1219="","",IFERROR(INDEX(Maniobras!$D$5:$D$504,MATCH(A1219,Maniobras!$A$5:$A$504,0)),""))</f>
        <v/>
      </c>
      <c r="F1219" s="29" t="str">
        <f>IF(A1219="","",IFERROR(INDEX(Maniobras!$K$5:$K$504,MATCH(A1219,Maniobras!$A$5:$A$504,0)),""))</f>
        <v/>
      </c>
      <c r="G1219" s="29"/>
      <c r="H1219" s="29"/>
      <c r="I1219" s="29" t="str">
        <f t="shared" si="37"/>
        <v/>
      </c>
      <c r="K1219" s="30"/>
      <c r="M1219" t="str">
        <f>IF($A1219=Ficha!$B$3,COUNTIF($A$5:$A1219,Ficha!$B$3),"")</f>
        <v/>
      </c>
    </row>
    <row r="1220" spans="2:13" x14ac:dyDescent="0.3">
      <c r="B1220" s="30" t="str">
        <f>IF(A1220="","",IFERROR(INDEX(Maniobras!$B$5:$B$504,MATCH(A1220,Maniobras!$A$5:$A$504,0)),""))</f>
        <v/>
      </c>
      <c r="C1220" t="str">
        <f t="shared" si="36"/>
        <v/>
      </c>
      <c r="D1220" t="str">
        <f>IF(A1220="","",IFERROR(INDEX(Maniobras!$D$5:$D$504,MATCH(A1220,Maniobras!$A$5:$A$504,0)),""))</f>
        <v/>
      </c>
      <c r="F1220" s="29" t="str">
        <f>IF(A1220="","",IFERROR(INDEX(Maniobras!$K$5:$K$504,MATCH(A1220,Maniobras!$A$5:$A$504,0)),""))</f>
        <v/>
      </c>
      <c r="G1220" s="29"/>
      <c r="H1220" s="29"/>
      <c r="I1220" s="29" t="str">
        <f t="shared" si="37"/>
        <v/>
      </c>
      <c r="K1220" s="30"/>
      <c r="M1220" t="str">
        <f>IF($A1220=Ficha!$B$3,COUNTIF($A$5:$A1220,Ficha!$B$3),"")</f>
        <v/>
      </c>
    </row>
    <row r="1221" spans="2:13" x14ac:dyDescent="0.3">
      <c r="B1221" s="30" t="str">
        <f>IF(A1221="","",IFERROR(INDEX(Maniobras!$B$5:$B$504,MATCH(A1221,Maniobras!$A$5:$A$504,0)),""))</f>
        <v/>
      </c>
      <c r="C1221" t="str">
        <f t="shared" ref="C1221:C1284" si="38">IF(B1221="","",TEXT(B1221,"yyyy-mm"))</f>
        <v/>
      </c>
      <c r="D1221" t="str">
        <f>IF(A1221="","",IFERROR(INDEX(Maniobras!$D$5:$D$504,MATCH(A1221,Maniobras!$A$5:$A$504,0)),""))</f>
        <v/>
      </c>
      <c r="F1221" s="29" t="str">
        <f>IF(A1221="","",IFERROR(INDEX(Maniobras!$K$5:$K$504,MATCH(A1221,Maniobras!$A$5:$A$504,0)),""))</f>
        <v/>
      </c>
      <c r="G1221" s="29"/>
      <c r="H1221" s="29"/>
      <c r="I1221" s="29" t="str">
        <f t="shared" ref="I1221:I1284" si="39">IF(G1221="","",G1221+N(H1221))</f>
        <v/>
      </c>
      <c r="K1221" s="30"/>
      <c r="M1221" t="str">
        <f>IF($A1221=Ficha!$B$3,COUNTIF($A$5:$A1221,Ficha!$B$3),"")</f>
        <v/>
      </c>
    </row>
    <row r="1222" spans="2:13" x14ac:dyDescent="0.3">
      <c r="B1222" s="30" t="str">
        <f>IF(A1222="","",IFERROR(INDEX(Maniobras!$B$5:$B$504,MATCH(A1222,Maniobras!$A$5:$A$504,0)),""))</f>
        <v/>
      </c>
      <c r="C1222" t="str">
        <f t="shared" si="38"/>
        <v/>
      </c>
      <c r="D1222" t="str">
        <f>IF(A1222="","",IFERROR(INDEX(Maniobras!$D$5:$D$504,MATCH(A1222,Maniobras!$A$5:$A$504,0)),""))</f>
        <v/>
      </c>
      <c r="F1222" s="29" t="str">
        <f>IF(A1222="","",IFERROR(INDEX(Maniobras!$K$5:$K$504,MATCH(A1222,Maniobras!$A$5:$A$504,0)),""))</f>
        <v/>
      </c>
      <c r="G1222" s="29"/>
      <c r="H1222" s="29"/>
      <c r="I1222" s="29" t="str">
        <f t="shared" si="39"/>
        <v/>
      </c>
      <c r="K1222" s="30"/>
      <c r="M1222" t="str">
        <f>IF($A1222=Ficha!$B$3,COUNTIF($A$5:$A1222,Ficha!$B$3),"")</f>
        <v/>
      </c>
    </row>
    <row r="1223" spans="2:13" x14ac:dyDescent="0.3">
      <c r="B1223" s="30" t="str">
        <f>IF(A1223="","",IFERROR(INDEX(Maniobras!$B$5:$B$504,MATCH(A1223,Maniobras!$A$5:$A$504,0)),""))</f>
        <v/>
      </c>
      <c r="C1223" t="str">
        <f t="shared" si="38"/>
        <v/>
      </c>
      <c r="D1223" t="str">
        <f>IF(A1223="","",IFERROR(INDEX(Maniobras!$D$5:$D$504,MATCH(A1223,Maniobras!$A$5:$A$504,0)),""))</f>
        <v/>
      </c>
      <c r="F1223" s="29" t="str">
        <f>IF(A1223="","",IFERROR(INDEX(Maniobras!$K$5:$K$504,MATCH(A1223,Maniobras!$A$5:$A$504,0)),""))</f>
        <v/>
      </c>
      <c r="G1223" s="29"/>
      <c r="H1223" s="29"/>
      <c r="I1223" s="29" t="str">
        <f t="shared" si="39"/>
        <v/>
      </c>
      <c r="K1223" s="30"/>
      <c r="M1223" t="str">
        <f>IF($A1223=Ficha!$B$3,COUNTIF($A$5:$A1223,Ficha!$B$3),"")</f>
        <v/>
      </c>
    </row>
    <row r="1224" spans="2:13" x14ac:dyDescent="0.3">
      <c r="B1224" s="30" t="str">
        <f>IF(A1224="","",IFERROR(INDEX(Maniobras!$B$5:$B$504,MATCH(A1224,Maniobras!$A$5:$A$504,0)),""))</f>
        <v/>
      </c>
      <c r="C1224" t="str">
        <f t="shared" si="38"/>
        <v/>
      </c>
      <c r="D1224" t="str">
        <f>IF(A1224="","",IFERROR(INDEX(Maniobras!$D$5:$D$504,MATCH(A1224,Maniobras!$A$5:$A$504,0)),""))</f>
        <v/>
      </c>
      <c r="F1224" s="29" t="str">
        <f>IF(A1224="","",IFERROR(INDEX(Maniobras!$K$5:$K$504,MATCH(A1224,Maniobras!$A$5:$A$504,0)),""))</f>
        <v/>
      </c>
      <c r="G1224" s="29"/>
      <c r="H1224" s="29"/>
      <c r="I1224" s="29" t="str">
        <f t="shared" si="39"/>
        <v/>
      </c>
      <c r="K1224" s="30"/>
      <c r="M1224" t="str">
        <f>IF($A1224=Ficha!$B$3,COUNTIF($A$5:$A1224,Ficha!$B$3),"")</f>
        <v/>
      </c>
    </row>
    <row r="1225" spans="2:13" x14ac:dyDescent="0.3">
      <c r="B1225" s="30" t="str">
        <f>IF(A1225="","",IFERROR(INDEX(Maniobras!$B$5:$B$504,MATCH(A1225,Maniobras!$A$5:$A$504,0)),""))</f>
        <v/>
      </c>
      <c r="C1225" t="str">
        <f t="shared" si="38"/>
        <v/>
      </c>
      <c r="D1225" t="str">
        <f>IF(A1225="","",IFERROR(INDEX(Maniobras!$D$5:$D$504,MATCH(A1225,Maniobras!$A$5:$A$504,0)),""))</f>
        <v/>
      </c>
      <c r="F1225" s="29" t="str">
        <f>IF(A1225="","",IFERROR(INDEX(Maniobras!$K$5:$K$504,MATCH(A1225,Maniobras!$A$5:$A$504,0)),""))</f>
        <v/>
      </c>
      <c r="G1225" s="29"/>
      <c r="H1225" s="29"/>
      <c r="I1225" s="29" t="str">
        <f t="shared" si="39"/>
        <v/>
      </c>
      <c r="K1225" s="30"/>
      <c r="M1225" t="str">
        <f>IF($A1225=Ficha!$B$3,COUNTIF($A$5:$A1225,Ficha!$B$3),"")</f>
        <v/>
      </c>
    </row>
    <row r="1226" spans="2:13" x14ac:dyDescent="0.3">
      <c r="B1226" s="30" t="str">
        <f>IF(A1226="","",IFERROR(INDEX(Maniobras!$B$5:$B$504,MATCH(A1226,Maniobras!$A$5:$A$504,0)),""))</f>
        <v/>
      </c>
      <c r="C1226" t="str">
        <f t="shared" si="38"/>
        <v/>
      </c>
      <c r="D1226" t="str">
        <f>IF(A1226="","",IFERROR(INDEX(Maniobras!$D$5:$D$504,MATCH(A1226,Maniobras!$A$5:$A$504,0)),""))</f>
        <v/>
      </c>
      <c r="F1226" s="29" t="str">
        <f>IF(A1226="","",IFERROR(INDEX(Maniobras!$K$5:$K$504,MATCH(A1226,Maniobras!$A$5:$A$504,0)),""))</f>
        <v/>
      </c>
      <c r="G1226" s="29"/>
      <c r="H1226" s="29"/>
      <c r="I1226" s="29" t="str">
        <f t="shared" si="39"/>
        <v/>
      </c>
      <c r="K1226" s="30"/>
      <c r="M1226" t="str">
        <f>IF($A1226=Ficha!$B$3,COUNTIF($A$5:$A1226,Ficha!$B$3),"")</f>
        <v/>
      </c>
    </row>
    <row r="1227" spans="2:13" x14ac:dyDescent="0.3">
      <c r="B1227" s="30" t="str">
        <f>IF(A1227="","",IFERROR(INDEX(Maniobras!$B$5:$B$504,MATCH(A1227,Maniobras!$A$5:$A$504,0)),""))</f>
        <v/>
      </c>
      <c r="C1227" t="str">
        <f t="shared" si="38"/>
        <v/>
      </c>
      <c r="D1227" t="str">
        <f>IF(A1227="","",IFERROR(INDEX(Maniobras!$D$5:$D$504,MATCH(A1227,Maniobras!$A$5:$A$504,0)),""))</f>
        <v/>
      </c>
      <c r="F1227" s="29" t="str">
        <f>IF(A1227="","",IFERROR(INDEX(Maniobras!$K$5:$K$504,MATCH(A1227,Maniobras!$A$5:$A$504,0)),""))</f>
        <v/>
      </c>
      <c r="G1227" s="29"/>
      <c r="H1227" s="29"/>
      <c r="I1227" s="29" t="str">
        <f t="shared" si="39"/>
        <v/>
      </c>
      <c r="K1227" s="30"/>
      <c r="M1227" t="str">
        <f>IF($A1227=Ficha!$B$3,COUNTIF($A$5:$A1227,Ficha!$B$3),"")</f>
        <v/>
      </c>
    </row>
    <row r="1228" spans="2:13" x14ac:dyDescent="0.3">
      <c r="B1228" s="30" t="str">
        <f>IF(A1228="","",IFERROR(INDEX(Maniobras!$B$5:$B$504,MATCH(A1228,Maniobras!$A$5:$A$504,0)),""))</f>
        <v/>
      </c>
      <c r="C1228" t="str">
        <f t="shared" si="38"/>
        <v/>
      </c>
      <c r="D1228" t="str">
        <f>IF(A1228="","",IFERROR(INDEX(Maniobras!$D$5:$D$504,MATCH(A1228,Maniobras!$A$5:$A$504,0)),""))</f>
        <v/>
      </c>
      <c r="F1228" s="29" t="str">
        <f>IF(A1228="","",IFERROR(INDEX(Maniobras!$K$5:$K$504,MATCH(A1228,Maniobras!$A$5:$A$504,0)),""))</f>
        <v/>
      </c>
      <c r="G1228" s="29"/>
      <c r="H1228" s="29"/>
      <c r="I1228" s="29" t="str">
        <f t="shared" si="39"/>
        <v/>
      </c>
      <c r="K1228" s="30"/>
      <c r="M1228" t="str">
        <f>IF($A1228=Ficha!$B$3,COUNTIF($A$5:$A1228,Ficha!$B$3),"")</f>
        <v/>
      </c>
    </row>
    <row r="1229" spans="2:13" x14ac:dyDescent="0.3">
      <c r="B1229" s="30" t="str">
        <f>IF(A1229="","",IFERROR(INDEX(Maniobras!$B$5:$B$504,MATCH(A1229,Maniobras!$A$5:$A$504,0)),""))</f>
        <v/>
      </c>
      <c r="C1229" t="str">
        <f t="shared" si="38"/>
        <v/>
      </c>
      <c r="D1229" t="str">
        <f>IF(A1229="","",IFERROR(INDEX(Maniobras!$D$5:$D$504,MATCH(A1229,Maniobras!$A$5:$A$504,0)),""))</f>
        <v/>
      </c>
      <c r="F1229" s="29" t="str">
        <f>IF(A1229="","",IFERROR(INDEX(Maniobras!$K$5:$K$504,MATCH(A1229,Maniobras!$A$5:$A$504,0)),""))</f>
        <v/>
      </c>
      <c r="G1229" s="29"/>
      <c r="H1229" s="29"/>
      <c r="I1229" s="29" t="str">
        <f t="shared" si="39"/>
        <v/>
      </c>
      <c r="K1229" s="30"/>
      <c r="M1229" t="str">
        <f>IF($A1229=Ficha!$B$3,COUNTIF($A$5:$A1229,Ficha!$B$3),"")</f>
        <v/>
      </c>
    </row>
    <row r="1230" spans="2:13" x14ac:dyDescent="0.3">
      <c r="B1230" s="30" t="str">
        <f>IF(A1230="","",IFERROR(INDEX(Maniobras!$B$5:$B$504,MATCH(A1230,Maniobras!$A$5:$A$504,0)),""))</f>
        <v/>
      </c>
      <c r="C1230" t="str">
        <f t="shared" si="38"/>
        <v/>
      </c>
      <c r="D1230" t="str">
        <f>IF(A1230="","",IFERROR(INDEX(Maniobras!$D$5:$D$504,MATCH(A1230,Maniobras!$A$5:$A$504,0)),""))</f>
        <v/>
      </c>
      <c r="F1230" s="29" t="str">
        <f>IF(A1230="","",IFERROR(INDEX(Maniobras!$K$5:$K$504,MATCH(A1230,Maniobras!$A$5:$A$504,0)),""))</f>
        <v/>
      </c>
      <c r="G1230" s="29"/>
      <c r="H1230" s="29"/>
      <c r="I1230" s="29" t="str">
        <f t="shared" si="39"/>
        <v/>
      </c>
      <c r="K1230" s="30"/>
      <c r="M1230" t="str">
        <f>IF($A1230=Ficha!$B$3,COUNTIF($A$5:$A1230,Ficha!$B$3),"")</f>
        <v/>
      </c>
    </row>
    <row r="1231" spans="2:13" x14ac:dyDescent="0.3">
      <c r="B1231" s="30" t="str">
        <f>IF(A1231="","",IFERROR(INDEX(Maniobras!$B$5:$B$504,MATCH(A1231,Maniobras!$A$5:$A$504,0)),""))</f>
        <v/>
      </c>
      <c r="C1231" t="str">
        <f t="shared" si="38"/>
        <v/>
      </c>
      <c r="D1231" t="str">
        <f>IF(A1231="","",IFERROR(INDEX(Maniobras!$D$5:$D$504,MATCH(A1231,Maniobras!$A$5:$A$504,0)),""))</f>
        <v/>
      </c>
      <c r="F1231" s="29" t="str">
        <f>IF(A1231="","",IFERROR(INDEX(Maniobras!$K$5:$K$504,MATCH(A1231,Maniobras!$A$5:$A$504,0)),""))</f>
        <v/>
      </c>
      <c r="G1231" s="29"/>
      <c r="H1231" s="29"/>
      <c r="I1231" s="29" t="str">
        <f t="shared" si="39"/>
        <v/>
      </c>
      <c r="K1231" s="30"/>
      <c r="M1231" t="str">
        <f>IF($A1231=Ficha!$B$3,COUNTIF($A$5:$A1231,Ficha!$B$3),"")</f>
        <v/>
      </c>
    </row>
    <row r="1232" spans="2:13" x14ac:dyDescent="0.3">
      <c r="B1232" s="30" t="str">
        <f>IF(A1232="","",IFERROR(INDEX(Maniobras!$B$5:$B$504,MATCH(A1232,Maniobras!$A$5:$A$504,0)),""))</f>
        <v/>
      </c>
      <c r="C1232" t="str">
        <f t="shared" si="38"/>
        <v/>
      </c>
      <c r="D1232" t="str">
        <f>IF(A1232="","",IFERROR(INDEX(Maniobras!$D$5:$D$504,MATCH(A1232,Maniobras!$A$5:$A$504,0)),""))</f>
        <v/>
      </c>
      <c r="F1232" s="29" t="str">
        <f>IF(A1232="","",IFERROR(INDEX(Maniobras!$K$5:$K$504,MATCH(A1232,Maniobras!$A$5:$A$504,0)),""))</f>
        <v/>
      </c>
      <c r="G1232" s="29"/>
      <c r="H1232" s="29"/>
      <c r="I1232" s="29" t="str">
        <f t="shared" si="39"/>
        <v/>
      </c>
      <c r="K1232" s="30"/>
      <c r="M1232" t="str">
        <f>IF($A1232=Ficha!$B$3,COUNTIF($A$5:$A1232,Ficha!$B$3),"")</f>
        <v/>
      </c>
    </row>
    <row r="1233" spans="2:13" x14ac:dyDescent="0.3">
      <c r="B1233" s="30" t="str">
        <f>IF(A1233="","",IFERROR(INDEX(Maniobras!$B$5:$B$504,MATCH(A1233,Maniobras!$A$5:$A$504,0)),""))</f>
        <v/>
      </c>
      <c r="C1233" t="str">
        <f t="shared" si="38"/>
        <v/>
      </c>
      <c r="D1233" t="str">
        <f>IF(A1233="","",IFERROR(INDEX(Maniobras!$D$5:$D$504,MATCH(A1233,Maniobras!$A$5:$A$504,0)),""))</f>
        <v/>
      </c>
      <c r="F1233" s="29" t="str">
        <f>IF(A1233="","",IFERROR(INDEX(Maniobras!$K$5:$K$504,MATCH(A1233,Maniobras!$A$5:$A$504,0)),""))</f>
        <v/>
      </c>
      <c r="G1233" s="29"/>
      <c r="H1233" s="29"/>
      <c r="I1233" s="29" t="str">
        <f t="shared" si="39"/>
        <v/>
      </c>
      <c r="K1233" s="30"/>
      <c r="M1233" t="str">
        <f>IF($A1233=Ficha!$B$3,COUNTIF($A$5:$A1233,Ficha!$B$3),"")</f>
        <v/>
      </c>
    </row>
    <row r="1234" spans="2:13" x14ac:dyDescent="0.3">
      <c r="B1234" s="30" t="str">
        <f>IF(A1234="","",IFERROR(INDEX(Maniobras!$B$5:$B$504,MATCH(A1234,Maniobras!$A$5:$A$504,0)),""))</f>
        <v/>
      </c>
      <c r="C1234" t="str">
        <f t="shared" si="38"/>
        <v/>
      </c>
      <c r="D1234" t="str">
        <f>IF(A1234="","",IFERROR(INDEX(Maniobras!$D$5:$D$504,MATCH(A1234,Maniobras!$A$5:$A$504,0)),""))</f>
        <v/>
      </c>
      <c r="F1234" s="29" t="str">
        <f>IF(A1234="","",IFERROR(INDEX(Maniobras!$K$5:$K$504,MATCH(A1234,Maniobras!$A$5:$A$504,0)),""))</f>
        <v/>
      </c>
      <c r="G1234" s="29"/>
      <c r="H1234" s="29"/>
      <c r="I1234" s="29" t="str">
        <f t="shared" si="39"/>
        <v/>
      </c>
      <c r="K1234" s="30"/>
      <c r="M1234" t="str">
        <f>IF($A1234=Ficha!$B$3,COUNTIF($A$5:$A1234,Ficha!$B$3),"")</f>
        <v/>
      </c>
    </row>
    <row r="1235" spans="2:13" x14ac:dyDescent="0.3">
      <c r="B1235" s="30" t="str">
        <f>IF(A1235="","",IFERROR(INDEX(Maniobras!$B$5:$B$504,MATCH(A1235,Maniobras!$A$5:$A$504,0)),""))</f>
        <v/>
      </c>
      <c r="C1235" t="str">
        <f t="shared" si="38"/>
        <v/>
      </c>
      <c r="D1235" t="str">
        <f>IF(A1235="","",IFERROR(INDEX(Maniobras!$D$5:$D$504,MATCH(A1235,Maniobras!$A$5:$A$504,0)),""))</f>
        <v/>
      </c>
      <c r="F1235" s="29" t="str">
        <f>IF(A1235="","",IFERROR(INDEX(Maniobras!$K$5:$K$504,MATCH(A1235,Maniobras!$A$5:$A$504,0)),""))</f>
        <v/>
      </c>
      <c r="G1235" s="29"/>
      <c r="H1235" s="29"/>
      <c r="I1235" s="29" t="str">
        <f t="shared" si="39"/>
        <v/>
      </c>
      <c r="K1235" s="30"/>
      <c r="M1235" t="str">
        <f>IF($A1235=Ficha!$B$3,COUNTIF($A$5:$A1235,Ficha!$B$3),"")</f>
        <v/>
      </c>
    </row>
    <row r="1236" spans="2:13" x14ac:dyDescent="0.3">
      <c r="B1236" s="30" t="str">
        <f>IF(A1236="","",IFERROR(INDEX(Maniobras!$B$5:$B$504,MATCH(A1236,Maniobras!$A$5:$A$504,0)),""))</f>
        <v/>
      </c>
      <c r="C1236" t="str">
        <f t="shared" si="38"/>
        <v/>
      </c>
      <c r="D1236" t="str">
        <f>IF(A1236="","",IFERROR(INDEX(Maniobras!$D$5:$D$504,MATCH(A1236,Maniobras!$A$5:$A$504,0)),""))</f>
        <v/>
      </c>
      <c r="F1236" s="29" t="str">
        <f>IF(A1236="","",IFERROR(INDEX(Maniobras!$K$5:$K$504,MATCH(A1236,Maniobras!$A$5:$A$504,0)),""))</f>
        <v/>
      </c>
      <c r="G1236" s="29"/>
      <c r="H1236" s="29"/>
      <c r="I1236" s="29" t="str">
        <f t="shared" si="39"/>
        <v/>
      </c>
      <c r="K1236" s="30"/>
      <c r="M1236" t="str">
        <f>IF($A1236=Ficha!$B$3,COUNTIF($A$5:$A1236,Ficha!$B$3),"")</f>
        <v/>
      </c>
    </row>
    <row r="1237" spans="2:13" x14ac:dyDescent="0.3">
      <c r="B1237" s="30" t="str">
        <f>IF(A1237="","",IFERROR(INDEX(Maniobras!$B$5:$B$504,MATCH(A1237,Maniobras!$A$5:$A$504,0)),""))</f>
        <v/>
      </c>
      <c r="C1237" t="str">
        <f t="shared" si="38"/>
        <v/>
      </c>
      <c r="D1237" t="str">
        <f>IF(A1237="","",IFERROR(INDEX(Maniobras!$D$5:$D$504,MATCH(A1237,Maniobras!$A$5:$A$504,0)),""))</f>
        <v/>
      </c>
      <c r="F1237" s="29" t="str">
        <f>IF(A1237="","",IFERROR(INDEX(Maniobras!$K$5:$K$504,MATCH(A1237,Maniobras!$A$5:$A$504,0)),""))</f>
        <v/>
      </c>
      <c r="G1237" s="29"/>
      <c r="H1237" s="29"/>
      <c r="I1237" s="29" t="str">
        <f t="shared" si="39"/>
        <v/>
      </c>
      <c r="K1237" s="30"/>
      <c r="M1237" t="str">
        <f>IF($A1237=Ficha!$B$3,COUNTIF($A$5:$A1237,Ficha!$B$3),"")</f>
        <v/>
      </c>
    </row>
    <row r="1238" spans="2:13" x14ac:dyDescent="0.3">
      <c r="B1238" s="30" t="str">
        <f>IF(A1238="","",IFERROR(INDEX(Maniobras!$B$5:$B$504,MATCH(A1238,Maniobras!$A$5:$A$504,0)),""))</f>
        <v/>
      </c>
      <c r="C1238" t="str">
        <f t="shared" si="38"/>
        <v/>
      </c>
      <c r="D1238" t="str">
        <f>IF(A1238="","",IFERROR(INDEX(Maniobras!$D$5:$D$504,MATCH(A1238,Maniobras!$A$5:$A$504,0)),""))</f>
        <v/>
      </c>
      <c r="F1238" s="29" t="str">
        <f>IF(A1238="","",IFERROR(INDEX(Maniobras!$K$5:$K$504,MATCH(A1238,Maniobras!$A$5:$A$504,0)),""))</f>
        <v/>
      </c>
      <c r="G1238" s="29"/>
      <c r="H1238" s="29"/>
      <c r="I1238" s="29" t="str">
        <f t="shared" si="39"/>
        <v/>
      </c>
      <c r="K1238" s="30"/>
      <c r="M1238" t="str">
        <f>IF($A1238=Ficha!$B$3,COUNTIF($A$5:$A1238,Ficha!$B$3),"")</f>
        <v/>
      </c>
    </row>
    <row r="1239" spans="2:13" x14ac:dyDescent="0.3">
      <c r="B1239" s="30" t="str">
        <f>IF(A1239="","",IFERROR(INDEX(Maniobras!$B$5:$B$504,MATCH(A1239,Maniobras!$A$5:$A$504,0)),""))</f>
        <v/>
      </c>
      <c r="C1239" t="str">
        <f t="shared" si="38"/>
        <v/>
      </c>
      <c r="D1239" t="str">
        <f>IF(A1239="","",IFERROR(INDEX(Maniobras!$D$5:$D$504,MATCH(A1239,Maniobras!$A$5:$A$504,0)),""))</f>
        <v/>
      </c>
      <c r="F1239" s="29" t="str">
        <f>IF(A1239="","",IFERROR(INDEX(Maniobras!$K$5:$K$504,MATCH(A1239,Maniobras!$A$5:$A$504,0)),""))</f>
        <v/>
      </c>
      <c r="G1239" s="29"/>
      <c r="H1239" s="29"/>
      <c r="I1239" s="29" t="str">
        <f t="shared" si="39"/>
        <v/>
      </c>
      <c r="K1239" s="30"/>
      <c r="M1239" t="str">
        <f>IF($A1239=Ficha!$B$3,COUNTIF($A$5:$A1239,Ficha!$B$3),"")</f>
        <v/>
      </c>
    </row>
    <row r="1240" spans="2:13" x14ac:dyDescent="0.3">
      <c r="B1240" s="30" t="str">
        <f>IF(A1240="","",IFERROR(INDEX(Maniobras!$B$5:$B$504,MATCH(A1240,Maniobras!$A$5:$A$504,0)),""))</f>
        <v/>
      </c>
      <c r="C1240" t="str">
        <f t="shared" si="38"/>
        <v/>
      </c>
      <c r="D1240" t="str">
        <f>IF(A1240="","",IFERROR(INDEX(Maniobras!$D$5:$D$504,MATCH(A1240,Maniobras!$A$5:$A$504,0)),""))</f>
        <v/>
      </c>
      <c r="F1240" s="29" t="str">
        <f>IF(A1240="","",IFERROR(INDEX(Maniobras!$K$5:$K$504,MATCH(A1240,Maniobras!$A$5:$A$504,0)),""))</f>
        <v/>
      </c>
      <c r="G1240" s="29"/>
      <c r="H1240" s="29"/>
      <c r="I1240" s="29" t="str">
        <f t="shared" si="39"/>
        <v/>
      </c>
      <c r="K1240" s="30"/>
      <c r="M1240" t="str">
        <f>IF($A1240=Ficha!$B$3,COUNTIF($A$5:$A1240,Ficha!$B$3),"")</f>
        <v/>
      </c>
    </row>
    <row r="1241" spans="2:13" x14ac:dyDescent="0.3">
      <c r="B1241" s="30" t="str">
        <f>IF(A1241="","",IFERROR(INDEX(Maniobras!$B$5:$B$504,MATCH(A1241,Maniobras!$A$5:$A$504,0)),""))</f>
        <v/>
      </c>
      <c r="C1241" t="str">
        <f t="shared" si="38"/>
        <v/>
      </c>
      <c r="D1241" t="str">
        <f>IF(A1241="","",IFERROR(INDEX(Maniobras!$D$5:$D$504,MATCH(A1241,Maniobras!$A$5:$A$504,0)),""))</f>
        <v/>
      </c>
      <c r="F1241" s="29" t="str">
        <f>IF(A1241="","",IFERROR(INDEX(Maniobras!$K$5:$K$504,MATCH(A1241,Maniobras!$A$5:$A$504,0)),""))</f>
        <v/>
      </c>
      <c r="G1241" s="29"/>
      <c r="H1241" s="29"/>
      <c r="I1241" s="29" t="str">
        <f t="shared" si="39"/>
        <v/>
      </c>
      <c r="K1241" s="30"/>
      <c r="M1241" t="str">
        <f>IF($A1241=Ficha!$B$3,COUNTIF($A$5:$A1241,Ficha!$B$3),"")</f>
        <v/>
      </c>
    </row>
    <row r="1242" spans="2:13" x14ac:dyDescent="0.3">
      <c r="B1242" s="30" t="str">
        <f>IF(A1242="","",IFERROR(INDEX(Maniobras!$B$5:$B$504,MATCH(A1242,Maniobras!$A$5:$A$504,0)),""))</f>
        <v/>
      </c>
      <c r="C1242" t="str">
        <f t="shared" si="38"/>
        <v/>
      </c>
      <c r="D1242" t="str">
        <f>IF(A1242="","",IFERROR(INDEX(Maniobras!$D$5:$D$504,MATCH(A1242,Maniobras!$A$5:$A$504,0)),""))</f>
        <v/>
      </c>
      <c r="F1242" s="29" t="str">
        <f>IF(A1242="","",IFERROR(INDEX(Maniobras!$K$5:$K$504,MATCH(A1242,Maniobras!$A$5:$A$504,0)),""))</f>
        <v/>
      </c>
      <c r="G1242" s="29"/>
      <c r="H1242" s="29"/>
      <c r="I1242" s="29" t="str">
        <f t="shared" si="39"/>
        <v/>
      </c>
      <c r="K1242" s="30"/>
      <c r="M1242" t="str">
        <f>IF($A1242=Ficha!$B$3,COUNTIF($A$5:$A1242,Ficha!$B$3),"")</f>
        <v/>
      </c>
    </row>
    <row r="1243" spans="2:13" x14ac:dyDescent="0.3">
      <c r="B1243" s="30" t="str">
        <f>IF(A1243="","",IFERROR(INDEX(Maniobras!$B$5:$B$504,MATCH(A1243,Maniobras!$A$5:$A$504,0)),""))</f>
        <v/>
      </c>
      <c r="C1243" t="str">
        <f t="shared" si="38"/>
        <v/>
      </c>
      <c r="D1243" t="str">
        <f>IF(A1243="","",IFERROR(INDEX(Maniobras!$D$5:$D$504,MATCH(A1243,Maniobras!$A$5:$A$504,0)),""))</f>
        <v/>
      </c>
      <c r="F1243" s="29" t="str">
        <f>IF(A1243="","",IFERROR(INDEX(Maniobras!$K$5:$K$504,MATCH(A1243,Maniobras!$A$5:$A$504,0)),""))</f>
        <v/>
      </c>
      <c r="G1243" s="29"/>
      <c r="H1243" s="29"/>
      <c r="I1243" s="29" t="str">
        <f t="shared" si="39"/>
        <v/>
      </c>
      <c r="K1243" s="30"/>
      <c r="M1243" t="str">
        <f>IF($A1243=Ficha!$B$3,COUNTIF($A$5:$A1243,Ficha!$B$3),"")</f>
        <v/>
      </c>
    </row>
    <row r="1244" spans="2:13" x14ac:dyDescent="0.3">
      <c r="B1244" s="30" t="str">
        <f>IF(A1244="","",IFERROR(INDEX(Maniobras!$B$5:$B$504,MATCH(A1244,Maniobras!$A$5:$A$504,0)),""))</f>
        <v/>
      </c>
      <c r="C1244" t="str">
        <f t="shared" si="38"/>
        <v/>
      </c>
      <c r="D1244" t="str">
        <f>IF(A1244="","",IFERROR(INDEX(Maniobras!$D$5:$D$504,MATCH(A1244,Maniobras!$A$5:$A$504,0)),""))</f>
        <v/>
      </c>
      <c r="F1244" s="29" t="str">
        <f>IF(A1244="","",IFERROR(INDEX(Maniobras!$K$5:$K$504,MATCH(A1244,Maniobras!$A$5:$A$504,0)),""))</f>
        <v/>
      </c>
      <c r="G1244" s="29"/>
      <c r="H1244" s="29"/>
      <c r="I1244" s="29" t="str">
        <f t="shared" si="39"/>
        <v/>
      </c>
      <c r="K1244" s="30"/>
      <c r="M1244" t="str">
        <f>IF($A1244=Ficha!$B$3,COUNTIF($A$5:$A1244,Ficha!$B$3),"")</f>
        <v/>
      </c>
    </row>
    <row r="1245" spans="2:13" x14ac:dyDescent="0.3">
      <c r="B1245" s="30" t="str">
        <f>IF(A1245="","",IFERROR(INDEX(Maniobras!$B$5:$B$504,MATCH(A1245,Maniobras!$A$5:$A$504,0)),""))</f>
        <v/>
      </c>
      <c r="C1245" t="str">
        <f t="shared" si="38"/>
        <v/>
      </c>
      <c r="D1245" t="str">
        <f>IF(A1245="","",IFERROR(INDEX(Maniobras!$D$5:$D$504,MATCH(A1245,Maniobras!$A$5:$A$504,0)),""))</f>
        <v/>
      </c>
      <c r="F1245" s="29" t="str">
        <f>IF(A1245="","",IFERROR(INDEX(Maniobras!$K$5:$K$504,MATCH(A1245,Maniobras!$A$5:$A$504,0)),""))</f>
        <v/>
      </c>
      <c r="G1245" s="29"/>
      <c r="H1245" s="29"/>
      <c r="I1245" s="29" t="str">
        <f t="shared" si="39"/>
        <v/>
      </c>
      <c r="K1245" s="30"/>
      <c r="M1245" t="str">
        <f>IF($A1245=Ficha!$B$3,COUNTIF($A$5:$A1245,Ficha!$B$3),"")</f>
        <v/>
      </c>
    </row>
    <row r="1246" spans="2:13" x14ac:dyDescent="0.3">
      <c r="B1246" s="30" t="str">
        <f>IF(A1246="","",IFERROR(INDEX(Maniobras!$B$5:$B$504,MATCH(A1246,Maniobras!$A$5:$A$504,0)),""))</f>
        <v/>
      </c>
      <c r="C1246" t="str">
        <f t="shared" si="38"/>
        <v/>
      </c>
      <c r="D1246" t="str">
        <f>IF(A1246="","",IFERROR(INDEX(Maniobras!$D$5:$D$504,MATCH(A1246,Maniobras!$A$5:$A$504,0)),""))</f>
        <v/>
      </c>
      <c r="F1246" s="29" t="str">
        <f>IF(A1246="","",IFERROR(INDEX(Maniobras!$K$5:$K$504,MATCH(A1246,Maniobras!$A$5:$A$504,0)),""))</f>
        <v/>
      </c>
      <c r="G1246" s="29"/>
      <c r="H1246" s="29"/>
      <c r="I1246" s="29" t="str">
        <f t="shared" si="39"/>
        <v/>
      </c>
      <c r="K1246" s="30"/>
      <c r="M1246" t="str">
        <f>IF($A1246=Ficha!$B$3,COUNTIF($A$5:$A1246,Ficha!$B$3),"")</f>
        <v/>
      </c>
    </row>
    <row r="1247" spans="2:13" x14ac:dyDescent="0.3">
      <c r="B1247" s="30" t="str">
        <f>IF(A1247="","",IFERROR(INDEX(Maniobras!$B$5:$B$504,MATCH(A1247,Maniobras!$A$5:$A$504,0)),""))</f>
        <v/>
      </c>
      <c r="C1247" t="str">
        <f t="shared" si="38"/>
        <v/>
      </c>
      <c r="D1247" t="str">
        <f>IF(A1247="","",IFERROR(INDEX(Maniobras!$D$5:$D$504,MATCH(A1247,Maniobras!$A$5:$A$504,0)),""))</f>
        <v/>
      </c>
      <c r="F1247" s="29" t="str">
        <f>IF(A1247="","",IFERROR(INDEX(Maniobras!$K$5:$K$504,MATCH(A1247,Maniobras!$A$5:$A$504,0)),""))</f>
        <v/>
      </c>
      <c r="G1247" s="29"/>
      <c r="H1247" s="29"/>
      <c r="I1247" s="29" t="str">
        <f t="shared" si="39"/>
        <v/>
      </c>
      <c r="K1247" s="30"/>
      <c r="M1247" t="str">
        <f>IF($A1247=Ficha!$B$3,COUNTIF($A$5:$A1247,Ficha!$B$3),"")</f>
        <v/>
      </c>
    </row>
    <row r="1248" spans="2:13" x14ac:dyDescent="0.3">
      <c r="B1248" s="30" t="str">
        <f>IF(A1248="","",IFERROR(INDEX(Maniobras!$B$5:$B$504,MATCH(A1248,Maniobras!$A$5:$A$504,0)),""))</f>
        <v/>
      </c>
      <c r="C1248" t="str">
        <f t="shared" si="38"/>
        <v/>
      </c>
      <c r="D1248" t="str">
        <f>IF(A1248="","",IFERROR(INDEX(Maniobras!$D$5:$D$504,MATCH(A1248,Maniobras!$A$5:$A$504,0)),""))</f>
        <v/>
      </c>
      <c r="F1248" s="29" t="str">
        <f>IF(A1248="","",IFERROR(INDEX(Maniobras!$K$5:$K$504,MATCH(A1248,Maniobras!$A$5:$A$504,0)),""))</f>
        <v/>
      </c>
      <c r="G1248" s="29"/>
      <c r="H1248" s="29"/>
      <c r="I1248" s="29" t="str">
        <f t="shared" si="39"/>
        <v/>
      </c>
      <c r="K1248" s="30"/>
      <c r="M1248" t="str">
        <f>IF($A1248=Ficha!$B$3,COUNTIF($A$5:$A1248,Ficha!$B$3),"")</f>
        <v/>
      </c>
    </row>
    <row r="1249" spans="2:13" x14ac:dyDescent="0.3">
      <c r="B1249" s="30" t="str">
        <f>IF(A1249="","",IFERROR(INDEX(Maniobras!$B$5:$B$504,MATCH(A1249,Maniobras!$A$5:$A$504,0)),""))</f>
        <v/>
      </c>
      <c r="C1249" t="str">
        <f t="shared" si="38"/>
        <v/>
      </c>
      <c r="D1249" t="str">
        <f>IF(A1249="","",IFERROR(INDEX(Maniobras!$D$5:$D$504,MATCH(A1249,Maniobras!$A$5:$A$504,0)),""))</f>
        <v/>
      </c>
      <c r="F1249" s="29" t="str">
        <f>IF(A1249="","",IFERROR(INDEX(Maniobras!$K$5:$K$504,MATCH(A1249,Maniobras!$A$5:$A$504,0)),""))</f>
        <v/>
      </c>
      <c r="G1249" s="29"/>
      <c r="H1249" s="29"/>
      <c r="I1249" s="29" t="str">
        <f t="shared" si="39"/>
        <v/>
      </c>
      <c r="K1249" s="30"/>
      <c r="M1249" t="str">
        <f>IF($A1249=Ficha!$B$3,COUNTIF($A$5:$A1249,Ficha!$B$3),"")</f>
        <v/>
      </c>
    </row>
    <row r="1250" spans="2:13" x14ac:dyDescent="0.3">
      <c r="B1250" s="30" t="str">
        <f>IF(A1250="","",IFERROR(INDEX(Maniobras!$B$5:$B$504,MATCH(A1250,Maniobras!$A$5:$A$504,0)),""))</f>
        <v/>
      </c>
      <c r="C1250" t="str">
        <f t="shared" si="38"/>
        <v/>
      </c>
      <c r="D1250" t="str">
        <f>IF(A1250="","",IFERROR(INDEX(Maniobras!$D$5:$D$504,MATCH(A1250,Maniobras!$A$5:$A$504,0)),""))</f>
        <v/>
      </c>
      <c r="F1250" s="29" t="str">
        <f>IF(A1250="","",IFERROR(INDEX(Maniobras!$K$5:$K$504,MATCH(A1250,Maniobras!$A$5:$A$504,0)),""))</f>
        <v/>
      </c>
      <c r="G1250" s="29"/>
      <c r="H1250" s="29"/>
      <c r="I1250" s="29" t="str">
        <f t="shared" si="39"/>
        <v/>
      </c>
      <c r="K1250" s="30"/>
      <c r="M1250" t="str">
        <f>IF($A1250=Ficha!$B$3,COUNTIF($A$5:$A1250,Ficha!$B$3),"")</f>
        <v/>
      </c>
    </row>
    <row r="1251" spans="2:13" x14ac:dyDescent="0.3">
      <c r="B1251" s="30" t="str">
        <f>IF(A1251="","",IFERROR(INDEX(Maniobras!$B$5:$B$504,MATCH(A1251,Maniobras!$A$5:$A$504,0)),""))</f>
        <v/>
      </c>
      <c r="C1251" t="str">
        <f t="shared" si="38"/>
        <v/>
      </c>
      <c r="D1251" t="str">
        <f>IF(A1251="","",IFERROR(INDEX(Maniobras!$D$5:$D$504,MATCH(A1251,Maniobras!$A$5:$A$504,0)),""))</f>
        <v/>
      </c>
      <c r="F1251" s="29" t="str">
        <f>IF(A1251="","",IFERROR(INDEX(Maniobras!$K$5:$K$504,MATCH(A1251,Maniobras!$A$5:$A$504,0)),""))</f>
        <v/>
      </c>
      <c r="G1251" s="29"/>
      <c r="H1251" s="29"/>
      <c r="I1251" s="29" t="str">
        <f t="shared" si="39"/>
        <v/>
      </c>
      <c r="K1251" s="30"/>
      <c r="M1251" t="str">
        <f>IF($A1251=Ficha!$B$3,COUNTIF($A$5:$A1251,Ficha!$B$3),"")</f>
        <v/>
      </c>
    </row>
    <row r="1252" spans="2:13" x14ac:dyDescent="0.3">
      <c r="B1252" s="30" t="str">
        <f>IF(A1252="","",IFERROR(INDEX(Maniobras!$B$5:$B$504,MATCH(A1252,Maniobras!$A$5:$A$504,0)),""))</f>
        <v/>
      </c>
      <c r="C1252" t="str">
        <f t="shared" si="38"/>
        <v/>
      </c>
      <c r="D1252" t="str">
        <f>IF(A1252="","",IFERROR(INDEX(Maniobras!$D$5:$D$504,MATCH(A1252,Maniobras!$A$5:$A$504,0)),""))</f>
        <v/>
      </c>
      <c r="F1252" s="29" t="str">
        <f>IF(A1252="","",IFERROR(INDEX(Maniobras!$K$5:$K$504,MATCH(A1252,Maniobras!$A$5:$A$504,0)),""))</f>
        <v/>
      </c>
      <c r="G1252" s="29"/>
      <c r="H1252" s="29"/>
      <c r="I1252" s="29" t="str">
        <f t="shared" si="39"/>
        <v/>
      </c>
      <c r="K1252" s="30"/>
      <c r="M1252" t="str">
        <f>IF($A1252=Ficha!$B$3,COUNTIF($A$5:$A1252,Ficha!$B$3),"")</f>
        <v/>
      </c>
    </row>
    <row r="1253" spans="2:13" x14ac:dyDescent="0.3">
      <c r="B1253" s="30" t="str">
        <f>IF(A1253="","",IFERROR(INDEX(Maniobras!$B$5:$B$504,MATCH(A1253,Maniobras!$A$5:$A$504,0)),""))</f>
        <v/>
      </c>
      <c r="C1253" t="str">
        <f t="shared" si="38"/>
        <v/>
      </c>
      <c r="D1253" t="str">
        <f>IF(A1253="","",IFERROR(INDEX(Maniobras!$D$5:$D$504,MATCH(A1253,Maniobras!$A$5:$A$504,0)),""))</f>
        <v/>
      </c>
      <c r="F1253" s="29" t="str">
        <f>IF(A1253="","",IFERROR(INDEX(Maniobras!$K$5:$K$504,MATCH(A1253,Maniobras!$A$5:$A$504,0)),""))</f>
        <v/>
      </c>
      <c r="G1253" s="29"/>
      <c r="H1253" s="29"/>
      <c r="I1253" s="29" t="str">
        <f t="shared" si="39"/>
        <v/>
      </c>
      <c r="K1253" s="30"/>
      <c r="M1253" t="str">
        <f>IF($A1253=Ficha!$B$3,COUNTIF($A$5:$A1253,Ficha!$B$3),"")</f>
        <v/>
      </c>
    </row>
    <row r="1254" spans="2:13" x14ac:dyDescent="0.3">
      <c r="B1254" s="30" t="str">
        <f>IF(A1254="","",IFERROR(INDEX(Maniobras!$B$5:$B$504,MATCH(A1254,Maniobras!$A$5:$A$504,0)),""))</f>
        <v/>
      </c>
      <c r="C1254" t="str">
        <f t="shared" si="38"/>
        <v/>
      </c>
      <c r="D1254" t="str">
        <f>IF(A1254="","",IFERROR(INDEX(Maniobras!$D$5:$D$504,MATCH(A1254,Maniobras!$A$5:$A$504,0)),""))</f>
        <v/>
      </c>
      <c r="F1254" s="29" t="str">
        <f>IF(A1254="","",IFERROR(INDEX(Maniobras!$K$5:$K$504,MATCH(A1254,Maniobras!$A$5:$A$504,0)),""))</f>
        <v/>
      </c>
      <c r="G1254" s="29"/>
      <c r="H1254" s="29"/>
      <c r="I1254" s="29" t="str">
        <f t="shared" si="39"/>
        <v/>
      </c>
      <c r="K1254" s="30"/>
      <c r="M1254" t="str">
        <f>IF($A1254=Ficha!$B$3,COUNTIF($A$5:$A1254,Ficha!$B$3),"")</f>
        <v/>
      </c>
    </row>
    <row r="1255" spans="2:13" x14ac:dyDescent="0.3">
      <c r="B1255" s="30" t="str">
        <f>IF(A1255="","",IFERROR(INDEX(Maniobras!$B$5:$B$504,MATCH(A1255,Maniobras!$A$5:$A$504,0)),""))</f>
        <v/>
      </c>
      <c r="C1255" t="str">
        <f t="shared" si="38"/>
        <v/>
      </c>
      <c r="D1255" t="str">
        <f>IF(A1255="","",IFERROR(INDEX(Maniobras!$D$5:$D$504,MATCH(A1255,Maniobras!$A$5:$A$504,0)),""))</f>
        <v/>
      </c>
      <c r="F1255" s="29" t="str">
        <f>IF(A1255="","",IFERROR(INDEX(Maniobras!$K$5:$K$504,MATCH(A1255,Maniobras!$A$5:$A$504,0)),""))</f>
        <v/>
      </c>
      <c r="G1255" s="29"/>
      <c r="H1255" s="29"/>
      <c r="I1255" s="29" t="str">
        <f t="shared" si="39"/>
        <v/>
      </c>
      <c r="K1255" s="30"/>
      <c r="M1255" t="str">
        <f>IF($A1255=Ficha!$B$3,COUNTIF($A$5:$A1255,Ficha!$B$3),"")</f>
        <v/>
      </c>
    </row>
    <row r="1256" spans="2:13" x14ac:dyDescent="0.3">
      <c r="B1256" s="30" t="str">
        <f>IF(A1256="","",IFERROR(INDEX(Maniobras!$B$5:$B$504,MATCH(A1256,Maniobras!$A$5:$A$504,0)),""))</f>
        <v/>
      </c>
      <c r="C1256" t="str">
        <f t="shared" si="38"/>
        <v/>
      </c>
      <c r="D1256" t="str">
        <f>IF(A1256="","",IFERROR(INDEX(Maniobras!$D$5:$D$504,MATCH(A1256,Maniobras!$A$5:$A$504,0)),""))</f>
        <v/>
      </c>
      <c r="F1256" s="29" t="str">
        <f>IF(A1256="","",IFERROR(INDEX(Maniobras!$K$5:$K$504,MATCH(A1256,Maniobras!$A$5:$A$504,0)),""))</f>
        <v/>
      </c>
      <c r="G1256" s="29"/>
      <c r="H1256" s="29"/>
      <c r="I1256" s="29" t="str">
        <f t="shared" si="39"/>
        <v/>
      </c>
      <c r="K1256" s="30"/>
      <c r="M1256" t="str">
        <f>IF($A1256=Ficha!$B$3,COUNTIF($A$5:$A1256,Ficha!$B$3),"")</f>
        <v/>
      </c>
    </row>
    <row r="1257" spans="2:13" x14ac:dyDescent="0.3">
      <c r="B1257" s="30" t="str">
        <f>IF(A1257="","",IFERROR(INDEX(Maniobras!$B$5:$B$504,MATCH(A1257,Maniobras!$A$5:$A$504,0)),""))</f>
        <v/>
      </c>
      <c r="C1257" t="str">
        <f t="shared" si="38"/>
        <v/>
      </c>
      <c r="D1257" t="str">
        <f>IF(A1257="","",IFERROR(INDEX(Maniobras!$D$5:$D$504,MATCH(A1257,Maniobras!$A$5:$A$504,0)),""))</f>
        <v/>
      </c>
      <c r="F1257" s="29" t="str">
        <f>IF(A1257="","",IFERROR(INDEX(Maniobras!$K$5:$K$504,MATCH(A1257,Maniobras!$A$5:$A$504,0)),""))</f>
        <v/>
      </c>
      <c r="G1257" s="29"/>
      <c r="H1257" s="29"/>
      <c r="I1257" s="29" t="str">
        <f t="shared" si="39"/>
        <v/>
      </c>
      <c r="K1257" s="30"/>
      <c r="M1257" t="str">
        <f>IF($A1257=Ficha!$B$3,COUNTIF($A$5:$A1257,Ficha!$B$3),"")</f>
        <v/>
      </c>
    </row>
    <row r="1258" spans="2:13" x14ac:dyDescent="0.3">
      <c r="B1258" s="30" t="str">
        <f>IF(A1258="","",IFERROR(INDEX(Maniobras!$B$5:$B$504,MATCH(A1258,Maniobras!$A$5:$A$504,0)),""))</f>
        <v/>
      </c>
      <c r="C1258" t="str">
        <f t="shared" si="38"/>
        <v/>
      </c>
      <c r="D1258" t="str">
        <f>IF(A1258="","",IFERROR(INDEX(Maniobras!$D$5:$D$504,MATCH(A1258,Maniobras!$A$5:$A$504,0)),""))</f>
        <v/>
      </c>
      <c r="F1258" s="29" t="str">
        <f>IF(A1258="","",IFERROR(INDEX(Maniobras!$K$5:$K$504,MATCH(A1258,Maniobras!$A$5:$A$504,0)),""))</f>
        <v/>
      </c>
      <c r="G1258" s="29"/>
      <c r="H1258" s="29"/>
      <c r="I1258" s="29" t="str">
        <f t="shared" si="39"/>
        <v/>
      </c>
      <c r="K1258" s="30"/>
      <c r="M1258" t="str">
        <f>IF($A1258=Ficha!$B$3,COUNTIF($A$5:$A1258,Ficha!$B$3),"")</f>
        <v/>
      </c>
    </row>
    <row r="1259" spans="2:13" x14ac:dyDescent="0.3">
      <c r="B1259" s="30" t="str">
        <f>IF(A1259="","",IFERROR(INDEX(Maniobras!$B$5:$B$504,MATCH(A1259,Maniobras!$A$5:$A$504,0)),""))</f>
        <v/>
      </c>
      <c r="C1259" t="str">
        <f t="shared" si="38"/>
        <v/>
      </c>
      <c r="D1259" t="str">
        <f>IF(A1259="","",IFERROR(INDEX(Maniobras!$D$5:$D$504,MATCH(A1259,Maniobras!$A$5:$A$504,0)),""))</f>
        <v/>
      </c>
      <c r="F1259" s="29" t="str">
        <f>IF(A1259="","",IFERROR(INDEX(Maniobras!$K$5:$K$504,MATCH(A1259,Maniobras!$A$5:$A$504,0)),""))</f>
        <v/>
      </c>
      <c r="G1259" s="29"/>
      <c r="H1259" s="29"/>
      <c r="I1259" s="29" t="str">
        <f t="shared" si="39"/>
        <v/>
      </c>
      <c r="K1259" s="30"/>
      <c r="M1259" t="str">
        <f>IF($A1259=Ficha!$B$3,COUNTIF($A$5:$A1259,Ficha!$B$3),"")</f>
        <v/>
      </c>
    </row>
    <row r="1260" spans="2:13" x14ac:dyDescent="0.3">
      <c r="B1260" s="30" t="str">
        <f>IF(A1260="","",IFERROR(INDEX(Maniobras!$B$5:$B$504,MATCH(A1260,Maniobras!$A$5:$A$504,0)),""))</f>
        <v/>
      </c>
      <c r="C1260" t="str">
        <f t="shared" si="38"/>
        <v/>
      </c>
      <c r="D1260" t="str">
        <f>IF(A1260="","",IFERROR(INDEX(Maniobras!$D$5:$D$504,MATCH(A1260,Maniobras!$A$5:$A$504,0)),""))</f>
        <v/>
      </c>
      <c r="F1260" s="29" t="str">
        <f>IF(A1260="","",IFERROR(INDEX(Maniobras!$K$5:$K$504,MATCH(A1260,Maniobras!$A$5:$A$504,0)),""))</f>
        <v/>
      </c>
      <c r="G1260" s="29"/>
      <c r="H1260" s="29"/>
      <c r="I1260" s="29" t="str">
        <f t="shared" si="39"/>
        <v/>
      </c>
      <c r="K1260" s="30"/>
      <c r="M1260" t="str">
        <f>IF($A1260=Ficha!$B$3,COUNTIF($A$5:$A1260,Ficha!$B$3),"")</f>
        <v/>
      </c>
    </row>
    <row r="1261" spans="2:13" x14ac:dyDescent="0.3">
      <c r="B1261" s="30" t="str">
        <f>IF(A1261="","",IFERROR(INDEX(Maniobras!$B$5:$B$504,MATCH(A1261,Maniobras!$A$5:$A$504,0)),""))</f>
        <v/>
      </c>
      <c r="C1261" t="str">
        <f t="shared" si="38"/>
        <v/>
      </c>
      <c r="D1261" t="str">
        <f>IF(A1261="","",IFERROR(INDEX(Maniobras!$D$5:$D$504,MATCH(A1261,Maniobras!$A$5:$A$504,0)),""))</f>
        <v/>
      </c>
      <c r="F1261" s="29" t="str">
        <f>IF(A1261="","",IFERROR(INDEX(Maniobras!$K$5:$K$504,MATCH(A1261,Maniobras!$A$5:$A$504,0)),""))</f>
        <v/>
      </c>
      <c r="G1261" s="29"/>
      <c r="H1261" s="29"/>
      <c r="I1261" s="29" t="str">
        <f t="shared" si="39"/>
        <v/>
      </c>
      <c r="K1261" s="30"/>
      <c r="M1261" t="str">
        <f>IF($A1261=Ficha!$B$3,COUNTIF($A$5:$A1261,Ficha!$B$3),"")</f>
        <v/>
      </c>
    </row>
    <row r="1262" spans="2:13" x14ac:dyDescent="0.3">
      <c r="B1262" s="30" t="str">
        <f>IF(A1262="","",IFERROR(INDEX(Maniobras!$B$5:$B$504,MATCH(A1262,Maniobras!$A$5:$A$504,0)),""))</f>
        <v/>
      </c>
      <c r="C1262" t="str">
        <f t="shared" si="38"/>
        <v/>
      </c>
      <c r="D1262" t="str">
        <f>IF(A1262="","",IFERROR(INDEX(Maniobras!$D$5:$D$504,MATCH(A1262,Maniobras!$A$5:$A$504,0)),""))</f>
        <v/>
      </c>
      <c r="F1262" s="29" t="str">
        <f>IF(A1262="","",IFERROR(INDEX(Maniobras!$K$5:$K$504,MATCH(A1262,Maniobras!$A$5:$A$504,0)),""))</f>
        <v/>
      </c>
      <c r="G1262" s="29"/>
      <c r="H1262" s="29"/>
      <c r="I1262" s="29" t="str">
        <f t="shared" si="39"/>
        <v/>
      </c>
      <c r="K1262" s="30"/>
      <c r="M1262" t="str">
        <f>IF($A1262=Ficha!$B$3,COUNTIF($A$5:$A1262,Ficha!$B$3),"")</f>
        <v/>
      </c>
    </row>
    <row r="1263" spans="2:13" x14ac:dyDescent="0.3">
      <c r="B1263" s="30" t="str">
        <f>IF(A1263="","",IFERROR(INDEX(Maniobras!$B$5:$B$504,MATCH(A1263,Maniobras!$A$5:$A$504,0)),""))</f>
        <v/>
      </c>
      <c r="C1263" t="str">
        <f t="shared" si="38"/>
        <v/>
      </c>
      <c r="D1263" t="str">
        <f>IF(A1263="","",IFERROR(INDEX(Maniobras!$D$5:$D$504,MATCH(A1263,Maniobras!$A$5:$A$504,0)),""))</f>
        <v/>
      </c>
      <c r="F1263" s="29" t="str">
        <f>IF(A1263="","",IFERROR(INDEX(Maniobras!$K$5:$K$504,MATCH(A1263,Maniobras!$A$5:$A$504,0)),""))</f>
        <v/>
      </c>
      <c r="G1263" s="29"/>
      <c r="H1263" s="29"/>
      <c r="I1263" s="29" t="str">
        <f t="shared" si="39"/>
        <v/>
      </c>
      <c r="K1263" s="30"/>
      <c r="M1263" t="str">
        <f>IF($A1263=Ficha!$B$3,COUNTIF($A$5:$A1263,Ficha!$B$3),"")</f>
        <v/>
      </c>
    </row>
    <row r="1264" spans="2:13" x14ac:dyDescent="0.3">
      <c r="B1264" s="30" t="str">
        <f>IF(A1264="","",IFERROR(INDEX(Maniobras!$B$5:$B$504,MATCH(A1264,Maniobras!$A$5:$A$504,0)),""))</f>
        <v/>
      </c>
      <c r="C1264" t="str">
        <f t="shared" si="38"/>
        <v/>
      </c>
      <c r="D1264" t="str">
        <f>IF(A1264="","",IFERROR(INDEX(Maniobras!$D$5:$D$504,MATCH(A1264,Maniobras!$A$5:$A$504,0)),""))</f>
        <v/>
      </c>
      <c r="F1264" s="29" t="str">
        <f>IF(A1264="","",IFERROR(INDEX(Maniobras!$K$5:$K$504,MATCH(A1264,Maniobras!$A$5:$A$504,0)),""))</f>
        <v/>
      </c>
      <c r="G1264" s="29"/>
      <c r="H1264" s="29"/>
      <c r="I1264" s="29" t="str">
        <f t="shared" si="39"/>
        <v/>
      </c>
      <c r="K1264" s="30"/>
      <c r="M1264" t="str">
        <f>IF($A1264=Ficha!$B$3,COUNTIF($A$5:$A1264,Ficha!$B$3),"")</f>
        <v/>
      </c>
    </row>
    <row r="1265" spans="2:13" x14ac:dyDescent="0.3">
      <c r="B1265" s="30" t="str">
        <f>IF(A1265="","",IFERROR(INDEX(Maniobras!$B$5:$B$504,MATCH(A1265,Maniobras!$A$5:$A$504,0)),""))</f>
        <v/>
      </c>
      <c r="C1265" t="str">
        <f t="shared" si="38"/>
        <v/>
      </c>
      <c r="D1265" t="str">
        <f>IF(A1265="","",IFERROR(INDEX(Maniobras!$D$5:$D$504,MATCH(A1265,Maniobras!$A$5:$A$504,0)),""))</f>
        <v/>
      </c>
      <c r="F1265" s="29" t="str">
        <f>IF(A1265="","",IFERROR(INDEX(Maniobras!$K$5:$K$504,MATCH(A1265,Maniobras!$A$5:$A$504,0)),""))</f>
        <v/>
      </c>
      <c r="G1265" s="29"/>
      <c r="H1265" s="29"/>
      <c r="I1265" s="29" t="str">
        <f t="shared" si="39"/>
        <v/>
      </c>
      <c r="K1265" s="30"/>
      <c r="M1265" t="str">
        <f>IF($A1265=Ficha!$B$3,COUNTIF($A$5:$A1265,Ficha!$B$3),"")</f>
        <v/>
      </c>
    </row>
    <row r="1266" spans="2:13" x14ac:dyDescent="0.3">
      <c r="B1266" s="30" t="str">
        <f>IF(A1266="","",IFERROR(INDEX(Maniobras!$B$5:$B$504,MATCH(A1266,Maniobras!$A$5:$A$504,0)),""))</f>
        <v/>
      </c>
      <c r="C1266" t="str">
        <f t="shared" si="38"/>
        <v/>
      </c>
      <c r="D1266" t="str">
        <f>IF(A1266="","",IFERROR(INDEX(Maniobras!$D$5:$D$504,MATCH(A1266,Maniobras!$A$5:$A$504,0)),""))</f>
        <v/>
      </c>
      <c r="F1266" s="29" t="str">
        <f>IF(A1266="","",IFERROR(INDEX(Maniobras!$K$5:$K$504,MATCH(A1266,Maniobras!$A$5:$A$504,0)),""))</f>
        <v/>
      </c>
      <c r="G1266" s="29"/>
      <c r="H1266" s="29"/>
      <c r="I1266" s="29" t="str">
        <f t="shared" si="39"/>
        <v/>
      </c>
      <c r="K1266" s="30"/>
      <c r="M1266" t="str">
        <f>IF($A1266=Ficha!$B$3,COUNTIF($A$5:$A1266,Ficha!$B$3),"")</f>
        <v/>
      </c>
    </row>
    <row r="1267" spans="2:13" x14ac:dyDescent="0.3">
      <c r="B1267" s="30" t="str">
        <f>IF(A1267="","",IFERROR(INDEX(Maniobras!$B$5:$B$504,MATCH(A1267,Maniobras!$A$5:$A$504,0)),""))</f>
        <v/>
      </c>
      <c r="C1267" t="str">
        <f t="shared" si="38"/>
        <v/>
      </c>
      <c r="D1267" t="str">
        <f>IF(A1267="","",IFERROR(INDEX(Maniobras!$D$5:$D$504,MATCH(A1267,Maniobras!$A$5:$A$504,0)),""))</f>
        <v/>
      </c>
      <c r="F1267" s="29" t="str">
        <f>IF(A1267="","",IFERROR(INDEX(Maniobras!$K$5:$K$504,MATCH(A1267,Maniobras!$A$5:$A$504,0)),""))</f>
        <v/>
      </c>
      <c r="G1267" s="29"/>
      <c r="H1267" s="29"/>
      <c r="I1267" s="29" t="str">
        <f t="shared" si="39"/>
        <v/>
      </c>
      <c r="K1267" s="30"/>
      <c r="M1267" t="str">
        <f>IF($A1267=Ficha!$B$3,COUNTIF($A$5:$A1267,Ficha!$B$3),"")</f>
        <v/>
      </c>
    </row>
    <row r="1268" spans="2:13" x14ac:dyDescent="0.3">
      <c r="B1268" s="30" t="str">
        <f>IF(A1268="","",IFERROR(INDEX(Maniobras!$B$5:$B$504,MATCH(A1268,Maniobras!$A$5:$A$504,0)),""))</f>
        <v/>
      </c>
      <c r="C1268" t="str">
        <f t="shared" si="38"/>
        <v/>
      </c>
      <c r="D1268" t="str">
        <f>IF(A1268="","",IFERROR(INDEX(Maniobras!$D$5:$D$504,MATCH(A1268,Maniobras!$A$5:$A$504,0)),""))</f>
        <v/>
      </c>
      <c r="F1268" s="29" t="str">
        <f>IF(A1268="","",IFERROR(INDEX(Maniobras!$K$5:$K$504,MATCH(A1268,Maniobras!$A$5:$A$504,0)),""))</f>
        <v/>
      </c>
      <c r="G1268" s="29"/>
      <c r="H1268" s="29"/>
      <c r="I1268" s="29" t="str">
        <f t="shared" si="39"/>
        <v/>
      </c>
      <c r="K1268" s="30"/>
      <c r="M1268" t="str">
        <f>IF($A1268=Ficha!$B$3,COUNTIF($A$5:$A1268,Ficha!$B$3),"")</f>
        <v/>
      </c>
    </row>
    <row r="1269" spans="2:13" x14ac:dyDescent="0.3">
      <c r="B1269" s="30" t="str">
        <f>IF(A1269="","",IFERROR(INDEX(Maniobras!$B$5:$B$504,MATCH(A1269,Maniobras!$A$5:$A$504,0)),""))</f>
        <v/>
      </c>
      <c r="C1269" t="str">
        <f t="shared" si="38"/>
        <v/>
      </c>
      <c r="D1269" t="str">
        <f>IF(A1269="","",IFERROR(INDEX(Maniobras!$D$5:$D$504,MATCH(A1269,Maniobras!$A$5:$A$504,0)),""))</f>
        <v/>
      </c>
      <c r="F1269" s="29" t="str">
        <f>IF(A1269="","",IFERROR(INDEX(Maniobras!$K$5:$K$504,MATCH(A1269,Maniobras!$A$5:$A$504,0)),""))</f>
        <v/>
      </c>
      <c r="G1269" s="29"/>
      <c r="H1269" s="29"/>
      <c r="I1269" s="29" t="str">
        <f t="shared" si="39"/>
        <v/>
      </c>
      <c r="K1269" s="30"/>
      <c r="M1269" t="str">
        <f>IF($A1269=Ficha!$B$3,COUNTIF($A$5:$A1269,Ficha!$B$3),"")</f>
        <v/>
      </c>
    </row>
    <row r="1270" spans="2:13" x14ac:dyDescent="0.3">
      <c r="B1270" s="30" t="str">
        <f>IF(A1270="","",IFERROR(INDEX(Maniobras!$B$5:$B$504,MATCH(A1270,Maniobras!$A$5:$A$504,0)),""))</f>
        <v/>
      </c>
      <c r="C1270" t="str">
        <f t="shared" si="38"/>
        <v/>
      </c>
      <c r="D1270" t="str">
        <f>IF(A1270="","",IFERROR(INDEX(Maniobras!$D$5:$D$504,MATCH(A1270,Maniobras!$A$5:$A$504,0)),""))</f>
        <v/>
      </c>
      <c r="F1270" s="29" t="str">
        <f>IF(A1270="","",IFERROR(INDEX(Maniobras!$K$5:$K$504,MATCH(A1270,Maniobras!$A$5:$A$504,0)),""))</f>
        <v/>
      </c>
      <c r="G1270" s="29"/>
      <c r="H1270" s="29"/>
      <c r="I1270" s="29" t="str">
        <f t="shared" si="39"/>
        <v/>
      </c>
      <c r="K1270" s="30"/>
      <c r="M1270" t="str">
        <f>IF($A1270=Ficha!$B$3,COUNTIF($A$5:$A1270,Ficha!$B$3),"")</f>
        <v/>
      </c>
    </row>
    <row r="1271" spans="2:13" x14ac:dyDescent="0.3">
      <c r="B1271" s="30" t="str">
        <f>IF(A1271="","",IFERROR(INDEX(Maniobras!$B$5:$B$504,MATCH(A1271,Maniobras!$A$5:$A$504,0)),""))</f>
        <v/>
      </c>
      <c r="C1271" t="str">
        <f t="shared" si="38"/>
        <v/>
      </c>
      <c r="D1271" t="str">
        <f>IF(A1271="","",IFERROR(INDEX(Maniobras!$D$5:$D$504,MATCH(A1271,Maniobras!$A$5:$A$504,0)),""))</f>
        <v/>
      </c>
      <c r="F1271" s="29" t="str">
        <f>IF(A1271="","",IFERROR(INDEX(Maniobras!$K$5:$K$504,MATCH(A1271,Maniobras!$A$5:$A$504,0)),""))</f>
        <v/>
      </c>
      <c r="G1271" s="29"/>
      <c r="H1271" s="29"/>
      <c r="I1271" s="29" t="str">
        <f t="shared" si="39"/>
        <v/>
      </c>
      <c r="K1271" s="30"/>
      <c r="M1271" t="str">
        <f>IF($A1271=Ficha!$B$3,COUNTIF($A$5:$A1271,Ficha!$B$3),"")</f>
        <v/>
      </c>
    </row>
    <row r="1272" spans="2:13" x14ac:dyDescent="0.3">
      <c r="B1272" s="30" t="str">
        <f>IF(A1272="","",IFERROR(INDEX(Maniobras!$B$5:$B$504,MATCH(A1272,Maniobras!$A$5:$A$504,0)),""))</f>
        <v/>
      </c>
      <c r="C1272" t="str">
        <f t="shared" si="38"/>
        <v/>
      </c>
      <c r="D1272" t="str">
        <f>IF(A1272="","",IFERROR(INDEX(Maniobras!$D$5:$D$504,MATCH(A1272,Maniobras!$A$5:$A$504,0)),""))</f>
        <v/>
      </c>
      <c r="F1272" s="29" t="str">
        <f>IF(A1272="","",IFERROR(INDEX(Maniobras!$K$5:$K$504,MATCH(A1272,Maniobras!$A$5:$A$504,0)),""))</f>
        <v/>
      </c>
      <c r="G1272" s="29"/>
      <c r="H1272" s="29"/>
      <c r="I1272" s="29" t="str">
        <f t="shared" si="39"/>
        <v/>
      </c>
      <c r="K1272" s="30"/>
      <c r="M1272" t="str">
        <f>IF($A1272=Ficha!$B$3,COUNTIF($A$5:$A1272,Ficha!$B$3),"")</f>
        <v/>
      </c>
    </row>
    <row r="1273" spans="2:13" x14ac:dyDescent="0.3">
      <c r="B1273" s="30" t="str">
        <f>IF(A1273="","",IFERROR(INDEX(Maniobras!$B$5:$B$504,MATCH(A1273,Maniobras!$A$5:$A$504,0)),""))</f>
        <v/>
      </c>
      <c r="C1273" t="str">
        <f t="shared" si="38"/>
        <v/>
      </c>
      <c r="D1273" t="str">
        <f>IF(A1273="","",IFERROR(INDEX(Maniobras!$D$5:$D$504,MATCH(A1273,Maniobras!$A$5:$A$504,0)),""))</f>
        <v/>
      </c>
      <c r="F1273" s="29" t="str">
        <f>IF(A1273="","",IFERROR(INDEX(Maniobras!$K$5:$K$504,MATCH(A1273,Maniobras!$A$5:$A$504,0)),""))</f>
        <v/>
      </c>
      <c r="G1273" s="29"/>
      <c r="H1273" s="29"/>
      <c r="I1273" s="29" t="str">
        <f t="shared" si="39"/>
        <v/>
      </c>
      <c r="K1273" s="30"/>
      <c r="M1273" t="str">
        <f>IF($A1273=Ficha!$B$3,COUNTIF($A$5:$A1273,Ficha!$B$3),"")</f>
        <v/>
      </c>
    </row>
    <row r="1274" spans="2:13" x14ac:dyDescent="0.3">
      <c r="B1274" s="30" t="str">
        <f>IF(A1274="","",IFERROR(INDEX(Maniobras!$B$5:$B$504,MATCH(A1274,Maniobras!$A$5:$A$504,0)),""))</f>
        <v/>
      </c>
      <c r="C1274" t="str">
        <f t="shared" si="38"/>
        <v/>
      </c>
      <c r="D1274" t="str">
        <f>IF(A1274="","",IFERROR(INDEX(Maniobras!$D$5:$D$504,MATCH(A1274,Maniobras!$A$5:$A$504,0)),""))</f>
        <v/>
      </c>
      <c r="F1274" s="29" t="str">
        <f>IF(A1274="","",IFERROR(INDEX(Maniobras!$K$5:$K$504,MATCH(A1274,Maniobras!$A$5:$A$504,0)),""))</f>
        <v/>
      </c>
      <c r="G1274" s="29"/>
      <c r="H1274" s="29"/>
      <c r="I1274" s="29" t="str">
        <f t="shared" si="39"/>
        <v/>
      </c>
      <c r="K1274" s="30"/>
      <c r="M1274" t="str">
        <f>IF($A1274=Ficha!$B$3,COUNTIF($A$5:$A1274,Ficha!$B$3),"")</f>
        <v/>
      </c>
    </row>
    <row r="1275" spans="2:13" x14ac:dyDescent="0.3">
      <c r="B1275" s="30" t="str">
        <f>IF(A1275="","",IFERROR(INDEX(Maniobras!$B$5:$B$504,MATCH(A1275,Maniobras!$A$5:$A$504,0)),""))</f>
        <v/>
      </c>
      <c r="C1275" t="str">
        <f t="shared" si="38"/>
        <v/>
      </c>
      <c r="D1275" t="str">
        <f>IF(A1275="","",IFERROR(INDEX(Maniobras!$D$5:$D$504,MATCH(A1275,Maniobras!$A$5:$A$504,0)),""))</f>
        <v/>
      </c>
      <c r="F1275" s="29" t="str">
        <f>IF(A1275="","",IFERROR(INDEX(Maniobras!$K$5:$K$504,MATCH(A1275,Maniobras!$A$5:$A$504,0)),""))</f>
        <v/>
      </c>
      <c r="G1275" s="29"/>
      <c r="H1275" s="29"/>
      <c r="I1275" s="29" t="str">
        <f t="shared" si="39"/>
        <v/>
      </c>
      <c r="K1275" s="30"/>
      <c r="M1275" t="str">
        <f>IF($A1275=Ficha!$B$3,COUNTIF($A$5:$A1275,Ficha!$B$3),"")</f>
        <v/>
      </c>
    </row>
    <row r="1276" spans="2:13" x14ac:dyDescent="0.3">
      <c r="B1276" s="30" t="str">
        <f>IF(A1276="","",IFERROR(INDEX(Maniobras!$B$5:$B$504,MATCH(A1276,Maniobras!$A$5:$A$504,0)),""))</f>
        <v/>
      </c>
      <c r="C1276" t="str">
        <f t="shared" si="38"/>
        <v/>
      </c>
      <c r="D1276" t="str">
        <f>IF(A1276="","",IFERROR(INDEX(Maniobras!$D$5:$D$504,MATCH(A1276,Maniobras!$A$5:$A$504,0)),""))</f>
        <v/>
      </c>
      <c r="F1276" s="29" t="str">
        <f>IF(A1276="","",IFERROR(INDEX(Maniobras!$K$5:$K$504,MATCH(A1276,Maniobras!$A$5:$A$504,0)),""))</f>
        <v/>
      </c>
      <c r="G1276" s="29"/>
      <c r="H1276" s="29"/>
      <c r="I1276" s="29" t="str">
        <f t="shared" si="39"/>
        <v/>
      </c>
      <c r="K1276" s="30"/>
      <c r="M1276" t="str">
        <f>IF($A1276=Ficha!$B$3,COUNTIF($A$5:$A1276,Ficha!$B$3),"")</f>
        <v/>
      </c>
    </row>
    <row r="1277" spans="2:13" x14ac:dyDescent="0.3">
      <c r="B1277" s="30" t="str">
        <f>IF(A1277="","",IFERROR(INDEX(Maniobras!$B$5:$B$504,MATCH(A1277,Maniobras!$A$5:$A$504,0)),""))</f>
        <v/>
      </c>
      <c r="C1277" t="str">
        <f t="shared" si="38"/>
        <v/>
      </c>
      <c r="D1277" t="str">
        <f>IF(A1277="","",IFERROR(INDEX(Maniobras!$D$5:$D$504,MATCH(A1277,Maniobras!$A$5:$A$504,0)),""))</f>
        <v/>
      </c>
      <c r="F1277" s="29" t="str">
        <f>IF(A1277="","",IFERROR(INDEX(Maniobras!$K$5:$K$504,MATCH(A1277,Maniobras!$A$5:$A$504,0)),""))</f>
        <v/>
      </c>
      <c r="G1277" s="29"/>
      <c r="H1277" s="29"/>
      <c r="I1277" s="29" t="str">
        <f t="shared" si="39"/>
        <v/>
      </c>
      <c r="K1277" s="30"/>
      <c r="M1277" t="str">
        <f>IF($A1277=Ficha!$B$3,COUNTIF($A$5:$A1277,Ficha!$B$3),"")</f>
        <v/>
      </c>
    </row>
    <row r="1278" spans="2:13" x14ac:dyDescent="0.3">
      <c r="B1278" s="30" t="str">
        <f>IF(A1278="","",IFERROR(INDEX(Maniobras!$B$5:$B$504,MATCH(A1278,Maniobras!$A$5:$A$504,0)),""))</f>
        <v/>
      </c>
      <c r="C1278" t="str">
        <f t="shared" si="38"/>
        <v/>
      </c>
      <c r="D1278" t="str">
        <f>IF(A1278="","",IFERROR(INDEX(Maniobras!$D$5:$D$504,MATCH(A1278,Maniobras!$A$5:$A$504,0)),""))</f>
        <v/>
      </c>
      <c r="F1278" s="29" t="str">
        <f>IF(A1278="","",IFERROR(INDEX(Maniobras!$K$5:$K$504,MATCH(A1278,Maniobras!$A$5:$A$504,0)),""))</f>
        <v/>
      </c>
      <c r="G1278" s="29"/>
      <c r="H1278" s="29"/>
      <c r="I1278" s="29" t="str">
        <f t="shared" si="39"/>
        <v/>
      </c>
      <c r="K1278" s="30"/>
      <c r="M1278" t="str">
        <f>IF($A1278=Ficha!$B$3,COUNTIF($A$5:$A1278,Ficha!$B$3),"")</f>
        <v/>
      </c>
    </row>
    <row r="1279" spans="2:13" x14ac:dyDescent="0.3">
      <c r="B1279" s="30" t="str">
        <f>IF(A1279="","",IFERROR(INDEX(Maniobras!$B$5:$B$504,MATCH(A1279,Maniobras!$A$5:$A$504,0)),""))</f>
        <v/>
      </c>
      <c r="C1279" t="str">
        <f t="shared" si="38"/>
        <v/>
      </c>
      <c r="D1279" t="str">
        <f>IF(A1279="","",IFERROR(INDEX(Maniobras!$D$5:$D$504,MATCH(A1279,Maniobras!$A$5:$A$504,0)),""))</f>
        <v/>
      </c>
      <c r="F1279" s="29" t="str">
        <f>IF(A1279="","",IFERROR(INDEX(Maniobras!$K$5:$K$504,MATCH(A1279,Maniobras!$A$5:$A$504,0)),""))</f>
        <v/>
      </c>
      <c r="G1279" s="29"/>
      <c r="H1279" s="29"/>
      <c r="I1279" s="29" t="str">
        <f t="shared" si="39"/>
        <v/>
      </c>
      <c r="K1279" s="30"/>
      <c r="M1279" t="str">
        <f>IF($A1279=Ficha!$B$3,COUNTIF($A$5:$A1279,Ficha!$B$3),"")</f>
        <v/>
      </c>
    </row>
    <row r="1280" spans="2:13" x14ac:dyDescent="0.3">
      <c r="B1280" s="30" t="str">
        <f>IF(A1280="","",IFERROR(INDEX(Maniobras!$B$5:$B$504,MATCH(A1280,Maniobras!$A$5:$A$504,0)),""))</f>
        <v/>
      </c>
      <c r="C1280" t="str">
        <f t="shared" si="38"/>
        <v/>
      </c>
      <c r="D1280" t="str">
        <f>IF(A1280="","",IFERROR(INDEX(Maniobras!$D$5:$D$504,MATCH(A1280,Maniobras!$A$5:$A$504,0)),""))</f>
        <v/>
      </c>
      <c r="F1280" s="29" t="str">
        <f>IF(A1280="","",IFERROR(INDEX(Maniobras!$K$5:$K$504,MATCH(A1280,Maniobras!$A$5:$A$504,0)),""))</f>
        <v/>
      </c>
      <c r="G1280" s="29"/>
      <c r="H1280" s="29"/>
      <c r="I1280" s="29" t="str">
        <f t="shared" si="39"/>
        <v/>
      </c>
      <c r="K1280" s="30"/>
      <c r="M1280" t="str">
        <f>IF($A1280=Ficha!$B$3,COUNTIF($A$5:$A1280,Ficha!$B$3),"")</f>
        <v/>
      </c>
    </row>
    <row r="1281" spans="2:13" x14ac:dyDescent="0.3">
      <c r="B1281" s="30" t="str">
        <f>IF(A1281="","",IFERROR(INDEX(Maniobras!$B$5:$B$504,MATCH(A1281,Maniobras!$A$5:$A$504,0)),""))</f>
        <v/>
      </c>
      <c r="C1281" t="str">
        <f t="shared" si="38"/>
        <v/>
      </c>
      <c r="D1281" t="str">
        <f>IF(A1281="","",IFERROR(INDEX(Maniobras!$D$5:$D$504,MATCH(A1281,Maniobras!$A$5:$A$504,0)),""))</f>
        <v/>
      </c>
      <c r="F1281" s="29" t="str">
        <f>IF(A1281="","",IFERROR(INDEX(Maniobras!$K$5:$K$504,MATCH(A1281,Maniobras!$A$5:$A$504,0)),""))</f>
        <v/>
      </c>
      <c r="G1281" s="29"/>
      <c r="H1281" s="29"/>
      <c r="I1281" s="29" t="str">
        <f t="shared" si="39"/>
        <v/>
      </c>
      <c r="K1281" s="30"/>
      <c r="M1281" t="str">
        <f>IF($A1281=Ficha!$B$3,COUNTIF($A$5:$A1281,Ficha!$B$3),"")</f>
        <v/>
      </c>
    </row>
    <row r="1282" spans="2:13" x14ac:dyDescent="0.3">
      <c r="B1282" s="30" t="str">
        <f>IF(A1282="","",IFERROR(INDEX(Maniobras!$B$5:$B$504,MATCH(A1282,Maniobras!$A$5:$A$504,0)),""))</f>
        <v/>
      </c>
      <c r="C1282" t="str">
        <f t="shared" si="38"/>
        <v/>
      </c>
      <c r="D1282" t="str">
        <f>IF(A1282="","",IFERROR(INDEX(Maniobras!$D$5:$D$504,MATCH(A1282,Maniobras!$A$5:$A$504,0)),""))</f>
        <v/>
      </c>
      <c r="F1282" s="29" t="str">
        <f>IF(A1282="","",IFERROR(INDEX(Maniobras!$K$5:$K$504,MATCH(A1282,Maniobras!$A$5:$A$504,0)),""))</f>
        <v/>
      </c>
      <c r="G1282" s="29"/>
      <c r="H1282" s="29"/>
      <c r="I1282" s="29" t="str">
        <f t="shared" si="39"/>
        <v/>
      </c>
      <c r="K1282" s="30"/>
      <c r="M1282" t="str">
        <f>IF($A1282=Ficha!$B$3,COUNTIF($A$5:$A1282,Ficha!$B$3),"")</f>
        <v/>
      </c>
    </row>
    <row r="1283" spans="2:13" x14ac:dyDescent="0.3">
      <c r="B1283" s="30" t="str">
        <f>IF(A1283="","",IFERROR(INDEX(Maniobras!$B$5:$B$504,MATCH(A1283,Maniobras!$A$5:$A$504,0)),""))</f>
        <v/>
      </c>
      <c r="C1283" t="str">
        <f t="shared" si="38"/>
        <v/>
      </c>
      <c r="D1283" t="str">
        <f>IF(A1283="","",IFERROR(INDEX(Maniobras!$D$5:$D$504,MATCH(A1283,Maniobras!$A$5:$A$504,0)),""))</f>
        <v/>
      </c>
      <c r="F1283" s="29" t="str">
        <f>IF(A1283="","",IFERROR(INDEX(Maniobras!$K$5:$K$504,MATCH(A1283,Maniobras!$A$5:$A$504,0)),""))</f>
        <v/>
      </c>
      <c r="G1283" s="29"/>
      <c r="H1283" s="29"/>
      <c r="I1283" s="29" t="str">
        <f t="shared" si="39"/>
        <v/>
      </c>
      <c r="K1283" s="30"/>
      <c r="M1283" t="str">
        <f>IF($A1283=Ficha!$B$3,COUNTIF($A$5:$A1283,Ficha!$B$3),"")</f>
        <v/>
      </c>
    </row>
    <row r="1284" spans="2:13" x14ac:dyDescent="0.3">
      <c r="B1284" s="30" t="str">
        <f>IF(A1284="","",IFERROR(INDEX(Maniobras!$B$5:$B$504,MATCH(A1284,Maniobras!$A$5:$A$504,0)),""))</f>
        <v/>
      </c>
      <c r="C1284" t="str">
        <f t="shared" si="38"/>
        <v/>
      </c>
      <c r="D1284" t="str">
        <f>IF(A1284="","",IFERROR(INDEX(Maniobras!$D$5:$D$504,MATCH(A1284,Maniobras!$A$5:$A$504,0)),""))</f>
        <v/>
      </c>
      <c r="F1284" s="29" t="str">
        <f>IF(A1284="","",IFERROR(INDEX(Maniobras!$K$5:$K$504,MATCH(A1284,Maniobras!$A$5:$A$504,0)),""))</f>
        <v/>
      </c>
      <c r="G1284" s="29"/>
      <c r="H1284" s="29"/>
      <c r="I1284" s="29" t="str">
        <f t="shared" si="39"/>
        <v/>
      </c>
      <c r="K1284" s="30"/>
      <c r="M1284" t="str">
        <f>IF($A1284=Ficha!$B$3,COUNTIF($A$5:$A1284,Ficha!$B$3),"")</f>
        <v/>
      </c>
    </row>
    <row r="1285" spans="2:13" x14ac:dyDescent="0.3">
      <c r="B1285" s="30" t="str">
        <f>IF(A1285="","",IFERROR(INDEX(Maniobras!$B$5:$B$504,MATCH(A1285,Maniobras!$A$5:$A$504,0)),""))</f>
        <v/>
      </c>
      <c r="C1285" t="str">
        <f t="shared" ref="C1285:C1348" si="40">IF(B1285="","",TEXT(B1285,"yyyy-mm"))</f>
        <v/>
      </c>
      <c r="D1285" t="str">
        <f>IF(A1285="","",IFERROR(INDEX(Maniobras!$D$5:$D$504,MATCH(A1285,Maniobras!$A$5:$A$504,0)),""))</f>
        <v/>
      </c>
      <c r="F1285" s="29" t="str">
        <f>IF(A1285="","",IFERROR(INDEX(Maniobras!$K$5:$K$504,MATCH(A1285,Maniobras!$A$5:$A$504,0)),""))</f>
        <v/>
      </c>
      <c r="G1285" s="29"/>
      <c r="H1285" s="29"/>
      <c r="I1285" s="29" t="str">
        <f t="shared" ref="I1285:I1348" si="41">IF(G1285="","",G1285+N(H1285))</f>
        <v/>
      </c>
      <c r="K1285" s="30"/>
      <c r="M1285" t="str">
        <f>IF($A1285=Ficha!$B$3,COUNTIF($A$5:$A1285,Ficha!$B$3),"")</f>
        <v/>
      </c>
    </row>
    <row r="1286" spans="2:13" x14ac:dyDescent="0.3">
      <c r="B1286" s="30" t="str">
        <f>IF(A1286="","",IFERROR(INDEX(Maniobras!$B$5:$B$504,MATCH(A1286,Maniobras!$A$5:$A$504,0)),""))</f>
        <v/>
      </c>
      <c r="C1286" t="str">
        <f t="shared" si="40"/>
        <v/>
      </c>
      <c r="D1286" t="str">
        <f>IF(A1286="","",IFERROR(INDEX(Maniobras!$D$5:$D$504,MATCH(A1286,Maniobras!$A$5:$A$504,0)),""))</f>
        <v/>
      </c>
      <c r="F1286" s="29" t="str">
        <f>IF(A1286="","",IFERROR(INDEX(Maniobras!$K$5:$K$504,MATCH(A1286,Maniobras!$A$5:$A$504,0)),""))</f>
        <v/>
      </c>
      <c r="G1286" s="29"/>
      <c r="H1286" s="29"/>
      <c r="I1286" s="29" t="str">
        <f t="shared" si="41"/>
        <v/>
      </c>
      <c r="K1286" s="30"/>
      <c r="M1286" t="str">
        <f>IF($A1286=Ficha!$B$3,COUNTIF($A$5:$A1286,Ficha!$B$3),"")</f>
        <v/>
      </c>
    </row>
    <row r="1287" spans="2:13" x14ac:dyDescent="0.3">
      <c r="B1287" s="30" t="str">
        <f>IF(A1287="","",IFERROR(INDEX(Maniobras!$B$5:$B$504,MATCH(A1287,Maniobras!$A$5:$A$504,0)),""))</f>
        <v/>
      </c>
      <c r="C1287" t="str">
        <f t="shared" si="40"/>
        <v/>
      </c>
      <c r="D1287" t="str">
        <f>IF(A1287="","",IFERROR(INDEX(Maniobras!$D$5:$D$504,MATCH(A1287,Maniobras!$A$5:$A$504,0)),""))</f>
        <v/>
      </c>
      <c r="F1287" s="29" t="str">
        <f>IF(A1287="","",IFERROR(INDEX(Maniobras!$K$5:$K$504,MATCH(A1287,Maniobras!$A$5:$A$504,0)),""))</f>
        <v/>
      </c>
      <c r="G1287" s="29"/>
      <c r="H1287" s="29"/>
      <c r="I1287" s="29" t="str">
        <f t="shared" si="41"/>
        <v/>
      </c>
      <c r="K1287" s="30"/>
      <c r="M1287" t="str">
        <f>IF($A1287=Ficha!$B$3,COUNTIF($A$5:$A1287,Ficha!$B$3),"")</f>
        <v/>
      </c>
    </row>
    <row r="1288" spans="2:13" x14ac:dyDescent="0.3">
      <c r="B1288" s="30" t="str">
        <f>IF(A1288="","",IFERROR(INDEX(Maniobras!$B$5:$B$504,MATCH(A1288,Maniobras!$A$5:$A$504,0)),""))</f>
        <v/>
      </c>
      <c r="C1288" t="str">
        <f t="shared" si="40"/>
        <v/>
      </c>
      <c r="D1288" t="str">
        <f>IF(A1288="","",IFERROR(INDEX(Maniobras!$D$5:$D$504,MATCH(A1288,Maniobras!$A$5:$A$504,0)),""))</f>
        <v/>
      </c>
      <c r="F1288" s="29" t="str">
        <f>IF(A1288="","",IFERROR(INDEX(Maniobras!$K$5:$K$504,MATCH(A1288,Maniobras!$A$5:$A$504,0)),""))</f>
        <v/>
      </c>
      <c r="G1288" s="29"/>
      <c r="H1288" s="29"/>
      <c r="I1288" s="29" t="str">
        <f t="shared" si="41"/>
        <v/>
      </c>
      <c r="K1288" s="30"/>
      <c r="M1288" t="str">
        <f>IF($A1288=Ficha!$B$3,COUNTIF($A$5:$A1288,Ficha!$B$3),"")</f>
        <v/>
      </c>
    </row>
    <row r="1289" spans="2:13" x14ac:dyDescent="0.3">
      <c r="B1289" s="30" t="str">
        <f>IF(A1289="","",IFERROR(INDEX(Maniobras!$B$5:$B$504,MATCH(A1289,Maniobras!$A$5:$A$504,0)),""))</f>
        <v/>
      </c>
      <c r="C1289" t="str">
        <f t="shared" si="40"/>
        <v/>
      </c>
      <c r="D1289" t="str">
        <f>IF(A1289="","",IFERROR(INDEX(Maniobras!$D$5:$D$504,MATCH(A1289,Maniobras!$A$5:$A$504,0)),""))</f>
        <v/>
      </c>
      <c r="F1289" s="29" t="str">
        <f>IF(A1289="","",IFERROR(INDEX(Maniobras!$K$5:$K$504,MATCH(A1289,Maniobras!$A$5:$A$504,0)),""))</f>
        <v/>
      </c>
      <c r="G1289" s="29"/>
      <c r="H1289" s="29"/>
      <c r="I1289" s="29" t="str">
        <f t="shared" si="41"/>
        <v/>
      </c>
      <c r="K1289" s="30"/>
      <c r="M1289" t="str">
        <f>IF($A1289=Ficha!$B$3,COUNTIF($A$5:$A1289,Ficha!$B$3),"")</f>
        <v/>
      </c>
    </row>
    <row r="1290" spans="2:13" x14ac:dyDescent="0.3">
      <c r="B1290" s="30" t="str">
        <f>IF(A1290="","",IFERROR(INDEX(Maniobras!$B$5:$B$504,MATCH(A1290,Maniobras!$A$5:$A$504,0)),""))</f>
        <v/>
      </c>
      <c r="C1290" t="str">
        <f t="shared" si="40"/>
        <v/>
      </c>
      <c r="D1290" t="str">
        <f>IF(A1290="","",IFERROR(INDEX(Maniobras!$D$5:$D$504,MATCH(A1290,Maniobras!$A$5:$A$504,0)),""))</f>
        <v/>
      </c>
      <c r="F1290" s="29" t="str">
        <f>IF(A1290="","",IFERROR(INDEX(Maniobras!$K$5:$K$504,MATCH(A1290,Maniobras!$A$5:$A$504,0)),""))</f>
        <v/>
      </c>
      <c r="G1290" s="29"/>
      <c r="H1290" s="29"/>
      <c r="I1290" s="29" t="str">
        <f t="shared" si="41"/>
        <v/>
      </c>
      <c r="K1290" s="30"/>
      <c r="M1290" t="str">
        <f>IF($A1290=Ficha!$B$3,COUNTIF($A$5:$A1290,Ficha!$B$3),"")</f>
        <v/>
      </c>
    </row>
    <row r="1291" spans="2:13" x14ac:dyDescent="0.3">
      <c r="B1291" s="30" t="str">
        <f>IF(A1291="","",IFERROR(INDEX(Maniobras!$B$5:$B$504,MATCH(A1291,Maniobras!$A$5:$A$504,0)),""))</f>
        <v/>
      </c>
      <c r="C1291" t="str">
        <f t="shared" si="40"/>
        <v/>
      </c>
      <c r="D1291" t="str">
        <f>IF(A1291="","",IFERROR(INDEX(Maniobras!$D$5:$D$504,MATCH(A1291,Maniobras!$A$5:$A$504,0)),""))</f>
        <v/>
      </c>
      <c r="F1291" s="29" t="str">
        <f>IF(A1291="","",IFERROR(INDEX(Maniobras!$K$5:$K$504,MATCH(A1291,Maniobras!$A$5:$A$504,0)),""))</f>
        <v/>
      </c>
      <c r="G1291" s="29"/>
      <c r="H1291" s="29"/>
      <c r="I1291" s="29" t="str">
        <f t="shared" si="41"/>
        <v/>
      </c>
      <c r="K1291" s="30"/>
      <c r="M1291" t="str">
        <f>IF($A1291=Ficha!$B$3,COUNTIF($A$5:$A1291,Ficha!$B$3),"")</f>
        <v/>
      </c>
    </row>
    <row r="1292" spans="2:13" x14ac:dyDescent="0.3">
      <c r="B1292" s="30" t="str">
        <f>IF(A1292="","",IFERROR(INDEX(Maniobras!$B$5:$B$504,MATCH(A1292,Maniobras!$A$5:$A$504,0)),""))</f>
        <v/>
      </c>
      <c r="C1292" t="str">
        <f t="shared" si="40"/>
        <v/>
      </c>
      <c r="D1292" t="str">
        <f>IF(A1292="","",IFERROR(INDEX(Maniobras!$D$5:$D$504,MATCH(A1292,Maniobras!$A$5:$A$504,0)),""))</f>
        <v/>
      </c>
      <c r="F1292" s="29" t="str">
        <f>IF(A1292="","",IFERROR(INDEX(Maniobras!$K$5:$K$504,MATCH(A1292,Maniobras!$A$5:$A$504,0)),""))</f>
        <v/>
      </c>
      <c r="G1292" s="29"/>
      <c r="H1292" s="29"/>
      <c r="I1292" s="29" t="str">
        <f t="shared" si="41"/>
        <v/>
      </c>
      <c r="K1292" s="30"/>
      <c r="M1292" t="str">
        <f>IF($A1292=Ficha!$B$3,COUNTIF($A$5:$A1292,Ficha!$B$3),"")</f>
        <v/>
      </c>
    </row>
    <row r="1293" spans="2:13" x14ac:dyDescent="0.3">
      <c r="B1293" s="30" t="str">
        <f>IF(A1293="","",IFERROR(INDEX(Maniobras!$B$5:$B$504,MATCH(A1293,Maniobras!$A$5:$A$504,0)),""))</f>
        <v/>
      </c>
      <c r="C1293" t="str">
        <f t="shared" si="40"/>
        <v/>
      </c>
      <c r="D1293" t="str">
        <f>IF(A1293="","",IFERROR(INDEX(Maniobras!$D$5:$D$504,MATCH(A1293,Maniobras!$A$5:$A$504,0)),""))</f>
        <v/>
      </c>
      <c r="F1293" s="29" t="str">
        <f>IF(A1293="","",IFERROR(INDEX(Maniobras!$K$5:$K$504,MATCH(A1293,Maniobras!$A$5:$A$504,0)),""))</f>
        <v/>
      </c>
      <c r="G1293" s="29"/>
      <c r="H1293" s="29"/>
      <c r="I1293" s="29" t="str">
        <f t="shared" si="41"/>
        <v/>
      </c>
      <c r="K1293" s="30"/>
      <c r="M1293" t="str">
        <f>IF($A1293=Ficha!$B$3,COUNTIF($A$5:$A1293,Ficha!$B$3),"")</f>
        <v/>
      </c>
    </row>
    <row r="1294" spans="2:13" x14ac:dyDescent="0.3">
      <c r="B1294" s="30" t="str">
        <f>IF(A1294="","",IFERROR(INDEX(Maniobras!$B$5:$B$504,MATCH(A1294,Maniobras!$A$5:$A$504,0)),""))</f>
        <v/>
      </c>
      <c r="C1294" t="str">
        <f t="shared" si="40"/>
        <v/>
      </c>
      <c r="D1294" t="str">
        <f>IF(A1294="","",IFERROR(INDEX(Maniobras!$D$5:$D$504,MATCH(A1294,Maniobras!$A$5:$A$504,0)),""))</f>
        <v/>
      </c>
      <c r="F1294" s="29" t="str">
        <f>IF(A1294="","",IFERROR(INDEX(Maniobras!$K$5:$K$504,MATCH(A1294,Maniobras!$A$5:$A$504,0)),""))</f>
        <v/>
      </c>
      <c r="G1294" s="29"/>
      <c r="H1294" s="29"/>
      <c r="I1294" s="29" t="str">
        <f t="shared" si="41"/>
        <v/>
      </c>
      <c r="K1294" s="30"/>
      <c r="M1294" t="str">
        <f>IF($A1294=Ficha!$B$3,COUNTIF($A$5:$A1294,Ficha!$B$3),"")</f>
        <v/>
      </c>
    </row>
    <row r="1295" spans="2:13" x14ac:dyDescent="0.3">
      <c r="B1295" s="30" t="str">
        <f>IF(A1295="","",IFERROR(INDEX(Maniobras!$B$5:$B$504,MATCH(A1295,Maniobras!$A$5:$A$504,0)),""))</f>
        <v/>
      </c>
      <c r="C1295" t="str">
        <f t="shared" si="40"/>
        <v/>
      </c>
      <c r="D1295" t="str">
        <f>IF(A1295="","",IFERROR(INDEX(Maniobras!$D$5:$D$504,MATCH(A1295,Maniobras!$A$5:$A$504,0)),""))</f>
        <v/>
      </c>
      <c r="F1295" s="29" t="str">
        <f>IF(A1295="","",IFERROR(INDEX(Maniobras!$K$5:$K$504,MATCH(A1295,Maniobras!$A$5:$A$504,0)),""))</f>
        <v/>
      </c>
      <c r="G1295" s="29"/>
      <c r="H1295" s="29"/>
      <c r="I1295" s="29" t="str">
        <f t="shared" si="41"/>
        <v/>
      </c>
      <c r="K1295" s="30"/>
      <c r="M1295" t="str">
        <f>IF($A1295=Ficha!$B$3,COUNTIF($A$5:$A1295,Ficha!$B$3),"")</f>
        <v/>
      </c>
    </row>
    <row r="1296" spans="2:13" x14ac:dyDescent="0.3">
      <c r="B1296" s="30" t="str">
        <f>IF(A1296="","",IFERROR(INDEX(Maniobras!$B$5:$B$504,MATCH(A1296,Maniobras!$A$5:$A$504,0)),""))</f>
        <v/>
      </c>
      <c r="C1296" t="str">
        <f t="shared" si="40"/>
        <v/>
      </c>
      <c r="D1296" t="str">
        <f>IF(A1296="","",IFERROR(INDEX(Maniobras!$D$5:$D$504,MATCH(A1296,Maniobras!$A$5:$A$504,0)),""))</f>
        <v/>
      </c>
      <c r="F1296" s="29" t="str">
        <f>IF(A1296="","",IFERROR(INDEX(Maniobras!$K$5:$K$504,MATCH(A1296,Maniobras!$A$5:$A$504,0)),""))</f>
        <v/>
      </c>
      <c r="G1296" s="29"/>
      <c r="H1296" s="29"/>
      <c r="I1296" s="29" t="str">
        <f t="shared" si="41"/>
        <v/>
      </c>
      <c r="K1296" s="30"/>
      <c r="M1296" t="str">
        <f>IF($A1296=Ficha!$B$3,COUNTIF($A$5:$A1296,Ficha!$B$3),"")</f>
        <v/>
      </c>
    </row>
    <row r="1297" spans="2:13" x14ac:dyDescent="0.3">
      <c r="B1297" s="30" t="str">
        <f>IF(A1297="","",IFERROR(INDEX(Maniobras!$B$5:$B$504,MATCH(A1297,Maniobras!$A$5:$A$504,0)),""))</f>
        <v/>
      </c>
      <c r="C1297" t="str">
        <f t="shared" si="40"/>
        <v/>
      </c>
      <c r="D1297" t="str">
        <f>IF(A1297="","",IFERROR(INDEX(Maniobras!$D$5:$D$504,MATCH(A1297,Maniobras!$A$5:$A$504,0)),""))</f>
        <v/>
      </c>
      <c r="F1297" s="29" t="str">
        <f>IF(A1297="","",IFERROR(INDEX(Maniobras!$K$5:$K$504,MATCH(A1297,Maniobras!$A$5:$A$504,0)),""))</f>
        <v/>
      </c>
      <c r="G1297" s="29"/>
      <c r="H1297" s="29"/>
      <c r="I1297" s="29" t="str">
        <f t="shared" si="41"/>
        <v/>
      </c>
      <c r="K1297" s="30"/>
      <c r="M1297" t="str">
        <f>IF($A1297=Ficha!$B$3,COUNTIF($A$5:$A1297,Ficha!$B$3),"")</f>
        <v/>
      </c>
    </row>
    <row r="1298" spans="2:13" x14ac:dyDescent="0.3">
      <c r="B1298" s="30" t="str">
        <f>IF(A1298="","",IFERROR(INDEX(Maniobras!$B$5:$B$504,MATCH(A1298,Maniobras!$A$5:$A$504,0)),""))</f>
        <v/>
      </c>
      <c r="C1298" t="str">
        <f t="shared" si="40"/>
        <v/>
      </c>
      <c r="D1298" t="str">
        <f>IF(A1298="","",IFERROR(INDEX(Maniobras!$D$5:$D$504,MATCH(A1298,Maniobras!$A$5:$A$504,0)),""))</f>
        <v/>
      </c>
      <c r="F1298" s="29" t="str">
        <f>IF(A1298="","",IFERROR(INDEX(Maniobras!$K$5:$K$504,MATCH(A1298,Maniobras!$A$5:$A$504,0)),""))</f>
        <v/>
      </c>
      <c r="G1298" s="29"/>
      <c r="H1298" s="29"/>
      <c r="I1298" s="29" t="str">
        <f t="shared" si="41"/>
        <v/>
      </c>
      <c r="K1298" s="30"/>
      <c r="M1298" t="str">
        <f>IF($A1298=Ficha!$B$3,COUNTIF($A$5:$A1298,Ficha!$B$3),"")</f>
        <v/>
      </c>
    </row>
    <row r="1299" spans="2:13" x14ac:dyDescent="0.3">
      <c r="B1299" s="30" t="str">
        <f>IF(A1299="","",IFERROR(INDEX(Maniobras!$B$5:$B$504,MATCH(A1299,Maniobras!$A$5:$A$504,0)),""))</f>
        <v/>
      </c>
      <c r="C1299" t="str">
        <f t="shared" si="40"/>
        <v/>
      </c>
      <c r="D1299" t="str">
        <f>IF(A1299="","",IFERROR(INDEX(Maniobras!$D$5:$D$504,MATCH(A1299,Maniobras!$A$5:$A$504,0)),""))</f>
        <v/>
      </c>
      <c r="F1299" s="29" t="str">
        <f>IF(A1299="","",IFERROR(INDEX(Maniobras!$K$5:$K$504,MATCH(A1299,Maniobras!$A$5:$A$504,0)),""))</f>
        <v/>
      </c>
      <c r="G1299" s="29"/>
      <c r="H1299" s="29"/>
      <c r="I1299" s="29" t="str">
        <f t="shared" si="41"/>
        <v/>
      </c>
      <c r="K1299" s="30"/>
      <c r="M1299" t="str">
        <f>IF($A1299=Ficha!$B$3,COUNTIF($A$5:$A1299,Ficha!$B$3),"")</f>
        <v/>
      </c>
    </row>
    <row r="1300" spans="2:13" x14ac:dyDescent="0.3">
      <c r="B1300" s="30" t="str">
        <f>IF(A1300="","",IFERROR(INDEX(Maniobras!$B$5:$B$504,MATCH(A1300,Maniobras!$A$5:$A$504,0)),""))</f>
        <v/>
      </c>
      <c r="C1300" t="str">
        <f t="shared" si="40"/>
        <v/>
      </c>
      <c r="D1300" t="str">
        <f>IF(A1300="","",IFERROR(INDEX(Maniobras!$D$5:$D$504,MATCH(A1300,Maniobras!$A$5:$A$504,0)),""))</f>
        <v/>
      </c>
      <c r="F1300" s="29" t="str">
        <f>IF(A1300="","",IFERROR(INDEX(Maniobras!$K$5:$K$504,MATCH(A1300,Maniobras!$A$5:$A$504,0)),""))</f>
        <v/>
      </c>
      <c r="G1300" s="29"/>
      <c r="H1300" s="29"/>
      <c r="I1300" s="29" t="str">
        <f t="shared" si="41"/>
        <v/>
      </c>
      <c r="K1300" s="30"/>
      <c r="M1300" t="str">
        <f>IF($A1300=Ficha!$B$3,COUNTIF($A$5:$A1300,Ficha!$B$3),"")</f>
        <v/>
      </c>
    </row>
    <row r="1301" spans="2:13" x14ac:dyDescent="0.3">
      <c r="B1301" s="30" t="str">
        <f>IF(A1301="","",IFERROR(INDEX(Maniobras!$B$5:$B$504,MATCH(A1301,Maniobras!$A$5:$A$504,0)),""))</f>
        <v/>
      </c>
      <c r="C1301" t="str">
        <f t="shared" si="40"/>
        <v/>
      </c>
      <c r="D1301" t="str">
        <f>IF(A1301="","",IFERROR(INDEX(Maniobras!$D$5:$D$504,MATCH(A1301,Maniobras!$A$5:$A$504,0)),""))</f>
        <v/>
      </c>
      <c r="F1301" s="29" t="str">
        <f>IF(A1301="","",IFERROR(INDEX(Maniobras!$K$5:$K$504,MATCH(A1301,Maniobras!$A$5:$A$504,0)),""))</f>
        <v/>
      </c>
      <c r="G1301" s="29"/>
      <c r="H1301" s="29"/>
      <c r="I1301" s="29" t="str">
        <f t="shared" si="41"/>
        <v/>
      </c>
      <c r="K1301" s="30"/>
      <c r="M1301" t="str">
        <f>IF($A1301=Ficha!$B$3,COUNTIF($A$5:$A1301,Ficha!$B$3),"")</f>
        <v/>
      </c>
    </row>
    <row r="1302" spans="2:13" x14ac:dyDescent="0.3">
      <c r="B1302" s="30" t="str">
        <f>IF(A1302="","",IFERROR(INDEX(Maniobras!$B$5:$B$504,MATCH(A1302,Maniobras!$A$5:$A$504,0)),""))</f>
        <v/>
      </c>
      <c r="C1302" t="str">
        <f t="shared" si="40"/>
        <v/>
      </c>
      <c r="D1302" t="str">
        <f>IF(A1302="","",IFERROR(INDEX(Maniobras!$D$5:$D$504,MATCH(A1302,Maniobras!$A$5:$A$504,0)),""))</f>
        <v/>
      </c>
      <c r="F1302" s="29" t="str">
        <f>IF(A1302="","",IFERROR(INDEX(Maniobras!$K$5:$K$504,MATCH(A1302,Maniobras!$A$5:$A$504,0)),""))</f>
        <v/>
      </c>
      <c r="G1302" s="29"/>
      <c r="H1302" s="29"/>
      <c r="I1302" s="29" t="str">
        <f t="shared" si="41"/>
        <v/>
      </c>
      <c r="K1302" s="30"/>
      <c r="M1302" t="str">
        <f>IF($A1302=Ficha!$B$3,COUNTIF($A$5:$A1302,Ficha!$B$3),"")</f>
        <v/>
      </c>
    </row>
    <row r="1303" spans="2:13" x14ac:dyDescent="0.3">
      <c r="B1303" s="30" t="str">
        <f>IF(A1303="","",IFERROR(INDEX(Maniobras!$B$5:$B$504,MATCH(A1303,Maniobras!$A$5:$A$504,0)),""))</f>
        <v/>
      </c>
      <c r="C1303" t="str">
        <f t="shared" si="40"/>
        <v/>
      </c>
      <c r="D1303" t="str">
        <f>IF(A1303="","",IFERROR(INDEX(Maniobras!$D$5:$D$504,MATCH(A1303,Maniobras!$A$5:$A$504,0)),""))</f>
        <v/>
      </c>
      <c r="F1303" s="29" t="str">
        <f>IF(A1303="","",IFERROR(INDEX(Maniobras!$K$5:$K$504,MATCH(A1303,Maniobras!$A$5:$A$504,0)),""))</f>
        <v/>
      </c>
      <c r="G1303" s="29"/>
      <c r="H1303" s="29"/>
      <c r="I1303" s="29" t="str">
        <f t="shared" si="41"/>
        <v/>
      </c>
      <c r="K1303" s="30"/>
      <c r="M1303" t="str">
        <f>IF($A1303=Ficha!$B$3,COUNTIF($A$5:$A1303,Ficha!$B$3),"")</f>
        <v/>
      </c>
    </row>
    <row r="1304" spans="2:13" x14ac:dyDescent="0.3">
      <c r="B1304" s="30" t="str">
        <f>IF(A1304="","",IFERROR(INDEX(Maniobras!$B$5:$B$504,MATCH(A1304,Maniobras!$A$5:$A$504,0)),""))</f>
        <v/>
      </c>
      <c r="C1304" t="str">
        <f t="shared" si="40"/>
        <v/>
      </c>
      <c r="D1304" t="str">
        <f>IF(A1304="","",IFERROR(INDEX(Maniobras!$D$5:$D$504,MATCH(A1304,Maniobras!$A$5:$A$504,0)),""))</f>
        <v/>
      </c>
      <c r="F1304" s="29" t="str">
        <f>IF(A1304="","",IFERROR(INDEX(Maniobras!$K$5:$K$504,MATCH(A1304,Maniobras!$A$5:$A$504,0)),""))</f>
        <v/>
      </c>
      <c r="G1304" s="29"/>
      <c r="H1304" s="29"/>
      <c r="I1304" s="29" t="str">
        <f t="shared" si="41"/>
        <v/>
      </c>
      <c r="K1304" s="30"/>
      <c r="M1304" t="str">
        <f>IF($A1304=Ficha!$B$3,COUNTIF($A$5:$A1304,Ficha!$B$3),"")</f>
        <v/>
      </c>
    </row>
    <row r="1305" spans="2:13" x14ac:dyDescent="0.3">
      <c r="B1305" s="30" t="str">
        <f>IF(A1305="","",IFERROR(INDEX(Maniobras!$B$5:$B$504,MATCH(A1305,Maniobras!$A$5:$A$504,0)),""))</f>
        <v/>
      </c>
      <c r="C1305" t="str">
        <f t="shared" si="40"/>
        <v/>
      </c>
      <c r="D1305" t="str">
        <f>IF(A1305="","",IFERROR(INDEX(Maniobras!$D$5:$D$504,MATCH(A1305,Maniobras!$A$5:$A$504,0)),""))</f>
        <v/>
      </c>
      <c r="F1305" s="29" t="str">
        <f>IF(A1305="","",IFERROR(INDEX(Maniobras!$K$5:$K$504,MATCH(A1305,Maniobras!$A$5:$A$504,0)),""))</f>
        <v/>
      </c>
      <c r="G1305" s="29"/>
      <c r="H1305" s="29"/>
      <c r="I1305" s="29" t="str">
        <f t="shared" si="41"/>
        <v/>
      </c>
      <c r="K1305" s="30"/>
      <c r="M1305" t="str">
        <f>IF($A1305=Ficha!$B$3,COUNTIF($A$5:$A1305,Ficha!$B$3),"")</f>
        <v/>
      </c>
    </row>
    <row r="1306" spans="2:13" x14ac:dyDescent="0.3">
      <c r="B1306" s="30" t="str">
        <f>IF(A1306="","",IFERROR(INDEX(Maniobras!$B$5:$B$504,MATCH(A1306,Maniobras!$A$5:$A$504,0)),""))</f>
        <v/>
      </c>
      <c r="C1306" t="str">
        <f t="shared" si="40"/>
        <v/>
      </c>
      <c r="D1306" t="str">
        <f>IF(A1306="","",IFERROR(INDEX(Maniobras!$D$5:$D$504,MATCH(A1306,Maniobras!$A$5:$A$504,0)),""))</f>
        <v/>
      </c>
      <c r="F1306" s="29" t="str">
        <f>IF(A1306="","",IFERROR(INDEX(Maniobras!$K$5:$K$504,MATCH(A1306,Maniobras!$A$5:$A$504,0)),""))</f>
        <v/>
      </c>
      <c r="G1306" s="29"/>
      <c r="H1306" s="29"/>
      <c r="I1306" s="29" t="str">
        <f t="shared" si="41"/>
        <v/>
      </c>
      <c r="K1306" s="30"/>
      <c r="M1306" t="str">
        <f>IF($A1306=Ficha!$B$3,COUNTIF($A$5:$A1306,Ficha!$B$3),"")</f>
        <v/>
      </c>
    </row>
    <row r="1307" spans="2:13" x14ac:dyDescent="0.3">
      <c r="B1307" s="30" t="str">
        <f>IF(A1307="","",IFERROR(INDEX(Maniobras!$B$5:$B$504,MATCH(A1307,Maniobras!$A$5:$A$504,0)),""))</f>
        <v/>
      </c>
      <c r="C1307" t="str">
        <f t="shared" si="40"/>
        <v/>
      </c>
      <c r="D1307" t="str">
        <f>IF(A1307="","",IFERROR(INDEX(Maniobras!$D$5:$D$504,MATCH(A1307,Maniobras!$A$5:$A$504,0)),""))</f>
        <v/>
      </c>
      <c r="F1307" s="29" t="str">
        <f>IF(A1307="","",IFERROR(INDEX(Maniobras!$K$5:$K$504,MATCH(A1307,Maniobras!$A$5:$A$504,0)),""))</f>
        <v/>
      </c>
      <c r="G1307" s="29"/>
      <c r="H1307" s="29"/>
      <c r="I1307" s="29" t="str">
        <f t="shared" si="41"/>
        <v/>
      </c>
      <c r="K1307" s="30"/>
      <c r="M1307" t="str">
        <f>IF($A1307=Ficha!$B$3,COUNTIF($A$5:$A1307,Ficha!$B$3),"")</f>
        <v/>
      </c>
    </row>
    <row r="1308" spans="2:13" x14ac:dyDescent="0.3">
      <c r="B1308" s="30" t="str">
        <f>IF(A1308="","",IFERROR(INDEX(Maniobras!$B$5:$B$504,MATCH(A1308,Maniobras!$A$5:$A$504,0)),""))</f>
        <v/>
      </c>
      <c r="C1308" t="str">
        <f t="shared" si="40"/>
        <v/>
      </c>
      <c r="D1308" t="str">
        <f>IF(A1308="","",IFERROR(INDEX(Maniobras!$D$5:$D$504,MATCH(A1308,Maniobras!$A$5:$A$504,0)),""))</f>
        <v/>
      </c>
      <c r="F1308" s="29" t="str">
        <f>IF(A1308="","",IFERROR(INDEX(Maniobras!$K$5:$K$504,MATCH(A1308,Maniobras!$A$5:$A$504,0)),""))</f>
        <v/>
      </c>
      <c r="G1308" s="29"/>
      <c r="H1308" s="29"/>
      <c r="I1308" s="29" t="str">
        <f t="shared" si="41"/>
        <v/>
      </c>
      <c r="K1308" s="30"/>
      <c r="M1308" t="str">
        <f>IF($A1308=Ficha!$B$3,COUNTIF($A$5:$A1308,Ficha!$B$3),"")</f>
        <v/>
      </c>
    </row>
    <row r="1309" spans="2:13" x14ac:dyDescent="0.3">
      <c r="B1309" s="30" t="str">
        <f>IF(A1309="","",IFERROR(INDEX(Maniobras!$B$5:$B$504,MATCH(A1309,Maniobras!$A$5:$A$504,0)),""))</f>
        <v/>
      </c>
      <c r="C1309" t="str">
        <f t="shared" si="40"/>
        <v/>
      </c>
      <c r="D1309" t="str">
        <f>IF(A1309="","",IFERROR(INDEX(Maniobras!$D$5:$D$504,MATCH(A1309,Maniobras!$A$5:$A$504,0)),""))</f>
        <v/>
      </c>
      <c r="F1309" s="29" t="str">
        <f>IF(A1309="","",IFERROR(INDEX(Maniobras!$K$5:$K$504,MATCH(A1309,Maniobras!$A$5:$A$504,0)),""))</f>
        <v/>
      </c>
      <c r="G1309" s="29"/>
      <c r="H1309" s="29"/>
      <c r="I1309" s="29" t="str">
        <f t="shared" si="41"/>
        <v/>
      </c>
      <c r="K1309" s="30"/>
      <c r="M1309" t="str">
        <f>IF($A1309=Ficha!$B$3,COUNTIF($A$5:$A1309,Ficha!$B$3),"")</f>
        <v/>
      </c>
    </row>
    <row r="1310" spans="2:13" x14ac:dyDescent="0.3">
      <c r="B1310" s="30" t="str">
        <f>IF(A1310="","",IFERROR(INDEX(Maniobras!$B$5:$B$504,MATCH(A1310,Maniobras!$A$5:$A$504,0)),""))</f>
        <v/>
      </c>
      <c r="C1310" t="str">
        <f t="shared" si="40"/>
        <v/>
      </c>
      <c r="D1310" t="str">
        <f>IF(A1310="","",IFERROR(INDEX(Maniobras!$D$5:$D$504,MATCH(A1310,Maniobras!$A$5:$A$504,0)),""))</f>
        <v/>
      </c>
      <c r="F1310" s="29" t="str">
        <f>IF(A1310="","",IFERROR(INDEX(Maniobras!$K$5:$K$504,MATCH(A1310,Maniobras!$A$5:$A$504,0)),""))</f>
        <v/>
      </c>
      <c r="G1310" s="29"/>
      <c r="H1310" s="29"/>
      <c r="I1310" s="29" t="str">
        <f t="shared" si="41"/>
        <v/>
      </c>
      <c r="K1310" s="30"/>
      <c r="M1310" t="str">
        <f>IF($A1310=Ficha!$B$3,COUNTIF($A$5:$A1310,Ficha!$B$3),"")</f>
        <v/>
      </c>
    </row>
    <row r="1311" spans="2:13" x14ac:dyDescent="0.3">
      <c r="B1311" s="30" t="str">
        <f>IF(A1311="","",IFERROR(INDEX(Maniobras!$B$5:$B$504,MATCH(A1311,Maniobras!$A$5:$A$504,0)),""))</f>
        <v/>
      </c>
      <c r="C1311" t="str">
        <f t="shared" si="40"/>
        <v/>
      </c>
      <c r="D1311" t="str">
        <f>IF(A1311="","",IFERROR(INDEX(Maniobras!$D$5:$D$504,MATCH(A1311,Maniobras!$A$5:$A$504,0)),""))</f>
        <v/>
      </c>
      <c r="F1311" s="29" t="str">
        <f>IF(A1311="","",IFERROR(INDEX(Maniobras!$K$5:$K$504,MATCH(A1311,Maniobras!$A$5:$A$504,0)),""))</f>
        <v/>
      </c>
      <c r="G1311" s="29"/>
      <c r="H1311" s="29"/>
      <c r="I1311" s="29" t="str">
        <f t="shared" si="41"/>
        <v/>
      </c>
      <c r="K1311" s="30"/>
      <c r="M1311" t="str">
        <f>IF($A1311=Ficha!$B$3,COUNTIF($A$5:$A1311,Ficha!$B$3),"")</f>
        <v/>
      </c>
    </row>
    <row r="1312" spans="2:13" x14ac:dyDescent="0.3">
      <c r="B1312" s="30" t="str">
        <f>IF(A1312="","",IFERROR(INDEX(Maniobras!$B$5:$B$504,MATCH(A1312,Maniobras!$A$5:$A$504,0)),""))</f>
        <v/>
      </c>
      <c r="C1312" t="str">
        <f t="shared" si="40"/>
        <v/>
      </c>
      <c r="D1312" t="str">
        <f>IF(A1312="","",IFERROR(INDEX(Maniobras!$D$5:$D$504,MATCH(A1312,Maniobras!$A$5:$A$504,0)),""))</f>
        <v/>
      </c>
      <c r="F1312" s="29" t="str">
        <f>IF(A1312="","",IFERROR(INDEX(Maniobras!$K$5:$K$504,MATCH(A1312,Maniobras!$A$5:$A$504,0)),""))</f>
        <v/>
      </c>
      <c r="G1312" s="29"/>
      <c r="H1312" s="29"/>
      <c r="I1312" s="29" t="str">
        <f t="shared" si="41"/>
        <v/>
      </c>
      <c r="K1312" s="30"/>
      <c r="M1312" t="str">
        <f>IF($A1312=Ficha!$B$3,COUNTIF($A$5:$A1312,Ficha!$B$3),"")</f>
        <v/>
      </c>
    </row>
    <row r="1313" spans="2:13" x14ac:dyDescent="0.3">
      <c r="B1313" s="30" t="str">
        <f>IF(A1313="","",IFERROR(INDEX(Maniobras!$B$5:$B$504,MATCH(A1313,Maniobras!$A$5:$A$504,0)),""))</f>
        <v/>
      </c>
      <c r="C1313" t="str">
        <f t="shared" si="40"/>
        <v/>
      </c>
      <c r="D1313" t="str">
        <f>IF(A1313="","",IFERROR(INDEX(Maniobras!$D$5:$D$504,MATCH(A1313,Maniobras!$A$5:$A$504,0)),""))</f>
        <v/>
      </c>
      <c r="F1313" s="29" t="str">
        <f>IF(A1313="","",IFERROR(INDEX(Maniobras!$K$5:$K$504,MATCH(A1313,Maniobras!$A$5:$A$504,0)),""))</f>
        <v/>
      </c>
      <c r="G1313" s="29"/>
      <c r="H1313" s="29"/>
      <c r="I1313" s="29" t="str">
        <f t="shared" si="41"/>
        <v/>
      </c>
      <c r="K1313" s="30"/>
      <c r="M1313" t="str">
        <f>IF($A1313=Ficha!$B$3,COUNTIF($A$5:$A1313,Ficha!$B$3),"")</f>
        <v/>
      </c>
    </row>
    <row r="1314" spans="2:13" x14ac:dyDescent="0.3">
      <c r="B1314" s="30" t="str">
        <f>IF(A1314="","",IFERROR(INDEX(Maniobras!$B$5:$B$504,MATCH(A1314,Maniobras!$A$5:$A$504,0)),""))</f>
        <v/>
      </c>
      <c r="C1314" t="str">
        <f t="shared" si="40"/>
        <v/>
      </c>
      <c r="D1314" t="str">
        <f>IF(A1314="","",IFERROR(INDEX(Maniobras!$D$5:$D$504,MATCH(A1314,Maniobras!$A$5:$A$504,0)),""))</f>
        <v/>
      </c>
      <c r="F1314" s="29" t="str">
        <f>IF(A1314="","",IFERROR(INDEX(Maniobras!$K$5:$K$504,MATCH(A1314,Maniobras!$A$5:$A$504,0)),""))</f>
        <v/>
      </c>
      <c r="G1314" s="29"/>
      <c r="H1314" s="29"/>
      <c r="I1314" s="29" t="str">
        <f t="shared" si="41"/>
        <v/>
      </c>
      <c r="K1314" s="30"/>
      <c r="M1314" t="str">
        <f>IF($A1314=Ficha!$B$3,COUNTIF($A$5:$A1314,Ficha!$B$3),"")</f>
        <v/>
      </c>
    </row>
    <row r="1315" spans="2:13" x14ac:dyDescent="0.3">
      <c r="B1315" s="30" t="str">
        <f>IF(A1315="","",IFERROR(INDEX(Maniobras!$B$5:$B$504,MATCH(A1315,Maniobras!$A$5:$A$504,0)),""))</f>
        <v/>
      </c>
      <c r="C1315" t="str">
        <f t="shared" si="40"/>
        <v/>
      </c>
      <c r="D1315" t="str">
        <f>IF(A1315="","",IFERROR(INDEX(Maniobras!$D$5:$D$504,MATCH(A1315,Maniobras!$A$5:$A$504,0)),""))</f>
        <v/>
      </c>
      <c r="F1315" s="29" t="str">
        <f>IF(A1315="","",IFERROR(INDEX(Maniobras!$K$5:$K$504,MATCH(A1315,Maniobras!$A$5:$A$504,0)),""))</f>
        <v/>
      </c>
      <c r="G1315" s="29"/>
      <c r="H1315" s="29"/>
      <c r="I1315" s="29" t="str">
        <f t="shared" si="41"/>
        <v/>
      </c>
      <c r="K1315" s="30"/>
      <c r="M1315" t="str">
        <f>IF($A1315=Ficha!$B$3,COUNTIF($A$5:$A1315,Ficha!$B$3),"")</f>
        <v/>
      </c>
    </row>
    <row r="1316" spans="2:13" x14ac:dyDescent="0.3">
      <c r="B1316" s="30" t="str">
        <f>IF(A1316="","",IFERROR(INDEX(Maniobras!$B$5:$B$504,MATCH(A1316,Maniobras!$A$5:$A$504,0)),""))</f>
        <v/>
      </c>
      <c r="C1316" t="str">
        <f t="shared" si="40"/>
        <v/>
      </c>
      <c r="D1316" t="str">
        <f>IF(A1316="","",IFERROR(INDEX(Maniobras!$D$5:$D$504,MATCH(A1316,Maniobras!$A$5:$A$504,0)),""))</f>
        <v/>
      </c>
      <c r="F1316" s="29" t="str">
        <f>IF(A1316="","",IFERROR(INDEX(Maniobras!$K$5:$K$504,MATCH(A1316,Maniobras!$A$5:$A$504,0)),""))</f>
        <v/>
      </c>
      <c r="G1316" s="29"/>
      <c r="H1316" s="29"/>
      <c r="I1316" s="29" t="str">
        <f t="shared" si="41"/>
        <v/>
      </c>
      <c r="K1316" s="30"/>
      <c r="M1316" t="str">
        <f>IF($A1316=Ficha!$B$3,COUNTIF($A$5:$A1316,Ficha!$B$3),"")</f>
        <v/>
      </c>
    </row>
    <row r="1317" spans="2:13" x14ac:dyDescent="0.3">
      <c r="B1317" s="30" t="str">
        <f>IF(A1317="","",IFERROR(INDEX(Maniobras!$B$5:$B$504,MATCH(A1317,Maniobras!$A$5:$A$504,0)),""))</f>
        <v/>
      </c>
      <c r="C1317" t="str">
        <f t="shared" si="40"/>
        <v/>
      </c>
      <c r="D1317" t="str">
        <f>IF(A1317="","",IFERROR(INDEX(Maniobras!$D$5:$D$504,MATCH(A1317,Maniobras!$A$5:$A$504,0)),""))</f>
        <v/>
      </c>
      <c r="F1317" s="29" t="str">
        <f>IF(A1317="","",IFERROR(INDEX(Maniobras!$K$5:$K$504,MATCH(A1317,Maniobras!$A$5:$A$504,0)),""))</f>
        <v/>
      </c>
      <c r="G1317" s="29"/>
      <c r="H1317" s="29"/>
      <c r="I1317" s="29" t="str">
        <f t="shared" si="41"/>
        <v/>
      </c>
      <c r="K1317" s="30"/>
      <c r="M1317" t="str">
        <f>IF($A1317=Ficha!$B$3,COUNTIF($A$5:$A1317,Ficha!$B$3),"")</f>
        <v/>
      </c>
    </row>
    <row r="1318" spans="2:13" x14ac:dyDescent="0.3">
      <c r="B1318" s="30" t="str">
        <f>IF(A1318="","",IFERROR(INDEX(Maniobras!$B$5:$B$504,MATCH(A1318,Maniobras!$A$5:$A$504,0)),""))</f>
        <v/>
      </c>
      <c r="C1318" t="str">
        <f t="shared" si="40"/>
        <v/>
      </c>
      <c r="D1318" t="str">
        <f>IF(A1318="","",IFERROR(INDEX(Maniobras!$D$5:$D$504,MATCH(A1318,Maniobras!$A$5:$A$504,0)),""))</f>
        <v/>
      </c>
      <c r="F1318" s="29" t="str">
        <f>IF(A1318="","",IFERROR(INDEX(Maniobras!$K$5:$K$504,MATCH(A1318,Maniobras!$A$5:$A$504,0)),""))</f>
        <v/>
      </c>
      <c r="G1318" s="29"/>
      <c r="H1318" s="29"/>
      <c r="I1318" s="29" t="str">
        <f t="shared" si="41"/>
        <v/>
      </c>
      <c r="K1318" s="30"/>
      <c r="M1318" t="str">
        <f>IF($A1318=Ficha!$B$3,COUNTIF($A$5:$A1318,Ficha!$B$3),"")</f>
        <v/>
      </c>
    </row>
    <row r="1319" spans="2:13" x14ac:dyDescent="0.3">
      <c r="B1319" s="30" t="str">
        <f>IF(A1319="","",IFERROR(INDEX(Maniobras!$B$5:$B$504,MATCH(A1319,Maniobras!$A$5:$A$504,0)),""))</f>
        <v/>
      </c>
      <c r="C1319" t="str">
        <f t="shared" si="40"/>
        <v/>
      </c>
      <c r="D1319" t="str">
        <f>IF(A1319="","",IFERROR(INDEX(Maniobras!$D$5:$D$504,MATCH(A1319,Maniobras!$A$5:$A$504,0)),""))</f>
        <v/>
      </c>
      <c r="F1319" s="29" t="str">
        <f>IF(A1319="","",IFERROR(INDEX(Maniobras!$K$5:$K$504,MATCH(A1319,Maniobras!$A$5:$A$504,0)),""))</f>
        <v/>
      </c>
      <c r="G1319" s="29"/>
      <c r="H1319" s="29"/>
      <c r="I1319" s="29" t="str">
        <f t="shared" si="41"/>
        <v/>
      </c>
      <c r="K1319" s="30"/>
      <c r="M1319" t="str">
        <f>IF($A1319=Ficha!$B$3,COUNTIF($A$5:$A1319,Ficha!$B$3),"")</f>
        <v/>
      </c>
    </row>
    <row r="1320" spans="2:13" x14ac:dyDescent="0.3">
      <c r="B1320" s="30" t="str">
        <f>IF(A1320="","",IFERROR(INDEX(Maniobras!$B$5:$B$504,MATCH(A1320,Maniobras!$A$5:$A$504,0)),""))</f>
        <v/>
      </c>
      <c r="C1320" t="str">
        <f t="shared" si="40"/>
        <v/>
      </c>
      <c r="D1320" t="str">
        <f>IF(A1320="","",IFERROR(INDEX(Maniobras!$D$5:$D$504,MATCH(A1320,Maniobras!$A$5:$A$504,0)),""))</f>
        <v/>
      </c>
      <c r="F1320" s="29" t="str">
        <f>IF(A1320="","",IFERROR(INDEX(Maniobras!$K$5:$K$504,MATCH(A1320,Maniobras!$A$5:$A$504,0)),""))</f>
        <v/>
      </c>
      <c r="G1320" s="29"/>
      <c r="H1320" s="29"/>
      <c r="I1320" s="29" t="str">
        <f t="shared" si="41"/>
        <v/>
      </c>
      <c r="K1320" s="30"/>
      <c r="M1320" t="str">
        <f>IF($A1320=Ficha!$B$3,COUNTIF($A$5:$A1320,Ficha!$B$3),"")</f>
        <v/>
      </c>
    </row>
    <row r="1321" spans="2:13" x14ac:dyDescent="0.3">
      <c r="B1321" s="30" t="str">
        <f>IF(A1321="","",IFERROR(INDEX(Maniobras!$B$5:$B$504,MATCH(A1321,Maniobras!$A$5:$A$504,0)),""))</f>
        <v/>
      </c>
      <c r="C1321" t="str">
        <f t="shared" si="40"/>
        <v/>
      </c>
      <c r="D1321" t="str">
        <f>IF(A1321="","",IFERROR(INDEX(Maniobras!$D$5:$D$504,MATCH(A1321,Maniobras!$A$5:$A$504,0)),""))</f>
        <v/>
      </c>
      <c r="F1321" s="29" t="str">
        <f>IF(A1321="","",IFERROR(INDEX(Maniobras!$K$5:$K$504,MATCH(A1321,Maniobras!$A$5:$A$504,0)),""))</f>
        <v/>
      </c>
      <c r="G1321" s="29"/>
      <c r="H1321" s="29"/>
      <c r="I1321" s="29" t="str">
        <f t="shared" si="41"/>
        <v/>
      </c>
      <c r="K1321" s="30"/>
      <c r="M1321" t="str">
        <f>IF($A1321=Ficha!$B$3,COUNTIF($A$5:$A1321,Ficha!$B$3),"")</f>
        <v/>
      </c>
    </row>
    <row r="1322" spans="2:13" x14ac:dyDescent="0.3">
      <c r="B1322" s="30" t="str">
        <f>IF(A1322="","",IFERROR(INDEX(Maniobras!$B$5:$B$504,MATCH(A1322,Maniobras!$A$5:$A$504,0)),""))</f>
        <v/>
      </c>
      <c r="C1322" t="str">
        <f t="shared" si="40"/>
        <v/>
      </c>
      <c r="D1322" t="str">
        <f>IF(A1322="","",IFERROR(INDEX(Maniobras!$D$5:$D$504,MATCH(A1322,Maniobras!$A$5:$A$504,0)),""))</f>
        <v/>
      </c>
      <c r="F1322" s="29" t="str">
        <f>IF(A1322="","",IFERROR(INDEX(Maniobras!$K$5:$K$504,MATCH(A1322,Maniobras!$A$5:$A$504,0)),""))</f>
        <v/>
      </c>
      <c r="G1322" s="29"/>
      <c r="H1322" s="29"/>
      <c r="I1322" s="29" t="str">
        <f t="shared" si="41"/>
        <v/>
      </c>
      <c r="K1322" s="30"/>
      <c r="M1322" t="str">
        <f>IF($A1322=Ficha!$B$3,COUNTIF($A$5:$A1322,Ficha!$B$3),"")</f>
        <v/>
      </c>
    </row>
    <row r="1323" spans="2:13" x14ac:dyDescent="0.3">
      <c r="B1323" s="30" t="str">
        <f>IF(A1323="","",IFERROR(INDEX(Maniobras!$B$5:$B$504,MATCH(A1323,Maniobras!$A$5:$A$504,0)),""))</f>
        <v/>
      </c>
      <c r="C1323" t="str">
        <f t="shared" si="40"/>
        <v/>
      </c>
      <c r="D1323" t="str">
        <f>IF(A1323="","",IFERROR(INDEX(Maniobras!$D$5:$D$504,MATCH(A1323,Maniobras!$A$5:$A$504,0)),""))</f>
        <v/>
      </c>
      <c r="F1323" s="29" t="str">
        <f>IF(A1323="","",IFERROR(INDEX(Maniobras!$K$5:$K$504,MATCH(A1323,Maniobras!$A$5:$A$504,0)),""))</f>
        <v/>
      </c>
      <c r="G1323" s="29"/>
      <c r="H1323" s="29"/>
      <c r="I1323" s="29" t="str">
        <f t="shared" si="41"/>
        <v/>
      </c>
      <c r="K1323" s="30"/>
      <c r="M1323" t="str">
        <f>IF($A1323=Ficha!$B$3,COUNTIF($A$5:$A1323,Ficha!$B$3),"")</f>
        <v/>
      </c>
    </row>
    <row r="1324" spans="2:13" x14ac:dyDescent="0.3">
      <c r="B1324" s="30" t="str">
        <f>IF(A1324="","",IFERROR(INDEX(Maniobras!$B$5:$B$504,MATCH(A1324,Maniobras!$A$5:$A$504,0)),""))</f>
        <v/>
      </c>
      <c r="C1324" t="str">
        <f t="shared" si="40"/>
        <v/>
      </c>
      <c r="D1324" t="str">
        <f>IF(A1324="","",IFERROR(INDEX(Maniobras!$D$5:$D$504,MATCH(A1324,Maniobras!$A$5:$A$504,0)),""))</f>
        <v/>
      </c>
      <c r="F1324" s="29" t="str">
        <f>IF(A1324="","",IFERROR(INDEX(Maniobras!$K$5:$K$504,MATCH(A1324,Maniobras!$A$5:$A$504,0)),""))</f>
        <v/>
      </c>
      <c r="G1324" s="29"/>
      <c r="H1324" s="29"/>
      <c r="I1324" s="29" t="str">
        <f t="shared" si="41"/>
        <v/>
      </c>
      <c r="K1324" s="30"/>
      <c r="M1324" t="str">
        <f>IF($A1324=Ficha!$B$3,COUNTIF($A$5:$A1324,Ficha!$B$3),"")</f>
        <v/>
      </c>
    </row>
    <row r="1325" spans="2:13" x14ac:dyDescent="0.3">
      <c r="B1325" s="30" t="str">
        <f>IF(A1325="","",IFERROR(INDEX(Maniobras!$B$5:$B$504,MATCH(A1325,Maniobras!$A$5:$A$504,0)),""))</f>
        <v/>
      </c>
      <c r="C1325" t="str">
        <f t="shared" si="40"/>
        <v/>
      </c>
      <c r="D1325" t="str">
        <f>IF(A1325="","",IFERROR(INDEX(Maniobras!$D$5:$D$504,MATCH(A1325,Maniobras!$A$5:$A$504,0)),""))</f>
        <v/>
      </c>
      <c r="F1325" s="29" t="str">
        <f>IF(A1325="","",IFERROR(INDEX(Maniobras!$K$5:$K$504,MATCH(A1325,Maniobras!$A$5:$A$504,0)),""))</f>
        <v/>
      </c>
      <c r="G1325" s="29"/>
      <c r="H1325" s="29"/>
      <c r="I1325" s="29" t="str">
        <f t="shared" si="41"/>
        <v/>
      </c>
      <c r="K1325" s="30"/>
      <c r="M1325" t="str">
        <f>IF($A1325=Ficha!$B$3,COUNTIF($A$5:$A1325,Ficha!$B$3),"")</f>
        <v/>
      </c>
    </row>
    <row r="1326" spans="2:13" x14ac:dyDescent="0.3">
      <c r="B1326" s="30" t="str">
        <f>IF(A1326="","",IFERROR(INDEX(Maniobras!$B$5:$B$504,MATCH(A1326,Maniobras!$A$5:$A$504,0)),""))</f>
        <v/>
      </c>
      <c r="C1326" t="str">
        <f t="shared" si="40"/>
        <v/>
      </c>
      <c r="D1326" t="str">
        <f>IF(A1326="","",IFERROR(INDEX(Maniobras!$D$5:$D$504,MATCH(A1326,Maniobras!$A$5:$A$504,0)),""))</f>
        <v/>
      </c>
      <c r="F1326" s="29" t="str">
        <f>IF(A1326="","",IFERROR(INDEX(Maniobras!$K$5:$K$504,MATCH(A1326,Maniobras!$A$5:$A$504,0)),""))</f>
        <v/>
      </c>
      <c r="G1326" s="29"/>
      <c r="H1326" s="29"/>
      <c r="I1326" s="29" t="str">
        <f t="shared" si="41"/>
        <v/>
      </c>
      <c r="K1326" s="30"/>
      <c r="M1326" t="str">
        <f>IF($A1326=Ficha!$B$3,COUNTIF($A$5:$A1326,Ficha!$B$3),"")</f>
        <v/>
      </c>
    </row>
    <row r="1327" spans="2:13" x14ac:dyDescent="0.3">
      <c r="B1327" s="30" t="str">
        <f>IF(A1327="","",IFERROR(INDEX(Maniobras!$B$5:$B$504,MATCH(A1327,Maniobras!$A$5:$A$504,0)),""))</f>
        <v/>
      </c>
      <c r="C1327" t="str">
        <f t="shared" si="40"/>
        <v/>
      </c>
      <c r="D1327" t="str">
        <f>IF(A1327="","",IFERROR(INDEX(Maniobras!$D$5:$D$504,MATCH(A1327,Maniobras!$A$5:$A$504,0)),""))</f>
        <v/>
      </c>
      <c r="F1327" s="29" t="str">
        <f>IF(A1327="","",IFERROR(INDEX(Maniobras!$K$5:$K$504,MATCH(A1327,Maniobras!$A$5:$A$504,0)),""))</f>
        <v/>
      </c>
      <c r="G1327" s="29"/>
      <c r="H1327" s="29"/>
      <c r="I1327" s="29" t="str">
        <f t="shared" si="41"/>
        <v/>
      </c>
      <c r="K1327" s="30"/>
      <c r="M1327" t="str">
        <f>IF($A1327=Ficha!$B$3,COUNTIF($A$5:$A1327,Ficha!$B$3),"")</f>
        <v/>
      </c>
    </row>
    <row r="1328" spans="2:13" x14ac:dyDescent="0.3">
      <c r="B1328" s="30" t="str">
        <f>IF(A1328="","",IFERROR(INDEX(Maniobras!$B$5:$B$504,MATCH(A1328,Maniobras!$A$5:$A$504,0)),""))</f>
        <v/>
      </c>
      <c r="C1328" t="str">
        <f t="shared" si="40"/>
        <v/>
      </c>
      <c r="D1328" t="str">
        <f>IF(A1328="","",IFERROR(INDEX(Maniobras!$D$5:$D$504,MATCH(A1328,Maniobras!$A$5:$A$504,0)),""))</f>
        <v/>
      </c>
      <c r="F1328" s="29" t="str">
        <f>IF(A1328="","",IFERROR(INDEX(Maniobras!$K$5:$K$504,MATCH(A1328,Maniobras!$A$5:$A$504,0)),""))</f>
        <v/>
      </c>
      <c r="G1328" s="29"/>
      <c r="H1328" s="29"/>
      <c r="I1328" s="29" t="str">
        <f t="shared" si="41"/>
        <v/>
      </c>
      <c r="K1328" s="30"/>
      <c r="M1328" t="str">
        <f>IF($A1328=Ficha!$B$3,COUNTIF($A$5:$A1328,Ficha!$B$3),"")</f>
        <v/>
      </c>
    </row>
    <row r="1329" spans="2:13" x14ac:dyDescent="0.3">
      <c r="B1329" s="30" t="str">
        <f>IF(A1329="","",IFERROR(INDEX(Maniobras!$B$5:$B$504,MATCH(A1329,Maniobras!$A$5:$A$504,0)),""))</f>
        <v/>
      </c>
      <c r="C1329" t="str">
        <f t="shared" si="40"/>
        <v/>
      </c>
      <c r="D1329" t="str">
        <f>IF(A1329="","",IFERROR(INDEX(Maniobras!$D$5:$D$504,MATCH(A1329,Maniobras!$A$5:$A$504,0)),""))</f>
        <v/>
      </c>
      <c r="F1329" s="29" t="str">
        <f>IF(A1329="","",IFERROR(INDEX(Maniobras!$K$5:$K$504,MATCH(A1329,Maniobras!$A$5:$A$504,0)),""))</f>
        <v/>
      </c>
      <c r="G1329" s="29"/>
      <c r="H1329" s="29"/>
      <c r="I1329" s="29" t="str">
        <f t="shared" si="41"/>
        <v/>
      </c>
      <c r="K1329" s="30"/>
      <c r="M1329" t="str">
        <f>IF($A1329=Ficha!$B$3,COUNTIF($A$5:$A1329,Ficha!$B$3),"")</f>
        <v/>
      </c>
    </row>
    <row r="1330" spans="2:13" x14ac:dyDescent="0.3">
      <c r="B1330" s="30" t="str">
        <f>IF(A1330="","",IFERROR(INDEX(Maniobras!$B$5:$B$504,MATCH(A1330,Maniobras!$A$5:$A$504,0)),""))</f>
        <v/>
      </c>
      <c r="C1330" t="str">
        <f t="shared" si="40"/>
        <v/>
      </c>
      <c r="D1330" t="str">
        <f>IF(A1330="","",IFERROR(INDEX(Maniobras!$D$5:$D$504,MATCH(A1330,Maniobras!$A$5:$A$504,0)),""))</f>
        <v/>
      </c>
      <c r="F1330" s="29" t="str">
        <f>IF(A1330="","",IFERROR(INDEX(Maniobras!$K$5:$K$504,MATCH(A1330,Maniobras!$A$5:$A$504,0)),""))</f>
        <v/>
      </c>
      <c r="G1330" s="29"/>
      <c r="H1330" s="29"/>
      <c r="I1330" s="29" t="str">
        <f t="shared" si="41"/>
        <v/>
      </c>
      <c r="K1330" s="30"/>
      <c r="M1330" t="str">
        <f>IF($A1330=Ficha!$B$3,COUNTIF($A$5:$A1330,Ficha!$B$3),"")</f>
        <v/>
      </c>
    </row>
    <row r="1331" spans="2:13" x14ac:dyDescent="0.3">
      <c r="B1331" s="30" t="str">
        <f>IF(A1331="","",IFERROR(INDEX(Maniobras!$B$5:$B$504,MATCH(A1331,Maniobras!$A$5:$A$504,0)),""))</f>
        <v/>
      </c>
      <c r="C1331" t="str">
        <f t="shared" si="40"/>
        <v/>
      </c>
      <c r="D1331" t="str">
        <f>IF(A1331="","",IFERROR(INDEX(Maniobras!$D$5:$D$504,MATCH(A1331,Maniobras!$A$5:$A$504,0)),""))</f>
        <v/>
      </c>
      <c r="F1331" s="29" t="str">
        <f>IF(A1331="","",IFERROR(INDEX(Maniobras!$K$5:$K$504,MATCH(A1331,Maniobras!$A$5:$A$504,0)),""))</f>
        <v/>
      </c>
      <c r="G1331" s="29"/>
      <c r="H1331" s="29"/>
      <c r="I1331" s="29" t="str">
        <f t="shared" si="41"/>
        <v/>
      </c>
      <c r="K1331" s="30"/>
      <c r="M1331" t="str">
        <f>IF($A1331=Ficha!$B$3,COUNTIF($A$5:$A1331,Ficha!$B$3),"")</f>
        <v/>
      </c>
    </row>
    <row r="1332" spans="2:13" x14ac:dyDescent="0.3">
      <c r="B1332" s="30" t="str">
        <f>IF(A1332="","",IFERROR(INDEX(Maniobras!$B$5:$B$504,MATCH(A1332,Maniobras!$A$5:$A$504,0)),""))</f>
        <v/>
      </c>
      <c r="C1332" t="str">
        <f t="shared" si="40"/>
        <v/>
      </c>
      <c r="D1332" t="str">
        <f>IF(A1332="","",IFERROR(INDEX(Maniobras!$D$5:$D$504,MATCH(A1332,Maniobras!$A$5:$A$504,0)),""))</f>
        <v/>
      </c>
      <c r="F1332" s="29" t="str">
        <f>IF(A1332="","",IFERROR(INDEX(Maniobras!$K$5:$K$504,MATCH(A1332,Maniobras!$A$5:$A$504,0)),""))</f>
        <v/>
      </c>
      <c r="G1332" s="29"/>
      <c r="H1332" s="29"/>
      <c r="I1332" s="29" t="str">
        <f t="shared" si="41"/>
        <v/>
      </c>
      <c r="K1332" s="30"/>
      <c r="M1332" t="str">
        <f>IF($A1332=Ficha!$B$3,COUNTIF($A$5:$A1332,Ficha!$B$3),"")</f>
        <v/>
      </c>
    </row>
    <row r="1333" spans="2:13" x14ac:dyDescent="0.3">
      <c r="B1333" s="30" t="str">
        <f>IF(A1333="","",IFERROR(INDEX(Maniobras!$B$5:$B$504,MATCH(A1333,Maniobras!$A$5:$A$504,0)),""))</f>
        <v/>
      </c>
      <c r="C1333" t="str">
        <f t="shared" si="40"/>
        <v/>
      </c>
      <c r="D1333" t="str">
        <f>IF(A1333="","",IFERROR(INDEX(Maniobras!$D$5:$D$504,MATCH(A1333,Maniobras!$A$5:$A$504,0)),""))</f>
        <v/>
      </c>
      <c r="F1333" s="29" t="str">
        <f>IF(A1333="","",IFERROR(INDEX(Maniobras!$K$5:$K$504,MATCH(A1333,Maniobras!$A$5:$A$504,0)),""))</f>
        <v/>
      </c>
      <c r="G1333" s="29"/>
      <c r="H1333" s="29"/>
      <c r="I1333" s="29" t="str">
        <f t="shared" si="41"/>
        <v/>
      </c>
      <c r="K1333" s="30"/>
      <c r="M1333" t="str">
        <f>IF($A1333=Ficha!$B$3,COUNTIF($A$5:$A1333,Ficha!$B$3),"")</f>
        <v/>
      </c>
    </row>
    <row r="1334" spans="2:13" x14ac:dyDescent="0.3">
      <c r="B1334" s="30" t="str">
        <f>IF(A1334="","",IFERROR(INDEX(Maniobras!$B$5:$B$504,MATCH(A1334,Maniobras!$A$5:$A$504,0)),""))</f>
        <v/>
      </c>
      <c r="C1334" t="str">
        <f t="shared" si="40"/>
        <v/>
      </c>
      <c r="D1334" t="str">
        <f>IF(A1334="","",IFERROR(INDEX(Maniobras!$D$5:$D$504,MATCH(A1334,Maniobras!$A$5:$A$504,0)),""))</f>
        <v/>
      </c>
      <c r="F1334" s="29" t="str">
        <f>IF(A1334="","",IFERROR(INDEX(Maniobras!$K$5:$K$504,MATCH(A1334,Maniobras!$A$5:$A$504,0)),""))</f>
        <v/>
      </c>
      <c r="G1334" s="29"/>
      <c r="H1334" s="29"/>
      <c r="I1334" s="29" t="str">
        <f t="shared" si="41"/>
        <v/>
      </c>
      <c r="K1334" s="30"/>
      <c r="M1334" t="str">
        <f>IF($A1334=Ficha!$B$3,COUNTIF($A$5:$A1334,Ficha!$B$3),"")</f>
        <v/>
      </c>
    </row>
    <row r="1335" spans="2:13" x14ac:dyDescent="0.3">
      <c r="B1335" s="30" t="str">
        <f>IF(A1335="","",IFERROR(INDEX(Maniobras!$B$5:$B$504,MATCH(A1335,Maniobras!$A$5:$A$504,0)),""))</f>
        <v/>
      </c>
      <c r="C1335" t="str">
        <f t="shared" si="40"/>
        <v/>
      </c>
      <c r="D1335" t="str">
        <f>IF(A1335="","",IFERROR(INDEX(Maniobras!$D$5:$D$504,MATCH(A1335,Maniobras!$A$5:$A$504,0)),""))</f>
        <v/>
      </c>
      <c r="F1335" s="29" t="str">
        <f>IF(A1335="","",IFERROR(INDEX(Maniobras!$K$5:$K$504,MATCH(A1335,Maniobras!$A$5:$A$504,0)),""))</f>
        <v/>
      </c>
      <c r="G1335" s="29"/>
      <c r="H1335" s="29"/>
      <c r="I1335" s="29" t="str">
        <f t="shared" si="41"/>
        <v/>
      </c>
      <c r="K1335" s="30"/>
      <c r="M1335" t="str">
        <f>IF($A1335=Ficha!$B$3,COUNTIF($A$5:$A1335,Ficha!$B$3),"")</f>
        <v/>
      </c>
    </row>
    <row r="1336" spans="2:13" x14ac:dyDescent="0.3">
      <c r="B1336" s="30" t="str">
        <f>IF(A1336="","",IFERROR(INDEX(Maniobras!$B$5:$B$504,MATCH(A1336,Maniobras!$A$5:$A$504,0)),""))</f>
        <v/>
      </c>
      <c r="C1336" t="str">
        <f t="shared" si="40"/>
        <v/>
      </c>
      <c r="D1336" t="str">
        <f>IF(A1336="","",IFERROR(INDEX(Maniobras!$D$5:$D$504,MATCH(A1336,Maniobras!$A$5:$A$504,0)),""))</f>
        <v/>
      </c>
      <c r="F1336" s="29" t="str">
        <f>IF(A1336="","",IFERROR(INDEX(Maniobras!$K$5:$K$504,MATCH(A1336,Maniobras!$A$5:$A$504,0)),""))</f>
        <v/>
      </c>
      <c r="G1336" s="29"/>
      <c r="H1336" s="29"/>
      <c r="I1336" s="29" t="str">
        <f t="shared" si="41"/>
        <v/>
      </c>
      <c r="K1336" s="30"/>
      <c r="M1336" t="str">
        <f>IF($A1336=Ficha!$B$3,COUNTIF($A$5:$A1336,Ficha!$B$3),"")</f>
        <v/>
      </c>
    </row>
    <row r="1337" spans="2:13" x14ac:dyDescent="0.3">
      <c r="B1337" s="30" t="str">
        <f>IF(A1337="","",IFERROR(INDEX(Maniobras!$B$5:$B$504,MATCH(A1337,Maniobras!$A$5:$A$504,0)),""))</f>
        <v/>
      </c>
      <c r="C1337" t="str">
        <f t="shared" si="40"/>
        <v/>
      </c>
      <c r="D1337" t="str">
        <f>IF(A1337="","",IFERROR(INDEX(Maniobras!$D$5:$D$504,MATCH(A1337,Maniobras!$A$5:$A$504,0)),""))</f>
        <v/>
      </c>
      <c r="F1337" s="29" t="str">
        <f>IF(A1337="","",IFERROR(INDEX(Maniobras!$K$5:$K$504,MATCH(A1337,Maniobras!$A$5:$A$504,0)),""))</f>
        <v/>
      </c>
      <c r="G1337" s="29"/>
      <c r="H1337" s="29"/>
      <c r="I1337" s="29" t="str">
        <f t="shared" si="41"/>
        <v/>
      </c>
      <c r="K1337" s="30"/>
      <c r="M1337" t="str">
        <f>IF($A1337=Ficha!$B$3,COUNTIF($A$5:$A1337,Ficha!$B$3),"")</f>
        <v/>
      </c>
    </row>
    <row r="1338" spans="2:13" x14ac:dyDescent="0.3">
      <c r="B1338" s="30" t="str">
        <f>IF(A1338="","",IFERROR(INDEX(Maniobras!$B$5:$B$504,MATCH(A1338,Maniobras!$A$5:$A$504,0)),""))</f>
        <v/>
      </c>
      <c r="C1338" t="str">
        <f t="shared" si="40"/>
        <v/>
      </c>
      <c r="D1338" t="str">
        <f>IF(A1338="","",IFERROR(INDEX(Maniobras!$D$5:$D$504,MATCH(A1338,Maniobras!$A$5:$A$504,0)),""))</f>
        <v/>
      </c>
      <c r="F1338" s="29" t="str">
        <f>IF(A1338="","",IFERROR(INDEX(Maniobras!$K$5:$K$504,MATCH(A1338,Maniobras!$A$5:$A$504,0)),""))</f>
        <v/>
      </c>
      <c r="G1338" s="29"/>
      <c r="H1338" s="29"/>
      <c r="I1338" s="29" t="str">
        <f t="shared" si="41"/>
        <v/>
      </c>
      <c r="K1338" s="30"/>
      <c r="M1338" t="str">
        <f>IF($A1338=Ficha!$B$3,COUNTIF($A$5:$A1338,Ficha!$B$3),"")</f>
        <v/>
      </c>
    </row>
    <row r="1339" spans="2:13" x14ac:dyDescent="0.3">
      <c r="B1339" s="30" t="str">
        <f>IF(A1339="","",IFERROR(INDEX(Maniobras!$B$5:$B$504,MATCH(A1339,Maniobras!$A$5:$A$504,0)),""))</f>
        <v/>
      </c>
      <c r="C1339" t="str">
        <f t="shared" si="40"/>
        <v/>
      </c>
      <c r="D1339" t="str">
        <f>IF(A1339="","",IFERROR(INDEX(Maniobras!$D$5:$D$504,MATCH(A1339,Maniobras!$A$5:$A$504,0)),""))</f>
        <v/>
      </c>
      <c r="F1339" s="29" t="str">
        <f>IF(A1339="","",IFERROR(INDEX(Maniobras!$K$5:$K$504,MATCH(A1339,Maniobras!$A$5:$A$504,0)),""))</f>
        <v/>
      </c>
      <c r="G1339" s="29"/>
      <c r="H1339" s="29"/>
      <c r="I1339" s="29" t="str">
        <f t="shared" si="41"/>
        <v/>
      </c>
      <c r="K1339" s="30"/>
      <c r="M1339" t="str">
        <f>IF($A1339=Ficha!$B$3,COUNTIF($A$5:$A1339,Ficha!$B$3),"")</f>
        <v/>
      </c>
    </row>
    <row r="1340" spans="2:13" x14ac:dyDescent="0.3">
      <c r="B1340" s="30" t="str">
        <f>IF(A1340="","",IFERROR(INDEX(Maniobras!$B$5:$B$504,MATCH(A1340,Maniobras!$A$5:$A$504,0)),""))</f>
        <v/>
      </c>
      <c r="C1340" t="str">
        <f t="shared" si="40"/>
        <v/>
      </c>
      <c r="D1340" t="str">
        <f>IF(A1340="","",IFERROR(INDEX(Maniobras!$D$5:$D$504,MATCH(A1340,Maniobras!$A$5:$A$504,0)),""))</f>
        <v/>
      </c>
      <c r="F1340" s="29" t="str">
        <f>IF(A1340="","",IFERROR(INDEX(Maniobras!$K$5:$K$504,MATCH(A1340,Maniobras!$A$5:$A$504,0)),""))</f>
        <v/>
      </c>
      <c r="G1340" s="29"/>
      <c r="H1340" s="29"/>
      <c r="I1340" s="29" t="str">
        <f t="shared" si="41"/>
        <v/>
      </c>
      <c r="K1340" s="30"/>
      <c r="M1340" t="str">
        <f>IF($A1340=Ficha!$B$3,COUNTIF($A$5:$A1340,Ficha!$B$3),"")</f>
        <v/>
      </c>
    </row>
    <row r="1341" spans="2:13" x14ac:dyDescent="0.3">
      <c r="B1341" s="30" t="str">
        <f>IF(A1341="","",IFERROR(INDEX(Maniobras!$B$5:$B$504,MATCH(A1341,Maniobras!$A$5:$A$504,0)),""))</f>
        <v/>
      </c>
      <c r="C1341" t="str">
        <f t="shared" si="40"/>
        <v/>
      </c>
      <c r="D1341" t="str">
        <f>IF(A1341="","",IFERROR(INDEX(Maniobras!$D$5:$D$504,MATCH(A1341,Maniobras!$A$5:$A$504,0)),""))</f>
        <v/>
      </c>
      <c r="F1341" s="29" t="str">
        <f>IF(A1341="","",IFERROR(INDEX(Maniobras!$K$5:$K$504,MATCH(A1341,Maniobras!$A$5:$A$504,0)),""))</f>
        <v/>
      </c>
      <c r="G1341" s="29"/>
      <c r="H1341" s="29"/>
      <c r="I1341" s="29" t="str">
        <f t="shared" si="41"/>
        <v/>
      </c>
      <c r="K1341" s="30"/>
      <c r="M1341" t="str">
        <f>IF($A1341=Ficha!$B$3,COUNTIF($A$5:$A1341,Ficha!$B$3),"")</f>
        <v/>
      </c>
    </row>
    <row r="1342" spans="2:13" x14ac:dyDescent="0.3">
      <c r="B1342" s="30" t="str">
        <f>IF(A1342="","",IFERROR(INDEX(Maniobras!$B$5:$B$504,MATCH(A1342,Maniobras!$A$5:$A$504,0)),""))</f>
        <v/>
      </c>
      <c r="C1342" t="str">
        <f t="shared" si="40"/>
        <v/>
      </c>
      <c r="D1342" t="str">
        <f>IF(A1342="","",IFERROR(INDEX(Maniobras!$D$5:$D$504,MATCH(A1342,Maniobras!$A$5:$A$504,0)),""))</f>
        <v/>
      </c>
      <c r="F1342" s="29" t="str">
        <f>IF(A1342="","",IFERROR(INDEX(Maniobras!$K$5:$K$504,MATCH(A1342,Maniobras!$A$5:$A$504,0)),""))</f>
        <v/>
      </c>
      <c r="G1342" s="29"/>
      <c r="H1342" s="29"/>
      <c r="I1342" s="29" t="str">
        <f t="shared" si="41"/>
        <v/>
      </c>
      <c r="K1342" s="30"/>
      <c r="M1342" t="str">
        <f>IF($A1342=Ficha!$B$3,COUNTIF($A$5:$A1342,Ficha!$B$3),"")</f>
        <v/>
      </c>
    </row>
    <row r="1343" spans="2:13" x14ac:dyDescent="0.3">
      <c r="B1343" s="30" t="str">
        <f>IF(A1343="","",IFERROR(INDEX(Maniobras!$B$5:$B$504,MATCH(A1343,Maniobras!$A$5:$A$504,0)),""))</f>
        <v/>
      </c>
      <c r="C1343" t="str">
        <f t="shared" si="40"/>
        <v/>
      </c>
      <c r="D1343" t="str">
        <f>IF(A1343="","",IFERROR(INDEX(Maniobras!$D$5:$D$504,MATCH(A1343,Maniobras!$A$5:$A$504,0)),""))</f>
        <v/>
      </c>
      <c r="F1343" s="29" t="str">
        <f>IF(A1343="","",IFERROR(INDEX(Maniobras!$K$5:$K$504,MATCH(A1343,Maniobras!$A$5:$A$504,0)),""))</f>
        <v/>
      </c>
      <c r="G1343" s="29"/>
      <c r="H1343" s="29"/>
      <c r="I1343" s="29" t="str">
        <f t="shared" si="41"/>
        <v/>
      </c>
      <c r="K1343" s="30"/>
      <c r="M1343" t="str">
        <f>IF($A1343=Ficha!$B$3,COUNTIF($A$5:$A1343,Ficha!$B$3),"")</f>
        <v/>
      </c>
    </row>
    <row r="1344" spans="2:13" x14ac:dyDescent="0.3">
      <c r="B1344" s="30" t="str">
        <f>IF(A1344="","",IFERROR(INDEX(Maniobras!$B$5:$B$504,MATCH(A1344,Maniobras!$A$5:$A$504,0)),""))</f>
        <v/>
      </c>
      <c r="C1344" t="str">
        <f t="shared" si="40"/>
        <v/>
      </c>
      <c r="D1344" t="str">
        <f>IF(A1344="","",IFERROR(INDEX(Maniobras!$D$5:$D$504,MATCH(A1344,Maniobras!$A$5:$A$504,0)),""))</f>
        <v/>
      </c>
      <c r="F1344" s="29" t="str">
        <f>IF(A1344="","",IFERROR(INDEX(Maniobras!$K$5:$K$504,MATCH(A1344,Maniobras!$A$5:$A$504,0)),""))</f>
        <v/>
      </c>
      <c r="G1344" s="29"/>
      <c r="H1344" s="29"/>
      <c r="I1344" s="29" t="str">
        <f t="shared" si="41"/>
        <v/>
      </c>
      <c r="K1344" s="30"/>
      <c r="M1344" t="str">
        <f>IF($A1344=Ficha!$B$3,COUNTIF($A$5:$A1344,Ficha!$B$3),"")</f>
        <v/>
      </c>
    </row>
    <row r="1345" spans="2:13" x14ac:dyDescent="0.3">
      <c r="B1345" s="30" t="str">
        <f>IF(A1345="","",IFERROR(INDEX(Maniobras!$B$5:$B$504,MATCH(A1345,Maniobras!$A$5:$A$504,0)),""))</f>
        <v/>
      </c>
      <c r="C1345" t="str">
        <f t="shared" si="40"/>
        <v/>
      </c>
      <c r="D1345" t="str">
        <f>IF(A1345="","",IFERROR(INDEX(Maniobras!$D$5:$D$504,MATCH(A1345,Maniobras!$A$5:$A$504,0)),""))</f>
        <v/>
      </c>
      <c r="F1345" s="29" t="str">
        <f>IF(A1345="","",IFERROR(INDEX(Maniobras!$K$5:$K$504,MATCH(A1345,Maniobras!$A$5:$A$504,0)),""))</f>
        <v/>
      </c>
      <c r="G1345" s="29"/>
      <c r="H1345" s="29"/>
      <c r="I1345" s="29" t="str">
        <f t="shared" si="41"/>
        <v/>
      </c>
      <c r="K1345" s="30"/>
      <c r="M1345" t="str">
        <f>IF($A1345=Ficha!$B$3,COUNTIF($A$5:$A1345,Ficha!$B$3),"")</f>
        <v/>
      </c>
    </row>
    <row r="1346" spans="2:13" x14ac:dyDescent="0.3">
      <c r="B1346" s="30" t="str">
        <f>IF(A1346="","",IFERROR(INDEX(Maniobras!$B$5:$B$504,MATCH(A1346,Maniobras!$A$5:$A$504,0)),""))</f>
        <v/>
      </c>
      <c r="C1346" t="str">
        <f t="shared" si="40"/>
        <v/>
      </c>
      <c r="D1346" t="str">
        <f>IF(A1346="","",IFERROR(INDEX(Maniobras!$D$5:$D$504,MATCH(A1346,Maniobras!$A$5:$A$504,0)),""))</f>
        <v/>
      </c>
      <c r="F1346" s="29" t="str">
        <f>IF(A1346="","",IFERROR(INDEX(Maniobras!$K$5:$K$504,MATCH(A1346,Maniobras!$A$5:$A$504,0)),""))</f>
        <v/>
      </c>
      <c r="G1346" s="29"/>
      <c r="H1346" s="29"/>
      <c r="I1346" s="29" t="str">
        <f t="shared" si="41"/>
        <v/>
      </c>
      <c r="K1346" s="30"/>
      <c r="M1346" t="str">
        <f>IF($A1346=Ficha!$B$3,COUNTIF($A$5:$A1346,Ficha!$B$3),"")</f>
        <v/>
      </c>
    </row>
    <row r="1347" spans="2:13" x14ac:dyDescent="0.3">
      <c r="B1347" s="30" t="str">
        <f>IF(A1347="","",IFERROR(INDEX(Maniobras!$B$5:$B$504,MATCH(A1347,Maniobras!$A$5:$A$504,0)),""))</f>
        <v/>
      </c>
      <c r="C1347" t="str">
        <f t="shared" si="40"/>
        <v/>
      </c>
      <c r="D1347" t="str">
        <f>IF(A1347="","",IFERROR(INDEX(Maniobras!$D$5:$D$504,MATCH(A1347,Maniobras!$A$5:$A$504,0)),""))</f>
        <v/>
      </c>
      <c r="F1347" s="29" t="str">
        <f>IF(A1347="","",IFERROR(INDEX(Maniobras!$K$5:$K$504,MATCH(A1347,Maniobras!$A$5:$A$504,0)),""))</f>
        <v/>
      </c>
      <c r="G1347" s="29"/>
      <c r="H1347" s="29"/>
      <c r="I1347" s="29" t="str">
        <f t="shared" si="41"/>
        <v/>
      </c>
      <c r="K1347" s="30"/>
      <c r="M1347" t="str">
        <f>IF($A1347=Ficha!$B$3,COUNTIF($A$5:$A1347,Ficha!$B$3),"")</f>
        <v/>
      </c>
    </row>
    <row r="1348" spans="2:13" x14ac:dyDescent="0.3">
      <c r="B1348" s="30" t="str">
        <f>IF(A1348="","",IFERROR(INDEX(Maniobras!$B$5:$B$504,MATCH(A1348,Maniobras!$A$5:$A$504,0)),""))</f>
        <v/>
      </c>
      <c r="C1348" t="str">
        <f t="shared" si="40"/>
        <v/>
      </c>
      <c r="D1348" t="str">
        <f>IF(A1348="","",IFERROR(INDEX(Maniobras!$D$5:$D$504,MATCH(A1348,Maniobras!$A$5:$A$504,0)),""))</f>
        <v/>
      </c>
      <c r="F1348" s="29" t="str">
        <f>IF(A1348="","",IFERROR(INDEX(Maniobras!$K$5:$K$504,MATCH(A1348,Maniobras!$A$5:$A$504,0)),""))</f>
        <v/>
      </c>
      <c r="G1348" s="29"/>
      <c r="H1348" s="29"/>
      <c r="I1348" s="29" t="str">
        <f t="shared" si="41"/>
        <v/>
      </c>
      <c r="K1348" s="30"/>
      <c r="M1348" t="str">
        <f>IF($A1348=Ficha!$B$3,COUNTIF($A$5:$A1348,Ficha!$B$3),"")</f>
        <v/>
      </c>
    </row>
    <row r="1349" spans="2:13" x14ac:dyDescent="0.3">
      <c r="B1349" s="30" t="str">
        <f>IF(A1349="","",IFERROR(INDEX(Maniobras!$B$5:$B$504,MATCH(A1349,Maniobras!$A$5:$A$504,0)),""))</f>
        <v/>
      </c>
      <c r="C1349" t="str">
        <f t="shared" ref="C1349:C1412" si="42">IF(B1349="","",TEXT(B1349,"yyyy-mm"))</f>
        <v/>
      </c>
      <c r="D1349" t="str">
        <f>IF(A1349="","",IFERROR(INDEX(Maniobras!$D$5:$D$504,MATCH(A1349,Maniobras!$A$5:$A$504,0)),""))</f>
        <v/>
      </c>
      <c r="F1349" s="29" t="str">
        <f>IF(A1349="","",IFERROR(INDEX(Maniobras!$K$5:$K$504,MATCH(A1349,Maniobras!$A$5:$A$504,0)),""))</f>
        <v/>
      </c>
      <c r="G1349" s="29"/>
      <c r="H1349" s="29"/>
      <c r="I1349" s="29" t="str">
        <f t="shared" ref="I1349:I1412" si="43">IF(G1349="","",G1349+N(H1349))</f>
        <v/>
      </c>
      <c r="K1349" s="30"/>
      <c r="M1349" t="str">
        <f>IF($A1349=Ficha!$B$3,COUNTIF($A$5:$A1349,Ficha!$B$3),"")</f>
        <v/>
      </c>
    </row>
    <row r="1350" spans="2:13" x14ac:dyDescent="0.3">
      <c r="B1350" s="30" t="str">
        <f>IF(A1350="","",IFERROR(INDEX(Maniobras!$B$5:$B$504,MATCH(A1350,Maniobras!$A$5:$A$504,0)),""))</f>
        <v/>
      </c>
      <c r="C1350" t="str">
        <f t="shared" si="42"/>
        <v/>
      </c>
      <c r="D1350" t="str">
        <f>IF(A1350="","",IFERROR(INDEX(Maniobras!$D$5:$D$504,MATCH(A1350,Maniobras!$A$5:$A$504,0)),""))</f>
        <v/>
      </c>
      <c r="F1350" s="29" t="str">
        <f>IF(A1350="","",IFERROR(INDEX(Maniobras!$K$5:$K$504,MATCH(A1350,Maniobras!$A$5:$A$504,0)),""))</f>
        <v/>
      </c>
      <c r="G1350" s="29"/>
      <c r="H1350" s="29"/>
      <c r="I1350" s="29" t="str">
        <f t="shared" si="43"/>
        <v/>
      </c>
      <c r="K1350" s="30"/>
      <c r="M1350" t="str">
        <f>IF($A1350=Ficha!$B$3,COUNTIF($A$5:$A1350,Ficha!$B$3),"")</f>
        <v/>
      </c>
    </row>
    <row r="1351" spans="2:13" x14ac:dyDescent="0.3">
      <c r="B1351" s="30" t="str">
        <f>IF(A1351="","",IFERROR(INDEX(Maniobras!$B$5:$B$504,MATCH(A1351,Maniobras!$A$5:$A$504,0)),""))</f>
        <v/>
      </c>
      <c r="C1351" t="str">
        <f t="shared" si="42"/>
        <v/>
      </c>
      <c r="D1351" t="str">
        <f>IF(A1351="","",IFERROR(INDEX(Maniobras!$D$5:$D$504,MATCH(A1351,Maniobras!$A$5:$A$504,0)),""))</f>
        <v/>
      </c>
      <c r="F1351" s="29" t="str">
        <f>IF(A1351="","",IFERROR(INDEX(Maniobras!$K$5:$K$504,MATCH(A1351,Maniobras!$A$5:$A$504,0)),""))</f>
        <v/>
      </c>
      <c r="G1351" s="29"/>
      <c r="H1351" s="29"/>
      <c r="I1351" s="29" t="str">
        <f t="shared" si="43"/>
        <v/>
      </c>
      <c r="K1351" s="30"/>
      <c r="M1351" t="str">
        <f>IF($A1351=Ficha!$B$3,COUNTIF($A$5:$A1351,Ficha!$B$3),"")</f>
        <v/>
      </c>
    </row>
    <row r="1352" spans="2:13" x14ac:dyDescent="0.3">
      <c r="B1352" s="30" t="str">
        <f>IF(A1352="","",IFERROR(INDEX(Maniobras!$B$5:$B$504,MATCH(A1352,Maniobras!$A$5:$A$504,0)),""))</f>
        <v/>
      </c>
      <c r="C1352" t="str">
        <f t="shared" si="42"/>
        <v/>
      </c>
      <c r="D1352" t="str">
        <f>IF(A1352="","",IFERROR(INDEX(Maniobras!$D$5:$D$504,MATCH(A1352,Maniobras!$A$5:$A$504,0)),""))</f>
        <v/>
      </c>
      <c r="F1352" s="29" t="str">
        <f>IF(A1352="","",IFERROR(INDEX(Maniobras!$K$5:$K$504,MATCH(A1352,Maniobras!$A$5:$A$504,0)),""))</f>
        <v/>
      </c>
      <c r="G1352" s="29"/>
      <c r="H1352" s="29"/>
      <c r="I1352" s="29" t="str">
        <f t="shared" si="43"/>
        <v/>
      </c>
      <c r="K1352" s="30"/>
      <c r="M1352" t="str">
        <f>IF($A1352=Ficha!$B$3,COUNTIF($A$5:$A1352,Ficha!$B$3),"")</f>
        <v/>
      </c>
    </row>
    <row r="1353" spans="2:13" x14ac:dyDescent="0.3">
      <c r="B1353" s="30" t="str">
        <f>IF(A1353="","",IFERROR(INDEX(Maniobras!$B$5:$B$504,MATCH(A1353,Maniobras!$A$5:$A$504,0)),""))</f>
        <v/>
      </c>
      <c r="C1353" t="str">
        <f t="shared" si="42"/>
        <v/>
      </c>
      <c r="D1353" t="str">
        <f>IF(A1353="","",IFERROR(INDEX(Maniobras!$D$5:$D$504,MATCH(A1353,Maniobras!$A$5:$A$504,0)),""))</f>
        <v/>
      </c>
      <c r="F1353" s="29" t="str">
        <f>IF(A1353="","",IFERROR(INDEX(Maniobras!$K$5:$K$504,MATCH(A1353,Maniobras!$A$5:$A$504,0)),""))</f>
        <v/>
      </c>
      <c r="G1353" s="29"/>
      <c r="H1353" s="29"/>
      <c r="I1353" s="29" t="str">
        <f t="shared" si="43"/>
        <v/>
      </c>
      <c r="K1353" s="30"/>
      <c r="M1353" t="str">
        <f>IF($A1353=Ficha!$B$3,COUNTIF($A$5:$A1353,Ficha!$B$3),"")</f>
        <v/>
      </c>
    </row>
    <row r="1354" spans="2:13" x14ac:dyDescent="0.3">
      <c r="B1354" s="30" t="str">
        <f>IF(A1354="","",IFERROR(INDEX(Maniobras!$B$5:$B$504,MATCH(A1354,Maniobras!$A$5:$A$504,0)),""))</f>
        <v/>
      </c>
      <c r="C1354" t="str">
        <f t="shared" si="42"/>
        <v/>
      </c>
      <c r="D1354" t="str">
        <f>IF(A1354="","",IFERROR(INDEX(Maniobras!$D$5:$D$504,MATCH(A1354,Maniobras!$A$5:$A$504,0)),""))</f>
        <v/>
      </c>
      <c r="F1354" s="29" t="str">
        <f>IF(A1354="","",IFERROR(INDEX(Maniobras!$K$5:$K$504,MATCH(A1354,Maniobras!$A$5:$A$504,0)),""))</f>
        <v/>
      </c>
      <c r="G1354" s="29"/>
      <c r="H1354" s="29"/>
      <c r="I1354" s="29" t="str">
        <f t="shared" si="43"/>
        <v/>
      </c>
      <c r="K1354" s="30"/>
      <c r="M1354" t="str">
        <f>IF($A1354=Ficha!$B$3,COUNTIF($A$5:$A1354,Ficha!$B$3),"")</f>
        <v/>
      </c>
    </row>
    <row r="1355" spans="2:13" x14ac:dyDescent="0.3">
      <c r="B1355" s="30" t="str">
        <f>IF(A1355="","",IFERROR(INDEX(Maniobras!$B$5:$B$504,MATCH(A1355,Maniobras!$A$5:$A$504,0)),""))</f>
        <v/>
      </c>
      <c r="C1355" t="str">
        <f t="shared" si="42"/>
        <v/>
      </c>
      <c r="D1355" t="str">
        <f>IF(A1355="","",IFERROR(INDEX(Maniobras!$D$5:$D$504,MATCH(A1355,Maniobras!$A$5:$A$504,0)),""))</f>
        <v/>
      </c>
      <c r="F1355" s="29" t="str">
        <f>IF(A1355="","",IFERROR(INDEX(Maniobras!$K$5:$K$504,MATCH(A1355,Maniobras!$A$5:$A$504,0)),""))</f>
        <v/>
      </c>
      <c r="G1355" s="29"/>
      <c r="H1355" s="29"/>
      <c r="I1355" s="29" t="str">
        <f t="shared" si="43"/>
        <v/>
      </c>
      <c r="K1355" s="30"/>
      <c r="M1355" t="str">
        <f>IF($A1355=Ficha!$B$3,COUNTIF($A$5:$A1355,Ficha!$B$3),"")</f>
        <v/>
      </c>
    </row>
    <row r="1356" spans="2:13" x14ac:dyDescent="0.3">
      <c r="B1356" s="30" t="str">
        <f>IF(A1356="","",IFERROR(INDEX(Maniobras!$B$5:$B$504,MATCH(A1356,Maniobras!$A$5:$A$504,0)),""))</f>
        <v/>
      </c>
      <c r="C1356" t="str">
        <f t="shared" si="42"/>
        <v/>
      </c>
      <c r="D1356" t="str">
        <f>IF(A1356="","",IFERROR(INDEX(Maniobras!$D$5:$D$504,MATCH(A1356,Maniobras!$A$5:$A$504,0)),""))</f>
        <v/>
      </c>
      <c r="F1356" s="29" t="str">
        <f>IF(A1356="","",IFERROR(INDEX(Maniobras!$K$5:$K$504,MATCH(A1356,Maniobras!$A$5:$A$504,0)),""))</f>
        <v/>
      </c>
      <c r="G1356" s="29"/>
      <c r="H1356" s="29"/>
      <c r="I1356" s="29" t="str">
        <f t="shared" si="43"/>
        <v/>
      </c>
      <c r="K1356" s="30"/>
      <c r="M1356" t="str">
        <f>IF($A1356=Ficha!$B$3,COUNTIF($A$5:$A1356,Ficha!$B$3),"")</f>
        <v/>
      </c>
    </row>
    <row r="1357" spans="2:13" x14ac:dyDescent="0.3">
      <c r="B1357" s="30" t="str">
        <f>IF(A1357="","",IFERROR(INDEX(Maniobras!$B$5:$B$504,MATCH(A1357,Maniobras!$A$5:$A$504,0)),""))</f>
        <v/>
      </c>
      <c r="C1357" t="str">
        <f t="shared" si="42"/>
        <v/>
      </c>
      <c r="D1357" t="str">
        <f>IF(A1357="","",IFERROR(INDEX(Maniobras!$D$5:$D$504,MATCH(A1357,Maniobras!$A$5:$A$504,0)),""))</f>
        <v/>
      </c>
      <c r="F1357" s="29" t="str">
        <f>IF(A1357="","",IFERROR(INDEX(Maniobras!$K$5:$K$504,MATCH(A1357,Maniobras!$A$5:$A$504,0)),""))</f>
        <v/>
      </c>
      <c r="G1357" s="29"/>
      <c r="H1357" s="29"/>
      <c r="I1357" s="29" t="str">
        <f t="shared" si="43"/>
        <v/>
      </c>
      <c r="K1357" s="30"/>
      <c r="M1357" t="str">
        <f>IF($A1357=Ficha!$B$3,COUNTIF($A$5:$A1357,Ficha!$B$3),"")</f>
        <v/>
      </c>
    </row>
    <row r="1358" spans="2:13" x14ac:dyDescent="0.3">
      <c r="B1358" s="30" t="str">
        <f>IF(A1358="","",IFERROR(INDEX(Maniobras!$B$5:$B$504,MATCH(A1358,Maniobras!$A$5:$A$504,0)),""))</f>
        <v/>
      </c>
      <c r="C1358" t="str">
        <f t="shared" si="42"/>
        <v/>
      </c>
      <c r="D1358" t="str">
        <f>IF(A1358="","",IFERROR(INDEX(Maniobras!$D$5:$D$504,MATCH(A1358,Maniobras!$A$5:$A$504,0)),""))</f>
        <v/>
      </c>
      <c r="F1358" s="29" t="str">
        <f>IF(A1358="","",IFERROR(INDEX(Maniobras!$K$5:$K$504,MATCH(A1358,Maniobras!$A$5:$A$504,0)),""))</f>
        <v/>
      </c>
      <c r="G1358" s="29"/>
      <c r="H1358" s="29"/>
      <c r="I1358" s="29" t="str">
        <f t="shared" si="43"/>
        <v/>
      </c>
      <c r="K1358" s="30"/>
      <c r="M1358" t="str">
        <f>IF($A1358=Ficha!$B$3,COUNTIF($A$5:$A1358,Ficha!$B$3),"")</f>
        <v/>
      </c>
    </row>
    <row r="1359" spans="2:13" x14ac:dyDescent="0.3">
      <c r="B1359" s="30" t="str">
        <f>IF(A1359="","",IFERROR(INDEX(Maniobras!$B$5:$B$504,MATCH(A1359,Maniobras!$A$5:$A$504,0)),""))</f>
        <v/>
      </c>
      <c r="C1359" t="str">
        <f t="shared" si="42"/>
        <v/>
      </c>
      <c r="D1359" t="str">
        <f>IF(A1359="","",IFERROR(INDEX(Maniobras!$D$5:$D$504,MATCH(A1359,Maniobras!$A$5:$A$504,0)),""))</f>
        <v/>
      </c>
      <c r="F1359" s="29" t="str">
        <f>IF(A1359="","",IFERROR(INDEX(Maniobras!$K$5:$K$504,MATCH(A1359,Maniobras!$A$5:$A$504,0)),""))</f>
        <v/>
      </c>
      <c r="G1359" s="29"/>
      <c r="H1359" s="29"/>
      <c r="I1359" s="29" t="str">
        <f t="shared" si="43"/>
        <v/>
      </c>
      <c r="K1359" s="30"/>
      <c r="M1359" t="str">
        <f>IF($A1359=Ficha!$B$3,COUNTIF($A$5:$A1359,Ficha!$B$3),"")</f>
        <v/>
      </c>
    </row>
    <row r="1360" spans="2:13" x14ac:dyDescent="0.3">
      <c r="B1360" s="30" t="str">
        <f>IF(A1360="","",IFERROR(INDEX(Maniobras!$B$5:$B$504,MATCH(A1360,Maniobras!$A$5:$A$504,0)),""))</f>
        <v/>
      </c>
      <c r="C1360" t="str">
        <f t="shared" si="42"/>
        <v/>
      </c>
      <c r="D1360" t="str">
        <f>IF(A1360="","",IFERROR(INDEX(Maniobras!$D$5:$D$504,MATCH(A1360,Maniobras!$A$5:$A$504,0)),""))</f>
        <v/>
      </c>
      <c r="F1360" s="29" t="str">
        <f>IF(A1360="","",IFERROR(INDEX(Maniobras!$K$5:$K$504,MATCH(A1360,Maniobras!$A$5:$A$504,0)),""))</f>
        <v/>
      </c>
      <c r="G1360" s="29"/>
      <c r="H1360" s="29"/>
      <c r="I1360" s="29" t="str">
        <f t="shared" si="43"/>
        <v/>
      </c>
      <c r="K1360" s="30"/>
      <c r="M1360" t="str">
        <f>IF($A1360=Ficha!$B$3,COUNTIF($A$5:$A1360,Ficha!$B$3),"")</f>
        <v/>
      </c>
    </row>
    <row r="1361" spans="2:13" x14ac:dyDescent="0.3">
      <c r="B1361" s="30" t="str">
        <f>IF(A1361="","",IFERROR(INDEX(Maniobras!$B$5:$B$504,MATCH(A1361,Maniobras!$A$5:$A$504,0)),""))</f>
        <v/>
      </c>
      <c r="C1361" t="str">
        <f t="shared" si="42"/>
        <v/>
      </c>
      <c r="D1361" t="str">
        <f>IF(A1361="","",IFERROR(INDEX(Maniobras!$D$5:$D$504,MATCH(A1361,Maniobras!$A$5:$A$504,0)),""))</f>
        <v/>
      </c>
      <c r="F1361" s="29" t="str">
        <f>IF(A1361="","",IFERROR(INDEX(Maniobras!$K$5:$K$504,MATCH(A1361,Maniobras!$A$5:$A$504,0)),""))</f>
        <v/>
      </c>
      <c r="G1361" s="29"/>
      <c r="H1361" s="29"/>
      <c r="I1361" s="29" t="str">
        <f t="shared" si="43"/>
        <v/>
      </c>
      <c r="K1361" s="30"/>
      <c r="M1361" t="str">
        <f>IF($A1361=Ficha!$B$3,COUNTIF($A$5:$A1361,Ficha!$B$3),"")</f>
        <v/>
      </c>
    </row>
    <row r="1362" spans="2:13" x14ac:dyDescent="0.3">
      <c r="B1362" s="30" t="str">
        <f>IF(A1362="","",IFERROR(INDEX(Maniobras!$B$5:$B$504,MATCH(A1362,Maniobras!$A$5:$A$504,0)),""))</f>
        <v/>
      </c>
      <c r="C1362" t="str">
        <f t="shared" si="42"/>
        <v/>
      </c>
      <c r="D1362" t="str">
        <f>IF(A1362="","",IFERROR(INDEX(Maniobras!$D$5:$D$504,MATCH(A1362,Maniobras!$A$5:$A$504,0)),""))</f>
        <v/>
      </c>
      <c r="F1362" s="29" t="str">
        <f>IF(A1362="","",IFERROR(INDEX(Maniobras!$K$5:$K$504,MATCH(A1362,Maniobras!$A$5:$A$504,0)),""))</f>
        <v/>
      </c>
      <c r="G1362" s="29"/>
      <c r="H1362" s="29"/>
      <c r="I1362" s="29" t="str">
        <f t="shared" si="43"/>
        <v/>
      </c>
      <c r="K1362" s="30"/>
      <c r="M1362" t="str">
        <f>IF($A1362=Ficha!$B$3,COUNTIF($A$5:$A1362,Ficha!$B$3),"")</f>
        <v/>
      </c>
    </row>
    <row r="1363" spans="2:13" x14ac:dyDescent="0.3">
      <c r="B1363" s="30" t="str">
        <f>IF(A1363="","",IFERROR(INDEX(Maniobras!$B$5:$B$504,MATCH(A1363,Maniobras!$A$5:$A$504,0)),""))</f>
        <v/>
      </c>
      <c r="C1363" t="str">
        <f t="shared" si="42"/>
        <v/>
      </c>
      <c r="D1363" t="str">
        <f>IF(A1363="","",IFERROR(INDEX(Maniobras!$D$5:$D$504,MATCH(A1363,Maniobras!$A$5:$A$504,0)),""))</f>
        <v/>
      </c>
      <c r="F1363" s="29" t="str">
        <f>IF(A1363="","",IFERROR(INDEX(Maniobras!$K$5:$K$504,MATCH(A1363,Maniobras!$A$5:$A$504,0)),""))</f>
        <v/>
      </c>
      <c r="G1363" s="29"/>
      <c r="H1363" s="29"/>
      <c r="I1363" s="29" t="str">
        <f t="shared" si="43"/>
        <v/>
      </c>
      <c r="K1363" s="30"/>
      <c r="M1363" t="str">
        <f>IF($A1363=Ficha!$B$3,COUNTIF($A$5:$A1363,Ficha!$B$3),"")</f>
        <v/>
      </c>
    </row>
    <row r="1364" spans="2:13" x14ac:dyDescent="0.3">
      <c r="B1364" s="30" t="str">
        <f>IF(A1364="","",IFERROR(INDEX(Maniobras!$B$5:$B$504,MATCH(A1364,Maniobras!$A$5:$A$504,0)),""))</f>
        <v/>
      </c>
      <c r="C1364" t="str">
        <f t="shared" si="42"/>
        <v/>
      </c>
      <c r="D1364" t="str">
        <f>IF(A1364="","",IFERROR(INDEX(Maniobras!$D$5:$D$504,MATCH(A1364,Maniobras!$A$5:$A$504,0)),""))</f>
        <v/>
      </c>
      <c r="F1364" s="29" t="str">
        <f>IF(A1364="","",IFERROR(INDEX(Maniobras!$K$5:$K$504,MATCH(A1364,Maniobras!$A$5:$A$504,0)),""))</f>
        <v/>
      </c>
      <c r="G1364" s="29"/>
      <c r="H1364" s="29"/>
      <c r="I1364" s="29" t="str">
        <f t="shared" si="43"/>
        <v/>
      </c>
      <c r="K1364" s="30"/>
      <c r="M1364" t="str">
        <f>IF($A1364=Ficha!$B$3,COUNTIF($A$5:$A1364,Ficha!$B$3),"")</f>
        <v/>
      </c>
    </row>
    <row r="1365" spans="2:13" x14ac:dyDescent="0.3">
      <c r="B1365" s="30" t="str">
        <f>IF(A1365="","",IFERROR(INDEX(Maniobras!$B$5:$B$504,MATCH(A1365,Maniobras!$A$5:$A$504,0)),""))</f>
        <v/>
      </c>
      <c r="C1365" t="str">
        <f t="shared" si="42"/>
        <v/>
      </c>
      <c r="D1365" t="str">
        <f>IF(A1365="","",IFERROR(INDEX(Maniobras!$D$5:$D$504,MATCH(A1365,Maniobras!$A$5:$A$504,0)),""))</f>
        <v/>
      </c>
      <c r="F1365" s="29" t="str">
        <f>IF(A1365="","",IFERROR(INDEX(Maniobras!$K$5:$K$504,MATCH(A1365,Maniobras!$A$5:$A$504,0)),""))</f>
        <v/>
      </c>
      <c r="G1365" s="29"/>
      <c r="H1365" s="29"/>
      <c r="I1365" s="29" t="str">
        <f t="shared" si="43"/>
        <v/>
      </c>
      <c r="K1365" s="30"/>
      <c r="M1365" t="str">
        <f>IF($A1365=Ficha!$B$3,COUNTIF($A$5:$A1365,Ficha!$B$3),"")</f>
        <v/>
      </c>
    </row>
    <row r="1366" spans="2:13" x14ac:dyDescent="0.3">
      <c r="B1366" s="30" t="str">
        <f>IF(A1366="","",IFERROR(INDEX(Maniobras!$B$5:$B$504,MATCH(A1366,Maniobras!$A$5:$A$504,0)),""))</f>
        <v/>
      </c>
      <c r="C1366" t="str">
        <f t="shared" si="42"/>
        <v/>
      </c>
      <c r="D1366" t="str">
        <f>IF(A1366="","",IFERROR(INDEX(Maniobras!$D$5:$D$504,MATCH(A1366,Maniobras!$A$5:$A$504,0)),""))</f>
        <v/>
      </c>
      <c r="F1366" s="29" t="str">
        <f>IF(A1366="","",IFERROR(INDEX(Maniobras!$K$5:$K$504,MATCH(A1366,Maniobras!$A$5:$A$504,0)),""))</f>
        <v/>
      </c>
      <c r="G1366" s="29"/>
      <c r="H1366" s="29"/>
      <c r="I1366" s="29" t="str">
        <f t="shared" si="43"/>
        <v/>
      </c>
      <c r="K1366" s="30"/>
      <c r="M1366" t="str">
        <f>IF($A1366=Ficha!$B$3,COUNTIF($A$5:$A1366,Ficha!$B$3),"")</f>
        <v/>
      </c>
    </row>
    <row r="1367" spans="2:13" x14ac:dyDescent="0.3">
      <c r="B1367" s="30" t="str">
        <f>IF(A1367="","",IFERROR(INDEX(Maniobras!$B$5:$B$504,MATCH(A1367,Maniobras!$A$5:$A$504,0)),""))</f>
        <v/>
      </c>
      <c r="C1367" t="str">
        <f t="shared" si="42"/>
        <v/>
      </c>
      <c r="D1367" t="str">
        <f>IF(A1367="","",IFERROR(INDEX(Maniobras!$D$5:$D$504,MATCH(A1367,Maniobras!$A$5:$A$504,0)),""))</f>
        <v/>
      </c>
      <c r="F1367" s="29" t="str">
        <f>IF(A1367="","",IFERROR(INDEX(Maniobras!$K$5:$K$504,MATCH(A1367,Maniobras!$A$5:$A$504,0)),""))</f>
        <v/>
      </c>
      <c r="G1367" s="29"/>
      <c r="H1367" s="29"/>
      <c r="I1367" s="29" t="str">
        <f t="shared" si="43"/>
        <v/>
      </c>
      <c r="K1367" s="30"/>
      <c r="M1367" t="str">
        <f>IF($A1367=Ficha!$B$3,COUNTIF($A$5:$A1367,Ficha!$B$3),"")</f>
        <v/>
      </c>
    </row>
    <row r="1368" spans="2:13" x14ac:dyDescent="0.3">
      <c r="B1368" s="30" t="str">
        <f>IF(A1368="","",IFERROR(INDEX(Maniobras!$B$5:$B$504,MATCH(A1368,Maniobras!$A$5:$A$504,0)),""))</f>
        <v/>
      </c>
      <c r="C1368" t="str">
        <f t="shared" si="42"/>
        <v/>
      </c>
      <c r="D1368" t="str">
        <f>IF(A1368="","",IFERROR(INDEX(Maniobras!$D$5:$D$504,MATCH(A1368,Maniobras!$A$5:$A$504,0)),""))</f>
        <v/>
      </c>
      <c r="F1368" s="29" t="str">
        <f>IF(A1368="","",IFERROR(INDEX(Maniobras!$K$5:$K$504,MATCH(A1368,Maniobras!$A$5:$A$504,0)),""))</f>
        <v/>
      </c>
      <c r="G1368" s="29"/>
      <c r="H1368" s="29"/>
      <c r="I1368" s="29" t="str">
        <f t="shared" si="43"/>
        <v/>
      </c>
      <c r="K1368" s="30"/>
      <c r="M1368" t="str">
        <f>IF($A1368=Ficha!$B$3,COUNTIF($A$5:$A1368,Ficha!$B$3),"")</f>
        <v/>
      </c>
    </row>
    <row r="1369" spans="2:13" x14ac:dyDescent="0.3">
      <c r="B1369" s="30" t="str">
        <f>IF(A1369="","",IFERROR(INDEX(Maniobras!$B$5:$B$504,MATCH(A1369,Maniobras!$A$5:$A$504,0)),""))</f>
        <v/>
      </c>
      <c r="C1369" t="str">
        <f t="shared" si="42"/>
        <v/>
      </c>
      <c r="D1369" t="str">
        <f>IF(A1369="","",IFERROR(INDEX(Maniobras!$D$5:$D$504,MATCH(A1369,Maniobras!$A$5:$A$504,0)),""))</f>
        <v/>
      </c>
      <c r="F1369" s="29" t="str">
        <f>IF(A1369="","",IFERROR(INDEX(Maniobras!$K$5:$K$504,MATCH(A1369,Maniobras!$A$5:$A$504,0)),""))</f>
        <v/>
      </c>
      <c r="G1369" s="29"/>
      <c r="H1369" s="29"/>
      <c r="I1369" s="29" t="str">
        <f t="shared" si="43"/>
        <v/>
      </c>
      <c r="K1369" s="30"/>
      <c r="M1369" t="str">
        <f>IF($A1369=Ficha!$B$3,COUNTIF($A$5:$A1369,Ficha!$B$3),"")</f>
        <v/>
      </c>
    </row>
    <row r="1370" spans="2:13" x14ac:dyDescent="0.3">
      <c r="B1370" s="30" t="str">
        <f>IF(A1370="","",IFERROR(INDEX(Maniobras!$B$5:$B$504,MATCH(A1370,Maniobras!$A$5:$A$504,0)),""))</f>
        <v/>
      </c>
      <c r="C1370" t="str">
        <f t="shared" si="42"/>
        <v/>
      </c>
      <c r="D1370" t="str">
        <f>IF(A1370="","",IFERROR(INDEX(Maniobras!$D$5:$D$504,MATCH(A1370,Maniobras!$A$5:$A$504,0)),""))</f>
        <v/>
      </c>
      <c r="F1370" s="29" t="str">
        <f>IF(A1370="","",IFERROR(INDEX(Maniobras!$K$5:$K$504,MATCH(A1370,Maniobras!$A$5:$A$504,0)),""))</f>
        <v/>
      </c>
      <c r="G1370" s="29"/>
      <c r="H1370" s="29"/>
      <c r="I1370" s="29" t="str">
        <f t="shared" si="43"/>
        <v/>
      </c>
      <c r="K1370" s="30"/>
      <c r="M1370" t="str">
        <f>IF($A1370=Ficha!$B$3,COUNTIF($A$5:$A1370,Ficha!$B$3),"")</f>
        <v/>
      </c>
    </row>
    <row r="1371" spans="2:13" x14ac:dyDescent="0.3">
      <c r="B1371" s="30" t="str">
        <f>IF(A1371="","",IFERROR(INDEX(Maniobras!$B$5:$B$504,MATCH(A1371,Maniobras!$A$5:$A$504,0)),""))</f>
        <v/>
      </c>
      <c r="C1371" t="str">
        <f t="shared" si="42"/>
        <v/>
      </c>
      <c r="D1371" t="str">
        <f>IF(A1371="","",IFERROR(INDEX(Maniobras!$D$5:$D$504,MATCH(A1371,Maniobras!$A$5:$A$504,0)),""))</f>
        <v/>
      </c>
      <c r="F1371" s="29" t="str">
        <f>IF(A1371="","",IFERROR(INDEX(Maniobras!$K$5:$K$504,MATCH(A1371,Maniobras!$A$5:$A$504,0)),""))</f>
        <v/>
      </c>
      <c r="G1371" s="29"/>
      <c r="H1371" s="29"/>
      <c r="I1371" s="29" t="str">
        <f t="shared" si="43"/>
        <v/>
      </c>
      <c r="K1371" s="30"/>
      <c r="M1371" t="str">
        <f>IF($A1371=Ficha!$B$3,COUNTIF($A$5:$A1371,Ficha!$B$3),"")</f>
        <v/>
      </c>
    </row>
    <row r="1372" spans="2:13" x14ac:dyDescent="0.3">
      <c r="B1372" s="30" t="str">
        <f>IF(A1372="","",IFERROR(INDEX(Maniobras!$B$5:$B$504,MATCH(A1372,Maniobras!$A$5:$A$504,0)),""))</f>
        <v/>
      </c>
      <c r="C1372" t="str">
        <f t="shared" si="42"/>
        <v/>
      </c>
      <c r="D1372" t="str">
        <f>IF(A1372="","",IFERROR(INDEX(Maniobras!$D$5:$D$504,MATCH(A1372,Maniobras!$A$5:$A$504,0)),""))</f>
        <v/>
      </c>
      <c r="F1372" s="29" t="str">
        <f>IF(A1372="","",IFERROR(INDEX(Maniobras!$K$5:$K$504,MATCH(A1372,Maniobras!$A$5:$A$504,0)),""))</f>
        <v/>
      </c>
      <c r="G1372" s="29"/>
      <c r="H1372" s="29"/>
      <c r="I1372" s="29" t="str">
        <f t="shared" si="43"/>
        <v/>
      </c>
      <c r="K1372" s="30"/>
      <c r="M1372" t="str">
        <f>IF($A1372=Ficha!$B$3,COUNTIF($A$5:$A1372,Ficha!$B$3),"")</f>
        <v/>
      </c>
    </row>
    <row r="1373" spans="2:13" x14ac:dyDescent="0.3">
      <c r="B1373" s="30" t="str">
        <f>IF(A1373="","",IFERROR(INDEX(Maniobras!$B$5:$B$504,MATCH(A1373,Maniobras!$A$5:$A$504,0)),""))</f>
        <v/>
      </c>
      <c r="C1373" t="str">
        <f t="shared" si="42"/>
        <v/>
      </c>
      <c r="D1373" t="str">
        <f>IF(A1373="","",IFERROR(INDEX(Maniobras!$D$5:$D$504,MATCH(A1373,Maniobras!$A$5:$A$504,0)),""))</f>
        <v/>
      </c>
      <c r="F1373" s="29" t="str">
        <f>IF(A1373="","",IFERROR(INDEX(Maniobras!$K$5:$K$504,MATCH(A1373,Maniobras!$A$5:$A$504,0)),""))</f>
        <v/>
      </c>
      <c r="G1373" s="29"/>
      <c r="H1373" s="29"/>
      <c r="I1373" s="29" t="str">
        <f t="shared" si="43"/>
        <v/>
      </c>
      <c r="K1373" s="30"/>
      <c r="M1373" t="str">
        <f>IF($A1373=Ficha!$B$3,COUNTIF($A$5:$A1373,Ficha!$B$3),"")</f>
        <v/>
      </c>
    </row>
    <row r="1374" spans="2:13" x14ac:dyDescent="0.3">
      <c r="B1374" s="30" t="str">
        <f>IF(A1374="","",IFERROR(INDEX(Maniobras!$B$5:$B$504,MATCH(A1374,Maniobras!$A$5:$A$504,0)),""))</f>
        <v/>
      </c>
      <c r="C1374" t="str">
        <f t="shared" si="42"/>
        <v/>
      </c>
      <c r="D1374" t="str">
        <f>IF(A1374="","",IFERROR(INDEX(Maniobras!$D$5:$D$504,MATCH(A1374,Maniobras!$A$5:$A$504,0)),""))</f>
        <v/>
      </c>
      <c r="F1374" s="29" t="str">
        <f>IF(A1374="","",IFERROR(INDEX(Maniobras!$K$5:$K$504,MATCH(A1374,Maniobras!$A$5:$A$504,0)),""))</f>
        <v/>
      </c>
      <c r="G1374" s="29"/>
      <c r="H1374" s="29"/>
      <c r="I1374" s="29" t="str">
        <f t="shared" si="43"/>
        <v/>
      </c>
      <c r="K1374" s="30"/>
      <c r="M1374" t="str">
        <f>IF($A1374=Ficha!$B$3,COUNTIF($A$5:$A1374,Ficha!$B$3),"")</f>
        <v/>
      </c>
    </row>
    <row r="1375" spans="2:13" x14ac:dyDescent="0.3">
      <c r="B1375" s="30" t="str">
        <f>IF(A1375="","",IFERROR(INDEX(Maniobras!$B$5:$B$504,MATCH(A1375,Maniobras!$A$5:$A$504,0)),""))</f>
        <v/>
      </c>
      <c r="C1375" t="str">
        <f t="shared" si="42"/>
        <v/>
      </c>
      <c r="D1375" t="str">
        <f>IF(A1375="","",IFERROR(INDEX(Maniobras!$D$5:$D$504,MATCH(A1375,Maniobras!$A$5:$A$504,0)),""))</f>
        <v/>
      </c>
      <c r="F1375" s="29" t="str">
        <f>IF(A1375="","",IFERROR(INDEX(Maniobras!$K$5:$K$504,MATCH(A1375,Maniobras!$A$5:$A$504,0)),""))</f>
        <v/>
      </c>
      <c r="G1375" s="29"/>
      <c r="H1375" s="29"/>
      <c r="I1375" s="29" t="str">
        <f t="shared" si="43"/>
        <v/>
      </c>
      <c r="K1375" s="30"/>
      <c r="M1375" t="str">
        <f>IF($A1375=Ficha!$B$3,COUNTIF($A$5:$A1375,Ficha!$B$3),"")</f>
        <v/>
      </c>
    </row>
    <row r="1376" spans="2:13" x14ac:dyDescent="0.3">
      <c r="B1376" s="30" t="str">
        <f>IF(A1376="","",IFERROR(INDEX(Maniobras!$B$5:$B$504,MATCH(A1376,Maniobras!$A$5:$A$504,0)),""))</f>
        <v/>
      </c>
      <c r="C1376" t="str">
        <f t="shared" si="42"/>
        <v/>
      </c>
      <c r="D1376" t="str">
        <f>IF(A1376="","",IFERROR(INDEX(Maniobras!$D$5:$D$504,MATCH(A1376,Maniobras!$A$5:$A$504,0)),""))</f>
        <v/>
      </c>
      <c r="F1376" s="29" t="str">
        <f>IF(A1376="","",IFERROR(INDEX(Maniobras!$K$5:$K$504,MATCH(A1376,Maniobras!$A$5:$A$504,0)),""))</f>
        <v/>
      </c>
      <c r="G1376" s="29"/>
      <c r="H1376" s="29"/>
      <c r="I1376" s="29" t="str">
        <f t="shared" si="43"/>
        <v/>
      </c>
      <c r="K1376" s="30"/>
      <c r="M1376" t="str">
        <f>IF($A1376=Ficha!$B$3,COUNTIF($A$5:$A1376,Ficha!$B$3),"")</f>
        <v/>
      </c>
    </row>
    <row r="1377" spans="2:13" x14ac:dyDescent="0.3">
      <c r="B1377" s="30" t="str">
        <f>IF(A1377="","",IFERROR(INDEX(Maniobras!$B$5:$B$504,MATCH(A1377,Maniobras!$A$5:$A$504,0)),""))</f>
        <v/>
      </c>
      <c r="C1377" t="str">
        <f t="shared" si="42"/>
        <v/>
      </c>
      <c r="D1377" t="str">
        <f>IF(A1377="","",IFERROR(INDEX(Maniobras!$D$5:$D$504,MATCH(A1377,Maniobras!$A$5:$A$504,0)),""))</f>
        <v/>
      </c>
      <c r="F1377" s="29" t="str">
        <f>IF(A1377="","",IFERROR(INDEX(Maniobras!$K$5:$K$504,MATCH(A1377,Maniobras!$A$5:$A$504,0)),""))</f>
        <v/>
      </c>
      <c r="G1377" s="29"/>
      <c r="H1377" s="29"/>
      <c r="I1377" s="29" t="str">
        <f t="shared" si="43"/>
        <v/>
      </c>
      <c r="K1377" s="30"/>
      <c r="M1377" t="str">
        <f>IF($A1377=Ficha!$B$3,COUNTIF($A$5:$A1377,Ficha!$B$3),"")</f>
        <v/>
      </c>
    </row>
    <row r="1378" spans="2:13" x14ac:dyDescent="0.3">
      <c r="B1378" s="30" t="str">
        <f>IF(A1378="","",IFERROR(INDEX(Maniobras!$B$5:$B$504,MATCH(A1378,Maniobras!$A$5:$A$504,0)),""))</f>
        <v/>
      </c>
      <c r="C1378" t="str">
        <f t="shared" si="42"/>
        <v/>
      </c>
      <c r="D1378" t="str">
        <f>IF(A1378="","",IFERROR(INDEX(Maniobras!$D$5:$D$504,MATCH(A1378,Maniobras!$A$5:$A$504,0)),""))</f>
        <v/>
      </c>
      <c r="F1378" s="29" t="str">
        <f>IF(A1378="","",IFERROR(INDEX(Maniobras!$K$5:$K$504,MATCH(A1378,Maniobras!$A$5:$A$504,0)),""))</f>
        <v/>
      </c>
      <c r="G1378" s="29"/>
      <c r="H1378" s="29"/>
      <c r="I1378" s="29" t="str">
        <f t="shared" si="43"/>
        <v/>
      </c>
      <c r="K1378" s="30"/>
      <c r="M1378" t="str">
        <f>IF($A1378=Ficha!$B$3,COUNTIF($A$5:$A1378,Ficha!$B$3),"")</f>
        <v/>
      </c>
    </row>
    <row r="1379" spans="2:13" x14ac:dyDescent="0.3">
      <c r="B1379" s="30" t="str">
        <f>IF(A1379="","",IFERROR(INDEX(Maniobras!$B$5:$B$504,MATCH(A1379,Maniobras!$A$5:$A$504,0)),""))</f>
        <v/>
      </c>
      <c r="C1379" t="str">
        <f t="shared" si="42"/>
        <v/>
      </c>
      <c r="D1379" t="str">
        <f>IF(A1379="","",IFERROR(INDEX(Maniobras!$D$5:$D$504,MATCH(A1379,Maniobras!$A$5:$A$504,0)),""))</f>
        <v/>
      </c>
      <c r="F1379" s="29" t="str">
        <f>IF(A1379="","",IFERROR(INDEX(Maniobras!$K$5:$K$504,MATCH(A1379,Maniobras!$A$5:$A$504,0)),""))</f>
        <v/>
      </c>
      <c r="G1379" s="29"/>
      <c r="H1379" s="29"/>
      <c r="I1379" s="29" t="str">
        <f t="shared" si="43"/>
        <v/>
      </c>
      <c r="K1379" s="30"/>
      <c r="M1379" t="str">
        <f>IF($A1379=Ficha!$B$3,COUNTIF($A$5:$A1379,Ficha!$B$3),"")</f>
        <v/>
      </c>
    </row>
    <row r="1380" spans="2:13" x14ac:dyDescent="0.3">
      <c r="B1380" s="30" t="str">
        <f>IF(A1380="","",IFERROR(INDEX(Maniobras!$B$5:$B$504,MATCH(A1380,Maniobras!$A$5:$A$504,0)),""))</f>
        <v/>
      </c>
      <c r="C1380" t="str">
        <f t="shared" si="42"/>
        <v/>
      </c>
      <c r="D1380" t="str">
        <f>IF(A1380="","",IFERROR(INDEX(Maniobras!$D$5:$D$504,MATCH(A1380,Maniobras!$A$5:$A$504,0)),""))</f>
        <v/>
      </c>
      <c r="F1380" s="29" t="str">
        <f>IF(A1380="","",IFERROR(INDEX(Maniobras!$K$5:$K$504,MATCH(A1380,Maniobras!$A$5:$A$504,0)),""))</f>
        <v/>
      </c>
      <c r="G1380" s="29"/>
      <c r="H1380" s="29"/>
      <c r="I1380" s="29" t="str">
        <f t="shared" si="43"/>
        <v/>
      </c>
      <c r="K1380" s="30"/>
      <c r="M1380" t="str">
        <f>IF($A1380=Ficha!$B$3,COUNTIF($A$5:$A1380,Ficha!$B$3),"")</f>
        <v/>
      </c>
    </row>
    <row r="1381" spans="2:13" x14ac:dyDescent="0.3">
      <c r="B1381" s="30" t="str">
        <f>IF(A1381="","",IFERROR(INDEX(Maniobras!$B$5:$B$504,MATCH(A1381,Maniobras!$A$5:$A$504,0)),""))</f>
        <v/>
      </c>
      <c r="C1381" t="str">
        <f t="shared" si="42"/>
        <v/>
      </c>
      <c r="D1381" t="str">
        <f>IF(A1381="","",IFERROR(INDEX(Maniobras!$D$5:$D$504,MATCH(A1381,Maniobras!$A$5:$A$504,0)),""))</f>
        <v/>
      </c>
      <c r="F1381" s="29" t="str">
        <f>IF(A1381="","",IFERROR(INDEX(Maniobras!$K$5:$K$504,MATCH(A1381,Maniobras!$A$5:$A$504,0)),""))</f>
        <v/>
      </c>
      <c r="G1381" s="29"/>
      <c r="H1381" s="29"/>
      <c r="I1381" s="29" t="str">
        <f t="shared" si="43"/>
        <v/>
      </c>
      <c r="K1381" s="30"/>
      <c r="M1381" t="str">
        <f>IF($A1381=Ficha!$B$3,COUNTIF($A$5:$A1381,Ficha!$B$3),"")</f>
        <v/>
      </c>
    </row>
    <row r="1382" spans="2:13" x14ac:dyDescent="0.3">
      <c r="B1382" s="30" t="str">
        <f>IF(A1382="","",IFERROR(INDEX(Maniobras!$B$5:$B$504,MATCH(A1382,Maniobras!$A$5:$A$504,0)),""))</f>
        <v/>
      </c>
      <c r="C1382" t="str">
        <f t="shared" si="42"/>
        <v/>
      </c>
      <c r="D1382" t="str">
        <f>IF(A1382="","",IFERROR(INDEX(Maniobras!$D$5:$D$504,MATCH(A1382,Maniobras!$A$5:$A$504,0)),""))</f>
        <v/>
      </c>
      <c r="F1382" s="29" t="str">
        <f>IF(A1382="","",IFERROR(INDEX(Maniobras!$K$5:$K$504,MATCH(A1382,Maniobras!$A$5:$A$504,0)),""))</f>
        <v/>
      </c>
      <c r="G1382" s="29"/>
      <c r="H1382" s="29"/>
      <c r="I1382" s="29" t="str">
        <f t="shared" si="43"/>
        <v/>
      </c>
      <c r="K1382" s="30"/>
      <c r="M1382" t="str">
        <f>IF($A1382=Ficha!$B$3,COUNTIF($A$5:$A1382,Ficha!$B$3),"")</f>
        <v/>
      </c>
    </row>
    <row r="1383" spans="2:13" x14ac:dyDescent="0.3">
      <c r="B1383" s="30" t="str">
        <f>IF(A1383="","",IFERROR(INDEX(Maniobras!$B$5:$B$504,MATCH(A1383,Maniobras!$A$5:$A$504,0)),""))</f>
        <v/>
      </c>
      <c r="C1383" t="str">
        <f t="shared" si="42"/>
        <v/>
      </c>
      <c r="D1383" t="str">
        <f>IF(A1383="","",IFERROR(INDEX(Maniobras!$D$5:$D$504,MATCH(A1383,Maniobras!$A$5:$A$504,0)),""))</f>
        <v/>
      </c>
      <c r="F1383" s="29" t="str">
        <f>IF(A1383="","",IFERROR(INDEX(Maniobras!$K$5:$K$504,MATCH(A1383,Maniobras!$A$5:$A$504,0)),""))</f>
        <v/>
      </c>
      <c r="G1383" s="29"/>
      <c r="H1383" s="29"/>
      <c r="I1383" s="29" t="str">
        <f t="shared" si="43"/>
        <v/>
      </c>
      <c r="K1383" s="30"/>
      <c r="M1383" t="str">
        <f>IF($A1383=Ficha!$B$3,COUNTIF($A$5:$A1383,Ficha!$B$3),"")</f>
        <v/>
      </c>
    </row>
    <row r="1384" spans="2:13" x14ac:dyDescent="0.3">
      <c r="B1384" s="30" t="str">
        <f>IF(A1384="","",IFERROR(INDEX(Maniobras!$B$5:$B$504,MATCH(A1384,Maniobras!$A$5:$A$504,0)),""))</f>
        <v/>
      </c>
      <c r="C1384" t="str">
        <f t="shared" si="42"/>
        <v/>
      </c>
      <c r="D1384" t="str">
        <f>IF(A1384="","",IFERROR(INDEX(Maniobras!$D$5:$D$504,MATCH(A1384,Maniobras!$A$5:$A$504,0)),""))</f>
        <v/>
      </c>
      <c r="F1384" s="29" t="str">
        <f>IF(A1384="","",IFERROR(INDEX(Maniobras!$K$5:$K$504,MATCH(A1384,Maniobras!$A$5:$A$504,0)),""))</f>
        <v/>
      </c>
      <c r="G1384" s="29"/>
      <c r="H1384" s="29"/>
      <c r="I1384" s="29" t="str">
        <f t="shared" si="43"/>
        <v/>
      </c>
      <c r="K1384" s="30"/>
      <c r="M1384" t="str">
        <f>IF($A1384=Ficha!$B$3,COUNTIF($A$5:$A1384,Ficha!$B$3),"")</f>
        <v/>
      </c>
    </row>
    <row r="1385" spans="2:13" x14ac:dyDescent="0.3">
      <c r="B1385" s="30" t="str">
        <f>IF(A1385="","",IFERROR(INDEX(Maniobras!$B$5:$B$504,MATCH(A1385,Maniobras!$A$5:$A$504,0)),""))</f>
        <v/>
      </c>
      <c r="C1385" t="str">
        <f t="shared" si="42"/>
        <v/>
      </c>
      <c r="D1385" t="str">
        <f>IF(A1385="","",IFERROR(INDEX(Maniobras!$D$5:$D$504,MATCH(A1385,Maniobras!$A$5:$A$504,0)),""))</f>
        <v/>
      </c>
      <c r="F1385" s="29" t="str">
        <f>IF(A1385="","",IFERROR(INDEX(Maniobras!$K$5:$K$504,MATCH(A1385,Maniobras!$A$5:$A$504,0)),""))</f>
        <v/>
      </c>
      <c r="G1385" s="29"/>
      <c r="H1385" s="29"/>
      <c r="I1385" s="29" t="str">
        <f t="shared" si="43"/>
        <v/>
      </c>
      <c r="K1385" s="30"/>
      <c r="M1385" t="str">
        <f>IF($A1385=Ficha!$B$3,COUNTIF($A$5:$A1385,Ficha!$B$3),"")</f>
        <v/>
      </c>
    </row>
    <row r="1386" spans="2:13" x14ac:dyDescent="0.3">
      <c r="B1386" s="30" t="str">
        <f>IF(A1386="","",IFERROR(INDEX(Maniobras!$B$5:$B$504,MATCH(A1386,Maniobras!$A$5:$A$504,0)),""))</f>
        <v/>
      </c>
      <c r="C1386" t="str">
        <f t="shared" si="42"/>
        <v/>
      </c>
      <c r="D1386" t="str">
        <f>IF(A1386="","",IFERROR(INDEX(Maniobras!$D$5:$D$504,MATCH(A1386,Maniobras!$A$5:$A$504,0)),""))</f>
        <v/>
      </c>
      <c r="F1386" s="29" t="str">
        <f>IF(A1386="","",IFERROR(INDEX(Maniobras!$K$5:$K$504,MATCH(A1386,Maniobras!$A$5:$A$504,0)),""))</f>
        <v/>
      </c>
      <c r="G1386" s="29"/>
      <c r="H1386" s="29"/>
      <c r="I1386" s="29" t="str">
        <f t="shared" si="43"/>
        <v/>
      </c>
      <c r="K1386" s="30"/>
      <c r="M1386" t="str">
        <f>IF($A1386=Ficha!$B$3,COUNTIF($A$5:$A1386,Ficha!$B$3),"")</f>
        <v/>
      </c>
    </row>
    <row r="1387" spans="2:13" x14ac:dyDescent="0.3">
      <c r="B1387" s="30" t="str">
        <f>IF(A1387="","",IFERROR(INDEX(Maniobras!$B$5:$B$504,MATCH(A1387,Maniobras!$A$5:$A$504,0)),""))</f>
        <v/>
      </c>
      <c r="C1387" t="str">
        <f t="shared" si="42"/>
        <v/>
      </c>
      <c r="D1387" t="str">
        <f>IF(A1387="","",IFERROR(INDEX(Maniobras!$D$5:$D$504,MATCH(A1387,Maniobras!$A$5:$A$504,0)),""))</f>
        <v/>
      </c>
      <c r="F1387" s="29" t="str">
        <f>IF(A1387="","",IFERROR(INDEX(Maniobras!$K$5:$K$504,MATCH(A1387,Maniobras!$A$5:$A$504,0)),""))</f>
        <v/>
      </c>
      <c r="G1387" s="29"/>
      <c r="H1387" s="29"/>
      <c r="I1387" s="29" t="str">
        <f t="shared" si="43"/>
        <v/>
      </c>
      <c r="K1387" s="30"/>
      <c r="M1387" t="str">
        <f>IF($A1387=Ficha!$B$3,COUNTIF($A$5:$A1387,Ficha!$B$3),"")</f>
        <v/>
      </c>
    </row>
    <row r="1388" spans="2:13" x14ac:dyDescent="0.3">
      <c r="B1388" s="30" t="str">
        <f>IF(A1388="","",IFERROR(INDEX(Maniobras!$B$5:$B$504,MATCH(A1388,Maniobras!$A$5:$A$504,0)),""))</f>
        <v/>
      </c>
      <c r="C1388" t="str">
        <f t="shared" si="42"/>
        <v/>
      </c>
      <c r="D1388" t="str">
        <f>IF(A1388="","",IFERROR(INDEX(Maniobras!$D$5:$D$504,MATCH(A1388,Maniobras!$A$5:$A$504,0)),""))</f>
        <v/>
      </c>
      <c r="F1388" s="29" t="str">
        <f>IF(A1388="","",IFERROR(INDEX(Maniobras!$K$5:$K$504,MATCH(A1388,Maniobras!$A$5:$A$504,0)),""))</f>
        <v/>
      </c>
      <c r="G1388" s="29"/>
      <c r="H1388" s="29"/>
      <c r="I1388" s="29" t="str">
        <f t="shared" si="43"/>
        <v/>
      </c>
      <c r="K1388" s="30"/>
      <c r="M1388" t="str">
        <f>IF($A1388=Ficha!$B$3,COUNTIF($A$5:$A1388,Ficha!$B$3),"")</f>
        <v/>
      </c>
    </row>
    <row r="1389" spans="2:13" x14ac:dyDescent="0.3">
      <c r="B1389" s="30" t="str">
        <f>IF(A1389="","",IFERROR(INDEX(Maniobras!$B$5:$B$504,MATCH(A1389,Maniobras!$A$5:$A$504,0)),""))</f>
        <v/>
      </c>
      <c r="C1389" t="str">
        <f t="shared" si="42"/>
        <v/>
      </c>
      <c r="D1389" t="str">
        <f>IF(A1389="","",IFERROR(INDEX(Maniobras!$D$5:$D$504,MATCH(A1389,Maniobras!$A$5:$A$504,0)),""))</f>
        <v/>
      </c>
      <c r="F1389" s="29" t="str">
        <f>IF(A1389="","",IFERROR(INDEX(Maniobras!$K$5:$K$504,MATCH(A1389,Maniobras!$A$5:$A$504,0)),""))</f>
        <v/>
      </c>
      <c r="G1389" s="29"/>
      <c r="H1389" s="29"/>
      <c r="I1389" s="29" t="str">
        <f t="shared" si="43"/>
        <v/>
      </c>
      <c r="K1389" s="30"/>
      <c r="M1389" t="str">
        <f>IF($A1389=Ficha!$B$3,COUNTIF($A$5:$A1389,Ficha!$B$3),"")</f>
        <v/>
      </c>
    </row>
    <row r="1390" spans="2:13" x14ac:dyDescent="0.3">
      <c r="B1390" s="30" t="str">
        <f>IF(A1390="","",IFERROR(INDEX(Maniobras!$B$5:$B$504,MATCH(A1390,Maniobras!$A$5:$A$504,0)),""))</f>
        <v/>
      </c>
      <c r="C1390" t="str">
        <f t="shared" si="42"/>
        <v/>
      </c>
      <c r="D1390" t="str">
        <f>IF(A1390="","",IFERROR(INDEX(Maniobras!$D$5:$D$504,MATCH(A1390,Maniobras!$A$5:$A$504,0)),""))</f>
        <v/>
      </c>
      <c r="F1390" s="29" t="str">
        <f>IF(A1390="","",IFERROR(INDEX(Maniobras!$K$5:$K$504,MATCH(A1390,Maniobras!$A$5:$A$504,0)),""))</f>
        <v/>
      </c>
      <c r="G1390" s="29"/>
      <c r="H1390" s="29"/>
      <c r="I1390" s="29" t="str">
        <f t="shared" si="43"/>
        <v/>
      </c>
      <c r="K1390" s="30"/>
      <c r="M1390" t="str">
        <f>IF($A1390=Ficha!$B$3,COUNTIF($A$5:$A1390,Ficha!$B$3),"")</f>
        <v/>
      </c>
    </row>
    <row r="1391" spans="2:13" x14ac:dyDescent="0.3">
      <c r="B1391" s="30" t="str">
        <f>IF(A1391="","",IFERROR(INDEX(Maniobras!$B$5:$B$504,MATCH(A1391,Maniobras!$A$5:$A$504,0)),""))</f>
        <v/>
      </c>
      <c r="C1391" t="str">
        <f t="shared" si="42"/>
        <v/>
      </c>
      <c r="D1391" t="str">
        <f>IF(A1391="","",IFERROR(INDEX(Maniobras!$D$5:$D$504,MATCH(A1391,Maniobras!$A$5:$A$504,0)),""))</f>
        <v/>
      </c>
      <c r="F1391" s="29" t="str">
        <f>IF(A1391="","",IFERROR(INDEX(Maniobras!$K$5:$K$504,MATCH(A1391,Maniobras!$A$5:$A$504,0)),""))</f>
        <v/>
      </c>
      <c r="G1391" s="29"/>
      <c r="H1391" s="29"/>
      <c r="I1391" s="29" t="str">
        <f t="shared" si="43"/>
        <v/>
      </c>
      <c r="K1391" s="30"/>
      <c r="M1391" t="str">
        <f>IF($A1391=Ficha!$B$3,COUNTIF($A$5:$A1391,Ficha!$B$3),"")</f>
        <v/>
      </c>
    </row>
    <row r="1392" spans="2:13" x14ac:dyDescent="0.3">
      <c r="B1392" s="30" t="str">
        <f>IF(A1392="","",IFERROR(INDEX(Maniobras!$B$5:$B$504,MATCH(A1392,Maniobras!$A$5:$A$504,0)),""))</f>
        <v/>
      </c>
      <c r="C1392" t="str">
        <f t="shared" si="42"/>
        <v/>
      </c>
      <c r="D1392" t="str">
        <f>IF(A1392="","",IFERROR(INDEX(Maniobras!$D$5:$D$504,MATCH(A1392,Maniobras!$A$5:$A$504,0)),""))</f>
        <v/>
      </c>
      <c r="F1392" s="29" t="str">
        <f>IF(A1392="","",IFERROR(INDEX(Maniobras!$K$5:$K$504,MATCH(A1392,Maniobras!$A$5:$A$504,0)),""))</f>
        <v/>
      </c>
      <c r="G1392" s="29"/>
      <c r="H1392" s="29"/>
      <c r="I1392" s="29" t="str">
        <f t="shared" si="43"/>
        <v/>
      </c>
      <c r="K1392" s="30"/>
      <c r="M1392" t="str">
        <f>IF($A1392=Ficha!$B$3,COUNTIF($A$5:$A1392,Ficha!$B$3),"")</f>
        <v/>
      </c>
    </row>
    <row r="1393" spans="2:13" x14ac:dyDescent="0.3">
      <c r="B1393" s="30" t="str">
        <f>IF(A1393="","",IFERROR(INDEX(Maniobras!$B$5:$B$504,MATCH(A1393,Maniobras!$A$5:$A$504,0)),""))</f>
        <v/>
      </c>
      <c r="C1393" t="str">
        <f t="shared" si="42"/>
        <v/>
      </c>
      <c r="D1393" t="str">
        <f>IF(A1393="","",IFERROR(INDEX(Maniobras!$D$5:$D$504,MATCH(A1393,Maniobras!$A$5:$A$504,0)),""))</f>
        <v/>
      </c>
      <c r="F1393" s="29" t="str">
        <f>IF(A1393="","",IFERROR(INDEX(Maniobras!$K$5:$K$504,MATCH(A1393,Maniobras!$A$5:$A$504,0)),""))</f>
        <v/>
      </c>
      <c r="G1393" s="29"/>
      <c r="H1393" s="29"/>
      <c r="I1393" s="29" t="str">
        <f t="shared" si="43"/>
        <v/>
      </c>
      <c r="K1393" s="30"/>
      <c r="M1393" t="str">
        <f>IF($A1393=Ficha!$B$3,COUNTIF($A$5:$A1393,Ficha!$B$3),"")</f>
        <v/>
      </c>
    </row>
    <row r="1394" spans="2:13" x14ac:dyDescent="0.3">
      <c r="B1394" s="30" t="str">
        <f>IF(A1394="","",IFERROR(INDEX(Maniobras!$B$5:$B$504,MATCH(A1394,Maniobras!$A$5:$A$504,0)),""))</f>
        <v/>
      </c>
      <c r="C1394" t="str">
        <f t="shared" si="42"/>
        <v/>
      </c>
      <c r="D1394" t="str">
        <f>IF(A1394="","",IFERROR(INDEX(Maniobras!$D$5:$D$504,MATCH(A1394,Maniobras!$A$5:$A$504,0)),""))</f>
        <v/>
      </c>
      <c r="F1394" s="29" t="str">
        <f>IF(A1394="","",IFERROR(INDEX(Maniobras!$K$5:$K$504,MATCH(A1394,Maniobras!$A$5:$A$504,0)),""))</f>
        <v/>
      </c>
      <c r="G1394" s="29"/>
      <c r="H1394" s="29"/>
      <c r="I1394" s="29" t="str">
        <f t="shared" si="43"/>
        <v/>
      </c>
      <c r="K1394" s="30"/>
      <c r="M1394" t="str">
        <f>IF($A1394=Ficha!$B$3,COUNTIF($A$5:$A1394,Ficha!$B$3),"")</f>
        <v/>
      </c>
    </row>
    <row r="1395" spans="2:13" x14ac:dyDescent="0.3">
      <c r="B1395" s="30" t="str">
        <f>IF(A1395="","",IFERROR(INDEX(Maniobras!$B$5:$B$504,MATCH(A1395,Maniobras!$A$5:$A$504,0)),""))</f>
        <v/>
      </c>
      <c r="C1395" t="str">
        <f t="shared" si="42"/>
        <v/>
      </c>
      <c r="D1395" t="str">
        <f>IF(A1395="","",IFERROR(INDEX(Maniobras!$D$5:$D$504,MATCH(A1395,Maniobras!$A$5:$A$504,0)),""))</f>
        <v/>
      </c>
      <c r="F1395" s="29" t="str">
        <f>IF(A1395="","",IFERROR(INDEX(Maniobras!$K$5:$K$504,MATCH(A1395,Maniobras!$A$5:$A$504,0)),""))</f>
        <v/>
      </c>
      <c r="G1395" s="29"/>
      <c r="H1395" s="29"/>
      <c r="I1395" s="29" t="str">
        <f t="shared" si="43"/>
        <v/>
      </c>
      <c r="K1395" s="30"/>
      <c r="M1395" t="str">
        <f>IF($A1395=Ficha!$B$3,COUNTIF($A$5:$A1395,Ficha!$B$3),"")</f>
        <v/>
      </c>
    </row>
    <row r="1396" spans="2:13" x14ac:dyDescent="0.3">
      <c r="B1396" s="30" t="str">
        <f>IF(A1396="","",IFERROR(INDEX(Maniobras!$B$5:$B$504,MATCH(A1396,Maniobras!$A$5:$A$504,0)),""))</f>
        <v/>
      </c>
      <c r="C1396" t="str">
        <f t="shared" si="42"/>
        <v/>
      </c>
      <c r="D1396" t="str">
        <f>IF(A1396="","",IFERROR(INDEX(Maniobras!$D$5:$D$504,MATCH(A1396,Maniobras!$A$5:$A$504,0)),""))</f>
        <v/>
      </c>
      <c r="F1396" s="29" t="str">
        <f>IF(A1396="","",IFERROR(INDEX(Maniobras!$K$5:$K$504,MATCH(A1396,Maniobras!$A$5:$A$504,0)),""))</f>
        <v/>
      </c>
      <c r="G1396" s="29"/>
      <c r="H1396" s="29"/>
      <c r="I1396" s="29" t="str">
        <f t="shared" si="43"/>
        <v/>
      </c>
      <c r="K1396" s="30"/>
      <c r="M1396" t="str">
        <f>IF($A1396=Ficha!$B$3,COUNTIF($A$5:$A1396,Ficha!$B$3),"")</f>
        <v/>
      </c>
    </row>
    <row r="1397" spans="2:13" x14ac:dyDescent="0.3">
      <c r="B1397" s="30" t="str">
        <f>IF(A1397="","",IFERROR(INDEX(Maniobras!$B$5:$B$504,MATCH(A1397,Maniobras!$A$5:$A$504,0)),""))</f>
        <v/>
      </c>
      <c r="C1397" t="str">
        <f t="shared" si="42"/>
        <v/>
      </c>
      <c r="D1397" t="str">
        <f>IF(A1397="","",IFERROR(INDEX(Maniobras!$D$5:$D$504,MATCH(A1397,Maniobras!$A$5:$A$504,0)),""))</f>
        <v/>
      </c>
      <c r="F1397" s="29" t="str">
        <f>IF(A1397="","",IFERROR(INDEX(Maniobras!$K$5:$K$504,MATCH(A1397,Maniobras!$A$5:$A$504,0)),""))</f>
        <v/>
      </c>
      <c r="G1397" s="29"/>
      <c r="H1397" s="29"/>
      <c r="I1397" s="29" t="str">
        <f t="shared" si="43"/>
        <v/>
      </c>
      <c r="K1397" s="30"/>
      <c r="M1397" t="str">
        <f>IF($A1397=Ficha!$B$3,COUNTIF($A$5:$A1397,Ficha!$B$3),"")</f>
        <v/>
      </c>
    </row>
    <row r="1398" spans="2:13" x14ac:dyDescent="0.3">
      <c r="B1398" s="30" t="str">
        <f>IF(A1398="","",IFERROR(INDEX(Maniobras!$B$5:$B$504,MATCH(A1398,Maniobras!$A$5:$A$504,0)),""))</f>
        <v/>
      </c>
      <c r="C1398" t="str">
        <f t="shared" si="42"/>
        <v/>
      </c>
      <c r="D1398" t="str">
        <f>IF(A1398="","",IFERROR(INDEX(Maniobras!$D$5:$D$504,MATCH(A1398,Maniobras!$A$5:$A$504,0)),""))</f>
        <v/>
      </c>
      <c r="F1398" s="29" t="str">
        <f>IF(A1398="","",IFERROR(INDEX(Maniobras!$K$5:$K$504,MATCH(A1398,Maniobras!$A$5:$A$504,0)),""))</f>
        <v/>
      </c>
      <c r="G1398" s="29"/>
      <c r="H1398" s="29"/>
      <c r="I1398" s="29" t="str">
        <f t="shared" si="43"/>
        <v/>
      </c>
      <c r="K1398" s="30"/>
      <c r="M1398" t="str">
        <f>IF($A1398=Ficha!$B$3,COUNTIF($A$5:$A1398,Ficha!$B$3),"")</f>
        <v/>
      </c>
    </row>
    <row r="1399" spans="2:13" x14ac:dyDescent="0.3">
      <c r="B1399" s="30" t="str">
        <f>IF(A1399="","",IFERROR(INDEX(Maniobras!$B$5:$B$504,MATCH(A1399,Maniobras!$A$5:$A$504,0)),""))</f>
        <v/>
      </c>
      <c r="C1399" t="str">
        <f t="shared" si="42"/>
        <v/>
      </c>
      <c r="D1399" t="str">
        <f>IF(A1399="","",IFERROR(INDEX(Maniobras!$D$5:$D$504,MATCH(A1399,Maniobras!$A$5:$A$504,0)),""))</f>
        <v/>
      </c>
      <c r="F1399" s="29" t="str">
        <f>IF(A1399="","",IFERROR(INDEX(Maniobras!$K$5:$K$504,MATCH(A1399,Maniobras!$A$5:$A$504,0)),""))</f>
        <v/>
      </c>
      <c r="G1399" s="29"/>
      <c r="H1399" s="29"/>
      <c r="I1399" s="29" t="str">
        <f t="shared" si="43"/>
        <v/>
      </c>
      <c r="K1399" s="30"/>
      <c r="M1399" t="str">
        <f>IF($A1399=Ficha!$B$3,COUNTIF($A$5:$A1399,Ficha!$B$3),"")</f>
        <v/>
      </c>
    </row>
    <row r="1400" spans="2:13" x14ac:dyDescent="0.3">
      <c r="B1400" s="30" t="str">
        <f>IF(A1400="","",IFERROR(INDEX(Maniobras!$B$5:$B$504,MATCH(A1400,Maniobras!$A$5:$A$504,0)),""))</f>
        <v/>
      </c>
      <c r="C1400" t="str">
        <f t="shared" si="42"/>
        <v/>
      </c>
      <c r="D1400" t="str">
        <f>IF(A1400="","",IFERROR(INDEX(Maniobras!$D$5:$D$504,MATCH(A1400,Maniobras!$A$5:$A$504,0)),""))</f>
        <v/>
      </c>
      <c r="F1400" s="29" t="str">
        <f>IF(A1400="","",IFERROR(INDEX(Maniobras!$K$5:$K$504,MATCH(A1400,Maniobras!$A$5:$A$504,0)),""))</f>
        <v/>
      </c>
      <c r="G1400" s="29"/>
      <c r="H1400" s="29"/>
      <c r="I1400" s="29" t="str">
        <f t="shared" si="43"/>
        <v/>
      </c>
      <c r="K1400" s="30"/>
      <c r="M1400" t="str">
        <f>IF($A1400=Ficha!$B$3,COUNTIF($A$5:$A1400,Ficha!$B$3),"")</f>
        <v/>
      </c>
    </row>
    <row r="1401" spans="2:13" x14ac:dyDescent="0.3">
      <c r="B1401" s="30" t="str">
        <f>IF(A1401="","",IFERROR(INDEX(Maniobras!$B$5:$B$504,MATCH(A1401,Maniobras!$A$5:$A$504,0)),""))</f>
        <v/>
      </c>
      <c r="C1401" t="str">
        <f t="shared" si="42"/>
        <v/>
      </c>
      <c r="D1401" t="str">
        <f>IF(A1401="","",IFERROR(INDEX(Maniobras!$D$5:$D$504,MATCH(A1401,Maniobras!$A$5:$A$504,0)),""))</f>
        <v/>
      </c>
      <c r="F1401" s="29" t="str">
        <f>IF(A1401="","",IFERROR(INDEX(Maniobras!$K$5:$K$504,MATCH(A1401,Maniobras!$A$5:$A$504,0)),""))</f>
        <v/>
      </c>
      <c r="G1401" s="29"/>
      <c r="H1401" s="29"/>
      <c r="I1401" s="29" t="str">
        <f t="shared" si="43"/>
        <v/>
      </c>
      <c r="K1401" s="30"/>
      <c r="M1401" t="str">
        <f>IF($A1401=Ficha!$B$3,COUNTIF($A$5:$A1401,Ficha!$B$3),"")</f>
        <v/>
      </c>
    </row>
    <row r="1402" spans="2:13" x14ac:dyDescent="0.3">
      <c r="B1402" s="30" t="str">
        <f>IF(A1402="","",IFERROR(INDEX(Maniobras!$B$5:$B$504,MATCH(A1402,Maniobras!$A$5:$A$504,0)),""))</f>
        <v/>
      </c>
      <c r="C1402" t="str">
        <f t="shared" si="42"/>
        <v/>
      </c>
      <c r="D1402" t="str">
        <f>IF(A1402="","",IFERROR(INDEX(Maniobras!$D$5:$D$504,MATCH(A1402,Maniobras!$A$5:$A$504,0)),""))</f>
        <v/>
      </c>
      <c r="F1402" s="29" t="str">
        <f>IF(A1402="","",IFERROR(INDEX(Maniobras!$K$5:$K$504,MATCH(A1402,Maniobras!$A$5:$A$504,0)),""))</f>
        <v/>
      </c>
      <c r="G1402" s="29"/>
      <c r="H1402" s="29"/>
      <c r="I1402" s="29" t="str">
        <f t="shared" si="43"/>
        <v/>
      </c>
      <c r="K1402" s="30"/>
      <c r="M1402" t="str">
        <f>IF($A1402=Ficha!$B$3,COUNTIF($A$5:$A1402,Ficha!$B$3),"")</f>
        <v/>
      </c>
    </row>
    <row r="1403" spans="2:13" x14ac:dyDescent="0.3">
      <c r="B1403" s="30" t="str">
        <f>IF(A1403="","",IFERROR(INDEX(Maniobras!$B$5:$B$504,MATCH(A1403,Maniobras!$A$5:$A$504,0)),""))</f>
        <v/>
      </c>
      <c r="C1403" t="str">
        <f t="shared" si="42"/>
        <v/>
      </c>
      <c r="D1403" t="str">
        <f>IF(A1403="","",IFERROR(INDEX(Maniobras!$D$5:$D$504,MATCH(A1403,Maniobras!$A$5:$A$504,0)),""))</f>
        <v/>
      </c>
      <c r="F1403" s="29" t="str">
        <f>IF(A1403="","",IFERROR(INDEX(Maniobras!$K$5:$K$504,MATCH(A1403,Maniobras!$A$5:$A$504,0)),""))</f>
        <v/>
      </c>
      <c r="G1403" s="29"/>
      <c r="H1403" s="29"/>
      <c r="I1403" s="29" t="str">
        <f t="shared" si="43"/>
        <v/>
      </c>
      <c r="K1403" s="30"/>
      <c r="M1403" t="str">
        <f>IF($A1403=Ficha!$B$3,COUNTIF($A$5:$A1403,Ficha!$B$3),"")</f>
        <v/>
      </c>
    </row>
    <row r="1404" spans="2:13" x14ac:dyDescent="0.3">
      <c r="B1404" s="30" t="str">
        <f>IF(A1404="","",IFERROR(INDEX(Maniobras!$B$5:$B$504,MATCH(A1404,Maniobras!$A$5:$A$504,0)),""))</f>
        <v/>
      </c>
      <c r="C1404" t="str">
        <f t="shared" si="42"/>
        <v/>
      </c>
      <c r="D1404" t="str">
        <f>IF(A1404="","",IFERROR(INDEX(Maniobras!$D$5:$D$504,MATCH(A1404,Maniobras!$A$5:$A$504,0)),""))</f>
        <v/>
      </c>
      <c r="F1404" s="29" t="str">
        <f>IF(A1404="","",IFERROR(INDEX(Maniobras!$K$5:$K$504,MATCH(A1404,Maniobras!$A$5:$A$504,0)),""))</f>
        <v/>
      </c>
      <c r="G1404" s="29"/>
      <c r="H1404" s="29"/>
      <c r="I1404" s="29" t="str">
        <f t="shared" si="43"/>
        <v/>
      </c>
      <c r="K1404" s="30"/>
      <c r="M1404" t="str">
        <f>IF($A1404=Ficha!$B$3,COUNTIF($A$5:$A1404,Ficha!$B$3),"")</f>
        <v/>
      </c>
    </row>
    <row r="1405" spans="2:13" x14ac:dyDescent="0.3">
      <c r="B1405" s="30" t="str">
        <f>IF(A1405="","",IFERROR(INDEX(Maniobras!$B$5:$B$504,MATCH(A1405,Maniobras!$A$5:$A$504,0)),""))</f>
        <v/>
      </c>
      <c r="C1405" t="str">
        <f t="shared" si="42"/>
        <v/>
      </c>
      <c r="D1405" t="str">
        <f>IF(A1405="","",IFERROR(INDEX(Maniobras!$D$5:$D$504,MATCH(A1405,Maniobras!$A$5:$A$504,0)),""))</f>
        <v/>
      </c>
      <c r="F1405" s="29" t="str">
        <f>IF(A1405="","",IFERROR(INDEX(Maniobras!$K$5:$K$504,MATCH(A1405,Maniobras!$A$5:$A$504,0)),""))</f>
        <v/>
      </c>
      <c r="G1405" s="29"/>
      <c r="H1405" s="29"/>
      <c r="I1405" s="29" t="str">
        <f t="shared" si="43"/>
        <v/>
      </c>
      <c r="K1405" s="30"/>
      <c r="M1405" t="str">
        <f>IF($A1405=Ficha!$B$3,COUNTIF($A$5:$A1405,Ficha!$B$3),"")</f>
        <v/>
      </c>
    </row>
    <row r="1406" spans="2:13" x14ac:dyDescent="0.3">
      <c r="B1406" s="30" t="str">
        <f>IF(A1406="","",IFERROR(INDEX(Maniobras!$B$5:$B$504,MATCH(A1406,Maniobras!$A$5:$A$504,0)),""))</f>
        <v/>
      </c>
      <c r="C1406" t="str">
        <f t="shared" si="42"/>
        <v/>
      </c>
      <c r="D1406" t="str">
        <f>IF(A1406="","",IFERROR(INDEX(Maniobras!$D$5:$D$504,MATCH(A1406,Maniobras!$A$5:$A$504,0)),""))</f>
        <v/>
      </c>
      <c r="F1406" s="29" t="str">
        <f>IF(A1406="","",IFERROR(INDEX(Maniobras!$K$5:$K$504,MATCH(A1406,Maniobras!$A$5:$A$504,0)),""))</f>
        <v/>
      </c>
      <c r="G1406" s="29"/>
      <c r="H1406" s="29"/>
      <c r="I1406" s="29" t="str">
        <f t="shared" si="43"/>
        <v/>
      </c>
      <c r="K1406" s="30"/>
      <c r="M1406" t="str">
        <f>IF($A1406=Ficha!$B$3,COUNTIF($A$5:$A1406,Ficha!$B$3),"")</f>
        <v/>
      </c>
    </row>
    <row r="1407" spans="2:13" x14ac:dyDescent="0.3">
      <c r="B1407" s="30" t="str">
        <f>IF(A1407="","",IFERROR(INDEX(Maniobras!$B$5:$B$504,MATCH(A1407,Maniobras!$A$5:$A$504,0)),""))</f>
        <v/>
      </c>
      <c r="C1407" t="str">
        <f t="shared" si="42"/>
        <v/>
      </c>
      <c r="D1407" t="str">
        <f>IF(A1407="","",IFERROR(INDEX(Maniobras!$D$5:$D$504,MATCH(A1407,Maniobras!$A$5:$A$504,0)),""))</f>
        <v/>
      </c>
      <c r="F1407" s="29" t="str">
        <f>IF(A1407="","",IFERROR(INDEX(Maniobras!$K$5:$K$504,MATCH(A1407,Maniobras!$A$5:$A$504,0)),""))</f>
        <v/>
      </c>
      <c r="G1407" s="29"/>
      <c r="H1407" s="29"/>
      <c r="I1407" s="29" t="str">
        <f t="shared" si="43"/>
        <v/>
      </c>
      <c r="K1407" s="30"/>
      <c r="M1407" t="str">
        <f>IF($A1407=Ficha!$B$3,COUNTIF($A$5:$A1407,Ficha!$B$3),"")</f>
        <v/>
      </c>
    </row>
    <row r="1408" spans="2:13" x14ac:dyDescent="0.3">
      <c r="B1408" s="30" t="str">
        <f>IF(A1408="","",IFERROR(INDEX(Maniobras!$B$5:$B$504,MATCH(A1408,Maniobras!$A$5:$A$504,0)),""))</f>
        <v/>
      </c>
      <c r="C1408" t="str">
        <f t="shared" si="42"/>
        <v/>
      </c>
      <c r="D1408" t="str">
        <f>IF(A1408="","",IFERROR(INDEX(Maniobras!$D$5:$D$504,MATCH(A1408,Maniobras!$A$5:$A$504,0)),""))</f>
        <v/>
      </c>
      <c r="F1408" s="29" t="str">
        <f>IF(A1408="","",IFERROR(INDEX(Maniobras!$K$5:$K$504,MATCH(A1408,Maniobras!$A$5:$A$504,0)),""))</f>
        <v/>
      </c>
      <c r="G1408" s="29"/>
      <c r="H1408" s="29"/>
      <c r="I1408" s="29" t="str">
        <f t="shared" si="43"/>
        <v/>
      </c>
      <c r="K1408" s="30"/>
      <c r="M1408" t="str">
        <f>IF($A1408=Ficha!$B$3,COUNTIF($A$5:$A1408,Ficha!$B$3),"")</f>
        <v/>
      </c>
    </row>
    <row r="1409" spans="2:13" x14ac:dyDescent="0.3">
      <c r="B1409" s="30" t="str">
        <f>IF(A1409="","",IFERROR(INDEX(Maniobras!$B$5:$B$504,MATCH(A1409,Maniobras!$A$5:$A$504,0)),""))</f>
        <v/>
      </c>
      <c r="C1409" t="str">
        <f t="shared" si="42"/>
        <v/>
      </c>
      <c r="D1409" t="str">
        <f>IF(A1409="","",IFERROR(INDEX(Maniobras!$D$5:$D$504,MATCH(A1409,Maniobras!$A$5:$A$504,0)),""))</f>
        <v/>
      </c>
      <c r="F1409" s="29" t="str">
        <f>IF(A1409="","",IFERROR(INDEX(Maniobras!$K$5:$K$504,MATCH(A1409,Maniobras!$A$5:$A$504,0)),""))</f>
        <v/>
      </c>
      <c r="G1409" s="29"/>
      <c r="H1409" s="29"/>
      <c r="I1409" s="29" t="str">
        <f t="shared" si="43"/>
        <v/>
      </c>
      <c r="K1409" s="30"/>
      <c r="M1409" t="str">
        <f>IF($A1409=Ficha!$B$3,COUNTIF($A$5:$A1409,Ficha!$B$3),"")</f>
        <v/>
      </c>
    </row>
    <row r="1410" spans="2:13" x14ac:dyDescent="0.3">
      <c r="B1410" s="30" t="str">
        <f>IF(A1410="","",IFERROR(INDEX(Maniobras!$B$5:$B$504,MATCH(A1410,Maniobras!$A$5:$A$504,0)),""))</f>
        <v/>
      </c>
      <c r="C1410" t="str">
        <f t="shared" si="42"/>
        <v/>
      </c>
      <c r="D1410" t="str">
        <f>IF(A1410="","",IFERROR(INDEX(Maniobras!$D$5:$D$504,MATCH(A1410,Maniobras!$A$5:$A$504,0)),""))</f>
        <v/>
      </c>
      <c r="F1410" s="29" t="str">
        <f>IF(A1410="","",IFERROR(INDEX(Maniobras!$K$5:$K$504,MATCH(A1410,Maniobras!$A$5:$A$504,0)),""))</f>
        <v/>
      </c>
      <c r="G1410" s="29"/>
      <c r="H1410" s="29"/>
      <c r="I1410" s="29" t="str">
        <f t="shared" si="43"/>
        <v/>
      </c>
      <c r="K1410" s="30"/>
      <c r="M1410" t="str">
        <f>IF($A1410=Ficha!$B$3,COUNTIF($A$5:$A1410,Ficha!$B$3),"")</f>
        <v/>
      </c>
    </row>
    <row r="1411" spans="2:13" x14ac:dyDescent="0.3">
      <c r="B1411" s="30" t="str">
        <f>IF(A1411="","",IFERROR(INDEX(Maniobras!$B$5:$B$504,MATCH(A1411,Maniobras!$A$5:$A$504,0)),""))</f>
        <v/>
      </c>
      <c r="C1411" t="str">
        <f t="shared" si="42"/>
        <v/>
      </c>
      <c r="D1411" t="str">
        <f>IF(A1411="","",IFERROR(INDEX(Maniobras!$D$5:$D$504,MATCH(A1411,Maniobras!$A$5:$A$504,0)),""))</f>
        <v/>
      </c>
      <c r="F1411" s="29" t="str">
        <f>IF(A1411="","",IFERROR(INDEX(Maniobras!$K$5:$K$504,MATCH(A1411,Maniobras!$A$5:$A$504,0)),""))</f>
        <v/>
      </c>
      <c r="G1411" s="29"/>
      <c r="H1411" s="29"/>
      <c r="I1411" s="29" t="str">
        <f t="shared" si="43"/>
        <v/>
      </c>
      <c r="K1411" s="30"/>
      <c r="M1411" t="str">
        <f>IF($A1411=Ficha!$B$3,COUNTIF($A$5:$A1411,Ficha!$B$3),"")</f>
        <v/>
      </c>
    </row>
    <row r="1412" spans="2:13" x14ac:dyDescent="0.3">
      <c r="B1412" s="30" t="str">
        <f>IF(A1412="","",IFERROR(INDEX(Maniobras!$B$5:$B$504,MATCH(A1412,Maniobras!$A$5:$A$504,0)),""))</f>
        <v/>
      </c>
      <c r="C1412" t="str">
        <f t="shared" si="42"/>
        <v/>
      </c>
      <c r="D1412" t="str">
        <f>IF(A1412="","",IFERROR(INDEX(Maniobras!$D$5:$D$504,MATCH(A1412,Maniobras!$A$5:$A$504,0)),""))</f>
        <v/>
      </c>
      <c r="F1412" s="29" t="str">
        <f>IF(A1412="","",IFERROR(INDEX(Maniobras!$K$5:$K$504,MATCH(A1412,Maniobras!$A$5:$A$504,0)),""))</f>
        <v/>
      </c>
      <c r="G1412" s="29"/>
      <c r="H1412" s="29"/>
      <c r="I1412" s="29" t="str">
        <f t="shared" si="43"/>
        <v/>
      </c>
      <c r="K1412" s="30"/>
      <c r="M1412" t="str">
        <f>IF($A1412=Ficha!$B$3,COUNTIF($A$5:$A1412,Ficha!$B$3),"")</f>
        <v/>
      </c>
    </row>
    <row r="1413" spans="2:13" x14ac:dyDescent="0.3">
      <c r="B1413" s="30" t="str">
        <f>IF(A1413="","",IFERROR(INDEX(Maniobras!$B$5:$B$504,MATCH(A1413,Maniobras!$A$5:$A$504,0)),""))</f>
        <v/>
      </c>
      <c r="C1413" t="str">
        <f t="shared" ref="C1413:C1476" si="44">IF(B1413="","",TEXT(B1413,"yyyy-mm"))</f>
        <v/>
      </c>
      <c r="D1413" t="str">
        <f>IF(A1413="","",IFERROR(INDEX(Maniobras!$D$5:$D$504,MATCH(A1413,Maniobras!$A$5:$A$504,0)),""))</f>
        <v/>
      </c>
      <c r="F1413" s="29" t="str">
        <f>IF(A1413="","",IFERROR(INDEX(Maniobras!$K$5:$K$504,MATCH(A1413,Maniobras!$A$5:$A$504,0)),""))</f>
        <v/>
      </c>
      <c r="G1413" s="29"/>
      <c r="H1413" s="29"/>
      <c r="I1413" s="29" t="str">
        <f t="shared" ref="I1413:I1476" si="45">IF(G1413="","",G1413+N(H1413))</f>
        <v/>
      </c>
      <c r="K1413" s="30"/>
      <c r="M1413" t="str">
        <f>IF($A1413=Ficha!$B$3,COUNTIF($A$5:$A1413,Ficha!$B$3),"")</f>
        <v/>
      </c>
    </row>
    <row r="1414" spans="2:13" x14ac:dyDescent="0.3">
      <c r="B1414" s="30" t="str">
        <f>IF(A1414="","",IFERROR(INDEX(Maniobras!$B$5:$B$504,MATCH(A1414,Maniobras!$A$5:$A$504,0)),""))</f>
        <v/>
      </c>
      <c r="C1414" t="str">
        <f t="shared" si="44"/>
        <v/>
      </c>
      <c r="D1414" t="str">
        <f>IF(A1414="","",IFERROR(INDEX(Maniobras!$D$5:$D$504,MATCH(A1414,Maniobras!$A$5:$A$504,0)),""))</f>
        <v/>
      </c>
      <c r="F1414" s="29" t="str">
        <f>IF(A1414="","",IFERROR(INDEX(Maniobras!$K$5:$K$504,MATCH(A1414,Maniobras!$A$5:$A$504,0)),""))</f>
        <v/>
      </c>
      <c r="G1414" s="29"/>
      <c r="H1414" s="29"/>
      <c r="I1414" s="29" t="str">
        <f t="shared" si="45"/>
        <v/>
      </c>
      <c r="K1414" s="30"/>
      <c r="M1414" t="str">
        <f>IF($A1414=Ficha!$B$3,COUNTIF($A$5:$A1414,Ficha!$B$3),"")</f>
        <v/>
      </c>
    </row>
    <row r="1415" spans="2:13" x14ac:dyDescent="0.3">
      <c r="B1415" s="30" t="str">
        <f>IF(A1415="","",IFERROR(INDEX(Maniobras!$B$5:$B$504,MATCH(A1415,Maniobras!$A$5:$A$504,0)),""))</f>
        <v/>
      </c>
      <c r="C1415" t="str">
        <f t="shared" si="44"/>
        <v/>
      </c>
      <c r="D1415" t="str">
        <f>IF(A1415="","",IFERROR(INDEX(Maniobras!$D$5:$D$504,MATCH(A1415,Maniobras!$A$5:$A$504,0)),""))</f>
        <v/>
      </c>
      <c r="F1415" s="29" t="str">
        <f>IF(A1415="","",IFERROR(INDEX(Maniobras!$K$5:$K$504,MATCH(A1415,Maniobras!$A$5:$A$504,0)),""))</f>
        <v/>
      </c>
      <c r="G1415" s="29"/>
      <c r="H1415" s="29"/>
      <c r="I1415" s="29" t="str">
        <f t="shared" si="45"/>
        <v/>
      </c>
      <c r="K1415" s="30"/>
      <c r="M1415" t="str">
        <f>IF($A1415=Ficha!$B$3,COUNTIF($A$5:$A1415,Ficha!$B$3),"")</f>
        <v/>
      </c>
    </row>
    <row r="1416" spans="2:13" x14ac:dyDescent="0.3">
      <c r="B1416" s="30" t="str">
        <f>IF(A1416="","",IFERROR(INDEX(Maniobras!$B$5:$B$504,MATCH(A1416,Maniobras!$A$5:$A$504,0)),""))</f>
        <v/>
      </c>
      <c r="C1416" t="str">
        <f t="shared" si="44"/>
        <v/>
      </c>
      <c r="D1416" t="str">
        <f>IF(A1416="","",IFERROR(INDEX(Maniobras!$D$5:$D$504,MATCH(A1416,Maniobras!$A$5:$A$504,0)),""))</f>
        <v/>
      </c>
      <c r="F1416" s="29" t="str">
        <f>IF(A1416="","",IFERROR(INDEX(Maniobras!$K$5:$K$504,MATCH(A1416,Maniobras!$A$5:$A$504,0)),""))</f>
        <v/>
      </c>
      <c r="G1416" s="29"/>
      <c r="H1416" s="29"/>
      <c r="I1416" s="29" t="str">
        <f t="shared" si="45"/>
        <v/>
      </c>
      <c r="K1416" s="30"/>
      <c r="M1416" t="str">
        <f>IF($A1416=Ficha!$B$3,COUNTIF($A$5:$A1416,Ficha!$B$3),"")</f>
        <v/>
      </c>
    </row>
    <row r="1417" spans="2:13" x14ac:dyDescent="0.3">
      <c r="B1417" s="30" t="str">
        <f>IF(A1417="","",IFERROR(INDEX(Maniobras!$B$5:$B$504,MATCH(A1417,Maniobras!$A$5:$A$504,0)),""))</f>
        <v/>
      </c>
      <c r="C1417" t="str">
        <f t="shared" si="44"/>
        <v/>
      </c>
      <c r="D1417" t="str">
        <f>IF(A1417="","",IFERROR(INDEX(Maniobras!$D$5:$D$504,MATCH(A1417,Maniobras!$A$5:$A$504,0)),""))</f>
        <v/>
      </c>
      <c r="F1417" s="29" t="str">
        <f>IF(A1417="","",IFERROR(INDEX(Maniobras!$K$5:$K$504,MATCH(A1417,Maniobras!$A$5:$A$504,0)),""))</f>
        <v/>
      </c>
      <c r="G1417" s="29"/>
      <c r="H1417" s="29"/>
      <c r="I1417" s="29" t="str">
        <f t="shared" si="45"/>
        <v/>
      </c>
      <c r="K1417" s="30"/>
      <c r="M1417" t="str">
        <f>IF($A1417=Ficha!$B$3,COUNTIF($A$5:$A1417,Ficha!$B$3),"")</f>
        <v/>
      </c>
    </row>
    <row r="1418" spans="2:13" x14ac:dyDescent="0.3">
      <c r="B1418" s="30" t="str">
        <f>IF(A1418="","",IFERROR(INDEX(Maniobras!$B$5:$B$504,MATCH(A1418,Maniobras!$A$5:$A$504,0)),""))</f>
        <v/>
      </c>
      <c r="C1418" t="str">
        <f t="shared" si="44"/>
        <v/>
      </c>
      <c r="D1418" t="str">
        <f>IF(A1418="","",IFERROR(INDEX(Maniobras!$D$5:$D$504,MATCH(A1418,Maniobras!$A$5:$A$504,0)),""))</f>
        <v/>
      </c>
      <c r="F1418" s="29" t="str">
        <f>IF(A1418="","",IFERROR(INDEX(Maniobras!$K$5:$K$504,MATCH(A1418,Maniobras!$A$5:$A$504,0)),""))</f>
        <v/>
      </c>
      <c r="G1418" s="29"/>
      <c r="H1418" s="29"/>
      <c r="I1418" s="29" t="str">
        <f t="shared" si="45"/>
        <v/>
      </c>
      <c r="K1418" s="30"/>
      <c r="M1418" t="str">
        <f>IF($A1418=Ficha!$B$3,COUNTIF($A$5:$A1418,Ficha!$B$3),"")</f>
        <v/>
      </c>
    </row>
    <row r="1419" spans="2:13" x14ac:dyDescent="0.3">
      <c r="B1419" s="30" t="str">
        <f>IF(A1419="","",IFERROR(INDEX(Maniobras!$B$5:$B$504,MATCH(A1419,Maniobras!$A$5:$A$504,0)),""))</f>
        <v/>
      </c>
      <c r="C1419" t="str">
        <f t="shared" si="44"/>
        <v/>
      </c>
      <c r="D1419" t="str">
        <f>IF(A1419="","",IFERROR(INDEX(Maniobras!$D$5:$D$504,MATCH(A1419,Maniobras!$A$5:$A$504,0)),""))</f>
        <v/>
      </c>
      <c r="F1419" s="29" t="str">
        <f>IF(A1419="","",IFERROR(INDEX(Maniobras!$K$5:$K$504,MATCH(A1419,Maniobras!$A$5:$A$504,0)),""))</f>
        <v/>
      </c>
      <c r="G1419" s="29"/>
      <c r="H1419" s="29"/>
      <c r="I1419" s="29" t="str">
        <f t="shared" si="45"/>
        <v/>
      </c>
      <c r="K1419" s="30"/>
      <c r="M1419" t="str">
        <f>IF($A1419=Ficha!$B$3,COUNTIF($A$5:$A1419,Ficha!$B$3),"")</f>
        <v/>
      </c>
    </row>
    <row r="1420" spans="2:13" x14ac:dyDescent="0.3">
      <c r="B1420" s="30" t="str">
        <f>IF(A1420="","",IFERROR(INDEX(Maniobras!$B$5:$B$504,MATCH(A1420,Maniobras!$A$5:$A$504,0)),""))</f>
        <v/>
      </c>
      <c r="C1420" t="str">
        <f t="shared" si="44"/>
        <v/>
      </c>
      <c r="D1420" t="str">
        <f>IF(A1420="","",IFERROR(INDEX(Maniobras!$D$5:$D$504,MATCH(A1420,Maniobras!$A$5:$A$504,0)),""))</f>
        <v/>
      </c>
      <c r="F1420" s="29" t="str">
        <f>IF(A1420="","",IFERROR(INDEX(Maniobras!$K$5:$K$504,MATCH(A1420,Maniobras!$A$5:$A$504,0)),""))</f>
        <v/>
      </c>
      <c r="G1420" s="29"/>
      <c r="H1420" s="29"/>
      <c r="I1420" s="29" t="str">
        <f t="shared" si="45"/>
        <v/>
      </c>
      <c r="K1420" s="30"/>
      <c r="M1420" t="str">
        <f>IF($A1420=Ficha!$B$3,COUNTIF($A$5:$A1420,Ficha!$B$3),"")</f>
        <v/>
      </c>
    </row>
    <row r="1421" spans="2:13" x14ac:dyDescent="0.3">
      <c r="B1421" s="30" t="str">
        <f>IF(A1421="","",IFERROR(INDEX(Maniobras!$B$5:$B$504,MATCH(A1421,Maniobras!$A$5:$A$504,0)),""))</f>
        <v/>
      </c>
      <c r="C1421" t="str">
        <f t="shared" si="44"/>
        <v/>
      </c>
      <c r="D1421" t="str">
        <f>IF(A1421="","",IFERROR(INDEX(Maniobras!$D$5:$D$504,MATCH(A1421,Maniobras!$A$5:$A$504,0)),""))</f>
        <v/>
      </c>
      <c r="F1421" s="29" t="str">
        <f>IF(A1421="","",IFERROR(INDEX(Maniobras!$K$5:$K$504,MATCH(A1421,Maniobras!$A$5:$A$504,0)),""))</f>
        <v/>
      </c>
      <c r="G1421" s="29"/>
      <c r="H1421" s="29"/>
      <c r="I1421" s="29" t="str">
        <f t="shared" si="45"/>
        <v/>
      </c>
      <c r="K1421" s="30"/>
      <c r="M1421" t="str">
        <f>IF($A1421=Ficha!$B$3,COUNTIF($A$5:$A1421,Ficha!$B$3),"")</f>
        <v/>
      </c>
    </row>
    <row r="1422" spans="2:13" x14ac:dyDescent="0.3">
      <c r="B1422" s="30" t="str">
        <f>IF(A1422="","",IFERROR(INDEX(Maniobras!$B$5:$B$504,MATCH(A1422,Maniobras!$A$5:$A$504,0)),""))</f>
        <v/>
      </c>
      <c r="C1422" t="str">
        <f t="shared" si="44"/>
        <v/>
      </c>
      <c r="D1422" t="str">
        <f>IF(A1422="","",IFERROR(INDEX(Maniobras!$D$5:$D$504,MATCH(A1422,Maniobras!$A$5:$A$504,0)),""))</f>
        <v/>
      </c>
      <c r="F1422" s="29" t="str">
        <f>IF(A1422="","",IFERROR(INDEX(Maniobras!$K$5:$K$504,MATCH(A1422,Maniobras!$A$5:$A$504,0)),""))</f>
        <v/>
      </c>
      <c r="G1422" s="29"/>
      <c r="H1422" s="29"/>
      <c r="I1422" s="29" t="str">
        <f t="shared" si="45"/>
        <v/>
      </c>
      <c r="K1422" s="30"/>
      <c r="M1422" t="str">
        <f>IF($A1422=Ficha!$B$3,COUNTIF($A$5:$A1422,Ficha!$B$3),"")</f>
        <v/>
      </c>
    </row>
    <row r="1423" spans="2:13" x14ac:dyDescent="0.3">
      <c r="B1423" s="30" t="str">
        <f>IF(A1423="","",IFERROR(INDEX(Maniobras!$B$5:$B$504,MATCH(A1423,Maniobras!$A$5:$A$504,0)),""))</f>
        <v/>
      </c>
      <c r="C1423" t="str">
        <f t="shared" si="44"/>
        <v/>
      </c>
      <c r="D1423" t="str">
        <f>IF(A1423="","",IFERROR(INDEX(Maniobras!$D$5:$D$504,MATCH(A1423,Maniobras!$A$5:$A$504,0)),""))</f>
        <v/>
      </c>
      <c r="F1423" s="29" t="str">
        <f>IF(A1423="","",IFERROR(INDEX(Maniobras!$K$5:$K$504,MATCH(A1423,Maniobras!$A$5:$A$504,0)),""))</f>
        <v/>
      </c>
      <c r="G1423" s="29"/>
      <c r="H1423" s="29"/>
      <c r="I1423" s="29" t="str">
        <f t="shared" si="45"/>
        <v/>
      </c>
      <c r="K1423" s="30"/>
      <c r="M1423" t="str">
        <f>IF($A1423=Ficha!$B$3,COUNTIF($A$5:$A1423,Ficha!$B$3),"")</f>
        <v/>
      </c>
    </row>
    <row r="1424" spans="2:13" x14ac:dyDescent="0.3">
      <c r="B1424" s="30" t="str">
        <f>IF(A1424="","",IFERROR(INDEX(Maniobras!$B$5:$B$504,MATCH(A1424,Maniobras!$A$5:$A$504,0)),""))</f>
        <v/>
      </c>
      <c r="C1424" t="str">
        <f t="shared" si="44"/>
        <v/>
      </c>
      <c r="D1424" t="str">
        <f>IF(A1424="","",IFERROR(INDEX(Maniobras!$D$5:$D$504,MATCH(A1424,Maniobras!$A$5:$A$504,0)),""))</f>
        <v/>
      </c>
      <c r="F1424" s="29" t="str">
        <f>IF(A1424="","",IFERROR(INDEX(Maniobras!$K$5:$K$504,MATCH(A1424,Maniobras!$A$5:$A$504,0)),""))</f>
        <v/>
      </c>
      <c r="G1424" s="29"/>
      <c r="H1424" s="29"/>
      <c r="I1424" s="29" t="str">
        <f t="shared" si="45"/>
        <v/>
      </c>
      <c r="K1424" s="30"/>
      <c r="M1424" t="str">
        <f>IF($A1424=Ficha!$B$3,COUNTIF($A$5:$A1424,Ficha!$B$3),"")</f>
        <v/>
      </c>
    </row>
    <row r="1425" spans="2:13" x14ac:dyDescent="0.3">
      <c r="B1425" s="30" t="str">
        <f>IF(A1425="","",IFERROR(INDEX(Maniobras!$B$5:$B$504,MATCH(A1425,Maniobras!$A$5:$A$504,0)),""))</f>
        <v/>
      </c>
      <c r="C1425" t="str">
        <f t="shared" si="44"/>
        <v/>
      </c>
      <c r="D1425" t="str">
        <f>IF(A1425="","",IFERROR(INDEX(Maniobras!$D$5:$D$504,MATCH(A1425,Maniobras!$A$5:$A$504,0)),""))</f>
        <v/>
      </c>
      <c r="F1425" s="29" t="str">
        <f>IF(A1425="","",IFERROR(INDEX(Maniobras!$K$5:$K$504,MATCH(A1425,Maniobras!$A$5:$A$504,0)),""))</f>
        <v/>
      </c>
      <c r="G1425" s="29"/>
      <c r="H1425" s="29"/>
      <c r="I1425" s="29" t="str">
        <f t="shared" si="45"/>
        <v/>
      </c>
      <c r="K1425" s="30"/>
      <c r="M1425" t="str">
        <f>IF($A1425=Ficha!$B$3,COUNTIF($A$5:$A1425,Ficha!$B$3),"")</f>
        <v/>
      </c>
    </row>
    <row r="1426" spans="2:13" x14ac:dyDescent="0.3">
      <c r="B1426" s="30" t="str">
        <f>IF(A1426="","",IFERROR(INDEX(Maniobras!$B$5:$B$504,MATCH(A1426,Maniobras!$A$5:$A$504,0)),""))</f>
        <v/>
      </c>
      <c r="C1426" t="str">
        <f t="shared" si="44"/>
        <v/>
      </c>
      <c r="D1426" t="str">
        <f>IF(A1426="","",IFERROR(INDEX(Maniobras!$D$5:$D$504,MATCH(A1426,Maniobras!$A$5:$A$504,0)),""))</f>
        <v/>
      </c>
      <c r="F1426" s="29" t="str">
        <f>IF(A1426="","",IFERROR(INDEX(Maniobras!$K$5:$K$504,MATCH(A1426,Maniobras!$A$5:$A$504,0)),""))</f>
        <v/>
      </c>
      <c r="G1426" s="29"/>
      <c r="H1426" s="29"/>
      <c r="I1426" s="29" t="str">
        <f t="shared" si="45"/>
        <v/>
      </c>
      <c r="K1426" s="30"/>
      <c r="M1426" t="str">
        <f>IF($A1426=Ficha!$B$3,COUNTIF($A$5:$A1426,Ficha!$B$3),"")</f>
        <v/>
      </c>
    </row>
    <row r="1427" spans="2:13" x14ac:dyDescent="0.3">
      <c r="B1427" s="30" t="str">
        <f>IF(A1427="","",IFERROR(INDEX(Maniobras!$B$5:$B$504,MATCH(A1427,Maniobras!$A$5:$A$504,0)),""))</f>
        <v/>
      </c>
      <c r="C1427" t="str">
        <f t="shared" si="44"/>
        <v/>
      </c>
      <c r="D1427" t="str">
        <f>IF(A1427="","",IFERROR(INDEX(Maniobras!$D$5:$D$504,MATCH(A1427,Maniobras!$A$5:$A$504,0)),""))</f>
        <v/>
      </c>
      <c r="F1427" s="29" t="str">
        <f>IF(A1427="","",IFERROR(INDEX(Maniobras!$K$5:$K$504,MATCH(A1427,Maniobras!$A$5:$A$504,0)),""))</f>
        <v/>
      </c>
      <c r="G1427" s="29"/>
      <c r="H1427" s="29"/>
      <c r="I1427" s="29" t="str">
        <f t="shared" si="45"/>
        <v/>
      </c>
      <c r="K1427" s="30"/>
      <c r="M1427" t="str">
        <f>IF($A1427=Ficha!$B$3,COUNTIF($A$5:$A1427,Ficha!$B$3),"")</f>
        <v/>
      </c>
    </row>
    <row r="1428" spans="2:13" x14ac:dyDescent="0.3">
      <c r="B1428" s="30" t="str">
        <f>IF(A1428="","",IFERROR(INDEX(Maniobras!$B$5:$B$504,MATCH(A1428,Maniobras!$A$5:$A$504,0)),""))</f>
        <v/>
      </c>
      <c r="C1428" t="str">
        <f t="shared" si="44"/>
        <v/>
      </c>
      <c r="D1428" t="str">
        <f>IF(A1428="","",IFERROR(INDEX(Maniobras!$D$5:$D$504,MATCH(A1428,Maniobras!$A$5:$A$504,0)),""))</f>
        <v/>
      </c>
      <c r="F1428" s="29" t="str">
        <f>IF(A1428="","",IFERROR(INDEX(Maniobras!$K$5:$K$504,MATCH(A1428,Maniobras!$A$5:$A$504,0)),""))</f>
        <v/>
      </c>
      <c r="G1428" s="29"/>
      <c r="H1428" s="29"/>
      <c r="I1428" s="29" t="str">
        <f t="shared" si="45"/>
        <v/>
      </c>
      <c r="K1428" s="30"/>
      <c r="M1428" t="str">
        <f>IF($A1428=Ficha!$B$3,COUNTIF($A$5:$A1428,Ficha!$B$3),"")</f>
        <v/>
      </c>
    </row>
    <row r="1429" spans="2:13" x14ac:dyDescent="0.3">
      <c r="B1429" s="30" t="str">
        <f>IF(A1429="","",IFERROR(INDEX(Maniobras!$B$5:$B$504,MATCH(A1429,Maniobras!$A$5:$A$504,0)),""))</f>
        <v/>
      </c>
      <c r="C1429" t="str">
        <f t="shared" si="44"/>
        <v/>
      </c>
      <c r="D1429" t="str">
        <f>IF(A1429="","",IFERROR(INDEX(Maniobras!$D$5:$D$504,MATCH(A1429,Maniobras!$A$5:$A$504,0)),""))</f>
        <v/>
      </c>
      <c r="F1429" s="29" t="str">
        <f>IF(A1429="","",IFERROR(INDEX(Maniobras!$K$5:$K$504,MATCH(A1429,Maniobras!$A$5:$A$504,0)),""))</f>
        <v/>
      </c>
      <c r="G1429" s="29"/>
      <c r="H1429" s="29"/>
      <c r="I1429" s="29" t="str">
        <f t="shared" si="45"/>
        <v/>
      </c>
      <c r="K1429" s="30"/>
      <c r="M1429" t="str">
        <f>IF($A1429=Ficha!$B$3,COUNTIF($A$5:$A1429,Ficha!$B$3),"")</f>
        <v/>
      </c>
    </row>
    <row r="1430" spans="2:13" x14ac:dyDescent="0.3">
      <c r="B1430" s="30" t="str">
        <f>IF(A1430="","",IFERROR(INDEX(Maniobras!$B$5:$B$504,MATCH(A1430,Maniobras!$A$5:$A$504,0)),""))</f>
        <v/>
      </c>
      <c r="C1430" t="str">
        <f t="shared" si="44"/>
        <v/>
      </c>
      <c r="D1430" t="str">
        <f>IF(A1430="","",IFERROR(INDEX(Maniobras!$D$5:$D$504,MATCH(A1430,Maniobras!$A$5:$A$504,0)),""))</f>
        <v/>
      </c>
      <c r="F1430" s="29" t="str">
        <f>IF(A1430="","",IFERROR(INDEX(Maniobras!$K$5:$K$504,MATCH(A1430,Maniobras!$A$5:$A$504,0)),""))</f>
        <v/>
      </c>
      <c r="G1430" s="29"/>
      <c r="H1430" s="29"/>
      <c r="I1430" s="29" t="str">
        <f t="shared" si="45"/>
        <v/>
      </c>
      <c r="K1430" s="30"/>
      <c r="M1430" t="str">
        <f>IF($A1430=Ficha!$B$3,COUNTIF($A$5:$A1430,Ficha!$B$3),"")</f>
        <v/>
      </c>
    </row>
    <row r="1431" spans="2:13" x14ac:dyDescent="0.3">
      <c r="B1431" s="30" t="str">
        <f>IF(A1431="","",IFERROR(INDEX(Maniobras!$B$5:$B$504,MATCH(A1431,Maniobras!$A$5:$A$504,0)),""))</f>
        <v/>
      </c>
      <c r="C1431" t="str">
        <f t="shared" si="44"/>
        <v/>
      </c>
      <c r="D1431" t="str">
        <f>IF(A1431="","",IFERROR(INDEX(Maniobras!$D$5:$D$504,MATCH(A1431,Maniobras!$A$5:$A$504,0)),""))</f>
        <v/>
      </c>
      <c r="F1431" s="29" t="str">
        <f>IF(A1431="","",IFERROR(INDEX(Maniobras!$K$5:$K$504,MATCH(A1431,Maniobras!$A$5:$A$504,0)),""))</f>
        <v/>
      </c>
      <c r="G1431" s="29"/>
      <c r="H1431" s="29"/>
      <c r="I1431" s="29" t="str">
        <f t="shared" si="45"/>
        <v/>
      </c>
      <c r="K1431" s="30"/>
      <c r="M1431" t="str">
        <f>IF($A1431=Ficha!$B$3,COUNTIF($A$5:$A1431,Ficha!$B$3),"")</f>
        <v/>
      </c>
    </row>
    <row r="1432" spans="2:13" x14ac:dyDescent="0.3">
      <c r="B1432" s="30" t="str">
        <f>IF(A1432="","",IFERROR(INDEX(Maniobras!$B$5:$B$504,MATCH(A1432,Maniobras!$A$5:$A$504,0)),""))</f>
        <v/>
      </c>
      <c r="C1432" t="str">
        <f t="shared" si="44"/>
        <v/>
      </c>
      <c r="D1432" t="str">
        <f>IF(A1432="","",IFERROR(INDEX(Maniobras!$D$5:$D$504,MATCH(A1432,Maniobras!$A$5:$A$504,0)),""))</f>
        <v/>
      </c>
      <c r="F1432" s="29" t="str">
        <f>IF(A1432="","",IFERROR(INDEX(Maniobras!$K$5:$K$504,MATCH(A1432,Maniobras!$A$5:$A$504,0)),""))</f>
        <v/>
      </c>
      <c r="G1432" s="29"/>
      <c r="H1432" s="29"/>
      <c r="I1432" s="29" t="str">
        <f t="shared" si="45"/>
        <v/>
      </c>
      <c r="K1432" s="30"/>
      <c r="M1432" t="str">
        <f>IF($A1432=Ficha!$B$3,COUNTIF($A$5:$A1432,Ficha!$B$3),"")</f>
        <v/>
      </c>
    </row>
    <row r="1433" spans="2:13" x14ac:dyDescent="0.3">
      <c r="B1433" s="30" t="str">
        <f>IF(A1433="","",IFERROR(INDEX(Maniobras!$B$5:$B$504,MATCH(A1433,Maniobras!$A$5:$A$504,0)),""))</f>
        <v/>
      </c>
      <c r="C1433" t="str">
        <f t="shared" si="44"/>
        <v/>
      </c>
      <c r="D1433" t="str">
        <f>IF(A1433="","",IFERROR(INDEX(Maniobras!$D$5:$D$504,MATCH(A1433,Maniobras!$A$5:$A$504,0)),""))</f>
        <v/>
      </c>
      <c r="F1433" s="29" t="str">
        <f>IF(A1433="","",IFERROR(INDEX(Maniobras!$K$5:$K$504,MATCH(A1433,Maniobras!$A$5:$A$504,0)),""))</f>
        <v/>
      </c>
      <c r="G1433" s="29"/>
      <c r="H1433" s="29"/>
      <c r="I1433" s="29" t="str">
        <f t="shared" si="45"/>
        <v/>
      </c>
      <c r="K1433" s="30"/>
      <c r="M1433" t="str">
        <f>IF($A1433=Ficha!$B$3,COUNTIF($A$5:$A1433,Ficha!$B$3),"")</f>
        <v/>
      </c>
    </row>
    <row r="1434" spans="2:13" x14ac:dyDescent="0.3">
      <c r="B1434" s="30" t="str">
        <f>IF(A1434="","",IFERROR(INDEX(Maniobras!$B$5:$B$504,MATCH(A1434,Maniobras!$A$5:$A$504,0)),""))</f>
        <v/>
      </c>
      <c r="C1434" t="str">
        <f t="shared" si="44"/>
        <v/>
      </c>
      <c r="D1434" t="str">
        <f>IF(A1434="","",IFERROR(INDEX(Maniobras!$D$5:$D$504,MATCH(A1434,Maniobras!$A$5:$A$504,0)),""))</f>
        <v/>
      </c>
      <c r="F1434" s="29" t="str">
        <f>IF(A1434="","",IFERROR(INDEX(Maniobras!$K$5:$K$504,MATCH(A1434,Maniobras!$A$5:$A$504,0)),""))</f>
        <v/>
      </c>
      <c r="G1434" s="29"/>
      <c r="H1434" s="29"/>
      <c r="I1434" s="29" t="str">
        <f t="shared" si="45"/>
        <v/>
      </c>
      <c r="K1434" s="30"/>
      <c r="M1434" t="str">
        <f>IF($A1434=Ficha!$B$3,COUNTIF($A$5:$A1434,Ficha!$B$3),"")</f>
        <v/>
      </c>
    </row>
    <row r="1435" spans="2:13" x14ac:dyDescent="0.3">
      <c r="B1435" s="30" t="str">
        <f>IF(A1435="","",IFERROR(INDEX(Maniobras!$B$5:$B$504,MATCH(A1435,Maniobras!$A$5:$A$504,0)),""))</f>
        <v/>
      </c>
      <c r="C1435" t="str">
        <f t="shared" si="44"/>
        <v/>
      </c>
      <c r="D1435" t="str">
        <f>IF(A1435="","",IFERROR(INDEX(Maniobras!$D$5:$D$504,MATCH(A1435,Maniobras!$A$5:$A$504,0)),""))</f>
        <v/>
      </c>
      <c r="F1435" s="29" t="str">
        <f>IF(A1435="","",IFERROR(INDEX(Maniobras!$K$5:$K$504,MATCH(A1435,Maniobras!$A$5:$A$504,0)),""))</f>
        <v/>
      </c>
      <c r="G1435" s="29"/>
      <c r="H1435" s="29"/>
      <c r="I1435" s="29" t="str">
        <f t="shared" si="45"/>
        <v/>
      </c>
      <c r="K1435" s="30"/>
      <c r="M1435" t="str">
        <f>IF($A1435=Ficha!$B$3,COUNTIF($A$5:$A1435,Ficha!$B$3),"")</f>
        <v/>
      </c>
    </row>
    <row r="1436" spans="2:13" x14ac:dyDescent="0.3">
      <c r="B1436" s="30" t="str">
        <f>IF(A1436="","",IFERROR(INDEX(Maniobras!$B$5:$B$504,MATCH(A1436,Maniobras!$A$5:$A$504,0)),""))</f>
        <v/>
      </c>
      <c r="C1436" t="str">
        <f t="shared" si="44"/>
        <v/>
      </c>
      <c r="D1436" t="str">
        <f>IF(A1436="","",IFERROR(INDEX(Maniobras!$D$5:$D$504,MATCH(A1436,Maniobras!$A$5:$A$504,0)),""))</f>
        <v/>
      </c>
      <c r="F1436" s="29" t="str">
        <f>IF(A1436="","",IFERROR(INDEX(Maniobras!$K$5:$K$504,MATCH(A1436,Maniobras!$A$5:$A$504,0)),""))</f>
        <v/>
      </c>
      <c r="G1436" s="29"/>
      <c r="H1436" s="29"/>
      <c r="I1436" s="29" t="str">
        <f t="shared" si="45"/>
        <v/>
      </c>
      <c r="K1436" s="30"/>
      <c r="M1436" t="str">
        <f>IF($A1436=Ficha!$B$3,COUNTIF($A$5:$A1436,Ficha!$B$3),"")</f>
        <v/>
      </c>
    </row>
    <row r="1437" spans="2:13" x14ac:dyDescent="0.3">
      <c r="B1437" s="30" t="str">
        <f>IF(A1437="","",IFERROR(INDEX(Maniobras!$B$5:$B$504,MATCH(A1437,Maniobras!$A$5:$A$504,0)),""))</f>
        <v/>
      </c>
      <c r="C1437" t="str">
        <f t="shared" si="44"/>
        <v/>
      </c>
      <c r="D1437" t="str">
        <f>IF(A1437="","",IFERROR(INDEX(Maniobras!$D$5:$D$504,MATCH(A1437,Maniobras!$A$5:$A$504,0)),""))</f>
        <v/>
      </c>
      <c r="F1437" s="29" t="str">
        <f>IF(A1437="","",IFERROR(INDEX(Maniobras!$K$5:$K$504,MATCH(A1437,Maniobras!$A$5:$A$504,0)),""))</f>
        <v/>
      </c>
      <c r="G1437" s="29"/>
      <c r="H1437" s="29"/>
      <c r="I1437" s="29" t="str">
        <f t="shared" si="45"/>
        <v/>
      </c>
      <c r="K1437" s="30"/>
      <c r="M1437" t="str">
        <f>IF($A1437=Ficha!$B$3,COUNTIF($A$5:$A1437,Ficha!$B$3),"")</f>
        <v/>
      </c>
    </row>
    <row r="1438" spans="2:13" x14ac:dyDescent="0.3">
      <c r="B1438" s="30" t="str">
        <f>IF(A1438="","",IFERROR(INDEX(Maniobras!$B$5:$B$504,MATCH(A1438,Maniobras!$A$5:$A$504,0)),""))</f>
        <v/>
      </c>
      <c r="C1438" t="str">
        <f t="shared" si="44"/>
        <v/>
      </c>
      <c r="D1438" t="str">
        <f>IF(A1438="","",IFERROR(INDEX(Maniobras!$D$5:$D$504,MATCH(A1438,Maniobras!$A$5:$A$504,0)),""))</f>
        <v/>
      </c>
      <c r="F1438" s="29" t="str">
        <f>IF(A1438="","",IFERROR(INDEX(Maniobras!$K$5:$K$504,MATCH(A1438,Maniobras!$A$5:$A$504,0)),""))</f>
        <v/>
      </c>
      <c r="G1438" s="29"/>
      <c r="H1438" s="29"/>
      <c r="I1438" s="29" t="str">
        <f t="shared" si="45"/>
        <v/>
      </c>
      <c r="K1438" s="30"/>
      <c r="M1438" t="str">
        <f>IF($A1438=Ficha!$B$3,COUNTIF($A$5:$A1438,Ficha!$B$3),"")</f>
        <v/>
      </c>
    </row>
    <row r="1439" spans="2:13" x14ac:dyDescent="0.3">
      <c r="B1439" s="30" t="str">
        <f>IF(A1439="","",IFERROR(INDEX(Maniobras!$B$5:$B$504,MATCH(A1439,Maniobras!$A$5:$A$504,0)),""))</f>
        <v/>
      </c>
      <c r="C1439" t="str">
        <f t="shared" si="44"/>
        <v/>
      </c>
      <c r="D1439" t="str">
        <f>IF(A1439="","",IFERROR(INDEX(Maniobras!$D$5:$D$504,MATCH(A1439,Maniobras!$A$5:$A$504,0)),""))</f>
        <v/>
      </c>
      <c r="F1439" s="29" t="str">
        <f>IF(A1439="","",IFERROR(INDEX(Maniobras!$K$5:$K$504,MATCH(A1439,Maniobras!$A$5:$A$504,0)),""))</f>
        <v/>
      </c>
      <c r="G1439" s="29"/>
      <c r="H1439" s="29"/>
      <c r="I1439" s="29" t="str">
        <f t="shared" si="45"/>
        <v/>
      </c>
      <c r="K1439" s="30"/>
      <c r="M1439" t="str">
        <f>IF($A1439=Ficha!$B$3,COUNTIF($A$5:$A1439,Ficha!$B$3),"")</f>
        <v/>
      </c>
    </row>
    <row r="1440" spans="2:13" x14ac:dyDescent="0.3">
      <c r="B1440" s="30" t="str">
        <f>IF(A1440="","",IFERROR(INDEX(Maniobras!$B$5:$B$504,MATCH(A1440,Maniobras!$A$5:$A$504,0)),""))</f>
        <v/>
      </c>
      <c r="C1440" t="str">
        <f t="shared" si="44"/>
        <v/>
      </c>
      <c r="D1440" t="str">
        <f>IF(A1440="","",IFERROR(INDEX(Maniobras!$D$5:$D$504,MATCH(A1440,Maniobras!$A$5:$A$504,0)),""))</f>
        <v/>
      </c>
      <c r="F1440" s="29" t="str">
        <f>IF(A1440="","",IFERROR(INDEX(Maniobras!$K$5:$K$504,MATCH(A1440,Maniobras!$A$5:$A$504,0)),""))</f>
        <v/>
      </c>
      <c r="G1440" s="29"/>
      <c r="H1440" s="29"/>
      <c r="I1440" s="29" t="str">
        <f t="shared" si="45"/>
        <v/>
      </c>
      <c r="K1440" s="30"/>
      <c r="M1440" t="str">
        <f>IF($A1440=Ficha!$B$3,COUNTIF($A$5:$A1440,Ficha!$B$3),"")</f>
        <v/>
      </c>
    </row>
    <row r="1441" spans="2:13" x14ac:dyDescent="0.3">
      <c r="B1441" s="30" t="str">
        <f>IF(A1441="","",IFERROR(INDEX(Maniobras!$B$5:$B$504,MATCH(A1441,Maniobras!$A$5:$A$504,0)),""))</f>
        <v/>
      </c>
      <c r="C1441" t="str">
        <f t="shared" si="44"/>
        <v/>
      </c>
      <c r="D1441" t="str">
        <f>IF(A1441="","",IFERROR(INDEX(Maniobras!$D$5:$D$504,MATCH(A1441,Maniobras!$A$5:$A$504,0)),""))</f>
        <v/>
      </c>
      <c r="F1441" s="29" t="str">
        <f>IF(A1441="","",IFERROR(INDEX(Maniobras!$K$5:$K$504,MATCH(A1441,Maniobras!$A$5:$A$504,0)),""))</f>
        <v/>
      </c>
      <c r="G1441" s="29"/>
      <c r="H1441" s="29"/>
      <c r="I1441" s="29" t="str">
        <f t="shared" si="45"/>
        <v/>
      </c>
      <c r="K1441" s="30"/>
      <c r="M1441" t="str">
        <f>IF($A1441=Ficha!$B$3,COUNTIF($A$5:$A1441,Ficha!$B$3),"")</f>
        <v/>
      </c>
    </row>
    <row r="1442" spans="2:13" x14ac:dyDescent="0.3">
      <c r="B1442" s="30" t="str">
        <f>IF(A1442="","",IFERROR(INDEX(Maniobras!$B$5:$B$504,MATCH(A1442,Maniobras!$A$5:$A$504,0)),""))</f>
        <v/>
      </c>
      <c r="C1442" t="str">
        <f t="shared" si="44"/>
        <v/>
      </c>
      <c r="D1442" t="str">
        <f>IF(A1442="","",IFERROR(INDEX(Maniobras!$D$5:$D$504,MATCH(A1442,Maniobras!$A$5:$A$504,0)),""))</f>
        <v/>
      </c>
      <c r="F1442" s="29" t="str">
        <f>IF(A1442="","",IFERROR(INDEX(Maniobras!$K$5:$K$504,MATCH(A1442,Maniobras!$A$5:$A$504,0)),""))</f>
        <v/>
      </c>
      <c r="G1442" s="29"/>
      <c r="H1442" s="29"/>
      <c r="I1442" s="29" t="str">
        <f t="shared" si="45"/>
        <v/>
      </c>
      <c r="K1442" s="30"/>
      <c r="M1442" t="str">
        <f>IF($A1442=Ficha!$B$3,COUNTIF($A$5:$A1442,Ficha!$B$3),"")</f>
        <v/>
      </c>
    </row>
    <row r="1443" spans="2:13" x14ac:dyDescent="0.3">
      <c r="B1443" s="30" t="str">
        <f>IF(A1443="","",IFERROR(INDEX(Maniobras!$B$5:$B$504,MATCH(A1443,Maniobras!$A$5:$A$504,0)),""))</f>
        <v/>
      </c>
      <c r="C1443" t="str">
        <f t="shared" si="44"/>
        <v/>
      </c>
      <c r="D1443" t="str">
        <f>IF(A1443="","",IFERROR(INDEX(Maniobras!$D$5:$D$504,MATCH(A1443,Maniobras!$A$5:$A$504,0)),""))</f>
        <v/>
      </c>
      <c r="F1443" s="29" t="str">
        <f>IF(A1443="","",IFERROR(INDEX(Maniobras!$K$5:$K$504,MATCH(A1443,Maniobras!$A$5:$A$504,0)),""))</f>
        <v/>
      </c>
      <c r="G1443" s="29"/>
      <c r="H1443" s="29"/>
      <c r="I1443" s="29" t="str">
        <f t="shared" si="45"/>
        <v/>
      </c>
      <c r="K1443" s="30"/>
      <c r="M1443" t="str">
        <f>IF($A1443=Ficha!$B$3,COUNTIF($A$5:$A1443,Ficha!$B$3),"")</f>
        <v/>
      </c>
    </row>
    <row r="1444" spans="2:13" x14ac:dyDescent="0.3">
      <c r="B1444" s="30" t="str">
        <f>IF(A1444="","",IFERROR(INDEX(Maniobras!$B$5:$B$504,MATCH(A1444,Maniobras!$A$5:$A$504,0)),""))</f>
        <v/>
      </c>
      <c r="C1444" t="str">
        <f t="shared" si="44"/>
        <v/>
      </c>
      <c r="D1444" t="str">
        <f>IF(A1444="","",IFERROR(INDEX(Maniobras!$D$5:$D$504,MATCH(A1444,Maniobras!$A$5:$A$504,0)),""))</f>
        <v/>
      </c>
      <c r="F1444" s="29" t="str">
        <f>IF(A1444="","",IFERROR(INDEX(Maniobras!$K$5:$K$504,MATCH(A1444,Maniobras!$A$5:$A$504,0)),""))</f>
        <v/>
      </c>
      <c r="G1444" s="29"/>
      <c r="H1444" s="29"/>
      <c r="I1444" s="29" t="str">
        <f t="shared" si="45"/>
        <v/>
      </c>
      <c r="K1444" s="30"/>
      <c r="M1444" t="str">
        <f>IF($A1444=Ficha!$B$3,COUNTIF($A$5:$A1444,Ficha!$B$3),"")</f>
        <v/>
      </c>
    </row>
    <row r="1445" spans="2:13" x14ac:dyDescent="0.3">
      <c r="B1445" s="30" t="str">
        <f>IF(A1445="","",IFERROR(INDEX(Maniobras!$B$5:$B$504,MATCH(A1445,Maniobras!$A$5:$A$504,0)),""))</f>
        <v/>
      </c>
      <c r="C1445" t="str">
        <f t="shared" si="44"/>
        <v/>
      </c>
      <c r="D1445" t="str">
        <f>IF(A1445="","",IFERROR(INDEX(Maniobras!$D$5:$D$504,MATCH(A1445,Maniobras!$A$5:$A$504,0)),""))</f>
        <v/>
      </c>
      <c r="F1445" s="29" t="str">
        <f>IF(A1445="","",IFERROR(INDEX(Maniobras!$K$5:$K$504,MATCH(A1445,Maniobras!$A$5:$A$504,0)),""))</f>
        <v/>
      </c>
      <c r="G1445" s="29"/>
      <c r="H1445" s="29"/>
      <c r="I1445" s="29" t="str">
        <f t="shared" si="45"/>
        <v/>
      </c>
      <c r="K1445" s="30"/>
      <c r="M1445" t="str">
        <f>IF($A1445=Ficha!$B$3,COUNTIF($A$5:$A1445,Ficha!$B$3),"")</f>
        <v/>
      </c>
    </row>
    <row r="1446" spans="2:13" x14ac:dyDescent="0.3">
      <c r="B1446" s="30" t="str">
        <f>IF(A1446="","",IFERROR(INDEX(Maniobras!$B$5:$B$504,MATCH(A1446,Maniobras!$A$5:$A$504,0)),""))</f>
        <v/>
      </c>
      <c r="C1446" t="str">
        <f t="shared" si="44"/>
        <v/>
      </c>
      <c r="D1446" t="str">
        <f>IF(A1446="","",IFERROR(INDEX(Maniobras!$D$5:$D$504,MATCH(A1446,Maniobras!$A$5:$A$504,0)),""))</f>
        <v/>
      </c>
      <c r="F1446" s="29" t="str">
        <f>IF(A1446="","",IFERROR(INDEX(Maniobras!$K$5:$K$504,MATCH(A1446,Maniobras!$A$5:$A$504,0)),""))</f>
        <v/>
      </c>
      <c r="G1446" s="29"/>
      <c r="H1446" s="29"/>
      <c r="I1446" s="29" t="str">
        <f t="shared" si="45"/>
        <v/>
      </c>
      <c r="K1446" s="30"/>
      <c r="M1446" t="str">
        <f>IF($A1446=Ficha!$B$3,COUNTIF($A$5:$A1446,Ficha!$B$3),"")</f>
        <v/>
      </c>
    </row>
    <row r="1447" spans="2:13" x14ac:dyDescent="0.3">
      <c r="B1447" s="30" t="str">
        <f>IF(A1447="","",IFERROR(INDEX(Maniobras!$B$5:$B$504,MATCH(A1447,Maniobras!$A$5:$A$504,0)),""))</f>
        <v/>
      </c>
      <c r="C1447" t="str">
        <f t="shared" si="44"/>
        <v/>
      </c>
      <c r="D1447" t="str">
        <f>IF(A1447="","",IFERROR(INDEX(Maniobras!$D$5:$D$504,MATCH(A1447,Maniobras!$A$5:$A$504,0)),""))</f>
        <v/>
      </c>
      <c r="F1447" s="29" t="str">
        <f>IF(A1447="","",IFERROR(INDEX(Maniobras!$K$5:$K$504,MATCH(A1447,Maniobras!$A$5:$A$504,0)),""))</f>
        <v/>
      </c>
      <c r="G1447" s="29"/>
      <c r="H1447" s="29"/>
      <c r="I1447" s="29" t="str">
        <f t="shared" si="45"/>
        <v/>
      </c>
      <c r="K1447" s="30"/>
      <c r="M1447" t="str">
        <f>IF($A1447=Ficha!$B$3,COUNTIF($A$5:$A1447,Ficha!$B$3),"")</f>
        <v/>
      </c>
    </row>
    <row r="1448" spans="2:13" x14ac:dyDescent="0.3">
      <c r="B1448" s="30" t="str">
        <f>IF(A1448="","",IFERROR(INDEX(Maniobras!$B$5:$B$504,MATCH(A1448,Maniobras!$A$5:$A$504,0)),""))</f>
        <v/>
      </c>
      <c r="C1448" t="str">
        <f t="shared" si="44"/>
        <v/>
      </c>
      <c r="D1448" t="str">
        <f>IF(A1448="","",IFERROR(INDEX(Maniobras!$D$5:$D$504,MATCH(A1448,Maniobras!$A$5:$A$504,0)),""))</f>
        <v/>
      </c>
      <c r="F1448" s="29" t="str">
        <f>IF(A1448="","",IFERROR(INDEX(Maniobras!$K$5:$K$504,MATCH(A1448,Maniobras!$A$5:$A$504,0)),""))</f>
        <v/>
      </c>
      <c r="G1448" s="29"/>
      <c r="H1448" s="29"/>
      <c r="I1448" s="29" t="str">
        <f t="shared" si="45"/>
        <v/>
      </c>
      <c r="K1448" s="30"/>
      <c r="M1448" t="str">
        <f>IF($A1448=Ficha!$B$3,COUNTIF($A$5:$A1448,Ficha!$B$3),"")</f>
        <v/>
      </c>
    </row>
    <row r="1449" spans="2:13" x14ac:dyDescent="0.3">
      <c r="B1449" s="30" t="str">
        <f>IF(A1449="","",IFERROR(INDEX(Maniobras!$B$5:$B$504,MATCH(A1449,Maniobras!$A$5:$A$504,0)),""))</f>
        <v/>
      </c>
      <c r="C1449" t="str">
        <f t="shared" si="44"/>
        <v/>
      </c>
      <c r="D1449" t="str">
        <f>IF(A1449="","",IFERROR(INDEX(Maniobras!$D$5:$D$504,MATCH(A1449,Maniobras!$A$5:$A$504,0)),""))</f>
        <v/>
      </c>
      <c r="F1449" s="29" t="str">
        <f>IF(A1449="","",IFERROR(INDEX(Maniobras!$K$5:$K$504,MATCH(A1449,Maniobras!$A$5:$A$504,0)),""))</f>
        <v/>
      </c>
      <c r="G1449" s="29"/>
      <c r="H1449" s="29"/>
      <c r="I1449" s="29" t="str">
        <f t="shared" si="45"/>
        <v/>
      </c>
      <c r="K1449" s="30"/>
      <c r="M1449" t="str">
        <f>IF($A1449=Ficha!$B$3,COUNTIF($A$5:$A1449,Ficha!$B$3),"")</f>
        <v/>
      </c>
    </row>
    <row r="1450" spans="2:13" x14ac:dyDescent="0.3">
      <c r="B1450" s="30" t="str">
        <f>IF(A1450="","",IFERROR(INDEX(Maniobras!$B$5:$B$504,MATCH(A1450,Maniobras!$A$5:$A$504,0)),""))</f>
        <v/>
      </c>
      <c r="C1450" t="str">
        <f t="shared" si="44"/>
        <v/>
      </c>
      <c r="D1450" t="str">
        <f>IF(A1450="","",IFERROR(INDEX(Maniobras!$D$5:$D$504,MATCH(A1450,Maniobras!$A$5:$A$504,0)),""))</f>
        <v/>
      </c>
      <c r="F1450" s="29" t="str">
        <f>IF(A1450="","",IFERROR(INDEX(Maniobras!$K$5:$K$504,MATCH(A1450,Maniobras!$A$5:$A$504,0)),""))</f>
        <v/>
      </c>
      <c r="G1450" s="29"/>
      <c r="H1450" s="29"/>
      <c r="I1450" s="29" t="str">
        <f t="shared" si="45"/>
        <v/>
      </c>
      <c r="K1450" s="30"/>
      <c r="M1450" t="str">
        <f>IF($A1450=Ficha!$B$3,COUNTIF($A$5:$A1450,Ficha!$B$3),"")</f>
        <v/>
      </c>
    </row>
    <row r="1451" spans="2:13" x14ac:dyDescent="0.3">
      <c r="B1451" s="30" t="str">
        <f>IF(A1451="","",IFERROR(INDEX(Maniobras!$B$5:$B$504,MATCH(A1451,Maniobras!$A$5:$A$504,0)),""))</f>
        <v/>
      </c>
      <c r="C1451" t="str">
        <f t="shared" si="44"/>
        <v/>
      </c>
      <c r="D1451" t="str">
        <f>IF(A1451="","",IFERROR(INDEX(Maniobras!$D$5:$D$504,MATCH(A1451,Maniobras!$A$5:$A$504,0)),""))</f>
        <v/>
      </c>
      <c r="F1451" s="29" t="str">
        <f>IF(A1451="","",IFERROR(INDEX(Maniobras!$K$5:$K$504,MATCH(A1451,Maniobras!$A$5:$A$504,0)),""))</f>
        <v/>
      </c>
      <c r="G1451" s="29"/>
      <c r="H1451" s="29"/>
      <c r="I1451" s="29" t="str">
        <f t="shared" si="45"/>
        <v/>
      </c>
      <c r="K1451" s="30"/>
      <c r="M1451" t="str">
        <f>IF($A1451=Ficha!$B$3,COUNTIF($A$5:$A1451,Ficha!$B$3),"")</f>
        <v/>
      </c>
    </row>
    <row r="1452" spans="2:13" x14ac:dyDescent="0.3">
      <c r="B1452" s="30" t="str">
        <f>IF(A1452="","",IFERROR(INDEX(Maniobras!$B$5:$B$504,MATCH(A1452,Maniobras!$A$5:$A$504,0)),""))</f>
        <v/>
      </c>
      <c r="C1452" t="str">
        <f t="shared" si="44"/>
        <v/>
      </c>
      <c r="D1452" t="str">
        <f>IF(A1452="","",IFERROR(INDEX(Maniobras!$D$5:$D$504,MATCH(A1452,Maniobras!$A$5:$A$504,0)),""))</f>
        <v/>
      </c>
      <c r="F1452" s="29" t="str">
        <f>IF(A1452="","",IFERROR(INDEX(Maniobras!$K$5:$K$504,MATCH(A1452,Maniobras!$A$5:$A$504,0)),""))</f>
        <v/>
      </c>
      <c r="G1452" s="29"/>
      <c r="H1452" s="29"/>
      <c r="I1452" s="29" t="str">
        <f t="shared" si="45"/>
        <v/>
      </c>
      <c r="K1452" s="30"/>
      <c r="M1452" t="str">
        <f>IF($A1452=Ficha!$B$3,COUNTIF($A$5:$A1452,Ficha!$B$3),"")</f>
        <v/>
      </c>
    </row>
    <row r="1453" spans="2:13" x14ac:dyDescent="0.3">
      <c r="B1453" s="30" t="str">
        <f>IF(A1453="","",IFERROR(INDEX(Maniobras!$B$5:$B$504,MATCH(A1453,Maniobras!$A$5:$A$504,0)),""))</f>
        <v/>
      </c>
      <c r="C1453" t="str">
        <f t="shared" si="44"/>
        <v/>
      </c>
      <c r="D1453" t="str">
        <f>IF(A1453="","",IFERROR(INDEX(Maniobras!$D$5:$D$504,MATCH(A1453,Maniobras!$A$5:$A$504,0)),""))</f>
        <v/>
      </c>
      <c r="F1453" s="29" t="str">
        <f>IF(A1453="","",IFERROR(INDEX(Maniobras!$K$5:$K$504,MATCH(A1453,Maniobras!$A$5:$A$504,0)),""))</f>
        <v/>
      </c>
      <c r="G1453" s="29"/>
      <c r="H1453" s="29"/>
      <c r="I1453" s="29" t="str">
        <f t="shared" si="45"/>
        <v/>
      </c>
      <c r="K1453" s="30"/>
      <c r="M1453" t="str">
        <f>IF($A1453=Ficha!$B$3,COUNTIF($A$5:$A1453,Ficha!$B$3),"")</f>
        <v/>
      </c>
    </row>
    <row r="1454" spans="2:13" x14ac:dyDescent="0.3">
      <c r="B1454" s="30" t="str">
        <f>IF(A1454="","",IFERROR(INDEX(Maniobras!$B$5:$B$504,MATCH(A1454,Maniobras!$A$5:$A$504,0)),""))</f>
        <v/>
      </c>
      <c r="C1454" t="str">
        <f t="shared" si="44"/>
        <v/>
      </c>
      <c r="D1454" t="str">
        <f>IF(A1454="","",IFERROR(INDEX(Maniobras!$D$5:$D$504,MATCH(A1454,Maniobras!$A$5:$A$504,0)),""))</f>
        <v/>
      </c>
      <c r="F1454" s="29" t="str">
        <f>IF(A1454="","",IFERROR(INDEX(Maniobras!$K$5:$K$504,MATCH(A1454,Maniobras!$A$5:$A$504,0)),""))</f>
        <v/>
      </c>
      <c r="G1454" s="29"/>
      <c r="H1454" s="29"/>
      <c r="I1454" s="29" t="str">
        <f t="shared" si="45"/>
        <v/>
      </c>
      <c r="K1454" s="30"/>
      <c r="M1454" t="str">
        <f>IF($A1454=Ficha!$B$3,COUNTIF($A$5:$A1454,Ficha!$B$3),"")</f>
        <v/>
      </c>
    </row>
    <row r="1455" spans="2:13" x14ac:dyDescent="0.3">
      <c r="B1455" s="30" t="str">
        <f>IF(A1455="","",IFERROR(INDEX(Maniobras!$B$5:$B$504,MATCH(A1455,Maniobras!$A$5:$A$504,0)),""))</f>
        <v/>
      </c>
      <c r="C1455" t="str">
        <f t="shared" si="44"/>
        <v/>
      </c>
      <c r="D1455" t="str">
        <f>IF(A1455="","",IFERROR(INDEX(Maniobras!$D$5:$D$504,MATCH(A1455,Maniobras!$A$5:$A$504,0)),""))</f>
        <v/>
      </c>
      <c r="F1455" s="29" t="str">
        <f>IF(A1455="","",IFERROR(INDEX(Maniobras!$K$5:$K$504,MATCH(A1455,Maniobras!$A$5:$A$504,0)),""))</f>
        <v/>
      </c>
      <c r="G1455" s="29"/>
      <c r="H1455" s="29"/>
      <c r="I1455" s="29" t="str">
        <f t="shared" si="45"/>
        <v/>
      </c>
      <c r="K1455" s="30"/>
      <c r="M1455" t="str">
        <f>IF($A1455=Ficha!$B$3,COUNTIF($A$5:$A1455,Ficha!$B$3),"")</f>
        <v/>
      </c>
    </row>
    <row r="1456" spans="2:13" x14ac:dyDescent="0.3">
      <c r="B1456" s="30" t="str">
        <f>IF(A1456="","",IFERROR(INDEX(Maniobras!$B$5:$B$504,MATCH(A1456,Maniobras!$A$5:$A$504,0)),""))</f>
        <v/>
      </c>
      <c r="C1456" t="str">
        <f t="shared" si="44"/>
        <v/>
      </c>
      <c r="D1456" t="str">
        <f>IF(A1456="","",IFERROR(INDEX(Maniobras!$D$5:$D$504,MATCH(A1456,Maniobras!$A$5:$A$504,0)),""))</f>
        <v/>
      </c>
      <c r="F1456" s="29" t="str">
        <f>IF(A1456="","",IFERROR(INDEX(Maniobras!$K$5:$K$504,MATCH(A1456,Maniobras!$A$5:$A$504,0)),""))</f>
        <v/>
      </c>
      <c r="G1456" s="29"/>
      <c r="H1456" s="29"/>
      <c r="I1456" s="29" t="str">
        <f t="shared" si="45"/>
        <v/>
      </c>
      <c r="K1456" s="30"/>
      <c r="M1456" t="str">
        <f>IF($A1456=Ficha!$B$3,COUNTIF($A$5:$A1456,Ficha!$B$3),"")</f>
        <v/>
      </c>
    </row>
    <row r="1457" spans="2:13" x14ac:dyDescent="0.3">
      <c r="B1457" s="30" t="str">
        <f>IF(A1457="","",IFERROR(INDEX(Maniobras!$B$5:$B$504,MATCH(A1457,Maniobras!$A$5:$A$504,0)),""))</f>
        <v/>
      </c>
      <c r="C1457" t="str">
        <f t="shared" si="44"/>
        <v/>
      </c>
      <c r="D1457" t="str">
        <f>IF(A1457="","",IFERROR(INDEX(Maniobras!$D$5:$D$504,MATCH(A1457,Maniobras!$A$5:$A$504,0)),""))</f>
        <v/>
      </c>
      <c r="F1457" s="29" t="str">
        <f>IF(A1457="","",IFERROR(INDEX(Maniobras!$K$5:$K$504,MATCH(A1457,Maniobras!$A$5:$A$504,0)),""))</f>
        <v/>
      </c>
      <c r="G1457" s="29"/>
      <c r="H1457" s="29"/>
      <c r="I1457" s="29" t="str">
        <f t="shared" si="45"/>
        <v/>
      </c>
      <c r="K1457" s="30"/>
      <c r="M1457" t="str">
        <f>IF($A1457=Ficha!$B$3,COUNTIF($A$5:$A1457,Ficha!$B$3),"")</f>
        <v/>
      </c>
    </row>
    <row r="1458" spans="2:13" x14ac:dyDescent="0.3">
      <c r="B1458" s="30" t="str">
        <f>IF(A1458="","",IFERROR(INDEX(Maniobras!$B$5:$B$504,MATCH(A1458,Maniobras!$A$5:$A$504,0)),""))</f>
        <v/>
      </c>
      <c r="C1458" t="str">
        <f t="shared" si="44"/>
        <v/>
      </c>
      <c r="D1458" t="str">
        <f>IF(A1458="","",IFERROR(INDEX(Maniobras!$D$5:$D$504,MATCH(A1458,Maniobras!$A$5:$A$504,0)),""))</f>
        <v/>
      </c>
      <c r="F1458" s="29" t="str">
        <f>IF(A1458="","",IFERROR(INDEX(Maniobras!$K$5:$K$504,MATCH(A1458,Maniobras!$A$5:$A$504,0)),""))</f>
        <v/>
      </c>
      <c r="G1458" s="29"/>
      <c r="H1458" s="29"/>
      <c r="I1458" s="29" t="str">
        <f t="shared" si="45"/>
        <v/>
      </c>
      <c r="K1458" s="30"/>
      <c r="M1458" t="str">
        <f>IF($A1458=Ficha!$B$3,COUNTIF($A$5:$A1458,Ficha!$B$3),"")</f>
        <v/>
      </c>
    </row>
    <row r="1459" spans="2:13" x14ac:dyDescent="0.3">
      <c r="B1459" s="30" t="str">
        <f>IF(A1459="","",IFERROR(INDEX(Maniobras!$B$5:$B$504,MATCH(A1459,Maniobras!$A$5:$A$504,0)),""))</f>
        <v/>
      </c>
      <c r="C1459" t="str">
        <f t="shared" si="44"/>
        <v/>
      </c>
      <c r="D1459" t="str">
        <f>IF(A1459="","",IFERROR(INDEX(Maniobras!$D$5:$D$504,MATCH(A1459,Maniobras!$A$5:$A$504,0)),""))</f>
        <v/>
      </c>
      <c r="F1459" s="29" t="str">
        <f>IF(A1459="","",IFERROR(INDEX(Maniobras!$K$5:$K$504,MATCH(A1459,Maniobras!$A$5:$A$504,0)),""))</f>
        <v/>
      </c>
      <c r="G1459" s="29"/>
      <c r="H1459" s="29"/>
      <c r="I1459" s="29" t="str">
        <f t="shared" si="45"/>
        <v/>
      </c>
      <c r="K1459" s="30"/>
      <c r="M1459" t="str">
        <f>IF($A1459=Ficha!$B$3,COUNTIF($A$5:$A1459,Ficha!$B$3),"")</f>
        <v/>
      </c>
    </row>
    <row r="1460" spans="2:13" x14ac:dyDescent="0.3">
      <c r="B1460" s="30" t="str">
        <f>IF(A1460="","",IFERROR(INDEX(Maniobras!$B$5:$B$504,MATCH(A1460,Maniobras!$A$5:$A$504,0)),""))</f>
        <v/>
      </c>
      <c r="C1460" t="str">
        <f t="shared" si="44"/>
        <v/>
      </c>
      <c r="D1460" t="str">
        <f>IF(A1460="","",IFERROR(INDEX(Maniobras!$D$5:$D$504,MATCH(A1460,Maniobras!$A$5:$A$504,0)),""))</f>
        <v/>
      </c>
      <c r="F1460" s="29" t="str">
        <f>IF(A1460="","",IFERROR(INDEX(Maniobras!$K$5:$K$504,MATCH(A1460,Maniobras!$A$5:$A$504,0)),""))</f>
        <v/>
      </c>
      <c r="G1460" s="29"/>
      <c r="H1460" s="29"/>
      <c r="I1460" s="29" t="str">
        <f t="shared" si="45"/>
        <v/>
      </c>
      <c r="K1460" s="30"/>
      <c r="M1460" t="str">
        <f>IF($A1460=Ficha!$B$3,COUNTIF($A$5:$A1460,Ficha!$B$3),"")</f>
        <v/>
      </c>
    </row>
    <row r="1461" spans="2:13" x14ac:dyDescent="0.3">
      <c r="B1461" s="30" t="str">
        <f>IF(A1461="","",IFERROR(INDEX(Maniobras!$B$5:$B$504,MATCH(A1461,Maniobras!$A$5:$A$504,0)),""))</f>
        <v/>
      </c>
      <c r="C1461" t="str">
        <f t="shared" si="44"/>
        <v/>
      </c>
      <c r="D1461" t="str">
        <f>IF(A1461="","",IFERROR(INDEX(Maniobras!$D$5:$D$504,MATCH(A1461,Maniobras!$A$5:$A$504,0)),""))</f>
        <v/>
      </c>
      <c r="F1461" s="29" t="str">
        <f>IF(A1461="","",IFERROR(INDEX(Maniobras!$K$5:$K$504,MATCH(A1461,Maniobras!$A$5:$A$504,0)),""))</f>
        <v/>
      </c>
      <c r="G1461" s="29"/>
      <c r="H1461" s="29"/>
      <c r="I1461" s="29" t="str">
        <f t="shared" si="45"/>
        <v/>
      </c>
      <c r="K1461" s="30"/>
      <c r="M1461" t="str">
        <f>IF($A1461=Ficha!$B$3,COUNTIF($A$5:$A1461,Ficha!$B$3),"")</f>
        <v/>
      </c>
    </row>
    <row r="1462" spans="2:13" x14ac:dyDescent="0.3">
      <c r="B1462" s="30" t="str">
        <f>IF(A1462="","",IFERROR(INDEX(Maniobras!$B$5:$B$504,MATCH(A1462,Maniobras!$A$5:$A$504,0)),""))</f>
        <v/>
      </c>
      <c r="C1462" t="str">
        <f t="shared" si="44"/>
        <v/>
      </c>
      <c r="D1462" t="str">
        <f>IF(A1462="","",IFERROR(INDEX(Maniobras!$D$5:$D$504,MATCH(A1462,Maniobras!$A$5:$A$504,0)),""))</f>
        <v/>
      </c>
      <c r="F1462" s="29" t="str">
        <f>IF(A1462="","",IFERROR(INDEX(Maniobras!$K$5:$K$504,MATCH(A1462,Maniobras!$A$5:$A$504,0)),""))</f>
        <v/>
      </c>
      <c r="G1462" s="29"/>
      <c r="H1462" s="29"/>
      <c r="I1462" s="29" t="str">
        <f t="shared" si="45"/>
        <v/>
      </c>
      <c r="K1462" s="30"/>
      <c r="M1462" t="str">
        <f>IF($A1462=Ficha!$B$3,COUNTIF($A$5:$A1462,Ficha!$B$3),"")</f>
        <v/>
      </c>
    </row>
    <row r="1463" spans="2:13" x14ac:dyDescent="0.3">
      <c r="B1463" s="30" t="str">
        <f>IF(A1463="","",IFERROR(INDEX(Maniobras!$B$5:$B$504,MATCH(A1463,Maniobras!$A$5:$A$504,0)),""))</f>
        <v/>
      </c>
      <c r="C1463" t="str">
        <f t="shared" si="44"/>
        <v/>
      </c>
      <c r="D1463" t="str">
        <f>IF(A1463="","",IFERROR(INDEX(Maniobras!$D$5:$D$504,MATCH(A1463,Maniobras!$A$5:$A$504,0)),""))</f>
        <v/>
      </c>
      <c r="F1463" s="29" t="str">
        <f>IF(A1463="","",IFERROR(INDEX(Maniobras!$K$5:$K$504,MATCH(A1463,Maniobras!$A$5:$A$504,0)),""))</f>
        <v/>
      </c>
      <c r="G1463" s="29"/>
      <c r="H1463" s="29"/>
      <c r="I1463" s="29" t="str">
        <f t="shared" si="45"/>
        <v/>
      </c>
      <c r="K1463" s="30"/>
      <c r="M1463" t="str">
        <f>IF($A1463=Ficha!$B$3,COUNTIF($A$5:$A1463,Ficha!$B$3),"")</f>
        <v/>
      </c>
    </row>
    <row r="1464" spans="2:13" x14ac:dyDescent="0.3">
      <c r="B1464" s="30" t="str">
        <f>IF(A1464="","",IFERROR(INDEX(Maniobras!$B$5:$B$504,MATCH(A1464,Maniobras!$A$5:$A$504,0)),""))</f>
        <v/>
      </c>
      <c r="C1464" t="str">
        <f t="shared" si="44"/>
        <v/>
      </c>
      <c r="D1464" t="str">
        <f>IF(A1464="","",IFERROR(INDEX(Maniobras!$D$5:$D$504,MATCH(A1464,Maniobras!$A$5:$A$504,0)),""))</f>
        <v/>
      </c>
      <c r="F1464" s="29" t="str">
        <f>IF(A1464="","",IFERROR(INDEX(Maniobras!$K$5:$K$504,MATCH(A1464,Maniobras!$A$5:$A$504,0)),""))</f>
        <v/>
      </c>
      <c r="G1464" s="29"/>
      <c r="H1464" s="29"/>
      <c r="I1464" s="29" t="str">
        <f t="shared" si="45"/>
        <v/>
      </c>
      <c r="K1464" s="30"/>
      <c r="M1464" t="str">
        <f>IF($A1464=Ficha!$B$3,COUNTIF($A$5:$A1464,Ficha!$B$3),"")</f>
        <v/>
      </c>
    </row>
    <row r="1465" spans="2:13" x14ac:dyDescent="0.3">
      <c r="B1465" s="30" t="str">
        <f>IF(A1465="","",IFERROR(INDEX(Maniobras!$B$5:$B$504,MATCH(A1465,Maniobras!$A$5:$A$504,0)),""))</f>
        <v/>
      </c>
      <c r="C1465" t="str">
        <f t="shared" si="44"/>
        <v/>
      </c>
      <c r="D1465" t="str">
        <f>IF(A1465="","",IFERROR(INDEX(Maniobras!$D$5:$D$504,MATCH(A1465,Maniobras!$A$5:$A$504,0)),""))</f>
        <v/>
      </c>
      <c r="F1465" s="29" t="str">
        <f>IF(A1465="","",IFERROR(INDEX(Maniobras!$K$5:$K$504,MATCH(A1465,Maniobras!$A$5:$A$504,0)),""))</f>
        <v/>
      </c>
      <c r="G1465" s="29"/>
      <c r="H1465" s="29"/>
      <c r="I1465" s="29" t="str">
        <f t="shared" si="45"/>
        <v/>
      </c>
      <c r="K1465" s="30"/>
      <c r="M1465" t="str">
        <f>IF($A1465=Ficha!$B$3,COUNTIF($A$5:$A1465,Ficha!$B$3),"")</f>
        <v/>
      </c>
    </row>
    <row r="1466" spans="2:13" x14ac:dyDescent="0.3">
      <c r="B1466" s="30" t="str">
        <f>IF(A1466="","",IFERROR(INDEX(Maniobras!$B$5:$B$504,MATCH(A1466,Maniobras!$A$5:$A$504,0)),""))</f>
        <v/>
      </c>
      <c r="C1466" t="str">
        <f t="shared" si="44"/>
        <v/>
      </c>
      <c r="D1466" t="str">
        <f>IF(A1466="","",IFERROR(INDEX(Maniobras!$D$5:$D$504,MATCH(A1466,Maniobras!$A$5:$A$504,0)),""))</f>
        <v/>
      </c>
      <c r="F1466" s="29" t="str">
        <f>IF(A1466="","",IFERROR(INDEX(Maniobras!$K$5:$K$504,MATCH(A1466,Maniobras!$A$5:$A$504,0)),""))</f>
        <v/>
      </c>
      <c r="G1466" s="29"/>
      <c r="H1466" s="29"/>
      <c r="I1466" s="29" t="str">
        <f t="shared" si="45"/>
        <v/>
      </c>
      <c r="K1466" s="30"/>
      <c r="M1466" t="str">
        <f>IF($A1466=Ficha!$B$3,COUNTIF($A$5:$A1466,Ficha!$B$3),"")</f>
        <v/>
      </c>
    </row>
    <row r="1467" spans="2:13" x14ac:dyDescent="0.3">
      <c r="B1467" s="30" t="str">
        <f>IF(A1467="","",IFERROR(INDEX(Maniobras!$B$5:$B$504,MATCH(A1467,Maniobras!$A$5:$A$504,0)),""))</f>
        <v/>
      </c>
      <c r="C1467" t="str">
        <f t="shared" si="44"/>
        <v/>
      </c>
      <c r="D1467" t="str">
        <f>IF(A1467="","",IFERROR(INDEX(Maniobras!$D$5:$D$504,MATCH(A1467,Maniobras!$A$5:$A$504,0)),""))</f>
        <v/>
      </c>
      <c r="F1467" s="29" t="str">
        <f>IF(A1467="","",IFERROR(INDEX(Maniobras!$K$5:$K$504,MATCH(A1467,Maniobras!$A$5:$A$504,0)),""))</f>
        <v/>
      </c>
      <c r="G1467" s="29"/>
      <c r="H1467" s="29"/>
      <c r="I1467" s="29" t="str">
        <f t="shared" si="45"/>
        <v/>
      </c>
      <c r="K1467" s="30"/>
      <c r="M1467" t="str">
        <f>IF($A1467=Ficha!$B$3,COUNTIF($A$5:$A1467,Ficha!$B$3),"")</f>
        <v/>
      </c>
    </row>
    <row r="1468" spans="2:13" x14ac:dyDescent="0.3">
      <c r="B1468" s="30" t="str">
        <f>IF(A1468="","",IFERROR(INDEX(Maniobras!$B$5:$B$504,MATCH(A1468,Maniobras!$A$5:$A$504,0)),""))</f>
        <v/>
      </c>
      <c r="C1468" t="str">
        <f t="shared" si="44"/>
        <v/>
      </c>
      <c r="D1468" t="str">
        <f>IF(A1468="","",IFERROR(INDEX(Maniobras!$D$5:$D$504,MATCH(A1468,Maniobras!$A$5:$A$504,0)),""))</f>
        <v/>
      </c>
      <c r="F1468" s="29" t="str">
        <f>IF(A1468="","",IFERROR(INDEX(Maniobras!$K$5:$K$504,MATCH(A1468,Maniobras!$A$5:$A$504,0)),""))</f>
        <v/>
      </c>
      <c r="G1468" s="29"/>
      <c r="H1468" s="29"/>
      <c r="I1468" s="29" t="str">
        <f t="shared" si="45"/>
        <v/>
      </c>
      <c r="K1468" s="30"/>
      <c r="M1468" t="str">
        <f>IF($A1468=Ficha!$B$3,COUNTIF($A$5:$A1468,Ficha!$B$3),"")</f>
        <v/>
      </c>
    </row>
    <row r="1469" spans="2:13" x14ac:dyDescent="0.3">
      <c r="B1469" s="30" t="str">
        <f>IF(A1469="","",IFERROR(INDEX(Maniobras!$B$5:$B$504,MATCH(A1469,Maniobras!$A$5:$A$504,0)),""))</f>
        <v/>
      </c>
      <c r="C1469" t="str">
        <f t="shared" si="44"/>
        <v/>
      </c>
      <c r="D1469" t="str">
        <f>IF(A1469="","",IFERROR(INDEX(Maniobras!$D$5:$D$504,MATCH(A1469,Maniobras!$A$5:$A$504,0)),""))</f>
        <v/>
      </c>
      <c r="F1469" s="29" t="str">
        <f>IF(A1469="","",IFERROR(INDEX(Maniobras!$K$5:$K$504,MATCH(A1469,Maniobras!$A$5:$A$504,0)),""))</f>
        <v/>
      </c>
      <c r="G1469" s="29"/>
      <c r="H1469" s="29"/>
      <c r="I1469" s="29" t="str">
        <f t="shared" si="45"/>
        <v/>
      </c>
      <c r="K1469" s="30"/>
      <c r="M1469" t="str">
        <f>IF($A1469=Ficha!$B$3,COUNTIF($A$5:$A1469,Ficha!$B$3),"")</f>
        <v/>
      </c>
    </row>
    <row r="1470" spans="2:13" x14ac:dyDescent="0.3">
      <c r="B1470" s="30" t="str">
        <f>IF(A1470="","",IFERROR(INDEX(Maniobras!$B$5:$B$504,MATCH(A1470,Maniobras!$A$5:$A$504,0)),""))</f>
        <v/>
      </c>
      <c r="C1470" t="str">
        <f t="shared" si="44"/>
        <v/>
      </c>
      <c r="D1470" t="str">
        <f>IF(A1470="","",IFERROR(INDEX(Maniobras!$D$5:$D$504,MATCH(A1470,Maniobras!$A$5:$A$504,0)),""))</f>
        <v/>
      </c>
      <c r="F1470" s="29" t="str">
        <f>IF(A1470="","",IFERROR(INDEX(Maniobras!$K$5:$K$504,MATCH(A1470,Maniobras!$A$5:$A$504,0)),""))</f>
        <v/>
      </c>
      <c r="G1470" s="29"/>
      <c r="H1470" s="29"/>
      <c r="I1470" s="29" t="str">
        <f t="shared" si="45"/>
        <v/>
      </c>
      <c r="K1470" s="30"/>
      <c r="M1470" t="str">
        <f>IF($A1470=Ficha!$B$3,COUNTIF($A$5:$A1470,Ficha!$B$3),"")</f>
        <v/>
      </c>
    </row>
    <row r="1471" spans="2:13" x14ac:dyDescent="0.3">
      <c r="B1471" s="30" t="str">
        <f>IF(A1471="","",IFERROR(INDEX(Maniobras!$B$5:$B$504,MATCH(A1471,Maniobras!$A$5:$A$504,0)),""))</f>
        <v/>
      </c>
      <c r="C1471" t="str">
        <f t="shared" si="44"/>
        <v/>
      </c>
      <c r="D1471" t="str">
        <f>IF(A1471="","",IFERROR(INDEX(Maniobras!$D$5:$D$504,MATCH(A1471,Maniobras!$A$5:$A$504,0)),""))</f>
        <v/>
      </c>
      <c r="F1471" s="29" t="str">
        <f>IF(A1471="","",IFERROR(INDEX(Maniobras!$K$5:$K$504,MATCH(A1471,Maniobras!$A$5:$A$504,0)),""))</f>
        <v/>
      </c>
      <c r="G1471" s="29"/>
      <c r="H1471" s="29"/>
      <c r="I1471" s="29" t="str">
        <f t="shared" si="45"/>
        <v/>
      </c>
      <c r="K1471" s="30"/>
      <c r="M1471" t="str">
        <f>IF($A1471=Ficha!$B$3,COUNTIF($A$5:$A1471,Ficha!$B$3),"")</f>
        <v/>
      </c>
    </row>
    <row r="1472" spans="2:13" x14ac:dyDescent="0.3">
      <c r="B1472" s="30" t="str">
        <f>IF(A1472="","",IFERROR(INDEX(Maniobras!$B$5:$B$504,MATCH(A1472,Maniobras!$A$5:$A$504,0)),""))</f>
        <v/>
      </c>
      <c r="C1472" t="str">
        <f t="shared" si="44"/>
        <v/>
      </c>
      <c r="D1472" t="str">
        <f>IF(A1472="","",IFERROR(INDEX(Maniobras!$D$5:$D$504,MATCH(A1472,Maniobras!$A$5:$A$504,0)),""))</f>
        <v/>
      </c>
      <c r="F1472" s="29" t="str">
        <f>IF(A1472="","",IFERROR(INDEX(Maniobras!$K$5:$K$504,MATCH(A1472,Maniobras!$A$5:$A$504,0)),""))</f>
        <v/>
      </c>
      <c r="G1472" s="29"/>
      <c r="H1472" s="29"/>
      <c r="I1472" s="29" t="str">
        <f t="shared" si="45"/>
        <v/>
      </c>
      <c r="K1472" s="30"/>
      <c r="M1472" t="str">
        <f>IF($A1472=Ficha!$B$3,COUNTIF($A$5:$A1472,Ficha!$B$3),"")</f>
        <v/>
      </c>
    </row>
    <row r="1473" spans="2:13" x14ac:dyDescent="0.3">
      <c r="B1473" s="30" t="str">
        <f>IF(A1473="","",IFERROR(INDEX(Maniobras!$B$5:$B$504,MATCH(A1473,Maniobras!$A$5:$A$504,0)),""))</f>
        <v/>
      </c>
      <c r="C1473" t="str">
        <f t="shared" si="44"/>
        <v/>
      </c>
      <c r="D1473" t="str">
        <f>IF(A1473="","",IFERROR(INDEX(Maniobras!$D$5:$D$504,MATCH(A1473,Maniobras!$A$5:$A$504,0)),""))</f>
        <v/>
      </c>
      <c r="F1473" s="29" t="str">
        <f>IF(A1473="","",IFERROR(INDEX(Maniobras!$K$5:$K$504,MATCH(A1473,Maniobras!$A$5:$A$504,0)),""))</f>
        <v/>
      </c>
      <c r="G1473" s="29"/>
      <c r="H1473" s="29"/>
      <c r="I1473" s="29" t="str">
        <f t="shared" si="45"/>
        <v/>
      </c>
      <c r="K1473" s="30"/>
      <c r="M1473" t="str">
        <f>IF($A1473=Ficha!$B$3,COUNTIF($A$5:$A1473,Ficha!$B$3),"")</f>
        <v/>
      </c>
    </row>
    <row r="1474" spans="2:13" x14ac:dyDescent="0.3">
      <c r="B1474" s="30" t="str">
        <f>IF(A1474="","",IFERROR(INDEX(Maniobras!$B$5:$B$504,MATCH(A1474,Maniobras!$A$5:$A$504,0)),""))</f>
        <v/>
      </c>
      <c r="C1474" t="str">
        <f t="shared" si="44"/>
        <v/>
      </c>
      <c r="D1474" t="str">
        <f>IF(A1474="","",IFERROR(INDEX(Maniobras!$D$5:$D$504,MATCH(A1474,Maniobras!$A$5:$A$504,0)),""))</f>
        <v/>
      </c>
      <c r="F1474" s="29" t="str">
        <f>IF(A1474="","",IFERROR(INDEX(Maniobras!$K$5:$K$504,MATCH(A1474,Maniobras!$A$5:$A$504,0)),""))</f>
        <v/>
      </c>
      <c r="G1474" s="29"/>
      <c r="H1474" s="29"/>
      <c r="I1474" s="29" t="str">
        <f t="shared" si="45"/>
        <v/>
      </c>
      <c r="K1474" s="30"/>
      <c r="M1474" t="str">
        <f>IF($A1474=Ficha!$B$3,COUNTIF($A$5:$A1474,Ficha!$B$3),"")</f>
        <v/>
      </c>
    </row>
    <row r="1475" spans="2:13" x14ac:dyDescent="0.3">
      <c r="B1475" s="30" t="str">
        <f>IF(A1475="","",IFERROR(INDEX(Maniobras!$B$5:$B$504,MATCH(A1475,Maniobras!$A$5:$A$504,0)),""))</f>
        <v/>
      </c>
      <c r="C1475" t="str">
        <f t="shared" si="44"/>
        <v/>
      </c>
      <c r="D1475" t="str">
        <f>IF(A1475="","",IFERROR(INDEX(Maniobras!$D$5:$D$504,MATCH(A1475,Maniobras!$A$5:$A$504,0)),""))</f>
        <v/>
      </c>
      <c r="F1475" s="29" t="str">
        <f>IF(A1475="","",IFERROR(INDEX(Maniobras!$K$5:$K$504,MATCH(A1475,Maniobras!$A$5:$A$504,0)),""))</f>
        <v/>
      </c>
      <c r="G1475" s="29"/>
      <c r="H1475" s="29"/>
      <c r="I1475" s="29" t="str">
        <f t="shared" si="45"/>
        <v/>
      </c>
      <c r="K1475" s="30"/>
      <c r="M1475" t="str">
        <f>IF($A1475=Ficha!$B$3,COUNTIF($A$5:$A1475,Ficha!$B$3),"")</f>
        <v/>
      </c>
    </row>
    <row r="1476" spans="2:13" x14ac:dyDescent="0.3">
      <c r="B1476" s="30" t="str">
        <f>IF(A1476="","",IFERROR(INDEX(Maniobras!$B$5:$B$504,MATCH(A1476,Maniobras!$A$5:$A$504,0)),""))</f>
        <v/>
      </c>
      <c r="C1476" t="str">
        <f t="shared" si="44"/>
        <v/>
      </c>
      <c r="D1476" t="str">
        <f>IF(A1476="","",IFERROR(INDEX(Maniobras!$D$5:$D$504,MATCH(A1476,Maniobras!$A$5:$A$504,0)),""))</f>
        <v/>
      </c>
      <c r="F1476" s="29" t="str">
        <f>IF(A1476="","",IFERROR(INDEX(Maniobras!$K$5:$K$504,MATCH(A1476,Maniobras!$A$5:$A$504,0)),""))</f>
        <v/>
      </c>
      <c r="G1476" s="29"/>
      <c r="H1476" s="29"/>
      <c r="I1476" s="29" t="str">
        <f t="shared" si="45"/>
        <v/>
      </c>
      <c r="K1476" s="30"/>
      <c r="M1476" t="str">
        <f>IF($A1476=Ficha!$B$3,COUNTIF($A$5:$A1476,Ficha!$B$3),"")</f>
        <v/>
      </c>
    </row>
    <row r="1477" spans="2:13" x14ac:dyDescent="0.3">
      <c r="B1477" s="30" t="str">
        <f>IF(A1477="","",IFERROR(INDEX(Maniobras!$B$5:$B$504,MATCH(A1477,Maniobras!$A$5:$A$504,0)),""))</f>
        <v/>
      </c>
      <c r="C1477" t="str">
        <f t="shared" ref="C1477:C1540" si="46">IF(B1477="","",TEXT(B1477,"yyyy-mm"))</f>
        <v/>
      </c>
      <c r="D1477" t="str">
        <f>IF(A1477="","",IFERROR(INDEX(Maniobras!$D$5:$D$504,MATCH(A1477,Maniobras!$A$5:$A$504,0)),""))</f>
        <v/>
      </c>
      <c r="F1477" s="29" t="str">
        <f>IF(A1477="","",IFERROR(INDEX(Maniobras!$K$5:$K$504,MATCH(A1477,Maniobras!$A$5:$A$504,0)),""))</f>
        <v/>
      </c>
      <c r="G1477" s="29"/>
      <c r="H1477" s="29"/>
      <c r="I1477" s="29" t="str">
        <f t="shared" ref="I1477:I1540" si="47">IF(G1477="","",G1477+N(H1477))</f>
        <v/>
      </c>
      <c r="K1477" s="30"/>
      <c r="M1477" t="str">
        <f>IF($A1477=Ficha!$B$3,COUNTIF($A$5:$A1477,Ficha!$B$3),"")</f>
        <v/>
      </c>
    </row>
    <row r="1478" spans="2:13" x14ac:dyDescent="0.3">
      <c r="B1478" s="30" t="str">
        <f>IF(A1478="","",IFERROR(INDEX(Maniobras!$B$5:$B$504,MATCH(A1478,Maniobras!$A$5:$A$504,0)),""))</f>
        <v/>
      </c>
      <c r="C1478" t="str">
        <f t="shared" si="46"/>
        <v/>
      </c>
      <c r="D1478" t="str">
        <f>IF(A1478="","",IFERROR(INDEX(Maniobras!$D$5:$D$504,MATCH(A1478,Maniobras!$A$5:$A$504,0)),""))</f>
        <v/>
      </c>
      <c r="F1478" s="29" t="str">
        <f>IF(A1478="","",IFERROR(INDEX(Maniobras!$K$5:$K$504,MATCH(A1478,Maniobras!$A$5:$A$504,0)),""))</f>
        <v/>
      </c>
      <c r="G1478" s="29"/>
      <c r="H1478" s="29"/>
      <c r="I1478" s="29" t="str">
        <f t="shared" si="47"/>
        <v/>
      </c>
      <c r="K1478" s="30"/>
      <c r="M1478" t="str">
        <f>IF($A1478=Ficha!$B$3,COUNTIF($A$5:$A1478,Ficha!$B$3),"")</f>
        <v/>
      </c>
    </row>
    <row r="1479" spans="2:13" x14ac:dyDescent="0.3">
      <c r="B1479" s="30" t="str">
        <f>IF(A1479="","",IFERROR(INDEX(Maniobras!$B$5:$B$504,MATCH(A1479,Maniobras!$A$5:$A$504,0)),""))</f>
        <v/>
      </c>
      <c r="C1479" t="str">
        <f t="shared" si="46"/>
        <v/>
      </c>
      <c r="D1479" t="str">
        <f>IF(A1479="","",IFERROR(INDEX(Maniobras!$D$5:$D$504,MATCH(A1479,Maniobras!$A$5:$A$504,0)),""))</f>
        <v/>
      </c>
      <c r="F1479" s="29" t="str">
        <f>IF(A1479="","",IFERROR(INDEX(Maniobras!$K$5:$K$504,MATCH(A1479,Maniobras!$A$5:$A$504,0)),""))</f>
        <v/>
      </c>
      <c r="G1479" s="29"/>
      <c r="H1479" s="29"/>
      <c r="I1479" s="29" t="str">
        <f t="shared" si="47"/>
        <v/>
      </c>
      <c r="K1479" s="30"/>
      <c r="M1479" t="str">
        <f>IF($A1479=Ficha!$B$3,COUNTIF($A$5:$A1479,Ficha!$B$3),"")</f>
        <v/>
      </c>
    </row>
    <row r="1480" spans="2:13" x14ac:dyDescent="0.3">
      <c r="B1480" s="30" t="str">
        <f>IF(A1480="","",IFERROR(INDEX(Maniobras!$B$5:$B$504,MATCH(A1480,Maniobras!$A$5:$A$504,0)),""))</f>
        <v/>
      </c>
      <c r="C1480" t="str">
        <f t="shared" si="46"/>
        <v/>
      </c>
      <c r="D1480" t="str">
        <f>IF(A1480="","",IFERROR(INDEX(Maniobras!$D$5:$D$504,MATCH(A1480,Maniobras!$A$5:$A$504,0)),""))</f>
        <v/>
      </c>
      <c r="F1480" s="29" t="str">
        <f>IF(A1480="","",IFERROR(INDEX(Maniobras!$K$5:$K$504,MATCH(A1480,Maniobras!$A$5:$A$504,0)),""))</f>
        <v/>
      </c>
      <c r="G1480" s="29"/>
      <c r="H1480" s="29"/>
      <c r="I1480" s="29" t="str">
        <f t="shared" si="47"/>
        <v/>
      </c>
      <c r="K1480" s="30"/>
      <c r="M1480" t="str">
        <f>IF($A1480=Ficha!$B$3,COUNTIF($A$5:$A1480,Ficha!$B$3),"")</f>
        <v/>
      </c>
    </row>
    <row r="1481" spans="2:13" x14ac:dyDescent="0.3">
      <c r="B1481" s="30" t="str">
        <f>IF(A1481="","",IFERROR(INDEX(Maniobras!$B$5:$B$504,MATCH(A1481,Maniobras!$A$5:$A$504,0)),""))</f>
        <v/>
      </c>
      <c r="C1481" t="str">
        <f t="shared" si="46"/>
        <v/>
      </c>
      <c r="D1481" t="str">
        <f>IF(A1481="","",IFERROR(INDEX(Maniobras!$D$5:$D$504,MATCH(A1481,Maniobras!$A$5:$A$504,0)),""))</f>
        <v/>
      </c>
      <c r="F1481" s="29" t="str">
        <f>IF(A1481="","",IFERROR(INDEX(Maniobras!$K$5:$K$504,MATCH(A1481,Maniobras!$A$5:$A$504,0)),""))</f>
        <v/>
      </c>
      <c r="G1481" s="29"/>
      <c r="H1481" s="29"/>
      <c r="I1481" s="29" t="str">
        <f t="shared" si="47"/>
        <v/>
      </c>
      <c r="K1481" s="30"/>
      <c r="M1481" t="str">
        <f>IF($A1481=Ficha!$B$3,COUNTIF($A$5:$A1481,Ficha!$B$3),"")</f>
        <v/>
      </c>
    </row>
    <row r="1482" spans="2:13" x14ac:dyDescent="0.3">
      <c r="B1482" s="30" t="str">
        <f>IF(A1482="","",IFERROR(INDEX(Maniobras!$B$5:$B$504,MATCH(A1482,Maniobras!$A$5:$A$504,0)),""))</f>
        <v/>
      </c>
      <c r="C1482" t="str">
        <f t="shared" si="46"/>
        <v/>
      </c>
      <c r="D1482" t="str">
        <f>IF(A1482="","",IFERROR(INDEX(Maniobras!$D$5:$D$504,MATCH(A1482,Maniobras!$A$5:$A$504,0)),""))</f>
        <v/>
      </c>
      <c r="F1482" s="29" t="str">
        <f>IF(A1482="","",IFERROR(INDEX(Maniobras!$K$5:$K$504,MATCH(A1482,Maniobras!$A$5:$A$504,0)),""))</f>
        <v/>
      </c>
      <c r="G1482" s="29"/>
      <c r="H1482" s="29"/>
      <c r="I1482" s="29" t="str">
        <f t="shared" si="47"/>
        <v/>
      </c>
      <c r="K1482" s="30"/>
      <c r="M1482" t="str">
        <f>IF($A1482=Ficha!$B$3,COUNTIF($A$5:$A1482,Ficha!$B$3),"")</f>
        <v/>
      </c>
    </row>
    <row r="1483" spans="2:13" x14ac:dyDescent="0.3">
      <c r="B1483" s="30" t="str">
        <f>IF(A1483="","",IFERROR(INDEX(Maniobras!$B$5:$B$504,MATCH(A1483,Maniobras!$A$5:$A$504,0)),""))</f>
        <v/>
      </c>
      <c r="C1483" t="str">
        <f t="shared" si="46"/>
        <v/>
      </c>
      <c r="D1483" t="str">
        <f>IF(A1483="","",IFERROR(INDEX(Maniobras!$D$5:$D$504,MATCH(A1483,Maniobras!$A$5:$A$504,0)),""))</f>
        <v/>
      </c>
      <c r="F1483" s="29" t="str">
        <f>IF(A1483="","",IFERROR(INDEX(Maniobras!$K$5:$K$504,MATCH(A1483,Maniobras!$A$5:$A$504,0)),""))</f>
        <v/>
      </c>
      <c r="G1483" s="29"/>
      <c r="H1483" s="29"/>
      <c r="I1483" s="29" t="str">
        <f t="shared" si="47"/>
        <v/>
      </c>
      <c r="K1483" s="30"/>
      <c r="M1483" t="str">
        <f>IF($A1483=Ficha!$B$3,COUNTIF($A$5:$A1483,Ficha!$B$3),"")</f>
        <v/>
      </c>
    </row>
    <row r="1484" spans="2:13" x14ac:dyDescent="0.3">
      <c r="B1484" s="30" t="str">
        <f>IF(A1484="","",IFERROR(INDEX(Maniobras!$B$5:$B$504,MATCH(A1484,Maniobras!$A$5:$A$504,0)),""))</f>
        <v/>
      </c>
      <c r="C1484" t="str">
        <f t="shared" si="46"/>
        <v/>
      </c>
      <c r="D1484" t="str">
        <f>IF(A1484="","",IFERROR(INDEX(Maniobras!$D$5:$D$504,MATCH(A1484,Maniobras!$A$5:$A$504,0)),""))</f>
        <v/>
      </c>
      <c r="F1484" s="29" t="str">
        <f>IF(A1484="","",IFERROR(INDEX(Maniobras!$K$5:$K$504,MATCH(A1484,Maniobras!$A$5:$A$504,0)),""))</f>
        <v/>
      </c>
      <c r="G1484" s="29"/>
      <c r="H1484" s="29"/>
      <c r="I1484" s="29" t="str">
        <f t="shared" si="47"/>
        <v/>
      </c>
      <c r="K1484" s="30"/>
      <c r="M1484" t="str">
        <f>IF($A1484=Ficha!$B$3,COUNTIF($A$5:$A1484,Ficha!$B$3),"")</f>
        <v/>
      </c>
    </row>
    <row r="1485" spans="2:13" x14ac:dyDescent="0.3">
      <c r="B1485" s="30" t="str">
        <f>IF(A1485="","",IFERROR(INDEX(Maniobras!$B$5:$B$504,MATCH(A1485,Maniobras!$A$5:$A$504,0)),""))</f>
        <v/>
      </c>
      <c r="C1485" t="str">
        <f t="shared" si="46"/>
        <v/>
      </c>
      <c r="D1485" t="str">
        <f>IF(A1485="","",IFERROR(INDEX(Maniobras!$D$5:$D$504,MATCH(A1485,Maniobras!$A$5:$A$504,0)),""))</f>
        <v/>
      </c>
      <c r="F1485" s="29" t="str">
        <f>IF(A1485="","",IFERROR(INDEX(Maniobras!$K$5:$K$504,MATCH(A1485,Maniobras!$A$5:$A$504,0)),""))</f>
        <v/>
      </c>
      <c r="G1485" s="29"/>
      <c r="H1485" s="29"/>
      <c r="I1485" s="29" t="str">
        <f t="shared" si="47"/>
        <v/>
      </c>
      <c r="K1485" s="30"/>
      <c r="M1485" t="str">
        <f>IF($A1485=Ficha!$B$3,COUNTIF($A$5:$A1485,Ficha!$B$3),"")</f>
        <v/>
      </c>
    </row>
    <row r="1486" spans="2:13" x14ac:dyDescent="0.3">
      <c r="B1486" s="30" t="str">
        <f>IF(A1486="","",IFERROR(INDEX(Maniobras!$B$5:$B$504,MATCH(A1486,Maniobras!$A$5:$A$504,0)),""))</f>
        <v/>
      </c>
      <c r="C1486" t="str">
        <f t="shared" si="46"/>
        <v/>
      </c>
      <c r="D1486" t="str">
        <f>IF(A1486="","",IFERROR(INDEX(Maniobras!$D$5:$D$504,MATCH(A1486,Maniobras!$A$5:$A$504,0)),""))</f>
        <v/>
      </c>
      <c r="F1486" s="29" t="str">
        <f>IF(A1486="","",IFERROR(INDEX(Maniobras!$K$5:$K$504,MATCH(A1486,Maniobras!$A$5:$A$504,0)),""))</f>
        <v/>
      </c>
      <c r="G1486" s="29"/>
      <c r="H1486" s="29"/>
      <c r="I1486" s="29" t="str">
        <f t="shared" si="47"/>
        <v/>
      </c>
      <c r="K1486" s="30"/>
      <c r="M1486" t="str">
        <f>IF($A1486=Ficha!$B$3,COUNTIF($A$5:$A1486,Ficha!$B$3),"")</f>
        <v/>
      </c>
    </row>
    <row r="1487" spans="2:13" x14ac:dyDescent="0.3">
      <c r="B1487" s="30" t="str">
        <f>IF(A1487="","",IFERROR(INDEX(Maniobras!$B$5:$B$504,MATCH(A1487,Maniobras!$A$5:$A$504,0)),""))</f>
        <v/>
      </c>
      <c r="C1487" t="str">
        <f t="shared" si="46"/>
        <v/>
      </c>
      <c r="D1487" t="str">
        <f>IF(A1487="","",IFERROR(INDEX(Maniobras!$D$5:$D$504,MATCH(A1487,Maniobras!$A$5:$A$504,0)),""))</f>
        <v/>
      </c>
      <c r="F1487" s="29" t="str">
        <f>IF(A1487="","",IFERROR(INDEX(Maniobras!$K$5:$K$504,MATCH(A1487,Maniobras!$A$5:$A$504,0)),""))</f>
        <v/>
      </c>
      <c r="G1487" s="29"/>
      <c r="H1487" s="29"/>
      <c r="I1487" s="29" t="str">
        <f t="shared" si="47"/>
        <v/>
      </c>
      <c r="K1487" s="30"/>
      <c r="M1487" t="str">
        <f>IF($A1487=Ficha!$B$3,COUNTIF($A$5:$A1487,Ficha!$B$3),"")</f>
        <v/>
      </c>
    </row>
    <row r="1488" spans="2:13" x14ac:dyDescent="0.3">
      <c r="B1488" s="30" t="str">
        <f>IF(A1488="","",IFERROR(INDEX(Maniobras!$B$5:$B$504,MATCH(A1488,Maniobras!$A$5:$A$504,0)),""))</f>
        <v/>
      </c>
      <c r="C1488" t="str">
        <f t="shared" si="46"/>
        <v/>
      </c>
      <c r="D1488" t="str">
        <f>IF(A1488="","",IFERROR(INDEX(Maniobras!$D$5:$D$504,MATCH(A1488,Maniobras!$A$5:$A$504,0)),""))</f>
        <v/>
      </c>
      <c r="F1488" s="29" t="str">
        <f>IF(A1488="","",IFERROR(INDEX(Maniobras!$K$5:$K$504,MATCH(A1488,Maniobras!$A$5:$A$504,0)),""))</f>
        <v/>
      </c>
      <c r="G1488" s="29"/>
      <c r="H1488" s="29"/>
      <c r="I1488" s="29" t="str">
        <f t="shared" si="47"/>
        <v/>
      </c>
      <c r="K1488" s="30"/>
      <c r="M1488" t="str">
        <f>IF($A1488=Ficha!$B$3,COUNTIF($A$5:$A1488,Ficha!$B$3),"")</f>
        <v/>
      </c>
    </row>
    <row r="1489" spans="2:13" x14ac:dyDescent="0.3">
      <c r="B1489" s="30" t="str">
        <f>IF(A1489="","",IFERROR(INDEX(Maniobras!$B$5:$B$504,MATCH(A1489,Maniobras!$A$5:$A$504,0)),""))</f>
        <v/>
      </c>
      <c r="C1489" t="str">
        <f t="shared" si="46"/>
        <v/>
      </c>
      <c r="D1489" t="str">
        <f>IF(A1489="","",IFERROR(INDEX(Maniobras!$D$5:$D$504,MATCH(A1489,Maniobras!$A$5:$A$504,0)),""))</f>
        <v/>
      </c>
      <c r="F1489" s="29" t="str">
        <f>IF(A1489="","",IFERROR(INDEX(Maniobras!$K$5:$K$504,MATCH(A1489,Maniobras!$A$5:$A$504,0)),""))</f>
        <v/>
      </c>
      <c r="G1489" s="29"/>
      <c r="H1489" s="29"/>
      <c r="I1489" s="29" t="str">
        <f t="shared" si="47"/>
        <v/>
      </c>
      <c r="K1489" s="30"/>
      <c r="M1489" t="str">
        <f>IF($A1489=Ficha!$B$3,COUNTIF($A$5:$A1489,Ficha!$B$3),"")</f>
        <v/>
      </c>
    </row>
    <row r="1490" spans="2:13" x14ac:dyDescent="0.3">
      <c r="B1490" s="30" t="str">
        <f>IF(A1490="","",IFERROR(INDEX(Maniobras!$B$5:$B$504,MATCH(A1490,Maniobras!$A$5:$A$504,0)),""))</f>
        <v/>
      </c>
      <c r="C1490" t="str">
        <f t="shared" si="46"/>
        <v/>
      </c>
      <c r="D1490" t="str">
        <f>IF(A1490="","",IFERROR(INDEX(Maniobras!$D$5:$D$504,MATCH(A1490,Maniobras!$A$5:$A$504,0)),""))</f>
        <v/>
      </c>
      <c r="F1490" s="29" t="str">
        <f>IF(A1490="","",IFERROR(INDEX(Maniobras!$K$5:$K$504,MATCH(A1490,Maniobras!$A$5:$A$504,0)),""))</f>
        <v/>
      </c>
      <c r="G1490" s="29"/>
      <c r="H1490" s="29"/>
      <c r="I1490" s="29" t="str">
        <f t="shared" si="47"/>
        <v/>
      </c>
      <c r="K1490" s="30"/>
      <c r="M1490" t="str">
        <f>IF($A1490=Ficha!$B$3,COUNTIF($A$5:$A1490,Ficha!$B$3),"")</f>
        <v/>
      </c>
    </row>
    <row r="1491" spans="2:13" x14ac:dyDescent="0.3">
      <c r="B1491" s="30" t="str">
        <f>IF(A1491="","",IFERROR(INDEX(Maniobras!$B$5:$B$504,MATCH(A1491,Maniobras!$A$5:$A$504,0)),""))</f>
        <v/>
      </c>
      <c r="C1491" t="str">
        <f t="shared" si="46"/>
        <v/>
      </c>
      <c r="D1491" t="str">
        <f>IF(A1491="","",IFERROR(INDEX(Maniobras!$D$5:$D$504,MATCH(A1491,Maniobras!$A$5:$A$504,0)),""))</f>
        <v/>
      </c>
      <c r="F1491" s="29" t="str">
        <f>IF(A1491="","",IFERROR(INDEX(Maniobras!$K$5:$K$504,MATCH(A1491,Maniobras!$A$5:$A$504,0)),""))</f>
        <v/>
      </c>
      <c r="G1491" s="29"/>
      <c r="H1491" s="29"/>
      <c r="I1491" s="29" t="str">
        <f t="shared" si="47"/>
        <v/>
      </c>
      <c r="K1491" s="30"/>
      <c r="M1491" t="str">
        <f>IF($A1491=Ficha!$B$3,COUNTIF($A$5:$A1491,Ficha!$B$3),"")</f>
        <v/>
      </c>
    </row>
    <row r="1492" spans="2:13" x14ac:dyDescent="0.3">
      <c r="B1492" s="30" t="str">
        <f>IF(A1492="","",IFERROR(INDEX(Maniobras!$B$5:$B$504,MATCH(A1492,Maniobras!$A$5:$A$504,0)),""))</f>
        <v/>
      </c>
      <c r="C1492" t="str">
        <f t="shared" si="46"/>
        <v/>
      </c>
      <c r="D1492" t="str">
        <f>IF(A1492="","",IFERROR(INDEX(Maniobras!$D$5:$D$504,MATCH(A1492,Maniobras!$A$5:$A$504,0)),""))</f>
        <v/>
      </c>
      <c r="F1492" s="29" t="str">
        <f>IF(A1492="","",IFERROR(INDEX(Maniobras!$K$5:$K$504,MATCH(A1492,Maniobras!$A$5:$A$504,0)),""))</f>
        <v/>
      </c>
      <c r="G1492" s="29"/>
      <c r="H1492" s="29"/>
      <c r="I1492" s="29" t="str">
        <f t="shared" si="47"/>
        <v/>
      </c>
      <c r="K1492" s="30"/>
      <c r="M1492" t="str">
        <f>IF($A1492=Ficha!$B$3,COUNTIF($A$5:$A1492,Ficha!$B$3),"")</f>
        <v/>
      </c>
    </row>
    <row r="1493" spans="2:13" x14ac:dyDescent="0.3">
      <c r="B1493" s="30" t="str">
        <f>IF(A1493="","",IFERROR(INDEX(Maniobras!$B$5:$B$504,MATCH(A1493,Maniobras!$A$5:$A$504,0)),""))</f>
        <v/>
      </c>
      <c r="C1493" t="str">
        <f t="shared" si="46"/>
        <v/>
      </c>
      <c r="D1493" t="str">
        <f>IF(A1493="","",IFERROR(INDEX(Maniobras!$D$5:$D$504,MATCH(A1493,Maniobras!$A$5:$A$504,0)),""))</f>
        <v/>
      </c>
      <c r="F1493" s="29" t="str">
        <f>IF(A1493="","",IFERROR(INDEX(Maniobras!$K$5:$K$504,MATCH(A1493,Maniobras!$A$5:$A$504,0)),""))</f>
        <v/>
      </c>
      <c r="G1493" s="29"/>
      <c r="H1493" s="29"/>
      <c r="I1493" s="29" t="str">
        <f t="shared" si="47"/>
        <v/>
      </c>
      <c r="K1493" s="30"/>
      <c r="M1493" t="str">
        <f>IF($A1493=Ficha!$B$3,COUNTIF($A$5:$A1493,Ficha!$B$3),"")</f>
        <v/>
      </c>
    </row>
    <row r="1494" spans="2:13" x14ac:dyDescent="0.3">
      <c r="B1494" s="30" t="str">
        <f>IF(A1494="","",IFERROR(INDEX(Maniobras!$B$5:$B$504,MATCH(A1494,Maniobras!$A$5:$A$504,0)),""))</f>
        <v/>
      </c>
      <c r="C1494" t="str">
        <f t="shared" si="46"/>
        <v/>
      </c>
      <c r="D1494" t="str">
        <f>IF(A1494="","",IFERROR(INDEX(Maniobras!$D$5:$D$504,MATCH(A1494,Maniobras!$A$5:$A$504,0)),""))</f>
        <v/>
      </c>
      <c r="F1494" s="29" t="str">
        <f>IF(A1494="","",IFERROR(INDEX(Maniobras!$K$5:$K$504,MATCH(A1494,Maniobras!$A$5:$A$504,0)),""))</f>
        <v/>
      </c>
      <c r="G1494" s="29"/>
      <c r="H1494" s="29"/>
      <c r="I1494" s="29" t="str">
        <f t="shared" si="47"/>
        <v/>
      </c>
      <c r="K1494" s="30"/>
      <c r="M1494" t="str">
        <f>IF($A1494=Ficha!$B$3,COUNTIF($A$5:$A1494,Ficha!$B$3),"")</f>
        <v/>
      </c>
    </row>
    <row r="1495" spans="2:13" x14ac:dyDescent="0.3">
      <c r="B1495" s="30" t="str">
        <f>IF(A1495="","",IFERROR(INDEX(Maniobras!$B$5:$B$504,MATCH(A1495,Maniobras!$A$5:$A$504,0)),""))</f>
        <v/>
      </c>
      <c r="C1495" t="str">
        <f t="shared" si="46"/>
        <v/>
      </c>
      <c r="D1495" t="str">
        <f>IF(A1495="","",IFERROR(INDEX(Maniobras!$D$5:$D$504,MATCH(A1495,Maniobras!$A$5:$A$504,0)),""))</f>
        <v/>
      </c>
      <c r="F1495" s="29" t="str">
        <f>IF(A1495="","",IFERROR(INDEX(Maniobras!$K$5:$K$504,MATCH(A1495,Maniobras!$A$5:$A$504,0)),""))</f>
        <v/>
      </c>
      <c r="G1495" s="29"/>
      <c r="H1495" s="29"/>
      <c r="I1495" s="29" t="str">
        <f t="shared" si="47"/>
        <v/>
      </c>
      <c r="K1495" s="30"/>
      <c r="M1495" t="str">
        <f>IF($A1495=Ficha!$B$3,COUNTIF($A$5:$A1495,Ficha!$B$3),"")</f>
        <v/>
      </c>
    </row>
    <row r="1496" spans="2:13" x14ac:dyDescent="0.3">
      <c r="B1496" s="30" t="str">
        <f>IF(A1496="","",IFERROR(INDEX(Maniobras!$B$5:$B$504,MATCH(A1496,Maniobras!$A$5:$A$504,0)),""))</f>
        <v/>
      </c>
      <c r="C1496" t="str">
        <f t="shared" si="46"/>
        <v/>
      </c>
      <c r="D1496" t="str">
        <f>IF(A1496="","",IFERROR(INDEX(Maniobras!$D$5:$D$504,MATCH(A1496,Maniobras!$A$5:$A$504,0)),""))</f>
        <v/>
      </c>
      <c r="F1496" s="29" t="str">
        <f>IF(A1496="","",IFERROR(INDEX(Maniobras!$K$5:$K$504,MATCH(A1496,Maniobras!$A$5:$A$504,0)),""))</f>
        <v/>
      </c>
      <c r="G1496" s="29"/>
      <c r="H1496" s="29"/>
      <c r="I1496" s="29" t="str">
        <f t="shared" si="47"/>
        <v/>
      </c>
      <c r="K1496" s="30"/>
      <c r="M1496" t="str">
        <f>IF($A1496=Ficha!$B$3,COUNTIF($A$5:$A1496,Ficha!$B$3),"")</f>
        <v/>
      </c>
    </row>
    <row r="1497" spans="2:13" x14ac:dyDescent="0.3">
      <c r="B1497" s="30" t="str">
        <f>IF(A1497="","",IFERROR(INDEX(Maniobras!$B$5:$B$504,MATCH(A1497,Maniobras!$A$5:$A$504,0)),""))</f>
        <v/>
      </c>
      <c r="C1497" t="str">
        <f t="shared" si="46"/>
        <v/>
      </c>
      <c r="D1497" t="str">
        <f>IF(A1497="","",IFERROR(INDEX(Maniobras!$D$5:$D$504,MATCH(A1497,Maniobras!$A$5:$A$504,0)),""))</f>
        <v/>
      </c>
      <c r="F1497" s="29" t="str">
        <f>IF(A1497="","",IFERROR(INDEX(Maniobras!$K$5:$K$504,MATCH(A1497,Maniobras!$A$5:$A$504,0)),""))</f>
        <v/>
      </c>
      <c r="G1497" s="29"/>
      <c r="H1497" s="29"/>
      <c r="I1497" s="29" t="str">
        <f t="shared" si="47"/>
        <v/>
      </c>
      <c r="K1497" s="30"/>
      <c r="M1497" t="str">
        <f>IF($A1497=Ficha!$B$3,COUNTIF($A$5:$A1497,Ficha!$B$3),"")</f>
        <v/>
      </c>
    </row>
    <row r="1498" spans="2:13" x14ac:dyDescent="0.3">
      <c r="B1498" s="30" t="str">
        <f>IF(A1498="","",IFERROR(INDEX(Maniobras!$B$5:$B$504,MATCH(A1498,Maniobras!$A$5:$A$504,0)),""))</f>
        <v/>
      </c>
      <c r="C1498" t="str">
        <f t="shared" si="46"/>
        <v/>
      </c>
      <c r="D1498" t="str">
        <f>IF(A1498="","",IFERROR(INDEX(Maniobras!$D$5:$D$504,MATCH(A1498,Maniobras!$A$5:$A$504,0)),""))</f>
        <v/>
      </c>
      <c r="F1498" s="29" t="str">
        <f>IF(A1498="","",IFERROR(INDEX(Maniobras!$K$5:$K$504,MATCH(A1498,Maniobras!$A$5:$A$504,0)),""))</f>
        <v/>
      </c>
      <c r="G1498" s="29"/>
      <c r="H1498" s="29"/>
      <c r="I1498" s="29" t="str">
        <f t="shared" si="47"/>
        <v/>
      </c>
      <c r="K1498" s="30"/>
      <c r="M1498" t="str">
        <f>IF($A1498=Ficha!$B$3,COUNTIF($A$5:$A1498,Ficha!$B$3),"")</f>
        <v/>
      </c>
    </row>
    <row r="1499" spans="2:13" x14ac:dyDescent="0.3">
      <c r="B1499" s="30" t="str">
        <f>IF(A1499="","",IFERROR(INDEX(Maniobras!$B$5:$B$504,MATCH(A1499,Maniobras!$A$5:$A$504,0)),""))</f>
        <v/>
      </c>
      <c r="C1499" t="str">
        <f t="shared" si="46"/>
        <v/>
      </c>
      <c r="D1499" t="str">
        <f>IF(A1499="","",IFERROR(INDEX(Maniobras!$D$5:$D$504,MATCH(A1499,Maniobras!$A$5:$A$504,0)),""))</f>
        <v/>
      </c>
      <c r="F1499" s="29" t="str">
        <f>IF(A1499="","",IFERROR(INDEX(Maniobras!$K$5:$K$504,MATCH(A1499,Maniobras!$A$5:$A$504,0)),""))</f>
        <v/>
      </c>
      <c r="G1499" s="29"/>
      <c r="H1499" s="29"/>
      <c r="I1499" s="29" t="str">
        <f t="shared" si="47"/>
        <v/>
      </c>
      <c r="K1499" s="30"/>
      <c r="M1499" t="str">
        <f>IF($A1499=Ficha!$B$3,COUNTIF($A$5:$A1499,Ficha!$B$3),"")</f>
        <v/>
      </c>
    </row>
    <row r="1500" spans="2:13" x14ac:dyDescent="0.3">
      <c r="B1500" s="30" t="str">
        <f>IF(A1500="","",IFERROR(INDEX(Maniobras!$B$5:$B$504,MATCH(A1500,Maniobras!$A$5:$A$504,0)),""))</f>
        <v/>
      </c>
      <c r="C1500" t="str">
        <f t="shared" si="46"/>
        <v/>
      </c>
      <c r="D1500" t="str">
        <f>IF(A1500="","",IFERROR(INDEX(Maniobras!$D$5:$D$504,MATCH(A1500,Maniobras!$A$5:$A$504,0)),""))</f>
        <v/>
      </c>
      <c r="F1500" s="29" t="str">
        <f>IF(A1500="","",IFERROR(INDEX(Maniobras!$K$5:$K$504,MATCH(A1500,Maniobras!$A$5:$A$504,0)),""))</f>
        <v/>
      </c>
      <c r="G1500" s="29"/>
      <c r="H1500" s="29"/>
      <c r="I1500" s="29" t="str">
        <f t="shared" si="47"/>
        <v/>
      </c>
      <c r="K1500" s="30"/>
      <c r="M1500" t="str">
        <f>IF($A1500=Ficha!$B$3,COUNTIF($A$5:$A1500,Ficha!$B$3),"")</f>
        <v/>
      </c>
    </row>
    <row r="1501" spans="2:13" x14ac:dyDescent="0.3">
      <c r="B1501" s="30" t="str">
        <f>IF(A1501="","",IFERROR(INDEX(Maniobras!$B$5:$B$504,MATCH(A1501,Maniobras!$A$5:$A$504,0)),""))</f>
        <v/>
      </c>
      <c r="C1501" t="str">
        <f t="shared" si="46"/>
        <v/>
      </c>
      <c r="D1501" t="str">
        <f>IF(A1501="","",IFERROR(INDEX(Maniobras!$D$5:$D$504,MATCH(A1501,Maniobras!$A$5:$A$504,0)),""))</f>
        <v/>
      </c>
      <c r="F1501" s="29" t="str">
        <f>IF(A1501="","",IFERROR(INDEX(Maniobras!$K$5:$K$504,MATCH(A1501,Maniobras!$A$5:$A$504,0)),""))</f>
        <v/>
      </c>
      <c r="G1501" s="29"/>
      <c r="H1501" s="29"/>
      <c r="I1501" s="29" t="str">
        <f t="shared" si="47"/>
        <v/>
      </c>
      <c r="K1501" s="30"/>
      <c r="M1501" t="str">
        <f>IF($A1501=Ficha!$B$3,COUNTIF($A$5:$A1501,Ficha!$B$3),"")</f>
        <v/>
      </c>
    </row>
    <row r="1502" spans="2:13" x14ac:dyDescent="0.3">
      <c r="B1502" s="30" t="str">
        <f>IF(A1502="","",IFERROR(INDEX(Maniobras!$B$5:$B$504,MATCH(A1502,Maniobras!$A$5:$A$504,0)),""))</f>
        <v/>
      </c>
      <c r="C1502" t="str">
        <f t="shared" si="46"/>
        <v/>
      </c>
      <c r="D1502" t="str">
        <f>IF(A1502="","",IFERROR(INDEX(Maniobras!$D$5:$D$504,MATCH(A1502,Maniobras!$A$5:$A$504,0)),""))</f>
        <v/>
      </c>
      <c r="F1502" s="29" t="str">
        <f>IF(A1502="","",IFERROR(INDEX(Maniobras!$K$5:$K$504,MATCH(A1502,Maniobras!$A$5:$A$504,0)),""))</f>
        <v/>
      </c>
      <c r="G1502" s="29"/>
      <c r="H1502" s="29"/>
      <c r="I1502" s="29" t="str">
        <f t="shared" si="47"/>
        <v/>
      </c>
      <c r="K1502" s="30"/>
      <c r="M1502" t="str">
        <f>IF($A1502=Ficha!$B$3,COUNTIF($A$5:$A1502,Ficha!$B$3),"")</f>
        <v/>
      </c>
    </row>
    <row r="1503" spans="2:13" x14ac:dyDescent="0.3">
      <c r="B1503" s="30" t="str">
        <f>IF(A1503="","",IFERROR(INDEX(Maniobras!$B$5:$B$504,MATCH(A1503,Maniobras!$A$5:$A$504,0)),""))</f>
        <v/>
      </c>
      <c r="C1503" t="str">
        <f t="shared" si="46"/>
        <v/>
      </c>
      <c r="D1503" t="str">
        <f>IF(A1503="","",IFERROR(INDEX(Maniobras!$D$5:$D$504,MATCH(A1503,Maniobras!$A$5:$A$504,0)),""))</f>
        <v/>
      </c>
      <c r="F1503" s="29" t="str">
        <f>IF(A1503="","",IFERROR(INDEX(Maniobras!$K$5:$K$504,MATCH(A1503,Maniobras!$A$5:$A$504,0)),""))</f>
        <v/>
      </c>
      <c r="G1503" s="29"/>
      <c r="H1503" s="29"/>
      <c r="I1503" s="29" t="str">
        <f t="shared" si="47"/>
        <v/>
      </c>
      <c r="K1503" s="30"/>
      <c r="M1503" t="str">
        <f>IF($A1503=Ficha!$B$3,COUNTIF($A$5:$A1503,Ficha!$B$3),"")</f>
        <v/>
      </c>
    </row>
    <row r="1504" spans="2:13" x14ac:dyDescent="0.3">
      <c r="B1504" s="30" t="str">
        <f>IF(A1504="","",IFERROR(INDEX(Maniobras!$B$5:$B$504,MATCH(A1504,Maniobras!$A$5:$A$504,0)),""))</f>
        <v/>
      </c>
      <c r="C1504" t="str">
        <f t="shared" si="46"/>
        <v/>
      </c>
      <c r="D1504" t="str">
        <f>IF(A1504="","",IFERROR(INDEX(Maniobras!$D$5:$D$504,MATCH(A1504,Maniobras!$A$5:$A$504,0)),""))</f>
        <v/>
      </c>
      <c r="F1504" s="29" t="str">
        <f>IF(A1504="","",IFERROR(INDEX(Maniobras!$K$5:$K$504,MATCH(A1504,Maniobras!$A$5:$A$504,0)),""))</f>
        <v/>
      </c>
      <c r="G1504" s="29"/>
      <c r="H1504" s="29"/>
      <c r="I1504" s="29" t="str">
        <f t="shared" si="47"/>
        <v/>
      </c>
      <c r="K1504" s="30"/>
      <c r="M1504" t="str">
        <f>IF($A1504=Ficha!$B$3,COUNTIF($A$5:$A1504,Ficha!$B$3),"")</f>
        <v/>
      </c>
    </row>
    <row r="1505" spans="2:13" x14ac:dyDescent="0.3">
      <c r="B1505" s="30" t="str">
        <f>IF(A1505="","",IFERROR(INDEX(Maniobras!$B$5:$B$504,MATCH(A1505,Maniobras!$A$5:$A$504,0)),""))</f>
        <v/>
      </c>
      <c r="C1505" t="str">
        <f t="shared" si="46"/>
        <v/>
      </c>
      <c r="D1505" t="str">
        <f>IF(A1505="","",IFERROR(INDEX(Maniobras!$D$5:$D$504,MATCH(A1505,Maniobras!$A$5:$A$504,0)),""))</f>
        <v/>
      </c>
      <c r="F1505" s="29" t="str">
        <f>IF(A1505="","",IFERROR(INDEX(Maniobras!$K$5:$K$504,MATCH(A1505,Maniobras!$A$5:$A$504,0)),""))</f>
        <v/>
      </c>
      <c r="G1505" s="29"/>
      <c r="H1505" s="29"/>
      <c r="I1505" s="29" t="str">
        <f t="shared" si="47"/>
        <v/>
      </c>
      <c r="K1505" s="30"/>
      <c r="M1505" t="str">
        <f>IF($A1505=Ficha!$B$3,COUNTIF($A$5:$A1505,Ficha!$B$3),"")</f>
        <v/>
      </c>
    </row>
    <row r="1506" spans="2:13" x14ac:dyDescent="0.3">
      <c r="B1506" s="30" t="str">
        <f>IF(A1506="","",IFERROR(INDEX(Maniobras!$B$5:$B$504,MATCH(A1506,Maniobras!$A$5:$A$504,0)),""))</f>
        <v/>
      </c>
      <c r="C1506" t="str">
        <f t="shared" si="46"/>
        <v/>
      </c>
      <c r="D1506" t="str">
        <f>IF(A1506="","",IFERROR(INDEX(Maniobras!$D$5:$D$504,MATCH(A1506,Maniobras!$A$5:$A$504,0)),""))</f>
        <v/>
      </c>
      <c r="F1506" s="29" t="str">
        <f>IF(A1506="","",IFERROR(INDEX(Maniobras!$K$5:$K$504,MATCH(A1506,Maniobras!$A$5:$A$504,0)),""))</f>
        <v/>
      </c>
      <c r="G1506" s="29"/>
      <c r="H1506" s="29"/>
      <c r="I1506" s="29" t="str">
        <f t="shared" si="47"/>
        <v/>
      </c>
      <c r="K1506" s="30"/>
      <c r="M1506" t="str">
        <f>IF($A1506=Ficha!$B$3,COUNTIF($A$5:$A1506,Ficha!$B$3),"")</f>
        <v/>
      </c>
    </row>
    <row r="1507" spans="2:13" x14ac:dyDescent="0.3">
      <c r="B1507" s="30" t="str">
        <f>IF(A1507="","",IFERROR(INDEX(Maniobras!$B$5:$B$504,MATCH(A1507,Maniobras!$A$5:$A$504,0)),""))</f>
        <v/>
      </c>
      <c r="C1507" t="str">
        <f t="shared" si="46"/>
        <v/>
      </c>
      <c r="D1507" t="str">
        <f>IF(A1507="","",IFERROR(INDEX(Maniobras!$D$5:$D$504,MATCH(A1507,Maniobras!$A$5:$A$504,0)),""))</f>
        <v/>
      </c>
      <c r="F1507" s="29" t="str">
        <f>IF(A1507="","",IFERROR(INDEX(Maniobras!$K$5:$K$504,MATCH(A1507,Maniobras!$A$5:$A$504,0)),""))</f>
        <v/>
      </c>
      <c r="G1507" s="29"/>
      <c r="H1507" s="29"/>
      <c r="I1507" s="29" t="str">
        <f t="shared" si="47"/>
        <v/>
      </c>
      <c r="K1507" s="30"/>
      <c r="M1507" t="str">
        <f>IF($A1507=Ficha!$B$3,COUNTIF($A$5:$A1507,Ficha!$B$3),"")</f>
        <v/>
      </c>
    </row>
    <row r="1508" spans="2:13" x14ac:dyDescent="0.3">
      <c r="B1508" s="30" t="str">
        <f>IF(A1508="","",IFERROR(INDEX(Maniobras!$B$5:$B$504,MATCH(A1508,Maniobras!$A$5:$A$504,0)),""))</f>
        <v/>
      </c>
      <c r="C1508" t="str">
        <f t="shared" si="46"/>
        <v/>
      </c>
      <c r="D1508" t="str">
        <f>IF(A1508="","",IFERROR(INDEX(Maniobras!$D$5:$D$504,MATCH(A1508,Maniobras!$A$5:$A$504,0)),""))</f>
        <v/>
      </c>
      <c r="F1508" s="29" t="str">
        <f>IF(A1508="","",IFERROR(INDEX(Maniobras!$K$5:$K$504,MATCH(A1508,Maniobras!$A$5:$A$504,0)),""))</f>
        <v/>
      </c>
      <c r="G1508" s="29"/>
      <c r="H1508" s="29"/>
      <c r="I1508" s="29" t="str">
        <f t="shared" si="47"/>
        <v/>
      </c>
      <c r="K1508" s="30"/>
      <c r="M1508" t="str">
        <f>IF($A1508=Ficha!$B$3,COUNTIF($A$5:$A1508,Ficha!$B$3),"")</f>
        <v/>
      </c>
    </row>
    <row r="1509" spans="2:13" x14ac:dyDescent="0.3">
      <c r="B1509" s="30" t="str">
        <f>IF(A1509="","",IFERROR(INDEX(Maniobras!$B$5:$B$504,MATCH(A1509,Maniobras!$A$5:$A$504,0)),""))</f>
        <v/>
      </c>
      <c r="C1509" t="str">
        <f t="shared" si="46"/>
        <v/>
      </c>
      <c r="D1509" t="str">
        <f>IF(A1509="","",IFERROR(INDEX(Maniobras!$D$5:$D$504,MATCH(A1509,Maniobras!$A$5:$A$504,0)),""))</f>
        <v/>
      </c>
      <c r="F1509" s="29" t="str">
        <f>IF(A1509="","",IFERROR(INDEX(Maniobras!$K$5:$K$504,MATCH(A1509,Maniobras!$A$5:$A$504,0)),""))</f>
        <v/>
      </c>
      <c r="G1509" s="29"/>
      <c r="H1509" s="29"/>
      <c r="I1509" s="29" t="str">
        <f t="shared" si="47"/>
        <v/>
      </c>
      <c r="K1509" s="30"/>
      <c r="M1509" t="str">
        <f>IF($A1509=Ficha!$B$3,COUNTIF($A$5:$A1509,Ficha!$B$3),"")</f>
        <v/>
      </c>
    </row>
    <row r="1510" spans="2:13" x14ac:dyDescent="0.3">
      <c r="B1510" s="30" t="str">
        <f>IF(A1510="","",IFERROR(INDEX(Maniobras!$B$5:$B$504,MATCH(A1510,Maniobras!$A$5:$A$504,0)),""))</f>
        <v/>
      </c>
      <c r="C1510" t="str">
        <f t="shared" si="46"/>
        <v/>
      </c>
      <c r="D1510" t="str">
        <f>IF(A1510="","",IFERROR(INDEX(Maniobras!$D$5:$D$504,MATCH(A1510,Maniobras!$A$5:$A$504,0)),""))</f>
        <v/>
      </c>
      <c r="F1510" s="29" t="str">
        <f>IF(A1510="","",IFERROR(INDEX(Maniobras!$K$5:$K$504,MATCH(A1510,Maniobras!$A$5:$A$504,0)),""))</f>
        <v/>
      </c>
      <c r="G1510" s="29"/>
      <c r="H1510" s="29"/>
      <c r="I1510" s="29" t="str">
        <f t="shared" si="47"/>
        <v/>
      </c>
      <c r="K1510" s="30"/>
      <c r="M1510" t="str">
        <f>IF($A1510=Ficha!$B$3,COUNTIF($A$5:$A1510,Ficha!$B$3),"")</f>
        <v/>
      </c>
    </row>
    <row r="1511" spans="2:13" x14ac:dyDescent="0.3">
      <c r="B1511" s="30" t="str">
        <f>IF(A1511="","",IFERROR(INDEX(Maniobras!$B$5:$B$504,MATCH(A1511,Maniobras!$A$5:$A$504,0)),""))</f>
        <v/>
      </c>
      <c r="C1511" t="str">
        <f t="shared" si="46"/>
        <v/>
      </c>
      <c r="D1511" t="str">
        <f>IF(A1511="","",IFERROR(INDEX(Maniobras!$D$5:$D$504,MATCH(A1511,Maniobras!$A$5:$A$504,0)),""))</f>
        <v/>
      </c>
      <c r="F1511" s="29" t="str">
        <f>IF(A1511="","",IFERROR(INDEX(Maniobras!$K$5:$K$504,MATCH(A1511,Maniobras!$A$5:$A$504,0)),""))</f>
        <v/>
      </c>
      <c r="G1511" s="29"/>
      <c r="H1511" s="29"/>
      <c r="I1511" s="29" t="str">
        <f t="shared" si="47"/>
        <v/>
      </c>
      <c r="K1511" s="30"/>
      <c r="M1511" t="str">
        <f>IF($A1511=Ficha!$B$3,COUNTIF($A$5:$A1511,Ficha!$B$3),"")</f>
        <v/>
      </c>
    </row>
    <row r="1512" spans="2:13" x14ac:dyDescent="0.3">
      <c r="B1512" s="30" t="str">
        <f>IF(A1512="","",IFERROR(INDEX(Maniobras!$B$5:$B$504,MATCH(A1512,Maniobras!$A$5:$A$504,0)),""))</f>
        <v/>
      </c>
      <c r="C1512" t="str">
        <f t="shared" si="46"/>
        <v/>
      </c>
      <c r="D1512" t="str">
        <f>IF(A1512="","",IFERROR(INDEX(Maniobras!$D$5:$D$504,MATCH(A1512,Maniobras!$A$5:$A$504,0)),""))</f>
        <v/>
      </c>
      <c r="F1512" s="29" t="str">
        <f>IF(A1512="","",IFERROR(INDEX(Maniobras!$K$5:$K$504,MATCH(A1512,Maniobras!$A$5:$A$504,0)),""))</f>
        <v/>
      </c>
      <c r="G1512" s="29"/>
      <c r="H1512" s="29"/>
      <c r="I1512" s="29" t="str">
        <f t="shared" si="47"/>
        <v/>
      </c>
      <c r="K1512" s="30"/>
      <c r="M1512" t="str">
        <f>IF($A1512=Ficha!$B$3,COUNTIF($A$5:$A1512,Ficha!$B$3),"")</f>
        <v/>
      </c>
    </row>
    <row r="1513" spans="2:13" x14ac:dyDescent="0.3">
      <c r="B1513" s="30" t="str">
        <f>IF(A1513="","",IFERROR(INDEX(Maniobras!$B$5:$B$504,MATCH(A1513,Maniobras!$A$5:$A$504,0)),""))</f>
        <v/>
      </c>
      <c r="C1513" t="str">
        <f t="shared" si="46"/>
        <v/>
      </c>
      <c r="D1513" t="str">
        <f>IF(A1513="","",IFERROR(INDEX(Maniobras!$D$5:$D$504,MATCH(A1513,Maniobras!$A$5:$A$504,0)),""))</f>
        <v/>
      </c>
      <c r="F1513" s="29" t="str">
        <f>IF(A1513="","",IFERROR(INDEX(Maniobras!$K$5:$K$504,MATCH(A1513,Maniobras!$A$5:$A$504,0)),""))</f>
        <v/>
      </c>
      <c r="G1513" s="29"/>
      <c r="H1513" s="29"/>
      <c r="I1513" s="29" t="str">
        <f t="shared" si="47"/>
        <v/>
      </c>
      <c r="K1513" s="30"/>
      <c r="M1513" t="str">
        <f>IF($A1513=Ficha!$B$3,COUNTIF($A$5:$A1513,Ficha!$B$3),"")</f>
        <v/>
      </c>
    </row>
    <row r="1514" spans="2:13" x14ac:dyDescent="0.3">
      <c r="B1514" s="30" t="str">
        <f>IF(A1514="","",IFERROR(INDEX(Maniobras!$B$5:$B$504,MATCH(A1514,Maniobras!$A$5:$A$504,0)),""))</f>
        <v/>
      </c>
      <c r="C1514" t="str">
        <f t="shared" si="46"/>
        <v/>
      </c>
      <c r="D1514" t="str">
        <f>IF(A1514="","",IFERROR(INDEX(Maniobras!$D$5:$D$504,MATCH(A1514,Maniobras!$A$5:$A$504,0)),""))</f>
        <v/>
      </c>
      <c r="F1514" s="29" t="str">
        <f>IF(A1514="","",IFERROR(INDEX(Maniobras!$K$5:$K$504,MATCH(A1514,Maniobras!$A$5:$A$504,0)),""))</f>
        <v/>
      </c>
      <c r="G1514" s="29"/>
      <c r="H1514" s="29"/>
      <c r="I1514" s="29" t="str">
        <f t="shared" si="47"/>
        <v/>
      </c>
      <c r="K1514" s="30"/>
      <c r="M1514" t="str">
        <f>IF($A1514=Ficha!$B$3,COUNTIF($A$5:$A1514,Ficha!$B$3),"")</f>
        <v/>
      </c>
    </row>
    <row r="1515" spans="2:13" x14ac:dyDescent="0.3">
      <c r="B1515" s="30" t="str">
        <f>IF(A1515="","",IFERROR(INDEX(Maniobras!$B$5:$B$504,MATCH(A1515,Maniobras!$A$5:$A$504,0)),""))</f>
        <v/>
      </c>
      <c r="C1515" t="str">
        <f t="shared" si="46"/>
        <v/>
      </c>
      <c r="D1515" t="str">
        <f>IF(A1515="","",IFERROR(INDEX(Maniobras!$D$5:$D$504,MATCH(A1515,Maniobras!$A$5:$A$504,0)),""))</f>
        <v/>
      </c>
      <c r="F1515" s="29" t="str">
        <f>IF(A1515="","",IFERROR(INDEX(Maniobras!$K$5:$K$504,MATCH(A1515,Maniobras!$A$5:$A$504,0)),""))</f>
        <v/>
      </c>
      <c r="G1515" s="29"/>
      <c r="H1515" s="29"/>
      <c r="I1515" s="29" t="str">
        <f t="shared" si="47"/>
        <v/>
      </c>
      <c r="K1515" s="30"/>
      <c r="M1515" t="str">
        <f>IF($A1515=Ficha!$B$3,COUNTIF($A$5:$A1515,Ficha!$B$3),"")</f>
        <v/>
      </c>
    </row>
    <row r="1516" spans="2:13" x14ac:dyDescent="0.3">
      <c r="B1516" s="30" t="str">
        <f>IF(A1516="","",IFERROR(INDEX(Maniobras!$B$5:$B$504,MATCH(A1516,Maniobras!$A$5:$A$504,0)),""))</f>
        <v/>
      </c>
      <c r="C1516" t="str">
        <f t="shared" si="46"/>
        <v/>
      </c>
      <c r="D1516" t="str">
        <f>IF(A1516="","",IFERROR(INDEX(Maniobras!$D$5:$D$504,MATCH(A1516,Maniobras!$A$5:$A$504,0)),""))</f>
        <v/>
      </c>
      <c r="F1516" s="29" t="str">
        <f>IF(A1516="","",IFERROR(INDEX(Maniobras!$K$5:$K$504,MATCH(A1516,Maniobras!$A$5:$A$504,0)),""))</f>
        <v/>
      </c>
      <c r="G1516" s="29"/>
      <c r="H1516" s="29"/>
      <c r="I1516" s="29" t="str">
        <f t="shared" si="47"/>
        <v/>
      </c>
      <c r="K1516" s="30"/>
      <c r="M1516" t="str">
        <f>IF($A1516=Ficha!$B$3,COUNTIF($A$5:$A1516,Ficha!$B$3),"")</f>
        <v/>
      </c>
    </row>
    <row r="1517" spans="2:13" x14ac:dyDescent="0.3">
      <c r="B1517" s="30" t="str">
        <f>IF(A1517="","",IFERROR(INDEX(Maniobras!$B$5:$B$504,MATCH(A1517,Maniobras!$A$5:$A$504,0)),""))</f>
        <v/>
      </c>
      <c r="C1517" t="str">
        <f t="shared" si="46"/>
        <v/>
      </c>
      <c r="D1517" t="str">
        <f>IF(A1517="","",IFERROR(INDEX(Maniobras!$D$5:$D$504,MATCH(A1517,Maniobras!$A$5:$A$504,0)),""))</f>
        <v/>
      </c>
      <c r="F1517" s="29" t="str">
        <f>IF(A1517="","",IFERROR(INDEX(Maniobras!$K$5:$K$504,MATCH(A1517,Maniobras!$A$5:$A$504,0)),""))</f>
        <v/>
      </c>
      <c r="G1517" s="29"/>
      <c r="H1517" s="29"/>
      <c r="I1517" s="29" t="str">
        <f t="shared" si="47"/>
        <v/>
      </c>
      <c r="K1517" s="30"/>
      <c r="M1517" t="str">
        <f>IF($A1517=Ficha!$B$3,COUNTIF($A$5:$A1517,Ficha!$B$3),"")</f>
        <v/>
      </c>
    </row>
    <row r="1518" spans="2:13" x14ac:dyDescent="0.3">
      <c r="B1518" s="30" t="str">
        <f>IF(A1518="","",IFERROR(INDEX(Maniobras!$B$5:$B$504,MATCH(A1518,Maniobras!$A$5:$A$504,0)),""))</f>
        <v/>
      </c>
      <c r="C1518" t="str">
        <f t="shared" si="46"/>
        <v/>
      </c>
      <c r="D1518" t="str">
        <f>IF(A1518="","",IFERROR(INDEX(Maniobras!$D$5:$D$504,MATCH(A1518,Maniobras!$A$5:$A$504,0)),""))</f>
        <v/>
      </c>
      <c r="F1518" s="29" t="str">
        <f>IF(A1518="","",IFERROR(INDEX(Maniobras!$K$5:$K$504,MATCH(A1518,Maniobras!$A$5:$A$504,0)),""))</f>
        <v/>
      </c>
      <c r="G1518" s="29"/>
      <c r="H1518" s="29"/>
      <c r="I1518" s="29" t="str">
        <f t="shared" si="47"/>
        <v/>
      </c>
      <c r="K1518" s="30"/>
      <c r="M1518" t="str">
        <f>IF($A1518=Ficha!$B$3,COUNTIF($A$5:$A1518,Ficha!$B$3),"")</f>
        <v/>
      </c>
    </row>
    <row r="1519" spans="2:13" x14ac:dyDescent="0.3">
      <c r="B1519" s="30" t="str">
        <f>IF(A1519="","",IFERROR(INDEX(Maniobras!$B$5:$B$504,MATCH(A1519,Maniobras!$A$5:$A$504,0)),""))</f>
        <v/>
      </c>
      <c r="C1519" t="str">
        <f t="shared" si="46"/>
        <v/>
      </c>
      <c r="D1519" t="str">
        <f>IF(A1519="","",IFERROR(INDEX(Maniobras!$D$5:$D$504,MATCH(A1519,Maniobras!$A$5:$A$504,0)),""))</f>
        <v/>
      </c>
      <c r="F1519" s="29" t="str">
        <f>IF(A1519="","",IFERROR(INDEX(Maniobras!$K$5:$K$504,MATCH(A1519,Maniobras!$A$5:$A$504,0)),""))</f>
        <v/>
      </c>
      <c r="G1519" s="29"/>
      <c r="H1519" s="29"/>
      <c r="I1519" s="29" t="str">
        <f t="shared" si="47"/>
        <v/>
      </c>
      <c r="K1519" s="30"/>
      <c r="M1519" t="str">
        <f>IF($A1519=Ficha!$B$3,COUNTIF($A$5:$A1519,Ficha!$B$3),"")</f>
        <v/>
      </c>
    </row>
    <row r="1520" spans="2:13" x14ac:dyDescent="0.3">
      <c r="B1520" s="30" t="str">
        <f>IF(A1520="","",IFERROR(INDEX(Maniobras!$B$5:$B$504,MATCH(A1520,Maniobras!$A$5:$A$504,0)),""))</f>
        <v/>
      </c>
      <c r="C1520" t="str">
        <f t="shared" si="46"/>
        <v/>
      </c>
      <c r="D1520" t="str">
        <f>IF(A1520="","",IFERROR(INDEX(Maniobras!$D$5:$D$504,MATCH(A1520,Maniobras!$A$5:$A$504,0)),""))</f>
        <v/>
      </c>
      <c r="F1520" s="29" t="str">
        <f>IF(A1520="","",IFERROR(INDEX(Maniobras!$K$5:$K$504,MATCH(A1520,Maniobras!$A$5:$A$504,0)),""))</f>
        <v/>
      </c>
      <c r="G1520" s="29"/>
      <c r="H1520" s="29"/>
      <c r="I1520" s="29" t="str">
        <f t="shared" si="47"/>
        <v/>
      </c>
      <c r="K1520" s="30"/>
      <c r="M1520" t="str">
        <f>IF($A1520=Ficha!$B$3,COUNTIF($A$5:$A1520,Ficha!$B$3),"")</f>
        <v/>
      </c>
    </row>
    <row r="1521" spans="2:13" x14ac:dyDescent="0.3">
      <c r="B1521" s="30" t="str">
        <f>IF(A1521="","",IFERROR(INDEX(Maniobras!$B$5:$B$504,MATCH(A1521,Maniobras!$A$5:$A$504,0)),""))</f>
        <v/>
      </c>
      <c r="C1521" t="str">
        <f t="shared" si="46"/>
        <v/>
      </c>
      <c r="D1521" t="str">
        <f>IF(A1521="","",IFERROR(INDEX(Maniobras!$D$5:$D$504,MATCH(A1521,Maniobras!$A$5:$A$504,0)),""))</f>
        <v/>
      </c>
      <c r="F1521" s="29" t="str">
        <f>IF(A1521="","",IFERROR(INDEX(Maniobras!$K$5:$K$504,MATCH(A1521,Maniobras!$A$5:$A$504,0)),""))</f>
        <v/>
      </c>
      <c r="G1521" s="29"/>
      <c r="H1521" s="29"/>
      <c r="I1521" s="29" t="str">
        <f t="shared" si="47"/>
        <v/>
      </c>
      <c r="K1521" s="30"/>
      <c r="M1521" t="str">
        <f>IF($A1521=Ficha!$B$3,COUNTIF($A$5:$A1521,Ficha!$B$3),"")</f>
        <v/>
      </c>
    </row>
    <row r="1522" spans="2:13" x14ac:dyDescent="0.3">
      <c r="B1522" s="30" t="str">
        <f>IF(A1522="","",IFERROR(INDEX(Maniobras!$B$5:$B$504,MATCH(A1522,Maniobras!$A$5:$A$504,0)),""))</f>
        <v/>
      </c>
      <c r="C1522" t="str">
        <f t="shared" si="46"/>
        <v/>
      </c>
      <c r="D1522" t="str">
        <f>IF(A1522="","",IFERROR(INDEX(Maniobras!$D$5:$D$504,MATCH(A1522,Maniobras!$A$5:$A$504,0)),""))</f>
        <v/>
      </c>
      <c r="F1522" s="29" t="str">
        <f>IF(A1522="","",IFERROR(INDEX(Maniobras!$K$5:$K$504,MATCH(A1522,Maniobras!$A$5:$A$504,0)),""))</f>
        <v/>
      </c>
      <c r="G1522" s="29"/>
      <c r="H1522" s="29"/>
      <c r="I1522" s="29" t="str">
        <f t="shared" si="47"/>
        <v/>
      </c>
      <c r="K1522" s="30"/>
      <c r="M1522" t="str">
        <f>IF($A1522=Ficha!$B$3,COUNTIF($A$5:$A1522,Ficha!$B$3),"")</f>
        <v/>
      </c>
    </row>
    <row r="1523" spans="2:13" x14ac:dyDescent="0.3">
      <c r="B1523" s="30" t="str">
        <f>IF(A1523="","",IFERROR(INDEX(Maniobras!$B$5:$B$504,MATCH(A1523,Maniobras!$A$5:$A$504,0)),""))</f>
        <v/>
      </c>
      <c r="C1523" t="str">
        <f t="shared" si="46"/>
        <v/>
      </c>
      <c r="D1523" t="str">
        <f>IF(A1523="","",IFERROR(INDEX(Maniobras!$D$5:$D$504,MATCH(A1523,Maniobras!$A$5:$A$504,0)),""))</f>
        <v/>
      </c>
      <c r="F1523" s="29" t="str">
        <f>IF(A1523="","",IFERROR(INDEX(Maniobras!$K$5:$K$504,MATCH(A1523,Maniobras!$A$5:$A$504,0)),""))</f>
        <v/>
      </c>
      <c r="G1523" s="29"/>
      <c r="H1523" s="29"/>
      <c r="I1523" s="29" t="str">
        <f t="shared" si="47"/>
        <v/>
      </c>
      <c r="K1523" s="30"/>
      <c r="M1523" t="str">
        <f>IF($A1523=Ficha!$B$3,COUNTIF($A$5:$A1523,Ficha!$B$3),"")</f>
        <v/>
      </c>
    </row>
    <row r="1524" spans="2:13" x14ac:dyDescent="0.3">
      <c r="B1524" s="30" t="str">
        <f>IF(A1524="","",IFERROR(INDEX(Maniobras!$B$5:$B$504,MATCH(A1524,Maniobras!$A$5:$A$504,0)),""))</f>
        <v/>
      </c>
      <c r="C1524" t="str">
        <f t="shared" si="46"/>
        <v/>
      </c>
      <c r="D1524" t="str">
        <f>IF(A1524="","",IFERROR(INDEX(Maniobras!$D$5:$D$504,MATCH(A1524,Maniobras!$A$5:$A$504,0)),""))</f>
        <v/>
      </c>
      <c r="F1524" s="29" t="str">
        <f>IF(A1524="","",IFERROR(INDEX(Maniobras!$K$5:$K$504,MATCH(A1524,Maniobras!$A$5:$A$504,0)),""))</f>
        <v/>
      </c>
      <c r="G1524" s="29"/>
      <c r="H1524" s="29"/>
      <c r="I1524" s="29" t="str">
        <f t="shared" si="47"/>
        <v/>
      </c>
      <c r="K1524" s="30"/>
      <c r="M1524" t="str">
        <f>IF($A1524=Ficha!$B$3,COUNTIF($A$5:$A1524,Ficha!$B$3),"")</f>
        <v/>
      </c>
    </row>
    <row r="1525" spans="2:13" x14ac:dyDescent="0.3">
      <c r="B1525" s="30" t="str">
        <f>IF(A1525="","",IFERROR(INDEX(Maniobras!$B$5:$B$504,MATCH(A1525,Maniobras!$A$5:$A$504,0)),""))</f>
        <v/>
      </c>
      <c r="C1525" t="str">
        <f t="shared" si="46"/>
        <v/>
      </c>
      <c r="D1525" t="str">
        <f>IF(A1525="","",IFERROR(INDEX(Maniobras!$D$5:$D$504,MATCH(A1525,Maniobras!$A$5:$A$504,0)),""))</f>
        <v/>
      </c>
      <c r="F1525" s="29" t="str">
        <f>IF(A1525="","",IFERROR(INDEX(Maniobras!$K$5:$K$504,MATCH(A1525,Maniobras!$A$5:$A$504,0)),""))</f>
        <v/>
      </c>
      <c r="G1525" s="29"/>
      <c r="H1525" s="29"/>
      <c r="I1525" s="29" t="str">
        <f t="shared" si="47"/>
        <v/>
      </c>
      <c r="K1525" s="30"/>
      <c r="M1525" t="str">
        <f>IF($A1525=Ficha!$B$3,COUNTIF($A$5:$A1525,Ficha!$B$3),"")</f>
        <v/>
      </c>
    </row>
    <row r="1526" spans="2:13" x14ac:dyDescent="0.3">
      <c r="B1526" s="30" t="str">
        <f>IF(A1526="","",IFERROR(INDEX(Maniobras!$B$5:$B$504,MATCH(A1526,Maniobras!$A$5:$A$504,0)),""))</f>
        <v/>
      </c>
      <c r="C1526" t="str">
        <f t="shared" si="46"/>
        <v/>
      </c>
      <c r="D1526" t="str">
        <f>IF(A1526="","",IFERROR(INDEX(Maniobras!$D$5:$D$504,MATCH(A1526,Maniobras!$A$5:$A$504,0)),""))</f>
        <v/>
      </c>
      <c r="F1526" s="29" t="str">
        <f>IF(A1526="","",IFERROR(INDEX(Maniobras!$K$5:$K$504,MATCH(A1526,Maniobras!$A$5:$A$504,0)),""))</f>
        <v/>
      </c>
      <c r="G1526" s="29"/>
      <c r="H1526" s="29"/>
      <c r="I1526" s="29" t="str">
        <f t="shared" si="47"/>
        <v/>
      </c>
      <c r="K1526" s="30"/>
      <c r="M1526" t="str">
        <f>IF($A1526=Ficha!$B$3,COUNTIF($A$5:$A1526,Ficha!$B$3),"")</f>
        <v/>
      </c>
    </row>
    <row r="1527" spans="2:13" x14ac:dyDescent="0.3">
      <c r="B1527" s="30" t="str">
        <f>IF(A1527="","",IFERROR(INDEX(Maniobras!$B$5:$B$504,MATCH(A1527,Maniobras!$A$5:$A$504,0)),""))</f>
        <v/>
      </c>
      <c r="C1527" t="str">
        <f t="shared" si="46"/>
        <v/>
      </c>
      <c r="D1527" t="str">
        <f>IF(A1527="","",IFERROR(INDEX(Maniobras!$D$5:$D$504,MATCH(A1527,Maniobras!$A$5:$A$504,0)),""))</f>
        <v/>
      </c>
      <c r="F1527" s="29" t="str">
        <f>IF(A1527="","",IFERROR(INDEX(Maniobras!$K$5:$K$504,MATCH(A1527,Maniobras!$A$5:$A$504,0)),""))</f>
        <v/>
      </c>
      <c r="G1527" s="29"/>
      <c r="H1527" s="29"/>
      <c r="I1527" s="29" t="str">
        <f t="shared" si="47"/>
        <v/>
      </c>
      <c r="K1527" s="30"/>
      <c r="M1527" t="str">
        <f>IF($A1527=Ficha!$B$3,COUNTIF($A$5:$A1527,Ficha!$B$3),"")</f>
        <v/>
      </c>
    </row>
    <row r="1528" spans="2:13" x14ac:dyDescent="0.3">
      <c r="B1528" s="30" t="str">
        <f>IF(A1528="","",IFERROR(INDEX(Maniobras!$B$5:$B$504,MATCH(A1528,Maniobras!$A$5:$A$504,0)),""))</f>
        <v/>
      </c>
      <c r="C1528" t="str">
        <f t="shared" si="46"/>
        <v/>
      </c>
      <c r="D1528" t="str">
        <f>IF(A1528="","",IFERROR(INDEX(Maniobras!$D$5:$D$504,MATCH(A1528,Maniobras!$A$5:$A$504,0)),""))</f>
        <v/>
      </c>
      <c r="F1528" s="29" t="str">
        <f>IF(A1528="","",IFERROR(INDEX(Maniobras!$K$5:$K$504,MATCH(A1528,Maniobras!$A$5:$A$504,0)),""))</f>
        <v/>
      </c>
      <c r="G1528" s="29"/>
      <c r="H1528" s="29"/>
      <c r="I1528" s="29" t="str">
        <f t="shared" si="47"/>
        <v/>
      </c>
      <c r="K1528" s="30"/>
      <c r="M1528" t="str">
        <f>IF($A1528=Ficha!$B$3,COUNTIF($A$5:$A1528,Ficha!$B$3),"")</f>
        <v/>
      </c>
    </row>
    <row r="1529" spans="2:13" x14ac:dyDescent="0.3">
      <c r="B1529" s="30" t="str">
        <f>IF(A1529="","",IFERROR(INDEX(Maniobras!$B$5:$B$504,MATCH(A1529,Maniobras!$A$5:$A$504,0)),""))</f>
        <v/>
      </c>
      <c r="C1529" t="str">
        <f t="shared" si="46"/>
        <v/>
      </c>
      <c r="D1529" t="str">
        <f>IF(A1529="","",IFERROR(INDEX(Maniobras!$D$5:$D$504,MATCH(A1529,Maniobras!$A$5:$A$504,0)),""))</f>
        <v/>
      </c>
      <c r="F1529" s="29" t="str">
        <f>IF(A1529="","",IFERROR(INDEX(Maniobras!$K$5:$K$504,MATCH(A1529,Maniobras!$A$5:$A$504,0)),""))</f>
        <v/>
      </c>
      <c r="G1529" s="29"/>
      <c r="H1529" s="29"/>
      <c r="I1529" s="29" t="str">
        <f t="shared" si="47"/>
        <v/>
      </c>
      <c r="K1529" s="30"/>
      <c r="M1529" t="str">
        <f>IF($A1529=Ficha!$B$3,COUNTIF($A$5:$A1529,Ficha!$B$3),"")</f>
        <v/>
      </c>
    </row>
    <row r="1530" spans="2:13" x14ac:dyDescent="0.3">
      <c r="B1530" s="30" t="str">
        <f>IF(A1530="","",IFERROR(INDEX(Maniobras!$B$5:$B$504,MATCH(A1530,Maniobras!$A$5:$A$504,0)),""))</f>
        <v/>
      </c>
      <c r="C1530" t="str">
        <f t="shared" si="46"/>
        <v/>
      </c>
      <c r="D1530" t="str">
        <f>IF(A1530="","",IFERROR(INDEX(Maniobras!$D$5:$D$504,MATCH(A1530,Maniobras!$A$5:$A$504,0)),""))</f>
        <v/>
      </c>
      <c r="F1530" s="29" t="str">
        <f>IF(A1530="","",IFERROR(INDEX(Maniobras!$K$5:$K$504,MATCH(A1530,Maniobras!$A$5:$A$504,0)),""))</f>
        <v/>
      </c>
      <c r="G1530" s="29"/>
      <c r="H1530" s="29"/>
      <c r="I1530" s="29" t="str">
        <f t="shared" si="47"/>
        <v/>
      </c>
      <c r="K1530" s="30"/>
      <c r="M1530" t="str">
        <f>IF($A1530=Ficha!$B$3,COUNTIF($A$5:$A1530,Ficha!$B$3),"")</f>
        <v/>
      </c>
    </row>
    <row r="1531" spans="2:13" x14ac:dyDescent="0.3">
      <c r="B1531" s="30" t="str">
        <f>IF(A1531="","",IFERROR(INDEX(Maniobras!$B$5:$B$504,MATCH(A1531,Maniobras!$A$5:$A$504,0)),""))</f>
        <v/>
      </c>
      <c r="C1531" t="str">
        <f t="shared" si="46"/>
        <v/>
      </c>
      <c r="D1531" t="str">
        <f>IF(A1531="","",IFERROR(INDEX(Maniobras!$D$5:$D$504,MATCH(A1531,Maniobras!$A$5:$A$504,0)),""))</f>
        <v/>
      </c>
      <c r="F1531" s="29" t="str">
        <f>IF(A1531="","",IFERROR(INDEX(Maniobras!$K$5:$K$504,MATCH(A1531,Maniobras!$A$5:$A$504,0)),""))</f>
        <v/>
      </c>
      <c r="G1531" s="29"/>
      <c r="H1531" s="29"/>
      <c r="I1531" s="29" t="str">
        <f t="shared" si="47"/>
        <v/>
      </c>
      <c r="K1531" s="30"/>
      <c r="M1531" t="str">
        <f>IF($A1531=Ficha!$B$3,COUNTIF($A$5:$A1531,Ficha!$B$3),"")</f>
        <v/>
      </c>
    </row>
    <row r="1532" spans="2:13" x14ac:dyDescent="0.3">
      <c r="B1532" s="30" t="str">
        <f>IF(A1532="","",IFERROR(INDEX(Maniobras!$B$5:$B$504,MATCH(A1532,Maniobras!$A$5:$A$504,0)),""))</f>
        <v/>
      </c>
      <c r="C1532" t="str">
        <f t="shared" si="46"/>
        <v/>
      </c>
      <c r="D1532" t="str">
        <f>IF(A1532="","",IFERROR(INDEX(Maniobras!$D$5:$D$504,MATCH(A1532,Maniobras!$A$5:$A$504,0)),""))</f>
        <v/>
      </c>
      <c r="F1532" s="29" t="str">
        <f>IF(A1532="","",IFERROR(INDEX(Maniobras!$K$5:$K$504,MATCH(A1532,Maniobras!$A$5:$A$504,0)),""))</f>
        <v/>
      </c>
      <c r="G1532" s="29"/>
      <c r="H1532" s="29"/>
      <c r="I1532" s="29" t="str">
        <f t="shared" si="47"/>
        <v/>
      </c>
      <c r="K1532" s="30"/>
      <c r="M1532" t="str">
        <f>IF($A1532=Ficha!$B$3,COUNTIF($A$5:$A1532,Ficha!$B$3),"")</f>
        <v/>
      </c>
    </row>
    <row r="1533" spans="2:13" x14ac:dyDescent="0.3">
      <c r="B1533" s="30" t="str">
        <f>IF(A1533="","",IFERROR(INDEX(Maniobras!$B$5:$B$504,MATCH(A1533,Maniobras!$A$5:$A$504,0)),""))</f>
        <v/>
      </c>
      <c r="C1533" t="str">
        <f t="shared" si="46"/>
        <v/>
      </c>
      <c r="D1533" t="str">
        <f>IF(A1533="","",IFERROR(INDEX(Maniobras!$D$5:$D$504,MATCH(A1533,Maniobras!$A$5:$A$504,0)),""))</f>
        <v/>
      </c>
      <c r="F1533" s="29" t="str">
        <f>IF(A1533="","",IFERROR(INDEX(Maniobras!$K$5:$K$504,MATCH(A1533,Maniobras!$A$5:$A$504,0)),""))</f>
        <v/>
      </c>
      <c r="G1533" s="29"/>
      <c r="H1533" s="29"/>
      <c r="I1533" s="29" t="str">
        <f t="shared" si="47"/>
        <v/>
      </c>
      <c r="K1533" s="30"/>
      <c r="M1533" t="str">
        <f>IF($A1533=Ficha!$B$3,COUNTIF($A$5:$A1533,Ficha!$B$3),"")</f>
        <v/>
      </c>
    </row>
    <row r="1534" spans="2:13" x14ac:dyDescent="0.3">
      <c r="B1534" s="30" t="str">
        <f>IF(A1534="","",IFERROR(INDEX(Maniobras!$B$5:$B$504,MATCH(A1534,Maniobras!$A$5:$A$504,0)),""))</f>
        <v/>
      </c>
      <c r="C1534" t="str">
        <f t="shared" si="46"/>
        <v/>
      </c>
      <c r="D1534" t="str">
        <f>IF(A1534="","",IFERROR(INDEX(Maniobras!$D$5:$D$504,MATCH(A1534,Maniobras!$A$5:$A$504,0)),""))</f>
        <v/>
      </c>
      <c r="F1534" s="29" t="str">
        <f>IF(A1534="","",IFERROR(INDEX(Maniobras!$K$5:$K$504,MATCH(A1534,Maniobras!$A$5:$A$504,0)),""))</f>
        <v/>
      </c>
      <c r="G1534" s="29"/>
      <c r="H1534" s="29"/>
      <c r="I1534" s="29" t="str">
        <f t="shared" si="47"/>
        <v/>
      </c>
      <c r="K1534" s="30"/>
      <c r="M1534" t="str">
        <f>IF($A1534=Ficha!$B$3,COUNTIF($A$5:$A1534,Ficha!$B$3),"")</f>
        <v/>
      </c>
    </row>
    <row r="1535" spans="2:13" x14ac:dyDescent="0.3">
      <c r="B1535" s="30" t="str">
        <f>IF(A1535="","",IFERROR(INDEX(Maniobras!$B$5:$B$504,MATCH(A1535,Maniobras!$A$5:$A$504,0)),""))</f>
        <v/>
      </c>
      <c r="C1535" t="str">
        <f t="shared" si="46"/>
        <v/>
      </c>
      <c r="D1535" t="str">
        <f>IF(A1535="","",IFERROR(INDEX(Maniobras!$D$5:$D$504,MATCH(A1535,Maniobras!$A$5:$A$504,0)),""))</f>
        <v/>
      </c>
      <c r="F1535" s="29" t="str">
        <f>IF(A1535="","",IFERROR(INDEX(Maniobras!$K$5:$K$504,MATCH(A1535,Maniobras!$A$5:$A$504,0)),""))</f>
        <v/>
      </c>
      <c r="G1535" s="29"/>
      <c r="H1535" s="29"/>
      <c r="I1535" s="29" t="str">
        <f t="shared" si="47"/>
        <v/>
      </c>
      <c r="K1535" s="30"/>
      <c r="M1535" t="str">
        <f>IF($A1535=Ficha!$B$3,COUNTIF($A$5:$A1535,Ficha!$B$3),"")</f>
        <v/>
      </c>
    </row>
    <row r="1536" spans="2:13" x14ac:dyDescent="0.3">
      <c r="B1536" s="30" t="str">
        <f>IF(A1536="","",IFERROR(INDEX(Maniobras!$B$5:$B$504,MATCH(A1536,Maniobras!$A$5:$A$504,0)),""))</f>
        <v/>
      </c>
      <c r="C1536" t="str">
        <f t="shared" si="46"/>
        <v/>
      </c>
      <c r="D1536" t="str">
        <f>IF(A1536="","",IFERROR(INDEX(Maniobras!$D$5:$D$504,MATCH(A1536,Maniobras!$A$5:$A$504,0)),""))</f>
        <v/>
      </c>
      <c r="F1536" s="29" t="str">
        <f>IF(A1536="","",IFERROR(INDEX(Maniobras!$K$5:$K$504,MATCH(A1536,Maniobras!$A$5:$A$504,0)),""))</f>
        <v/>
      </c>
      <c r="G1536" s="29"/>
      <c r="H1536" s="29"/>
      <c r="I1536" s="29" t="str">
        <f t="shared" si="47"/>
        <v/>
      </c>
      <c r="K1536" s="30"/>
      <c r="M1536" t="str">
        <f>IF($A1536=Ficha!$B$3,COUNTIF($A$5:$A1536,Ficha!$B$3),"")</f>
        <v/>
      </c>
    </row>
    <row r="1537" spans="2:13" x14ac:dyDescent="0.3">
      <c r="B1537" s="30" t="str">
        <f>IF(A1537="","",IFERROR(INDEX(Maniobras!$B$5:$B$504,MATCH(A1537,Maniobras!$A$5:$A$504,0)),""))</f>
        <v/>
      </c>
      <c r="C1537" t="str">
        <f t="shared" si="46"/>
        <v/>
      </c>
      <c r="D1537" t="str">
        <f>IF(A1537="","",IFERROR(INDEX(Maniobras!$D$5:$D$504,MATCH(A1537,Maniobras!$A$5:$A$504,0)),""))</f>
        <v/>
      </c>
      <c r="F1537" s="29" t="str">
        <f>IF(A1537="","",IFERROR(INDEX(Maniobras!$K$5:$K$504,MATCH(A1537,Maniobras!$A$5:$A$504,0)),""))</f>
        <v/>
      </c>
      <c r="G1537" s="29"/>
      <c r="H1537" s="29"/>
      <c r="I1537" s="29" t="str">
        <f t="shared" si="47"/>
        <v/>
      </c>
      <c r="K1537" s="30"/>
      <c r="M1537" t="str">
        <f>IF($A1537=Ficha!$B$3,COUNTIF($A$5:$A1537,Ficha!$B$3),"")</f>
        <v/>
      </c>
    </row>
    <row r="1538" spans="2:13" x14ac:dyDescent="0.3">
      <c r="B1538" s="30" t="str">
        <f>IF(A1538="","",IFERROR(INDEX(Maniobras!$B$5:$B$504,MATCH(A1538,Maniobras!$A$5:$A$504,0)),""))</f>
        <v/>
      </c>
      <c r="C1538" t="str">
        <f t="shared" si="46"/>
        <v/>
      </c>
      <c r="D1538" t="str">
        <f>IF(A1538="","",IFERROR(INDEX(Maniobras!$D$5:$D$504,MATCH(A1538,Maniobras!$A$5:$A$504,0)),""))</f>
        <v/>
      </c>
      <c r="F1538" s="29" t="str">
        <f>IF(A1538="","",IFERROR(INDEX(Maniobras!$K$5:$K$504,MATCH(A1538,Maniobras!$A$5:$A$504,0)),""))</f>
        <v/>
      </c>
      <c r="G1538" s="29"/>
      <c r="H1538" s="29"/>
      <c r="I1538" s="29" t="str">
        <f t="shared" si="47"/>
        <v/>
      </c>
      <c r="K1538" s="30"/>
      <c r="M1538" t="str">
        <f>IF($A1538=Ficha!$B$3,COUNTIF($A$5:$A1538,Ficha!$B$3),"")</f>
        <v/>
      </c>
    </row>
    <row r="1539" spans="2:13" x14ac:dyDescent="0.3">
      <c r="B1539" s="30" t="str">
        <f>IF(A1539="","",IFERROR(INDEX(Maniobras!$B$5:$B$504,MATCH(A1539,Maniobras!$A$5:$A$504,0)),""))</f>
        <v/>
      </c>
      <c r="C1539" t="str">
        <f t="shared" si="46"/>
        <v/>
      </c>
      <c r="D1539" t="str">
        <f>IF(A1539="","",IFERROR(INDEX(Maniobras!$D$5:$D$504,MATCH(A1539,Maniobras!$A$5:$A$504,0)),""))</f>
        <v/>
      </c>
      <c r="F1539" s="29" t="str">
        <f>IF(A1539="","",IFERROR(INDEX(Maniobras!$K$5:$K$504,MATCH(A1539,Maniobras!$A$5:$A$504,0)),""))</f>
        <v/>
      </c>
      <c r="G1539" s="29"/>
      <c r="H1539" s="29"/>
      <c r="I1539" s="29" t="str">
        <f t="shared" si="47"/>
        <v/>
      </c>
      <c r="K1539" s="30"/>
      <c r="M1539" t="str">
        <f>IF($A1539=Ficha!$B$3,COUNTIF($A$5:$A1539,Ficha!$B$3),"")</f>
        <v/>
      </c>
    </row>
    <row r="1540" spans="2:13" x14ac:dyDescent="0.3">
      <c r="B1540" s="30" t="str">
        <f>IF(A1540="","",IFERROR(INDEX(Maniobras!$B$5:$B$504,MATCH(A1540,Maniobras!$A$5:$A$504,0)),""))</f>
        <v/>
      </c>
      <c r="C1540" t="str">
        <f t="shared" si="46"/>
        <v/>
      </c>
      <c r="D1540" t="str">
        <f>IF(A1540="","",IFERROR(INDEX(Maniobras!$D$5:$D$504,MATCH(A1540,Maniobras!$A$5:$A$504,0)),""))</f>
        <v/>
      </c>
      <c r="F1540" s="29" t="str">
        <f>IF(A1540="","",IFERROR(INDEX(Maniobras!$K$5:$K$504,MATCH(A1540,Maniobras!$A$5:$A$504,0)),""))</f>
        <v/>
      </c>
      <c r="G1540" s="29"/>
      <c r="H1540" s="29"/>
      <c r="I1540" s="29" t="str">
        <f t="shared" si="47"/>
        <v/>
      </c>
      <c r="K1540" s="30"/>
      <c r="M1540" t="str">
        <f>IF($A1540=Ficha!$B$3,COUNTIF($A$5:$A1540,Ficha!$B$3),"")</f>
        <v/>
      </c>
    </row>
    <row r="1541" spans="2:13" x14ac:dyDescent="0.3">
      <c r="B1541" s="30" t="str">
        <f>IF(A1541="","",IFERROR(INDEX(Maniobras!$B$5:$B$504,MATCH(A1541,Maniobras!$A$5:$A$504,0)),""))</f>
        <v/>
      </c>
      <c r="C1541" t="str">
        <f t="shared" ref="C1541:C1604" si="48">IF(B1541="","",TEXT(B1541,"yyyy-mm"))</f>
        <v/>
      </c>
      <c r="D1541" t="str">
        <f>IF(A1541="","",IFERROR(INDEX(Maniobras!$D$5:$D$504,MATCH(A1541,Maniobras!$A$5:$A$504,0)),""))</f>
        <v/>
      </c>
      <c r="F1541" s="29" t="str">
        <f>IF(A1541="","",IFERROR(INDEX(Maniobras!$K$5:$K$504,MATCH(A1541,Maniobras!$A$5:$A$504,0)),""))</f>
        <v/>
      </c>
      <c r="G1541" s="29"/>
      <c r="H1541" s="29"/>
      <c r="I1541" s="29" t="str">
        <f t="shared" ref="I1541:I1604" si="49">IF(G1541="","",G1541+N(H1541))</f>
        <v/>
      </c>
      <c r="K1541" s="30"/>
      <c r="M1541" t="str">
        <f>IF($A1541=Ficha!$B$3,COUNTIF($A$5:$A1541,Ficha!$B$3),"")</f>
        <v/>
      </c>
    </row>
    <row r="1542" spans="2:13" x14ac:dyDescent="0.3">
      <c r="B1542" s="30" t="str">
        <f>IF(A1542="","",IFERROR(INDEX(Maniobras!$B$5:$B$504,MATCH(A1542,Maniobras!$A$5:$A$504,0)),""))</f>
        <v/>
      </c>
      <c r="C1542" t="str">
        <f t="shared" si="48"/>
        <v/>
      </c>
      <c r="D1542" t="str">
        <f>IF(A1542="","",IFERROR(INDEX(Maniobras!$D$5:$D$504,MATCH(A1542,Maniobras!$A$5:$A$504,0)),""))</f>
        <v/>
      </c>
      <c r="F1542" s="29" t="str">
        <f>IF(A1542="","",IFERROR(INDEX(Maniobras!$K$5:$K$504,MATCH(A1542,Maniobras!$A$5:$A$504,0)),""))</f>
        <v/>
      </c>
      <c r="G1542" s="29"/>
      <c r="H1542" s="29"/>
      <c r="I1542" s="29" t="str">
        <f t="shared" si="49"/>
        <v/>
      </c>
      <c r="K1542" s="30"/>
      <c r="M1542" t="str">
        <f>IF($A1542=Ficha!$B$3,COUNTIF($A$5:$A1542,Ficha!$B$3),"")</f>
        <v/>
      </c>
    </row>
    <row r="1543" spans="2:13" x14ac:dyDescent="0.3">
      <c r="B1543" s="30" t="str">
        <f>IF(A1543="","",IFERROR(INDEX(Maniobras!$B$5:$B$504,MATCH(A1543,Maniobras!$A$5:$A$504,0)),""))</f>
        <v/>
      </c>
      <c r="C1543" t="str">
        <f t="shared" si="48"/>
        <v/>
      </c>
      <c r="D1543" t="str">
        <f>IF(A1543="","",IFERROR(INDEX(Maniobras!$D$5:$D$504,MATCH(A1543,Maniobras!$A$5:$A$504,0)),""))</f>
        <v/>
      </c>
      <c r="F1543" s="29" t="str">
        <f>IF(A1543="","",IFERROR(INDEX(Maniobras!$K$5:$K$504,MATCH(A1543,Maniobras!$A$5:$A$504,0)),""))</f>
        <v/>
      </c>
      <c r="G1543" s="29"/>
      <c r="H1543" s="29"/>
      <c r="I1543" s="29" t="str">
        <f t="shared" si="49"/>
        <v/>
      </c>
      <c r="K1543" s="30"/>
      <c r="M1543" t="str">
        <f>IF($A1543=Ficha!$B$3,COUNTIF($A$5:$A1543,Ficha!$B$3),"")</f>
        <v/>
      </c>
    </row>
    <row r="1544" spans="2:13" x14ac:dyDescent="0.3">
      <c r="B1544" s="30" t="str">
        <f>IF(A1544="","",IFERROR(INDEX(Maniobras!$B$5:$B$504,MATCH(A1544,Maniobras!$A$5:$A$504,0)),""))</f>
        <v/>
      </c>
      <c r="C1544" t="str">
        <f t="shared" si="48"/>
        <v/>
      </c>
      <c r="D1544" t="str">
        <f>IF(A1544="","",IFERROR(INDEX(Maniobras!$D$5:$D$504,MATCH(A1544,Maniobras!$A$5:$A$504,0)),""))</f>
        <v/>
      </c>
      <c r="F1544" s="29" t="str">
        <f>IF(A1544="","",IFERROR(INDEX(Maniobras!$K$5:$K$504,MATCH(A1544,Maniobras!$A$5:$A$504,0)),""))</f>
        <v/>
      </c>
      <c r="G1544" s="29"/>
      <c r="H1544" s="29"/>
      <c r="I1544" s="29" t="str">
        <f t="shared" si="49"/>
        <v/>
      </c>
      <c r="K1544" s="30"/>
      <c r="M1544" t="str">
        <f>IF($A1544=Ficha!$B$3,COUNTIF($A$5:$A1544,Ficha!$B$3),"")</f>
        <v/>
      </c>
    </row>
    <row r="1545" spans="2:13" x14ac:dyDescent="0.3">
      <c r="B1545" s="30" t="str">
        <f>IF(A1545="","",IFERROR(INDEX(Maniobras!$B$5:$B$504,MATCH(A1545,Maniobras!$A$5:$A$504,0)),""))</f>
        <v/>
      </c>
      <c r="C1545" t="str">
        <f t="shared" si="48"/>
        <v/>
      </c>
      <c r="D1545" t="str">
        <f>IF(A1545="","",IFERROR(INDEX(Maniobras!$D$5:$D$504,MATCH(A1545,Maniobras!$A$5:$A$504,0)),""))</f>
        <v/>
      </c>
      <c r="F1545" s="29" t="str">
        <f>IF(A1545="","",IFERROR(INDEX(Maniobras!$K$5:$K$504,MATCH(A1545,Maniobras!$A$5:$A$504,0)),""))</f>
        <v/>
      </c>
      <c r="G1545" s="29"/>
      <c r="H1545" s="29"/>
      <c r="I1545" s="29" t="str">
        <f t="shared" si="49"/>
        <v/>
      </c>
      <c r="K1545" s="30"/>
      <c r="M1545" t="str">
        <f>IF($A1545=Ficha!$B$3,COUNTIF($A$5:$A1545,Ficha!$B$3),"")</f>
        <v/>
      </c>
    </row>
    <row r="1546" spans="2:13" x14ac:dyDescent="0.3">
      <c r="B1546" s="30" t="str">
        <f>IF(A1546="","",IFERROR(INDEX(Maniobras!$B$5:$B$504,MATCH(A1546,Maniobras!$A$5:$A$504,0)),""))</f>
        <v/>
      </c>
      <c r="C1546" t="str">
        <f t="shared" si="48"/>
        <v/>
      </c>
      <c r="D1546" t="str">
        <f>IF(A1546="","",IFERROR(INDEX(Maniobras!$D$5:$D$504,MATCH(A1546,Maniobras!$A$5:$A$504,0)),""))</f>
        <v/>
      </c>
      <c r="F1546" s="29" t="str">
        <f>IF(A1546="","",IFERROR(INDEX(Maniobras!$K$5:$K$504,MATCH(A1546,Maniobras!$A$5:$A$504,0)),""))</f>
        <v/>
      </c>
      <c r="G1546" s="29"/>
      <c r="H1546" s="29"/>
      <c r="I1546" s="29" t="str">
        <f t="shared" si="49"/>
        <v/>
      </c>
      <c r="K1546" s="30"/>
      <c r="M1546" t="str">
        <f>IF($A1546=Ficha!$B$3,COUNTIF($A$5:$A1546,Ficha!$B$3),"")</f>
        <v/>
      </c>
    </row>
    <row r="1547" spans="2:13" x14ac:dyDescent="0.3">
      <c r="B1547" s="30" t="str">
        <f>IF(A1547="","",IFERROR(INDEX(Maniobras!$B$5:$B$504,MATCH(A1547,Maniobras!$A$5:$A$504,0)),""))</f>
        <v/>
      </c>
      <c r="C1547" t="str">
        <f t="shared" si="48"/>
        <v/>
      </c>
      <c r="D1547" t="str">
        <f>IF(A1547="","",IFERROR(INDEX(Maniobras!$D$5:$D$504,MATCH(A1547,Maniobras!$A$5:$A$504,0)),""))</f>
        <v/>
      </c>
      <c r="F1547" s="29" t="str">
        <f>IF(A1547="","",IFERROR(INDEX(Maniobras!$K$5:$K$504,MATCH(A1547,Maniobras!$A$5:$A$504,0)),""))</f>
        <v/>
      </c>
      <c r="G1547" s="29"/>
      <c r="H1547" s="29"/>
      <c r="I1547" s="29" t="str">
        <f t="shared" si="49"/>
        <v/>
      </c>
      <c r="K1547" s="30"/>
      <c r="M1547" t="str">
        <f>IF($A1547=Ficha!$B$3,COUNTIF($A$5:$A1547,Ficha!$B$3),"")</f>
        <v/>
      </c>
    </row>
    <row r="1548" spans="2:13" x14ac:dyDescent="0.3">
      <c r="B1548" s="30" t="str">
        <f>IF(A1548="","",IFERROR(INDEX(Maniobras!$B$5:$B$504,MATCH(A1548,Maniobras!$A$5:$A$504,0)),""))</f>
        <v/>
      </c>
      <c r="C1548" t="str">
        <f t="shared" si="48"/>
        <v/>
      </c>
      <c r="D1548" t="str">
        <f>IF(A1548="","",IFERROR(INDEX(Maniobras!$D$5:$D$504,MATCH(A1548,Maniobras!$A$5:$A$504,0)),""))</f>
        <v/>
      </c>
      <c r="F1548" s="29" t="str">
        <f>IF(A1548="","",IFERROR(INDEX(Maniobras!$K$5:$K$504,MATCH(A1548,Maniobras!$A$5:$A$504,0)),""))</f>
        <v/>
      </c>
      <c r="G1548" s="29"/>
      <c r="H1548" s="29"/>
      <c r="I1548" s="29" t="str">
        <f t="shared" si="49"/>
        <v/>
      </c>
      <c r="K1548" s="30"/>
      <c r="M1548" t="str">
        <f>IF($A1548=Ficha!$B$3,COUNTIF($A$5:$A1548,Ficha!$B$3),"")</f>
        <v/>
      </c>
    </row>
    <row r="1549" spans="2:13" x14ac:dyDescent="0.3">
      <c r="B1549" s="30" t="str">
        <f>IF(A1549="","",IFERROR(INDEX(Maniobras!$B$5:$B$504,MATCH(A1549,Maniobras!$A$5:$A$504,0)),""))</f>
        <v/>
      </c>
      <c r="C1549" t="str">
        <f t="shared" si="48"/>
        <v/>
      </c>
      <c r="D1549" t="str">
        <f>IF(A1549="","",IFERROR(INDEX(Maniobras!$D$5:$D$504,MATCH(A1549,Maniobras!$A$5:$A$504,0)),""))</f>
        <v/>
      </c>
      <c r="F1549" s="29" t="str">
        <f>IF(A1549="","",IFERROR(INDEX(Maniobras!$K$5:$K$504,MATCH(A1549,Maniobras!$A$5:$A$504,0)),""))</f>
        <v/>
      </c>
      <c r="G1549" s="29"/>
      <c r="H1549" s="29"/>
      <c r="I1549" s="29" t="str">
        <f t="shared" si="49"/>
        <v/>
      </c>
      <c r="K1549" s="30"/>
      <c r="M1549" t="str">
        <f>IF($A1549=Ficha!$B$3,COUNTIF($A$5:$A1549,Ficha!$B$3),"")</f>
        <v/>
      </c>
    </row>
    <row r="1550" spans="2:13" x14ac:dyDescent="0.3">
      <c r="B1550" s="30" t="str">
        <f>IF(A1550="","",IFERROR(INDEX(Maniobras!$B$5:$B$504,MATCH(A1550,Maniobras!$A$5:$A$504,0)),""))</f>
        <v/>
      </c>
      <c r="C1550" t="str">
        <f t="shared" si="48"/>
        <v/>
      </c>
      <c r="D1550" t="str">
        <f>IF(A1550="","",IFERROR(INDEX(Maniobras!$D$5:$D$504,MATCH(A1550,Maniobras!$A$5:$A$504,0)),""))</f>
        <v/>
      </c>
      <c r="F1550" s="29" t="str">
        <f>IF(A1550="","",IFERROR(INDEX(Maniobras!$K$5:$K$504,MATCH(A1550,Maniobras!$A$5:$A$504,0)),""))</f>
        <v/>
      </c>
      <c r="G1550" s="29"/>
      <c r="H1550" s="29"/>
      <c r="I1550" s="29" t="str">
        <f t="shared" si="49"/>
        <v/>
      </c>
      <c r="K1550" s="30"/>
      <c r="M1550" t="str">
        <f>IF($A1550=Ficha!$B$3,COUNTIF($A$5:$A1550,Ficha!$B$3),"")</f>
        <v/>
      </c>
    </row>
    <row r="1551" spans="2:13" x14ac:dyDescent="0.3">
      <c r="B1551" s="30" t="str">
        <f>IF(A1551="","",IFERROR(INDEX(Maniobras!$B$5:$B$504,MATCH(A1551,Maniobras!$A$5:$A$504,0)),""))</f>
        <v/>
      </c>
      <c r="C1551" t="str">
        <f t="shared" si="48"/>
        <v/>
      </c>
      <c r="D1551" t="str">
        <f>IF(A1551="","",IFERROR(INDEX(Maniobras!$D$5:$D$504,MATCH(A1551,Maniobras!$A$5:$A$504,0)),""))</f>
        <v/>
      </c>
      <c r="F1551" s="29" t="str">
        <f>IF(A1551="","",IFERROR(INDEX(Maniobras!$K$5:$K$504,MATCH(A1551,Maniobras!$A$5:$A$504,0)),""))</f>
        <v/>
      </c>
      <c r="G1551" s="29"/>
      <c r="H1551" s="29"/>
      <c r="I1551" s="29" t="str">
        <f t="shared" si="49"/>
        <v/>
      </c>
      <c r="K1551" s="30"/>
      <c r="M1551" t="str">
        <f>IF($A1551=Ficha!$B$3,COUNTIF($A$5:$A1551,Ficha!$B$3),"")</f>
        <v/>
      </c>
    </row>
    <row r="1552" spans="2:13" x14ac:dyDescent="0.3">
      <c r="B1552" s="30" t="str">
        <f>IF(A1552="","",IFERROR(INDEX(Maniobras!$B$5:$B$504,MATCH(A1552,Maniobras!$A$5:$A$504,0)),""))</f>
        <v/>
      </c>
      <c r="C1552" t="str">
        <f t="shared" si="48"/>
        <v/>
      </c>
      <c r="D1552" t="str">
        <f>IF(A1552="","",IFERROR(INDEX(Maniobras!$D$5:$D$504,MATCH(A1552,Maniobras!$A$5:$A$504,0)),""))</f>
        <v/>
      </c>
      <c r="F1552" s="29" t="str">
        <f>IF(A1552="","",IFERROR(INDEX(Maniobras!$K$5:$K$504,MATCH(A1552,Maniobras!$A$5:$A$504,0)),""))</f>
        <v/>
      </c>
      <c r="G1552" s="29"/>
      <c r="H1552" s="29"/>
      <c r="I1552" s="29" t="str">
        <f t="shared" si="49"/>
        <v/>
      </c>
      <c r="K1552" s="30"/>
      <c r="M1552" t="str">
        <f>IF($A1552=Ficha!$B$3,COUNTIF($A$5:$A1552,Ficha!$B$3),"")</f>
        <v/>
      </c>
    </row>
    <row r="1553" spans="2:13" x14ac:dyDescent="0.3">
      <c r="B1553" s="30" t="str">
        <f>IF(A1553="","",IFERROR(INDEX(Maniobras!$B$5:$B$504,MATCH(A1553,Maniobras!$A$5:$A$504,0)),""))</f>
        <v/>
      </c>
      <c r="C1553" t="str">
        <f t="shared" si="48"/>
        <v/>
      </c>
      <c r="D1553" t="str">
        <f>IF(A1553="","",IFERROR(INDEX(Maniobras!$D$5:$D$504,MATCH(A1553,Maniobras!$A$5:$A$504,0)),""))</f>
        <v/>
      </c>
      <c r="F1553" s="29" t="str">
        <f>IF(A1553="","",IFERROR(INDEX(Maniobras!$K$5:$K$504,MATCH(A1553,Maniobras!$A$5:$A$504,0)),""))</f>
        <v/>
      </c>
      <c r="G1553" s="29"/>
      <c r="H1553" s="29"/>
      <c r="I1553" s="29" t="str">
        <f t="shared" si="49"/>
        <v/>
      </c>
      <c r="K1553" s="30"/>
      <c r="M1553" t="str">
        <f>IF($A1553=Ficha!$B$3,COUNTIF($A$5:$A1553,Ficha!$B$3),"")</f>
        <v/>
      </c>
    </row>
    <row r="1554" spans="2:13" x14ac:dyDescent="0.3">
      <c r="B1554" s="30" t="str">
        <f>IF(A1554="","",IFERROR(INDEX(Maniobras!$B$5:$B$504,MATCH(A1554,Maniobras!$A$5:$A$504,0)),""))</f>
        <v/>
      </c>
      <c r="C1554" t="str">
        <f t="shared" si="48"/>
        <v/>
      </c>
      <c r="D1554" t="str">
        <f>IF(A1554="","",IFERROR(INDEX(Maniobras!$D$5:$D$504,MATCH(A1554,Maniobras!$A$5:$A$504,0)),""))</f>
        <v/>
      </c>
      <c r="F1554" s="29" t="str">
        <f>IF(A1554="","",IFERROR(INDEX(Maniobras!$K$5:$K$504,MATCH(A1554,Maniobras!$A$5:$A$504,0)),""))</f>
        <v/>
      </c>
      <c r="G1554" s="29"/>
      <c r="H1554" s="29"/>
      <c r="I1554" s="29" t="str">
        <f t="shared" si="49"/>
        <v/>
      </c>
      <c r="K1554" s="30"/>
      <c r="M1554" t="str">
        <f>IF($A1554=Ficha!$B$3,COUNTIF($A$5:$A1554,Ficha!$B$3),"")</f>
        <v/>
      </c>
    </row>
    <row r="1555" spans="2:13" x14ac:dyDescent="0.3">
      <c r="B1555" s="30" t="str">
        <f>IF(A1555="","",IFERROR(INDEX(Maniobras!$B$5:$B$504,MATCH(A1555,Maniobras!$A$5:$A$504,0)),""))</f>
        <v/>
      </c>
      <c r="C1555" t="str">
        <f t="shared" si="48"/>
        <v/>
      </c>
      <c r="D1555" t="str">
        <f>IF(A1555="","",IFERROR(INDEX(Maniobras!$D$5:$D$504,MATCH(A1555,Maniobras!$A$5:$A$504,0)),""))</f>
        <v/>
      </c>
      <c r="F1555" s="29" t="str">
        <f>IF(A1555="","",IFERROR(INDEX(Maniobras!$K$5:$K$504,MATCH(A1555,Maniobras!$A$5:$A$504,0)),""))</f>
        <v/>
      </c>
      <c r="G1555" s="29"/>
      <c r="H1555" s="29"/>
      <c r="I1555" s="29" t="str">
        <f t="shared" si="49"/>
        <v/>
      </c>
      <c r="K1555" s="30"/>
      <c r="M1555" t="str">
        <f>IF($A1555=Ficha!$B$3,COUNTIF($A$5:$A1555,Ficha!$B$3),"")</f>
        <v/>
      </c>
    </row>
    <row r="1556" spans="2:13" x14ac:dyDescent="0.3">
      <c r="B1556" s="30" t="str">
        <f>IF(A1556="","",IFERROR(INDEX(Maniobras!$B$5:$B$504,MATCH(A1556,Maniobras!$A$5:$A$504,0)),""))</f>
        <v/>
      </c>
      <c r="C1556" t="str">
        <f t="shared" si="48"/>
        <v/>
      </c>
      <c r="D1556" t="str">
        <f>IF(A1556="","",IFERROR(INDEX(Maniobras!$D$5:$D$504,MATCH(A1556,Maniobras!$A$5:$A$504,0)),""))</f>
        <v/>
      </c>
      <c r="F1556" s="29" t="str">
        <f>IF(A1556="","",IFERROR(INDEX(Maniobras!$K$5:$K$504,MATCH(A1556,Maniobras!$A$5:$A$504,0)),""))</f>
        <v/>
      </c>
      <c r="G1556" s="29"/>
      <c r="H1556" s="29"/>
      <c r="I1556" s="29" t="str">
        <f t="shared" si="49"/>
        <v/>
      </c>
      <c r="K1556" s="30"/>
      <c r="M1556" t="str">
        <f>IF($A1556=Ficha!$B$3,COUNTIF($A$5:$A1556,Ficha!$B$3),"")</f>
        <v/>
      </c>
    </row>
    <row r="1557" spans="2:13" x14ac:dyDescent="0.3">
      <c r="B1557" s="30" t="str">
        <f>IF(A1557="","",IFERROR(INDEX(Maniobras!$B$5:$B$504,MATCH(A1557,Maniobras!$A$5:$A$504,0)),""))</f>
        <v/>
      </c>
      <c r="C1557" t="str">
        <f t="shared" si="48"/>
        <v/>
      </c>
      <c r="D1557" t="str">
        <f>IF(A1557="","",IFERROR(INDEX(Maniobras!$D$5:$D$504,MATCH(A1557,Maniobras!$A$5:$A$504,0)),""))</f>
        <v/>
      </c>
      <c r="F1557" s="29" t="str">
        <f>IF(A1557="","",IFERROR(INDEX(Maniobras!$K$5:$K$504,MATCH(A1557,Maniobras!$A$5:$A$504,0)),""))</f>
        <v/>
      </c>
      <c r="G1557" s="29"/>
      <c r="H1557" s="29"/>
      <c r="I1557" s="29" t="str">
        <f t="shared" si="49"/>
        <v/>
      </c>
      <c r="K1557" s="30"/>
      <c r="M1557" t="str">
        <f>IF($A1557=Ficha!$B$3,COUNTIF($A$5:$A1557,Ficha!$B$3),"")</f>
        <v/>
      </c>
    </row>
    <row r="1558" spans="2:13" x14ac:dyDescent="0.3">
      <c r="B1558" s="30" t="str">
        <f>IF(A1558="","",IFERROR(INDEX(Maniobras!$B$5:$B$504,MATCH(A1558,Maniobras!$A$5:$A$504,0)),""))</f>
        <v/>
      </c>
      <c r="C1558" t="str">
        <f t="shared" si="48"/>
        <v/>
      </c>
      <c r="D1558" t="str">
        <f>IF(A1558="","",IFERROR(INDEX(Maniobras!$D$5:$D$504,MATCH(A1558,Maniobras!$A$5:$A$504,0)),""))</f>
        <v/>
      </c>
      <c r="F1558" s="29" t="str">
        <f>IF(A1558="","",IFERROR(INDEX(Maniobras!$K$5:$K$504,MATCH(A1558,Maniobras!$A$5:$A$504,0)),""))</f>
        <v/>
      </c>
      <c r="G1558" s="29"/>
      <c r="H1558" s="29"/>
      <c r="I1558" s="29" t="str">
        <f t="shared" si="49"/>
        <v/>
      </c>
      <c r="K1558" s="30"/>
      <c r="M1558" t="str">
        <f>IF($A1558=Ficha!$B$3,COUNTIF($A$5:$A1558,Ficha!$B$3),"")</f>
        <v/>
      </c>
    </row>
    <row r="1559" spans="2:13" x14ac:dyDescent="0.3">
      <c r="B1559" s="30" t="str">
        <f>IF(A1559="","",IFERROR(INDEX(Maniobras!$B$5:$B$504,MATCH(A1559,Maniobras!$A$5:$A$504,0)),""))</f>
        <v/>
      </c>
      <c r="C1559" t="str">
        <f t="shared" si="48"/>
        <v/>
      </c>
      <c r="D1559" t="str">
        <f>IF(A1559="","",IFERROR(INDEX(Maniobras!$D$5:$D$504,MATCH(A1559,Maniobras!$A$5:$A$504,0)),""))</f>
        <v/>
      </c>
      <c r="F1559" s="29" t="str">
        <f>IF(A1559="","",IFERROR(INDEX(Maniobras!$K$5:$K$504,MATCH(A1559,Maniobras!$A$5:$A$504,0)),""))</f>
        <v/>
      </c>
      <c r="G1559" s="29"/>
      <c r="H1559" s="29"/>
      <c r="I1559" s="29" t="str">
        <f t="shared" si="49"/>
        <v/>
      </c>
      <c r="K1559" s="30"/>
      <c r="M1559" t="str">
        <f>IF($A1559=Ficha!$B$3,COUNTIF($A$5:$A1559,Ficha!$B$3),"")</f>
        <v/>
      </c>
    </row>
    <row r="1560" spans="2:13" x14ac:dyDescent="0.3">
      <c r="B1560" s="30" t="str">
        <f>IF(A1560="","",IFERROR(INDEX(Maniobras!$B$5:$B$504,MATCH(A1560,Maniobras!$A$5:$A$504,0)),""))</f>
        <v/>
      </c>
      <c r="C1560" t="str">
        <f t="shared" si="48"/>
        <v/>
      </c>
      <c r="D1560" t="str">
        <f>IF(A1560="","",IFERROR(INDEX(Maniobras!$D$5:$D$504,MATCH(A1560,Maniobras!$A$5:$A$504,0)),""))</f>
        <v/>
      </c>
      <c r="F1560" s="29" t="str">
        <f>IF(A1560="","",IFERROR(INDEX(Maniobras!$K$5:$K$504,MATCH(A1560,Maniobras!$A$5:$A$504,0)),""))</f>
        <v/>
      </c>
      <c r="G1560" s="29"/>
      <c r="H1560" s="29"/>
      <c r="I1560" s="29" t="str">
        <f t="shared" si="49"/>
        <v/>
      </c>
      <c r="K1560" s="30"/>
      <c r="M1560" t="str">
        <f>IF($A1560=Ficha!$B$3,COUNTIF($A$5:$A1560,Ficha!$B$3),"")</f>
        <v/>
      </c>
    </row>
    <row r="1561" spans="2:13" x14ac:dyDescent="0.3">
      <c r="B1561" s="30" t="str">
        <f>IF(A1561="","",IFERROR(INDEX(Maniobras!$B$5:$B$504,MATCH(A1561,Maniobras!$A$5:$A$504,0)),""))</f>
        <v/>
      </c>
      <c r="C1561" t="str">
        <f t="shared" si="48"/>
        <v/>
      </c>
      <c r="D1561" t="str">
        <f>IF(A1561="","",IFERROR(INDEX(Maniobras!$D$5:$D$504,MATCH(A1561,Maniobras!$A$5:$A$504,0)),""))</f>
        <v/>
      </c>
      <c r="F1561" s="29" t="str">
        <f>IF(A1561="","",IFERROR(INDEX(Maniobras!$K$5:$K$504,MATCH(A1561,Maniobras!$A$5:$A$504,0)),""))</f>
        <v/>
      </c>
      <c r="G1561" s="29"/>
      <c r="H1561" s="29"/>
      <c r="I1561" s="29" t="str">
        <f t="shared" si="49"/>
        <v/>
      </c>
      <c r="K1561" s="30"/>
      <c r="M1561" t="str">
        <f>IF($A1561=Ficha!$B$3,COUNTIF($A$5:$A1561,Ficha!$B$3),"")</f>
        <v/>
      </c>
    </row>
    <row r="1562" spans="2:13" x14ac:dyDescent="0.3">
      <c r="B1562" s="30" t="str">
        <f>IF(A1562="","",IFERROR(INDEX(Maniobras!$B$5:$B$504,MATCH(A1562,Maniobras!$A$5:$A$504,0)),""))</f>
        <v/>
      </c>
      <c r="C1562" t="str">
        <f t="shared" si="48"/>
        <v/>
      </c>
      <c r="D1562" t="str">
        <f>IF(A1562="","",IFERROR(INDEX(Maniobras!$D$5:$D$504,MATCH(A1562,Maniobras!$A$5:$A$504,0)),""))</f>
        <v/>
      </c>
      <c r="F1562" s="29" t="str">
        <f>IF(A1562="","",IFERROR(INDEX(Maniobras!$K$5:$K$504,MATCH(A1562,Maniobras!$A$5:$A$504,0)),""))</f>
        <v/>
      </c>
      <c r="G1562" s="29"/>
      <c r="H1562" s="29"/>
      <c r="I1562" s="29" t="str">
        <f t="shared" si="49"/>
        <v/>
      </c>
      <c r="K1562" s="30"/>
      <c r="M1562" t="str">
        <f>IF($A1562=Ficha!$B$3,COUNTIF($A$5:$A1562,Ficha!$B$3),"")</f>
        <v/>
      </c>
    </row>
    <row r="1563" spans="2:13" x14ac:dyDescent="0.3">
      <c r="B1563" s="30" t="str">
        <f>IF(A1563="","",IFERROR(INDEX(Maniobras!$B$5:$B$504,MATCH(A1563,Maniobras!$A$5:$A$504,0)),""))</f>
        <v/>
      </c>
      <c r="C1563" t="str">
        <f t="shared" si="48"/>
        <v/>
      </c>
      <c r="D1563" t="str">
        <f>IF(A1563="","",IFERROR(INDEX(Maniobras!$D$5:$D$504,MATCH(A1563,Maniobras!$A$5:$A$504,0)),""))</f>
        <v/>
      </c>
      <c r="F1563" s="29" t="str">
        <f>IF(A1563="","",IFERROR(INDEX(Maniobras!$K$5:$K$504,MATCH(A1563,Maniobras!$A$5:$A$504,0)),""))</f>
        <v/>
      </c>
      <c r="G1563" s="29"/>
      <c r="H1563" s="29"/>
      <c r="I1563" s="29" t="str">
        <f t="shared" si="49"/>
        <v/>
      </c>
      <c r="K1563" s="30"/>
      <c r="M1563" t="str">
        <f>IF($A1563=Ficha!$B$3,COUNTIF($A$5:$A1563,Ficha!$B$3),"")</f>
        <v/>
      </c>
    </row>
    <row r="1564" spans="2:13" x14ac:dyDescent="0.3">
      <c r="B1564" s="30" t="str">
        <f>IF(A1564="","",IFERROR(INDEX(Maniobras!$B$5:$B$504,MATCH(A1564,Maniobras!$A$5:$A$504,0)),""))</f>
        <v/>
      </c>
      <c r="C1564" t="str">
        <f t="shared" si="48"/>
        <v/>
      </c>
      <c r="D1564" t="str">
        <f>IF(A1564="","",IFERROR(INDEX(Maniobras!$D$5:$D$504,MATCH(A1564,Maniobras!$A$5:$A$504,0)),""))</f>
        <v/>
      </c>
      <c r="F1564" s="29" t="str">
        <f>IF(A1564="","",IFERROR(INDEX(Maniobras!$K$5:$K$504,MATCH(A1564,Maniobras!$A$5:$A$504,0)),""))</f>
        <v/>
      </c>
      <c r="G1564" s="29"/>
      <c r="H1564" s="29"/>
      <c r="I1564" s="29" t="str">
        <f t="shared" si="49"/>
        <v/>
      </c>
      <c r="K1564" s="30"/>
      <c r="M1564" t="str">
        <f>IF($A1564=Ficha!$B$3,COUNTIF($A$5:$A1564,Ficha!$B$3),"")</f>
        <v/>
      </c>
    </row>
    <row r="1565" spans="2:13" x14ac:dyDescent="0.3">
      <c r="B1565" s="30" t="str">
        <f>IF(A1565="","",IFERROR(INDEX(Maniobras!$B$5:$B$504,MATCH(A1565,Maniobras!$A$5:$A$504,0)),""))</f>
        <v/>
      </c>
      <c r="C1565" t="str">
        <f t="shared" si="48"/>
        <v/>
      </c>
      <c r="D1565" t="str">
        <f>IF(A1565="","",IFERROR(INDEX(Maniobras!$D$5:$D$504,MATCH(A1565,Maniobras!$A$5:$A$504,0)),""))</f>
        <v/>
      </c>
      <c r="F1565" s="29" t="str">
        <f>IF(A1565="","",IFERROR(INDEX(Maniobras!$K$5:$K$504,MATCH(A1565,Maniobras!$A$5:$A$504,0)),""))</f>
        <v/>
      </c>
      <c r="G1565" s="29"/>
      <c r="H1565" s="29"/>
      <c r="I1565" s="29" t="str">
        <f t="shared" si="49"/>
        <v/>
      </c>
      <c r="K1565" s="30"/>
      <c r="M1565" t="str">
        <f>IF($A1565=Ficha!$B$3,COUNTIF($A$5:$A1565,Ficha!$B$3),"")</f>
        <v/>
      </c>
    </row>
    <row r="1566" spans="2:13" x14ac:dyDescent="0.3">
      <c r="B1566" s="30" t="str">
        <f>IF(A1566="","",IFERROR(INDEX(Maniobras!$B$5:$B$504,MATCH(A1566,Maniobras!$A$5:$A$504,0)),""))</f>
        <v/>
      </c>
      <c r="C1566" t="str">
        <f t="shared" si="48"/>
        <v/>
      </c>
      <c r="D1566" t="str">
        <f>IF(A1566="","",IFERROR(INDEX(Maniobras!$D$5:$D$504,MATCH(A1566,Maniobras!$A$5:$A$504,0)),""))</f>
        <v/>
      </c>
      <c r="F1566" s="29" t="str">
        <f>IF(A1566="","",IFERROR(INDEX(Maniobras!$K$5:$K$504,MATCH(A1566,Maniobras!$A$5:$A$504,0)),""))</f>
        <v/>
      </c>
      <c r="G1566" s="29"/>
      <c r="H1566" s="29"/>
      <c r="I1566" s="29" t="str">
        <f t="shared" si="49"/>
        <v/>
      </c>
      <c r="K1566" s="30"/>
      <c r="M1566" t="str">
        <f>IF($A1566=Ficha!$B$3,COUNTIF($A$5:$A1566,Ficha!$B$3),"")</f>
        <v/>
      </c>
    </row>
    <row r="1567" spans="2:13" x14ac:dyDescent="0.3">
      <c r="B1567" s="30" t="str">
        <f>IF(A1567="","",IFERROR(INDEX(Maniobras!$B$5:$B$504,MATCH(A1567,Maniobras!$A$5:$A$504,0)),""))</f>
        <v/>
      </c>
      <c r="C1567" t="str">
        <f t="shared" si="48"/>
        <v/>
      </c>
      <c r="D1567" t="str">
        <f>IF(A1567="","",IFERROR(INDEX(Maniobras!$D$5:$D$504,MATCH(A1567,Maniobras!$A$5:$A$504,0)),""))</f>
        <v/>
      </c>
      <c r="F1567" s="29" t="str">
        <f>IF(A1567="","",IFERROR(INDEX(Maniobras!$K$5:$K$504,MATCH(A1567,Maniobras!$A$5:$A$504,0)),""))</f>
        <v/>
      </c>
      <c r="G1567" s="29"/>
      <c r="H1567" s="29"/>
      <c r="I1567" s="29" t="str">
        <f t="shared" si="49"/>
        <v/>
      </c>
      <c r="K1567" s="30"/>
      <c r="M1567" t="str">
        <f>IF($A1567=Ficha!$B$3,COUNTIF($A$5:$A1567,Ficha!$B$3),"")</f>
        <v/>
      </c>
    </row>
    <row r="1568" spans="2:13" x14ac:dyDescent="0.3">
      <c r="B1568" s="30" t="str">
        <f>IF(A1568="","",IFERROR(INDEX(Maniobras!$B$5:$B$504,MATCH(A1568,Maniobras!$A$5:$A$504,0)),""))</f>
        <v/>
      </c>
      <c r="C1568" t="str">
        <f t="shared" si="48"/>
        <v/>
      </c>
      <c r="D1568" t="str">
        <f>IF(A1568="","",IFERROR(INDEX(Maniobras!$D$5:$D$504,MATCH(A1568,Maniobras!$A$5:$A$504,0)),""))</f>
        <v/>
      </c>
      <c r="F1568" s="29" t="str">
        <f>IF(A1568="","",IFERROR(INDEX(Maniobras!$K$5:$K$504,MATCH(A1568,Maniobras!$A$5:$A$504,0)),""))</f>
        <v/>
      </c>
      <c r="G1568" s="29"/>
      <c r="H1568" s="29"/>
      <c r="I1568" s="29" t="str">
        <f t="shared" si="49"/>
        <v/>
      </c>
      <c r="K1568" s="30"/>
      <c r="M1568" t="str">
        <f>IF($A1568=Ficha!$B$3,COUNTIF($A$5:$A1568,Ficha!$B$3),"")</f>
        <v/>
      </c>
    </row>
    <row r="1569" spans="2:13" x14ac:dyDescent="0.3">
      <c r="B1569" s="30" t="str">
        <f>IF(A1569="","",IFERROR(INDEX(Maniobras!$B$5:$B$504,MATCH(A1569,Maniobras!$A$5:$A$504,0)),""))</f>
        <v/>
      </c>
      <c r="C1569" t="str">
        <f t="shared" si="48"/>
        <v/>
      </c>
      <c r="D1569" t="str">
        <f>IF(A1569="","",IFERROR(INDEX(Maniobras!$D$5:$D$504,MATCH(A1569,Maniobras!$A$5:$A$504,0)),""))</f>
        <v/>
      </c>
      <c r="F1569" s="29" t="str">
        <f>IF(A1569="","",IFERROR(INDEX(Maniobras!$K$5:$K$504,MATCH(A1569,Maniobras!$A$5:$A$504,0)),""))</f>
        <v/>
      </c>
      <c r="G1569" s="29"/>
      <c r="H1569" s="29"/>
      <c r="I1569" s="29" t="str">
        <f t="shared" si="49"/>
        <v/>
      </c>
      <c r="K1569" s="30"/>
      <c r="M1569" t="str">
        <f>IF($A1569=Ficha!$B$3,COUNTIF($A$5:$A1569,Ficha!$B$3),"")</f>
        <v/>
      </c>
    </row>
    <row r="1570" spans="2:13" x14ac:dyDescent="0.3">
      <c r="B1570" s="30" t="str">
        <f>IF(A1570="","",IFERROR(INDEX(Maniobras!$B$5:$B$504,MATCH(A1570,Maniobras!$A$5:$A$504,0)),""))</f>
        <v/>
      </c>
      <c r="C1570" t="str">
        <f t="shared" si="48"/>
        <v/>
      </c>
      <c r="D1570" t="str">
        <f>IF(A1570="","",IFERROR(INDEX(Maniobras!$D$5:$D$504,MATCH(A1570,Maniobras!$A$5:$A$504,0)),""))</f>
        <v/>
      </c>
      <c r="F1570" s="29" t="str">
        <f>IF(A1570="","",IFERROR(INDEX(Maniobras!$K$5:$K$504,MATCH(A1570,Maniobras!$A$5:$A$504,0)),""))</f>
        <v/>
      </c>
      <c r="G1570" s="29"/>
      <c r="H1570" s="29"/>
      <c r="I1570" s="29" t="str">
        <f t="shared" si="49"/>
        <v/>
      </c>
      <c r="K1570" s="30"/>
      <c r="M1570" t="str">
        <f>IF($A1570=Ficha!$B$3,COUNTIF($A$5:$A1570,Ficha!$B$3),"")</f>
        <v/>
      </c>
    </row>
    <row r="1571" spans="2:13" x14ac:dyDescent="0.3">
      <c r="B1571" s="30" t="str">
        <f>IF(A1571="","",IFERROR(INDEX(Maniobras!$B$5:$B$504,MATCH(A1571,Maniobras!$A$5:$A$504,0)),""))</f>
        <v/>
      </c>
      <c r="C1571" t="str">
        <f t="shared" si="48"/>
        <v/>
      </c>
      <c r="D1571" t="str">
        <f>IF(A1571="","",IFERROR(INDEX(Maniobras!$D$5:$D$504,MATCH(A1571,Maniobras!$A$5:$A$504,0)),""))</f>
        <v/>
      </c>
      <c r="F1571" s="29" t="str">
        <f>IF(A1571="","",IFERROR(INDEX(Maniobras!$K$5:$K$504,MATCH(A1571,Maniobras!$A$5:$A$504,0)),""))</f>
        <v/>
      </c>
      <c r="G1571" s="29"/>
      <c r="H1571" s="29"/>
      <c r="I1571" s="29" t="str">
        <f t="shared" si="49"/>
        <v/>
      </c>
      <c r="K1571" s="30"/>
      <c r="M1571" t="str">
        <f>IF($A1571=Ficha!$B$3,COUNTIF($A$5:$A1571,Ficha!$B$3),"")</f>
        <v/>
      </c>
    </row>
    <row r="1572" spans="2:13" x14ac:dyDescent="0.3">
      <c r="B1572" s="30" t="str">
        <f>IF(A1572="","",IFERROR(INDEX(Maniobras!$B$5:$B$504,MATCH(A1572,Maniobras!$A$5:$A$504,0)),""))</f>
        <v/>
      </c>
      <c r="C1572" t="str">
        <f t="shared" si="48"/>
        <v/>
      </c>
      <c r="D1572" t="str">
        <f>IF(A1572="","",IFERROR(INDEX(Maniobras!$D$5:$D$504,MATCH(A1572,Maniobras!$A$5:$A$504,0)),""))</f>
        <v/>
      </c>
      <c r="F1572" s="29" t="str">
        <f>IF(A1572="","",IFERROR(INDEX(Maniobras!$K$5:$K$504,MATCH(A1572,Maniobras!$A$5:$A$504,0)),""))</f>
        <v/>
      </c>
      <c r="G1572" s="29"/>
      <c r="H1572" s="29"/>
      <c r="I1572" s="29" t="str">
        <f t="shared" si="49"/>
        <v/>
      </c>
      <c r="K1572" s="30"/>
      <c r="M1572" t="str">
        <f>IF($A1572=Ficha!$B$3,COUNTIF($A$5:$A1572,Ficha!$B$3),"")</f>
        <v/>
      </c>
    </row>
    <row r="1573" spans="2:13" x14ac:dyDescent="0.3">
      <c r="B1573" s="30" t="str">
        <f>IF(A1573="","",IFERROR(INDEX(Maniobras!$B$5:$B$504,MATCH(A1573,Maniobras!$A$5:$A$504,0)),""))</f>
        <v/>
      </c>
      <c r="C1573" t="str">
        <f t="shared" si="48"/>
        <v/>
      </c>
      <c r="D1573" t="str">
        <f>IF(A1573="","",IFERROR(INDEX(Maniobras!$D$5:$D$504,MATCH(A1573,Maniobras!$A$5:$A$504,0)),""))</f>
        <v/>
      </c>
      <c r="F1573" s="29" t="str">
        <f>IF(A1573="","",IFERROR(INDEX(Maniobras!$K$5:$K$504,MATCH(A1573,Maniobras!$A$5:$A$504,0)),""))</f>
        <v/>
      </c>
      <c r="G1573" s="29"/>
      <c r="H1573" s="29"/>
      <c r="I1573" s="29" t="str">
        <f t="shared" si="49"/>
        <v/>
      </c>
      <c r="K1573" s="30"/>
      <c r="M1573" t="str">
        <f>IF($A1573=Ficha!$B$3,COUNTIF($A$5:$A1573,Ficha!$B$3),"")</f>
        <v/>
      </c>
    </row>
    <row r="1574" spans="2:13" x14ac:dyDescent="0.3">
      <c r="B1574" s="30" t="str">
        <f>IF(A1574="","",IFERROR(INDEX(Maniobras!$B$5:$B$504,MATCH(A1574,Maniobras!$A$5:$A$504,0)),""))</f>
        <v/>
      </c>
      <c r="C1574" t="str">
        <f t="shared" si="48"/>
        <v/>
      </c>
      <c r="D1574" t="str">
        <f>IF(A1574="","",IFERROR(INDEX(Maniobras!$D$5:$D$504,MATCH(A1574,Maniobras!$A$5:$A$504,0)),""))</f>
        <v/>
      </c>
      <c r="F1574" s="29" t="str">
        <f>IF(A1574="","",IFERROR(INDEX(Maniobras!$K$5:$K$504,MATCH(A1574,Maniobras!$A$5:$A$504,0)),""))</f>
        <v/>
      </c>
      <c r="G1574" s="29"/>
      <c r="H1574" s="29"/>
      <c r="I1574" s="29" t="str">
        <f t="shared" si="49"/>
        <v/>
      </c>
      <c r="K1574" s="30"/>
      <c r="M1574" t="str">
        <f>IF($A1574=Ficha!$B$3,COUNTIF($A$5:$A1574,Ficha!$B$3),"")</f>
        <v/>
      </c>
    </row>
    <row r="1575" spans="2:13" x14ac:dyDescent="0.3">
      <c r="B1575" s="30" t="str">
        <f>IF(A1575="","",IFERROR(INDEX(Maniobras!$B$5:$B$504,MATCH(A1575,Maniobras!$A$5:$A$504,0)),""))</f>
        <v/>
      </c>
      <c r="C1575" t="str">
        <f t="shared" si="48"/>
        <v/>
      </c>
      <c r="D1575" t="str">
        <f>IF(A1575="","",IFERROR(INDEX(Maniobras!$D$5:$D$504,MATCH(A1575,Maniobras!$A$5:$A$504,0)),""))</f>
        <v/>
      </c>
      <c r="F1575" s="29" t="str">
        <f>IF(A1575="","",IFERROR(INDEX(Maniobras!$K$5:$K$504,MATCH(A1575,Maniobras!$A$5:$A$504,0)),""))</f>
        <v/>
      </c>
      <c r="G1575" s="29"/>
      <c r="H1575" s="29"/>
      <c r="I1575" s="29" t="str">
        <f t="shared" si="49"/>
        <v/>
      </c>
      <c r="K1575" s="30"/>
      <c r="M1575" t="str">
        <f>IF($A1575=Ficha!$B$3,COUNTIF($A$5:$A1575,Ficha!$B$3),"")</f>
        <v/>
      </c>
    </row>
    <row r="1576" spans="2:13" x14ac:dyDescent="0.3">
      <c r="B1576" s="30" t="str">
        <f>IF(A1576="","",IFERROR(INDEX(Maniobras!$B$5:$B$504,MATCH(A1576,Maniobras!$A$5:$A$504,0)),""))</f>
        <v/>
      </c>
      <c r="C1576" t="str">
        <f t="shared" si="48"/>
        <v/>
      </c>
      <c r="D1576" t="str">
        <f>IF(A1576="","",IFERROR(INDEX(Maniobras!$D$5:$D$504,MATCH(A1576,Maniobras!$A$5:$A$504,0)),""))</f>
        <v/>
      </c>
      <c r="F1576" s="29" t="str">
        <f>IF(A1576="","",IFERROR(INDEX(Maniobras!$K$5:$K$504,MATCH(A1576,Maniobras!$A$5:$A$504,0)),""))</f>
        <v/>
      </c>
      <c r="G1576" s="29"/>
      <c r="H1576" s="29"/>
      <c r="I1576" s="29" t="str">
        <f t="shared" si="49"/>
        <v/>
      </c>
      <c r="K1576" s="30"/>
      <c r="M1576" t="str">
        <f>IF($A1576=Ficha!$B$3,COUNTIF($A$5:$A1576,Ficha!$B$3),"")</f>
        <v/>
      </c>
    </row>
    <row r="1577" spans="2:13" x14ac:dyDescent="0.3">
      <c r="B1577" s="30" t="str">
        <f>IF(A1577="","",IFERROR(INDEX(Maniobras!$B$5:$B$504,MATCH(A1577,Maniobras!$A$5:$A$504,0)),""))</f>
        <v/>
      </c>
      <c r="C1577" t="str">
        <f t="shared" si="48"/>
        <v/>
      </c>
      <c r="D1577" t="str">
        <f>IF(A1577="","",IFERROR(INDEX(Maniobras!$D$5:$D$504,MATCH(A1577,Maniobras!$A$5:$A$504,0)),""))</f>
        <v/>
      </c>
      <c r="F1577" s="29" t="str">
        <f>IF(A1577="","",IFERROR(INDEX(Maniobras!$K$5:$K$504,MATCH(A1577,Maniobras!$A$5:$A$504,0)),""))</f>
        <v/>
      </c>
      <c r="G1577" s="29"/>
      <c r="H1577" s="29"/>
      <c r="I1577" s="29" t="str">
        <f t="shared" si="49"/>
        <v/>
      </c>
      <c r="K1577" s="30"/>
      <c r="M1577" t="str">
        <f>IF($A1577=Ficha!$B$3,COUNTIF($A$5:$A1577,Ficha!$B$3),"")</f>
        <v/>
      </c>
    </row>
    <row r="1578" spans="2:13" x14ac:dyDescent="0.3">
      <c r="B1578" s="30" t="str">
        <f>IF(A1578="","",IFERROR(INDEX(Maniobras!$B$5:$B$504,MATCH(A1578,Maniobras!$A$5:$A$504,0)),""))</f>
        <v/>
      </c>
      <c r="C1578" t="str">
        <f t="shared" si="48"/>
        <v/>
      </c>
      <c r="D1578" t="str">
        <f>IF(A1578="","",IFERROR(INDEX(Maniobras!$D$5:$D$504,MATCH(A1578,Maniobras!$A$5:$A$504,0)),""))</f>
        <v/>
      </c>
      <c r="F1578" s="29" t="str">
        <f>IF(A1578="","",IFERROR(INDEX(Maniobras!$K$5:$K$504,MATCH(A1578,Maniobras!$A$5:$A$504,0)),""))</f>
        <v/>
      </c>
      <c r="G1578" s="29"/>
      <c r="H1578" s="29"/>
      <c r="I1578" s="29" t="str">
        <f t="shared" si="49"/>
        <v/>
      </c>
      <c r="K1578" s="30"/>
      <c r="M1578" t="str">
        <f>IF($A1578=Ficha!$B$3,COUNTIF($A$5:$A1578,Ficha!$B$3),"")</f>
        <v/>
      </c>
    </row>
    <row r="1579" spans="2:13" x14ac:dyDescent="0.3">
      <c r="B1579" s="30" t="str">
        <f>IF(A1579="","",IFERROR(INDEX(Maniobras!$B$5:$B$504,MATCH(A1579,Maniobras!$A$5:$A$504,0)),""))</f>
        <v/>
      </c>
      <c r="C1579" t="str">
        <f t="shared" si="48"/>
        <v/>
      </c>
      <c r="D1579" t="str">
        <f>IF(A1579="","",IFERROR(INDEX(Maniobras!$D$5:$D$504,MATCH(A1579,Maniobras!$A$5:$A$504,0)),""))</f>
        <v/>
      </c>
      <c r="F1579" s="29" t="str">
        <f>IF(A1579="","",IFERROR(INDEX(Maniobras!$K$5:$K$504,MATCH(A1579,Maniobras!$A$5:$A$504,0)),""))</f>
        <v/>
      </c>
      <c r="G1579" s="29"/>
      <c r="H1579" s="29"/>
      <c r="I1579" s="29" t="str">
        <f t="shared" si="49"/>
        <v/>
      </c>
      <c r="K1579" s="30"/>
      <c r="M1579" t="str">
        <f>IF($A1579=Ficha!$B$3,COUNTIF($A$5:$A1579,Ficha!$B$3),"")</f>
        <v/>
      </c>
    </row>
    <row r="1580" spans="2:13" x14ac:dyDescent="0.3">
      <c r="B1580" s="30" t="str">
        <f>IF(A1580="","",IFERROR(INDEX(Maniobras!$B$5:$B$504,MATCH(A1580,Maniobras!$A$5:$A$504,0)),""))</f>
        <v/>
      </c>
      <c r="C1580" t="str">
        <f t="shared" si="48"/>
        <v/>
      </c>
      <c r="D1580" t="str">
        <f>IF(A1580="","",IFERROR(INDEX(Maniobras!$D$5:$D$504,MATCH(A1580,Maniobras!$A$5:$A$504,0)),""))</f>
        <v/>
      </c>
      <c r="F1580" s="29" t="str">
        <f>IF(A1580="","",IFERROR(INDEX(Maniobras!$K$5:$K$504,MATCH(A1580,Maniobras!$A$5:$A$504,0)),""))</f>
        <v/>
      </c>
      <c r="G1580" s="29"/>
      <c r="H1580" s="29"/>
      <c r="I1580" s="29" t="str">
        <f t="shared" si="49"/>
        <v/>
      </c>
      <c r="K1580" s="30"/>
      <c r="M1580" t="str">
        <f>IF($A1580=Ficha!$B$3,COUNTIF($A$5:$A1580,Ficha!$B$3),"")</f>
        <v/>
      </c>
    </row>
    <row r="1581" spans="2:13" x14ac:dyDescent="0.3">
      <c r="B1581" s="30" t="str">
        <f>IF(A1581="","",IFERROR(INDEX(Maniobras!$B$5:$B$504,MATCH(A1581,Maniobras!$A$5:$A$504,0)),""))</f>
        <v/>
      </c>
      <c r="C1581" t="str">
        <f t="shared" si="48"/>
        <v/>
      </c>
      <c r="D1581" t="str">
        <f>IF(A1581="","",IFERROR(INDEX(Maniobras!$D$5:$D$504,MATCH(A1581,Maniobras!$A$5:$A$504,0)),""))</f>
        <v/>
      </c>
      <c r="F1581" s="29" t="str">
        <f>IF(A1581="","",IFERROR(INDEX(Maniobras!$K$5:$K$504,MATCH(A1581,Maniobras!$A$5:$A$504,0)),""))</f>
        <v/>
      </c>
      <c r="G1581" s="29"/>
      <c r="H1581" s="29"/>
      <c r="I1581" s="29" t="str">
        <f t="shared" si="49"/>
        <v/>
      </c>
      <c r="K1581" s="30"/>
      <c r="M1581" t="str">
        <f>IF($A1581=Ficha!$B$3,COUNTIF($A$5:$A1581,Ficha!$B$3),"")</f>
        <v/>
      </c>
    </row>
    <row r="1582" spans="2:13" x14ac:dyDescent="0.3">
      <c r="B1582" s="30" t="str">
        <f>IF(A1582="","",IFERROR(INDEX(Maniobras!$B$5:$B$504,MATCH(A1582,Maniobras!$A$5:$A$504,0)),""))</f>
        <v/>
      </c>
      <c r="C1582" t="str">
        <f t="shared" si="48"/>
        <v/>
      </c>
      <c r="D1582" t="str">
        <f>IF(A1582="","",IFERROR(INDEX(Maniobras!$D$5:$D$504,MATCH(A1582,Maniobras!$A$5:$A$504,0)),""))</f>
        <v/>
      </c>
      <c r="F1582" s="29" t="str">
        <f>IF(A1582="","",IFERROR(INDEX(Maniobras!$K$5:$K$504,MATCH(A1582,Maniobras!$A$5:$A$504,0)),""))</f>
        <v/>
      </c>
      <c r="G1582" s="29"/>
      <c r="H1582" s="29"/>
      <c r="I1582" s="29" t="str">
        <f t="shared" si="49"/>
        <v/>
      </c>
      <c r="K1582" s="30"/>
      <c r="M1582" t="str">
        <f>IF($A1582=Ficha!$B$3,COUNTIF($A$5:$A1582,Ficha!$B$3),"")</f>
        <v/>
      </c>
    </row>
    <row r="1583" spans="2:13" x14ac:dyDescent="0.3">
      <c r="B1583" s="30" t="str">
        <f>IF(A1583="","",IFERROR(INDEX(Maniobras!$B$5:$B$504,MATCH(A1583,Maniobras!$A$5:$A$504,0)),""))</f>
        <v/>
      </c>
      <c r="C1583" t="str">
        <f t="shared" si="48"/>
        <v/>
      </c>
      <c r="D1583" t="str">
        <f>IF(A1583="","",IFERROR(INDEX(Maniobras!$D$5:$D$504,MATCH(A1583,Maniobras!$A$5:$A$504,0)),""))</f>
        <v/>
      </c>
      <c r="F1583" s="29" t="str">
        <f>IF(A1583="","",IFERROR(INDEX(Maniobras!$K$5:$K$504,MATCH(A1583,Maniobras!$A$5:$A$504,0)),""))</f>
        <v/>
      </c>
      <c r="G1583" s="29"/>
      <c r="H1583" s="29"/>
      <c r="I1583" s="29" t="str">
        <f t="shared" si="49"/>
        <v/>
      </c>
      <c r="K1583" s="30"/>
      <c r="M1583" t="str">
        <f>IF($A1583=Ficha!$B$3,COUNTIF($A$5:$A1583,Ficha!$B$3),"")</f>
        <v/>
      </c>
    </row>
    <row r="1584" spans="2:13" x14ac:dyDescent="0.3">
      <c r="B1584" s="30" t="str">
        <f>IF(A1584="","",IFERROR(INDEX(Maniobras!$B$5:$B$504,MATCH(A1584,Maniobras!$A$5:$A$504,0)),""))</f>
        <v/>
      </c>
      <c r="C1584" t="str">
        <f t="shared" si="48"/>
        <v/>
      </c>
      <c r="D1584" t="str">
        <f>IF(A1584="","",IFERROR(INDEX(Maniobras!$D$5:$D$504,MATCH(A1584,Maniobras!$A$5:$A$504,0)),""))</f>
        <v/>
      </c>
      <c r="F1584" s="29" t="str">
        <f>IF(A1584="","",IFERROR(INDEX(Maniobras!$K$5:$K$504,MATCH(A1584,Maniobras!$A$5:$A$504,0)),""))</f>
        <v/>
      </c>
      <c r="G1584" s="29"/>
      <c r="H1584" s="29"/>
      <c r="I1584" s="29" t="str">
        <f t="shared" si="49"/>
        <v/>
      </c>
      <c r="K1584" s="30"/>
      <c r="M1584" t="str">
        <f>IF($A1584=Ficha!$B$3,COUNTIF($A$5:$A1584,Ficha!$B$3),"")</f>
        <v/>
      </c>
    </row>
    <row r="1585" spans="2:13" x14ac:dyDescent="0.3">
      <c r="B1585" s="30" t="str">
        <f>IF(A1585="","",IFERROR(INDEX(Maniobras!$B$5:$B$504,MATCH(A1585,Maniobras!$A$5:$A$504,0)),""))</f>
        <v/>
      </c>
      <c r="C1585" t="str">
        <f t="shared" si="48"/>
        <v/>
      </c>
      <c r="D1585" t="str">
        <f>IF(A1585="","",IFERROR(INDEX(Maniobras!$D$5:$D$504,MATCH(A1585,Maniobras!$A$5:$A$504,0)),""))</f>
        <v/>
      </c>
      <c r="F1585" s="29" t="str">
        <f>IF(A1585="","",IFERROR(INDEX(Maniobras!$K$5:$K$504,MATCH(A1585,Maniobras!$A$5:$A$504,0)),""))</f>
        <v/>
      </c>
      <c r="G1585" s="29"/>
      <c r="H1585" s="29"/>
      <c r="I1585" s="29" t="str">
        <f t="shared" si="49"/>
        <v/>
      </c>
      <c r="K1585" s="30"/>
      <c r="M1585" t="str">
        <f>IF($A1585=Ficha!$B$3,COUNTIF($A$5:$A1585,Ficha!$B$3),"")</f>
        <v/>
      </c>
    </row>
    <row r="1586" spans="2:13" x14ac:dyDescent="0.3">
      <c r="B1586" s="30" t="str">
        <f>IF(A1586="","",IFERROR(INDEX(Maniobras!$B$5:$B$504,MATCH(A1586,Maniobras!$A$5:$A$504,0)),""))</f>
        <v/>
      </c>
      <c r="C1586" t="str">
        <f t="shared" si="48"/>
        <v/>
      </c>
      <c r="D1586" t="str">
        <f>IF(A1586="","",IFERROR(INDEX(Maniobras!$D$5:$D$504,MATCH(A1586,Maniobras!$A$5:$A$504,0)),""))</f>
        <v/>
      </c>
      <c r="F1586" s="29" t="str">
        <f>IF(A1586="","",IFERROR(INDEX(Maniobras!$K$5:$K$504,MATCH(A1586,Maniobras!$A$5:$A$504,0)),""))</f>
        <v/>
      </c>
      <c r="G1586" s="29"/>
      <c r="H1586" s="29"/>
      <c r="I1586" s="29" t="str">
        <f t="shared" si="49"/>
        <v/>
      </c>
      <c r="K1586" s="30"/>
      <c r="M1586" t="str">
        <f>IF($A1586=Ficha!$B$3,COUNTIF($A$5:$A1586,Ficha!$B$3),"")</f>
        <v/>
      </c>
    </row>
    <row r="1587" spans="2:13" x14ac:dyDescent="0.3">
      <c r="B1587" s="30" t="str">
        <f>IF(A1587="","",IFERROR(INDEX(Maniobras!$B$5:$B$504,MATCH(A1587,Maniobras!$A$5:$A$504,0)),""))</f>
        <v/>
      </c>
      <c r="C1587" t="str">
        <f t="shared" si="48"/>
        <v/>
      </c>
      <c r="D1587" t="str">
        <f>IF(A1587="","",IFERROR(INDEX(Maniobras!$D$5:$D$504,MATCH(A1587,Maniobras!$A$5:$A$504,0)),""))</f>
        <v/>
      </c>
      <c r="F1587" s="29" t="str">
        <f>IF(A1587="","",IFERROR(INDEX(Maniobras!$K$5:$K$504,MATCH(A1587,Maniobras!$A$5:$A$504,0)),""))</f>
        <v/>
      </c>
      <c r="G1587" s="29"/>
      <c r="H1587" s="29"/>
      <c r="I1587" s="29" t="str">
        <f t="shared" si="49"/>
        <v/>
      </c>
      <c r="K1587" s="30"/>
      <c r="M1587" t="str">
        <f>IF($A1587=Ficha!$B$3,COUNTIF($A$5:$A1587,Ficha!$B$3),"")</f>
        <v/>
      </c>
    </row>
    <row r="1588" spans="2:13" x14ac:dyDescent="0.3">
      <c r="B1588" s="30" t="str">
        <f>IF(A1588="","",IFERROR(INDEX(Maniobras!$B$5:$B$504,MATCH(A1588,Maniobras!$A$5:$A$504,0)),""))</f>
        <v/>
      </c>
      <c r="C1588" t="str">
        <f t="shared" si="48"/>
        <v/>
      </c>
      <c r="D1588" t="str">
        <f>IF(A1588="","",IFERROR(INDEX(Maniobras!$D$5:$D$504,MATCH(A1588,Maniobras!$A$5:$A$504,0)),""))</f>
        <v/>
      </c>
      <c r="F1588" s="29" t="str">
        <f>IF(A1588="","",IFERROR(INDEX(Maniobras!$K$5:$K$504,MATCH(A1588,Maniobras!$A$5:$A$504,0)),""))</f>
        <v/>
      </c>
      <c r="G1588" s="29"/>
      <c r="H1588" s="29"/>
      <c r="I1588" s="29" t="str">
        <f t="shared" si="49"/>
        <v/>
      </c>
      <c r="K1588" s="30"/>
      <c r="M1588" t="str">
        <f>IF($A1588=Ficha!$B$3,COUNTIF($A$5:$A1588,Ficha!$B$3),"")</f>
        <v/>
      </c>
    </row>
    <row r="1589" spans="2:13" x14ac:dyDescent="0.3">
      <c r="B1589" s="30" t="str">
        <f>IF(A1589="","",IFERROR(INDEX(Maniobras!$B$5:$B$504,MATCH(A1589,Maniobras!$A$5:$A$504,0)),""))</f>
        <v/>
      </c>
      <c r="C1589" t="str">
        <f t="shared" si="48"/>
        <v/>
      </c>
      <c r="D1589" t="str">
        <f>IF(A1589="","",IFERROR(INDEX(Maniobras!$D$5:$D$504,MATCH(A1589,Maniobras!$A$5:$A$504,0)),""))</f>
        <v/>
      </c>
      <c r="F1589" s="29" t="str">
        <f>IF(A1589="","",IFERROR(INDEX(Maniobras!$K$5:$K$504,MATCH(A1589,Maniobras!$A$5:$A$504,0)),""))</f>
        <v/>
      </c>
      <c r="G1589" s="29"/>
      <c r="H1589" s="29"/>
      <c r="I1589" s="29" t="str">
        <f t="shared" si="49"/>
        <v/>
      </c>
      <c r="K1589" s="30"/>
      <c r="M1589" t="str">
        <f>IF($A1589=Ficha!$B$3,COUNTIF($A$5:$A1589,Ficha!$B$3),"")</f>
        <v/>
      </c>
    </row>
    <row r="1590" spans="2:13" x14ac:dyDescent="0.3">
      <c r="B1590" s="30" t="str">
        <f>IF(A1590="","",IFERROR(INDEX(Maniobras!$B$5:$B$504,MATCH(A1590,Maniobras!$A$5:$A$504,0)),""))</f>
        <v/>
      </c>
      <c r="C1590" t="str">
        <f t="shared" si="48"/>
        <v/>
      </c>
      <c r="D1590" t="str">
        <f>IF(A1590="","",IFERROR(INDEX(Maniobras!$D$5:$D$504,MATCH(A1590,Maniobras!$A$5:$A$504,0)),""))</f>
        <v/>
      </c>
      <c r="F1590" s="29" t="str">
        <f>IF(A1590="","",IFERROR(INDEX(Maniobras!$K$5:$K$504,MATCH(A1590,Maniobras!$A$5:$A$504,0)),""))</f>
        <v/>
      </c>
      <c r="G1590" s="29"/>
      <c r="H1590" s="29"/>
      <c r="I1590" s="29" t="str">
        <f t="shared" si="49"/>
        <v/>
      </c>
      <c r="K1590" s="30"/>
      <c r="M1590" t="str">
        <f>IF($A1590=Ficha!$B$3,COUNTIF($A$5:$A1590,Ficha!$B$3),"")</f>
        <v/>
      </c>
    </row>
    <row r="1591" spans="2:13" x14ac:dyDescent="0.3">
      <c r="B1591" s="30" t="str">
        <f>IF(A1591="","",IFERROR(INDEX(Maniobras!$B$5:$B$504,MATCH(A1591,Maniobras!$A$5:$A$504,0)),""))</f>
        <v/>
      </c>
      <c r="C1591" t="str">
        <f t="shared" si="48"/>
        <v/>
      </c>
      <c r="D1591" t="str">
        <f>IF(A1591="","",IFERROR(INDEX(Maniobras!$D$5:$D$504,MATCH(A1591,Maniobras!$A$5:$A$504,0)),""))</f>
        <v/>
      </c>
      <c r="F1591" s="29" t="str">
        <f>IF(A1591="","",IFERROR(INDEX(Maniobras!$K$5:$K$504,MATCH(A1591,Maniobras!$A$5:$A$504,0)),""))</f>
        <v/>
      </c>
      <c r="G1591" s="29"/>
      <c r="H1591" s="29"/>
      <c r="I1591" s="29" t="str">
        <f t="shared" si="49"/>
        <v/>
      </c>
      <c r="K1591" s="30"/>
      <c r="M1591" t="str">
        <f>IF($A1591=Ficha!$B$3,COUNTIF($A$5:$A1591,Ficha!$B$3),"")</f>
        <v/>
      </c>
    </row>
    <row r="1592" spans="2:13" x14ac:dyDescent="0.3">
      <c r="B1592" s="30" t="str">
        <f>IF(A1592="","",IFERROR(INDEX(Maniobras!$B$5:$B$504,MATCH(A1592,Maniobras!$A$5:$A$504,0)),""))</f>
        <v/>
      </c>
      <c r="C1592" t="str">
        <f t="shared" si="48"/>
        <v/>
      </c>
      <c r="D1592" t="str">
        <f>IF(A1592="","",IFERROR(INDEX(Maniobras!$D$5:$D$504,MATCH(A1592,Maniobras!$A$5:$A$504,0)),""))</f>
        <v/>
      </c>
      <c r="F1592" s="29" t="str">
        <f>IF(A1592="","",IFERROR(INDEX(Maniobras!$K$5:$K$504,MATCH(A1592,Maniobras!$A$5:$A$504,0)),""))</f>
        <v/>
      </c>
      <c r="G1592" s="29"/>
      <c r="H1592" s="29"/>
      <c r="I1592" s="29" t="str">
        <f t="shared" si="49"/>
        <v/>
      </c>
      <c r="K1592" s="30"/>
      <c r="M1592" t="str">
        <f>IF($A1592=Ficha!$B$3,COUNTIF($A$5:$A1592,Ficha!$B$3),"")</f>
        <v/>
      </c>
    </row>
    <row r="1593" spans="2:13" x14ac:dyDescent="0.3">
      <c r="B1593" s="30" t="str">
        <f>IF(A1593="","",IFERROR(INDEX(Maniobras!$B$5:$B$504,MATCH(A1593,Maniobras!$A$5:$A$504,0)),""))</f>
        <v/>
      </c>
      <c r="C1593" t="str">
        <f t="shared" si="48"/>
        <v/>
      </c>
      <c r="D1593" t="str">
        <f>IF(A1593="","",IFERROR(INDEX(Maniobras!$D$5:$D$504,MATCH(A1593,Maniobras!$A$5:$A$504,0)),""))</f>
        <v/>
      </c>
      <c r="F1593" s="29" t="str">
        <f>IF(A1593="","",IFERROR(INDEX(Maniobras!$K$5:$K$504,MATCH(A1593,Maniobras!$A$5:$A$504,0)),""))</f>
        <v/>
      </c>
      <c r="G1593" s="29"/>
      <c r="H1593" s="29"/>
      <c r="I1593" s="29" t="str">
        <f t="shared" si="49"/>
        <v/>
      </c>
      <c r="K1593" s="30"/>
      <c r="M1593" t="str">
        <f>IF($A1593=Ficha!$B$3,COUNTIF($A$5:$A1593,Ficha!$B$3),"")</f>
        <v/>
      </c>
    </row>
    <row r="1594" spans="2:13" x14ac:dyDescent="0.3">
      <c r="B1594" s="30" t="str">
        <f>IF(A1594="","",IFERROR(INDEX(Maniobras!$B$5:$B$504,MATCH(A1594,Maniobras!$A$5:$A$504,0)),""))</f>
        <v/>
      </c>
      <c r="C1594" t="str">
        <f t="shared" si="48"/>
        <v/>
      </c>
      <c r="D1594" t="str">
        <f>IF(A1594="","",IFERROR(INDEX(Maniobras!$D$5:$D$504,MATCH(A1594,Maniobras!$A$5:$A$504,0)),""))</f>
        <v/>
      </c>
      <c r="F1594" s="29" t="str">
        <f>IF(A1594="","",IFERROR(INDEX(Maniobras!$K$5:$K$504,MATCH(A1594,Maniobras!$A$5:$A$504,0)),""))</f>
        <v/>
      </c>
      <c r="G1594" s="29"/>
      <c r="H1594" s="29"/>
      <c r="I1594" s="29" t="str">
        <f t="shared" si="49"/>
        <v/>
      </c>
      <c r="K1594" s="30"/>
      <c r="M1594" t="str">
        <f>IF($A1594=Ficha!$B$3,COUNTIF($A$5:$A1594,Ficha!$B$3),"")</f>
        <v/>
      </c>
    </row>
    <row r="1595" spans="2:13" x14ac:dyDescent="0.3">
      <c r="B1595" s="30" t="str">
        <f>IF(A1595="","",IFERROR(INDEX(Maniobras!$B$5:$B$504,MATCH(A1595,Maniobras!$A$5:$A$504,0)),""))</f>
        <v/>
      </c>
      <c r="C1595" t="str">
        <f t="shared" si="48"/>
        <v/>
      </c>
      <c r="D1595" t="str">
        <f>IF(A1595="","",IFERROR(INDEX(Maniobras!$D$5:$D$504,MATCH(A1595,Maniobras!$A$5:$A$504,0)),""))</f>
        <v/>
      </c>
      <c r="F1595" s="29" t="str">
        <f>IF(A1595="","",IFERROR(INDEX(Maniobras!$K$5:$K$504,MATCH(A1595,Maniobras!$A$5:$A$504,0)),""))</f>
        <v/>
      </c>
      <c r="G1595" s="29"/>
      <c r="H1595" s="29"/>
      <c r="I1595" s="29" t="str">
        <f t="shared" si="49"/>
        <v/>
      </c>
      <c r="K1595" s="30"/>
      <c r="M1595" t="str">
        <f>IF($A1595=Ficha!$B$3,COUNTIF($A$5:$A1595,Ficha!$B$3),"")</f>
        <v/>
      </c>
    </row>
    <row r="1596" spans="2:13" x14ac:dyDescent="0.3">
      <c r="B1596" s="30" t="str">
        <f>IF(A1596="","",IFERROR(INDEX(Maniobras!$B$5:$B$504,MATCH(A1596,Maniobras!$A$5:$A$504,0)),""))</f>
        <v/>
      </c>
      <c r="C1596" t="str">
        <f t="shared" si="48"/>
        <v/>
      </c>
      <c r="D1596" t="str">
        <f>IF(A1596="","",IFERROR(INDEX(Maniobras!$D$5:$D$504,MATCH(A1596,Maniobras!$A$5:$A$504,0)),""))</f>
        <v/>
      </c>
      <c r="F1596" s="29" t="str">
        <f>IF(A1596="","",IFERROR(INDEX(Maniobras!$K$5:$K$504,MATCH(A1596,Maniobras!$A$5:$A$504,0)),""))</f>
        <v/>
      </c>
      <c r="G1596" s="29"/>
      <c r="H1596" s="29"/>
      <c r="I1596" s="29" t="str">
        <f t="shared" si="49"/>
        <v/>
      </c>
      <c r="K1596" s="30"/>
      <c r="M1596" t="str">
        <f>IF($A1596=Ficha!$B$3,COUNTIF($A$5:$A1596,Ficha!$B$3),"")</f>
        <v/>
      </c>
    </row>
    <row r="1597" spans="2:13" x14ac:dyDescent="0.3">
      <c r="B1597" s="30" t="str">
        <f>IF(A1597="","",IFERROR(INDEX(Maniobras!$B$5:$B$504,MATCH(A1597,Maniobras!$A$5:$A$504,0)),""))</f>
        <v/>
      </c>
      <c r="C1597" t="str">
        <f t="shared" si="48"/>
        <v/>
      </c>
      <c r="D1597" t="str">
        <f>IF(A1597="","",IFERROR(INDEX(Maniobras!$D$5:$D$504,MATCH(A1597,Maniobras!$A$5:$A$504,0)),""))</f>
        <v/>
      </c>
      <c r="F1597" s="29" t="str">
        <f>IF(A1597="","",IFERROR(INDEX(Maniobras!$K$5:$K$504,MATCH(A1597,Maniobras!$A$5:$A$504,0)),""))</f>
        <v/>
      </c>
      <c r="G1597" s="29"/>
      <c r="H1597" s="29"/>
      <c r="I1597" s="29" t="str">
        <f t="shared" si="49"/>
        <v/>
      </c>
      <c r="K1597" s="30"/>
      <c r="M1597" t="str">
        <f>IF($A1597=Ficha!$B$3,COUNTIF($A$5:$A1597,Ficha!$B$3),"")</f>
        <v/>
      </c>
    </row>
    <row r="1598" spans="2:13" x14ac:dyDescent="0.3">
      <c r="B1598" s="30" t="str">
        <f>IF(A1598="","",IFERROR(INDEX(Maniobras!$B$5:$B$504,MATCH(A1598,Maniobras!$A$5:$A$504,0)),""))</f>
        <v/>
      </c>
      <c r="C1598" t="str">
        <f t="shared" si="48"/>
        <v/>
      </c>
      <c r="D1598" t="str">
        <f>IF(A1598="","",IFERROR(INDEX(Maniobras!$D$5:$D$504,MATCH(A1598,Maniobras!$A$5:$A$504,0)),""))</f>
        <v/>
      </c>
      <c r="F1598" s="29" t="str">
        <f>IF(A1598="","",IFERROR(INDEX(Maniobras!$K$5:$K$504,MATCH(A1598,Maniobras!$A$5:$A$504,0)),""))</f>
        <v/>
      </c>
      <c r="G1598" s="29"/>
      <c r="H1598" s="29"/>
      <c r="I1598" s="29" t="str">
        <f t="shared" si="49"/>
        <v/>
      </c>
      <c r="K1598" s="30"/>
      <c r="M1598" t="str">
        <f>IF($A1598=Ficha!$B$3,COUNTIF($A$5:$A1598,Ficha!$B$3),"")</f>
        <v/>
      </c>
    </row>
    <row r="1599" spans="2:13" x14ac:dyDescent="0.3">
      <c r="B1599" s="30" t="str">
        <f>IF(A1599="","",IFERROR(INDEX(Maniobras!$B$5:$B$504,MATCH(A1599,Maniobras!$A$5:$A$504,0)),""))</f>
        <v/>
      </c>
      <c r="C1599" t="str">
        <f t="shared" si="48"/>
        <v/>
      </c>
      <c r="D1599" t="str">
        <f>IF(A1599="","",IFERROR(INDEX(Maniobras!$D$5:$D$504,MATCH(A1599,Maniobras!$A$5:$A$504,0)),""))</f>
        <v/>
      </c>
      <c r="F1599" s="29" t="str">
        <f>IF(A1599="","",IFERROR(INDEX(Maniobras!$K$5:$K$504,MATCH(A1599,Maniobras!$A$5:$A$504,0)),""))</f>
        <v/>
      </c>
      <c r="G1599" s="29"/>
      <c r="H1599" s="29"/>
      <c r="I1599" s="29" t="str">
        <f t="shared" si="49"/>
        <v/>
      </c>
      <c r="K1599" s="30"/>
      <c r="M1599" t="str">
        <f>IF($A1599=Ficha!$B$3,COUNTIF($A$5:$A1599,Ficha!$B$3),"")</f>
        <v/>
      </c>
    </row>
    <row r="1600" spans="2:13" x14ac:dyDescent="0.3">
      <c r="B1600" s="30" t="str">
        <f>IF(A1600="","",IFERROR(INDEX(Maniobras!$B$5:$B$504,MATCH(A1600,Maniobras!$A$5:$A$504,0)),""))</f>
        <v/>
      </c>
      <c r="C1600" t="str">
        <f t="shared" si="48"/>
        <v/>
      </c>
      <c r="D1600" t="str">
        <f>IF(A1600="","",IFERROR(INDEX(Maniobras!$D$5:$D$504,MATCH(A1600,Maniobras!$A$5:$A$504,0)),""))</f>
        <v/>
      </c>
      <c r="F1600" s="29" t="str">
        <f>IF(A1600="","",IFERROR(INDEX(Maniobras!$K$5:$K$504,MATCH(A1600,Maniobras!$A$5:$A$504,0)),""))</f>
        <v/>
      </c>
      <c r="G1600" s="29"/>
      <c r="H1600" s="29"/>
      <c r="I1600" s="29" t="str">
        <f t="shared" si="49"/>
        <v/>
      </c>
      <c r="K1600" s="30"/>
      <c r="M1600" t="str">
        <f>IF($A1600=Ficha!$B$3,COUNTIF($A$5:$A1600,Ficha!$B$3),"")</f>
        <v/>
      </c>
    </row>
    <row r="1601" spans="2:13" x14ac:dyDescent="0.3">
      <c r="B1601" s="30" t="str">
        <f>IF(A1601="","",IFERROR(INDEX(Maniobras!$B$5:$B$504,MATCH(A1601,Maniobras!$A$5:$A$504,0)),""))</f>
        <v/>
      </c>
      <c r="C1601" t="str">
        <f t="shared" si="48"/>
        <v/>
      </c>
      <c r="D1601" t="str">
        <f>IF(A1601="","",IFERROR(INDEX(Maniobras!$D$5:$D$504,MATCH(A1601,Maniobras!$A$5:$A$504,0)),""))</f>
        <v/>
      </c>
      <c r="F1601" s="29" t="str">
        <f>IF(A1601="","",IFERROR(INDEX(Maniobras!$K$5:$K$504,MATCH(A1601,Maniobras!$A$5:$A$504,0)),""))</f>
        <v/>
      </c>
      <c r="G1601" s="29"/>
      <c r="H1601" s="29"/>
      <c r="I1601" s="29" t="str">
        <f t="shared" si="49"/>
        <v/>
      </c>
      <c r="K1601" s="30"/>
      <c r="M1601" t="str">
        <f>IF($A1601=Ficha!$B$3,COUNTIF($A$5:$A1601,Ficha!$B$3),"")</f>
        <v/>
      </c>
    </row>
    <row r="1602" spans="2:13" x14ac:dyDescent="0.3">
      <c r="B1602" s="30" t="str">
        <f>IF(A1602="","",IFERROR(INDEX(Maniobras!$B$5:$B$504,MATCH(A1602,Maniobras!$A$5:$A$504,0)),""))</f>
        <v/>
      </c>
      <c r="C1602" t="str">
        <f t="shared" si="48"/>
        <v/>
      </c>
      <c r="D1602" t="str">
        <f>IF(A1602="","",IFERROR(INDEX(Maniobras!$D$5:$D$504,MATCH(A1602,Maniobras!$A$5:$A$504,0)),""))</f>
        <v/>
      </c>
      <c r="F1602" s="29" t="str">
        <f>IF(A1602="","",IFERROR(INDEX(Maniobras!$K$5:$K$504,MATCH(A1602,Maniobras!$A$5:$A$504,0)),""))</f>
        <v/>
      </c>
      <c r="G1602" s="29"/>
      <c r="H1602" s="29"/>
      <c r="I1602" s="29" t="str">
        <f t="shared" si="49"/>
        <v/>
      </c>
      <c r="K1602" s="30"/>
      <c r="M1602" t="str">
        <f>IF($A1602=Ficha!$B$3,COUNTIF($A$5:$A1602,Ficha!$B$3),"")</f>
        <v/>
      </c>
    </row>
    <row r="1603" spans="2:13" x14ac:dyDescent="0.3">
      <c r="B1603" s="30" t="str">
        <f>IF(A1603="","",IFERROR(INDEX(Maniobras!$B$5:$B$504,MATCH(A1603,Maniobras!$A$5:$A$504,0)),""))</f>
        <v/>
      </c>
      <c r="C1603" t="str">
        <f t="shared" si="48"/>
        <v/>
      </c>
      <c r="D1603" t="str">
        <f>IF(A1603="","",IFERROR(INDEX(Maniobras!$D$5:$D$504,MATCH(A1603,Maniobras!$A$5:$A$504,0)),""))</f>
        <v/>
      </c>
      <c r="F1603" s="29" t="str">
        <f>IF(A1603="","",IFERROR(INDEX(Maniobras!$K$5:$K$504,MATCH(A1603,Maniobras!$A$5:$A$504,0)),""))</f>
        <v/>
      </c>
      <c r="G1603" s="29"/>
      <c r="H1603" s="29"/>
      <c r="I1603" s="29" t="str">
        <f t="shared" si="49"/>
        <v/>
      </c>
      <c r="K1603" s="30"/>
      <c r="M1603" t="str">
        <f>IF($A1603=Ficha!$B$3,COUNTIF($A$5:$A1603,Ficha!$B$3),"")</f>
        <v/>
      </c>
    </row>
    <row r="1604" spans="2:13" x14ac:dyDescent="0.3">
      <c r="B1604" s="30" t="str">
        <f>IF(A1604="","",IFERROR(INDEX(Maniobras!$B$5:$B$504,MATCH(A1604,Maniobras!$A$5:$A$504,0)),""))</f>
        <v/>
      </c>
      <c r="C1604" t="str">
        <f t="shared" si="48"/>
        <v/>
      </c>
      <c r="D1604" t="str">
        <f>IF(A1604="","",IFERROR(INDEX(Maniobras!$D$5:$D$504,MATCH(A1604,Maniobras!$A$5:$A$504,0)),""))</f>
        <v/>
      </c>
      <c r="F1604" s="29" t="str">
        <f>IF(A1604="","",IFERROR(INDEX(Maniobras!$K$5:$K$504,MATCH(A1604,Maniobras!$A$5:$A$504,0)),""))</f>
        <v/>
      </c>
      <c r="G1604" s="29"/>
      <c r="H1604" s="29"/>
      <c r="I1604" s="29" t="str">
        <f t="shared" si="49"/>
        <v/>
      </c>
      <c r="K1604" s="30"/>
      <c r="M1604" t="str">
        <f>IF($A1604=Ficha!$B$3,COUNTIF($A$5:$A1604,Ficha!$B$3),"")</f>
        <v/>
      </c>
    </row>
    <row r="1605" spans="2:13" x14ac:dyDescent="0.3">
      <c r="B1605" s="30" t="str">
        <f>IF(A1605="","",IFERROR(INDEX(Maniobras!$B$5:$B$504,MATCH(A1605,Maniobras!$A$5:$A$504,0)),""))</f>
        <v/>
      </c>
      <c r="C1605" t="str">
        <f t="shared" ref="C1605:C1668" si="50">IF(B1605="","",TEXT(B1605,"yyyy-mm"))</f>
        <v/>
      </c>
      <c r="D1605" t="str">
        <f>IF(A1605="","",IFERROR(INDEX(Maniobras!$D$5:$D$504,MATCH(A1605,Maniobras!$A$5:$A$504,0)),""))</f>
        <v/>
      </c>
      <c r="F1605" s="29" t="str">
        <f>IF(A1605="","",IFERROR(INDEX(Maniobras!$K$5:$K$504,MATCH(A1605,Maniobras!$A$5:$A$504,0)),""))</f>
        <v/>
      </c>
      <c r="G1605" s="29"/>
      <c r="H1605" s="29"/>
      <c r="I1605" s="29" t="str">
        <f t="shared" ref="I1605:I1668" si="51">IF(G1605="","",G1605+N(H1605))</f>
        <v/>
      </c>
      <c r="K1605" s="30"/>
      <c r="M1605" t="str">
        <f>IF($A1605=Ficha!$B$3,COUNTIF($A$5:$A1605,Ficha!$B$3),"")</f>
        <v/>
      </c>
    </row>
    <row r="1606" spans="2:13" x14ac:dyDescent="0.3">
      <c r="B1606" s="30" t="str">
        <f>IF(A1606="","",IFERROR(INDEX(Maniobras!$B$5:$B$504,MATCH(A1606,Maniobras!$A$5:$A$504,0)),""))</f>
        <v/>
      </c>
      <c r="C1606" t="str">
        <f t="shared" si="50"/>
        <v/>
      </c>
      <c r="D1606" t="str">
        <f>IF(A1606="","",IFERROR(INDEX(Maniobras!$D$5:$D$504,MATCH(A1606,Maniobras!$A$5:$A$504,0)),""))</f>
        <v/>
      </c>
      <c r="F1606" s="29" t="str">
        <f>IF(A1606="","",IFERROR(INDEX(Maniobras!$K$5:$K$504,MATCH(A1606,Maniobras!$A$5:$A$504,0)),""))</f>
        <v/>
      </c>
      <c r="G1606" s="29"/>
      <c r="H1606" s="29"/>
      <c r="I1606" s="29" t="str">
        <f t="shared" si="51"/>
        <v/>
      </c>
      <c r="K1606" s="30"/>
      <c r="M1606" t="str">
        <f>IF($A1606=Ficha!$B$3,COUNTIF($A$5:$A1606,Ficha!$B$3),"")</f>
        <v/>
      </c>
    </row>
    <row r="1607" spans="2:13" x14ac:dyDescent="0.3">
      <c r="B1607" s="30" t="str">
        <f>IF(A1607="","",IFERROR(INDEX(Maniobras!$B$5:$B$504,MATCH(A1607,Maniobras!$A$5:$A$504,0)),""))</f>
        <v/>
      </c>
      <c r="C1607" t="str">
        <f t="shared" si="50"/>
        <v/>
      </c>
      <c r="D1607" t="str">
        <f>IF(A1607="","",IFERROR(INDEX(Maniobras!$D$5:$D$504,MATCH(A1607,Maniobras!$A$5:$A$504,0)),""))</f>
        <v/>
      </c>
      <c r="F1607" s="29" t="str">
        <f>IF(A1607="","",IFERROR(INDEX(Maniobras!$K$5:$K$504,MATCH(A1607,Maniobras!$A$5:$A$504,0)),""))</f>
        <v/>
      </c>
      <c r="G1607" s="29"/>
      <c r="H1607" s="29"/>
      <c r="I1607" s="29" t="str">
        <f t="shared" si="51"/>
        <v/>
      </c>
      <c r="K1607" s="30"/>
      <c r="M1607" t="str">
        <f>IF($A1607=Ficha!$B$3,COUNTIF($A$5:$A1607,Ficha!$B$3),"")</f>
        <v/>
      </c>
    </row>
    <row r="1608" spans="2:13" x14ac:dyDescent="0.3">
      <c r="B1608" s="30" t="str">
        <f>IF(A1608="","",IFERROR(INDEX(Maniobras!$B$5:$B$504,MATCH(A1608,Maniobras!$A$5:$A$504,0)),""))</f>
        <v/>
      </c>
      <c r="C1608" t="str">
        <f t="shared" si="50"/>
        <v/>
      </c>
      <c r="D1608" t="str">
        <f>IF(A1608="","",IFERROR(INDEX(Maniobras!$D$5:$D$504,MATCH(A1608,Maniobras!$A$5:$A$504,0)),""))</f>
        <v/>
      </c>
      <c r="F1608" s="29" t="str">
        <f>IF(A1608="","",IFERROR(INDEX(Maniobras!$K$5:$K$504,MATCH(A1608,Maniobras!$A$5:$A$504,0)),""))</f>
        <v/>
      </c>
      <c r="G1608" s="29"/>
      <c r="H1608" s="29"/>
      <c r="I1608" s="29" t="str">
        <f t="shared" si="51"/>
        <v/>
      </c>
      <c r="K1608" s="30"/>
      <c r="M1608" t="str">
        <f>IF($A1608=Ficha!$B$3,COUNTIF($A$5:$A1608,Ficha!$B$3),"")</f>
        <v/>
      </c>
    </row>
    <row r="1609" spans="2:13" x14ac:dyDescent="0.3">
      <c r="B1609" s="30" t="str">
        <f>IF(A1609="","",IFERROR(INDEX(Maniobras!$B$5:$B$504,MATCH(A1609,Maniobras!$A$5:$A$504,0)),""))</f>
        <v/>
      </c>
      <c r="C1609" t="str">
        <f t="shared" si="50"/>
        <v/>
      </c>
      <c r="D1609" t="str">
        <f>IF(A1609="","",IFERROR(INDEX(Maniobras!$D$5:$D$504,MATCH(A1609,Maniobras!$A$5:$A$504,0)),""))</f>
        <v/>
      </c>
      <c r="F1609" s="29" t="str">
        <f>IF(A1609="","",IFERROR(INDEX(Maniobras!$K$5:$K$504,MATCH(A1609,Maniobras!$A$5:$A$504,0)),""))</f>
        <v/>
      </c>
      <c r="G1609" s="29"/>
      <c r="H1609" s="29"/>
      <c r="I1609" s="29" t="str">
        <f t="shared" si="51"/>
        <v/>
      </c>
      <c r="K1609" s="30"/>
      <c r="M1609" t="str">
        <f>IF($A1609=Ficha!$B$3,COUNTIF($A$5:$A1609,Ficha!$B$3),"")</f>
        <v/>
      </c>
    </row>
    <row r="1610" spans="2:13" x14ac:dyDescent="0.3">
      <c r="B1610" s="30" t="str">
        <f>IF(A1610="","",IFERROR(INDEX(Maniobras!$B$5:$B$504,MATCH(A1610,Maniobras!$A$5:$A$504,0)),""))</f>
        <v/>
      </c>
      <c r="C1610" t="str">
        <f t="shared" si="50"/>
        <v/>
      </c>
      <c r="D1610" t="str">
        <f>IF(A1610="","",IFERROR(INDEX(Maniobras!$D$5:$D$504,MATCH(A1610,Maniobras!$A$5:$A$504,0)),""))</f>
        <v/>
      </c>
      <c r="F1610" s="29" t="str">
        <f>IF(A1610="","",IFERROR(INDEX(Maniobras!$K$5:$K$504,MATCH(A1610,Maniobras!$A$5:$A$504,0)),""))</f>
        <v/>
      </c>
      <c r="G1610" s="29"/>
      <c r="H1610" s="29"/>
      <c r="I1610" s="29" t="str">
        <f t="shared" si="51"/>
        <v/>
      </c>
      <c r="K1610" s="30"/>
      <c r="M1610" t="str">
        <f>IF($A1610=Ficha!$B$3,COUNTIF($A$5:$A1610,Ficha!$B$3),"")</f>
        <v/>
      </c>
    </row>
    <row r="1611" spans="2:13" x14ac:dyDescent="0.3">
      <c r="B1611" s="30" t="str">
        <f>IF(A1611="","",IFERROR(INDEX(Maniobras!$B$5:$B$504,MATCH(A1611,Maniobras!$A$5:$A$504,0)),""))</f>
        <v/>
      </c>
      <c r="C1611" t="str">
        <f t="shared" si="50"/>
        <v/>
      </c>
      <c r="D1611" t="str">
        <f>IF(A1611="","",IFERROR(INDEX(Maniobras!$D$5:$D$504,MATCH(A1611,Maniobras!$A$5:$A$504,0)),""))</f>
        <v/>
      </c>
      <c r="F1611" s="29" t="str">
        <f>IF(A1611="","",IFERROR(INDEX(Maniobras!$K$5:$K$504,MATCH(A1611,Maniobras!$A$5:$A$504,0)),""))</f>
        <v/>
      </c>
      <c r="G1611" s="29"/>
      <c r="H1611" s="29"/>
      <c r="I1611" s="29" t="str">
        <f t="shared" si="51"/>
        <v/>
      </c>
      <c r="K1611" s="30"/>
      <c r="M1611" t="str">
        <f>IF($A1611=Ficha!$B$3,COUNTIF($A$5:$A1611,Ficha!$B$3),"")</f>
        <v/>
      </c>
    </row>
    <row r="1612" spans="2:13" x14ac:dyDescent="0.3">
      <c r="B1612" s="30" t="str">
        <f>IF(A1612="","",IFERROR(INDEX(Maniobras!$B$5:$B$504,MATCH(A1612,Maniobras!$A$5:$A$504,0)),""))</f>
        <v/>
      </c>
      <c r="C1612" t="str">
        <f t="shared" si="50"/>
        <v/>
      </c>
      <c r="D1612" t="str">
        <f>IF(A1612="","",IFERROR(INDEX(Maniobras!$D$5:$D$504,MATCH(A1612,Maniobras!$A$5:$A$504,0)),""))</f>
        <v/>
      </c>
      <c r="F1612" s="29" t="str">
        <f>IF(A1612="","",IFERROR(INDEX(Maniobras!$K$5:$K$504,MATCH(A1612,Maniobras!$A$5:$A$504,0)),""))</f>
        <v/>
      </c>
      <c r="G1612" s="29"/>
      <c r="H1612" s="29"/>
      <c r="I1612" s="29" t="str">
        <f t="shared" si="51"/>
        <v/>
      </c>
      <c r="K1612" s="30"/>
      <c r="M1612" t="str">
        <f>IF($A1612=Ficha!$B$3,COUNTIF($A$5:$A1612,Ficha!$B$3),"")</f>
        <v/>
      </c>
    </row>
    <row r="1613" spans="2:13" x14ac:dyDescent="0.3">
      <c r="B1613" s="30" t="str">
        <f>IF(A1613="","",IFERROR(INDEX(Maniobras!$B$5:$B$504,MATCH(A1613,Maniobras!$A$5:$A$504,0)),""))</f>
        <v/>
      </c>
      <c r="C1613" t="str">
        <f t="shared" si="50"/>
        <v/>
      </c>
      <c r="D1613" t="str">
        <f>IF(A1613="","",IFERROR(INDEX(Maniobras!$D$5:$D$504,MATCH(A1613,Maniobras!$A$5:$A$504,0)),""))</f>
        <v/>
      </c>
      <c r="F1613" s="29" t="str">
        <f>IF(A1613="","",IFERROR(INDEX(Maniobras!$K$5:$K$504,MATCH(A1613,Maniobras!$A$5:$A$504,0)),""))</f>
        <v/>
      </c>
      <c r="G1613" s="29"/>
      <c r="H1613" s="29"/>
      <c r="I1613" s="29" t="str">
        <f t="shared" si="51"/>
        <v/>
      </c>
      <c r="K1613" s="30"/>
      <c r="M1613" t="str">
        <f>IF($A1613=Ficha!$B$3,COUNTIF($A$5:$A1613,Ficha!$B$3),"")</f>
        <v/>
      </c>
    </row>
    <row r="1614" spans="2:13" x14ac:dyDescent="0.3">
      <c r="B1614" s="30" t="str">
        <f>IF(A1614="","",IFERROR(INDEX(Maniobras!$B$5:$B$504,MATCH(A1614,Maniobras!$A$5:$A$504,0)),""))</f>
        <v/>
      </c>
      <c r="C1614" t="str">
        <f t="shared" si="50"/>
        <v/>
      </c>
      <c r="D1614" t="str">
        <f>IF(A1614="","",IFERROR(INDEX(Maniobras!$D$5:$D$504,MATCH(A1614,Maniobras!$A$5:$A$504,0)),""))</f>
        <v/>
      </c>
      <c r="F1614" s="29" t="str">
        <f>IF(A1614="","",IFERROR(INDEX(Maniobras!$K$5:$K$504,MATCH(A1614,Maniobras!$A$5:$A$504,0)),""))</f>
        <v/>
      </c>
      <c r="G1614" s="29"/>
      <c r="H1614" s="29"/>
      <c r="I1614" s="29" t="str">
        <f t="shared" si="51"/>
        <v/>
      </c>
      <c r="K1614" s="30"/>
      <c r="M1614" t="str">
        <f>IF($A1614=Ficha!$B$3,COUNTIF($A$5:$A1614,Ficha!$B$3),"")</f>
        <v/>
      </c>
    </row>
    <row r="1615" spans="2:13" x14ac:dyDescent="0.3">
      <c r="B1615" s="30" t="str">
        <f>IF(A1615="","",IFERROR(INDEX(Maniobras!$B$5:$B$504,MATCH(A1615,Maniobras!$A$5:$A$504,0)),""))</f>
        <v/>
      </c>
      <c r="C1615" t="str">
        <f t="shared" si="50"/>
        <v/>
      </c>
      <c r="D1615" t="str">
        <f>IF(A1615="","",IFERROR(INDEX(Maniobras!$D$5:$D$504,MATCH(A1615,Maniobras!$A$5:$A$504,0)),""))</f>
        <v/>
      </c>
      <c r="F1615" s="29" t="str">
        <f>IF(A1615="","",IFERROR(INDEX(Maniobras!$K$5:$K$504,MATCH(A1615,Maniobras!$A$5:$A$504,0)),""))</f>
        <v/>
      </c>
      <c r="G1615" s="29"/>
      <c r="H1615" s="29"/>
      <c r="I1615" s="29" t="str">
        <f t="shared" si="51"/>
        <v/>
      </c>
      <c r="K1615" s="30"/>
      <c r="M1615" t="str">
        <f>IF($A1615=Ficha!$B$3,COUNTIF($A$5:$A1615,Ficha!$B$3),"")</f>
        <v/>
      </c>
    </row>
    <row r="1616" spans="2:13" x14ac:dyDescent="0.3">
      <c r="B1616" s="30" t="str">
        <f>IF(A1616="","",IFERROR(INDEX(Maniobras!$B$5:$B$504,MATCH(A1616,Maniobras!$A$5:$A$504,0)),""))</f>
        <v/>
      </c>
      <c r="C1616" t="str">
        <f t="shared" si="50"/>
        <v/>
      </c>
      <c r="D1616" t="str">
        <f>IF(A1616="","",IFERROR(INDEX(Maniobras!$D$5:$D$504,MATCH(A1616,Maniobras!$A$5:$A$504,0)),""))</f>
        <v/>
      </c>
      <c r="F1616" s="29" t="str">
        <f>IF(A1616="","",IFERROR(INDEX(Maniobras!$K$5:$K$504,MATCH(A1616,Maniobras!$A$5:$A$504,0)),""))</f>
        <v/>
      </c>
      <c r="G1616" s="29"/>
      <c r="H1616" s="29"/>
      <c r="I1616" s="29" t="str">
        <f t="shared" si="51"/>
        <v/>
      </c>
      <c r="K1616" s="30"/>
      <c r="M1616" t="str">
        <f>IF($A1616=Ficha!$B$3,COUNTIF($A$5:$A1616,Ficha!$B$3),"")</f>
        <v/>
      </c>
    </row>
    <row r="1617" spans="2:13" x14ac:dyDescent="0.3">
      <c r="B1617" s="30" t="str">
        <f>IF(A1617="","",IFERROR(INDEX(Maniobras!$B$5:$B$504,MATCH(A1617,Maniobras!$A$5:$A$504,0)),""))</f>
        <v/>
      </c>
      <c r="C1617" t="str">
        <f t="shared" si="50"/>
        <v/>
      </c>
      <c r="D1617" t="str">
        <f>IF(A1617="","",IFERROR(INDEX(Maniobras!$D$5:$D$504,MATCH(A1617,Maniobras!$A$5:$A$504,0)),""))</f>
        <v/>
      </c>
      <c r="F1617" s="29" t="str">
        <f>IF(A1617="","",IFERROR(INDEX(Maniobras!$K$5:$K$504,MATCH(A1617,Maniobras!$A$5:$A$504,0)),""))</f>
        <v/>
      </c>
      <c r="G1617" s="29"/>
      <c r="H1617" s="29"/>
      <c r="I1617" s="29" t="str">
        <f t="shared" si="51"/>
        <v/>
      </c>
      <c r="K1617" s="30"/>
      <c r="M1617" t="str">
        <f>IF($A1617=Ficha!$B$3,COUNTIF($A$5:$A1617,Ficha!$B$3),"")</f>
        <v/>
      </c>
    </row>
    <row r="1618" spans="2:13" x14ac:dyDescent="0.3">
      <c r="B1618" s="30" t="str">
        <f>IF(A1618="","",IFERROR(INDEX(Maniobras!$B$5:$B$504,MATCH(A1618,Maniobras!$A$5:$A$504,0)),""))</f>
        <v/>
      </c>
      <c r="C1618" t="str">
        <f t="shared" si="50"/>
        <v/>
      </c>
      <c r="D1618" t="str">
        <f>IF(A1618="","",IFERROR(INDEX(Maniobras!$D$5:$D$504,MATCH(A1618,Maniobras!$A$5:$A$504,0)),""))</f>
        <v/>
      </c>
      <c r="F1618" s="29" t="str">
        <f>IF(A1618="","",IFERROR(INDEX(Maniobras!$K$5:$K$504,MATCH(A1618,Maniobras!$A$5:$A$504,0)),""))</f>
        <v/>
      </c>
      <c r="G1618" s="29"/>
      <c r="H1618" s="29"/>
      <c r="I1618" s="29" t="str">
        <f t="shared" si="51"/>
        <v/>
      </c>
      <c r="K1618" s="30"/>
      <c r="M1618" t="str">
        <f>IF($A1618=Ficha!$B$3,COUNTIF($A$5:$A1618,Ficha!$B$3),"")</f>
        <v/>
      </c>
    </row>
    <row r="1619" spans="2:13" x14ac:dyDescent="0.3">
      <c r="B1619" s="30" t="str">
        <f>IF(A1619="","",IFERROR(INDEX(Maniobras!$B$5:$B$504,MATCH(A1619,Maniobras!$A$5:$A$504,0)),""))</f>
        <v/>
      </c>
      <c r="C1619" t="str">
        <f t="shared" si="50"/>
        <v/>
      </c>
      <c r="D1619" t="str">
        <f>IF(A1619="","",IFERROR(INDEX(Maniobras!$D$5:$D$504,MATCH(A1619,Maniobras!$A$5:$A$504,0)),""))</f>
        <v/>
      </c>
      <c r="F1619" s="29" t="str">
        <f>IF(A1619="","",IFERROR(INDEX(Maniobras!$K$5:$K$504,MATCH(A1619,Maniobras!$A$5:$A$504,0)),""))</f>
        <v/>
      </c>
      <c r="G1619" s="29"/>
      <c r="H1619" s="29"/>
      <c r="I1619" s="29" t="str">
        <f t="shared" si="51"/>
        <v/>
      </c>
      <c r="K1619" s="30"/>
      <c r="M1619" t="str">
        <f>IF($A1619=Ficha!$B$3,COUNTIF($A$5:$A1619,Ficha!$B$3),"")</f>
        <v/>
      </c>
    </row>
    <row r="1620" spans="2:13" x14ac:dyDescent="0.3">
      <c r="B1620" s="30" t="str">
        <f>IF(A1620="","",IFERROR(INDEX(Maniobras!$B$5:$B$504,MATCH(A1620,Maniobras!$A$5:$A$504,0)),""))</f>
        <v/>
      </c>
      <c r="C1620" t="str">
        <f t="shared" si="50"/>
        <v/>
      </c>
      <c r="D1620" t="str">
        <f>IF(A1620="","",IFERROR(INDEX(Maniobras!$D$5:$D$504,MATCH(A1620,Maniobras!$A$5:$A$504,0)),""))</f>
        <v/>
      </c>
      <c r="F1620" s="29" t="str">
        <f>IF(A1620="","",IFERROR(INDEX(Maniobras!$K$5:$K$504,MATCH(A1620,Maniobras!$A$5:$A$504,0)),""))</f>
        <v/>
      </c>
      <c r="G1620" s="29"/>
      <c r="H1620" s="29"/>
      <c r="I1620" s="29" t="str">
        <f t="shared" si="51"/>
        <v/>
      </c>
      <c r="K1620" s="30"/>
      <c r="M1620" t="str">
        <f>IF($A1620=Ficha!$B$3,COUNTIF($A$5:$A1620,Ficha!$B$3),"")</f>
        <v/>
      </c>
    </row>
    <row r="1621" spans="2:13" x14ac:dyDescent="0.3">
      <c r="B1621" s="30" t="str">
        <f>IF(A1621="","",IFERROR(INDEX(Maniobras!$B$5:$B$504,MATCH(A1621,Maniobras!$A$5:$A$504,0)),""))</f>
        <v/>
      </c>
      <c r="C1621" t="str">
        <f t="shared" si="50"/>
        <v/>
      </c>
      <c r="D1621" t="str">
        <f>IF(A1621="","",IFERROR(INDEX(Maniobras!$D$5:$D$504,MATCH(A1621,Maniobras!$A$5:$A$504,0)),""))</f>
        <v/>
      </c>
      <c r="F1621" s="29" t="str">
        <f>IF(A1621="","",IFERROR(INDEX(Maniobras!$K$5:$K$504,MATCH(A1621,Maniobras!$A$5:$A$504,0)),""))</f>
        <v/>
      </c>
      <c r="G1621" s="29"/>
      <c r="H1621" s="29"/>
      <c r="I1621" s="29" t="str">
        <f t="shared" si="51"/>
        <v/>
      </c>
      <c r="K1621" s="30"/>
      <c r="M1621" t="str">
        <f>IF($A1621=Ficha!$B$3,COUNTIF($A$5:$A1621,Ficha!$B$3),"")</f>
        <v/>
      </c>
    </row>
    <row r="1622" spans="2:13" x14ac:dyDescent="0.3">
      <c r="B1622" s="30" t="str">
        <f>IF(A1622="","",IFERROR(INDEX(Maniobras!$B$5:$B$504,MATCH(A1622,Maniobras!$A$5:$A$504,0)),""))</f>
        <v/>
      </c>
      <c r="C1622" t="str">
        <f t="shared" si="50"/>
        <v/>
      </c>
      <c r="D1622" t="str">
        <f>IF(A1622="","",IFERROR(INDEX(Maniobras!$D$5:$D$504,MATCH(A1622,Maniobras!$A$5:$A$504,0)),""))</f>
        <v/>
      </c>
      <c r="F1622" s="29" t="str">
        <f>IF(A1622="","",IFERROR(INDEX(Maniobras!$K$5:$K$504,MATCH(A1622,Maniobras!$A$5:$A$504,0)),""))</f>
        <v/>
      </c>
      <c r="G1622" s="29"/>
      <c r="H1622" s="29"/>
      <c r="I1622" s="29" t="str">
        <f t="shared" si="51"/>
        <v/>
      </c>
      <c r="K1622" s="30"/>
      <c r="M1622" t="str">
        <f>IF($A1622=Ficha!$B$3,COUNTIF($A$5:$A1622,Ficha!$B$3),"")</f>
        <v/>
      </c>
    </row>
    <row r="1623" spans="2:13" x14ac:dyDescent="0.3">
      <c r="B1623" s="30" t="str">
        <f>IF(A1623="","",IFERROR(INDEX(Maniobras!$B$5:$B$504,MATCH(A1623,Maniobras!$A$5:$A$504,0)),""))</f>
        <v/>
      </c>
      <c r="C1623" t="str">
        <f t="shared" si="50"/>
        <v/>
      </c>
      <c r="D1623" t="str">
        <f>IF(A1623="","",IFERROR(INDEX(Maniobras!$D$5:$D$504,MATCH(A1623,Maniobras!$A$5:$A$504,0)),""))</f>
        <v/>
      </c>
      <c r="F1623" s="29" t="str">
        <f>IF(A1623="","",IFERROR(INDEX(Maniobras!$K$5:$K$504,MATCH(A1623,Maniobras!$A$5:$A$504,0)),""))</f>
        <v/>
      </c>
      <c r="G1623" s="29"/>
      <c r="H1623" s="29"/>
      <c r="I1623" s="29" t="str">
        <f t="shared" si="51"/>
        <v/>
      </c>
      <c r="K1623" s="30"/>
      <c r="M1623" t="str">
        <f>IF($A1623=Ficha!$B$3,COUNTIF($A$5:$A1623,Ficha!$B$3),"")</f>
        <v/>
      </c>
    </row>
    <row r="1624" spans="2:13" x14ac:dyDescent="0.3">
      <c r="B1624" s="30" t="str">
        <f>IF(A1624="","",IFERROR(INDEX(Maniobras!$B$5:$B$504,MATCH(A1624,Maniobras!$A$5:$A$504,0)),""))</f>
        <v/>
      </c>
      <c r="C1624" t="str">
        <f t="shared" si="50"/>
        <v/>
      </c>
      <c r="D1624" t="str">
        <f>IF(A1624="","",IFERROR(INDEX(Maniobras!$D$5:$D$504,MATCH(A1624,Maniobras!$A$5:$A$504,0)),""))</f>
        <v/>
      </c>
      <c r="F1624" s="29" t="str">
        <f>IF(A1624="","",IFERROR(INDEX(Maniobras!$K$5:$K$504,MATCH(A1624,Maniobras!$A$5:$A$504,0)),""))</f>
        <v/>
      </c>
      <c r="G1624" s="29"/>
      <c r="H1624" s="29"/>
      <c r="I1624" s="29" t="str">
        <f t="shared" si="51"/>
        <v/>
      </c>
      <c r="K1624" s="30"/>
      <c r="M1624" t="str">
        <f>IF($A1624=Ficha!$B$3,COUNTIF($A$5:$A1624,Ficha!$B$3),"")</f>
        <v/>
      </c>
    </row>
    <row r="1625" spans="2:13" x14ac:dyDescent="0.3">
      <c r="B1625" s="30" t="str">
        <f>IF(A1625="","",IFERROR(INDEX(Maniobras!$B$5:$B$504,MATCH(A1625,Maniobras!$A$5:$A$504,0)),""))</f>
        <v/>
      </c>
      <c r="C1625" t="str">
        <f t="shared" si="50"/>
        <v/>
      </c>
      <c r="D1625" t="str">
        <f>IF(A1625="","",IFERROR(INDEX(Maniobras!$D$5:$D$504,MATCH(A1625,Maniobras!$A$5:$A$504,0)),""))</f>
        <v/>
      </c>
      <c r="F1625" s="29" t="str">
        <f>IF(A1625="","",IFERROR(INDEX(Maniobras!$K$5:$K$504,MATCH(A1625,Maniobras!$A$5:$A$504,0)),""))</f>
        <v/>
      </c>
      <c r="G1625" s="29"/>
      <c r="H1625" s="29"/>
      <c r="I1625" s="29" t="str">
        <f t="shared" si="51"/>
        <v/>
      </c>
      <c r="K1625" s="30"/>
      <c r="M1625" t="str">
        <f>IF($A1625=Ficha!$B$3,COUNTIF($A$5:$A1625,Ficha!$B$3),"")</f>
        <v/>
      </c>
    </row>
    <row r="1626" spans="2:13" x14ac:dyDescent="0.3">
      <c r="B1626" s="30" t="str">
        <f>IF(A1626="","",IFERROR(INDEX(Maniobras!$B$5:$B$504,MATCH(A1626,Maniobras!$A$5:$A$504,0)),""))</f>
        <v/>
      </c>
      <c r="C1626" t="str">
        <f t="shared" si="50"/>
        <v/>
      </c>
      <c r="D1626" t="str">
        <f>IF(A1626="","",IFERROR(INDEX(Maniobras!$D$5:$D$504,MATCH(A1626,Maniobras!$A$5:$A$504,0)),""))</f>
        <v/>
      </c>
      <c r="F1626" s="29" t="str">
        <f>IF(A1626="","",IFERROR(INDEX(Maniobras!$K$5:$K$504,MATCH(A1626,Maniobras!$A$5:$A$504,0)),""))</f>
        <v/>
      </c>
      <c r="G1626" s="29"/>
      <c r="H1626" s="29"/>
      <c r="I1626" s="29" t="str">
        <f t="shared" si="51"/>
        <v/>
      </c>
      <c r="K1626" s="30"/>
      <c r="M1626" t="str">
        <f>IF($A1626=Ficha!$B$3,COUNTIF($A$5:$A1626,Ficha!$B$3),"")</f>
        <v/>
      </c>
    </row>
    <row r="1627" spans="2:13" x14ac:dyDescent="0.3">
      <c r="B1627" s="30" t="str">
        <f>IF(A1627="","",IFERROR(INDEX(Maniobras!$B$5:$B$504,MATCH(A1627,Maniobras!$A$5:$A$504,0)),""))</f>
        <v/>
      </c>
      <c r="C1627" t="str">
        <f t="shared" si="50"/>
        <v/>
      </c>
      <c r="D1627" t="str">
        <f>IF(A1627="","",IFERROR(INDEX(Maniobras!$D$5:$D$504,MATCH(A1627,Maniobras!$A$5:$A$504,0)),""))</f>
        <v/>
      </c>
      <c r="F1627" s="29" t="str">
        <f>IF(A1627="","",IFERROR(INDEX(Maniobras!$K$5:$K$504,MATCH(A1627,Maniobras!$A$5:$A$504,0)),""))</f>
        <v/>
      </c>
      <c r="G1627" s="29"/>
      <c r="H1627" s="29"/>
      <c r="I1627" s="29" t="str">
        <f t="shared" si="51"/>
        <v/>
      </c>
      <c r="K1627" s="30"/>
      <c r="M1627" t="str">
        <f>IF($A1627=Ficha!$B$3,COUNTIF($A$5:$A1627,Ficha!$B$3),"")</f>
        <v/>
      </c>
    </row>
    <row r="1628" spans="2:13" x14ac:dyDescent="0.3">
      <c r="B1628" s="30" t="str">
        <f>IF(A1628="","",IFERROR(INDEX(Maniobras!$B$5:$B$504,MATCH(A1628,Maniobras!$A$5:$A$504,0)),""))</f>
        <v/>
      </c>
      <c r="C1628" t="str">
        <f t="shared" si="50"/>
        <v/>
      </c>
      <c r="D1628" t="str">
        <f>IF(A1628="","",IFERROR(INDEX(Maniobras!$D$5:$D$504,MATCH(A1628,Maniobras!$A$5:$A$504,0)),""))</f>
        <v/>
      </c>
      <c r="F1628" s="29" t="str">
        <f>IF(A1628="","",IFERROR(INDEX(Maniobras!$K$5:$K$504,MATCH(A1628,Maniobras!$A$5:$A$504,0)),""))</f>
        <v/>
      </c>
      <c r="G1628" s="29"/>
      <c r="H1628" s="29"/>
      <c r="I1628" s="29" t="str">
        <f t="shared" si="51"/>
        <v/>
      </c>
      <c r="K1628" s="30"/>
      <c r="M1628" t="str">
        <f>IF($A1628=Ficha!$B$3,COUNTIF($A$5:$A1628,Ficha!$B$3),"")</f>
        <v/>
      </c>
    </row>
    <row r="1629" spans="2:13" x14ac:dyDescent="0.3">
      <c r="B1629" s="30" t="str">
        <f>IF(A1629="","",IFERROR(INDEX(Maniobras!$B$5:$B$504,MATCH(A1629,Maniobras!$A$5:$A$504,0)),""))</f>
        <v/>
      </c>
      <c r="C1629" t="str">
        <f t="shared" si="50"/>
        <v/>
      </c>
      <c r="D1629" t="str">
        <f>IF(A1629="","",IFERROR(INDEX(Maniobras!$D$5:$D$504,MATCH(A1629,Maniobras!$A$5:$A$504,0)),""))</f>
        <v/>
      </c>
      <c r="F1629" s="29" t="str">
        <f>IF(A1629="","",IFERROR(INDEX(Maniobras!$K$5:$K$504,MATCH(A1629,Maniobras!$A$5:$A$504,0)),""))</f>
        <v/>
      </c>
      <c r="G1629" s="29"/>
      <c r="H1629" s="29"/>
      <c r="I1629" s="29" t="str">
        <f t="shared" si="51"/>
        <v/>
      </c>
      <c r="K1629" s="30"/>
      <c r="M1629" t="str">
        <f>IF($A1629=Ficha!$B$3,COUNTIF($A$5:$A1629,Ficha!$B$3),"")</f>
        <v/>
      </c>
    </row>
    <row r="1630" spans="2:13" x14ac:dyDescent="0.3">
      <c r="B1630" s="30" t="str">
        <f>IF(A1630="","",IFERROR(INDEX(Maniobras!$B$5:$B$504,MATCH(A1630,Maniobras!$A$5:$A$504,0)),""))</f>
        <v/>
      </c>
      <c r="C1630" t="str">
        <f t="shared" si="50"/>
        <v/>
      </c>
      <c r="D1630" t="str">
        <f>IF(A1630="","",IFERROR(INDEX(Maniobras!$D$5:$D$504,MATCH(A1630,Maniobras!$A$5:$A$504,0)),""))</f>
        <v/>
      </c>
      <c r="F1630" s="29" t="str">
        <f>IF(A1630="","",IFERROR(INDEX(Maniobras!$K$5:$K$504,MATCH(A1630,Maniobras!$A$5:$A$504,0)),""))</f>
        <v/>
      </c>
      <c r="G1630" s="29"/>
      <c r="H1630" s="29"/>
      <c r="I1630" s="29" t="str">
        <f t="shared" si="51"/>
        <v/>
      </c>
      <c r="K1630" s="30"/>
      <c r="M1630" t="str">
        <f>IF($A1630=Ficha!$B$3,COUNTIF($A$5:$A1630,Ficha!$B$3),"")</f>
        <v/>
      </c>
    </row>
    <row r="1631" spans="2:13" x14ac:dyDescent="0.3">
      <c r="B1631" s="30" t="str">
        <f>IF(A1631="","",IFERROR(INDEX(Maniobras!$B$5:$B$504,MATCH(A1631,Maniobras!$A$5:$A$504,0)),""))</f>
        <v/>
      </c>
      <c r="C1631" t="str">
        <f t="shared" si="50"/>
        <v/>
      </c>
      <c r="D1631" t="str">
        <f>IF(A1631="","",IFERROR(INDEX(Maniobras!$D$5:$D$504,MATCH(A1631,Maniobras!$A$5:$A$504,0)),""))</f>
        <v/>
      </c>
      <c r="F1631" s="29" t="str">
        <f>IF(A1631="","",IFERROR(INDEX(Maniobras!$K$5:$K$504,MATCH(A1631,Maniobras!$A$5:$A$504,0)),""))</f>
        <v/>
      </c>
      <c r="G1631" s="29"/>
      <c r="H1631" s="29"/>
      <c r="I1631" s="29" t="str">
        <f t="shared" si="51"/>
        <v/>
      </c>
      <c r="K1631" s="30"/>
      <c r="M1631" t="str">
        <f>IF($A1631=Ficha!$B$3,COUNTIF($A$5:$A1631,Ficha!$B$3),"")</f>
        <v/>
      </c>
    </row>
    <row r="1632" spans="2:13" x14ac:dyDescent="0.3">
      <c r="B1632" s="30" t="str">
        <f>IF(A1632="","",IFERROR(INDEX(Maniobras!$B$5:$B$504,MATCH(A1632,Maniobras!$A$5:$A$504,0)),""))</f>
        <v/>
      </c>
      <c r="C1632" t="str">
        <f t="shared" si="50"/>
        <v/>
      </c>
      <c r="D1632" t="str">
        <f>IF(A1632="","",IFERROR(INDEX(Maniobras!$D$5:$D$504,MATCH(A1632,Maniobras!$A$5:$A$504,0)),""))</f>
        <v/>
      </c>
      <c r="F1632" s="29" t="str">
        <f>IF(A1632="","",IFERROR(INDEX(Maniobras!$K$5:$K$504,MATCH(A1632,Maniobras!$A$5:$A$504,0)),""))</f>
        <v/>
      </c>
      <c r="G1632" s="29"/>
      <c r="H1632" s="29"/>
      <c r="I1632" s="29" t="str">
        <f t="shared" si="51"/>
        <v/>
      </c>
      <c r="K1632" s="30"/>
      <c r="M1632" t="str">
        <f>IF($A1632=Ficha!$B$3,COUNTIF($A$5:$A1632,Ficha!$B$3),"")</f>
        <v/>
      </c>
    </row>
    <row r="1633" spans="2:13" x14ac:dyDescent="0.3">
      <c r="B1633" s="30" t="str">
        <f>IF(A1633="","",IFERROR(INDEX(Maniobras!$B$5:$B$504,MATCH(A1633,Maniobras!$A$5:$A$504,0)),""))</f>
        <v/>
      </c>
      <c r="C1633" t="str">
        <f t="shared" si="50"/>
        <v/>
      </c>
      <c r="D1633" t="str">
        <f>IF(A1633="","",IFERROR(INDEX(Maniobras!$D$5:$D$504,MATCH(A1633,Maniobras!$A$5:$A$504,0)),""))</f>
        <v/>
      </c>
      <c r="F1633" s="29" t="str">
        <f>IF(A1633="","",IFERROR(INDEX(Maniobras!$K$5:$K$504,MATCH(A1633,Maniobras!$A$5:$A$504,0)),""))</f>
        <v/>
      </c>
      <c r="G1633" s="29"/>
      <c r="H1633" s="29"/>
      <c r="I1633" s="29" t="str">
        <f t="shared" si="51"/>
        <v/>
      </c>
      <c r="K1633" s="30"/>
      <c r="M1633" t="str">
        <f>IF($A1633=Ficha!$B$3,COUNTIF($A$5:$A1633,Ficha!$B$3),"")</f>
        <v/>
      </c>
    </row>
    <row r="1634" spans="2:13" x14ac:dyDescent="0.3">
      <c r="B1634" s="30" t="str">
        <f>IF(A1634="","",IFERROR(INDEX(Maniobras!$B$5:$B$504,MATCH(A1634,Maniobras!$A$5:$A$504,0)),""))</f>
        <v/>
      </c>
      <c r="C1634" t="str">
        <f t="shared" si="50"/>
        <v/>
      </c>
      <c r="D1634" t="str">
        <f>IF(A1634="","",IFERROR(INDEX(Maniobras!$D$5:$D$504,MATCH(A1634,Maniobras!$A$5:$A$504,0)),""))</f>
        <v/>
      </c>
      <c r="F1634" s="29" t="str">
        <f>IF(A1634="","",IFERROR(INDEX(Maniobras!$K$5:$K$504,MATCH(A1634,Maniobras!$A$5:$A$504,0)),""))</f>
        <v/>
      </c>
      <c r="G1634" s="29"/>
      <c r="H1634" s="29"/>
      <c r="I1634" s="29" t="str">
        <f t="shared" si="51"/>
        <v/>
      </c>
      <c r="K1634" s="30"/>
      <c r="M1634" t="str">
        <f>IF($A1634=Ficha!$B$3,COUNTIF($A$5:$A1634,Ficha!$B$3),"")</f>
        <v/>
      </c>
    </row>
    <row r="1635" spans="2:13" x14ac:dyDescent="0.3">
      <c r="B1635" s="30" t="str">
        <f>IF(A1635="","",IFERROR(INDEX(Maniobras!$B$5:$B$504,MATCH(A1635,Maniobras!$A$5:$A$504,0)),""))</f>
        <v/>
      </c>
      <c r="C1635" t="str">
        <f t="shared" si="50"/>
        <v/>
      </c>
      <c r="D1635" t="str">
        <f>IF(A1635="","",IFERROR(INDEX(Maniobras!$D$5:$D$504,MATCH(A1635,Maniobras!$A$5:$A$504,0)),""))</f>
        <v/>
      </c>
      <c r="F1635" s="29" t="str">
        <f>IF(A1635="","",IFERROR(INDEX(Maniobras!$K$5:$K$504,MATCH(A1635,Maniobras!$A$5:$A$504,0)),""))</f>
        <v/>
      </c>
      <c r="G1635" s="29"/>
      <c r="H1635" s="29"/>
      <c r="I1635" s="29" t="str">
        <f t="shared" si="51"/>
        <v/>
      </c>
      <c r="K1635" s="30"/>
      <c r="M1635" t="str">
        <f>IF($A1635=Ficha!$B$3,COUNTIF($A$5:$A1635,Ficha!$B$3),"")</f>
        <v/>
      </c>
    </row>
    <row r="1636" spans="2:13" x14ac:dyDescent="0.3">
      <c r="B1636" s="30" t="str">
        <f>IF(A1636="","",IFERROR(INDEX(Maniobras!$B$5:$B$504,MATCH(A1636,Maniobras!$A$5:$A$504,0)),""))</f>
        <v/>
      </c>
      <c r="C1636" t="str">
        <f t="shared" si="50"/>
        <v/>
      </c>
      <c r="D1636" t="str">
        <f>IF(A1636="","",IFERROR(INDEX(Maniobras!$D$5:$D$504,MATCH(A1636,Maniobras!$A$5:$A$504,0)),""))</f>
        <v/>
      </c>
      <c r="F1636" s="29" t="str">
        <f>IF(A1636="","",IFERROR(INDEX(Maniobras!$K$5:$K$504,MATCH(A1636,Maniobras!$A$5:$A$504,0)),""))</f>
        <v/>
      </c>
      <c r="G1636" s="29"/>
      <c r="H1636" s="29"/>
      <c r="I1636" s="29" t="str">
        <f t="shared" si="51"/>
        <v/>
      </c>
      <c r="K1636" s="30"/>
      <c r="M1636" t="str">
        <f>IF($A1636=Ficha!$B$3,COUNTIF($A$5:$A1636,Ficha!$B$3),"")</f>
        <v/>
      </c>
    </row>
    <row r="1637" spans="2:13" x14ac:dyDescent="0.3">
      <c r="B1637" s="30" t="str">
        <f>IF(A1637="","",IFERROR(INDEX(Maniobras!$B$5:$B$504,MATCH(A1637,Maniobras!$A$5:$A$504,0)),""))</f>
        <v/>
      </c>
      <c r="C1637" t="str">
        <f t="shared" si="50"/>
        <v/>
      </c>
      <c r="D1637" t="str">
        <f>IF(A1637="","",IFERROR(INDEX(Maniobras!$D$5:$D$504,MATCH(A1637,Maniobras!$A$5:$A$504,0)),""))</f>
        <v/>
      </c>
      <c r="F1637" s="29" t="str">
        <f>IF(A1637="","",IFERROR(INDEX(Maniobras!$K$5:$K$504,MATCH(A1637,Maniobras!$A$5:$A$504,0)),""))</f>
        <v/>
      </c>
      <c r="G1637" s="29"/>
      <c r="H1637" s="29"/>
      <c r="I1637" s="29" t="str">
        <f t="shared" si="51"/>
        <v/>
      </c>
      <c r="K1637" s="30"/>
      <c r="M1637" t="str">
        <f>IF($A1637=Ficha!$B$3,COUNTIF($A$5:$A1637,Ficha!$B$3),"")</f>
        <v/>
      </c>
    </row>
    <row r="1638" spans="2:13" x14ac:dyDescent="0.3">
      <c r="B1638" s="30" t="str">
        <f>IF(A1638="","",IFERROR(INDEX(Maniobras!$B$5:$B$504,MATCH(A1638,Maniobras!$A$5:$A$504,0)),""))</f>
        <v/>
      </c>
      <c r="C1638" t="str">
        <f t="shared" si="50"/>
        <v/>
      </c>
      <c r="D1638" t="str">
        <f>IF(A1638="","",IFERROR(INDEX(Maniobras!$D$5:$D$504,MATCH(A1638,Maniobras!$A$5:$A$504,0)),""))</f>
        <v/>
      </c>
      <c r="F1638" s="29" t="str">
        <f>IF(A1638="","",IFERROR(INDEX(Maniobras!$K$5:$K$504,MATCH(A1638,Maniobras!$A$5:$A$504,0)),""))</f>
        <v/>
      </c>
      <c r="G1638" s="29"/>
      <c r="H1638" s="29"/>
      <c r="I1638" s="29" t="str">
        <f t="shared" si="51"/>
        <v/>
      </c>
      <c r="K1638" s="30"/>
      <c r="M1638" t="str">
        <f>IF($A1638=Ficha!$B$3,COUNTIF($A$5:$A1638,Ficha!$B$3),"")</f>
        <v/>
      </c>
    </row>
    <row r="1639" spans="2:13" x14ac:dyDescent="0.3">
      <c r="B1639" s="30" t="str">
        <f>IF(A1639="","",IFERROR(INDEX(Maniobras!$B$5:$B$504,MATCH(A1639,Maniobras!$A$5:$A$504,0)),""))</f>
        <v/>
      </c>
      <c r="C1639" t="str">
        <f t="shared" si="50"/>
        <v/>
      </c>
      <c r="D1639" t="str">
        <f>IF(A1639="","",IFERROR(INDEX(Maniobras!$D$5:$D$504,MATCH(A1639,Maniobras!$A$5:$A$504,0)),""))</f>
        <v/>
      </c>
      <c r="F1639" s="29" t="str">
        <f>IF(A1639="","",IFERROR(INDEX(Maniobras!$K$5:$K$504,MATCH(A1639,Maniobras!$A$5:$A$504,0)),""))</f>
        <v/>
      </c>
      <c r="G1639" s="29"/>
      <c r="H1639" s="29"/>
      <c r="I1639" s="29" t="str">
        <f t="shared" si="51"/>
        <v/>
      </c>
      <c r="K1639" s="30"/>
      <c r="M1639" t="str">
        <f>IF($A1639=Ficha!$B$3,COUNTIF($A$5:$A1639,Ficha!$B$3),"")</f>
        <v/>
      </c>
    </row>
    <row r="1640" spans="2:13" x14ac:dyDescent="0.3">
      <c r="B1640" s="30" t="str">
        <f>IF(A1640="","",IFERROR(INDEX(Maniobras!$B$5:$B$504,MATCH(A1640,Maniobras!$A$5:$A$504,0)),""))</f>
        <v/>
      </c>
      <c r="C1640" t="str">
        <f t="shared" si="50"/>
        <v/>
      </c>
      <c r="D1640" t="str">
        <f>IF(A1640="","",IFERROR(INDEX(Maniobras!$D$5:$D$504,MATCH(A1640,Maniobras!$A$5:$A$504,0)),""))</f>
        <v/>
      </c>
      <c r="F1640" s="29" t="str">
        <f>IF(A1640="","",IFERROR(INDEX(Maniobras!$K$5:$K$504,MATCH(A1640,Maniobras!$A$5:$A$504,0)),""))</f>
        <v/>
      </c>
      <c r="G1640" s="29"/>
      <c r="H1640" s="29"/>
      <c r="I1640" s="29" t="str">
        <f t="shared" si="51"/>
        <v/>
      </c>
      <c r="K1640" s="30"/>
      <c r="M1640" t="str">
        <f>IF($A1640=Ficha!$B$3,COUNTIF($A$5:$A1640,Ficha!$B$3),"")</f>
        <v/>
      </c>
    </row>
    <row r="1641" spans="2:13" x14ac:dyDescent="0.3">
      <c r="B1641" s="30" t="str">
        <f>IF(A1641="","",IFERROR(INDEX(Maniobras!$B$5:$B$504,MATCH(A1641,Maniobras!$A$5:$A$504,0)),""))</f>
        <v/>
      </c>
      <c r="C1641" t="str">
        <f t="shared" si="50"/>
        <v/>
      </c>
      <c r="D1641" t="str">
        <f>IF(A1641="","",IFERROR(INDEX(Maniobras!$D$5:$D$504,MATCH(A1641,Maniobras!$A$5:$A$504,0)),""))</f>
        <v/>
      </c>
      <c r="F1641" s="29" t="str">
        <f>IF(A1641="","",IFERROR(INDEX(Maniobras!$K$5:$K$504,MATCH(A1641,Maniobras!$A$5:$A$504,0)),""))</f>
        <v/>
      </c>
      <c r="G1641" s="29"/>
      <c r="H1641" s="29"/>
      <c r="I1641" s="29" t="str">
        <f t="shared" si="51"/>
        <v/>
      </c>
      <c r="K1641" s="30"/>
      <c r="M1641" t="str">
        <f>IF($A1641=Ficha!$B$3,COUNTIF($A$5:$A1641,Ficha!$B$3),"")</f>
        <v/>
      </c>
    </row>
    <row r="1642" spans="2:13" x14ac:dyDescent="0.3">
      <c r="B1642" s="30" t="str">
        <f>IF(A1642="","",IFERROR(INDEX(Maniobras!$B$5:$B$504,MATCH(A1642,Maniobras!$A$5:$A$504,0)),""))</f>
        <v/>
      </c>
      <c r="C1642" t="str">
        <f t="shared" si="50"/>
        <v/>
      </c>
      <c r="D1642" t="str">
        <f>IF(A1642="","",IFERROR(INDEX(Maniobras!$D$5:$D$504,MATCH(A1642,Maniobras!$A$5:$A$504,0)),""))</f>
        <v/>
      </c>
      <c r="F1642" s="29" t="str">
        <f>IF(A1642="","",IFERROR(INDEX(Maniobras!$K$5:$K$504,MATCH(A1642,Maniobras!$A$5:$A$504,0)),""))</f>
        <v/>
      </c>
      <c r="G1642" s="29"/>
      <c r="H1642" s="29"/>
      <c r="I1642" s="29" t="str">
        <f t="shared" si="51"/>
        <v/>
      </c>
      <c r="K1642" s="30"/>
      <c r="M1642" t="str">
        <f>IF($A1642=Ficha!$B$3,COUNTIF($A$5:$A1642,Ficha!$B$3),"")</f>
        <v/>
      </c>
    </row>
    <row r="1643" spans="2:13" x14ac:dyDescent="0.3">
      <c r="B1643" s="30" t="str">
        <f>IF(A1643="","",IFERROR(INDEX(Maniobras!$B$5:$B$504,MATCH(A1643,Maniobras!$A$5:$A$504,0)),""))</f>
        <v/>
      </c>
      <c r="C1643" t="str">
        <f t="shared" si="50"/>
        <v/>
      </c>
      <c r="D1643" t="str">
        <f>IF(A1643="","",IFERROR(INDEX(Maniobras!$D$5:$D$504,MATCH(A1643,Maniobras!$A$5:$A$504,0)),""))</f>
        <v/>
      </c>
      <c r="F1643" s="29" t="str">
        <f>IF(A1643="","",IFERROR(INDEX(Maniobras!$K$5:$K$504,MATCH(A1643,Maniobras!$A$5:$A$504,0)),""))</f>
        <v/>
      </c>
      <c r="G1643" s="29"/>
      <c r="H1643" s="29"/>
      <c r="I1643" s="29" t="str">
        <f t="shared" si="51"/>
        <v/>
      </c>
      <c r="K1643" s="30"/>
      <c r="M1643" t="str">
        <f>IF($A1643=Ficha!$B$3,COUNTIF($A$5:$A1643,Ficha!$B$3),"")</f>
        <v/>
      </c>
    </row>
    <row r="1644" spans="2:13" x14ac:dyDescent="0.3">
      <c r="B1644" s="30" t="str">
        <f>IF(A1644="","",IFERROR(INDEX(Maniobras!$B$5:$B$504,MATCH(A1644,Maniobras!$A$5:$A$504,0)),""))</f>
        <v/>
      </c>
      <c r="C1644" t="str">
        <f t="shared" si="50"/>
        <v/>
      </c>
      <c r="D1644" t="str">
        <f>IF(A1644="","",IFERROR(INDEX(Maniobras!$D$5:$D$504,MATCH(A1644,Maniobras!$A$5:$A$504,0)),""))</f>
        <v/>
      </c>
      <c r="F1644" s="29" t="str">
        <f>IF(A1644="","",IFERROR(INDEX(Maniobras!$K$5:$K$504,MATCH(A1644,Maniobras!$A$5:$A$504,0)),""))</f>
        <v/>
      </c>
      <c r="G1644" s="29"/>
      <c r="H1644" s="29"/>
      <c r="I1644" s="29" t="str">
        <f t="shared" si="51"/>
        <v/>
      </c>
      <c r="K1644" s="30"/>
      <c r="M1644" t="str">
        <f>IF($A1644=Ficha!$B$3,COUNTIF($A$5:$A1644,Ficha!$B$3),"")</f>
        <v/>
      </c>
    </row>
    <row r="1645" spans="2:13" x14ac:dyDescent="0.3">
      <c r="B1645" s="30" t="str">
        <f>IF(A1645="","",IFERROR(INDEX(Maniobras!$B$5:$B$504,MATCH(A1645,Maniobras!$A$5:$A$504,0)),""))</f>
        <v/>
      </c>
      <c r="C1645" t="str">
        <f t="shared" si="50"/>
        <v/>
      </c>
      <c r="D1645" t="str">
        <f>IF(A1645="","",IFERROR(INDEX(Maniobras!$D$5:$D$504,MATCH(A1645,Maniobras!$A$5:$A$504,0)),""))</f>
        <v/>
      </c>
      <c r="F1645" s="29" t="str">
        <f>IF(A1645="","",IFERROR(INDEX(Maniobras!$K$5:$K$504,MATCH(A1645,Maniobras!$A$5:$A$504,0)),""))</f>
        <v/>
      </c>
      <c r="G1645" s="29"/>
      <c r="H1645" s="29"/>
      <c r="I1645" s="29" t="str">
        <f t="shared" si="51"/>
        <v/>
      </c>
      <c r="K1645" s="30"/>
      <c r="M1645" t="str">
        <f>IF($A1645=Ficha!$B$3,COUNTIF($A$5:$A1645,Ficha!$B$3),"")</f>
        <v/>
      </c>
    </row>
    <row r="1646" spans="2:13" x14ac:dyDescent="0.3">
      <c r="B1646" s="30" t="str">
        <f>IF(A1646="","",IFERROR(INDEX(Maniobras!$B$5:$B$504,MATCH(A1646,Maniobras!$A$5:$A$504,0)),""))</f>
        <v/>
      </c>
      <c r="C1646" t="str">
        <f t="shared" si="50"/>
        <v/>
      </c>
      <c r="D1646" t="str">
        <f>IF(A1646="","",IFERROR(INDEX(Maniobras!$D$5:$D$504,MATCH(A1646,Maniobras!$A$5:$A$504,0)),""))</f>
        <v/>
      </c>
      <c r="F1646" s="29" t="str">
        <f>IF(A1646="","",IFERROR(INDEX(Maniobras!$K$5:$K$504,MATCH(A1646,Maniobras!$A$5:$A$504,0)),""))</f>
        <v/>
      </c>
      <c r="G1646" s="29"/>
      <c r="H1646" s="29"/>
      <c r="I1646" s="29" t="str">
        <f t="shared" si="51"/>
        <v/>
      </c>
      <c r="K1646" s="30"/>
      <c r="M1646" t="str">
        <f>IF($A1646=Ficha!$B$3,COUNTIF($A$5:$A1646,Ficha!$B$3),"")</f>
        <v/>
      </c>
    </row>
    <row r="1647" spans="2:13" x14ac:dyDescent="0.3">
      <c r="B1647" s="30" t="str">
        <f>IF(A1647="","",IFERROR(INDEX(Maniobras!$B$5:$B$504,MATCH(A1647,Maniobras!$A$5:$A$504,0)),""))</f>
        <v/>
      </c>
      <c r="C1647" t="str">
        <f t="shared" si="50"/>
        <v/>
      </c>
      <c r="D1647" t="str">
        <f>IF(A1647="","",IFERROR(INDEX(Maniobras!$D$5:$D$504,MATCH(A1647,Maniobras!$A$5:$A$504,0)),""))</f>
        <v/>
      </c>
      <c r="F1647" s="29" t="str">
        <f>IF(A1647="","",IFERROR(INDEX(Maniobras!$K$5:$K$504,MATCH(A1647,Maniobras!$A$5:$A$504,0)),""))</f>
        <v/>
      </c>
      <c r="G1647" s="29"/>
      <c r="H1647" s="29"/>
      <c r="I1647" s="29" t="str">
        <f t="shared" si="51"/>
        <v/>
      </c>
      <c r="K1647" s="30"/>
      <c r="M1647" t="str">
        <f>IF($A1647=Ficha!$B$3,COUNTIF($A$5:$A1647,Ficha!$B$3),"")</f>
        <v/>
      </c>
    </row>
    <row r="1648" spans="2:13" x14ac:dyDescent="0.3">
      <c r="B1648" s="30" t="str">
        <f>IF(A1648="","",IFERROR(INDEX(Maniobras!$B$5:$B$504,MATCH(A1648,Maniobras!$A$5:$A$504,0)),""))</f>
        <v/>
      </c>
      <c r="C1648" t="str">
        <f t="shared" si="50"/>
        <v/>
      </c>
      <c r="D1648" t="str">
        <f>IF(A1648="","",IFERROR(INDEX(Maniobras!$D$5:$D$504,MATCH(A1648,Maniobras!$A$5:$A$504,0)),""))</f>
        <v/>
      </c>
      <c r="F1648" s="29" t="str">
        <f>IF(A1648="","",IFERROR(INDEX(Maniobras!$K$5:$K$504,MATCH(A1648,Maniobras!$A$5:$A$504,0)),""))</f>
        <v/>
      </c>
      <c r="G1648" s="29"/>
      <c r="H1648" s="29"/>
      <c r="I1648" s="29" t="str">
        <f t="shared" si="51"/>
        <v/>
      </c>
      <c r="K1648" s="30"/>
      <c r="M1648" t="str">
        <f>IF($A1648=Ficha!$B$3,COUNTIF($A$5:$A1648,Ficha!$B$3),"")</f>
        <v/>
      </c>
    </row>
    <row r="1649" spans="2:13" x14ac:dyDescent="0.3">
      <c r="B1649" s="30" t="str">
        <f>IF(A1649="","",IFERROR(INDEX(Maniobras!$B$5:$B$504,MATCH(A1649,Maniobras!$A$5:$A$504,0)),""))</f>
        <v/>
      </c>
      <c r="C1649" t="str">
        <f t="shared" si="50"/>
        <v/>
      </c>
      <c r="D1649" t="str">
        <f>IF(A1649="","",IFERROR(INDEX(Maniobras!$D$5:$D$504,MATCH(A1649,Maniobras!$A$5:$A$504,0)),""))</f>
        <v/>
      </c>
      <c r="F1649" s="29" t="str">
        <f>IF(A1649="","",IFERROR(INDEX(Maniobras!$K$5:$K$504,MATCH(A1649,Maniobras!$A$5:$A$504,0)),""))</f>
        <v/>
      </c>
      <c r="G1649" s="29"/>
      <c r="H1649" s="29"/>
      <c r="I1649" s="29" t="str">
        <f t="shared" si="51"/>
        <v/>
      </c>
      <c r="K1649" s="30"/>
      <c r="M1649" t="str">
        <f>IF($A1649=Ficha!$B$3,COUNTIF($A$5:$A1649,Ficha!$B$3),"")</f>
        <v/>
      </c>
    </row>
    <row r="1650" spans="2:13" x14ac:dyDescent="0.3">
      <c r="B1650" s="30" t="str">
        <f>IF(A1650="","",IFERROR(INDEX(Maniobras!$B$5:$B$504,MATCH(A1650,Maniobras!$A$5:$A$504,0)),""))</f>
        <v/>
      </c>
      <c r="C1650" t="str">
        <f t="shared" si="50"/>
        <v/>
      </c>
      <c r="D1650" t="str">
        <f>IF(A1650="","",IFERROR(INDEX(Maniobras!$D$5:$D$504,MATCH(A1650,Maniobras!$A$5:$A$504,0)),""))</f>
        <v/>
      </c>
      <c r="F1650" s="29" t="str">
        <f>IF(A1650="","",IFERROR(INDEX(Maniobras!$K$5:$K$504,MATCH(A1650,Maniobras!$A$5:$A$504,0)),""))</f>
        <v/>
      </c>
      <c r="G1650" s="29"/>
      <c r="H1650" s="29"/>
      <c r="I1650" s="29" t="str">
        <f t="shared" si="51"/>
        <v/>
      </c>
      <c r="K1650" s="30"/>
      <c r="M1650" t="str">
        <f>IF($A1650=Ficha!$B$3,COUNTIF($A$5:$A1650,Ficha!$B$3),"")</f>
        <v/>
      </c>
    </row>
    <row r="1651" spans="2:13" x14ac:dyDescent="0.3">
      <c r="B1651" s="30" t="str">
        <f>IF(A1651="","",IFERROR(INDEX(Maniobras!$B$5:$B$504,MATCH(A1651,Maniobras!$A$5:$A$504,0)),""))</f>
        <v/>
      </c>
      <c r="C1651" t="str">
        <f t="shared" si="50"/>
        <v/>
      </c>
      <c r="D1651" t="str">
        <f>IF(A1651="","",IFERROR(INDEX(Maniobras!$D$5:$D$504,MATCH(A1651,Maniobras!$A$5:$A$504,0)),""))</f>
        <v/>
      </c>
      <c r="F1651" s="29" t="str">
        <f>IF(A1651="","",IFERROR(INDEX(Maniobras!$K$5:$K$504,MATCH(A1651,Maniobras!$A$5:$A$504,0)),""))</f>
        <v/>
      </c>
      <c r="G1651" s="29"/>
      <c r="H1651" s="29"/>
      <c r="I1651" s="29" t="str">
        <f t="shared" si="51"/>
        <v/>
      </c>
      <c r="K1651" s="30"/>
      <c r="M1651" t="str">
        <f>IF($A1651=Ficha!$B$3,COUNTIF($A$5:$A1651,Ficha!$B$3),"")</f>
        <v/>
      </c>
    </row>
    <row r="1652" spans="2:13" x14ac:dyDescent="0.3">
      <c r="B1652" s="30" t="str">
        <f>IF(A1652="","",IFERROR(INDEX(Maniobras!$B$5:$B$504,MATCH(A1652,Maniobras!$A$5:$A$504,0)),""))</f>
        <v/>
      </c>
      <c r="C1652" t="str">
        <f t="shared" si="50"/>
        <v/>
      </c>
      <c r="D1652" t="str">
        <f>IF(A1652="","",IFERROR(INDEX(Maniobras!$D$5:$D$504,MATCH(A1652,Maniobras!$A$5:$A$504,0)),""))</f>
        <v/>
      </c>
      <c r="F1652" s="29" t="str">
        <f>IF(A1652="","",IFERROR(INDEX(Maniobras!$K$5:$K$504,MATCH(A1652,Maniobras!$A$5:$A$504,0)),""))</f>
        <v/>
      </c>
      <c r="G1652" s="29"/>
      <c r="H1652" s="29"/>
      <c r="I1652" s="29" t="str">
        <f t="shared" si="51"/>
        <v/>
      </c>
      <c r="K1652" s="30"/>
      <c r="M1652" t="str">
        <f>IF($A1652=Ficha!$B$3,COUNTIF($A$5:$A1652,Ficha!$B$3),"")</f>
        <v/>
      </c>
    </row>
    <row r="1653" spans="2:13" x14ac:dyDescent="0.3">
      <c r="B1653" s="30" t="str">
        <f>IF(A1653="","",IFERROR(INDEX(Maniobras!$B$5:$B$504,MATCH(A1653,Maniobras!$A$5:$A$504,0)),""))</f>
        <v/>
      </c>
      <c r="C1653" t="str">
        <f t="shared" si="50"/>
        <v/>
      </c>
      <c r="D1653" t="str">
        <f>IF(A1653="","",IFERROR(INDEX(Maniobras!$D$5:$D$504,MATCH(A1653,Maniobras!$A$5:$A$504,0)),""))</f>
        <v/>
      </c>
      <c r="F1653" s="29" t="str">
        <f>IF(A1653="","",IFERROR(INDEX(Maniobras!$K$5:$K$504,MATCH(A1653,Maniobras!$A$5:$A$504,0)),""))</f>
        <v/>
      </c>
      <c r="G1653" s="29"/>
      <c r="H1653" s="29"/>
      <c r="I1653" s="29" t="str">
        <f t="shared" si="51"/>
        <v/>
      </c>
      <c r="K1653" s="30"/>
      <c r="M1653" t="str">
        <f>IF($A1653=Ficha!$B$3,COUNTIF($A$5:$A1653,Ficha!$B$3),"")</f>
        <v/>
      </c>
    </row>
    <row r="1654" spans="2:13" x14ac:dyDescent="0.3">
      <c r="B1654" s="30" t="str">
        <f>IF(A1654="","",IFERROR(INDEX(Maniobras!$B$5:$B$504,MATCH(A1654,Maniobras!$A$5:$A$504,0)),""))</f>
        <v/>
      </c>
      <c r="C1654" t="str">
        <f t="shared" si="50"/>
        <v/>
      </c>
      <c r="D1654" t="str">
        <f>IF(A1654="","",IFERROR(INDEX(Maniobras!$D$5:$D$504,MATCH(A1654,Maniobras!$A$5:$A$504,0)),""))</f>
        <v/>
      </c>
      <c r="F1654" s="29" t="str">
        <f>IF(A1654="","",IFERROR(INDEX(Maniobras!$K$5:$K$504,MATCH(A1654,Maniobras!$A$5:$A$504,0)),""))</f>
        <v/>
      </c>
      <c r="G1654" s="29"/>
      <c r="H1654" s="29"/>
      <c r="I1654" s="29" t="str">
        <f t="shared" si="51"/>
        <v/>
      </c>
      <c r="K1654" s="30"/>
      <c r="M1654" t="str">
        <f>IF($A1654=Ficha!$B$3,COUNTIF($A$5:$A1654,Ficha!$B$3),"")</f>
        <v/>
      </c>
    </row>
    <row r="1655" spans="2:13" x14ac:dyDescent="0.3">
      <c r="B1655" s="30" t="str">
        <f>IF(A1655="","",IFERROR(INDEX(Maniobras!$B$5:$B$504,MATCH(A1655,Maniobras!$A$5:$A$504,0)),""))</f>
        <v/>
      </c>
      <c r="C1655" t="str">
        <f t="shared" si="50"/>
        <v/>
      </c>
      <c r="D1655" t="str">
        <f>IF(A1655="","",IFERROR(INDEX(Maniobras!$D$5:$D$504,MATCH(A1655,Maniobras!$A$5:$A$504,0)),""))</f>
        <v/>
      </c>
      <c r="F1655" s="29" t="str">
        <f>IF(A1655="","",IFERROR(INDEX(Maniobras!$K$5:$K$504,MATCH(A1655,Maniobras!$A$5:$A$504,0)),""))</f>
        <v/>
      </c>
      <c r="G1655" s="29"/>
      <c r="H1655" s="29"/>
      <c r="I1655" s="29" t="str">
        <f t="shared" si="51"/>
        <v/>
      </c>
      <c r="K1655" s="30"/>
      <c r="M1655" t="str">
        <f>IF($A1655=Ficha!$B$3,COUNTIF($A$5:$A1655,Ficha!$B$3),"")</f>
        <v/>
      </c>
    </row>
    <row r="1656" spans="2:13" x14ac:dyDescent="0.3">
      <c r="B1656" s="30" t="str">
        <f>IF(A1656="","",IFERROR(INDEX(Maniobras!$B$5:$B$504,MATCH(A1656,Maniobras!$A$5:$A$504,0)),""))</f>
        <v/>
      </c>
      <c r="C1656" t="str">
        <f t="shared" si="50"/>
        <v/>
      </c>
      <c r="D1656" t="str">
        <f>IF(A1656="","",IFERROR(INDEX(Maniobras!$D$5:$D$504,MATCH(A1656,Maniobras!$A$5:$A$504,0)),""))</f>
        <v/>
      </c>
      <c r="F1656" s="29" t="str">
        <f>IF(A1656="","",IFERROR(INDEX(Maniobras!$K$5:$K$504,MATCH(A1656,Maniobras!$A$5:$A$504,0)),""))</f>
        <v/>
      </c>
      <c r="G1656" s="29"/>
      <c r="H1656" s="29"/>
      <c r="I1656" s="29" t="str">
        <f t="shared" si="51"/>
        <v/>
      </c>
      <c r="K1656" s="30"/>
      <c r="M1656" t="str">
        <f>IF($A1656=Ficha!$B$3,COUNTIF($A$5:$A1656,Ficha!$B$3),"")</f>
        <v/>
      </c>
    </row>
    <row r="1657" spans="2:13" x14ac:dyDescent="0.3">
      <c r="B1657" s="30" t="str">
        <f>IF(A1657="","",IFERROR(INDEX(Maniobras!$B$5:$B$504,MATCH(A1657,Maniobras!$A$5:$A$504,0)),""))</f>
        <v/>
      </c>
      <c r="C1657" t="str">
        <f t="shared" si="50"/>
        <v/>
      </c>
      <c r="D1657" t="str">
        <f>IF(A1657="","",IFERROR(INDEX(Maniobras!$D$5:$D$504,MATCH(A1657,Maniobras!$A$5:$A$504,0)),""))</f>
        <v/>
      </c>
      <c r="F1657" s="29" t="str">
        <f>IF(A1657="","",IFERROR(INDEX(Maniobras!$K$5:$K$504,MATCH(A1657,Maniobras!$A$5:$A$504,0)),""))</f>
        <v/>
      </c>
      <c r="G1657" s="29"/>
      <c r="H1657" s="29"/>
      <c r="I1657" s="29" t="str">
        <f t="shared" si="51"/>
        <v/>
      </c>
      <c r="K1657" s="30"/>
      <c r="M1657" t="str">
        <f>IF($A1657=Ficha!$B$3,COUNTIF($A$5:$A1657,Ficha!$B$3),"")</f>
        <v/>
      </c>
    </row>
    <row r="1658" spans="2:13" x14ac:dyDescent="0.3">
      <c r="B1658" s="30" t="str">
        <f>IF(A1658="","",IFERROR(INDEX(Maniobras!$B$5:$B$504,MATCH(A1658,Maniobras!$A$5:$A$504,0)),""))</f>
        <v/>
      </c>
      <c r="C1658" t="str">
        <f t="shared" si="50"/>
        <v/>
      </c>
      <c r="D1658" t="str">
        <f>IF(A1658="","",IFERROR(INDEX(Maniobras!$D$5:$D$504,MATCH(A1658,Maniobras!$A$5:$A$504,0)),""))</f>
        <v/>
      </c>
      <c r="F1658" s="29" t="str">
        <f>IF(A1658="","",IFERROR(INDEX(Maniobras!$K$5:$K$504,MATCH(A1658,Maniobras!$A$5:$A$504,0)),""))</f>
        <v/>
      </c>
      <c r="G1658" s="29"/>
      <c r="H1658" s="29"/>
      <c r="I1658" s="29" t="str">
        <f t="shared" si="51"/>
        <v/>
      </c>
      <c r="K1658" s="30"/>
      <c r="M1658" t="str">
        <f>IF($A1658=Ficha!$B$3,COUNTIF($A$5:$A1658,Ficha!$B$3),"")</f>
        <v/>
      </c>
    </row>
    <row r="1659" spans="2:13" x14ac:dyDescent="0.3">
      <c r="B1659" s="30" t="str">
        <f>IF(A1659="","",IFERROR(INDEX(Maniobras!$B$5:$B$504,MATCH(A1659,Maniobras!$A$5:$A$504,0)),""))</f>
        <v/>
      </c>
      <c r="C1659" t="str">
        <f t="shared" si="50"/>
        <v/>
      </c>
      <c r="D1659" t="str">
        <f>IF(A1659="","",IFERROR(INDEX(Maniobras!$D$5:$D$504,MATCH(A1659,Maniobras!$A$5:$A$504,0)),""))</f>
        <v/>
      </c>
      <c r="F1659" s="29" t="str">
        <f>IF(A1659="","",IFERROR(INDEX(Maniobras!$K$5:$K$504,MATCH(A1659,Maniobras!$A$5:$A$504,0)),""))</f>
        <v/>
      </c>
      <c r="G1659" s="29"/>
      <c r="H1659" s="29"/>
      <c r="I1659" s="29" t="str">
        <f t="shared" si="51"/>
        <v/>
      </c>
      <c r="K1659" s="30"/>
      <c r="M1659" t="str">
        <f>IF($A1659=Ficha!$B$3,COUNTIF($A$5:$A1659,Ficha!$B$3),"")</f>
        <v/>
      </c>
    </row>
    <row r="1660" spans="2:13" x14ac:dyDescent="0.3">
      <c r="B1660" s="30" t="str">
        <f>IF(A1660="","",IFERROR(INDEX(Maniobras!$B$5:$B$504,MATCH(A1660,Maniobras!$A$5:$A$504,0)),""))</f>
        <v/>
      </c>
      <c r="C1660" t="str">
        <f t="shared" si="50"/>
        <v/>
      </c>
      <c r="D1660" t="str">
        <f>IF(A1660="","",IFERROR(INDEX(Maniobras!$D$5:$D$504,MATCH(A1660,Maniobras!$A$5:$A$504,0)),""))</f>
        <v/>
      </c>
      <c r="F1660" s="29" t="str">
        <f>IF(A1660="","",IFERROR(INDEX(Maniobras!$K$5:$K$504,MATCH(A1660,Maniobras!$A$5:$A$504,0)),""))</f>
        <v/>
      </c>
      <c r="G1660" s="29"/>
      <c r="H1660" s="29"/>
      <c r="I1660" s="29" t="str">
        <f t="shared" si="51"/>
        <v/>
      </c>
      <c r="K1660" s="30"/>
      <c r="M1660" t="str">
        <f>IF($A1660=Ficha!$B$3,COUNTIF($A$5:$A1660,Ficha!$B$3),"")</f>
        <v/>
      </c>
    </row>
    <row r="1661" spans="2:13" x14ac:dyDescent="0.3">
      <c r="B1661" s="30" t="str">
        <f>IF(A1661="","",IFERROR(INDEX(Maniobras!$B$5:$B$504,MATCH(A1661,Maniobras!$A$5:$A$504,0)),""))</f>
        <v/>
      </c>
      <c r="C1661" t="str">
        <f t="shared" si="50"/>
        <v/>
      </c>
      <c r="D1661" t="str">
        <f>IF(A1661="","",IFERROR(INDEX(Maniobras!$D$5:$D$504,MATCH(A1661,Maniobras!$A$5:$A$504,0)),""))</f>
        <v/>
      </c>
      <c r="F1661" s="29" t="str">
        <f>IF(A1661="","",IFERROR(INDEX(Maniobras!$K$5:$K$504,MATCH(A1661,Maniobras!$A$5:$A$504,0)),""))</f>
        <v/>
      </c>
      <c r="G1661" s="29"/>
      <c r="H1661" s="29"/>
      <c r="I1661" s="29" t="str">
        <f t="shared" si="51"/>
        <v/>
      </c>
      <c r="K1661" s="30"/>
      <c r="M1661" t="str">
        <f>IF($A1661=Ficha!$B$3,COUNTIF($A$5:$A1661,Ficha!$B$3),"")</f>
        <v/>
      </c>
    </row>
    <row r="1662" spans="2:13" x14ac:dyDescent="0.3">
      <c r="B1662" s="30" t="str">
        <f>IF(A1662="","",IFERROR(INDEX(Maniobras!$B$5:$B$504,MATCH(A1662,Maniobras!$A$5:$A$504,0)),""))</f>
        <v/>
      </c>
      <c r="C1662" t="str">
        <f t="shared" si="50"/>
        <v/>
      </c>
      <c r="D1662" t="str">
        <f>IF(A1662="","",IFERROR(INDEX(Maniobras!$D$5:$D$504,MATCH(A1662,Maniobras!$A$5:$A$504,0)),""))</f>
        <v/>
      </c>
      <c r="F1662" s="29" t="str">
        <f>IF(A1662="","",IFERROR(INDEX(Maniobras!$K$5:$K$504,MATCH(A1662,Maniobras!$A$5:$A$504,0)),""))</f>
        <v/>
      </c>
      <c r="G1662" s="29"/>
      <c r="H1662" s="29"/>
      <c r="I1662" s="29" t="str">
        <f t="shared" si="51"/>
        <v/>
      </c>
      <c r="K1662" s="30"/>
      <c r="M1662" t="str">
        <f>IF($A1662=Ficha!$B$3,COUNTIF($A$5:$A1662,Ficha!$B$3),"")</f>
        <v/>
      </c>
    </row>
    <row r="1663" spans="2:13" x14ac:dyDescent="0.3">
      <c r="B1663" s="30" t="str">
        <f>IF(A1663="","",IFERROR(INDEX(Maniobras!$B$5:$B$504,MATCH(A1663,Maniobras!$A$5:$A$504,0)),""))</f>
        <v/>
      </c>
      <c r="C1663" t="str">
        <f t="shared" si="50"/>
        <v/>
      </c>
      <c r="D1663" t="str">
        <f>IF(A1663="","",IFERROR(INDEX(Maniobras!$D$5:$D$504,MATCH(A1663,Maniobras!$A$5:$A$504,0)),""))</f>
        <v/>
      </c>
      <c r="F1663" s="29" t="str">
        <f>IF(A1663="","",IFERROR(INDEX(Maniobras!$K$5:$K$504,MATCH(A1663,Maniobras!$A$5:$A$504,0)),""))</f>
        <v/>
      </c>
      <c r="G1663" s="29"/>
      <c r="H1663" s="29"/>
      <c r="I1663" s="29" t="str">
        <f t="shared" si="51"/>
        <v/>
      </c>
      <c r="K1663" s="30"/>
      <c r="M1663" t="str">
        <f>IF($A1663=Ficha!$B$3,COUNTIF($A$5:$A1663,Ficha!$B$3),"")</f>
        <v/>
      </c>
    </row>
    <row r="1664" spans="2:13" x14ac:dyDescent="0.3">
      <c r="B1664" s="30" t="str">
        <f>IF(A1664="","",IFERROR(INDEX(Maniobras!$B$5:$B$504,MATCH(A1664,Maniobras!$A$5:$A$504,0)),""))</f>
        <v/>
      </c>
      <c r="C1664" t="str">
        <f t="shared" si="50"/>
        <v/>
      </c>
      <c r="D1664" t="str">
        <f>IF(A1664="","",IFERROR(INDEX(Maniobras!$D$5:$D$504,MATCH(A1664,Maniobras!$A$5:$A$504,0)),""))</f>
        <v/>
      </c>
      <c r="F1664" s="29" t="str">
        <f>IF(A1664="","",IFERROR(INDEX(Maniobras!$K$5:$K$504,MATCH(A1664,Maniobras!$A$5:$A$504,0)),""))</f>
        <v/>
      </c>
      <c r="G1664" s="29"/>
      <c r="H1664" s="29"/>
      <c r="I1664" s="29" t="str">
        <f t="shared" si="51"/>
        <v/>
      </c>
      <c r="K1664" s="30"/>
      <c r="M1664" t="str">
        <f>IF($A1664=Ficha!$B$3,COUNTIF($A$5:$A1664,Ficha!$B$3),"")</f>
        <v/>
      </c>
    </row>
    <row r="1665" spans="2:13" x14ac:dyDescent="0.3">
      <c r="B1665" s="30" t="str">
        <f>IF(A1665="","",IFERROR(INDEX(Maniobras!$B$5:$B$504,MATCH(A1665,Maniobras!$A$5:$A$504,0)),""))</f>
        <v/>
      </c>
      <c r="C1665" t="str">
        <f t="shared" si="50"/>
        <v/>
      </c>
      <c r="D1665" t="str">
        <f>IF(A1665="","",IFERROR(INDEX(Maniobras!$D$5:$D$504,MATCH(A1665,Maniobras!$A$5:$A$504,0)),""))</f>
        <v/>
      </c>
      <c r="F1665" s="29" t="str">
        <f>IF(A1665="","",IFERROR(INDEX(Maniobras!$K$5:$K$504,MATCH(A1665,Maniobras!$A$5:$A$504,0)),""))</f>
        <v/>
      </c>
      <c r="G1665" s="29"/>
      <c r="H1665" s="29"/>
      <c r="I1665" s="29" t="str">
        <f t="shared" si="51"/>
        <v/>
      </c>
      <c r="K1665" s="30"/>
      <c r="M1665" t="str">
        <f>IF($A1665=Ficha!$B$3,COUNTIF($A$5:$A1665,Ficha!$B$3),"")</f>
        <v/>
      </c>
    </row>
    <row r="1666" spans="2:13" x14ac:dyDescent="0.3">
      <c r="B1666" s="30" t="str">
        <f>IF(A1666="","",IFERROR(INDEX(Maniobras!$B$5:$B$504,MATCH(A1666,Maniobras!$A$5:$A$504,0)),""))</f>
        <v/>
      </c>
      <c r="C1666" t="str">
        <f t="shared" si="50"/>
        <v/>
      </c>
      <c r="D1666" t="str">
        <f>IF(A1666="","",IFERROR(INDEX(Maniobras!$D$5:$D$504,MATCH(A1666,Maniobras!$A$5:$A$504,0)),""))</f>
        <v/>
      </c>
      <c r="F1666" s="29" t="str">
        <f>IF(A1666="","",IFERROR(INDEX(Maniobras!$K$5:$K$504,MATCH(A1666,Maniobras!$A$5:$A$504,0)),""))</f>
        <v/>
      </c>
      <c r="G1666" s="29"/>
      <c r="H1666" s="29"/>
      <c r="I1666" s="29" t="str">
        <f t="shared" si="51"/>
        <v/>
      </c>
      <c r="K1666" s="30"/>
      <c r="M1666" t="str">
        <f>IF($A1666=Ficha!$B$3,COUNTIF($A$5:$A1666,Ficha!$B$3),"")</f>
        <v/>
      </c>
    </row>
    <row r="1667" spans="2:13" x14ac:dyDescent="0.3">
      <c r="B1667" s="30" t="str">
        <f>IF(A1667="","",IFERROR(INDEX(Maniobras!$B$5:$B$504,MATCH(A1667,Maniobras!$A$5:$A$504,0)),""))</f>
        <v/>
      </c>
      <c r="C1667" t="str">
        <f t="shared" si="50"/>
        <v/>
      </c>
      <c r="D1667" t="str">
        <f>IF(A1667="","",IFERROR(INDEX(Maniobras!$D$5:$D$504,MATCH(A1667,Maniobras!$A$5:$A$504,0)),""))</f>
        <v/>
      </c>
      <c r="F1667" s="29" t="str">
        <f>IF(A1667="","",IFERROR(INDEX(Maniobras!$K$5:$K$504,MATCH(A1667,Maniobras!$A$5:$A$504,0)),""))</f>
        <v/>
      </c>
      <c r="G1667" s="29"/>
      <c r="H1667" s="29"/>
      <c r="I1667" s="29" t="str">
        <f t="shared" si="51"/>
        <v/>
      </c>
      <c r="K1667" s="30"/>
      <c r="M1667" t="str">
        <f>IF($A1667=Ficha!$B$3,COUNTIF($A$5:$A1667,Ficha!$B$3),"")</f>
        <v/>
      </c>
    </row>
    <row r="1668" spans="2:13" x14ac:dyDescent="0.3">
      <c r="B1668" s="30" t="str">
        <f>IF(A1668="","",IFERROR(INDEX(Maniobras!$B$5:$B$504,MATCH(A1668,Maniobras!$A$5:$A$504,0)),""))</f>
        <v/>
      </c>
      <c r="C1668" t="str">
        <f t="shared" si="50"/>
        <v/>
      </c>
      <c r="D1668" t="str">
        <f>IF(A1668="","",IFERROR(INDEX(Maniobras!$D$5:$D$504,MATCH(A1668,Maniobras!$A$5:$A$504,0)),""))</f>
        <v/>
      </c>
      <c r="F1668" s="29" t="str">
        <f>IF(A1668="","",IFERROR(INDEX(Maniobras!$K$5:$K$504,MATCH(A1668,Maniobras!$A$5:$A$504,0)),""))</f>
        <v/>
      </c>
      <c r="G1668" s="29"/>
      <c r="H1668" s="29"/>
      <c r="I1668" s="29" t="str">
        <f t="shared" si="51"/>
        <v/>
      </c>
      <c r="K1668" s="30"/>
      <c r="M1668" t="str">
        <f>IF($A1668=Ficha!$B$3,COUNTIF($A$5:$A1668,Ficha!$B$3),"")</f>
        <v/>
      </c>
    </row>
    <row r="1669" spans="2:13" x14ac:dyDescent="0.3">
      <c r="B1669" s="30" t="str">
        <f>IF(A1669="","",IFERROR(INDEX(Maniobras!$B$5:$B$504,MATCH(A1669,Maniobras!$A$5:$A$504,0)),""))</f>
        <v/>
      </c>
      <c r="C1669" t="str">
        <f t="shared" ref="C1669:C1732" si="52">IF(B1669="","",TEXT(B1669,"yyyy-mm"))</f>
        <v/>
      </c>
      <c r="D1669" t="str">
        <f>IF(A1669="","",IFERROR(INDEX(Maniobras!$D$5:$D$504,MATCH(A1669,Maniobras!$A$5:$A$504,0)),""))</f>
        <v/>
      </c>
      <c r="F1669" s="29" t="str">
        <f>IF(A1669="","",IFERROR(INDEX(Maniobras!$K$5:$K$504,MATCH(A1669,Maniobras!$A$5:$A$504,0)),""))</f>
        <v/>
      </c>
      <c r="G1669" s="29"/>
      <c r="H1669" s="29"/>
      <c r="I1669" s="29" t="str">
        <f t="shared" ref="I1669:I1732" si="53">IF(G1669="","",G1669+N(H1669))</f>
        <v/>
      </c>
      <c r="K1669" s="30"/>
      <c r="M1669" t="str">
        <f>IF($A1669=Ficha!$B$3,COUNTIF($A$5:$A1669,Ficha!$B$3),"")</f>
        <v/>
      </c>
    </row>
    <row r="1670" spans="2:13" x14ac:dyDescent="0.3">
      <c r="B1670" s="30" t="str">
        <f>IF(A1670="","",IFERROR(INDEX(Maniobras!$B$5:$B$504,MATCH(A1670,Maniobras!$A$5:$A$504,0)),""))</f>
        <v/>
      </c>
      <c r="C1670" t="str">
        <f t="shared" si="52"/>
        <v/>
      </c>
      <c r="D1670" t="str">
        <f>IF(A1670="","",IFERROR(INDEX(Maniobras!$D$5:$D$504,MATCH(A1670,Maniobras!$A$5:$A$504,0)),""))</f>
        <v/>
      </c>
      <c r="F1670" s="29" t="str">
        <f>IF(A1670="","",IFERROR(INDEX(Maniobras!$K$5:$K$504,MATCH(A1670,Maniobras!$A$5:$A$504,0)),""))</f>
        <v/>
      </c>
      <c r="G1670" s="29"/>
      <c r="H1670" s="29"/>
      <c r="I1670" s="29" t="str">
        <f t="shared" si="53"/>
        <v/>
      </c>
      <c r="K1670" s="30"/>
      <c r="M1670" t="str">
        <f>IF($A1670=Ficha!$B$3,COUNTIF($A$5:$A1670,Ficha!$B$3),"")</f>
        <v/>
      </c>
    </row>
    <row r="1671" spans="2:13" x14ac:dyDescent="0.3">
      <c r="B1671" s="30" t="str">
        <f>IF(A1671="","",IFERROR(INDEX(Maniobras!$B$5:$B$504,MATCH(A1671,Maniobras!$A$5:$A$504,0)),""))</f>
        <v/>
      </c>
      <c r="C1671" t="str">
        <f t="shared" si="52"/>
        <v/>
      </c>
      <c r="D1671" t="str">
        <f>IF(A1671="","",IFERROR(INDEX(Maniobras!$D$5:$D$504,MATCH(A1671,Maniobras!$A$5:$A$504,0)),""))</f>
        <v/>
      </c>
      <c r="F1671" s="29" t="str">
        <f>IF(A1671="","",IFERROR(INDEX(Maniobras!$K$5:$K$504,MATCH(A1671,Maniobras!$A$5:$A$504,0)),""))</f>
        <v/>
      </c>
      <c r="G1671" s="29"/>
      <c r="H1671" s="29"/>
      <c r="I1671" s="29" t="str">
        <f t="shared" si="53"/>
        <v/>
      </c>
      <c r="K1671" s="30"/>
      <c r="M1671" t="str">
        <f>IF($A1671=Ficha!$B$3,COUNTIF($A$5:$A1671,Ficha!$B$3),"")</f>
        <v/>
      </c>
    </row>
    <row r="1672" spans="2:13" x14ac:dyDescent="0.3">
      <c r="B1672" s="30" t="str">
        <f>IF(A1672="","",IFERROR(INDEX(Maniobras!$B$5:$B$504,MATCH(A1672,Maniobras!$A$5:$A$504,0)),""))</f>
        <v/>
      </c>
      <c r="C1672" t="str">
        <f t="shared" si="52"/>
        <v/>
      </c>
      <c r="D1672" t="str">
        <f>IF(A1672="","",IFERROR(INDEX(Maniobras!$D$5:$D$504,MATCH(A1672,Maniobras!$A$5:$A$504,0)),""))</f>
        <v/>
      </c>
      <c r="F1672" s="29" t="str">
        <f>IF(A1672="","",IFERROR(INDEX(Maniobras!$K$5:$K$504,MATCH(A1672,Maniobras!$A$5:$A$504,0)),""))</f>
        <v/>
      </c>
      <c r="G1672" s="29"/>
      <c r="H1672" s="29"/>
      <c r="I1672" s="29" t="str">
        <f t="shared" si="53"/>
        <v/>
      </c>
      <c r="K1672" s="30"/>
      <c r="M1672" t="str">
        <f>IF($A1672=Ficha!$B$3,COUNTIF($A$5:$A1672,Ficha!$B$3),"")</f>
        <v/>
      </c>
    </row>
    <row r="1673" spans="2:13" x14ac:dyDescent="0.3">
      <c r="B1673" s="30" t="str">
        <f>IF(A1673="","",IFERROR(INDEX(Maniobras!$B$5:$B$504,MATCH(A1673,Maniobras!$A$5:$A$504,0)),""))</f>
        <v/>
      </c>
      <c r="C1673" t="str">
        <f t="shared" si="52"/>
        <v/>
      </c>
      <c r="D1673" t="str">
        <f>IF(A1673="","",IFERROR(INDEX(Maniobras!$D$5:$D$504,MATCH(A1673,Maniobras!$A$5:$A$504,0)),""))</f>
        <v/>
      </c>
      <c r="F1673" s="29" t="str">
        <f>IF(A1673="","",IFERROR(INDEX(Maniobras!$K$5:$K$504,MATCH(A1673,Maniobras!$A$5:$A$504,0)),""))</f>
        <v/>
      </c>
      <c r="G1673" s="29"/>
      <c r="H1673" s="29"/>
      <c r="I1673" s="29" t="str">
        <f t="shared" si="53"/>
        <v/>
      </c>
      <c r="K1673" s="30"/>
      <c r="M1673" t="str">
        <f>IF($A1673=Ficha!$B$3,COUNTIF($A$5:$A1673,Ficha!$B$3),"")</f>
        <v/>
      </c>
    </row>
    <row r="1674" spans="2:13" x14ac:dyDescent="0.3">
      <c r="B1674" s="30" t="str">
        <f>IF(A1674="","",IFERROR(INDEX(Maniobras!$B$5:$B$504,MATCH(A1674,Maniobras!$A$5:$A$504,0)),""))</f>
        <v/>
      </c>
      <c r="C1674" t="str">
        <f t="shared" si="52"/>
        <v/>
      </c>
      <c r="D1674" t="str">
        <f>IF(A1674="","",IFERROR(INDEX(Maniobras!$D$5:$D$504,MATCH(A1674,Maniobras!$A$5:$A$504,0)),""))</f>
        <v/>
      </c>
      <c r="F1674" s="29" t="str">
        <f>IF(A1674="","",IFERROR(INDEX(Maniobras!$K$5:$K$504,MATCH(A1674,Maniobras!$A$5:$A$504,0)),""))</f>
        <v/>
      </c>
      <c r="G1674" s="29"/>
      <c r="H1674" s="29"/>
      <c r="I1674" s="29" t="str">
        <f t="shared" si="53"/>
        <v/>
      </c>
      <c r="K1674" s="30"/>
      <c r="M1674" t="str">
        <f>IF($A1674=Ficha!$B$3,COUNTIF($A$5:$A1674,Ficha!$B$3),"")</f>
        <v/>
      </c>
    </row>
    <row r="1675" spans="2:13" x14ac:dyDescent="0.3">
      <c r="B1675" s="30" t="str">
        <f>IF(A1675="","",IFERROR(INDEX(Maniobras!$B$5:$B$504,MATCH(A1675,Maniobras!$A$5:$A$504,0)),""))</f>
        <v/>
      </c>
      <c r="C1675" t="str">
        <f t="shared" si="52"/>
        <v/>
      </c>
      <c r="D1675" t="str">
        <f>IF(A1675="","",IFERROR(INDEX(Maniobras!$D$5:$D$504,MATCH(A1675,Maniobras!$A$5:$A$504,0)),""))</f>
        <v/>
      </c>
      <c r="F1675" s="29" t="str">
        <f>IF(A1675="","",IFERROR(INDEX(Maniobras!$K$5:$K$504,MATCH(A1675,Maniobras!$A$5:$A$504,0)),""))</f>
        <v/>
      </c>
      <c r="G1675" s="29"/>
      <c r="H1675" s="29"/>
      <c r="I1675" s="29" t="str">
        <f t="shared" si="53"/>
        <v/>
      </c>
      <c r="K1675" s="30"/>
      <c r="M1675" t="str">
        <f>IF($A1675=Ficha!$B$3,COUNTIF($A$5:$A1675,Ficha!$B$3),"")</f>
        <v/>
      </c>
    </row>
    <row r="1676" spans="2:13" x14ac:dyDescent="0.3">
      <c r="B1676" s="30" t="str">
        <f>IF(A1676="","",IFERROR(INDEX(Maniobras!$B$5:$B$504,MATCH(A1676,Maniobras!$A$5:$A$504,0)),""))</f>
        <v/>
      </c>
      <c r="C1676" t="str">
        <f t="shared" si="52"/>
        <v/>
      </c>
      <c r="D1676" t="str">
        <f>IF(A1676="","",IFERROR(INDEX(Maniobras!$D$5:$D$504,MATCH(A1676,Maniobras!$A$5:$A$504,0)),""))</f>
        <v/>
      </c>
      <c r="F1676" s="29" t="str">
        <f>IF(A1676="","",IFERROR(INDEX(Maniobras!$K$5:$K$504,MATCH(A1676,Maniobras!$A$5:$A$504,0)),""))</f>
        <v/>
      </c>
      <c r="G1676" s="29"/>
      <c r="H1676" s="29"/>
      <c r="I1676" s="29" t="str">
        <f t="shared" si="53"/>
        <v/>
      </c>
      <c r="K1676" s="30"/>
      <c r="M1676" t="str">
        <f>IF($A1676=Ficha!$B$3,COUNTIF($A$5:$A1676,Ficha!$B$3),"")</f>
        <v/>
      </c>
    </row>
    <row r="1677" spans="2:13" x14ac:dyDescent="0.3">
      <c r="B1677" s="30" t="str">
        <f>IF(A1677="","",IFERROR(INDEX(Maniobras!$B$5:$B$504,MATCH(A1677,Maniobras!$A$5:$A$504,0)),""))</f>
        <v/>
      </c>
      <c r="C1677" t="str">
        <f t="shared" si="52"/>
        <v/>
      </c>
      <c r="D1677" t="str">
        <f>IF(A1677="","",IFERROR(INDEX(Maniobras!$D$5:$D$504,MATCH(A1677,Maniobras!$A$5:$A$504,0)),""))</f>
        <v/>
      </c>
      <c r="F1677" s="29" t="str">
        <f>IF(A1677="","",IFERROR(INDEX(Maniobras!$K$5:$K$504,MATCH(A1677,Maniobras!$A$5:$A$504,0)),""))</f>
        <v/>
      </c>
      <c r="G1677" s="29"/>
      <c r="H1677" s="29"/>
      <c r="I1677" s="29" t="str">
        <f t="shared" si="53"/>
        <v/>
      </c>
      <c r="K1677" s="30"/>
      <c r="M1677" t="str">
        <f>IF($A1677=Ficha!$B$3,COUNTIF($A$5:$A1677,Ficha!$B$3),"")</f>
        <v/>
      </c>
    </row>
    <row r="1678" spans="2:13" x14ac:dyDescent="0.3">
      <c r="B1678" s="30" t="str">
        <f>IF(A1678="","",IFERROR(INDEX(Maniobras!$B$5:$B$504,MATCH(A1678,Maniobras!$A$5:$A$504,0)),""))</f>
        <v/>
      </c>
      <c r="C1678" t="str">
        <f t="shared" si="52"/>
        <v/>
      </c>
      <c r="D1678" t="str">
        <f>IF(A1678="","",IFERROR(INDEX(Maniobras!$D$5:$D$504,MATCH(A1678,Maniobras!$A$5:$A$504,0)),""))</f>
        <v/>
      </c>
      <c r="F1678" s="29" t="str">
        <f>IF(A1678="","",IFERROR(INDEX(Maniobras!$K$5:$K$504,MATCH(A1678,Maniobras!$A$5:$A$504,0)),""))</f>
        <v/>
      </c>
      <c r="G1678" s="29"/>
      <c r="H1678" s="29"/>
      <c r="I1678" s="29" t="str">
        <f t="shared" si="53"/>
        <v/>
      </c>
      <c r="K1678" s="30"/>
      <c r="M1678" t="str">
        <f>IF($A1678=Ficha!$B$3,COUNTIF($A$5:$A1678,Ficha!$B$3),"")</f>
        <v/>
      </c>
    </row>
    <row r="1679" spans="2:13" x14ac:dyDescent="0.3">
      <c r="B1679" s="30" t="str">
        <f>IF(A1679="","",IFERROR(INDEX(Maniobras!$B$5:$B$504,MATCH(A1679,Maniobras!$A$5:$A$504,0)),""))</f>
        <v/>
      </c>
      <c r="C1679" t="str">
        <f t="shared" si="52"/>
        <v/>
      </c>
      <c r="D1679" t="str">
        <f>IF(A1679="","",IFERROR(INDEX(Maniobras!$D$5:$D$504,MATCH(A1679,Maniobras!$A$5:$A$504,0)),""))</f>
        <v/>
      </c>
      <c r="F1679" s="29" t="str">
        <f>IF(A1679="","",IFERROR(INDEX(Maniobras!$K$5:$K$504,MATCH(A1679,Maniobras!$A$5:$A$504,0)),""))</f>
        <v/>
      </c>
      <c r="G1679" s="29"/>
      <c r="H1679" s="29"/>
      <c r="I1679" s="29" t="str">
        <f t="shared" si="53"/>
        <v/>
      </c>
      <c r="K1679" s="30"/>
      <c r="M1679" t="str">
        <f>IF($A1679=Ficha!$B$3,COUNTIF($A$5:$A1679,Ficha!$B$3),"")</f>
        <v/>
      </c>
    </row>
    <row r="1680" spans="2:13" x14ac:dyDescent="0.3">
      <c r="B1680" s="30" t="str">
        <f>IF(A1680="","",IFERROR(INDEX(Maniobras!$B$5:$B$504,MATCH(A1680,Maniobras!$A$5:$A$504,0)),""))</f>
        <v/>
      </c>
      <c r="C1680" t="str">
        <f t="shared" si="52"/>
        <v/>
      </c>
      <c r="D1680" t="str">
        <f>IF(A1680="","",IFERROR(INDEX(Maniobras!$D$5:$D$504,MATCH(A1680,Maniobras!$A$5:$A$504,0)),""))</f>
        <v/>
      </c>
      <c r="F1680" s="29" t="str">
        <f>IF(A1680="","",IFERROR(INDEX(Maniobras!$K$5:$K$504,MATCH(A1680,Maniobras!$A$5:$A$504,0)),""))</f>
        <v/>
      </c>
      <c r="G1680" s="29"/>
      <c r="H1680" s="29"/>
      <c r="I1680" s="29" t="str">
        <f t="shared" si="53"/>
        <v/>
      </c>
      <c r="K1680" s="30"/>
      <c r="M1680" t="str">
        <f>IF($A1680=Ficha!$B$3,COUNTIF($A$5:$A1680,Ficha!$B$3),"")</f>
        <v/>
      </c>
    </row>
    <row r="1681" spans="2:13" x14ac:dyDescent="0.3">
      <c r="B1681" s="30" t="str">
        <f>IF(A1681="","",IFERROR(INDEX(Maniobras!$B$5:$B$504,MATCH(A1681,Maniobras!$A$5:$A$504,0)),""))</f>
        <v/>
      </c>
      <c r="C1681" t="str">
        <f t="shared" si="52"/>
        <v/>
      </c>
      <c r="D1681" t="str">
        <f>IF(A1681="","",IFERROR(INDEX(Maniobras!$D$5:$D$504,MATCH(A1681,Maniobras!$A$5:$A$504,0)),""))</f>
        <v/>
      </c>
      <c r="F1681" s="29" t="str">
        <f>IF(A1681="","",IFERROR(INDEX(Maniobras!$K$5:$K$504,MATCH(A1681,Maniobras!$A$5:$A$504,0)),""))</f>
        <v/>
      </c>
      <c r="G1681" s="29"/>
      <c r="H1681" s="29"/>
      <c r="I1681" s="29" t="str">
        <f t="shared" si="53"/>
        <v/>
      </c>
      <c r="K1681" s="30"/>
      <c r="M1681" t="str">
        <f>IF($A1681=Ficha!$B$3,COUNTIF($A$5:$A1681,Ficha!$B$3),"")</f>
        <v/>
      </c>
    </row>
    <row r="1682" spans="2:13" x14ac:dyDescent="0.3">
      <c r="B1682" s="30" t="str">
        <f>IF(A1682="","",IFERROR(INDEX(Maniobras!$B$5:$B$504,MATCH(A1682,Maniobras!$A$5:$A$504,0)),""))</f>
        <v/>
      </c>
      <c r="C1682" t="str">
        <f t="shared" si="52"/>
        <v/>
      </c>
      <c r="D1682" t="str">
        <f>IF(A1682="","",IFERROR(INDEX(Maniobras!$D$5:$D$504,MATCH(A1682,Maniobras!$A$5:$A$504,0)),""))</f>
        <v/>
      </c>
      <c r="F1682" s="29" t="str">
        <f>IF(A1682="","",IFERROR(INDEX(Maniobras!$K$5:$K$504,MATCH(A1682,Maniobras!$A$5:$A$504,0)),""))</f>
        <v/>
      </c>
      <c r="G1682" s="29"/>
      <c r="H1682" s="29"/>
      <c r="I1682" s="29" t="str">
        <f t="shared" si="53"/>
        <v/>
      </c>
      <c r="K1682" s="30"/>
      <c r="M1682" t="str">
        <f>IF($A1682=Ficha!$B$3,COUNTIF($A$5:$A1682,Ficha!$B$3),"")</f>
        <v/>
      </c>
    </row>
    <row r="1683" spans="2:13" x14ac:dyDescent="0.3">
      <c r="B1683" s="30" t="str">
        <f>IF(A1683="","",IFERROR(INDEX(Maniobras!$B$5:$B$504,MATCH(A1683,Maniobras!$A$5:$A$504,0)),""))</f>
        <v/>
      </c>
      <c r="C1683" t="str">
        <f t="shared" si="52"/>
        <v/>
      </c>
      <c r="D1683" t="str">
        <f>IF(A1683="","",IFERROR(INDEX(Maniobras!$D$5:$D$504,MATCH(A1683,Maniobras!$A$5:$A$504,0)),""))</f>
        <v/>
      </c>
      <c r="F1683" s="29" t="str">
        <f>IF(A1683="","",IFERROR(INDEX(Maniobras!$K$5:$K$504,MATCH(A1683,Maniobras!$A$5:$A$504,0)),""))</f>
        <v/>
      </c>
      <c r="G1683" s="29"/>
      <c r="H1683" s="29"/>
      <c r="I1683" s="29" t="str">
        <f t="shared" si="53"/>
        <v/>
      </c>
      <c r="K1683" s="30"/>
      <c r="M1683" t="str">
        <f>IF($A1683=Ficha!$B$3,COUNTIF($A$5:$A1683,Ficha!$B$3),"")</f>
        <v/>
      </c>
    </row>
    <row r="1684" spans="2:13" x14ac:dyDescent="0.3">
      <c r="B1684" s="30" t="str">
        <f>IF(A1684="","",IFERROR(INDEX(Maniobras!$B$5:$B$504,MATCH(A1684,Maniobras!$A$5:$A$504,0)),""))</f>
        <v/>
      </c>
      <c r="C1684" t="str">
        <f t="shared" si="52"/>
        <v/>
      </c>
      <c r="D1684" t="str">
        <f>IF(A1684="","",IFERROR(INDEX(Maniobras!$D$5:$D$504,MATCH(A1684,Maniobras!$A$5:$A$504,0)),""))</f>
        <v/>
      </c>
      <c r="F1684" s="29" t="str">
        <f>IF(A1684="","",IFERROR(INDEX(Maniobras!$K$5:$K$504,MATCH(A1684,Maniobras!$A$5:$A$504,0)),""))</f>
        <v/>
      </c>
      <c r="G1684" s="29"/>
      <c r="H1684" s="29"/>
      <c r="I1684" s="29" t="str">
        <f t="shared" si="53"/>
        <v/>
      </c>
      <c r="K1684" s="30"/>
      <c r="M1684" t="str">
        <f>IF($A1684=Ficha!$B$3,COUNTIF($A$5:$A1684,Ficha!$B$3),"")</f>
        <v/>
      </c>
    </row>
    <row r="1685" spans="2:13" x14ac:dyDescent="0.3">
      <c r="B1685" s="30" t="str">
        <f>IF(A1685="","",IFERROR(INDEX(Maniobras!$B$5:$B$504,MATCH(A1685,Maniobras!$A$5:$A$504,0)),""))</f>
        <v/>
      </c>
      <c r="C1685" t="str">
        <f t="shared" si="52"/>
        <v/>
      </c>
      <c r="D1685" t="str">
        <f>IF(A1685="","",IFERROR(INDEX(Maniobras!$D$5:$D$504,MATCH(A1685,Maniobras!$A$5:$A$504,0)),""))</f>
        <v/>
      </c>
      <c r="F1685" s="29" t="str">
        <f>IF(A1685="","",IFERROR(INDEX(Maniobras!$K$5:$K$504,MATCH(A1685,Maniobras!$A$5:$A$504,0)),""))</f>
        <v/>
      </c>
      <c r="G1685" s="29"/>
      <c r="H1685" s="29"/>
      <c r="I1685" s="29" t="str">
        <f t="shared" si="53"/>
        <v/>
      </c>
      <c r="K1685" s="30"/>
      <c r="M1685" t="str">
        <f>IF($A1685=Ficha!$B$3,COUNTIF($A$5:$A1685,Ficha!$B$3),"")</f>
        <v/>
      </c>
    </row>
    <row r="1686" spans="2:13" x14ac:dyDescent="0.3">
      <c r="B1686" s="30" t="str">
        <f>IF(A1686="","",IFERROR(INDEX(Maniobras!$B$5:$B$504,MATCH(A1686,Maniobras!$A$5:$A$504,0)),""))</f>
        <v/>
      </c>
      <c r="C1686" t="str">
        <f t="shared" si="52"/>
        <v/>
      </c>
      <c r="D1686" t="str">
        <f>IF(A1686="","",IFERROR(INDEX(Maniobras!$D$5:$D$504,MATCH(A1686,Maniobras!$A$5:$A$504,0)),""))</f>
        <v/>
      </c>
      <c r="F1686" s="29" t="str">
        <f>IF(A1686="","",IFERROR(INDEX(Maniobras!$K$5:$K$504,MATCH(A1686,Maniobras!$A$5:$A$504,0)),""))</f>
        <v/>
      </c>
      <c r="G1686" s="29"/>
      <c r="H1686" s="29"/>
      <c r="I1686" s="29" t="str">
        <f t="shared" si="53"/>
        <v/>
      </c>
      <c r="K1686" s="30"/>
      <c r="M1686" t="str">
        <f>IF($A1686=Ficha!$B$3,COUNTIF($A$5:$A1686,Ficha!$B$3),"")</f>
        <v/>
      </c>
    </row>
    <row r="1687" spans="2:13" x14ac:dyDescent="0.3">
      <c r="B1687" s="30" t="str">
        <f>IF(A1687="","",IFERROR(INDEX(Maniobras!$B$5:$B$504,MATCH(A1687,Maniobras!$A$5:$A$504,0)),""))</f>
        <v/>
      </c>
      <c r="C1687" t="str">
        <f t="shared" si="52"/>
        <v/>
      </c>
      <c r="D1687" t="str">
        <f>IF(A1687="","",IFERROR(INDEX(Maniobras!$D$5:$D$504,MATCH(A1687,Maniobras!$A$5:$A$504,0)),""))</f>
        <v/>
      </c>
      <c r="F1687" s="29" t="str">
        <f>IF(A1687="","",IFERROR(INDEX(Maniobras!$K$5:$K$504,MATCH(A1687,Maniobras!$A$5:$A$504,0)),""))</f>
        <v/>
      </c>
      <c r="G1687" s="29"/>
      <c r="H1687" s="29"/>
      <c r="I1687" s="29" t="str">
        <f t="shared" si="53"/>
        <v/>
      </c>
      <c r="K1687" s="30"/>
      <c r="M1687" t="str">
        <f>IF($A1687=Ficha!$B$3,COUNTIF($A$5:$A1687,Ficha!$B$3),"")</f>
        <v/>
      </c>
    </row>
    <row r="1688" spans="2:13" x14ac:dyDescent="0.3">
      <c r="B1688" s="30" t="str">
        <f>IF(A1688="","",IFERROR(INDEX(Maniobras!$B$5:$B$504,MATCH(A1688,Maniobras!$A$5:$A$504,0)),""))</f>
        <v/>
      </c>
      <c r="C1688" t="str">
        <f t="shared" si="52"/>
        <v/>
      </c>
      <c r="D1688" t="str">
        <f>IF(A1688="","",IFERROR(INDEX(Maniobras!$D$5:$D$504,MATCH(A1688,Maniobras!$A$5:$A$504,0)),""))</f>
        <v/>
      </c>
      <c r="F1688" s="29" t="str">
        <f>IF(A1688="","",IFERROR(INDEX(Maniobras!$K$5:$K$504,MATCH(A1688,Maniobras!$A$5:$A$504,0)),""))</f>
        <v/>
      </c>
      <c r="G1688" s="29"/>
      <c r="H1688" s="29"/>
      <c r="I1688" s="29" t="str">
        <f t="shared" si="53"/>
        <v/>
      </c>
      <c r="K1688" s="30"/>
      <c r="M1688" t="str">
        <f>IF($A1688=Ficha!$B$3,COUNTIF($A$5:$A1688,Ficha!$B$3),"")</f>
        <v/>
      </c>
    </row>
    <row r="1689" spans="2:13" x14ac:dyDescent="0.3">
      <c r="B1689" s="30" t="str">
        <f>IF(A1689="","",IFERROR(INDEX(Maniobras!$B$5:$B$504,MATCH(A1689,Maniobras!$A$5:$A$504,0)),""))</f>
        <v/>
      </c>
      <c r="C1689" t="str">
        <f t="shared" si="52"/>
        <v/>
      </c>
      <c r="D1689" t="str">
        <f>IF(A1689="","",IFERROR(INDEX(Maniobras!$D$5:$D$504,MATCH(A1689,Maniobras!$A$5:$A$504,0)),""))</f>
        <v/>
      </c>
      <c r="F1689" s="29" t="str">
        <f>IF(A1689="","",IFERROR(INDEX(Maniobras!$K$5:$K$504,MATCH(A1689,Maniobras!$A$5:$A$504,0)),""))</f>
        <v/>
      </c>
      <c r="G1689" s="29"/>
      <c r="H1689" s="29"/>
      <c r="I1689" s="29" t="str">
        <f t="shared" si="53"/>
        <v/>
      </c>
      <c r="K1689" s="30"/>
      <c r="M1689" t="str">
        <f>IF($A1689=Ficha!$B$3,COUNTIF($A$5:$A1689,Ficha!$B$3),"")</f>
        <v/>
      </c>
    </row>
    <row r="1690" spans="2:13" x14ac:dyDescent="0.3">
      <c r="B1690" s="30" t="str">
        <f>IF(A1690="","",IFERROR(INDEX(Maniobras!$B$5:$B$504,MATCH(A1690,Maniobras!$A$5:$A$504,0)),""))</f>
        <v/>
      </c>
      <c r="C1690" t="str">
        <f t="shared" si="52"/>
        <v/>
      </c>
      <c r="D1690" t="str">
        <f>IF(A1690="","",IFERROR(INDEX(Maniobras!$D$5:$D$504,MATCH(A1690,Maniobras!$A$5:$A$504,0)),""))</f>
        <v/>
      </c>
      <c r="F1690" s="29" t="str">
        <f>IF(A1690="","",IFERROR(INDEX(Maniobras!$K$5:$K$504,MATCH(A1690,Maniobras!$A$5:$A$504,0)),""))</f>
        <v/>
      </c>
      <c r="G1690" s="29"/>
      <c r="H1690" s="29"/>
      <c r="I1690" s="29" t="str">
        <f t="shared" si="53"/>
        <v/>
      </c>
      <c r="K1690" s="30"/>
      <c r="M1690" t="str">
        <f>IF($A1690=Ficha!$B$3,COUNTIF($A$5:$A1690,Ficha!$B$3),"")</f>
        <v/>
      </c>
    </row>
    <row r="1691" spans="2:13" x14ac:dyDescent="0.3">
      <c r="B1691" s="30" t="str">
        <f>IF(A1691="","",IFERROR(INDEX(Maniobras!$B$5:$B$504,MATCH(A1691,Maniobras!$A$5:$A$504,0)),""))</f>
        <v/>
      </c>
      <c r="C1691" t="str">
        <f t="shared" si="52"/>
        <v/>
      </c>
      <c r="D1691" t="str">
        <f>IF(A1691="","",IFERROR(INDEX(Maniobras!$D$5:$D$504,MATCH(A1691,Maniobras!$A$5:$A$504,0)),""))</f>
        <v/>
      </c>
      <c r="F1691" s="29" t="str">
        <f>IF(A1691="","",IFERROR(INDEX(Maniobras!$K$5:$K$504,MATCH(A1691,Maniobras!$A$5:$A$504,0)),""))</f>
        <v/>
      </c>
      <c r="G1691" s="29"/>
      <c r="H1691" s="29"/>
      <c r="I1691" s="29" t="str">
        <f t="shared" si="53"/>
        <v/>
      </c>
      <c r="K1691" s="30"/>
      <c r="M1691" t="str">
        <f>IF($A1691=Ficha!$B$3,COUNTIF($A$5:$A1691,Ficha!$B$3),"")</f>
        <v/>
      </c>
    </row>
    <row r="1692" spans="2:13" x14ac:dyDescent="0.3">
      <c r="B1692" s="30" t="str">
        <f>IF(A1692="","",IFERROR(INDEX(Maniobras!$B$5:$B$504,MATCH(A1692,Maniobras!$A$5:$A$504,0)),""))</f>
        <v/>
      </c>
      <c r="C1692" t="str">
        <f t="shared" si="52"/>
        <v/>
      </c>
      <c r="D1692" t="str">
        <f>IF(A1692="","",IFERROR(INDEX(Maniobras!$D$5:$D$504,MATCH(A1692,Maniobras!$A$5:$A$504,0)),""))</f>
        <v/>
      </c>
      <c r="F1692" s="29" t="str">
        <f>IF(A1692="","",IFERROR(INDEX(Maniobras!$K$5:$K$504,MATCH(A1692,Maniobras!$A$5:$A$504,0)),""))</f>
        <v/>
      </c>
      <c r="G1692" s="29"/>
      <c r="H1692" s="29"/>
      <c r="I1692" s="29" t="str">
        <f t="shared" si="53"/>
        <v/>
      </c>
      <c r="K1692" s="30"/>
      <c r="M1692" t="str">
        <f>IF($A1692=Ficha!$B$3,COUNTIF($A$5:$A1692,Ficha!$B$3),"")</f>
        <v/>
      </c>
    </row>
    <row r="1693" spans="2:13" x14ac:dyDescent="0.3">
      <c r="B1693" s="30" t="str">
        <f>IF(A1693="","",IFERROR(INDEX(Maniobras!$B$5:$B$504,MATCH(A1693,Maniobras!$A$5:$A$504,0)),""))</f>
        <v/>
      </c>
      <c r="C1693" t="str">
        <f t="shared" si="52"/>
        <v/>
      </c>
      <c r="D1693" t="str">
        <f>IF(A1693="","",IFERROR(INDEX(Maniobras!$D$5:$D$504,MATCH(A1693,Maniobras!$A$5:$A$504,0)),""))</f>
        <v/>
      </c>
      <c r="F1693" s="29" t="str">
        <f>IF(A1693="","",IFERROR(INDEX(Maniobras!$K$5:$K$504,MATCH(A1693,Maniobras!$A$5:$A$504,0)),""))</f>
        <v/>
      </c>
      <c r="G1693" s="29"/>
      <c r="H1693" s="29"/>
      <c r="I1693" s="29" t="str">
        <f t="shared" si="53"/>
        <v/>
      </c>
      <c r="K1693" s="30"/>
      <c r="M1693" t="str">
        <f>IF($A1693=Ficha!$B$3,COUNTIF($A$5:$A1693,Ficha!$B$3),"")</f>
        <v/>
      </c>
    </row>
    <row r="1694" spans="2:13" x14ac:dyDescent="0.3">
      <c r="B1694" s="30" t="str">
        <f>IF(A1694="","",IFERROR(INDEX(Maniobras!$B$5:$B$504,MATCH(A1694,Maniobras!$A$5:$A$504,0)),""))</f>
        <v/>
      </c>
      <c r="C1694" t="str">
        <f t="shared" si="52"/>
        <v/>
      </c>
      <c r="D1694" t="str">
        <f>IF(A1694="","",IFERROR(INDEX(Maniobras!$D$5:$D$504,MATCH(A1694,Maniobras!$A$5:$A$504,0)),""))</f>
        <v/>
      </c>
      <c r="F1694" s="29" t="str">
        <f>IF(A1694="","",IFERROR(INDEX(Maniobras!$K$5:$K$504,MATCH(A1694,Maniobras!$A$5:$A$504,0)),""))</f>
        <v/>
      </c>
      <c r="G1694" s="29"/>
      <c r="H1694" s="29"/>
      <c r="I1694" s="29" t="str">
        <f t="shared" si="53"/>
        <v/>
      </c>
      <c r="K1694" s="30"/>
      <c r="M1694" t="str">
        <f>IF($A1694=Ficha!$B$3,COUNTIF($A$5:$A1694,Ficha!$B$3),"")</f>
        <v/>
      </c>
    </row>
    <row r="1695" spans="2:13" x14ac:dyDescent="0.3">
      <c r="B1695" s="30" t="str">
        <f>IF(A1695="","",IFERROR(INDEX(Maniobras!$B$5:$B$504,MATCH(A1695,Maniobras!$A$5:$A$504,0)),""))</f>
        <v/>
      </c>
      <c r="C1695" t="str">
        <f t="shared" si="52"/>
        <v/>
      </c>
      <c r="D1695" t="str">
        <f>IF(A1695="","",IFERROR(INDEX(Maniobras!$D$5:$D$504,MATCH(A1695,Maniobras!$A$5:$A$504,0)),""))</f>
        <v/>
      </c>
      <c r="F1695" s="29" t="str">
        <f>IF(A1695="","",IFERROR(INDEX(Maniobras!$K$5:$K$504,MATCH(A1695,Maniobras!$A$5:$A$504,0)),""))</f>
        <v/>
      </c>
      <c r="G1695" s="29"/>
      <c r="H1695" s="29"/>
      <c r="I1695" s="29" t="str">
        <f t="shared" si="53"/>
        <v/>
      </c>
      <c r="K1695" s="30"/>
      <c r="M1695" t="str">
        <f>IF($A1695=Ficha!$B$3,COUNTIF($A$5:$A1695,Ficha!$B$3),"")</f>
        <v/>
      </c>
    </row>
    <row r="1696" spans="2:13" x14ac:dyDescent="0.3">
      <c r="B1696" s="30" t="str">
        <f>IF(A1696="","",IFERROR(INDEX(Maniobras!$B$5:$B$504,MATCH(A1696,Maniobras!$A$5:$A$504,0)),""))</f>
        <v/>
      </c>
      <c r="C1696" t="str">
        <f t="shared" si="52"/>
        <v/>
      </c>
      <c r="D1696" t="str">
        <f>IF(A1696="","",IFERROR(INDEX(Maniobras!$D$5:$D$504,MATCH(A1696,Maniobras!$A$5:$A$504,0)),""))</f>
        <v/>
      </c>
      <c r="F1696" s="29" t="str">
        <f>IF(A1696="","",IFERROR(INDEX(Maniobras!$K$5:$K$504,MATCH(A1696,Maniobras!$A$5:$A$504,0)),""))</f>
        <v/>
      </c>
      <c r="G1696" s="29"/>
      <c r="H1696" s="29"/>
      <c r="I1696" s="29" t="str">
        <f t="shared" si="53"/>
        <v/>
      </c>
      <c r="K1696" s="30"/>
      <c r="M1696" t="str">
        <f>IF($A1696=Ficha!$B$3,COUNTIF($A$5:$A1696,Ficha!$B$3),"")</f>
        <v/>
      </c>
    </row>
    <row r="1697" spans="2:13" x14ac:dyDescent="0.3">
      <c r="B1697" s="30" t="str">
        <f>IF(A1697="","",IFERROR(INDEX(Maniobras!$B$5:$B$504,MATCH(A1697,Maniobras!$A$5:$A$504,0)),""))</f>
        <v/>
      </c>
      <c r="C1697" t="str">
        <f t="shared" si="52"/>
        <v/>
      </c>
      <c r="D1697" t="str">
        <f>IF(A1697="","",IFERROR(INDEX(Maniobras!$D$5:$D$504,MATCH(A1697,Maniobras!$A$5:$A$504,0)),""))</f>
        <v/>
      </c>
      <c r="F1697" s="29" t="str">
        <f>IF(A1697="","",IFERROR(INDEX(Maniobras!$K$5:$K$504,MATCH(A1697,Maniobras!$A$5:$A$504,0)),""))</f>
        <v/>
      </c>
      <c r="G1697" s="29"/>
      <c r="H1697" s="29"/>
      <c r="I1697" s="29" t="str">
        <f t="shared" si="53"/>
        <v/>
      </c>
      <c r="K1697" s="30"/>
      <c r="M1697" t="str">
        <f>IF($A1697=Ficha!$B$3,COUNTIF($A$5:$A1697,Ficha!$B$3),"")</f>
        <v/>
      </c>
    </row>
    <row r="1698" spans="2:13" x14ac:dyDescent="0.3">
      <c r="B1698" s="30" t="str">
        <f>IF(A1698="","",IFERROR(INDEX(Maniobras!$B$5:$B$504,MATCH(A1698,Maniobras!$A$5:$A$504,0)),""))</f>
        <v/>
      </c>
      <c r="C1698" t="str">
        <f t="shared" si="52"/>
        <v/>
      </c>
      <c r="D1698" t="str">
        <f>IF(A1698="","",IFERROR(INDEX(Maniobras!$D$5:$D$504,MATCH(A1698,Maniobras!$A$5:$A$504,0)),""))</f>
        <v/>
      </c>
      <c r="F1698" s="29" t="str">
        <f>IF(A1698="","",IFERROR(INDEX(Maniobras!$K$5:$K$504,MATCH(A1698,Maniobras!$A$5:$A$504,0)),""))</f>
        <v/>
      </c>
      <c r="G1698" s="29"/>
      <c r="H1698" s="29"/>
      <c r="I1698" s="29" t="str">
        <f t="shared" si="53"/>
        <v/>
      </c>
      <c r="K1698" s="30"/>
      <c r="M1698" t="str">
        <f>IF($A1698=Ficha!$B$3,COUNTIF($A$5:$A1698,Ficha!$B$3),"")</f>
        <v/>
      </c>
    </row>
    <row r="1699" spans="2:13" x14ac:dyDescent="0.3">
      <c r="B1699" s="30" t="str">
        <f>IF(A1699="","",IFERROR(INDEX(Maniobras!$B$5:$B$504,MATCH(A1699,Maniobras!$A$5:$A$504,0)),""))</f>
        <v/>
      </c>
      <c r="C1699" t="str">
        <f t="shared" si="52"/>
        <v/>
      </c>
      <c r="D1699" t="str">
        <f>IF(A1699="","",IFERROR(INDEX(Maniobras!$D$5:$D$504,MATCH(A1699,Maniobras!$A$5:$A$504,0)),""))</f>
        <v/>
      </c>
      <c r="F1699" s="29" t="str">
        <f>IF(A1699="","",IFERROR(INDEX(Maniobras!$K$5:$K$504,MATCH(A1699,Maniobras!$A$5:$A$504,0)),""))</f>
        <v/>
      </c>
      <c r="G1699" s="29"/>
      <c r="H1699" s="29"/>
      <c r="I1699" s="29" t="str">
        <f t="shared" si="53"/>
        <v/>
      </c>
      <c r="K1699" s="30"/>
      <c r="M1699" t="str">
        <f>IF($A1699=Ficha!$B$3,COUNTIF($A$5:$A1699,Ficha!$B$3),"")</f>
        <v/>
      </c>
    </row>
    <row r="1700" spans="2:13" x14ac:dyDescent="0.3">
      <c r="B1700" s="30" t="str">
        <f>IF(A1700="","",IFERROR(INDEX(Maniobras!$B$5:$B$504,MATCH(A1700,Maniobras!$A$5:$A$504,0)),""))</f>
        <v/>
      </c>
      <c r="C1700" t="str">
        <f t="shared" si="52"/>
        <v/>
      </c>
      <c r="D1700" t="str">
        <f>IF(A1700="","",IFERROR(INDEX(Maniobras!$D$5:$D$504,MATCH(A1700,Maniobras!$A$5:$A$504,0)),""))</f>
        <v/>
      </c>
      <c r="F1700" s="29" t="str">
        <f>IF(A1700="","",IFERROR(INDEX(Maniobras!$K$5:$K$504,MATCH(A1700,Maniobras!$A$5:$A$504,0)),""))</f>
        <v/>
      </c>
      <c r="G1700" s="29"/>
      <c r="H1700" s="29"/>
      <c r="I1700" s="29" t="str">
        <f t="shared" si="53"/>
        <v/>
      </c>
      <c r="K1700" s="30"/>
      <c r="M1700" t="str">
        <f>IF($A1700=Ficha!$B$3,COUNTIF($A$5:$A1700,Ficha!$B$3),"")</f>
        <v/>
      </c>
    </row>
    <row r="1701" spans="2:13" x14ac:dyDescent="0.3">
      <c r="B1701" s="30" t="str">
        <f>IF(A1701="","",IFERROR(INDEX(Maniobras!$B$5:$B$504,MATCH(A1701,Maniobras!$A$5:$A$504,0)),""))</f>
        <v/>
      </c>
      <c r="C1701" t="str">
        <f t="shared" si="52"/>
        <v/>
      </c>
      <c r="D1701" t="str">
        <f>IF(A1701="","",IFERROR(INDEX(Maniobras!$D$5:$D$504,MATCH(A1701,Maniobras!$A$5:$A$504,0)),""))</f>
        <v/>
      </c>
      <c r="F1701" s="29" t="str">
        <f>IF(A1701="","",IFERROR(INDEX(Maniobras!$K$5:$K$504,MATCH(A1701,Maniobras!$A$5:$A$504,0)),""))</f>
        <v/>
      </c>
      <c r="G1701" s="29"/>
      <c r="H1701" s="29"/>
      <c r="I1701" s="29" t="str">
        <f t="shared" si="53"/>
        <v/>
      </c>
      <c r="K1701" s="30"/>
      <c r="M1701" t="str">
        <f>IF($A1701=Ficha!$B$3,COUNTIF($A$5:$A1701,Ficha!$B$3),"")</f>
        <v/>
      </c>
    </row>
    <row r="1702" spans="2:13" x14ac:dyDescent="0.3">
      <c r="B1702" s="30" t="str">
        <f>IF(A1702="","",IFERROR(INDEX(Maniobras!$B$5:$B$504,MATCH(A1702,Maniobras!$A$5:$A$504,0)),""))</f>
        <v/>
      </c>
      <c r="C1702" t="str">
        <f t="shared" si="52"/>
        <v/>
      </c>
      <c r="D1702" t="str">
        <f>IF(A1702="","",IFERROR(INDEX(Maniobras!$D$5:$D$504,MATCH(A1702,Maniobras!$A$5:$A$504,0)),""))</f>
        <v/>
      </c>
      <c r="F1702" s="29" t="str">
        <f>IF(A1702="","",IFERROR(INDEX(Maniobras!$K$5:$K$504,MATCH(A1702,Maniobras!$A$5:$A$504,0)),""))</f>
        <v/>
      </c>
      <c r="G1702" s="29"/>
      <c r="H1702" s="29"/>
      <c r="I1702" s="29" t="str">
        <f t="shared" si="53"/>
        <v/>
      </c>
      <c r="K1702" s="30"/>
      <c r="M1702" t="str">
        <f>IF($A1702=Ficha!$B$3,COUNTIF($A$5:$A1702,Ficha!$B$3),"")</f>
        <v/>
      </c>
    </row>
    <row r="1703" spans="2:13" x14ac:dyDescent="0.3">
      <c r="B1703" s="30" t="str">
        <f>IF(A1703="","",IFERROR(INDEX(Maniobras!$B$5:$B$504,MATCH(A1703,Maniobras!$A$5:$A$504,0)),""))</f>
        <v/>
      </c>
      <c r="C1703" t="str">
        <f t="shared" si="52"/>
        <v/>
      </c>
      <c r="D1703" t="str">
        <f>IF(A1703="","",IFERROR(INDEX(Maniobras!$D$5:$D$504,MATCH(A1703,Maniobras!$A$5:$A$504,0)),""))</f>
        <v/>
      </c>
      <c r="F1703" s="29" t="str">
        <f>IF(A1703="","",IFERROR(INDEX(Maniobras!$K$5:$K$504,MATCH(A1703,Maniobras!$A$5:$A$504,0)),""))</f>
        <v/>
      </c>
      <c r="G1703" s="29"/>
      <c r="H1703" s="29"/>
      <c r="I1703" s="29" t="str">
        <f t="shared" si="53"/>
        <v/>
      </c>
      <c r="K1703" s="30"/>
      <c r="M1703" t="str">
        <f>IF($A1703=Ficha!$B$3,COUNTIF($A$5:$A1703,Ficha!$B$3),"")</f>
        <v/>
      </c>
    </row>
    <row r="1704" spans="2:13" x14ac:dyDescent="0.3">
      <c r="B1704" s="30" t="str">
        <f>IF(A1704="","",IFERROR(INDEX(Maniobras!$B$5:$B$504,MATCH(A1704,Maniobras!$A$5:$A$504,0)),""))</f>
        <v/>
      </c>
      <c r="C1704" t="str">
        <f t="shared" si="52"/>
        <v/>
      </c>
      <c r="D1704" t="str">
        <f>IF(A1704="","",IFERROR(INDEX(Maniobras!$D$5:$D$504,MATCH(A1704,Maniobras!$A$5:$A$504,0)),""))</f>
        <v/>
      </c>
      <c r="F1704" s="29" t="str">
        <f>IF(A1704="","",IFERROR(INDEX(Maniobras!$K$5:$K$504,MATCH(A1704,Maniobras!$A$5:$A$504,0)),""))</f>
        <v/>
      </c>
      <c r="G1704" s="29"/>
      <c r="H1704" s="29"/>
      <c r="I1704" s="29" t="str">
        <f t="shared" si="53"/>
        <v/>
      </c>
      <c r="K1704" s="30"/>
      <c r="M1704" t="str">
        <f>IF($A1704=Ficha!$B$3,COUNTIF($A$5:$A1704,Ficha!$B$3),"")</f>
        <v/>
      </c>
    </row>
    <row r="1705" spans="2:13" x14ac:dyDescent="0.3">
      <c r="B1705" s="30" t="str">
        <f>IF(A1705="","",IFERROR(INDEX(Maniobras!$B$5:$B$504,MATCH(A1705,Maniobras!$A$5:$A$504,0)),""))</f>
        <v/>
      </c>
      <c r="C1705" t="str">
        <f t="shared" si="52"/>
        <v/>
      </c>
      <c r="D1705" t="str">
        <f>IF(A1705="","",IFERROR(INDEX(Maniobras!$D$5:$D$504,MATCH(A1705,Maniobras!$A$5:$A$504,0)),""))</f>
        <v/>
      </c>
      <c r="F1705" s="29" t="str">
        <f>IF(A1705="","",IFERROR(INDEX(Maniobras!$K$5:$K$504,MATCH(A1705,Maniobras!$A$5:$A$504,0)),""))</f>
        <v/>
      </c>
      <c r="G1705" s="29"/>
      <c r="H1705" s="29"/>
      <c r="I1705" s="29" t="str">
        <f t="shared" si="53"/>
        <v/>
      </c>
      <c r="K1705" s="30"/>
      <c r="M1705" t="str">
        <f>IF($A1705=Ficha!$B$3,COUNTIF($A$5:$A1705,Ficha!$B$3),"")</f>
        <v/>
      </c>
    </row>
    <row r="1706" spans="2:13" x14ac:dyDescent="0.3">
      <c r="B1706" s="30" t="str">
        <f>IF(A1706="","",IFERROR(INDEX(Maniobras!$B$5:$B$504,MATCH(A1706,Maniobras!$A$5:$A$504,0)),""))</f>
        <v/>
      </c>
      <c r="C1706" t="str">
        <f t="shared" si="52"/>
        <v/>
      </c>
      <c r="D1706" t="str">
        <f>IF(A1706="","",IFERROR(INDEX(Maniobras!$D$5:$D$504,MATCH(A1706,Maniobras!$A$5:$A$504,0)),""))</f>
        <v/>
      </c>
      <c r="F1706" s="29" t="str">
        <f>IF(A1706="","",IFERROR(INDEX(Maniobras!$K$5:$K$504,MATCH(A1706,Maniobras!$A$5:$A$504,0)),""))</f>
        <v/>
      </c>
      <c r="G1706" s="29"/>
      <c r="H1706" s="29"/>
      <c r="I1706" s="29" t="str">
        <f t="shared" si="53"/>
        <v/>
      </c>
      <c r="K1706" s="30"/>
      <c r="M1706" t="str">
        <f>IF($A1706=Ficha!$B$3,COUNTIF($A$5:$A1706,Ficha!$B$3),"")</f>
        <v/>
      </c>
    </row>
    <row r="1707" spans="2:13" x14ac:dyDescent="0.3">
      <c r="B1707" s="30" t="str">
        <f>IF(A1707="","",IFERROR(INDEX(Maniobras!$B$5:$B$504,MATCH(A1707,Maniobras!$A$5:$A$504,0)),""))</f>
        <v/>
      </c>
      <c r="C1707" t="str">
        <f t="shared" si="52"/>
        <v/>
      </c>
      <c r="D1707" t="str">
        <f>IF(A1707="","",IFERROR(INDEX(Maniobras!$D$5:$D$504,MATCH(A1707,Maniobras!$A$5:$A$504,0)),""))</f>
        <v/>
      </c>
      <c r="F1707" s="29" t="str">
        <f>IF(A1707="","",IFERROR(INDEX(Maniobras!$K$5:$K$504,MATCH(A1707,Maniobras!$A$5:$A$504,0)),""))</f>
        <v/>
      </c>
      <c r="G1707" s="29"/>
      <c r="H1707" s="29"/>
      <c r="I1707" s="29" t="str">
        <f t="shared" si="53"/>
        <v/>
      </c>
      <c r="K1707" s="30"/>
      <c r="M1707" t="str">
        <f>IF($A1707=Ficha!$B$3,COUNTIF($A$5:$A1707,Ficha!$B$3),"")</f>
        <v/>
      </c>
    </row>
    <row r="1708" spans="2:13" x14ac:dyDescent="0.3">
      <c r="B1708" s="30" t="str">
        <f>IF(A1708="","",IFERROR(INDEX(Maniobras!$B$5:$B$504,MATCH(A1708,Maniobras!$A$5:$A$504,0)),""))</f>
        <v/>
      </c>
      <c r="C1708" t="str">
        <f t="shared" si="52"/>
        <v/>
      </c>
      <c r="D1708" t="str">
        <f>IF(A1708="","",IFERROR(INDEX(Maniobras!$D$5:$D$504,MATCH(A1708,Maniobras!$A$5:$A$504,0)),""))</f>
        <v/>
      </c>
      <c r="F1708" s="29" t="str">
        <f>IF(A1708="","",IFERROR(INDEX(Maniobras!$K$5:$K$504,MATCH(A1708,Maniobras!$A$5:$A$504,0)),""))</f>
        <v/>
      </c>
      <c r="G1708" s="29"/>
      <c r="H1708" s="29"/>
      <c r="I1708" s="29" t="str">
        <f t="shared" si="53"/>
        <v/>
      </c>
      <c r="K1708" s="30"/>
      <c r="M1708" t="str">
        <f>IF($A1708=Ficha!$B$3,COUNTIF($A$5:$A1708,Ficha!$B$3),"")</f>
        <v/>
      </c>
    </row>
    <row r="1709" spans="2:13" x14ac:dyDescent="0.3">
      <c r="B1709" s="30" t="str">
        <f>IF(A1709="","",IFERROR(INDEX(Maniobras!$B$5:$B$504,MATCH(A1709,Maniobras!$A$5:$A$504,0)),""))</f>
        <v/>
      </c>
      <c r="C1709" t="str">
        <f t="shared" si="52"/>
        <v/>
      </c>
      <c r="D1709" t="str">
        <f>IF(A1709="","",IFERROR(INDEX(Maniobras!$D$5:$D$504,MATCH(A1709,Maniobras!$A$5:$A$504,0)),""))</f>
        <v/>
      </c>
      <c r="F1709" s="29" t="str">
        <f>IF(A1709="","",IFERROR(INDEX(Maniobras!$K$5:$K$504,MATCH(A1709,Maniobras!$A$5:$A$504,0)),""))</f>
        <v/>
      </c>
      <c r="G1709" s="29"/>
      <c r="H1709" s="29"/>
      <c r="I1709" s="29" t="str">
        <f t="shared" si="53"/>
        <v/>
      </c>
      <c r="K1709" s="30"/>
      <c r="M1709" t="str">
        <f>IF($A1709=Ficha!$B$3,COUNTIF($A$5:$A1709,Ficha!$B$3),"")</f>
        <v/>
      </c>
    </row>
    <row r="1710" spans="2:13" x14ac:dyDescent="0.3">
      <c r="B1710" s="30" t="str">
        <f>IF(A1710="","",IFERROR(INDEX(Maniobras!$B$5:$B$504,MATCH(A1710,Maniobras!$A$5:$A$504,0)),""))</f>
        <v/>
      </c>
      <c r="C1710" t="str">
        <f t="shared" si="52"/>
        <v/>
      </c>
      <c r="D1710" t="str">
        <f>IF(A1710="","",IFERROR(INDEX(Maniobras!$D$5:$D$504,MATCH(A1710,Maniobras!$A$5:$A$504,0)),""))</f>
        <v/>
      </c>
      <c r="F1710" s="29" t="str">
        <f>IF(A1710="","",IFERROR(INDEX(Maniobras!$K$5:$K$504,MATCH(A1710,Maniobras!$A$5:$A$504,0)),""))</f>
        <v/>
      </c>
      <c r="G1710" s="29"/>
      <c r="H1710" s="29"/>
      <c r="I1710" s="29" t="str">
        <f t="shared" si="53"/>
        <v/>
      </c>
      <c r="K1710" s="30"/>
      <c r="M1710" t="str">
        <f>IF($A1710=Ficha!$B$3,COUNTIF($A$5:$A1710,Ficha!$B$3),"")</f>
        <v/>
      </c>
    </row>
    <row r="1711" spans="2:13" x14ac:dyDescent="0.3">
      <c r="B1711" s="30" t="str">
        <f>IF(A1711="","",IFERROR(INDEX(Maniobras!$B$5:$B$504,MATCH(A1711,Maniobras!$A$5:$A$504,0)),""))</f>
        <v/>
      </c>
      <c r="C1711" t="str">
        <f t="shared" si="52"/>
        <v/>
      </c>
      <c r="D1711" t="str">
        <f>IF(A1711="","",IFERROR(INDEX(Maniobras!$D$5:$D$504,MATCH(A1711,Maniobras!$A$5:$A$504,0)),""))</f>
        <v/>
      </c>
      <c r="F1711" s="29" t="str">
        <f>IF(A1711="","",IFERROR(INDEX(Maniobras!$K$5:$K$504,MATCH(A1711,Maniobras!$A$5:$A$504,0)),""))</f>
        <v/>
      </c>
      <c r="G1711" s="29"/>
      <c r="H1711" s="29"/>
      <c r="I1711" s="29" t="str">
        <f t="shared" si="53"/>
        <v/>
      </c>
      <c r="K1711" s="30"/>
      <c r="M1711" t="str">
        <f>IF($A1711=Ficha!$B$3,COUNTIF($A$5:$A1711,Ficha!$B$3),"")</f>
        <v/>
      </c>
    </row>
    <row r="1712" spans="2:13" x14ac:dyDescent="0.3">
      <c r="B1712" s="30" t="str">
        <f>IF(A1712="","",IFERROR(INDEX(Maniobras!$B$5:$B$504,MATCH(A1712,Maniobras!$A$5:$A$504,0)),""))</f>
        <v/>
      </c>
      <c r="C1712" t="str">
        <f t="shared" si="52"/>
        <v/>
      </c>
      <c r="D1712" t="str">
        <f>IF(A1712="","",IFERROR(INDEX(Maniobras!$D$5:$D$504,MATCH(A1712,Maniobras!$A$5:$A$504,0)),""))</f>
        <v/>
      </c>
      <c r="F1712" s="29" t="str">
        <f>IF(A1712="","",IFERROR(INDEX(Maniobras!$K$5:$K$504,MATCH(A1712,Maniobras!$A$5:$A$504,0)),""))</f>
        <v/>
      </c>
      <c r="G1712" s="29"/>
      <c r="H1712" s="29"/>
      <c r="I1712" s="29" t="str">
        <f t="shared" si="53"/>
        <v/>
      </c>
      <c r="K1712" s="30"/>
      <c r="M1712" t="str">
        <f>IF($A1712=Ficha!$B$3,COUNTIF($A$5:$A1712,Ficha!$B$3),"")</f>
        <v/>
      </c>
    </row>
    <row r="1713" spans="2:13" x14ac:dyDescent="0.3">
      <c r="B1713" s="30" t="str">
        <f>IF(A1713="","",IFERROR(INDEX(Maniobras!$B$5:$B$504,MATCH(A1713,Maniobras!$A$5:$A$504,0)),""))</f>
        <v/>
      </c>
      <c r="C1713" t="str">
        <f t="shared" si="52"/>
        <v/>
      </c>
      <c r="D1713" t="str">
        <f>IF(A1713="","",IFERROR(INDEX(Maniobras!$D$5:$D$504,MATCH(A1713,Maniobras!$A$5:$A$504,0)),""))</f>
        <v/>
      </c>
      <c r="F1713" s="29" t="str">
        <f>IF(A1713="","",IFERROR(INDEX(Maniobras!$K$5:$K$504,MATCH(A1713,Maniobras!$A$5:$A$504,0)),""))</f>
        <v/>
      </c>
      <c r="G1713" s="29"/>
      <c r="H1713" s="29"/>
      <c r="I1713" s="29" t="str">
        <f t="shared" si="53"/>
        <v/>
      </c>
      <c r="K1713" s="30"/>
      <c r="M1713" t="str">
        <f>IF($A1713=Ficha!$B$3,COUNTIF($A$5:$A1713,Ficha!$B$3),"")</f>
        <v/>
      </c>
    </row>
    <row r="1714" spans="2:13" x14ac:dyDescent="0.3">
      <c r="B1714" s="30" t="str">
        <f>IF(A1714="","",IFERROR(INDEX(Maniobras!$B$5:$B$504,MATCH(A1714,Maniobras!$A$5:$A$504,0)),""))</f>
        <v/>
      </c>
      <c r="C1714" t="str">
        <f t="shared" si="52"/>
        <v/>
      </c>
      <c r="D1714" t="str">
        <f>IF(A1714="","",IFERROR(INDEX(Maniobras!$D$5:$D$504,MATCH(A1714,Maniobras!$A$5:$A$504,0)),""))</f>
        <v/>
      </c>
      <c r="F1714" s="29" t="str">
        <f>IF(A1714="","",IFERROR(INDEX(Maniobras!$K$5:$K$504,MATCH(A1714,Maniobras!$A$5:$A$504,0)),""))</f>
        <v/>
      </c>
      <c r="G1714" s="29"/>
      <c r="H1714" s="29"/>
      <c r="I1714" s="29" t="str">
        <f t="shared" si="53"/>
        <v/>
      </c>
      <c r="K1714" s="30"/>
      <c r="M1714" t="str">
        <f>IF($A1714=Ficha!$B$3,COUNTIF($A$5:$A1714,Ficha!$B$3),"")</f>
        <v/>
      </c>
    </row>
    <row r="1715" spans="2:13" x14ac:dyDescent="0.3">
      <c r="B1715" s="30" t="str">
        <f>IF(A1715="","",IFERROR(INDEX(Maniobras!$B$5:$B$504,MATCH(A1715,Maniobras!$A$5:$A$504,0)),""))</f>
        <v/>
      </c>
      <c r="C1715" t="str">
        <f t="shared" si="52"/>
        <v/>
      </c>
      <c r="D1715" t="str">
        <f>IF(A1715="","",IFERROR(INDEX(Maniobras!$D$5:$D$504,MATCH(A1715,Maniobras!$A$5:$A$504,0)),""))</f>
        <v/>
      </c>
      <c r="F1715" s="29" t="str">
        <f>IF(A1715="","",IFERROR(INDEX(Maniobras!$K$5:$K$504,MATCH(A1715,Maniobras!$A$5:$A$504,0)),""))</f>
        <v/>
      </c>
      <c r="G1715" s="29"/>
      <c r="H1715" s="29"/>
      <c r="I1715" s="29" t="str">
        <f t="shared" si="53"/>
        <v/>
      </c>
      <c r="K1715" s="30"/>
      <c r="M1715" t="str">
        <f>IF($A1715=Ficha!$B$3,COUNTIF($A$5:$A1715,Ficha!$B$3),"")</f>
        <v/>
      </c>
    </row>
    <row r="1716" spans="2:13" x14ac:dyDescent="0.3">
      <c r="B1716" s="30" t="str">
        <f>IF(A1716="","",IFERROR(INDEX(Maniobras!$B$5:$B$504,MATCH(A1716,Maniobras!$A$5:$A$504,0)),""))</f>
        <v/>
      </c>
      <c r="C1716" t="str">
        <f t="shared" si="52"/>
        <v/>
      </c>
      <c r="D1716" t="str">
        <f>IF(A1716="","",IFERROR(INDEX(Maniobras!$D$5:$D$504,MATCH(A1716,Maniobras!$A$5:$A$504,0)),""))</f>
        <v/>
      </c>
      <c r="F1716" s="29" t="str">
        <f>IF(A1716="","",IFERROR(INDEX(Maniobras!$K$5:$K$504,MATCH(A1716,Maniobras!$A$5:$A$504,0)),""))</f>
        <v/>
      </c>
      <c r="G1716" s="29"/>
      <c r="H1716" s="29"/>
      <c r="I1716" s="29" t="str">
        <f t="shared" si="53"/>
        <v/>
      </c>
      <c r="K1716" s="30"/>
      <c r="M1716" t="str">
        <f>IF($A1716=Ficha!$B$3,COUNTIF($A$5:$A1716,Ficha!$B$3),"")</f>
        <v/>
      </c>
    </row>
    <row r="1717" spans="2:13" x14ac:dyDescent="0.3">
      <c r="B1717" s="30" t="str">
        <f>IF(A1717="","",IFERROR(INDEX(Maniobras!$B$5:$B$504,MATCH(A1717,Maniobras!$A$5:$A$504,0)),""))</f>
        <v/>
      </c>
      <c r="C1717" t="str">
        <f t="shared" si="52"/>
        <v/>
      </c>
      <c r="D1717" t="str">
        <f>IF(A1717="","",IFERROR(INDEX(Maniobras!$D$5:$D$504,MATCH(A1717,Maniobras!$A$5:$A$504,0)),""))</f>
        <v/>
      </c>
      <c r="F1717" s="29" t="str">
        <f>IF(A1717="","",IFERROR(INDEX(Maniobras!$K$5:$K$504,MATCH(A1717,Maniobras!$A$5:$A$504,0)),""))</f>
        <v/>
      </c>
      <c r="G1717" s="29"/>
      <c r="H1717" s="29"/>
      <c r="I1717" s="29" t="str">
        <f t="shared" si="53"/>
        <v/>
      </c>
      <c r="K1717" s="30"/>
      <c r="M1717" t="str">
        <f>IF($A1717=Ficha!$B$3,COUNTIF($A$5:$A1717,Ficha!$B$3),"")</f>
        <v/>
      </c>
    </row>
    <row r="1718" spans="2:13" x14ac:dyDescent="0.3">
      <c r="B1718" s="30" t="str">
        <f>IF(A1718="","",IFERROR(INDEX(Maniobras!$B$5:$B$504,MATCH(A1718,Maniobras!$A$5:$A$504,0)),""))</f>
        <v/>
      </c>
      <c r="C1718" t="str">
        <f t="shared" si="52"/>
        <v/>
      </c>
      <c r="D1718" t="str">
        <f>IF(A1718="","",IFERROR(INDEX(Maniobras!$D$5:$D$504,MATCH(A1718,Maniobras!$A$5:$A$504,0)),""))</f>
        <v/>
      </c>
      <c r="F1718" s="29" t="str">
        <f>IF(A1718="","",IFERROR(INDEX(Maniobras!$K$5:$K$504,MATCH(A1718,Maniobras!$A$5:$A$504,0)),""))</f>
        <v/>
      </c>
      <c r="G1718" s="29"/>
      <c r="H1718" s="29"/>
      <c r="I1718" s="29" t="str">
        <f t="shared" si="53"/>
        <v/>
      </c>
      <c r="K1718" s="30"/>
      <c r="M1718" t="str">
        <f>IF($A1718=Ficha!$B$3,COUNTIF($A$5:$A1718,Ficha!$B$3),"")</f>
        <v/>
      </c>
    </row>
    <row r="1719" spans="2:13" x14ac:dyDescent="0.3">
      <c r="B1719" s="30" t="str">
        <f>IF(A1719="","",IFERROR(INDEX(Maniobras!$B$5:$B$504,MATCH(A1719,Maniobras!$A$5:$A$504,0)),""))</f>
        <v/>
      </c>
      <c r="C1719" t="str">
        <f t="shared" si="52"/>
        <v/>
      </c>
      <c r="D1719" t="str">
        <f>IF(A1719="","",IFERROR(INDEX(Maniobras!$D$5:$D$504,MATCH(A1719,Maniobras!$A$5:$A$504,0)),""))</f>
        <v/>
      </c>
      <c r="F1719" s="29" t="str">
        <f>IF(A1719="","",IFERROR(INDEX(Maniobras!$K$5:$K$504,MATCH(A1719,Maniobras!$A$5:$A$504,0)),""))</f>
        <v/>
      </c>
      <c r="G1719" s="29"/>
      <c r="H1719" s="29"/>
      <c r="I1719" s="29" t="str">
        <f t="shared" si="53"/>
        <v/>
      </c>
      <c r="K1719" s="30"/>
      <c r="M1719" t="str">
        <f>IF($A1719=Ficha!$B$3,COUNTIF($A$5:$A1719,Ficha!$B$3),"")</f>
        <v/>
      </c>
    </row>
    <row r="1720" spans="2:13" x14ac:dyDescent="0.3">
      <c r="B1720" s="30" t="str">
        <f>IF(A1720="","",IFERROR(INDEX(Maniobras!$B$5:$B$504,MATCH(A1720,Maniobras!$A$5:$A$504,0)),""))</f>
        <v/>
      </c>
      <c r="C1720" t="str">
        <f t="shared" si="52"/>
        <v/>
      </c>
      <c r="D1720" t="str">
        <f>IF(A1720="","",IFERROR(INDEX(Maniobras!$D$5:$D$504,MATCH(A1720,Maniobras!$A$5:$A$504,0)),""))</f>
        <v/>
      </c>
      <c r="F1720" s="29" t="str">
        <f>IF(A1720="","",IFERROR(INDEX(Maniobras!$K$5:$K$504,MATCH(A1720,Maniobras!$A$5:$A$504,0)),""))</f>
        <v/>
      </c>
      <c r="G1720" s="29"/>
      <c r="H1720" s="29"/>
      <c r="I1720" s="29" t="str">
        <f t="shared" si="53"/>
        <v/>
      </c>
      <c r="K1720" s="30"/>
      <c r="M1720" t="str">
        <f>IF($A1720=Ficha!$B$3,COUNTIF($A$5:$A1720,Ficha!$B$3),"")</f>
        <v/>
      </c>
    </row>
    <row r="1721" spans="2:13" x14ac:dyDescent="0.3">
      <c r="B1721" s="30" t="str">
        <f>IF(A1721="","",IFERROR(INDEX(Maniobras!$B$5:$B$504,MATCH(A1721,Maniobras!$A$5:$A$504,0)),""))</f>
        <v/>
      </c>
      <c r="C1721" t="str">
        <f t="shared" si="52"/>
        <v/>
      </c>
      <c r="D1721" t="str">
        <f>IF(A1721="","",IFERROR(INDEX(Maniobras!$D$5:$D$504,MATCH(A1721,Maniobras!$A$5:$A$504,0)),""))</f>
        <v/>
      </c>
      <c r="F1721" s="29" t="str">
        <f>IF(A1721="","",IFERROR(INDEX(Maniobras!$K$5:$K$504,MATCH(A1721,Maniobras!$A$5:$A$504,0)),""))</f>
        <v/>
      </c>
      <c r="G1721" s="29"/>
      <c r="H1721" s="29"/>
      <c r="I1721" s="29" t="str">
        <f t="shared" si="53"/>
        <v/>
      </c>
      <c r="K1721" s="30"/>
      <c r="M1721" t="str">
        <f>IF($A1721=Ficha!$B$3,COUNTIF($A$5:$A1721,Ficha!$B$3),"")</f>
        <v/>
      </c>
    </row>
    <row r="1722" spans="2:13" x14ac:dyDescent="0.3">
      <c r="B1722" s="30" t="str">
        <f>IF(A1722="","",IFERROR(INDEX(Maniobras!$B$5:$B$504,MATCH(A1722,Maniobras!$A$5:$A$504,0)),""))</f>
        <v/>
      </c>
      <c r="C1722" t="str">
        <f t="shared" si="52"/>
        <v/>
      </c>
      <c r="D1722" t="str">
        <f>IF(A1722="","",IFERROR(INDEX(Maniobras!$D$5:$D$504,MATCH(A1722,Maniobras!$A$5:$A$504,0)),""))</f>
        <v/>
      </c>
      <c r="F1722" s="29" t="str">
        <f>IF(A1722="","",IFERROR(INDEX(Maniobras!$K$5:$K$504,MATCH(A1722,Maniobras!$A$5:$A$504,0)),""))</f>
        <v/>
      </c>
      <c r="G1722" s="29"/>
      <c r="H1722" s="29"/>
      <c r="I1722" s="29" t="str">
        <f t="shared" si="53"/>
        <v/>
      </c>
      <c r="K1722" s="30"/>
      <c r="M1722" t="str">
        <f>IF($A1722=Ficha!$B$3,COUNTIF($A$5:$A1722,Ficha!$B$3),"")</f>
        <v/>
      </c>
    </row>
    <row r="1723" spans="2:13" x14ac:dyDescent="0.3">
      <c r="B1723" s="30" t="str">
        <f>IF(A1723="","",IFERROR(INDEX(Maniobras!$B$5:$B$504,MATCH(A1723,Maniobras!$A$5:$A$504,0)),""))</f>
        <v/>
      </c>
      <c r="C1723" t="str">
        <f t="shared" si="52"/>
        <v/>
      </c>
      <c r="D1723" t="str">
        <f>IF(A1723="","",IFERROR(INDEX(Maniobras!$D$5:$D$504,MATCH(A1723,Maniobras!$A$5:$A$504,0)),""))</f>
        <v/>
      </c>
      <c r="F1723" s="29" t="str">
        <f>IF(A1723="","",IFERROR(INDEX(Maniobras!$K$5:$K$504,MATCH(A1723,Maniobras!$A$5:$A$504,0)),""))</f>
        <v/>
      </c>
      <c r="G1723" s="29"/>
      <c r="H1723" s="29"/>
      <c r="I1723" s="29" t="str">
        <f t="shared" si="53"/>
        <v/>
      </c>
      <c r="K1723" s="30"/>
      <c r="M1723" t="str">
        <f>IF($A1723=Ficha!$B$3,COUNTIF($A$5:$A1723,Ficha!$B$3),"")</f>
        <v/>
      </c>
    </row>
    <row r="1724" spans="2:13" x14ac:dyDescent="0.3">
      <c r="B1724" s="30" t="str">
        <f>IF(A1724="","",IFERROR(INDEX(Maniobras!$B$5:$B$504,MATCH(A1724,Maniobras!$A$5:$A$504,0)),""))</f>
        <v/>
      </c>
      <c r="C1724" t="str">
        <f t="shared" si="52"/>
        <v/>
      </c>
      <c r="D1724" t="str">
        <f>IF(A1724="","",IFERROR(INDEX(Maniobras!$D$5:$D$504,MATCH(A1724,Maniobras!$A$5:$A$504,0)),""))</f>
        <v/>
      </c>
      <c r="F1724" s="29" t="str">
        <f>IF(A1724="","",IFERROR(INDEX(Maniobras!$K$5:$K$504,MATCH(A1724,Maniobras!$A$5:$A$504,0)),""))</f>
        <v/>
      </c>
      <c r="G1724" s="29"/>
      <c r="H1724" s="29"/>
      <c r="I1724" s="29" t="str">
        <f t="shared" si="53"/>
        <v/>
      </c>
      <c r="K1724" s="30"/>
      <c r="M1724" t="str">
        <f>IF($A1724=Ficha!$B$3,COUNTIF($A$5:$A1724,Ficha!$B$3),"")</f>
        <v/>
      </c>
    </row>
    <row r="1725" spans="2:13" x14ac:dyDescent="0.3">
      <c r="B1725" s="30" t="str">
        <f>IF(A1725="","",IFERROR(INDEX(Maniobras!$B$5:$B$504,MATCH(A1725,Maniobras!$A$5:$A$504,0)),""))</f>
        <v/>
      </c>
      <c r="C1725" t="str">
        <f t="shared" si="52"/>
        <v/>
      </c>
      <c r="D1725" t="str">
        <f>IF(A1725="","",IFERROR(INDEX(Maniobras!$D$5:$D$504,MATCH(A1725,Maniobras!$A$5:$A$504,0)),""))</f>
        <v/>
      </c>
      <c r="F1725" s="29" t="str">
        <f>IF(A1725="","",IFERROR(INDEX(Maniobras!$K$5:$K$504,MATCH(A1725,Maniobras!$A$5:$A$504,0)),""))</f>
        <v/>
      </c>
      <c r="G1725" s="29"/>
      <c r="H1725" s="29"/>
      <c r="I1725" s="29" t="str">
        <f t="shared" si="53"/>
        <v/>
      </c>
      <c r="K1725" s="30"/>
      <c r="M1725" t="str">
        <f>IF($A1725=Ficha!$B$3,COUNTIF($A$5:$A1725,Ficha!$B$3),"")</f>
        <v/>
      </c>
    </row>
    <row r="1726" spans="2:13" x14ac:dyDescent="0.3">
      <c r="B1726" s="30" t="str">
        <f>IF(A1726="","",IFERROR(INDEX(Maniobras!$B$5:$B$504,MATCH(A1726,Maniobras!$A$5:$A$504,0)),""))</f>
        <v/>
      </c>
      <c r="C1726" t="str">
        <f t="shared" si="52"/>
        <v/>
      </c>
      <c r="D1726" t="str">
        <f>IF(A1726="","",IFERROR(INDEX(Maniobras!$D$5:$D$504,MATCH(A1726,Maniobras!$A$5:$A$504,0)),""))</f>
        <v/>
      </c>
      <c r="F1726" s="29" t="str">
        <f>IF(A1726="","",IFERROR(INDEX(Maniobras!$K$5:$K$504,MATCH(A1726,Maniobras!$A$5:$A$504,0)),""))</f>
        <v/>
      </c>
      <c r="G1726" s="29"/>
      <c r="H1726" s="29"/>
      <c r="I1726" s="29" t="str">
        <f t="shared" si="53"/>
        <v/>
      </c>
      <c r="K1726" s="30"/>
      <c r="M1726" t="str">
        <f>IF($A1726=Ficha!$B$3,COUNTIF($A$5:$A1726,Ficha!$B$3),"")</f>
        <v/>
      </c>
    </row>
    <row r="1727" spans="2:13" x14ac:dyDescent="0.3">
      <c r="B1727" s="30" t="str">
        <f>IF(A1727="","",IFERROR(INDEX(Maniobras!$B$5:$B$504,MATCH(A1727,Maniobras!$A$5:$A$504,0)),""))</f>
        <v/>
      </c>
      <c r="C1727" t="str">
        <f t="shared" si="52"/>
        <v/>
      </c>
      <c r="D1727" t="str">
        <f>IF(A1727="","",IFERROR(INDEX(Maniobras!$D$5:$D$504,MATCH(A1727,Maniobras!$A$5:$A$504,0)),""))</f>
        <v/>
      </c>
      <c r="F1727" s="29" t="str">
        <f>IF(A1727="","",IFERROR(INDEX(Maniobras!$K$5:$K$504,MATCH(A1727,Maniobras!$A$5:$A$504,0)),""))</f>
        <v/>
      </c>
      <c r="G1727" s="29"/>
      <c r="H1727" s="29"/>
      <c r="I1727" s="29" t="str">
        <f t="shared" si="53"/>
        <v/>
      </c>
      <c r="K1727" s="30"/>
      <c r="M1727" t="str">
        <f>IF($A1727=Ficha!$B$3,COUNTIF($A$5:$A1727,Ficha!$B$3),"")</f>
        <v/>
      </c>
    </row>
    <row r="1728" spans="2:13" x14ac:dyDescent="0.3">
      <c r="B1728" s="30" t="str">
        <f>IF(A1728="","",IFERROR(INDEX(Maniobras!$B$5:$B$504,MATCH(A1728,Maniobras!$A$5:$A$504,0)),""))</f>
        <v/>
      </c>
      <c r="C1728" t="str">
        <f t="shared" si="52"/>
        <v/>
      </c>
      <c r="D1728" t="str">
        <f>IF(A1728="","",IFERROR(INDEX(Maniobras!$D$5:$D$504,MATCH(A1728,Maniobras!$A$5:$A$504,0)),""))</f>
        <v/>
      </c>
      <c r="F1728" s="29" t="str">
        <f>IF(A1728="","",IFERROR(INDEX(Maniobras!$K$5:$K$504,MATCH(A1728,Maniobras!$A$5:$A$504,0)),""))</f>
        <v/>
      </c>
      <c r="G1728" s="29"/>
      <c r="H1728" s="29"/>
      <c r="I1728" s="29" t="str">
        <f t="shared" si="53"/>
        <v/>
      </c>
      <c r="K1728" s="30"/>
      <c r="M1728" t="str">
        <f>IF($A1728=Ficha!$B$3,COUNTIF($A$5:$A1728,Ficha!$B$3),"")</f>
        <v/>
      </c>
    </row>
    <row r="1729" spans="2:13" x14ac:dyDescent="0.3">
      <c r="B1729" s="30" t="str">
        <f>IF(A1729="","",IFERROR(INDEX(Maniobras!$B$5:$B$504,MATCH(A1729,Maniobras!$A$5:$A$504,0)),""))</f>
        <v/>
      </c>
      <c r="C1729" t="str">
        <f t="shared" si="52"/>
        <v/>
      </c>
      <c r="D1729" t="str">
        <f>IF(A1729="","",IFERROR(INDEX(Maniobras!$D$5:$D$504,MATCH(A1729,Maniobras!$A$5:$A$504,0)),""))</f>
        <v/>
      </c>
      <c r="F1729" s="29" t="str">
        <f>IF(A1729="","",IFERROR(INDEX(Maniobras!$K$5:$K$504,MATCH(A1729,Maniobras!$A$5:$A$504,0)),""))</f>
        <v/>
      </c>
      <c r="G1729" s="29"/>
      <c r="H1729" s="29"/>
      <c r="I1729" s="29" t="str">
        <f t="shared" si="53"/>
        <v/>
      </c>
      <c r="K1729" s="30"/>
      <c r="M1729" t="str">
        <f>IF($A1729=Ficha!$B$3,COUNTIF($A$5:$A1729,Ficha!$B$3),"")</f>
        <v/>
      </c>
    </row>
    <row r="1730" spans="2:13" x14ac:dyDescent="0.3">
      <c r="B1730" s="30" t="str">
        <f>IF(A1730="","",IFERROR(INDEX(Maniobras!$B$5:$B$504,MATCH(A1730,Maniobras!$A$5:$A$504,0)),""))</f>
        <v/>
      </c>
      <c r="C1730" t="str">
        <f t="shared" si="52"/>
        <v/>
      </c>
      <c r="D1730" t="str">
        <f>IF(A1730="","",IFERROR(INDEX(Maniobras!$D$5:$D$504,MATCH(A1730,Maniobras!$A$5:$A$504,0)),""))</f>
        <v/>
      </c>
      <c r="F1730" s="29" t="str">
        <f>IF(A1730="","",IFERROR(INDEX(Maniobras!$K$5:$K$504,MATCH(A1730,Maniobras!$A$5:$A$504,0)),""))</f>
        <v/>
      </c>
      <c r="G1730" s="29"/>
      <c r="H1730" s="29"/>
      <c r="I1730" s="29" t="str">
        <f t="shared" si="53"/>
        <v/>
      </c>
      <c r="K1730" s="30"/>
      <c r="M1730" t="str">
        <f>IF($A1730=Ficha!$B$3,COUNTIF($A$5:$A1730,Ficha!$B$3),"")</f>
        <v/>
      </c>
    </row>
    <row r="1731" spans="2:13" x14ac:dyDescent="0.3">
      <c r="B1731" s="30" t="str">
        <f>IF(A1731="","",IFERROR(INDEX(Maniobras!$B$5:$B$504,MATCH(A1731,Maniobras!$A$5:$A$504,0)),""))</f>
        <v/>
      </c>
      <c r="C1731" t="str">
        <f t="shared" si="52"/>
        <v/>
      </c>
      <c r="D1731" t="str">
        <f>IF(A1731="","",IFERROR(INDEX(Maniobras!$D$5:$D$504,MATCH(A1731,Maniobras!$A$5:$A$504,0)),""))</f>
        <v/>
      </c>
      <c r="F1731" s="29" t="str">
        <f>IF(A1731="","",IFERROR(INDEX(Maniobras!$K$5:$K$504,MATCH(A1731,Maniobras!$A$5:$A$504,0)),""))</f>
        <v/>
      </c>
      <c r="G1731" s="29"/>
      <c r="H1731" s="29"/>
      <c r="I1731" s="29" t="str">
        <f t="shared" si="53"/>
        <v/>
      </c>
      <c r="K1731" s="30"/>
      <c r="M1731" t="str">
        <f>IF($A1731=Ficha!$B$3,COUNTIF($A$5:$A1731,Ficha!$B$3),"")</f>
        <v/>
      </c>
    </row>
    <row r="1732" spans="2:13" x14ac:dyDescent="0.3">
      <c r="B1732" s="30" t="str">
        <f>IF(A1732="","",IFERROR(INDEX(Maniobras!$B$5:$B$504,MATCH(A1732,Maniobras!$A$5:$A$504,0)),""))</f>
        <v/>
      </c>
      <c r="C1732" t="str">
        <f t="shared" si="52"/>
        <v/>
      </c>
      <c r="D1732" t="str">
        <f>IF(A1732="","",IFERROR(INDEX(Maniobras!$D$5:$D$504,MATCH(A1732,Maniobras!$A$5:$A$504,0)),""))</f>
        <v/>
      </c>
      <c r="F1732" s="29" t="str">
        <f>IF(A1732="","",IFERROR(INDEX(Maniobras!$K$5:$K$504,MATCH(A1732,Maniobras!$A$5:$A$504,0)),""))</f>
        <v/>
      </c>
      <c r="G1732" s="29"/>
      <c r="H1732" s="29"/>
      <c r="I1732" s="29" t="str">
        <f t="shared" si="53"/>
        <v/>
      </c>
      <c r="K1732" s="30"/>
      <c r="M1732" t="str">
        <f>IF($A1732=Ficha!$B$3,COUNTIF($A$5:$A1732,Ficha!$B$3),"")</f>
        <v/>
      </c>
    </row>
    <row r="1733" spans="2:13" x14ac:dyDescent="0.3">
      <c r="B1733" s="30" t="str">
        <f>IF(A1733="","",IFERROR(INDEX(Maniobras!$B$5:$B$504,MATCH(A1733,Maniobras!$A$5:$A$504,0)),""))</f>
        <v/>
      </c>
      <c r="C1733" t="str">
        <f t="shared" ref="C1733:C1796" si="54">IF(B1733="","",TEXT(B1733,"yyyy-mm"))</f>
        <v/>
      </c>
      <c r="D1733" t="str">
        <f>IF(A1733="","",IFERROR(INDEX(Maniobras!$D$5:$D$504,MATCH(A1733,Maniobras!$A$5:$A$504,0)),""))</f>
        <v/>
      </c>
      <c r="F1733" s="29" t="str">
        <f>IF(A1733="","",IFERROR(INDEX(Maniobras!$K$5:$K$504,MATCH(A1733,Maniobras!$A$5:$A$504,0)),""))</f>
        <v/>
      </c>
      <c r="G1733" s="29"/>
      <c r="H1733" s="29"/>
      <c r="I1733" s="29" t="str">
        <f t="shared" ref="I1733:I1796" si="55">IF(G1733="","",G1733+N(H1733))</f>
        <v/>
      </c>
      <c r="K1733" s="30"/>
      <c r="M1733" t="str">
        <f>IF($A1733=Ficha!$B$3,COUNTIF($A$5:$A1733,Ficha!$B$3),"")</f>
        <v/>
      </c>
    </row>
    <row r="1734" spans="2:13" x14ac:dyDescent="0.3">
      <c r="B1734" s="30" t="str">
        <f>IF(A1734="","",IFERROR(INDEX(Maniobras!$B$5:$B$504,MATCH(A1734,Maniobras!$A$5:$A$504,0)),""))</f>
        <v/>
      </c>
      <c r="C1734" t="str">
        <f t="shared" si="54"/>
        <v/>
      </c>
      <c r="D1734" t="str">
        <f>IF(A1734="","",IFERROR(INDEX(Maniobras!$D$5:$D$504,MATCH(A1734,Maniobras!$A$5:$A$504,0)),""))</f>
        <v/>
      </c>
      <c r="F1734" s="29" t="str">
        <f>IF(A1734="","",IFERROR(INDEX(Maniobras!$K$5:$K$504,MATCH(A1734,Maniobras!$A$5:$A$504,0)),""))</f>
        <v/>
      </c>
      <c r="G1734" s="29"/>
      <c r="H1734" s="29"/>
      <c r="I1734" s="29" t="str">
        <f t="shared" si="55"/>
        <v/>
      </c>
      <c r="K1734" s="30"/>
      <c r="M1734" t="str">
        <f>IF($A1734=Ficha!$B$3,COUNTIF($A$5:$A1734,Ficha!$B$3),"")</f>
        <v/>
      </c>
    </row>
    <row r="1735" spans="2:13" x14ac:dyDescent="0.3">
      <c r="B1735" s="30" t="str">
        <f>IF(A1735="","",IFERROR(INDEX(Maniobras!$B$5:$B$504,MATCH(A1735,Maniobras!$A$5:$A$504,0)),""))</f>
        <v/>
      </c>
      <c r="C1735" t="str">
        <f t="shared" si="54"/>
        <v/>
      </c>
      <c r="D1735" t="str">
        <f>IF(A1735="","",IFERROR(INDEX(Maniobras!$D$5:$D$504,MATCH(A1735,Maniobras!$A$5:$A$504,0)),""))</f>
        <v/>
      </c>
      <c r="F1735" s="29" t="str">
        <f>IF(A1735="","",IFERROR(INDEX(Maniobras!$K$5:$K$504,MATCH(A1735,Maniobras!$A$5:$A$504,0)),""))</f>
        <v/>
      </c>
      <c r="G1735" s="29"/>
      <c r="H1735" s="29"/>
      <c r="I1735" s="29" t="str">
        <f t="shared" si="55"/>
        <v/>
      </c>
      <c r="K1735" s="30"/>
      <c r="M1735" t="str">
        <f>IF($A1735=Ficha!$B$3,COUNTIF($A$5:$A1735,Ficha!$B$3),"")</f>
        <v/>
      </c>
    </row>
    <row r="1736" spans="2:13" x14ac:dyDescent="0.3">
      <c r="B1736" s="30" t="str">
        <f>IF(A1736="","",IFERROR(INDEX(Maniobras!$B$5:$B$504,MATCH(A1736,Maniobras!$A$5:$A$504,0)),""))</f>
        <v/>
      </c>
      <c r="C1736" t="str">
        <f t="shared" si="54"/>
        <v/>
      </c>
      <c r="D1736" t="str">
        <f>IF(A1736="","",IFERROR(INDEX(Maniobras!$D$5:$D$504,MATCH(A1736,Maniobras!$A$5:$A$504,0)),""))</f>
        <v/>
      </c>
      <c r="F1736" s="29" t="str">
        <f>IF(A1736="","",IFERROR(INDEX(Maniobras!$K$5:$K$504,MATCH(A1736,Maniobras!$A$5:$A$504,0)),""))</f>
        <v/>
      </c>
      <c r="G1736" s="29"/>
      <c r="H1736" s="29"/>
      <c r="I1736" s="29" t="str">
        <f t="shared" si="55"/>
        <v/>
      </c>
      <c r="K1736" s="30"/>
      <c r="M1736" t="str">
        <f>IF($A1736=Ficha!$B$3,COUNTIF($A$5:$A1736,Ficha!$B$3),"")</f>
        <v/>
      </c>
    </row>
    <row r="1737" spans="2:13" x14ac:dyDescent="0.3">
      <c r="B1737" s="30" t="str">
        <f>IF(A1737="","",IFERROR(INDEX(Maniobras!$B$5:$B$504,MATCH(A1737,Maniobras!$A$5:$A$504,0)),""))</f>
        <v/>
      </c>
      <c r="C1737" t="str">
        <f t="shared" si="54"/>
        <v/>
      </c>
      <c r="D1737" t="str">
        <f>IF(A1737="","",IFERROR(INDEX(Maniobras!$D$5:$D$504,MATCH(A1737,Maniobras!$A$5:$A$504,0)),""))</f>
        <v/>
      </c>
      <c r="F1737" s="29" t="str">
        <f>IF(A1737="","",IFERROR(INDEX(Maniobras!$K$5:$K$504,MATCH(A1737,Maniobras!$A$5:$A$504,0)),""))</f>
        <v/>
      </c>
      <c r="G1737" s="29"/>
      <c r="H1737" s="29"/>
      <c r="I1737" s="29" t="str">
        <f t="shared" si="55"/>
        <v/>
      </c>
      <c r="K1737" s="30"/>
      <c r="M1737" t="str">
        <f>IF($A1737=Ficha!$B$3,COUNTIF($A$5:$A1737,Ficha!$B$3),"")</f>
        <v/>
      </c>
    </row>
    <row r="1738" spans="2:13" x14ac:dyDescent="0.3">
      <c r="B1738" s="30" t="str">
        <f>IF(A1738="","",IFERROR(INDEX(Maniobras!$B$5:$B$504,MATCH(A1738,Maniobras!$A$5:$A$504,0)),""))</f>
        <v/>
      </c>
      <c r="C1738" t="str">
        <f t="shared" si="54"/>
        <v/>
      </c>
      <c r="D1738" t="str">
        <f>IF(A1738="","",IFERROR(INDEX(Maniobras!$D$5:$D$504,MATCH(A1738,Maniobras!$A$5:$A$504,0)),""))</f>
        <v/>
      </c>
      <c r="F1738" s="29" t="str">
        <f>IF(A1738="","",IFERROR(INDEX(Maniobras!$K$5:$K$504,MATCH(A1738,Maniobras!$A$5:$A$504,0)),""))</f>
        <v/>
      </c>
      <c r="G1738" s="29"/>
      <c r="H1738" s="29"/>
      <c r="I1738" s="29" t="str">
        <f t="shared" si="55"/>
        <v/>
      </c>
      <c r="K1738" s="30"/>
      <c r="M1738" t="str">
        <f>IF($A1738=Ficha!$B$3,COUNTIF($A$5:$A1738,Ficha!$B$3),"")</f>
        <v/>
      </c>
    </row>
    <row r="1739" spans="2:13" x14ac:dyDescent="0.3">
      <c r="B1739" s="30" t="str">
        <f>IF(A1739="","",IFERROR(INDEX(Maniobras!$B$5:$B$504,MATCH(A1739,Maniobras!$A$5:$A$504,0)),""))</f>
        <v/>
      </c>
      <c r="C1739" t="str">
        <f t="shared" si="54"/>
        <v/>
      </c>
      <c r="D1739" t="str">
        <f>IF(A1739="","",IFERROR(INDEX(Maniobras!$D$5:$D$504,MATCH(A1739,Maniobras!$A$5:$A$504,0)),""))</f>
        <v/>
      </c>
      <c r="F1739" s="29" t="str">
        <f>IF(A1739="","",IFERROR(INDEX(Maniobras!$K$5:$K$504,MATCH(A1739,Maniobras!$A$5:$A$504,0)),""))</f>
        <v/>
      </c>
      <c r="G1739" s="29"/>
      <c r="H1739" s="29"/>
      <c r="I1739" s="29" t="str">
        <f t="shared" si="55"/>
        <v/>
      </c>
      <c r="K1739" s="30"/>
      <c r="M1739" t="str">
        <f>IF($A1739=Ficha!$B$3,COUNTIF($A$5:$A1739,Ficha!$B$3),"")</f>
        <v/>
      </c>
    </row>
    <row r="1740" spans="2:13" x14ac:dyDescent="0.3">
      <c r="B1740" s="30" t="str">
        <f>IF(A1740="","",IFERROR(INDEX(Maniobras!$B$5:$B$504,MATCH(A1740,Maniobras!$A$5:$A$504,0)),""))</f>
        <v/>
      </c>
      <c r="C1740" t="str">
        <f t="shared" si="54"/>
        <v/>
      </c>
      <c r="D1740" t="str">
        <f>IF(A1740="","",IFERROR(INDEX(Maniobras!$D$5:$D$504,MATCH(A1740,Maniobras!$A$5:$A$504,0)),""))</f>
        <v/>
      </c>
      <c r="F1740" s="29" t="str">
        <f>IF(A1740="","",IFERROR(INDEX(Maniobras!$K$5:$K$504,MATCH(A1740,Maniobras!$A$5:$A$504,0)),""))</f>
        <v/>
      </c>
      <c r="G1740" s="29"/>
      <c r="H1740" s="29"/>
      <c r="I1740" s="29" t="str">
        <f t="shared" si="55"/>
        <v/>
      </c>
      <c r="K1740" s="30"/>
      <c r="M1740" t="str">
        <f>IF($A1740=Ficha!$B$3,COUNTIF($A$5:$A1740,Ficha!$B$3),"")</f>
        <v/>
      </c>
    </row>
    <row r="1741" spans="2:13" x14ac:dyDescent="0.3">
      <c r="B1741" s="30" t="str">
        <f>IF(A1741="","",IFERROR(INDEX(Maniobras!$B$5:$B$504,MATCH(A1741,Maniobras!$A$5:$A$504,0)),""))</f>
        <v/>
      </c>
      <c r="C1741" t="str">
        <f t="shared" si="54"/>
        <v/>
      </c>
      <c r="D1741" t="str">
        <f>IF(A1741="","",IFERROR(INDEX(Maniobras!$D$5:$D$504,MATCH(A1741,Maniobras!$A$5:$A$504,0)),""))</f>
        <v/>
      </c>
      <c r="F1741" s="29" t="str">
        <f>IF(A1741="","",IFERROR(INDEX(Maniobras!$K$5:$K$504,MATCH(A1741,Maniobras!$A$5:$A$504,0)),""))</f>
        <v/>
      </c>
      <c r="G1741" s="29"/>
      <c r="H1741" s="29"/>
      <c r="I1741" s="29" t="str">
        <f t="shared" si="55"/>
        <v/>
      </c>
      <c r="K1741" s="30"/>
      <c r="M1741" t="str">
        <f>IF($A1741=Ficha!$B$3,COUNTIF($A$5:$A1741,Ficha!$B$3),"")</f>
        <v/>
      </c>
    </row>
    <row r="1742" spans="2:13" x14ac:dyDescent="0.3">
      <c r="B1742" s="30" t="str">
        <f>IF(A1742="","",IFERROR(INDEX(Maniobras!$B$5:$B$504,MATCH(A1742,Maniobras!$A$5:$A$504,0)),""))</f>
        <v/>
      </c>
      <c r="C1742" t="str">
        <f t="shared" si="54"/>
        <v/>
      </c>
      <c r="D1742" t="str">
        <f>IF(A1742="","",IFERROR(INDEX(Maniobras!$D$5:$D$504,MATCH(A1742,Maniobras!$A$5:$A$504,0)),""))</f>
        <v/>
      </c>
      <c r="F1742" s="29" t="str">
        <f>IF(A1742="","",IFERROR(INDEX(Maniobras!$K$5:$K$504,MATCH(A1742,Maniobras!$A$5:$A$504,0)),""))</f>
        <v/>
      </c>
      <c r="G1742" s="29"/>
      <c r="H1742" s="29"/>
      <c r="I1742" s="29" t="str">
        <f t="shared" si="55"/>
        <v/>
      </c>
      <c r="K1742" s="30"/>
      <c r="M1742" t="str">
        <f>IF($A1742=Ficha!$B$3,COUNTIF($A$5:$A1742,Ficha!$B$3),"")</f>
        <v/>
      </c>
    </row>
    <row r="1743" spans="2:13" x14ac:dyDescent="0.3">
      <c r="B1743" s="30" t="str">
        <f>IF(A1743="","",IFERROR(INDEX(Maniobras!$B$5:$B$504,MATCH(A1743,Maniobras!$A$5:$A$504,0)),""))</f>
        <v/>
      </c>
      <c r="C1743" t="str">
        <f t="shared" si="54"/>
        <v/>
      </c>
      <c r="D1743" t="str">
        <f>IF(A1743="","",IFERROR(INDEX(Maniobras!$D$5:$D$504,MATCH(A1743,Maniobras!$A$5:$A$504,0)),""))</f>
        <v/>
      </c>
      <c r="F1743" s="29" t="str">
        <f>IF(A1743="","",IFERROR(INDEX(Maniobras!$K$5:$K$504,MATCH(A1743,Maniobras!$A$5:$A$504,0)),""))</f>
        <v/>
      </c>
      <c r="G1743" s="29"/>
      <c r="H1743" s="29"/>
      <c r="I1743" s="29" t="str">
        <f t="shared" si="55"/>
        <v/>
      </c>
      <c r="K1743" s="30"/>
      <c r="M1743" t="str">
        <f>IF($A1743=Ficha!$B$3,COUNTIF($A$5:$A1743,Ficha!$B$3),"")</f>
        <v/>
      </c>
    </row>
    <row r="1744" spans="2:13" x14ac:dyDescent="0.3">
      <c r="B1744" s="30" t="str">
        <f>IF(A1744="","",IFERROR(INDEX(Maniobras!$B$5:$B$504,MATCH(A1744,Maniobras!$A$5:$A$504,0)),""))</f>
        <v/>
      </c>
      <c r="C1744" t="str">
        <f t="shared" si="54"/>
        <v/>
      </c>
      <c r="D1744" t="str">
        <f>IF(A1744="","",IFERROR(INDEX(Maniobras!$D$5:$D$504,MATCH(A1744,Maniobras!$A$5:$A$504,0)),""))</f>
        <v/>
      </c>
      <c r="F1744" s="29" t="str">
        <f>IF(A1744="","",IFERROR(INDEX(Maniobras!$K$5:$K$504,MATCH(A1744,Maniobras!$A$5:$A$504,0)),""))</f>
        <v/>
      </c>
      <c r="G1744" s="29"/>
      <c r="H1744" s="29"/>
      <c r="I1744" s="29" t="str">
        <f t="shared" si="55"/>
        <v/>
      </c>
      <c r="K1744" s="30"/>
      <c r="M1744" t="str">
        <f>IF($A1744=Ficha!$B$3,COUNTIF($A$5:$A1744,Ficha!$B$3),"")</f>
        <v/>
      </c>
    </row>
    <row r="1745" spans="2:13" x14ac:dyDescent="0.3">
      <c r="B1745" s="30" t="str">
        <f>IF(A1745="","",IFERROR(INDEX(Maniobras!$B$5:$B$504,MATCH(A1745,Maniobras!$A$5:$A$504,0)),""))</f>
        <v/>
      </c>
      <c r="C1745" t="str">
        <f t="shared" si="54"/>
        <v/>
      </c>
      <c r="D1745" t="str">
        <f>IF(A1745="","",IFERROR(INDEX(Maniobras!$D$5:$D$504,MATCH(A1745,Maniobras!$A$5:$A$504,0)),""))</f>
        <v/>
      </c>
      <c r="F1745" s="29" t="str">
        <f>IF(A1745="","",IFERROR(INDEX(Maniobras!$K$5:$K$504,MATCH(A1745,Maniobras!$A$5:$A$504,0)),""))</f>
        <v/>
      </c>
      <c r="G1745" s="29"/>
      <c r="H1745" s="29"/>
      <c r="I1745" s="29" t="str">
        <f t="shared" si="55"/>
        <v/>
      </c>
      <c r="K1745" s="30"/>
      <c r="M1745" t="str">
        <f>IF($A1745=Ficha!$B$3,COUNTIF($A$5:$A1745,Ficha!$B$3),"")</f>
        <v/>
      </c>
    </row>
    <row r="1746" spans="2:13" x14ac:dyDescent="0.3">
      <c r="B1746" s="30" t="str">
        <f>IF(A1746="","",IFERROR(INDEX(Maniobras!$B$5:$B$504,MATCH(A1746,Maniobras!$A$5:$A$504,0)),""))</f>
        <v/>
      </c>
      <c r="C1746" t="str">
        <f t="shared" si="54"/>
        <v/>
      </c>
      <c r="D1746" t="str">
        <f>IF(A1746="","",IFERROR(INDEX(Maniobras!$D$5:$D$504,MATCH(A1746,Maniobras!$A$5:$A$504,0)),""))</f>
        <v/>
      </c>
      <c r="F1746" s="29" t="str">
        <f>IF(A1746="","",IFERROR(INDEX(Maniobras!$K$5:$K$504,MATCH(A1746,Maniobras!$A$5:$A$504,0)),""))</f>
        <v/>
      </c>
      <c r="G1746" s="29"/>
      <c r="H1746" s="29"/>
      <c r="I1746" s="29" t="str">
        <f t="shared" si="55"/>
        <v/>
      </c>
      <c r="K1746" s="30"/>
      <c r="M1746" t="str">
        <f>IF($A1746=Ficha!$B$3,COUNTIF($A$5:$A1746,Ficha!$B$3),"")</f>
        <v/>
      </c>
    </row>
    <row r="1747" spans="2:13" x14ac:dyDescent="0.3">
      <c r="B1747" s="30" t="str">
        <f>IF(A1747="","",IFERROR(INDEX(Maniobras!$B$5:$B$504,MATCH(A1747,Maniobras!$A$5:$A$504,0)),""))</f>
        <v/>
      </c>
      <c r="C1747" t="str">
        <f t="shared" si="54"/>
        <v/>
      </c>
      <c r="D1747" t="str">
        <f>IF(A1747="","",IFERROR(INDEX(Maniobras!$D$5:$D$504,MATCH(A1747,Maniobras!$A$5:$A$504,0)),""))</f>
        <v/>
      </c>
      <c r="F1747" s="29" t="str">
        <f>IF(A1747="","",IFERROR(INDEX(Maniobras!$K$5:$K$504,MATCH(A1747,Maniobras!$A$5:$A$504,0)),""))</f>
        <v/>
      </c>
      <c r="G1747" s="29"/>
      <c r="H1747" s="29"/>
      <c r="I1747" s="29" t="str">
        <f t="shared" si="55"/>
        <v/>
      </c>
      <c r="K1747" s="30"/>
      <c r="M1747" t="str">
        <f>IF($A1747=Ficha!$B$3,COUNTIF($A$5:$A1747,Ficha!$B$3),"")</f>
        <v/>
      </c>
    </row>
    <row r="1748" spans="2:13" x14ac:dyDescent="0.3">
      <c r="B1748" s="30" t="str">
        <f>IF(A1748="","",IFERROR(INDEX(Maniobras!$B$5:$B$504,MATCH(A1748,Maniobras!$A$5:$A$504,0)),""))</f>
        <v/>
      </c>
      <c r="C1748" t="str">
        <f t="shared" si="54"/>
        <v/>
      </c>
      <c r="D1748" t="str">
        <f>IF(A1748="","",IFERROR(INDEX(Maniobras!$D$5:$D$504,MATCH(A1748,Maniobras!$A$5:$A$504,0)),""))</f>
        <v/>
      </c>
      <c r="F1748" s="29" t="str">
        <f>IF(A1748="","",IFERROR(INDEX(Maniobras!$K$5:$K$504,MATCH(A1748,Maniobras!$A$5:$A$504,0)),""))</f>
        <v/>
      </c>
      <c r="G1748" s="29"/>
      <c r="H1748" s="29"/>
      <c r="I1748" s="29" t="str">
        <f t="shared" si="55"/>
        <v/>
      </c>
      <c r="K1748" s="30"/>
      <c r="M1748" t="str">
        <f>IF($A1748=Ficha!$B$3,COUNTIF($A$5:$A1748,Ficha!$B$3),"")</f>
        <v/>
      </c>
    </row>
    <row r="1749" spans="2:13" x14ac:dyDescent="0.3">
      <c r="B1749" s="30" t="str">
        <f>IF(A1749="","",IFERROR(INDEX(Maniobras!$B$5:$B$504,MATCH(A1749,Maniobras!$A$5:$A$504,0)),""))</f>
        <v/>
      </c>
      <c r="C1749" t="str">
        <f t="shared" si="54"/>
        <v/>
      </c>
      <c r="D1749" t="str">
        <f>IF(A1749="","",IFERROR(INDEX(Maniobras!$D$5:$D$504,MATCH(A1749,Maniobras!$A$5:$A$504,0)),""))</f>
        <v/>
      </c>
      <c r="F1749" s="29" t="str">
        <f>IF(A1749="","",IFERROR(INDEX(Maniobras!$K$5:$K$504,MATCH(A1749,Maniobras!$A$5:$A$504,0)),""))</f>
        <v/>
      </c>
      <c r="G1749" s="29"/>
      <c r="H1749" s="29"/>
      <c r="I1749" s="29" t="str">
        <f t="shared" si="55"/>
        <v/>
      </c>
      <c r="K1749" s="30"/>
      <c r="M1749" t="str">
        <f>IF($A1749=Ficha!$B$3,COUNTIF($A$5:$A1749,Ficha!$B$3),"")</f>
        <v/>
      </c>
    </row>
    <row r="1750" spans="2:13" x14ac:dyDescent="0.3">
      <c r="B1750" s="30" t="str">
        <f>IF(A1750="","",IFERROR(INDEX(Maniobras!$B$5:$B$504,MATCH(A1750,Maniobras!$A$5:$A$504,0)),""))</f>
        <v/>
      </c>
      <c r="C1750" t="str">
        <f t="shared" si="54"/>
        <v/>
      </c>
      <c r="D1750" t="str">
        <f>IF(A1750="","",IFERROR(INDEX(Maniobras!$D$5:$D$504,MATCH(A1750,Maniobras!$A$5:$A$504,0)),""))</f>
        <v/>
      </c>
      <c r="F1750" s="29" t="str">
        <f>IF(A1750="","",IFERROR(INDEX(Maniobras!$K$5:$K$504,MATCH(A1750,Maniobras!$A$5:$A$504,0)),""))</f>
        <v/>
      </c>
      <c r="G1750" s="29"/>
      <c r="H1750" s="29"/>
      <c r="I1750" s="29" t="str">
        <f t="shared" si="55"/>
        <v/>
      </c>
      <c r="K1750" s="30"/>
      <c r="M1750" t="str">
        <f>IF($A1750=Ficha!$B$3,COUNTIF($A$5:$A1750,Ficha!$B$3),"")</f>
        <v/>
      </c>
    </row>
    <row r="1751" spans="2:13" x14ac:dyDescent="0.3">
      <c r="B1751" s="30" t="str">
        <f>IF(A1751="","",IFERROR(INDEX(Maniobras!$B$5:$B$504,MATCH(A1751,Maniobras!$A$5:$A$504,0)),""))</f>
        <v/>
      </c>
      <c r="C1751" t="str">
        <f t="shared" si="54"/>
        <v/>
      </c>
      <c r="D1751" t="str">
        <f>IF(A1751="","",IFERROR(INDEX(Maniobras!$D$5:$D$504,MATCH(A1751,Maniobras!$A$5:$A$504,0)),""))</f>
        <v/>
      </c>
      <c r="F1751" s="29" t="str">
        <f>IF(A1751="","",IFERROR(INDEX(Maniobras!$K$5:$K$504,MATCH(A1751,Maniobras!$A$5:$A$504,0)),""))</f>
        <v/>
      </c>
      <c r="G1751" s="29"/>
      <c r="H1751" s="29"/>
      <c r="I1751" s="29" t="str">
        <f t="shared" si="55"/>
        <v/>
      </c>
      <c r="K1751" s="30"/>
      <c r="M1751" t="str">
        <f>IF($A1751=Ficha!$B$3,COUNTIF($A$5:$A1751,Ficha!$B$3),"")</f>
        <v/>
      </c>
    </row>
    <row r="1752" spans="2:13" x14ac:dyDescent="0.3">
      <c r="B1752" s="30" t="str">
        <f>IF(A1752="","",IFERROR(INDEX(Maniobras!$B$5:$B$504,MATCH(A1752,Maniobras!$A$5:$A$504,0)),""))</f>
        <v/>
      </c>
      <c r="C1752" t="str">
        <f t="shared" si="54"/>
        <v/>
      </c>
      <c r="D1752" t="str">
        <f>IF(A1752="","",IFERROR(INDEX(Maniobras!$D$5:$D$504,MATCH(A1752,Maniobras!$A$5:$A$504,0)),""))</f>
        <v/>
      </c>
      <c r="F1752" s="29" t="str">
        <f>IF(A1752="","",IFERROR(INDEX(Maniobras!$K$5:$K$504,MATCH(A1752,Maniobras!$A$5:$A$504,0)),""))</f>
        <v/>
      </c>
      <c r="G1752" s="29"/>
      <c r="H1752" s="29"/>
      <c r="I1752" s="29" t="str">
        <f t="shared" si="55"/>
        <v/>
      </c>
      <c r="K1752" s="30"/>
      <c r="M1752" t="str">
        <f>IF($A1752=Ficha!$B$3,COUNTIF($A$5:$A1752,Ficha!$B$3),"")</f>
        <v/>
      </c>
    </row>
    <row r="1753" spans="2:13" x14ac:dyDescent="0.3">
      <c r="B1753" s="30" t="str">
        <f>IF(A1753="","",IFERROR(INDEX(Maniobras!$B$5:$B$504,MATCH(A1753,Maniobras!$A$5:$A$504,0)),""))</f>
        <v/>
      </c>
      <c r="C1753" t="str">
        <f t="shared" si="54"/>
        <v/>
      </c>
      <c r="D1753" t="str">
        <f>IF(A1753="","",IFERROR(INDEX(Maniobras!$D$5:$D$504,MATCH(A1753,Maniobras!$A$5:$A$504,0)),""))</f>
        <v/>
      </c>
      <c r="F1753" s="29" t="str">
        <f>IF(A1753="","",IFERROR(INDEX(Maniobras!$K$5:$K$504,MATCH(A1753,Maniobras!$A$5:$A$504,0)),""))</f>
        <v/>
      </c>
      <c r="G1753" s="29"/>
      <c r="H1753" s="29"/>
      <c r="I1753" s="29" t="str">
        <f t="shared" si="55"/>
        <v/>
      </c>
      <c r="K1753" s="30"/>
      <c r="M1753" t="str">
        <f>IF($A1753=Ficha!$B$3,COUNTIF($A$5:$A1753,Ficha!$B$3),"")</f>
        <v/>
      </c>
    </row>
    <row r="1754" spans="2:13" x14ac:dyDescent="0.3">
      <c r="B1754" s="30" t="str">
        <f>IF(A1754="","",IFERROR(INDEX(Maniobras!$B$5:$B$504,MATCH(A1754,Maniobras!$A$5:$A$504,0)),""))</f>
        <v/>
      </c>
      <c r="C1754" t="str">
        <f t="shared" si="54"/>
        <v/>
      </c>
      <c r="D1754" t="str">
        <f>IF(A1754="","",IFERROR(INDEX(Maniobras!$D$5:$D$504,MATCH(A1754,Maniobras!$A$5:$A$504,0)),""))</f>
        <v/>
      </c>
      <c r="F1754" s="29" t="str">
        <f>IF(A1754="","",IFERROR(INDEX(Maniobras!$K$5:$K$504,MATCH(A1754,Maniobras!$A$5:$A$504,0)),""))</f>
        <v/>
      </c>
      <c r="G1754" s="29"/>
      <c r="H1754" s="29"/>
      <c r="I1754" s="29" t="str">
        <f t="shared" si="55"/>
        <v/>
      </c>
      <c r="K1754" s="30"/>
      <c r="M1754" t="str">
        <f>IF($A1754=Ficha!$B$3,COUNTIF($A$5:$A1754,Ficha!$B$3),"")</f>
        <v/>
      </c>
    </row>
    <row r="1755" spans="2:13" x14ac:dyDescent="0.3">
      <c r="B1755" s="30" t="str">
        <f>IF(A1755="","",IFERROR(INDEX(Maniobras!$B$5:$B$504,MATCH(A1755,Maniobras!$A$5:$A$504,0)),""))</f>
        <v/>
      </c>
      <c r="C1755" t="str">
        <f t="shared" si="54"/>
        <v/>
      </c>
      <c r="D1755" t="str">
        <f>IF(A1755="","",IFERROR(INDEX(Maniobras!$D$5:$D$504,MATCH(A1755,Maniobras!$A$5:$A$504,0)),""))</f>
        <v/>
      </c>
      <c r="F1755" s="29" t="str">
        <f>IF(A1755="","",IFERROR(INDEX(Maniobras!$K$5:$K$504,MATCH(A1755,Maniobras!$A$5:$A$504,0)),""))</f>
        <v/>
      </c>
      <c r="G1755" s="29"/>
      <c r="H1755" s="29"/>
      <c r="I1755" s="29" t="str">
        <f t="shared" si="55"/>
        <v/>
      </c>
      <c r="K1755" s="30"/>
      <c r="M1755" t="str">
        <f>IF($A1755=Ficha!$B$3,COUNTIF($A$5:$A1755,Ficha!$B$3),"")</f>
        <v/>
      </c>
    </row>
    <row r="1756" spans="2:13" x14ac:dyDescent="0.3">
      <c r="B1756" s="30" t="str">
        <f>IF(A1756="","",IFERROR(INDEX(Maniobras!$B$5:$B$504,MATCH(A1756,Maniobras!$A$5:$A$504,0)),""))</f>
        <v/>
      </c>
      <c r="C1756" t="str">
        <f t="shared" si="54"/>
        <v/>
      </c>
      <c r="D1756" t="str">
        <f>IF(A1756="","",IFERROR(INDEX(Maniobras!$D$5:$D$504,MATCH(A1756,Maniobras!$A$5:$A$504,0)),""))</f>
        <v/>
      </c>
      <c r="F1756" s="29" t="str">
        <f>IF(A1756="","",IFERROR(INDEX(Maniobras!$K$5:$K$504,MATCH(A1756,Maniobras!$A$5:$A$504,0)),""))</f>
        <v/>
      </c>
      <c r="G1756" s="29"/>
      <c r="H1756" s="29"/>
      <c r="I1756" s="29" t="str">
        <f t="shared" si="55"/>
        <v/>
      </c>
      <c r="K1756" s="30"/>
      <c r="M1756" t="str">
        <f>IF($A1756=Ficha!$B$3,COUNTIF($A$5:$A1756,Ficha!$B$3),"")</f>
        <v/>
      </c>
    </row>
    <row r="1757" spans="2:13" x14ac:dyDescent="0.3">
      <c r="B1757" s="30" t="str">
        <f>IF(A1757="","",IFERROR(INDEX(Maniobras!$B$5:$B$504,MATCH(A1757,Maniobras!$A$5:$A$504,0)),""))</f>
        <v/>
      </c>
      <c r="C1757" t="str">
        <f t="shared" si="54"/>
        <v/>
      </c>
      <c r="D1757" t="str">
        <f>IF(A1757="","",IFERROR(INDEX(Maniobras!$D$5:$D$504,MATCH(A1757,Maniobras!$A$5:$A$504,0)),""))</f>
        <v/>
      </c>
      <c r="F1757" s="29" t="str">
        <f>IF(A1757="","",IFERROR(INDEX(Maniobras!$K$5:$K$504,MATCH(A1757,Maniobras!$A$5:$A$504,0)),""))</f>
        <v/>
      </c>
      <c r="G1757" s="29"/>
      <c r="H1757" s="29"/>
      <c r="I1757" s="29" t="str">
        <f t="shared" si="55"/>
        <v/>
      </c>
      <c r="K1757" s="30"/>
      <c r="M1757" t="str">
        <f>IF($A1757=Ficha!$B$3,COUNTIF($A$5:$A1757,Ficha!$B$3),"")</f>
        <v/>
      </c>
    </row>
    <row r="1758" spans="2:13" x14ac:dyDescent="0.3">
      <c r="B1758" s="30" t="str">
        <f>IF(A1758="","",IFERROR(INDEX(Maniobras!$B$5:$B$504,MATCH(A1758,Maniobras!$A$5:$A$504,0)),""))</f>
        <v/>
      </c>
      <c r="C1758" t="str">
        <f t="shared" si="54"/>
        <v/>
      </c>
      <c r="D1758" t="str">
        <f>IF(A1758="","",IFERROR(INDEX(Maniobras!$D$5:$D$504,MATCH(A1758,Maniobras!$A$5:$A$504,0)),""))</f>
        <v/>
      </c>
      <c r="F1758" s="29" t="str">
        <f>IF(A1758="","",IFERROR(INDEX(Maniobras!$K$5:$K$504,MATCH(A1758,Maniobras!$A$5:$A$504,0)),""))</f>
        <v/>
      </c>
      <c r="G1758" s="29"/>
      <c r="H1758" s="29"/>
      <c r="I1758" s="29" t="str">
        <f t="shared" si="55"/>
        <v/>
      </c>
      <c r="K1758" s="30"/>
      <c r="M1758" t="str">
        <f>IF($A1758=Ficha!$B$3,COUNTIF($A$5:$A1758,Ficha!$B$3),"")</f>
        <v/>
      </c>
    </row>
    <row r="1759" spans="2:13" x14ac:dyDescent="0.3">
      <c r="B1759" s="30" t="str">
        <f>IF(A1759="","",IFERROR(INDEX(Maniobras!$B$5:$B$504,MATCH(A1759,Maniobras!$A$5:$A$504,0)),""))</f>
        <v/>
      </c>
      <c r="C1759" t="str">
        <f t="shared" si="54"/>
        <v/>
      </c>
      <c r="D1759" t="str">
        <f>IF(A1759="","",IFERROR(INDEX(Maniobras!$D$5:$D$504,MATCH(A1759,Maniobras!$A$5:$A$504,0)),""))</f>
        <v/>
      </c>
      <c r="F1759" s="29" t="str">
        <f>IF(A1759="","",IFERROR(INDEX(Maniobras!$K$5:$K$504,MATCH(A1759,Maniobras!$A$5:$A$504,0)),""))</f>
        <v/>
      </c>
      <c r="G1759" s="29"/>
      <c r="H1759" s="29"/>
      <c r="I1759" s="29" t="str">
        <f t="shared" si="55"/>
        <v/>
      </c>
      <c r="K1759" s="30"/>
      <c r="M1759" t="str">
        <f>IF($A1759=Ficha!$B$3,COUNTIF($A$5:$A1759,Ficha!$B$3),"")</f>
        <v/>
      </c>
    </row>
    <row r="1760" spans="2:13" x14ac:dyDescent="0.3">
      <c r="B1760" s="30" t="str">
        <f>IF(A1760="","",IFERROR(INDEX(Maniobras!$B$5:$B$504,MATCH(A1760,Maniobras!$A$5:$A$504,0)),""))</f>
        <v/>
      </c>
      <c r="C1760" t="str">
        <f t="shared" si="54"/>
        <v/>
      </c>
      <c r="D1760" t="str">
        <f>IF(A1760="","",IFERROR(INDEX(Maniobras!$D$5:$D$504,MATCH(A1760,Maniobras!$A$5:$A$504,0)),""))</f>
        <v/>
      </c>
      <c r="F1760" s="29" t="str">
        <f>IF(A1760="","",IFERROR(INDEX(Maniobras!$K$5:$K$504,MATCH(A1760,Maniobras!$A$5:$A$504,0)),""))</f>
        <v/>
      </c>
      <c r="G1760" s="29"/>
      <c r="H1760" s="29"/>
      <c r="I1760" s="29" t="str">
        <f t="shared" si="55"/>
        <v/>
      </c>
      <c r="K1760" s="30"/>
      <c r="M1760" t="str">
        <f>IF($A1760=Ficha!$B$3,COUNTIF($A$5:$A1760,Ficha!$B$3),"")</f>
        <v/>
      </c>
    </row>
    <row r="1761" spans="2:13" x14ac:dyDescent="0.3">
      <c r="B1761" s="30" t="str">
        <f>IF(A1761="","",IFERROR(INDEX(Maniobras!$B$5:$B$504,MATCH(A1761,Maniobras!$A$5:$A$504,0)),""))</f>
        <v/>
      </c>
      <c r="C1761" t="str">
        <f t="shared" si="54"/>
        <v/>
      </c>
      <c r="D1761" t="str">
        <f>IF(A1761="","",IFERROR(INDEX(Maniobras!$D$5:$D$504,MATCH(A1761,Maniobras!$A$5:$A$504,0)),""))</f>
        <v/>
      </c>
      <c r="F1761" s="29" t="str">
        <f>IF(A1761="","",IFERROR(INDEX(Maniobras!$K$5:$K$504,MATCH(A1761,Maniobras!$A$5:$A$504,0)),""))</f>
        <v/>
      </c>
      <c r="G1761" s="29"/>
      <c r="H1761" s="29"/>
      <c r="I1761" s="29" t="str">
        <f t="shared" si="55"/>
        <v/>
      </c>
      <c r="K1761" s="30"/>
      <c r="M1761" t="str">
        <f>IF($A1761=Ficha!$B$3,COUNTIF($A$5:$A1761,Ficha!$B$3),"")</f>
        <v/>
      </c>
    </row>
    <row r="1762" spans="2:13" x14ac:dyDescent="0.3">
      <c r="B1762" s="30" t="str">
        <f>IF(A1762="","",IFERROR(INDEX(Maniobras!$B$5:$B$504,MATCH(A1762,Maniobras!$A$5:$A$504,0)),""))</f>
        <v/>
      </c>
      <c r="C1762" t="str">
        <f t="shared" si="54"/>
        <v/>
      </c>
      <c r="D1762" t="str">
        <f>IF(A1762="","",IFERROR(INDEX(Maniobras!$D$5:$D$504,MATCH(A1762,Maniobras!$A$5:$A$504,0)),""))</f>
        <v/>
      </c>
      <c r="F1762" s="29" t="str">
        <f>IF(A1762="","",IFERROR(INDEX(Maniobras!$K$5:$K$504,MATCH(A1762,Maniobras!$A$5:$A$504,0)),""))</f>
        <v/>
      </c>
      <c r="G1762" s="29"/>
      <c r="H1762" s="29"/>
      <c r="I1762" s="29" t="str">
        <f t="shared" si="55"/>
        <v/>
      </c>
      <c r="K1762" s="30"/>
      <c r="M1762" t="str">
        <f>IF($A1762=Ficha!$B$3,COUNTIF($A$5:$A1762,Ficha!$B$3),"")</f>
        <v/>
      </c>
    </row>
    <row r="1763" spans="2:13" x14ac:dyDescent="0.3">
      <c r="B1763" s="30" t="str">
        <f>IF(A1763="","",IFERROR(INDEX(Maniobras!$B$5:$B$504,MATCH(A1763,Maniobras!$A$5:$A$504,0)),""))</f>
        <v/>
      </c>
      <c r="C1763" t="str">
        <f t="shared" si="54"/>
        <v/>
      </c>
      <c r="D1763" t="str">
        <f>IF(A1763="","",IFERROR(INDEX(Maniobras!$D$5:$D$504,MATCH(A1763,Maniobras!$A$5:$A$504,0)),""))</f>
        <v/>
      </c>
      <c r="F1763" s="29" t="str">
        <f>IF(A1763="","",IFERROR(INDEX(Maniobras!$K$5:$K$504,MATCH(A1763,Maniobras!$A$5:$A$504,0)),""))</f>
        <v/>
      </c>
      <c r="G1763" s="29"/>
      <c r="H1763" s="29"/>
      <c r="I1763" s="29" t="str">
        <f t="shared" si="55"/>
        <v/>
      </c>
      <c r="K1763" s="30"/>
      <c r="M1763" t="str">
        <f>IF($A1763=Ficha!$B$3,COUNTIF($A$5:$A1763,Ficha!$B$3),"")</f>
        <v/>
      </c>
    </row>
    <row r="1764" spans="2:13" x14ac:dyDescent="0.3">
      <c r="B1764" s="30" t="str">
        <f>IF(A1764="","",IFERROR(INDEX(Maniobras!$B$5:$B$504,MATCH(A1764,Maniobras!$A$5:$A$504,0)),""))</f>
        <v/>
      </c>
      <c r="C1764" t="str">
        <f t="shared" si="54"/>
        <v/>
      </c>
      <c r="D1764" t="str">
        <f>IF(A1764="","",IFERROR(INDEX(Maniobras!$D$5:$D$504,MATCH(A1764,Maniobras!$A$5:$A$504,0)),""))</f>
        <v/>
      </c>
      <c r="F1764" s="29" t="str">
        <f>IF(A1764="","",IFERROR(INDEX(Maniobras!$K$5:$K$504,MATCH(A1764,Maniobras!$A$5:$A$504,0)),""))</f>
        <v/>
      </c>
      <c r="G1764" s="29"/>
      <c r="H1764" s="29"/>
      <c r="I1764" s="29" t="str">
        <f t="shared" si="55"/>
        <v/>
      </c>
      <c r="K1764" s="30"/>
      <c r="M1764" t="str">
        <f>IF($A1764=Ficha!$B$3,COUNTIF($A$5:$A1764,Ficha!$B$3),"")</f>
        <v/>
      </c>
    </row>
    <row r="1765" spans="2:13" x14ac:dyDescent="0.3">
      <c r="B1765" s="30" t="str">
        <f>IF(A1765="","",IFERROR(INDEX(Maniobras!$B$5:$B$504,MATCH(A1765,Maniobras!$A$5:$A$504,0)),""))</f>
        <v/>
      </c>
      <c r="C1765" t="str">
        <f t="shared" si="54"/>
        <v/>
      </c>
      <c r="D1765" t="str">
        <f>IF(A1765="","",IFERROR(INDEX(Maniobras!$D$5:$D$504,MATCH(A1765,Maniobras!$A$5:$A$504,0)),""))</f>
        <v/>
      </c>
      <c r="F1765" s="29" t="str">
        <f>IF(A1765="","",IFERROR(INDEX(Maniobras!$K$5:$K$504,MATCH(A1765,Maniobras!$A$5:$A$504,0)),""))</f>
        <v/>
      </c>
      <c r="G1765" s="29"/>
      <c r="H1765" s="29"/>
      <c r="I1765" s="29" t="str">
        <f t="shared" si="55"/>
        <v/>
      </c>
      <c r="K1765" s="30"/>
      <c r="M1765" t="str">
        <f>IF($A1765=Ficha!$B$3,COUNTIF($A$5:$A1765,Ficha!$B$3),"")</f>
        <v/>
      </c>
    </row>
    <row r="1766" spans="2:13" x14ac:dyDescent="0.3">
      <c r="B1766" s="30" t="str">
        <f>IF(A1766="","",IFERROR(INDEX(Maniobras!$B$5:$B$504,MATCH(A1766,Maniobras!$A$5:$A$504,0)),""))</f>
        <v/>
      </c>
      <c r="C1766" t="str">
        <f t="shared" si="54"/>
        <v/>
      </c>
      <c r="D1766" t="str">
        <f>IF(A1766="","",IFERROR(INDEX(Maniobras!$D$5:$D$504,MATCH(A1766,Maniobras!$A$5:$A$504,0)),""))</f>
        <v/>
      </c>
      <c r="F1766" s="29" t="str">
        <f>IF(A1766="","",IFERROR(INDEX(Maniobras!$K$5:$K$504,MATCH(A1766,Maniobras!$A$5:$A$504,0)),""))</f>
        <v/>
      </c>
      <c r="G1766" s="29"/>
      <c r="H1766" s="29"/>
      <c r="I1766" s="29" t="str">
        <f t="shared" si="55"/>
        <v/>
      </c>
      <c r="K1766" s="30"/>
      <c r="M1766" t="str">
        <f>IF($A1766=Ficha!$B$3,COUNTIF($A$5:$A1766,Ficha!$B$3),"")</f>
        <v/>
      </c>
    </row>
    <row r="1767" spans="2:13" x14ac:dyDescent="0.3">
      <c r="B1767" s="30" t="str">
        <f>IF(A1767="","",IFERROR(INDEX(Maniobras!$B$5:$B$504,MATCH(A1767,Maniobras!$A$5:$A$504,0)),""))</f>
        <v/>
      </c>
      <c r="C1767" t="str">
        <f t="shared" si="54"/>
        <v/>
      </c>
      <c r="D1767" t="str">
        <f>IF(A1767="","",IFERROR(INDEX(Maniobras!$D$5:$D$504,MATCH(A1767,Maniobras!$A$5:$A$504,0)),""))</f>
        <v/>
      </c>
      <c r="F1767" s="29" t="str">
        <f>IF(A1767="","",IFERROR(INDEX(Maniobras!$K$5:$K$504,MATCH(A1767,Maniobras!$A$5:$A$504,0)),""))</f>
        <v/>
      </c>
      <c r="G1767" s="29"/>
      <c r="H1767" s="29"/>
      <c r="I1767" s="29" t="str">
        <f t="shared" si="55"/>
        <v/>
      </c>
      <c r="K1767" s="30"/>
      <c r="M1767" t="str">
        <f>IF($A1767=Ficha!$B$3,COUNTIF($A$5:$A1767,Ficha!$B$3),"")</f>
        <v/>
      </c>
    </row>
    <row r="1768" spans="2:13" x14ac:dyDescent="0.3">
      <c r="B1768" s="30" t="str">
        <f>IF(A1768="","",IFERROR(INDEX(Maniobras!$B$5:$B$504,MATCH(A1768,Maniobras!$A$5:$A$504,0)),""))</f>
        <v/>
      </c>
      <c r="C1768" t="str">
        <f t="shared" si="54"/>
        <v/>
      </c>
      <c r="D1768" t="str">
        <f>IF(A1768="","",IFERROR(INDEX(Maniobras!$D$5:$D$504,MATCH(A1768,Maniobras!$A$5:$A$504,0)),""))</f>
        <v/>
      </c>
      <c r="F1768" s="29" t="str">
        <f>IF(A1768="","",IFERROR(INDEX(Maniobras!$K$5:$K$504,MATCH(A1768,Maniobras!$A$5:$A$504,0)),""))</f>
        <v/>
      </c>
      <c r="G1768" s="29"/>
      <c r="H1768" s="29"/>
      <c r="I1768" s="29" t="str">
        <f t="shared" si="55"/>
        <v/>
      </c>
      <c r="K1768" s="30"/>
      <c r="M1768" t="str">
        <f>IF($A1768=Ficha!$B$3,COUNTIF($A$5:$A1768,Ficha!$B$3),"")</f>
        <v/>
      </c>
    </row>
    <row r="1769" spans="2:13" x14ac:dyDescent="0.3">
      <c r="B1769" s="30" t="str">
        <f>IF(A1769="","",IFERROR(INDEX(Maniobras!$B$5:$B$504,MATCH(A1769,Maniobras!$A$5:$A$504,0)),""))</f>
        <v/>
      </c>
      <c r="C1769" t="str">
        <f t="shared" si="54"/>
        <v/>
      </c>
      <c r="D1769" t="str">
        <f>IF(A1769="","",IFERROR(INDEX(Maniobras!$D$5:$D$504,MATCH(A1769,Maniobras!$A$5:$A$504,0)),""))</f>
        <v/>
      </c>
      <c r="F1769" s="29" t="str">
        <f>IF(A1769="","",IFERROR(INDEX(Maniobras!$K$5:$K$504,MATCH(A1769,Maniobras!$A$5:$A$504,0)),""))</f>
        <v/>
      </c>
      <c r="G1769" s="29"/>
      <c r="H1769" s="29"/>
      <c r="I1769" s="29" t="str">
        <f t="shared" si="55"/>
        <v/>
      </c>
      <c r="K1769" s="30"/>
      <c r="M1769" t="str">
        <f>IF($A1769=Ficha!$B$3,COUNTIF($A$5:$A1769,Ficha!$B$3),"")</f>
        <v/>
      </c>
    </row>
    <row r="1770" spans="2:13" x14ac:dyDescent="0.3">
      <c r="B1770" s="30" t="str">
        <f>IF(A1770="","",IFERROR(INDEX(Maniobras!$B$5:$B$504,MATCH(A1770,Maniobras!$A$5:$A$504,0)),""))</f>
        <v/>
      </c>
      <c r="C1770" t="str">
        <f t="shared" si="54"/>
        <v/>
      </c>
      <c r="D1770" t="str">
        <f>IF(A1770="","",IFERROR(INDEX(Maniobras!$D$5:$D$504,MATCH(A1770,Maniobras!$A$5:$A$504,0)),""))</f>
        <v/>
      </c>
      <c r="F1770" s="29" t="str">
        <f>IF(A1770="","",IFERROR(INDEX(Maniobras!$K$5:$K$504,MATCH(A1770,Maniobras!$A$5:$A$504,0)),""))</f>
        <v/>
      </c>
      <c r="G1770" s="29"/>
      <c r="H1770" s="29"/>
      <c r="I1770" s="29" t="str">
        <f t="shared" si="55"/>
        <v/>
      </c>
      <c r="K1770" s="30"/>
      <c r="M1770" t="str">
        <f>IF($A1770=Ficha!$B$3,COUNTIF($A$5:$A1770,Ficha!$B$3),"")</f>
        <v/>
      </c>
    </row>
    <row r="1771" spans="2:13" x14ac:dyDescent="0.3">
      <c r="B1771" s="30" t="str">
        <f>IF(A1771="","",IFERROR(INDEX(Maniobras!$B$5:$B$504,MATCH(A1771,Maniobras!$A$5:$A$504,0)),""))</f>
        <v/>
      </c>
      <c r="C1771" t="str">
        <f t="shared" si="54"/>
        <v/>
      </c>
      <c r="D1771" t="str">
        <f>IF(A1771="","",IFERROR(INDEX(Maniobras!$D$5:$D$504,MATCH(A1771,Maniobras!$A$5:$A$504,0)),""))</f>
        <v/>
      </c>
      <c r="F1771" s="29" t="str">
        <f>IF(A1771="","",IFERROR(INDEX(Maniobras!$K$5:$K$504,MATCH(A1771,Maniobras!$A$5:$A$504,0)),""))</f>
        <v/>
      </c>
      <c r="G1771" s="29"/>
      <c r="H1771" s="29"/>
      <c r="I1771" s="29" t="str">
        <f t="shared" si="55"/>
        <v/>
      </c>
      <c r="K1771" s="30"/>
      <c r="M1771" t="str">
        <f>IF($A1771=Ficha!$B$3,COUNTIF($A$5:$A1771,Ficha!$B$3),"")</f>
        <v/>
      </c>
    </row>
    <row r="1772" spans="2:13" x14ac:dyDescent="0.3">
      <c r="B1772" s="30" t="str">
        <f>IF(A1772="","",IFERROR(INDEX(Maniobras!$B$5:$B$504,MATCH(A1772,Maniobras!$A$5:$A$504,0)),""))</f>
        <v/>
      </c>
      <c r="C1772" t="str">
        <f t="shared" si="54"/>
        <v/>
      </c>
      <c r="D1772" t="str">
        <f>IF(A1772="","",IFERROR(INDEX(Maniobras!$D$5:$D$504,MATCH(A1772,Maniobras!$A$5:$A$504,0)),""))</f>
        <v/>
      </c>
      <c r="F1772" s="29" t="str">
        <f>IF(A1772="","",IFERROR(INDEX(Maniobras!$K$5:$K$504,MATCH(A1772,Maniobras!$A$5:$A$504,0)),""))</f>
        <v/>
      </c>
      <c r="G1772" s="29"/>
      <c r="H1772" s="29"/>
      <c r="I1772" s="29" t="str">
        <f t="shared" si="55"/>
        <v/>
      </c>
      <c r="K1772" s="30"/>
      <c r="M1772" t="str">
        <f>IF($A1772=Ficha!$B$3,COUNTIF($A$5:$A1772,Ficha!$B$3),"")</f>
        <v/>
      </c>
    </row>
    <row r="1773" spans="2:13" x14ac:dyDescent="0.3">
      <c r="B1773" s="30" t="str">
        <f>IF(A1773="","",IFERROR(INDEX(Maniobras!$B$5:$B$504,MATCH(A1773,Maniobras!$A$5:$A$504,0)),""))</f>
        <v/>
      </c>
      <c r="C1773" t="str">
        <f t="shared" si="54"/>
        <v/>
      </c>
      <c r="D1773" t="str">
        <f>IF(A1773="","",IFERROR(INDEX(Maniobras!$D$5:$D$504,MATCH(A1773,Maniobras!$A$5:$A$504,0)),""))</f>
        <v/>
      </c>
      <c r="F1773" s="29" t="str">
        <f>IF(A1773="","",IFERROR(INDEX(Maniobras!$K$5:$K$504,MATCH(A1773,Maniobras!$A$5:$A$504,0)),""))</f>
        <v/>
      </c>
      <c r="G1773" s="29"/>
      <c r="H1773" s="29"/>
      <c r="I1773" s="29" t="str">
        <f t="shared" si="55"/>
        <v/>
      </c>
      <c r="K1773" s="30"/>
      <c r="M1773" t="str">
        <f>IF($A1773=Ficha!$B$3,COUNTIF($A$5:$A1773,Ficha!$B$3),"")</f>
        <v/>
      </c>
    </row>
    <row r="1774" spans="2:13" x14ac:dyDescent="0.3">
      <c r="B1774" s="30" t="str">
        <f>IF(A1774="","",IFERROR(INDEX(Maniobras!$B$5:$B$504,MATCH(A1774,Maniobras!$A$5:$A$504,0)),""))</f>
        <v/>
      </c>
      <c r="C1774" t="str">
        <f t="shared" si="54"/>
        <v/>
      </c>
      <c r="D1774" t="str">
        <f>IF(A1774="","",IFERROR(INDEX(Maniobras!$D$5:$D$504,MATCH(A1774,Maniobras!$A$5:$A$504,0)),""))</f>
        <v/>
      </c>
      <c r="F1774" s="29" t="str">
        <f>IF(A1774="","",IFERROR(INDEX(Maniobras!$K$5:$K$504,MATCH(A1774,Maniobras!$A$5:$A$504,0)),""))</f>
        <v/>
      </c>
      <c r="G1774" s="29"/>
      <c r="H1774" s="29"/>
      <c r="I1774" s="29" t="str">
        <f t="shared" si="55"/>
        <v/>
      </c>
      <c r="K1774" s="30"/>
      <c r="M1774" t="str">
        <f>IF($A1774=Ficha!$B$3,COUNTIF($A$5:$A1774,Ficha!$B$3),"")</f>
        <v/>
      </c>
    </row>
    <row r="1775" spans="2:13" x14ac:dyDescent="0.3">
      <c r="B1775" s="30" t="str">
        <f>IF(A1775="","",IFERROR(INDEX(Maniobras!$B$5:$B$504,MATCH(A1775,Maniobras!$A$5:$A$504,0)),""))</f>
        <v/>
      </c>
      <c r="C1775" t="str">
        <f t="shared" si="54"/>
        <v/>
      </c>
      <c r="D1775" t="str">
        <f>IF(A1775="","",IFERROR(INDEX(Maniobras!$D$5:$D$504,MATCH(A1775,Maniobras!$A$5:$A$504,0)),""))</f>
        <v/>
      </c>
      <c r="F1775" s="29" t="str">
        <f>IF(A1775="","",IFERROR(INDEX(Maniobras!$K$5:$K$504,MATCH(A1775,Maniobras!$A$5:$A$504,0)),""))</f>
        <v/>
      </c>
      <c r="G1775" s="29"/>
      <c r="H1775" s="29"/>
      <c r="I1775" s="29" t="str">
        <f t="shared" si="55"/>
        <v/>
      </c>
      <c r="K1775" s="30"/>
      <c r="M1775" t="str">
        <f>IF($A1775=Ficha!$B$3,COUNTIF($A$5:$A1775,Ficha!$B$3),"")</f>
        <v/>
      </c>
    </row>
    <row r="1776" spans="2:13" x14ac:dyDescent="0.3">
      <c r="B1776" s="30" t="str">
        <f>IF(A1776="","",IFERROR(INDEX(Maniobras!$B$5:$B$504,MATCH(A1776,Maniobras!$A$5:$A$504,0)),""))</f>
        <v/>
      </c>
      <c r="C1776" t="str">
        <f t="shared" si="54"/>
        <v/>
      </c>
      <c r="D1776" t="str">
        <f>IF(A1776="","",IFERROR(INDEX(Maniobras!$D$5:$D$504,MATCH(A1776,Maniobras!$A$5:$A$504,0)),""))</f>
        <v/>
      </c>
      <c r="F1776" s="29" t="str">
        <f>IF(A1776="","",IFERROR(INDEX(Maniobras!$K$5:$K$504,MATCH(A1776,Maniobras!$A$5:$A$504,0)),""))</f>
        <v/>
      </c>
      <c r="G1776" s="29"/>
      <c r="H1776" s="29"/>
      <c r="I1776" s="29" t="str">
        <f t="shared" si="55"/>
        <v/>
      </c>
      <c r="K1776" s="30"/>
      <c r="M1776" t="str">
        <f>IF($A1776=Ficha!$B$3,COUNTIF($A$5:$A1776,Ficha!$B$3),"")</f>
        <v/>
      </c>
    </row>
    <row r="1777" spans="2:13" x14ac:dyDescent="0.3">
      <c r="B1777" s="30" t="str">
        <f>IF(A1777="","",IFERROR(INDEX(Maniobras!$B$5:$B$504,MATCH(A1777,Maniobras!$A$5:$A$504,0)),""))</f>
        <v/>
      </c>
      <c r="C1777" t="str">
        <f t="shared" si="54"/>
        <v/>
      </c>
      <c r="D1777" t="str">
        <f>IF(A1777="","",IFERROR(INDEX(Maniobras!$D$5:$D$504,MATCH(A1777,Maniobras!$A$5:$A$504,0)),""))</f>
        <v/>
      </c>
      <c r="F1777" s="29" t="str">
        <f>IF(A1777="","",IFERROR(INDEX(Maniobras!$K$5:$K$504,MATCH(A1777,Maniobras!$A$5:$A$504,0)),""))</f>
        <v/>
      </c>
      <c r="G1777" s="29"/>
      <c r="H1777" s="29"/>
      <c r="I1777" s="29" t="str">
        <f t="shared" si="55"/>
        <v/>
      </c>
      <c r="K1777" s="30"/>
      <c r="M1777" t="str">
        <f>IF($A1777=Ficha!$B$3,COUNTIF($A$5:$A1777,Ficha!$B$3),"")</f>
        <v/>
      </c>
    </row>
    <row r="1778" spans="2:13" x14ac:dyDescent="0.3">
      <c r="B1778" s="30" t="str">
        <f>IF(A1778="","",IFERROR(INDEX(Maniobras!$B$5:$B$504,MATCH(A1778,Maniobras!$A$5:$A$504,0)),""))</f>
        <v/>
      </c>
      <c r="C1778" t="str">
        <f t="shared" si="54"/>
        <v/>
      </c>
      <c r="D1778" t="str">
        <f>IF(A1778="","",IFERROR(INDEX(Maniobras!$D$5:$D$504,MATCH(A1778,Maniobras!$A$5:$A$504,0)),""))</f>
        <v/>
      </c>
      <c r="F1778" s="29" t="str">
        <f>IF(A1778="","",IFERROR(INDEX(Maniobras!$K$5:$K$504,MATCH(A1778,Maniobras!$A$5:$A$504,0)),""))</f>
        <v/>
      </c>
      <c r="G1778" s="29"/>
      <c r="H1778" s="29"/>
      <c r="I1778" s="29" t="str">
        <f t="shared" si="55"/>
        <v/>
      </c>
      <c r="K1778" s="30"/>
      <c r="M1778" t="str">
        <f>IF($A1778=Ficha!$B$3,COUNTIF($A$5:$A1778,Ficha!$B$3),"")</f>
        <v/>
      </c>
    </row>
    <row r="1779" spans="2:13" x14ac:dyDescent="0.3">
      <c r="B1779" s="30" t="str">
        <f>IF(A1779="","",IFERROR(INDEX(Maniobras!$B$5:$B$504,MATCH(A1779,Maniobras!$A$5:$A$504,0)),""))</f>
        <v/>
      </c>
      <c r="C1779" t="str">
        <f t="shared" si="54"/>
        <v/>
      </c>
      <c r="D1779" t="str">
        <f>IF(A1779="","",IFERROR(INDEX(Maniobras!$D$5:$D$504,MATCH(A1779,Maniobras!$A$5:$A$504,0)),""))</f>
        <v/>
      </c>
      <c r="F1779" s="29" t="str">
        <f>IF(A1779="","",IFERROR(INDEX(Maniobras!$K$5:$K$504,MATCH(A1779,Maniobras!$A$5:$A$504,0)),""))</f>
        <v/>
      </c>
      <c r="G1779" s="29"/>
      <c r="H1779" s="29"/>
      <c r="I1779" s="29" t="str">
        <f t="shared" si="55"/>
        <v/>
      </c>
      <c r="K1779" s="30"/>
      <c r="M1779" t="str">
        <f>IF($A1779=Ficha!$B$3,COUNTIF($A$5:$A1779,Ficha!$B$3),"")</f>
        <v/>
      </c>
    </row>
    <row r="1780" spans="2:13" x14ac:dyDescent="0.3">
      <c r="B1780" s="30" t="str">
        <f>IF(A1780="","",IFERROR(INDEX(Maniobras!$B$5:$B$504,MATCH(A1780,Maniobras!$A$5:$A$504,0)),""))</f>
        <v/>
      </c>
      <c r="C1780" t="str">
        <f t="shared" si="54"/>
        <v/>
      </c>
      <c r="D1780" t="str">
        <f>IF(A1780="","",IFERROR(INDEX(Maniobras!$D$5:$D$504,MATCH(A1780,Maniobras!$A$5:$A$504,0)),""))</f>
        <v/>
      </c>
      <c r="F1780" s="29" t="str">
        <f>IF(A1780="","",IFERROR(INDEX(Maniobras!$K$5:$K$504,MATCH(A1780,Maniobras!$A$5:$A$504,0)),""))</f>
        <v/>
      </c>
      <c r="G1780" s="29"/>
      <c r="H1780" s="29"/>
      <c r="I1780" s="29" t="str">
        <f t="shared" si="55"/>
        <v/>
      </c>
      <c r="K1780" s="30"/>
      <c r="M1780" t="str">
        <f>IF($A1780=Ficha!$B$3,COUNTIF($A$5:$A1780,Ficha!$B$3),"")</f>
        <v/>
      </c>
    </row>
    <row r="1781" spans="2:13" x14ac:dyDescent="0.3">
      <c r="B1781" s="30" t="str">
        <f>IF(A1781="","",IFERROR(INDEX(Maniobras!$B$5:$B$504,MATCH(A1781,Maniobras!$A$5:$A$504,0)),""))</f>
        <v/>
      </c>
      <c r="C1781" t="str">
        <f t="shared" si="54"/>
        <v/>
      </c>
      <c r="D1781" t="str">
        <f>IF(A1781="","",IFERROR(INDEX(Maniobras!$D$5:$D$504,MATCH(A1781,Maniobras!$A$5:$A$504,0)),""))</f>
        <v/>
      </c>
      <c r="F1781" s="29" t="str">
        <f>IF(A1781="","",IFERROR(INDEX(Maniobras!$K$5:$K$504,MATCH(A1781,Maniobras!$A$5:$A$504,0)),""))</f>
        <v/>
      </c>
      <c r="G1781" s="29"/>
      <c r="H1781" s="29"/>
      <c r="I1781" s="29" t="str">
        <f t="shared" si="55"/>
        <v/>
      </c>
      <c r="K1781" s="30"/>
      <c r="M1781" t="str">
        <f>IF($A1781=Ficha!$B$3,COUNTIF($A$5:$A1781,Ficha!$B$3),"")</f>
        <v/>
      </c>
    </row>
    <row r="1782" spans="2:13" x14ac:dyDescent="0.3">
      <c r="B1782" s="30" t="str">
        <f>IF(A1782="","",IFERROR(INDEX(Maniobras!$B$5:$B$504,MATCH(A1782,Maniobras!$A$5:$A$504,0)),""))</f>
        <v/>
      </c>
      <c r="C1782" t="str">
        <f t="shared" si="54"/>
        <v/>
      </c>
      <c r="D1782" t="str">
        <f>IF(A1782="","",IFERROR(INDEX(Maniobras!$D$5:$D$504,MATCH(A1782,Maniobras!$A$5:$A$504,0)),""))</f>
        <v/>
      </c>
      <c r="F1782" s="29" t="str">
        <f>IF(A1782="","",IFERROR(INDEX(Maniobras!$K$5:$K$504,MATCH(A1782,Maniobras!$A$5:$A$504,0)),""))</f>
        <v/>
      </c>
      <c r="G1782" s="29"/>
      <c r="H1782" s="29"/>
      <c r="I1782" s="29" t="str">
        <f t="shared" si="55"/>
        <v/>
      </c>
      <c r="K1782" s="30"/>
      <c r="M1782" t="str">
        <f>IF($A1782=Ficha!$B$3,COUNTIF($A$5:$A1782,Ficha!$B$3),"")</f>
        <v/>
      </c>
    </row>
    <row r="1783" spans="2:13" x14ac:dyDescent="0.3">
      <c r="B1783" s="30" t="str">
        <f>IF(A1783="","",IFERROR(INDEX(Maniobras!$B$5:$B$504,MATCH(A1783,Maniobras!$A$5:$A$504,0)),""))</f>
        <v/>
      </c>
      <c r="C1783" t="str">
        <f t="shared" si="54"/>
        <v/>
      </c>
      <c r="D1783" t="str">
        <f>IF(A1783="","",IFERROR(INDEX(Maniobras!$D$5:$D$504,MATCH(A1783,Maniobras!$A$5:$A$504,0)),""))</f>
        <v/>
      </c>
      <c r="F1783" s="29" t="str">
        <f>IF(A1783="","",IFERROR(INDEX(Maniobras!$K$5:$K$504,MATCH(A1783,Maniobras!$A$5:$A$504,0)),""))</f>
        <v/>
      </c>
      <c r="G1783" s="29"/>
      <c r="H1783" s="29"/>
      <c r="I1783" s="29" t="str">
        <f t="shared" si="55"/>
        <v/>
      </c>
      <c r="K1783" s="30"/>
      <c r="M1783" t="str">
        <f>IF($A1783=Ficha!$B$3,COUNTIF($A$5:$A1783,Ficha!$B$3),"")</f>
        <v/>
      </c>
    </row>
    <row r="1784" spans="2:13" x14ac:dyDescent="0.3">
      <c r="B1784" s="30" t="str">
        <f>IF(A1784="","",IFERROR(INDEX(Maniobras!$B$5:$B$504,MATCH(A1784,Maniobras!$A$5:$A$504,0)),""))</f>
        <v/>
      </c>
      <c r="C1784" t="str">
        <f t="shared" si="54"/>
        <v/>
      </c>
      <c r="D1784" t="str">
        <f>IF(A1784="","",IFERROR(INDEX(Maniobras!$D$5:$D$504,MATCH(A1784,Maniobras!$A$5:$A$504,0)),""))</f>
        <v/>
      </c>
      <c r="F1784" s="29" t="str">
        <f>IF(A1784="","",IFERROR(INDEX(Maniobras!$K$5:$K$504,MATCH(A1784,Maniobras!$A$5:$A$504,0)),""))</f>
        <v/>
      </c>
      <c r="G1784" s="29"/>
      <c r="H1784" s="29"/>
      <c r="I1784" s="29" t="str">
        <f t="shared" si="55"/>
        <v/>
      </c>
      <c r="K1784" s="30"/>
      <c r="M1784" t="str">
        <f>IF($A1784=Ficha!$B$3,COUNTIF($A$5:$A1784,Ficha!$B$3),"")</f>
        <v/>
      </c>
    </row>
    <row r="1785" spans="2:13" x14ac:dyDescent="0.3">
      <c r="B1785" s="30" t="str">
        <f>IF(A1785="","",IFERROR(INDEX(Maniobras!$B$5:$B$504,MATCH(A1785,Maniobras!$A$5:$A$504,0)),""))</f>
        <v/>
      </c>
      <c r="C1785" t="str">
        <f t="shared" si="54"/>
        <v/>
      </c>
      <c r="D1785" t="str">
        <f>IF(A1785="","",IFERROR(INDEX(Maniobras!$D$5:$D$504,MATCH(A1785,Maniobras!$A$5:$A$504,0)),""))</f>
        <v/>
      </c>
      <c r="F1785" s="29" t="str">
        <f>IF(A1785="","",IFERROR(INDEX(Maniobras!$K$5:$K$504,MATCH(A1785,Maniobras!$A$5:$A$504,0)),""))</f>
        <v/>
      </c>
      <c r="G1785" s="29"/>
      <c r="H1785" s="29"/>
      <c r="I1785" s="29" t="str">
        <f t="shared" si="55"/>
        <v/>
      </c>
      <c r="K1785" s="30"/>
      <c r="M1785" t="str">
        <f>IF($A1785=Ficha!$B$3,COUNTIF($A$5:$A1785,Ficha!$B$3),"")</f>
        <v/>
      </c>
    </row>
    <row r="1786" spans="2:13" x14ac:dyDescent="0.3">
      <c r="B1786" s="30" t="str">
        <f>IF(A1786="","",IFERROR(INDEX(Maniobras!$B$5:$B$504,MATCH(A1786,Maniobras!$A$5:$A$504,0)),""))</f>
        <v/>
      </c>
      <c r="C1786" t="str">
        <f t="shared" si="54"/>
        <v/>
      </c>
      <c r="D1786" t="str">
        <f>IF(A1786="","",IFERROR(INDEX(Maniobras!$D$5:$D$504,MATCH(A1786,Maniobras!$A$5:$A$504,0)),""))</f>
        <v/>
      </c>
      <c r="F1786" s="29" t="str">
        <f>IF(A1786="","",IFERROR(INDEX(Maniobras!$K$5:$K$504,MATCH(A1786,Maniobras!$A$5:$A$504,0)),""))</f>
        <v/>
      </c>
      <c r="G1786" s="29"/>
      <c r="H1786" s="29"/>
      <c r="I1786" s="29" t="str">
        <f t="shared" si="55"/>
        <v/>
      </c>
      <c r="K1786" s="30"/>
      <c r="M1786" t="str">
        <f>IF($A1786=Ficha!$B$3,COUNTIF($A$5:$A1786,Ficha!$B$3),"")</f>
        <v/>
      </c>
    </row>
    <row r="1787" spans="2:13" x14ac:dyDescent="0.3">
      <c r="B1787" s="30" t="str">
        <f>IF(A1787="","",IFERROR(INDEX(Maniobras!$B$5:$B$504,MATCH(A1787,Maniobras!$A$5:$A$504,0)),""))</f>
        <v/>
      </c>
      <c r="C1787" t="str">
        <f t="shared" si="54"/>
        <v/>
      </c>
      <c r="D1787" t="str">
        <f>IF(A1787="","",IFERROR(INDEX(Maniobras!$D$5:$D$504,MATCH(A1787,Maniobras!$A$5:$A$504,0)),""))</f>
        <v/>
      </c>
      <c r="F1787" s="29" t="str">
        <f>IF(A1787="","",IFERROR(INDEX(Maniobras!$K$5:$K$504,MATCH(A1787,Maniobras!$A$5:$A$504,0)),""))</f>
        <v/>
      </c>
      <c r="G1787" s="29"/>
      <c r="H1787" s="29"/>
      <c r="I1787" s="29" t="str">
        <f t="shared" si="55"/>
        <v/>
      </c>
      <c r="K1787" s="30"/>
      <c r="M1787" t="str">
        <f>IF($A1787=Ficha!$B$3,COUNTIF($A$5:$A1787,Ficha!$B$3),"")</f>
        <v/>
      </c>
    </row>
    <row r="1788" spans="2:13" x14ac:dyDescent="0.3">
      <c r="B1788" s="30" t="str">
        <f>IF(A1788="","",IFERROR(INDEX(Maniobras!$B$5:$B$504,MATCH(A1788,Maniobras!$A$5:$A$504,0)),""))</f>
        <v/>
      </c>
      <c r="C1788" t="str">
        <f t="shared" si="54"/>
        <v/>
      </c>
      <c r="D1788" t="str">
        <f>IF(A1788="","",IFERROR(INDEX(Maniobras!$D$5:$D$504,MATCH(A1788,Maniobras!$A$5:$A$504,0)),""))</f>
        <v/>
      </c>
      <c r="F1788" s="29" t="str">
        <f>IF(A1788="","",IFERROR(INDEX(Maniobras!$K$5:$K$504,MATCH(A1788,Maniobras!$A$5:$A$504,0)),""))</f>
        <v/>
      </c>
      <c r="G1788" s="29"/>
      <c r="H1788" s="29"/>
      <c r="I1788" s="29" t="str">
        <f t="shared" si="55"/>
        <v/>
      </c>
      <c r="K1788" s="30"/>
      <c r="M1788" t="str">
        <f>IF($A1788=Ficha!$B$3,COUNTIF($A$5:$A1788,Ficha!$B$3),"")</f>
        <v/>
      </c>
    </row>
    <row r="1789" spans="2:13" x14ac:dyDescent="0.3">
      <c r="B1789" s="30" t="str">
        <f>IF(A1789="","",IFERROR(INDEX(Maniobras!$B$5:$B$504,MATCH(A1789,Maniobras!$A$5:$A$504,0)),""))</f>
        <v/>
      </c>
      <c r="C1789" t="str">
        <f t="shared" si="54"/>
        <v/>
      </c>
      <c r="D1789" t="str">
        <f>IF(A1789="","",IFERROR(INDEX(Maniobras!$D$5:$D$504,MATCH(A1789,Maniobras!$A$5:$A$504,0)),""))</f>
        <v/>
      </c>
      <c r="F1789" s="29" t="str">
        <f>IF(A1789="","",IFERROR(INDEX(Maniobras!$K$5:$K$504,MATCH(A1789,Maniobras!$A$5:$A$504,0)),""))</f>
        <v/>
      </c>
      <c r="G1789" s="29"/>
      <c r="H1789" s="29"/>
      <c r="I1789" s="29" t="str">
        <f t="shared" si="55"/>
        <v/>
      </c>
      <c r="K1789" s="30"/>
      <c r="M1789" t="str">
        <f>IF($A1789=Ficha!$B$3,COUNTIF($A$5:$A1789,Ficha!$B$3),"")</f>
        <v/>
      </c>
    </row>
    <row r="1790" spans="2:13" x14ac:dyDescent="0.3">
      <c r="B1790" s="30" t="str">
        <f>IF(A1790="","",IFERROR(INDEX(Maniobras!$B$5:$B$504,MATCH(A1790,Maniobras!$A$5:$A$504,0)),""))</f>
        <v/>
      </c>
      <c r="C1790" t="str">
        <f t="shared" si="54"/>
        <v/>
      </c>
      <c r="D1790" t="str">
        <f>IF(A1790="","",IFERROR(INDEX(Maniobras!$D$5:$D$504,MATCH(A1790,Maniobras!$A$5:$A$504,0)),""))</f>
        <v/>
      </c>
      <c r="F1790" s="29" t="str">
        <f>IF(A1790="","",IFERROR(INDEX(Maniobras!$K$5:$K$504,MATCH(A1790,Maniobras!$A$5:$A$504,0)),""))</f>
        <v/>
      </c>
      <c r="G1790" s="29"/>
      <c r="H1790" s="29"/>
      <c r="I1790" s="29" t="str">
        <f t="shared" si="55"/>
        <v/>
      </c>
      <c r="K1790" s="30"/>
      <c r="M1790" t="str">
        <f>IF($A1790=Ficha!$B$3,COUNTIF($A$5:$A1790,Ficha!$B$3),"")</f>
        <v/>
      </c>
    </row>
    <row r="1791" spans="2:13" x14ac:dyDescent="0.3">
      <c r="B1791" s="30" t="str">
        <f>IF(A1791="","",IFERROR(INDEX(Maniobras!$B$5:$B$504,MATCH(A1791,Maniobras!$A$5:$A$504,0)),""))</f>
        <v/>
      </c>
      <c r="C1791" t="str">
        <f t="shared" si="54"/>
        <v/>
      </c>
      <c r="D1791" t="str">
        <f>IF(A1791="","",IFERROR(INDEX(Maniobras!$D$5:$D$504,MATCH(A1791,Maniobras!$A$5:$A$504,0)),""))</f>
        <v/>
      </c>
      <c r="F1791" s="29" t="str">
        <f>IF(A1791="","",IFERROR(INDEX(Maniobras!$K$5:$K$504,MATCH(A1791,Maniobras!$A$5:$A$504,0)),""))</f>
        <v/>
      </c>
      <c r="G1791" s="29"/>
      <c r="H1791" s="29"/>
      <c r="I1791" s="29" t="str">
        <f t="shared" si="55"/>
        <v/>
      </c>
      <c r="K1791" s="30"/>
      <c r="M1791" t="str">
        <f>IF($A1791=Ficha!$B$3,COUNTIF($A$5:$A1791,Ficha!$B$3),"")</f>
        <v/>
      </c>
    </row>
    <row r="1792" spans="2:13" x14ac:dyDescent="0.3">
      <c r="B1792" s="30" t="str">
        <f>IF(A1792="","",IFERROR(INDEX(Maniobras!$B$5:$B$504,MATCH(A1792,Maniobras!$A$5:$A$504,0)),""))</f>
        <v/>
      </c>
      <c r="C1792" t="str">
        <f t="shared" si="54"/>
        <v/>
      </c>
      <c r="D1792" t="str">
        <f>IF(A1792="","",IFERROR(INDEX(Maniobras!$D$5:$D$504,MATCH(A1792,Maniobras!$A$5:$A$504,0)),""))</f>
        <v/>
      </c>
      <c r="F1792" s="29" t="str">
        <f>IF(A1792="","",IFERROR(INDEX(Maniobras!$K$5:$K$504,MATCH(A1792,Maniobras!$A$5:$A$504,0)),""))</f>
        <v/>
      </c>
      <c r="G1792" s="29"/>
      <c r="H1792" s="29"/>
      <c r="I1792" s="29" t="str">
        <f t="shared" si="55"/>
        <v/>
      </c>
      <c r="K1792" s="30"/>
      <c r="M1792" t="str">
        <f>IF($A1792=Ficha!$B$3,COUNTIF($A$5:$A1792,Ficha!$B$3),"")</f>
        <v/>
      </c>
    </row>
    <row r="1793" spans="2:13" x14ac:dyDescent="0.3">
      <c r="B1793" s="30" t="str">
        <f>IF(A1793="","",IFERROR(INDEX(Maniobras!$B$5:$B$504,MATCH(A1793,Maniobras!$A$5:$A$504,0)),""))</f>
        <v/>
      </c>
      <c r="C1793" t="str">
        <f t="shared" si="54"/>
        <v/>
      </c>
      <c r="D1793" t="str">
        <f>IF(A1793="","",IFERROR(INDEX(Maniobras!$D$5:$D$504,MATCH(A1793,Maniobras!$A$5:$A$504,0)),""))</f>
        <v/>
      </c>
      <c r="F1793" s="29" t="str">
        <f>IF(A1793="","",IFERROR(INDEX(Maniobras!$K$5:$K$504,MATCH(A1793,Maniobras!$A$5:$A$504,0)),""))</f>
        <v/>
      </c>
      <c r="G1793" s="29"/>
      <c r="H1793" s="29"/>
      <c r="I1793" s="29" t="str">
        <f t="shared" si="55"/>
        <v/>
      </c>
      <c r="K1793" s="30"/>
      <c r="M1793" t="str">
        <f>IF($A1793=Ficha!$B$3,COUNTIF($A$5:$A1793,Ficha!$B$3),"")</f>
        <v/>
      </c>
    </row>
    <row r="1794" spans="2:13" x14ac:dyDescent="0.3">
      <c r="B1794" s="30" t="str">
        <f>IF(A1794="","",IFERROR(INDEX(Maniobras!$B$5:$B$504,MATCH(A1794,Maniobras!$A$5:$A$504,0)),""))</f>
        <v/>
      </c>
      <c r="C1794" t="str">
        <f t="shared" si="54"/>
        <v/>
      </c>
      <c r="D1794" t="str">
        <f>IF(A1794="","",IFERROR(INDEX(Maniobras!$D$5:$D$504,MATCH(A1794,Maniobras!$A$5:$A$504,0)),""))</f>
        <v/>
      </c>
      <c r="F1794" s="29" t="str">
        <f>IF(A1794="","",IFERROR(INDEX(Maniobras!$K$5:$K$504,MATCH(A1794,Maniobras!$A$5:$A$504,0)),""))</f>
        <v/>
      </c>
      <c r="G1794" s="29"/>
      <c r="H1794" s="29"/>
      <c r="I1794" s="29" t="str">
        <f t="shared" si="55"/>
        <v/>
      </c>
      <c r="K1794" s="30"/>
      <c r="M1794" t="str">
        <f>IF($A1794=Ficha!$B$3,COUNTIF($A$5:$A1794,Ficha!$B$3),"")</f>
        <v/>
      </c>
    </row>
    <row r="1795" spans="2:13" x14ac:dyDescent="0.3">
      <c r="B1795" s="30" t="str">
        <f>IF(A1795="","",IFERROR(INDEX(Maniobras!$B$5:$B$504,MATCH(A1795,Maniobras!$A$5:$A$504,0)),""))</f>
        <v/>
      </c>
      <c r="C1795" t="str">
        <f t="shared" si="54"/>
        <v/>
      </c>
      <c r="D1795" t="str">
        <f>IF(A1795="","",IFERROR(INDEX(Maniobras!$D$5:$D$504,MATCH(A1795,Maniobras!$A$5:$A$504,0)),""))</f>
        <v/>
      </c>
      <c r="F1795" s="29" t="str">
        <f>IF(A1795="","",IFERROR(INDEX(Maniobras!$K$5:$K$504,MATCH(A1795,Maniobras!$A$5:$A$504,0)),""))</f>
        <v/>
      </c>
      <c r="G1795" s="29"/>
      <c r="H1795" s="29"/>
      <c r="I1795" s="29" t="str">
        <f t="shared" si="55"/>
        <v/>
      </c>
      <c r="K1795" s="30"/>
      <c r="M1795" t="str">
        <f>IF($A1795=Ficha!$B$3,COUNTIF($A$5:$A1795,Ficha!$B$3),"")</f>
        <v/>
      </c>
    </row>
    <row r="1796" spans="2:13" x14ac:dyDescent="0.3">
      <c r="B1796" s="30" t="str">
        <f>IF(A1796="","",IFERROR(INDEX(Maniobras!$B$5:$B$504,MATCH(A1796,Maniobras!$A$5:$A$504,0)),""))</f>
        <v/>
      </c>
      <c r="C1796" t="str">
        <f t="shared" si="54"/>
        <v/>
      </c>
      <c r="D1796" t="str">
        <f>IF(A1796="","",IFERROR(INDEX(Maniobras!$D$5:$D$504,MATCH(A1796,Maniobras!$A$5:$A$504,0)),""))</f>
        <v/>
      </c>
      <c r="F1796" s="29" t="str">
        <f>IF(A1796="","",IFERROR(INDEX(Maniobras!$K$5:$K$504,MATCH(A1796,Maniobras!$A$5:$A$504,0)),""))</f>
        <v/>
      </c>
      <c r="G1796" s="29"/>
      <c r="H1796" s="29"/>
      <c r="I1796" s="29" t="str">
        <f t="shared" si="55"/>
        <v/>
      </c>
      <c r="K1796" s="30"/>
      <c r="M1796" t="str">
        <f>IF($A1796=Ficha!$B$3,COUNTIF($A$5:$A1796,Ficha!$B$3),"")</f>
        <v/>
      </c>
    </row>
    <row r="1797" spans="2:13" x14ac:dyDescent="0.3">
      <c r="B1797" s="30" t="str">
        <f>IF(A1797="","",IFERROR(INDEX(Maniobras!$B$5:$B$504,MATCH(A1797,Maniobras!$A$5:$A$504,0)),""))</f>
        <v/>
      </c>
      <c r="C1797" t="str">
        <f t="shared" ref="C1797:C1860" si="56">IF(B1797="","",TEXT(B1797,"yyyy-mm"))</f>
        <v/>
      </c>
      <c r="D1797" t="str">
        <f>IF(A1797="","",IFERROR(INDEX(Maniobras!$D$5:$D$504,MATCH(A1797,Maniobras!$A$5:$A$504,0)),""))</f>
        <v/>
      </c>
      <c r="F1797" s="29" t="str">
        <f>IF(A1797="","",IFERROR(INDEX(Maniobras!$K$5:$K$504,MATCH(A1797,Maniobras!$A$5:$A$504,0)),""))</f>
        <v/>
      </c>
      <c r="G1797" s="29"/>
      <c r="H1797" s="29"/>
      <c r="I1797" s="29" t="str">
        <f t="shared" ref="I1797:I1860" si="57">IF(G1797="","",G1797+N(H1797))</f>
        <v/>
      </c>
      <c r="K1797" s="30"/>
      <c r="M1797" t="str">
        <f>IF($A1797=Ficha!$B$3,COUNTIF($A$5:$A1797,Ficha!$B$3),"")</f>
        <v/>
      </c>
    </row>
    <row r="1798" spans="2:13" x14ac:dyDescent="0.3">
      <c r="B1798" s="30" t="str">
        <f>IF(A1798="","",IFERROR(INDEX(Maniobras!$B$5:$B$504,MATCH(A1798,Maniobras!$A$5:$A$504,0)),""))</f>
        <v/>
      </c>
      <c r="C1798" t="str">
        <f t="shared" si="56"/>
        <v/>
      </c>
      <c r="D1798" t="str">
        <f>IF(A1798="","",IFERROR(INDEX(Maniobras!$D$5:$D$504,MATCH(A1798,Maniobras!$A$5:$A$504,0)),""))</f>
        <v/>
      </c>
      <c r="F1798" s="29" t="str">
        <f>IF(A1798="","",IFERROR(INDEX(Maniobras!$K$5:$K$504,MATCH(A1798,Maniobras!$A$5:$A$504,0)),""))</f>
        <v/>
      </c>
      <c r="G1798" s="29"/>
      <c r="H1798" s="29"/>
      <c r="I1798" s="29" t="str">
        <f t="shared" si="57"/>
        <v/>
      </c>
      <c r="K1798" s="30"/>
      <c r="M1798" t="str">
        <f>IF($A1798=Ficha!$B$3,COUNTIF($A$5:$A1798,Ficha!$B$3),"")</f>
        <v/>
      </c>
    </row>
    <row r="1799" spans="2:13" x14ac:dyDescent="0.3">
      <c r="B1799" s="30" t="str">
        <f>IF(A1799="","",IFERROR(INDEX(Maniobras!$B$5:$B$504,MATCH(A1799,Maniobras!$A$5:$A$504,0)),""))</f>
        <v/>
      </c>
      <c r="C1799" t="str">
        <f t="shared" si="56"/>
        <v/>
      </c>
      <c r="D1799" t="str">
        <f>IF(A1799="","",IFERROR(INDEX(Maniobras!$D$5:$D$504,MATCH(A1799,Maniobras!$A$5:$A$504,0)),""))</f>
        <v/>
      </c>
      <c r="F1799" s="29" t="str">
        <f>IF(A1799="","",IFERROR(INDEX(Maniobras!$K$5:$K$504,MATCH(A1799,Maniobras!$A$5:$A$504,0)),""))</f>
        <v/>
      </c>
      <c r="G1799" s="29"/>
      <c r="H1799" s="29"/>
      <c r="I1799" s="29" t="str">
        <f t="shared" si="57"/>
        <v/>
      </c>
      <c r="K1799" s="30"/>
      <c r="M1799" t="str">
        <f>IF($A1799=Ficha!$B$3,COUNTIF($A$5:$A1799,Ficha!$B$3),"")</f>
        <v/>
      </c>
    </row>
    <row r="1800" spans="2:13" x14ac:dyDescent="0.3">
      <c r="B1800" s="30" t="str">
        <f>IF(A1800="","",IFERROR(INDEX(Maniobras!$B$5:$B$504,MATCH(A1800,Maniobras!$A$5:$A$504,0)),""))</f>
        <v/>
      </c>
      <c r="C1800" t="str">
        <f t="shared" si="56"/>
        <v/>
      </c>
      <c r="D1800" t="str">
        <f>IF(A1800="","",IFERROR(INDEX(Maniobras!$D$5:$D$504,MATCH(A1800,Maniobras!$A$5:$A$504,0)),""))</f>
        <v/>
      </c>
      <c r="F1800" s="29" t="str">
        <f>IF(A1800="","",IFERROR(INDEX(Maniobras!$K$5:$K$504,MATCH(A1800,Maniobras!$A$5:$A$504,0)),""))</f>
        <v/>
      </c>
      <c r="G1800" s="29"/>
      <c r="H1800" s="29"/>
      <c r="I1800" s="29" t="str">
        <f t="shared" si="57"/>
        <v/>
      </c>
      <c r="K1800" s="30"/>
      <c r="M1800" t="str">
        <f>IF($A1800=Ficha!$B$3,COUNTIF($A$5:$A1800,Ficha!$B$3),"")</f>
        <v/>
      </c>
    </row>
    <row r="1801" spans="2:13" x14ac:dyDescent="0.3">
      <c r="B1801" s="30" t="str">
        <f>IF(A1801="","",IFERROR(INDEX(Maniobras!$B$5:$B$504,MATCH(A1801,Maniobras!$A$5:$A$504,0)),""))</f>
        <v/>
      </c>
      <c r="C1801" t="str">
        <f t="shared" si="56"/>
        <v/>
      </c>
      <c r="D1801" t="str">
        <f>IF(A1801="","",IFERROR(INDEX(Maniobras!$D$5:$D$504,MATCH(A1801,Maniobras!$A$5:$A$504,0)),""))</f>
        <v/>
      </c>
      <c r="F1801" s="29" t="str">
        <f>IF(A1801="","",IFERROR(INDEX(Maniobras!$K$5:$K$504,MATCH(A1801,Maniobras!$A$5:$A$504,0)),""))</f>
        <v/>
      </c>
      <c r="G1801" s="29"/>
      <c r="H1801" s="29"/>
      <c r="I1801" s="29" t="str">
        <f t="shared" si="57"/>
        <v/>
      </c>
      <c r="K1801" s="30"/>
      <c r="M1801" t="str">
        <f>IF($A1801=Ficha!$B$3,COUNTIF($A$5:$A1801,Ficha!$B$3),"")</f>
        <v/>
      </c>
    </row>
    <row r="1802" spans="2:13" x14ac:dyDescent="0.3">
      <c r="B1802" s="30" t="str">
        <f>IF(A1802="","",IFERROR(INDEX(Maniobras!$B$5:$B$504,MATCH(A1802,Maniobras!$A$5:$A$504,0)),""))</f>
        <v/>
      </c>
      <c r="C1802" t="str">
        <f t="shared" si="56"/>
        <v/>
      </c>
      <c r="D1802" t="str">
        <f>IF(A1802="","",IFERROR(INDEX(Maniobras!$D$5:$D$504,MATCH(A1802,Maniobras!$A$5:$A$504,0)),""))</f>
        <v/>
      </c>
      <c r="F1802" s="29" t="str">
        <f>IF(A1802="","",IFERROR(INDEX(Maniobras!$K$5:$K$504,MATCH(A1802,Maniobras!$A$5:$A$504,0)),""))</f>
        <v/>
      </c>
      <c r="G1802" s="29"/>
      <c r="H1802" s="29"/>
      <c r="I1802" s="29" t="str">
        <f t="shared" si="57"/>
        <v/>
      </c>
      <c r="K1802" s="30"/>
      <c r="M1802" t="str">
        <f>IF($A1802=Ficha!$B$3,COUNTIF($A$5:$A1802,Ficha!$B$3),"")</f>
        <v/>
      </c>
    </row>
    <row r="1803" spans="2:13" x14ac:dyDescent="0.3">
      <c r="B1803" s="30" t="str">
        <f>IF(A1803="","",IFERROR(INDEX(Maniobras!$B$5:$B$504,MATCH(A1803,Maniobras!$A$5:$A$504,0)),""))</f>
        <v/>
      </c>
      <c r="C1803" t="str">
        <f t="shared" si="56"/>
        <v/>
      </c>
      <c r="D1803" t="str">
        <f>IF(A1803="","",IFERROR(INDEX(Maniobras!$D$5:$D$504,MATCH(A1803,Maniobras!$A$5:$A$504,0)),""))</f>
        <v/>
      </c>
      <c r="F1803" s="29" t="str">
        <f>IF(A1803="","",IFERROR(INDEX(Maniobras!$K$5:$K$504,MATCH(A1803,Maniobras!$A$5:$A$504,0)),""))</f>
        <v/>
      </c>
      <c r="G1803" s="29"/>
      <c r="H1803" s="29"/>
      <c r="I1803" s="29" t="str">
        <f t="shared" si="57"/>
        <v/>
      </c>
      <c r="K1803" s="30"/>
      <c r="M1803" t="str">
        <f>IF($A1803=Ficha!$B$3,COUNTIF($A$5:$A1803,Ficha!$B$3),"")</f>
        <v/>
      </c>
    </row>
    <row r="1804" spans="2:13" x14ac:dyDescent="0.3">
      <c r="B1804" s="30" t="str">
        <f>IF(A1804="","",IFERROR(INDEX(Maniobras!$B$5:$B$504,MATCH(A1804,Maniobras!$A$5:$A$504,0)),""))</f>
        <v/>
      </c>
      <c r="C1804" t="str">
        <f t="shared" si="56"/>
        <v/>
      </c>
      <c r="D1804" t="str">
        <f>IF(A1804="","",IFERROR(INDEX(Maniobras!$D$5:$D$504,MATCH(A1804,Maniobras!$A$5:$A$504,0)),""))</f>
        <v/>
      </c>
      <c r="F1804" s="29" t="str">
        <f>IF(A1804="","",IFERROR(INDEX(Maniobras!$K$5:$K$504,MATCH(A1804,Maniobras!$A$5:$A$504,0)),""))</f>
        <v/>
      </c>
      <c r="G1804" s="29"/>
      <c r="H1804" s="29"/>
      <c r="I1804" s="29" t="str">
        <f t="shared" si="57"/>
        <v/>
      </c>
      <c r="K1804" s="30"/>
      <c r="M1804" t="str">
        <f>IF($A1804=Ficha!$B$3,COUNTIF($A$5:$A1804,Ficha!$B$3),"")</f>
        <v/>
      </c>
    </row>
    <row r="1805" spans="2:13" x14ac:dyDescent="0.3">
      <c r="B1805" s="30" t="str">
        <f>IF(A1805="","",IFERROR(INDEX(Maniobras!$B$5:$B$504,MATCH(A1805,Maniobras!$A$5:$A$504,0)),""))</f>
        <v/>
      </c>
      <c r="C1805" t="str">
        <f t="shared" si="56"/>
        <v/>
      </c>
      <c r="D1805" t="str">
        <f>IF(A1805="","",IFERROR(INDEX(Maniobras!$D$5:$D$504,MATCH(A1805,Maniobras!$A$5:$A$504,0)),""))</f>
        <v/>
      </c>
      <c r="F1805" s="29" t="str">
        <f>IF(A1805="","",IFERROR(INDEX(Maniobras!$K$5:$K$504,MATCH(A1805,Maniobras!$A$5:$A$504,0)),""))</f>
        <v/>
      </c>
      <c r="G1805" s="29"/>
      <c r="H1805" s="29"/>
      <c r="I1805" s="29" t="str">
        <f t="shared" si="57"/>
        <v/>
      </c>
      <c r="K1805" s="30"/>
      <c r="M1805" t="str">
        <f>IF($A1805=Ficha!$B$3,COUNTIF($A$5:$A1805,Ficha!$B$3),"")</f>
        <v/>
      </c>
    </row>
    <row r="1806" spans="2:13" x14ac:dyDescent="0.3">
      <c r="B1806" s="30" t="str">
        <f>IF(A1806="","",IFERROR(INDEX(Maniobras!$B$5:$B$504,MATCH(A1806,Maniobras!$A$5:$A$504,0)),""))</f>
        <v/>
      </c>
      <c r="C1806" t="str">
        <f t="shared" si="56"/>
        <v/>
      </c>
      <c r="D1806" t="str">
        <f>IF(A1806="","",IFERROR(INDEX(Maniobras!$D$5:$D$504,MATCH(A1806,Maniobras!$A$5:$A$504,0)),""))</f>
        <v/>
      </c>
      <c r="F1806" s="29" t="str">
        <f>IF(A1806="","",IFERROR(INDEX(Maniobras!$K$5:$K$504,MATCH(A1806,Maniobras!$A$5:$A$504,0)),""))</f>
        <v/>
      </c>
      <c r="G1806" s="29"/>
      <c r="H1806" s="29"/>
      <c r="I1806" s="29" t="str">
        <f t="shared" si="57"/>
        <v/>
      </c>
      <c r="K1806" s="30"/>
      <c r="M1806" t="str">
        <f>IF($A1806=Ficha!$B$3,COUNTIF($A$5:$A1806,Ficha!$B$3),"")</f>
        <v/>
      </c>
    </row>
    <row r="1807" spans="2:13" x14ac:dyDescent="0.3">
      <c r="B1807" s="30" t="str">
        <f>IF(A1807="","",IFERROR(INDEX(Maniobras!$B$5:$B$504,MATCH(A1807,Maniobras!$A$5:$A$504,0)),""))</f>
        <v/>
      </c>
      <c r="C1807" t="str">
        <f t="shared" si="56"/>
        <v/>
      </c>
      <c r="D1807" t="str">
        <f>IF(A1807="","",IFERROR(INDEX(Maniobras!$D$5:$D$504,MATCH(A1807,Maniobras!$A$5:$A$504,0)),""))</f>
        <v/>
      </c>
      <c r="F1807" s="29" t="str">
        <f>IF(A1807="","",IFERROR(INDEX(Maniobras!$K$5:$K$504,MATCH(A1807,Maniobras!$A$5:$A$504,0)),""))</f>
        <v/>
      </c>
      <c r="G1807" s="29"/>
      <c r="H1807" s="29"/>
      <c r="I1807" s="29" t="str">
        <f t="shared" si="57"/>
        <v/>
      </c>
      <c r="K1807" s="30"/>
      <c r="M1807" t="str">
        <f>IF($A1807=Ficha!$B$3,COUNTIF($A$5:$A1807,Ficha!$B$3),"")</f>
        <v/>
      </c>
    </row>
    <row r="1808" spans="2:13" x14ac:dyDescent="0.3">
      <c r="B1808" s="30" t="str">
        <f>IF(A1808="","",IFERROR(INDEX(Maniobras!$B$5:$B$504,MATCH(A1808,Maniobras!$A$5:$A$504,0)),""))</f>
        <v/>
      </c>
      <c r="C1808" t="str">
        <f t="shared" si="56"/>
        <v/>
      </c>
      <c r="D1808" t="str">
        <f>IF(A1808="","",IFERROR(INDEX(Maniobras!$D$5:$D$504,MATCH(A1808,Maniobras!$A$5:$A$504,0)),""))</f>
        <v/>
      </c>
      <c r="F1808" s="29" t="str">
        <f>IF(A1808="","",IFERROR(INDEX(Maniobras!$K$5:$K$504,MATCH(A1808,Maniobras!$A$5:$A$504,0)),""))</f>
        <v/>
      </c>
      <c r="G1808" s="29"/>
      <c r="H1808" s="29"/>
      <c r="I1808" s="29" t="str">
        <f t="shared" si="57"/>
        <v/>
      </c>
      <c r="K1808" s="30"/>
      <c r="M1808" t="str">
        <f>IF($A1808=Ficha!$B$3,COUNTIF($A$5:$A1808,Ficha!$B$3),"")</f>
        <v/>
      </c>
    </row>
    <row r="1809" spans="2:13" x14ac:dyDescent="0.3">
      <c r="B1809" s="30" t="str">
        <f>IF(A1809="","",IFERROR(INDEX(Maniobras!$B$5:$B$504,MATCH(A1809,Maniobras!$A$5:$A$504,0)),""))</f>
        <v/>
      </c>
      <c r="C1809" t="str">
        <f t="shared" si="56"/>
        <v/>
      </c>
      <c r="D1809" t="str">
        <f>IF(A1809="","",IFERROR(INDEX(Maniobras!$D$5:$D$504,MATCH(A1809,Maniobras!$A$5:$A$504,0)),""))</f>
        <v/>
      </c>
      <c r="F1809" s="29" t="str">
        <f>IF(A1809="","",IFERROR(INDEX(Maniobras!$K$5:$K$504,MATCH(A1809,Maniobras!$A$5:$A$504,0)),""))</f>
        <v/>
      </c>
      <c r="G1809" s="29"/>
      <c r="H1809" s="29"/>
      <c r="I1809" s="29" t="str">
        <f t="shared" si="57"/>
        <v/>
      </c>
      <c r="K1809" s="30"/>
      <c r="M1809" t="str">
        <f>IF($A1809=Ficha!$B$3,COUNTIF($A$5:$A1809,Ficha!$B$3),"")</f>
        <v/>
      </c>
    </row>
    <row r="1810" spans="2:13" x14ac:dyDescent="0.3">
      <c r="B1810" s="30" t="str">
        <f>IF(A1810="","",IFERROR(INDEX(Maniobras!$B$5:$B$504,MATCH(A1810,Maniobras!$A$5:$A$504,0)),""))</f>
        <v/>
      </c>
      <c r="C1810" t="str">
        <f t="shared" si="56"/>
        <v/>
      </c>
      <c r="D1810" t="str">
        <f>IF(A1810="","",IFERROR(INDEX(Maniobras!$D$5:$D$504,MATCH(A1810,Maniobras!$A$5:$A$504,0)),""))</f>
        <v/>
      </c>
      <c r="F1810" s="29" t="str">
        <f>IF(A1810="","",IFERROR(INDEX(Maniobras!$K$5:$K$504,MATCH(A1810,Maniobras!$A$5:$A$504,0)),""))</f>
        <v/>
      </c>
      <c r="G1810" s="29"/>
      <c r="H1810" s="29"/>
      <c r="I1810" s="29" t="str">
        <f t="shared" si="57"/>
        <v/>
      </c>
      <c r="K1810" s="30"/>
      <c r="M1810" t="str">
        <f>IF($A1810=Ficha!$B$3,COUNTIF($A$5:$A1810,Ficha!$B$3),"")</f>
        <v/>
      </c>
    </row>
    <row r="1811" spans="2:13" x14ac:dyDescent="0.3">
      <c r="B1811" s="30" t="str">
        <f>IF(A1811="","",IFERROR(INDEX(Maniobras!$B$5:$B$504,MATCH(A1811,Maniobras!$A$5:$A$504,0)),""))</f>
        <v/>
      </c>
      <c r="C1811" t="str">
        <f t="shared" si="56"/>
        <v/>
      </c>
      <c r="D1811" t="str">
        <f>IF(A1811="","",IFERROR(INDEX(Maniobras!$D$5:$D$504,MATCH(A1811,Maniobras!$A$5:$A$504,0)),""))</f>
        <v/>
      </c>
      <c r="F1811" s="29" t="str">
        <f>IF(A1811="","",IFERROR(INDEX(Maniobras!$K$5:$K$504,MATCH(A1811,Maniobras!$A$5:$A$504,0)),""))</f>
        <v/>
      </c>
      <c r="G1811" s="29"/>
      <c r="H1811" s="29"/>
      <c r="I1811" s="29" t="str">
        <f t="shared" si="57"/>
        <v/>
      </c>
      <c r="K1811" s="30"/>
      <c r="M1811" t="str">
        <f>IF($A1811=Ficha!$B$3,COUNTIF($A$5:$A1811,Ficha!$B$3),"")</f>
        <v/>
      </c>
    </row>
    <row r="1812" spans="2:13" x14ac:dyDescent="0.3">
      <c r="B1812" s="30" t="str">
        <f>IF(A1812="","",IFERROR(INDEX(Maniobras!$B$5:$B$504,MATCH(A1812,Maniobras!$A$5:$A$504,0)),""))</f>
        <v/>
      </c>
      <c r="C1812" t="str">
        <f t="shared" si="56"/>
        <v/>
      </c>
      <c r="D1812" t="str">
        <f>IF(A1812="","",IFERROR(INDEX(Maniobras!$D$5:$D$504,MATCH(A1812,Maniobras!$A$5:$A$504,0)),""))</f>
        <v/>
      </c>
      <c r="F1812" s="29" t="str">
        <f>IF(A1812="","",IFERROR(INDEX(Maniobras!$K$5:$K$504,MATCH(A1812,Maniobras!$A$5:$A$504,0)),""))</f>
        <v/>
      </c>
      <c r="G1812" s="29"/>
      <c r="H1812" s="29"/>
      <c r="I1812" s="29" t="str">
        <f t="shared" si="57"/>
        <v/>
      </c>
      <c r="K1812" s="30"/>
      <c r="M1812" t="str">
        <f>IF($A1812=Ficha!$B$3,COUNTIF($A$5:$A1812,Ficha!$B$3),"")</f>
        <v/>
      </c>
    </row>
    <row r="1813" spans="2:13" x14ac:dyDescent="0.3">
      <c r="B1813" s="30" t="str">
        <f>IF(A1813="","",IFERROR(INDEX(Maniobras!$B$5:$B$504,MATCH(A1813,Maniobras!$A$5:$A$504,0)),""))</f>
        <v/>
      </c>
      <c r="C1813" t="str">
        <f t="shared" si="56"/>
        <v/>
      </c>
      <c r="D1813" t="str">
        <f>IF(A1813="","",IFERROR(INDEX(Maniobras!$D$5:$D$504,MATCH(A1813,Maniobras!$A$5:$A$504,0)),""))</f>
        <v/>
      </c>
      <c r="F1813" s="29" t="str">
        <f>IF(A1813="","",IFERROR(INDEX(Maniobras!$K$5:$K$504,MATCH(A1813,Maniobras!$A$5:$A$504,0)),""))</f>
        <v/>
      </c>
      <c r="G1813" s="29"/>
      <c r="H1813" s="29"/>
      <c r="I1813" s="29" t="str">
        <f t="shared" si="57"/>
        <v/>
      </c>
      <c r="K1813" s="30"/>
      <c r="M1813" t="str">
        <f>IF($A1813=Ficha!$B$3,COUNTIF($A$5:$A1813,Ficha!$B$3),"")</f>
        <v/>
      </c>
    </row>
    <row r="1814" spans="2:13" x14ac:dyDescent="0.3">
      <c r="B1814" s="30" t="str">
        <f>IF(A1814="","",IFERROR(INDEX(Maniobras!$B$5:$B$504,MATCH(A1814,Maniobras!$A$5:$A$504,0)),""))</f>
        <v/>
      </c>
      <c r="C1814" t="str">
        <f t="shared" si="56"/>
        <v/>
      </c>
      <c r="D1814" t="str">
        <f>IF(A1814="","",IFERROR(INDEX(Maniobras!$D$5:$D$504,MATCH(A1814,Maniobras!$A$5:$A$504,0)),""))</f>
        <v/>
      </c>
      <c r="F1814" s="29" t="str">
        <f>IF(A1814="","",IFERROR(INDEX(Maniobras!$K$5:$K$504,MATCH(A1814,Maniobras!$A$5:$A$504,0)),""))</f>
        <v/>
      </c>
      <c r="G1814" s="29"/>
      <c r="H1814" s="29"/>
      <c r="I1814" s="29" t="str">
        <f t="shared" si="57"/>
        <v/>
      </c>
      <c r="K1814" s="30"/>
      <c r="M1814" t="str">
        <f>IF($A1814=Ficha!$B$3,COUNTIF($A$5:$A1814,Ficha!$B$3),"")</f>
        <v/>
      </c>
    </row>
    <row r="1815" spans="2:13" x14ac:dyDescent="0.3">
      <c r="B1815" s="30" t="str">
        <f>IF(A1815="","",IFERROR(INDEX(Maniobras!$B$5:$B$504,MATCH(A1815,Maniobras!$A$5:$A$504,0)),""))</f>
        <v/>
      </c>
      <c r="C1815" t="str">
        <f t="shared" si="56"/>
        <v/>
      </c>
      <c r="D1815" t="str">
        <f>IF(A1815="","",IFERROR(INDEX(Maniobras!$D$5:$D$504,MATCH(A1815,Maniobras!$A$5:$A$504,0)),""))</f>
        <v/>
      </c>
      <c r="F1815" s="29" t="str">
        <f>IF(A1815="","",IFERROR(INDEX(Maniobras!$K$5:$K$504,MATCH(A1815,Maniobras!$A$5:$A$504,0)),""))</f>
        <v/>
      </c>
      <c r="G1815" s="29"/>
      <c r="H1815" s="29"/>
      <c r="I1815" s="29" t="str">
        <f t="shared" si="57"/>
        <v/>
      </c>
      <c r="K1815" s="30"/>
      <c r="M1815" t="str">
        <f>IF($A1815=Ficha!$B$3,COUNTIF($A$5:$A1815,Ficha!$B$3),"")</f>
        <v/>
      </c>
    </row>
    <row r="1816" spans="2:13" x14ac:dyDescent="0.3">
      <c r="B1816" s="30" t="str">
        <f>IF(A1816="","",IFERROR(INDEX(Maniobras!$B$5:$B$504,MATCH(A1816,Maniobras!$A$5:$A$504,0)),""))</f>
        <v/>
      </c>
      <c r="C1816" t="str">
        <f t="shared" si="56"/>
        <v/>
      </c>
      <c r="D1816" t="str">
        <f>IF(A1816="","",IFERROR(INDEX(Maniobras!$D$5:$D$504,MATCH(A1816,Maniobras!$A$5:$A$504,0)),""))</f>
        <v/>
      </c>
      <c r="F1816" s="29" t="str">
        <f>IF(A1816="","",IFERROR(INDEX(Maniobras!$K$5:$K$504,MATCH(A1816,Maniobras!$A$5:$A$504,0)),""))</f>
        <v/>
      </c>
      <c r="G1816" s="29"/>
      <c r="H1816" s="29"/>
      <c r="I1816" s="29" t="str">
        <f t="shared" si="57"/>
        <v/>
      </c>
      <c r="K1816" s="30"/>
      <c r="M1816" t="str">
        <f>IF($A1816=Ficha!$B$3,COUNTIF($A$5:$A1816,Ficha!$B$3),"")</f>
        <v/>
      </c>
    </row>
    <row r="1817" spans="2:13" x14ac:dyDescent="0.3">
      <c r="B1817" s="30" t="str">
        <f>IF(A1817="","",IFERROR(INDEX(Maniobras!$B$5:$B$504,MATCH(A1817,Maniobras!$A$5:$A$504,0)),""))</f>
        <v/>
      </c>
      <c r="C1817" t="str">
        <f t="shared" si="56"/>
        <v/>
      </c>
      <c r="D1817" t="str">
        <f>IF(A1817="","",IFERROR(INDEX(Maniobras!$D$5:$D$504,MATCH(A1817,Maniobras!$A$5:$A$504,0)),""))</f>
        <v/>
      </c>
      <c r="F1817" s="29" t="str">
        <f>IF(A1817="","",IFERROR(INDEX(Maniobras!$K$5:$K$504,MATCH(A1817,Maniobras!$A$5:$A$504,0)),""))</f>
        <v/>
      </c>
      <c r="G1817" s="29"/>
      <c r="H1817" s="29"/>
      <c r="I1817" s="29" t="str">
        <f t="shared" si="57"/>
        <v/>
      </c>
      <c r="K1817" s="30"/>
      <c r="M1817" t="str">
        <f>IF($A1817=Ficha!$B$3,COUNTIF($A$5:$A1817,Ficha!$B$3),"")</f>
        <v/>
      </c>
    </row>
    <row r="1818" spans="2:13" x14ac:dyDescent="0.3">
      <c r="B1818" s="30" t="str">
        <f>IF(A1818="","",IFERROR(INDEX(Maniobras!$B$5:$B$504,MATCH(A1818,Maniobras!$A$5:$A$504,0)),""))</f>
        <v/>
      </c>
      <c r="C1818" t="str">
        <f t="shared" si="56"/>
        <v/>
      </c>
      <c r="D1818" t="str">
        <f>IF(A1818="","",IFERROR(INDEX(Maniobras!$D$5:$D$504,MATCH(A1818,Maniobras!$A$5:$A$504,0)),""))</f>
        <v/>
      </c>
      <c r="F1818" s="29" t="str">
        <f>IF(A1818="","",IFERROR(INDEX(Maniobras!$K$5:$K$504,MATCH(A1818,Maniobras!$A$5:$A$504,0)),""))</f>
        <v/>
      </c>
      <c r="G1818" s="29"/>
      <c r="H1818" s="29"/>
      <c r="I1818" s="29" t="str">
        <f t="shared" si="57"/>
        <v/>
      </c>
      <c r="K1818" s="30"/>
      <c r="M1818" t="str">
        <f>IF($A1818=Ficha!$B$3,COUNTIF($A$5:$A1818,Ficha!$B$3),"")</f>
        <v/>
      </c>
    </row>
    <row r="1819" spans="2:13" x14ac:dyDescent="0.3">
      <c r="B1819" s="30" t="str">
        <f>IF(A1819="","",IFERROR(INDEX(Maniobras!$B$5:$B$504,MATCH(A1819,Maniobras!$A$5:$A$504,0)),""))</f>
        <v/>
      </c>
      <c r="C1819" t="str">
        <f t="shared" si="56"/>
        <v/>
      </c>
      <c r="D1819" t="str">
        <f>IF(A1819="","",IFERROR(INDEX(Maniobras!$D$5:$D$504,MATCH(A1819,Maniobras!$A$5:$A$504,0)),""))</f>
        <v/>
      </c>
      <c r="F1819" s="29" t="str">
        <f>IF(A1819="","",IFERROR(INDEX(Maniobras!$K$5:$K$504,MATCH(A1819,Maniobras!$A$5:$A$504,0)),""))</f>
        <v/>
      </c>
      <c r="G1819" s="29"/>
      <c r="H1819" s="29"/>
      <c r="I1819" s="29" t="str">
        <f t="shared" si="57"/>
        <v/>
      </c>
      <c r="K1819" s="30"/>
      <c r="M1819" t="str">
        <f>IF($A1819=Ficha!$B$3,COUNTIF($A$5:$A1819,Ficha!$B$3),"")</f>
        <v/>
      </c>
    </row>
    <row r="1820" spans="2:13" x14ac:dyDescent="0.3">
      <c r="B1820" s="30" t="str">
        <f>IF(A1820="","",IFERROR(INDEX(Maniobras!$B$5:$B$504,MATCH(A1820,Maniobras!$A$5:$A$504,0)),""))</f>
        <v/>
      </c>
      <c r="C1820" t="str">
        <f t="shared" si="56"/>
        <v/>
      </c>
      <c r="D1820" t="str">
        <f>IF(A1820="","",IFERROR(INDEX(Maniobras!$D$5:$D$504,MATCH(A1820,Maniobras!$A$5:$A$504,0)),""))</f>
        <v/>
      </c>
      <c r="F1820" s="29" t="str">
        <f>IF(A1820="","",IFERROR(INDEX(Maniobras!$K$5:$K$504,MATCH(A1820,Maniobras!$A$5:$A$504,0)),""))</f>
        <v/>
      </c>
      <c r="G1820" s="29"/>
      <c r="H1820" s="29"/>
      <c r="I1820" s="29" t="str">
        <f t="shared" si="57"/>
        <v/>
      </c>
      <c r="K1820" s="30"/>
      <c r="M1820" t="str">
        <f>IF($A1820=Ficha!$B$3,COUNTIF($A$5:$A1820,Ficha!$B$3),"")</f>
        <v/>
      </c>
    </row>
    <row r="1821" spans="2:13" x14ac:dyDescent="0.3">
      <c r="B1821" s="30" t="str">
        <f>IF(A1821="","",IFERROR(INDEX(Maniobras!$B$5:$B$504,MATCH(A1821,Maniobras!$A$5:$A$504,0)),""))</f>
        <v/>
      </c>
      <c r="C1821" t="str">
        <f t="shared" si="56"/>
        <v/>
      </c>
      <c r="D1821" t="str">
        <f>IF(A1821="","",IFERROR(INDEX(Maniobras!$D$5:$D$504,MATCH(A1821,Maniobras!$A$5:$A$504,0)),""))</f>
        <v/>
      </c>
      <c r="F1821" s="29" t="str">
        <f>IF(A1821="","",IFERROR(INDEX(Maniobras!$K$5:$K$504,MATCH(A1821,Maniobras!$A$5:$A$504,0)),""))</f>
        <v/>
      </c>
      <c r="G1821" s="29"/>
      <c r="H1821" s="29"/>
      <c r="I1821" s="29" t="str">
        <f t="shared" si="57"/>
        <v/>
      </c>
      <c r="K1821" s="30"/>
      <c r="M1821" t="str">
        <f>IF($A1821=Ficha!$B$3,COUNTIF($A$5:$A1821,Ficha!$B$3),"")</f>
        <v/>
      </c>
    </row>
    <row r="1822" spans="2:13" x14ac:dyDescent="0.3">
      <c r="B1822" s="30" t="str">
        <f>IF(A1822="","",IFERROR(INDEX(Maniobras!$B$5:$B$504,MATCH(A1822,Maniobras!$A$5:$A$504,0)),""))</f>
        <v/>
      </c>
      <c r="C1822" t="str">
        <f t="shared" si="56"/>
        <v/>
      </c>
      <c r="D1822" t="str">
        <f>IF(A1822="","",IFERROR(INDEX(Maniobras!$D$5:$D$504,MATCH(A1822,Maniobras!$A$5:$A$504,0)),""))</f>
        <v/>
      </c>
      <c r="F1822" s="29" t="str">
        <f>IF(A1822="","",IFERROR(INDEX(Maniobras!$K$5:$K$504,MATCH(A1822,Maniobras!$A$5:$A$504,0)),""))</f>
        <v/>
      </c>
      <c r="G1822" s="29"/>
      <c r="H1822" s="29"/>
      <c r="I1822" s="29" t="str">
        <f t="shared" si="57"/>
        <v/>
      </c>
      <c r="K1822" s="30"/>
      <c r="M1822" t="str">
        <f>IF($A1822=Ficha!$B$3,COUNTIF($A$5:$A1822,Ficha!$B$3),"")</f>
        <v/>
      </c>
    </row>
    <row r="1823" spans="2:13" x14ac:dyDescent="0.3">
      <c r="B1823" s="30" t="str">
        <f>IF(A1823="","",IFERROR(INDEX(Maniobras!$B$5:$B$504,MATCH(A1823,Maniobras!$A$5:$A$504,0)),""))</f>
        <v/>
      </c>
      <c r="C1823" t="str">
        <f t="shared" si="56"/>
        <v/>
      </c>
      <c r="D1823" t="str">
        <f>IF(A1823="","",IFERROR(INDEX(Maniobras!$D$5:$D$504,MATCH(A1823,Maniobras!$A$5:$A$504,0)),""))</f>
        <v/>
      </c>
      <c r="F1823" s="29" t="str">
        <f>IF(A1823="","",IFERROR(INDEX(Maniobras!$K$5:$K$504,MATCH(A1823,Maniobras!$A$5:$A$504,0)),""))</f>
        <v/>
      </c>
      <c r="G1823" s="29"/>
      <c r="H1823" s="29"/>
      <c r="I1823" s="29" t="str">
        <f t="shared" si="57"/>
        <v/>
      </c>
      <c r="K1823" s="30"/>
      <c r="M1823" t="str">
        <f>IF($A1823=Ficha!$B$3,COUNTIF($A$5:$A1823,Ficha!$B$3),"")</f>
        <v/>
      </c>
    </row>
    <row r="1824" spans="2:13" x14ac:dyDescent="0.3">
      <c r="B1824" s="30" t="str">
        <f>IF(A1824="","",IFERROR(INDEX(Maniobras!$B$5:$B$504,MATCH(A1824,Maniobras!$A$5:$A$504,0)),""))</f>
        <v/>
      </c>
      <c r="C1824" t="str">
        <f t="shared" si="56"/>
        <v/>
      </c>
      <c r="D1824" t="str">
        <f>IF(A1824="","",IFERROR(INDEX(Maniobras!$D$5:$D$504,MATCH(A1824,Maniobras!$A$5:$A$504,0)),""))</f>
        <v/>
      </c>
      <c r="F1824" s="29" t="str">
        <f>IF(A1824="","",IFERROR(INDEX(Maniobras!$K$5:$K$504,MATCH(A1824,Maniobras!$A$5:$A$504,0)),""))</f>
        <v/>
      </c>
      <c r="G1824" s="29"/>
      <c r="H1824" s="29"/>
      <c r="I1824" s="29" t="str">
        <f t="shared" si="57"/>
        <v/>
      </c>
      <c r="K1824" s="30"/>
      <c r="M1824" t="str">
        <f>IF($A1824=Ficha!$B$3,COUNTIF($A$5:$A1824,Ficha!$B$3),"")</f>
        <v/>
      </c>
    </row>
    <row r="1825" spans="2:13" x14ac:dyDescent="0.3">
      <c r="B1825" s="30" t="str">
        <f>IF(A1825="","",IFERROR(INDEX(Maniobras!$B$5:$B$504,MATCH(A1825,Maniobras!$A$5:$A$504,0)),""))</f>
        <v/>
      </c>
      <c r="C1825" t="str">
        <f t="shared" si="56"/>
        <v/>
      </c>
      <c r="D1825" t="str">
        <f>IF(A1825="","",IFERROR(INDEX(Maniobras!$D$5:$D$504,MATCH(A1825,Maniobras!$A$5:$A$504,0)),""))</f>
        <v/>
      </c>
      <c r="F1825" s="29" t="str">
        <f>IF(A1825="","",IFERROR(INDEX(Maniobras!$K$5:$K$504,MATCH(A1825,Maniobras!$A$5:$A$504,0)),""))</f>
        <v/>
      </c>
      <c r="G1825" s="29"/>
      <c r="H1825" s="29"/>
      <c r="I1825" s="29" t="str">
        <f t="shared" si="57"/>
        <v/>
      </c>
      <c r="K1825" s="30"/>
      <c r="M1825" t="str">
        <f>IF($A1825=Ficha!$B$3,COUNTIF($A$5:$A1825,Ficha!$B$3),"")</f>
        <v/>
      </c>
    </row>
    <row r="1826" spans="2:13" x14ac:dyDescent="0.3">
      <c r="B1826" s="30" t="str">
        <f>IF(A1826="","",IFERROR(INDEX(Maniobras!$B$5:$B$504,MATCH(A1826,Maniobras!$A$5:$A$504,0)),""))</f>
        <v/>
      </c>
      <c r="C1826" t="str">
        <f t="shared" si="56"/>
        <v/>
      </c>
      <c r="D1826" t="str">
        <f>IF(A1826="","",IFERROR(INDEX(Maniobras!$D$5:$D$504,MATCH(A1826,Maniobras!$A$5:$A$504,0)),""))</f>
        <v/>
      </c>
      <c r="F1826" s="29" t="str">
        <f>IF(A1826="","",IFERROR(INDEX(Maniobras!$K$5:$K$504,MATCH(A1826,Maniobras!$A$5:$A$504,0)),""))</f>
        <v/>
      </c>
      <c r="G1826" s="29"/>
      <c r="H1826" s="29"/>
      <c r="I1826" s="29" t="str">
        <f t="shared" si="57"/>
        <v/>
      </c>
      <c r="K1826" s="30"/>
      <c r="M1826" t="str">
        <f>IF($A1826=Ficha!$B$3,COUNTIF($A$5:$A1826,Ficha!$B$3),"")</f>
        <v/>
      </c>
    </row>
    <row r="1827" spans="2:13" x14ac:dyDescent="0.3">
      <c r="B1827" s="30" t="str">
        <f>IF(A1827="","",IFERROR(INDEX(Maniobras!$B$5:$B$504,MATCH(A1827,Maniobras!$A$5:$A$504,0)),""))</f>
        <v/>
      </c>
      <c r="C1827" t="str">
        <f t="shared" si="56"/>
        <v/>
      </c>
      <c r="D1827" t="str">
        <f>IF(A1827="","",IFERROR(INDEX(Maniobras!$D$5:$D$504,MATCH(A1827,Maniobras!$A$5:$A$504,0)),""))</f>
        <v/>
      </c>
      <c r="F1827" s="29" t="str">
        <f>IF(A1827="","",IFERROR(INDEX(Maniobras!$K$5:$K$504,MATCH(A1827,Maniobras!$A$5:$A$504,0)),""))</f>
        <v/>
      </c>
      <c r="G1827" s="29"/>
      <c r="H1827" s="29"/>
      <c r="I1827" s="29" t="str">
        <f t="shared" si="57"/>
        <v/>
      </c>
      <c r="K1827" s="30"/>
      <c r="M1827" t="str">
        <f>IF($A1827=Ficha!$B$3,COUNTIF($A$5:$A1827,Ficha!$B$3),"")</f>
        <v/>
      </c>
    </row>
    <row r="1828" spans="2:13" x14ac:dyDescent="0.3">
      <c r="B1828" s="30" t="str">
        <f>IF(A1828="","",IFERROR(INDEX(Maniobras!$B$5:$B$504,MATCH(A1828,Maniobras!$A$5:$A$504,0)),""))</f>
        <v/>
      </c>
      <c r="C1828" t="str">
        <f t="shared" si="56"/>
        <v/>
      </c>
      <c r="D1828" t="str">
        <f>IF(A1828="","",IFERROR(INDEX(Maniobras!$D$5:$D$504,MATCH(A1828,Maniobras!$A$5:$A$504,0)),""))</f>
        <v/>
      </c>
      <c r="F1828" s="29" t="str">
        <f>IF(A1828="","",IFERROR(INDEX(Maniobras!$K$5:$K$504,MATCH(A1828,Maniobras!$A$5:$A$504,0)),""))</f>
        <v/>
      </c>
      <c r="G1828" s="29"/>
      <c r="H1828" s="29"/>
      <c r="I1828" s="29" t="str">
        <f t="shared" si="57"/>
        <v/>
      </c>
      <c r="K1828" s="30"/>
      <c r="M1828" t="str">
        <f>IF($A1828=Ficha!$B$3,COUNTIF($A$5:$A1828,Ficha!$B$3),"")</f>
        <v/>
      </c>
    </row>
    <row r="1829" spans="2:13" x14ac:dyDescent="0.3">
      <c r="B1829" s="30" t="str">
        <f>IF(A1829="","",IFERROR(INDEX(Maniobras!$B$5:$B$504,MATCH(A1829,Maniobras!$A$5:$A$504,0)),""))</f>
        <v/>
      </c>
      <c r="C1829" t="str">
        <f t="shared" si="56"/>
        <v/>
      </c>
      <c r="D1829" t="str">
        <f>IF(A1829="","",IFERROR(INDEX(Maniobras!$D$5:$D$504,MATCH(A1829,Maniobras!$A$5:$A$504,0)),""))</f>
        <v/>
      </c>
      <c r="F1829" s="29" t="str">
        <f>IF(A1829="","",IFERROR(INDEX(Maniobras!$K$5:$K$504,MATCH(A1829,Maniobras!$A$5:$A$504,0)),""))</f>
        <v/>
      </c>
      <c r="G1829" s="29"/>
      <c r="H1829" s="29"/>
      <c r="I1829" s="29" t="str">
        <f t="shared" si="57"/>
        <v/>
      </c>
      <c r="K1829" s="30"/>
      <c r="M1829" t="str">
        <f>IF($A1829=Ficha!$B$3,COUNTIF($A$5:$A1829,Ficha!$B$3),"")</f>
        <v/>
      </c>
    </row>
    <row r="1830" spans="2:13" x14ac:dyDescent="0.3">
      <c r="B1830" s="30" t="str">
        <f>IF(A1830="","",IFERROR(INDEX(Maniobras!$B$5:$B$504,MATCH(A1830,Maniobras!$A$5:$A$504,0)),""))</f>
        <v/>
      </c>
      <c r="C1830" t="str">
        <f t="shared" si="56"/>
        <v/>
      </c>
      <c r="D1830" t="str">
        <f>IF(A1830="","",IFERROR(INDEX(Maniobras!$D$5:$D$504,MATCH(A1830,Maniobras!$A$5:$A$504,0)),""))</f>
        <v/>
      </c>
      <c r="F1830" s="29" t="str">
        <f>IF(A1830="","",IFERROR(INDEX(Maniobras!$K$5:$K$504,MATCH(A1830,Maniobras!$A$5:$A$504,0)),""))</f>
        <v/>
      </c>
      <c r="G1830" s="29"/>
      <c r="H1830" s="29"/>
      <c r="I1830" s="29" t="str">
        <f t="shared" si="57"/>
        <v/>
      </c>
      <c r="K1830" s="30"/>
      <c r="M1830" t="str">
        <f>IF($A1830=Ficha!$B$3,COUNTIF($A$5:$A1830,Ficha!$B$3),"")</f>
        <v/>
      </c>
    </row>
    <row r="1831" spans="2:13" x14ac:dyDescent="0.3">
      <c r="B1831" s="30" t="str">
        <f>IF(A1831="","",IFERROR(INDEX(Maniobras!$B$5:$B$504,MATCH(A1831,Maniobras!$A$5:$A$504,0)),""))</f>
        <v/>
      </c>
      <c r="C1831" t="str">
        <f t="shared" si="56"/>
        <v/>
      </c>
      <c r="D1831" t="str">
        <f>IF(A1831="","",IFERROR(INDEX(Maniobras!$D$5:$D$504,MATCH(A1831,Maniobras!$A$5:$A$504,0)),""))</f>
        <v/>
      </c>
      <c r="F1831" s="29" t="str">
        <f>IF(A1831="","",IFERROR(INDEX(Maniobras!$K$5:$K$504,MATCH(A1831,Maniobras!$A$5:$A$504,0)),""))</f>
        <v/>
      </c>
      <c r="G1831" s="29"/>
      <c r="H1831" s="29"/>
      <c r="I1831" s="29" t="str">
        <f t="shared" si="57"/>
        <v/>
      </c>
      <c r="K1831" s="30"/>
      <c r="M1831" t="str">
        <f>IF($A1831=Ficha!$B$3,COUNTIF($A$5:$A1831,Ficha!$B$3),"")</f>
        <v/>
      </c>
    </row>
    <row r="1832" spans="2:13" x14ac:dyDescent="0.3">
      <c r="B1832" s="30" t="str">
        <f>IF(A1832="","",IFERROR(INDEX(Maniobras!$B$5:$B$504,MATCH(A1832,Maniobras!$A$5:$A$504,0)),""))</f>
        <v/>
      </c>
      <c r="C1832" t="str">
        <f t="shared" si="56"/>
        <v/>
      </c>
      <c r="D1832" t="str">
        <f>IF(A1832="","",IFERROR(INDEX(Maniobras!$D$5:$D$504,MATCH(A1832,Maniobras!$A$5:$A$504,0)),""))</f>
        <v/>
      </c>
      <c r="F1832" s="29" t="str">
        <f>IF(A1832="","",IFERROR(INDEX(Maniobras!$K$5:$K$504,MATCH(A1832,Maniobras!$A$5:$A$504,0)),""))</f>
        <v/>
      </c>
      <c r="G1832" s="29"/>
      <c r="H1832" s="29"/>
      <c r="I1832" s="29" t="str">
        <f t="shared" si="57"/>
        <v/>
      </c>
      <c r="K1832" s="30"/>
      <c r="M1832" t="str">
        <f>IF($A1832=Ficha!$B$3,COUNTIF($A$5:$A1832,Ficha!$B$3),"")</f>
        <v/>
      </c>
    </row>
    <row r="1833" spans="2:13" x14ac:dyDescent="0.3">
      <c r="B1833" s="30" t="str">
        <f>IF(A1833="","",IFERROR(INDEX(Maniobras!$B$5:$B$504,MATCH(A1833,Maniobras!$A$5:$A$504,0)),""))</f>
        <v/>
      </c>
      <c r="C1833" t="str">
        <f t="shared" si="56"/>
        <v/>
      </c>
      <c r="D1833" t="str">
        <f>IF(A1833="","",IFERROR(INDEX(Maniobras!$D$5:$D$504,MATCH(A1833,Maniobras!$A$5:$A$504,0)),""))</f>
        <v/>
      </c>
      <c r="F1833" s="29" t="str">
        <f>IF(A1833="","",IFERROR(INDEX(Maniobras!$K$5:$K$504,MATCH(A1833,Maniobras!$A$5:$A$504,0)),""))</f>
        <v/>
      </c>
      <c r="G1833" s="29"/>
      <c r="H1833" s="29"/>
      <c r="I1833" s="29" t="str">
        <f t="shared" si="57"/>
        <v/>
      </c>
      <c r="K1833" s="30"/>
      <c r="M1833" t="str">
        <f>IF($A1833=Ficha!$B$3,COUNTIF($A$5:$A1833,Ficha!$B$3),"")</f>
        <v/>
      </c>
    </row>
    <row r="1834" spans="2:13" x14ac:dyDescent="0.3">
      <c r="B1834" s="30" t="str">
        <f>IF(A1834="","",IFERROR(INDEX(Maniobras!$B$5:$B$504,MATCH(A1834,Maniobras!$A$5:$A$504,0)),""))</f>
        <v/>
      </c>
      <c r="C1834" t="str">
        <f t="shared" si="56"/>
        <v/>
      </c>
      <c r="D1834" t="str">
        <f>IF(A1834="","",IFERROR(INDEX(Maniobras!$D$5:$D$504,MATCH(A1834,Maniobras!$A$5:$A$504,0)),""))</f>
        <v/>
      </c>
      <c r="F1834" s="29" t="str">
        <f>IF(A1834="","",IFERROR(INDEX(Maniobras!$K$5:$K$504,MATCH(A1834,Maniobras!$A$5:$A$504,0)),""))</f>
        <v/>
      </c>
      <c r="G1834" s="29"/>
      <c r="H1834" s="29"/>
      <c r="I1834" s="29" t="str">
        <f t="shared" si="57"/>
        <v/>
      </c>
      <c r="K1834" s="30"/>
      <c r="M1834" t="str">
        <f>IF($A1834=Ficha!$B$3,COUNTIF($A$5:$A1834,Ficha!$B$3),"")</f>
        <v/>
      </c>
    </row>
    <row r="1835" spans="2:13" x14ac:dyDescent="0.3">
      <c r="B1835" s="30" t="str">
        <f>IF(A1835="","",IFERROR(INDEX(Maniobras!$B$5:$B$504,MATCH(A1835,Maniobras!$A$5:$A$504,0)),""))</f>
        <v/>
      </c>
      <c r="C1835" t="str">
        <f t="shared" si="56"/>
        <v/>
      </c>
      <c r="D1835" t="str">
        <f>IF(A1835="","",IFERROR(INDEX(Maniobras!$D$5:$D$504,MATCH(A1835,Maniobras!$A$5:$A$504,0)),""))</f>
        <v/>
      </c>
      <c r="F1835" s="29" t="str">
        <f>IF(A1835="","",IFERROR(INDEX(Maniobras!$K$5:$K$504,MATCH(A1835,Maniobras!$A$5:$A$504,0)),""))</f>
        <v/>
      </c>
      <c r="G1835" s="29"/>
      <c r="H1835" s="29"/>
      <c r="I1835" s="29" t="str">
        <f t="shared" si="57"/>
        <v/>
      </c>
      <c r="K1835" s="30"/>
      <c r="M1835" t="str">
        <f>IF($A1835=Ficha!$B$3,COUNTIF($A$5:$A1835,Ficha!$B$3),"")</f>
        <v/>
      </c>
    </row>
    <row r="1836" spans="2:13" x14ac:dyDescent="0.3">
      <c r="B1836" s="30" t="str">
        <f>IF(A1836="","",IFERROR(INDEX(Maniobras!$B$5:$B$504,MATCH(A1836,Maniobras!$A$5:$A$504,0)),""))</f>
        <v/>
      </c>
      <c r="C1836" t="str">
        <f t="shared" si="56"/>
        <v/>
      </c>
      <c r="D1836" t="str">
        <f>IF(A1836="","",IFERROR(INDEX(Maniobras!$D$5:$D$504,MATCH(A1836,Maniobras!$A$5:$A$504,0)),""))</f>
        <v/>
      </c>
      <c r="F1836" s="29" t="str">
        <f>IF(A1836="","",IFERROR(INDEX(Maniobras!$K$5:$K$504,MATCH(A1836,Maniobras!$A$5:$A$504,0)),""))</f>
        <v/>
      </c>
      <c r="G1836" s="29"/>
      <c r="H1836" s="29"/>
      <c r="I1836" s="29" t="str">
        <f t="shared" si="57"/>
        <v/>
      </c>
      <c r="K1836" s="30"/>
      <c r="M1836" t="str">
        <f>IF($A1836=Ficha!$B$3,COUNTIF($A$5:$A1836,Ficha!$B$3),"")</f>
        <v/>
      </c>
    </row>
    <row r="1837" spans="2:13" x14ac:dyDescent="0.3">
      <c r="B1837" s="30" t="str">
        <f>IF(A1837="","",IFERROR(INDEX(Maniobras!$B$5:$B$504,MATCH(A1837,Maniobras!$A$5:$A$504,0)),""))</f>
        <v/>
      </c>
      <c r="C1837" t="str">
        <f t="shared" si="56"/>
        <v/>
      </c>
      <c r="D1837" t="str">
        <f>IF(A1837="","",IFERROR(INDEX(Maniobras!$D$5:$D$504,MATCH(A1837,Maniobras!$A$5:$A$504,0)),""))</f>
        <v/>
      </c>
      <c r="F1837" s="29" t="str">
        <f>IF(A1837="","",IFERROR(INDEX(Maniobras!$K$5:$K$504,MATCH(A1837,Maniobras!$A$5:$A$504,0)),""))</f>
        <v/>
      </c>
      <c r="G1837" s="29"/>
      <c r="H1837" s="29"/>
      <c r="I1837" s="29" t="str">
        <f t="shared" si="57"/>
        <v/>
      </c>
      <c r="K1837" s="30"/>
      <c r="M1837" t="str">
        <f>IF($A1837=Ficha!$B$3,COUNTIF($A$5:$A1837,Ficha!$B$3),"")</f>
        <v/>
      </c>
    </row>
    <row r="1838" spans="2:13" x14ac:dyDescent="0.3">
      <c r="B1838" s="30" t="str">
        <f>IF(A1838="","",IFERROR(INDEX(Maniobras!$B$5:$B$504,MATCH(A1838,Maniobras!$A$5:$A$504,0)),""))</f>
        <v/>
      </c>
      <c r="C1838" t="str">
        <f t="shared" si="56"/>
        <v/>
      </c>
      <c r="D1838" t="str">
        <f>IF(A1838="","",IFERROR(INDEX(Maniobras!$D$5:$D$504,MATCH(A1838,Maniobras!$A$5:$A$504,0)),""))</f>
        <v/>
      </c>
      <c r="F1838" s="29" t="str">
        <f>IF(A1838="","",IFERROR(INDEX(Maniobras!$K$5:$K$504,MATCH(A1838,Maniobras!$A$5:$A$504,0)),""))</f>
        <v/>
      </c>
      <c r="G1838" s="29"/>
      <c r="H1838" s="29"/>
      <c r="I1838" s="29" t="str">
        <f t="shared" si="57"/>
        <v/>
      </c>
      <c r="K1838" s="30"/>
      <c r="M1838" t="str">
        <f>IF($A1838=Ficha!$B$3,COUNTIF($A$5:$A1838,Ficha!$B$3),"")</f>
        <v/>
      </c>
    </row>
    <row r="1839" spans="2:13" x14ac:dyDescent="0.3">
      <c r="B1839" s="30" t="str">
        <f>IF(A1839="","",IFERROR(INDEX(Maniobras!$B$5:$B$504,MATCH(A1839,Maniobras!$A$5:$A$504,0)),""))</f>
        <v/>
      </c>
      <c r="C1839" t="str">
        <f t="shared" si="56"/>
        <v/>
      </c>
      <c r="D1839" t="str">
        <f>IF(A1839="","",IFERROR(INDEX(Maniobras!$D$5:$D$504,MATCH(A1839,Maniobras!$A$5:$A$504,0)),""))</f>
        <v/>
      </c>
      <c r="F1839" s="29" t="str">
        <f>IF(A1839="","",IFERROR(INDEX(Maniobras!$K$5:$K$504,MATCH(A1839,Maniobras!$A$5:$A$504,0)),""))</f>
        <v/>
      </c>
      <c r="G1839" s="29"/>
      <c r="H1839" s="29"/>
      <c r="I1839" s="29" t="str">
        <f t="shared" si="57"/>
        <v/>
      </c>
      <c r="K1839" s="30"/>
      <c r="M1839" t="str">
        <f>IF($A1839=Ficha!$B$3,COUNTIF($A$5:$A1839,Ficha!$B$3),"")</f>
        <v/>
      </c>
    </row>
    <row r="1840" spans="2:13" x14ac:dyDescent="0.3">
      <c r="B1840" s="30" t="str">
        <f>IF(A1840="","",IFERROR(INDEX(Maniobras!$B$5:$B$504,MATCH(A1840,Maniobras!$A$5:$A$504,0)),""))</f>
        <v/>
      </c>
      <c r="C1840" t="str">
        <f t="shared" si="56"/>
        <v/>
      </c>
      <c r="D1840" t="str">
        <f>IF(A1840="","",IFERROR(INDEX(Maniobras!$D$5:$D$504,MATCH(A1840,Maniobras!$A$5:$A$504,0)),""))</f>
        <v/>
      </c>
      <c r="F1840" s="29" t="str">
        <f>IF(A1840="","",IFERROR(INDEX(Maniobras!$K$5:$K$504,MATCH(A1840,Maniobras!$A$5:$A$504,0)),""))</f>
        <v/>
      </c>
      <c r="G1840" s="29"/>
      <c r="H1840" s="29"/>
      <c r="I1840" s="29" t="str">
        <f t="shared" si="57"/>
        <v/>
      </c>
      <c r="K1840" s="30"/>
      <c r="M1840" t="str">
        <f>IF($A1840=Ficha!$B$3,COUNTIF($A$5:$A1840,Ficha!$B$3),"")</f>
        <v/>
      </c>
    </row>
    <row r="1841" spans="2:13" x14ac:dyDescent="0.3">
      <c r="B1841" s="30" t="str">
        <f>IF(A1841="","",IFERROR(INDEX(Maniobras!$B$5:$B$504,MATCH(A1841,Maniobras!$A$5:$A$504,0)),""))</f>
        <v/>
      </c>
      <c r="C1841" t="str">
        <f t="shared" si="56"/>
        <v/>
      </c>
      <c r="D1841" t="str">
        <f>IF(A1841="","",IFERROR(INDEX(Maniobras!$D$5:$D$504,MATCH(A1841,Maniobras!$A$5:$A$504,0)),""))</f>
        <v/>
      </c>
      <c r="F1841" s="29" t="str">
        <f>IF(A1841="","",IFERROR(INDEX(Maniobras!$K$5:$K$504,MATCH(A1841,Maniobras!$A$5:$A$504,0)),""))</f>
        <v/>
      </c>
      <c r="G1841" s="29"/>
      <c r="H1841" s="29"/>
      <c r="I1841" s="29" t="str">
        <f t="shared" si="57"/>
        <v/>
      </c>
      <c r="K1841" s="30"/>
      <c r="M1841" t="str">
        <f>IF($A1841=Ficha!$B$3,COUNTIF($A$5:$A1841,Ficha!$B$3),"")</f>
        <v/>
      </c>
    </row>
    <row r="1842" spans="2:13" x14ac:dyDescent="0.3">
      <c r="B1842" s="30" t="str">
        <f>IF(A1842="","",IFERROR(INDEX(Maniobras!$B$5:$B$504,MATCH(A1842,Maniobras!$A$5:$A$504,0)),""))</f>
        <v/>
      </c>
      <c r="C1842" t="str">
        <f t="shared" si="56"/>
        <v/>
      </c>
      <c r="D1842" t="str">
        <f>IF(A1842="","",IFERROR(INDEX(Maniobras!$D$5:$D$504,MATCH(A1842,Maniobras!$A$5:$A$504,0)),""))</f>
        <v/>
      </c>
      <c r="F1842" s="29" t="str">
        <f>IF(A1842="","",IFERROR(INDEX(Maniobras!$K$5:$K$504,MATCH(A1842,Maniobras!$A$5:$A$504,0)),""))</f>
        <v/>
      </c>
      <c r="G1842" s="29"/>
      <c r="H1842" s="29"/>
      <c r="I1842" s="29" t="str">
        <f t="shared" si="57"/>
        <v/>
      </c>
      <c r="K1842" s="30"/>
      <c r="M1842" t="str">
        <f>IF($A1842=Ficha!$B$3,COUNTIF($A$5:$A1842,Ficha!$B$3),"")</f>
        <v/>
      </c>
    </row>
    <row r="1843" spans="2:13" x14ac:dyDescent="0.3">
      <c r="B1843" s="30" t="str">
        <f>IF(A1843="","",IFERROR(INDEX(Maniobras!$B$5:$B$504,MATCH(A1843,Maniobras!$A$5:$A$504,0)),""))</f>
        <v/>
      </c>
      <c r="C1843" t="str">
        <f t="shared" si="56"/>
        <v/>
      </c>
      <c r="D1843" t="str">
        <f>IF(A1843="","",IFERROR(INDEX(Maniobras!$D$5:$D$504,MATCH(A1843,Maniobras!$A$5:$A$504,0)),""))</f>
        <v/>
      </c>
      <c r="F1843" s="29" t="str">
        <f>IF(A1843="","",IFERROR(INDEX(Maniobras!$K$5:$K$504,MATCH(A1843,Maniobras!$A$5:$A$504,0)),""))</f>
        <v/>
      </c>
      <c r="G1843" s="29"/>
      <c r="H1843" s="29"/>
      <c r="I1843" s="29" t="str">
        <f t="shared" si="57"/>
        <v/>
      </c>
      <c r="K1843" s="30"/>
      <c r="M1843" t="str">
        <f>IF($A1843=Ficha!$B$3,COUNTIF($A$5:$A1843,Ficha!$B$3),"")</f>
        <v/>
      </c>
    </row>
    <row r="1844" spans="2:13" x14ac:dyDescent="0.3">
      <c r="B1844" s="30" t="str">
        <f>IF(A1844="","",IFERROR(INDEX(Maniobras!$B$5:$B$504,MATCH(A1844,Maniobras!$A$5:$A$504,0)),""))</f>
        <v/>
      </c>
      <c r="C1844" t="str">
        <f t="shared" si="56"/>
        <v/>
      </c>
      <c r="D1844" t="str">
        <f>IF(A1844="","",IFERROR(INDEX(Maniobras!$D$5:$D$504,MATCH(A1844,Maniobras!$A$5:$A$504,0)),""))</f>
        <v/>
      </c>
      <c r="F1844" s="29" t="str">
        <f>IF(A1844="","",IFERROR(INDEX(Maniobras!$K$5:$K$504,MATCH(A1844,Maniobras!$A$5:$A$504,0)),""))</f>
        <v/>
      </c>
      <c r="G1844" s="29"/>
      <c r="H1844" s="29"/>
      <c r="I1844" s="29" t="str">
        <f t="shared" si="57"/>
        <v/>
      </c>
      <c r="K1844" s="30"/>
      <c r="M1844" t="str">
        <f>IF($A1844=Ficha!$B$3,COUNTIF($A$5:$A1844,Ficha!$B$3),"")</f>
        <v/>
      </c>
    </row>
    <row r="1845" spans="2:13" x14ac:dyDescent="0.3">
      <c r="B1845" s="30" t="str">
        <f>IF(A1845="","",IFERROR(INDEX(Maniobras!$B$5:$B$504,MATCH(A1845,Maniobras!$A$5:$A$504,0)),""))</f>
        <v/>
      </c>
      <c r="C1845" t="str">
        <f t="shared" si="56"/>
        <v/>
      </c>
      <c r="D1845" t="str">
        <f>IF(A1845="","",IFERROR(INDEX(Maniobras!$D$5:$D$504,MATCH(A1845,Maniobras!$A$5:$A$504,0)),""))</f>
        <v/>
      </c>
      <c r="F1845" s="29" t="str">
        <f>IF(A1845="","",IFERROR(INDEX(Maniobras!$K$5:$K$504,MATCH(A1845,Maniobras!$A$5:$A$504,0)),""))</f>
        <v/>
      </c>
      <c r="G1845" s="29"/>
      <c r="H1845" s="29"/>
      <c r="I1845" s="29" t="str">
        <f t="shared" si="57"/>
        <v/>
      </c>
      <c r="K1845" s="30"/>
      <c r="M1845" t="str">
        <f>IF($A1845=Ficha!$B$3,COUNTIF($A$5:$A1845,Ficha!$B$3),"")</f>
        <v/>
      </c>
    </row>
    <row r="1846" spans="2:13" x14ac:dyDescent="0.3">
      <c r="B1846" s="30" t="str">
        <f>IF(A1846="","",IFERROR(INDEX(Maniobras!$B$5:$B$504,MATCH(A1846,Maniobras!$A$5:$A$504,0)),""))</f>
        <v/>
      </c>
      <c r="C1846" t="str">
        <f t="shared" si="56"/>
        <v/>
      </c>
      <c r="D1846" t="str">
        <f>IF(A1846="","",IFERROR(INDEX(Maniobras!$D$5:$D$504,MATCH(A1846,Maniobras!$A$5:$A$504,0)),""))</f>
        <v/>
      </c>
      <c r="F1846" s="29" t="str">
        <f>IF(A1846="","",IFERROR(INDEX(Maniobras!$K$5:$K$504,MATCH(A1846,Maniobras!$A$5:$A$504,0)),""))</f>
        <v/>
      </c>
      <c r="G1846" s="29"/>
      <c r="H1846" s="29"/>
      <c r="I1846" s="29" t="str">
        <f t="shared" si="57"/>
        <v/>
      </c>
      <c r="K1846" s="30"/>
      <c r="M1846" t="str">
        <f>IF($A1846=Ficha!$B$3,COUNTIF($A$5:$A1846,Ficha!$B$3),"")</f>
        <v/>
      </c>
    </row>
    <row r="1847" spans="2:13" x14ac:dyDescent="0.3">
      <c r="B1847" s="30" t="str">
        <f>IF(A1847="","",IFERROR(INDEX(Maniobras!$B$5:$B$504,MATCH(A1847,Maniobras!$A$5:$A$504,0)),""))</f>
        <v/>
      </c>
      <c r="C1847" t="str">
        <f t="shared" si="56"/>
        <v/>
      </c>
      <c r="D1847" t="str">
        <f>IF(A1847="","",IFERROR(INDEX(Maniobras!$D$5:$D$504,MATCH(A1847,Maniobras!$A$5:$A$504,0)),""))</f>
        <v/>
      </c>
      <c r="F1847" s="29" t="str">
        <f>IF(A1847="","",IFERROR(INDEX(Maniobras!$K$5:$K$504,MATCH(A1847,Maniobras!$A$5:$A$504,0)),""))</f>
        <v/>
      </c>
      <c r="G1847" s="29"/>
      <c r="H1847" s="29"/>
      <c r="I1847" s="29" t="str">
        <f t="shared" si="57"/>
        <v/>
      </c>
      <c r="K1847" s="30"/>
      <c r="M1847" t="str">
        <f>IF($A1847=Ficha!$B$3,COUNTIF($A$5:$A1847,Ficha!$B$3),"")</f>
        <v/>
      </c>
    </row>
    <row r="1848" spans="2:13" x14ac:dyDescent="0.3">
      <c r="B1848" s="30" t="str">
        <f>IF(A1848="","",IFERROR(INDEX(Maniobras!$B$5:$B$504,MATCH(A1848,Maniobras!$A$5:$A$504,0)),""))</f>
        <v/>
      </c>
      <c r="C1848" t="str">
        <f t="shared" si="56"/>
        <v/>
      </c>
      <c r="D1848" t="str">
        <f>IF(A1848="","",IFERROR(INDEX(Maniobras!$D$5:$D$504,MATCH(A1848,Maniobras!$A$5:$A$504,0)),""))</f>
        <v/>
      </c>
      <c r="F1848" s="29" t="str">
        <f>IF(A1848="","",IFERROR(INDEX(Maniobras!$K$5:$K$504,MATCH(A1848,Maniobras!$A$5:$A$504,0)),""))</f>
        <v/>
      </c>
      <c r="G1848" s="29"/>
      <c r="H1848" s="29"/>
      <c r="I1848" s="29" t="str">
        <f t="shared" si="57"/>
        <v/>
      </c>
      <c r="K1848" s="30"/>
      <c r="M1848" t="str">
        <f>IF($A1848=Ficha!$B$3,COUNTIF($A$5:$A1848,Ficha!$B$3),"")</f>
        <v/>
      </c>
    </row>
    <row r="1849" spans="2:13" x14ac:dyDescent="0.3">
      <c r="B1849" s="30" t="str">
        <f>IF(A1849="","",IFERROR(INDEX(Maniobras!$B$5:$B$504,MATCH(A1849,Maniobras!$A$5:$A$504,0)),""))</f>
        <v/>
      </c>
      <c r="C1849" t="str">
        <f t="shared" si="56"/>
        <v/>
      </c>
      <c r="D1849" t="str">
        <f>IF(A1849="","",IFERROR(INDEX(Maniobras!$D$5:$D$504,MATCH(A1849,Maniobras!$A$5:$A$504,0)),""))</f>
        <v/>
      </c>
      <c r="F1849" s="29" t="str">
        <f>IF(A1849="","",IFERROR(INDEX(Maniobras!$K$5:$K$504,MATCH(A1849,Maniobras!$A$5:$A$504,0)),""))</f>
        <v/>
      </c>
      <c r="G1849" s="29"/>
      <c r="H1849" s="29"/>
      <c r="I1849" s="29" t="str">
        <f t="shared" si="57"/>
        <v/>
      </c>
      <c r="K1849" s="30"/>
      <c r="M1849" t="str">
        <f>IF($A1849=Ficha!$B$3,COUNTIF($A$5:$A1849,Ficha!$B$3),"")</f>
        <v/>
      </c>
    </row>
    <row r="1850" spans="2:13" x14ac:dyDescent="0.3">
      <c r="B1850" s="30" t="str">
        <f>IF(A1850="","",IFERROR(INDEX(Maniobras!$B$5:$B$504,MATCH(A1850,Maniobras!$A$5:$A$504,0)),""))</f>
        <v/>
      </c>
      <c r="C1850" t="str">
        <f t="shared" si="56"/>
        <v/>
      </c>
      <c r="D1850" t="str">
        <f>IF(A1850="","",IFERROR(INDEX(Maniobras!$D$5:$D$504,MATCH(A1850,Maniobras!$A$5:$A$504,0)),""))</f>
        <v/>
      </c>
      <c r="F1850" s="29" t="str">
        <f>IF(A1850="","",IFERROR(INDEX(Maniobras!$K$5:$K$504,MATCH(A1850,Maniobras!$A$5:$A$504,0)),""))</f>
        <v/>
      </c>
      <c r="G1850" s="29"/>
      <c r="H1850" s="29"/>
      <c r="I1850" s="29" t="str">
        <f t="shared" si="57"/>
        <v/>
      </c>
      <c r="K1850" s="30"/>
      <c r="M1850" t="str">
        <f>IF($A1850=Ficha!$B$3,COUNTIF($A$5:$A1850,Ficha!$B$3),"")</f>
        <v/>
      </c>
    </row>
    <row r="1851" spans="2:13" x14ac:dyDescent="0.3">
      <c r="B1851" s="30" t="str">
        <f>IF(A1851="","",IFERROR(INDEX(Maniobras!$B$5:$B$504,MATCH(A1851,Maniobras!$A$5:$A$504,0)),""))</f>
        <v/>
      </c>
      <c r="C1851" t="str">
        <f t="shared" si="56"/>
        <v/>
      </c>
      <c r="D1851" t="str">
        <f>IF(A1851="","",IFERROR(INDEX(Maniobras!$D$5:$D$504,MATCH(A1851,Maniobras!$A$5:$A$504,0)),""))</f>
        <v/>
      </c>
      <c r="F1851" s="29" t="str">
        <f>IF(A1851="","",IFERROR(INDEX(Maniobras!$K$5:$K$504,MATCH(A1851,Maniobras!$A$5:$A$504,0)),""))</f>
        <v/>
      </c>
      <c r="G1851" s="29"/>
      <c r="H1851" s="29"/>
      <c r="I1851" s="29" t="str">
        <f t="shared" si="57"/>
        <v/>
      </c>
      <c r="K1851" s="30"/>
      <c r="M1851" t="str">
        <f>IF($A1851=Ficha!$B$3,COUNTIF($A$5:$A1851,Ficha!$B$3),"")</f>
        <v/>
      </c>
    </row>
    <row r="1852" spans="2:13" x14ac:dyDescent="0.3">
      <c r="B1852" s="30" t="str">
        <f>IF(A1852="","",IFERROR(INDEX(Maniobras!$B$5:$B$504,MATCH(A1852,Maniobras!$A$5:$A$504,0)),""))</f>
        <v/>
      </c>
      <c r="C1852" t="str">
        <f t="shared" si="56"/>
        <v/>
      </c>
      <c r="D1852" t="str">
        <f>IF(A1852="","",IFERROR(INDEX(Maniobras!$D$5:$D$504,MATCH(A1852,Maniobras!$A$5:$A$504,0)),""))</f>
        <v/>
      </c>
      <c r="F1852" s="29" t="str">
        <f>IF(A1852="","",IFERROR(INDEX(Maniobras!$K$5:$K$504,MATCH(A1852,Maniobras!$A$5:$A$504,0)),""))</f>
        <v/>
      </c>
      <c r="G1852" s="29"/>
      <c r="H1852" s="29"/>
      <c r="I1852" s="29" t="str">
        <f t="shared" si="57"/>
        <v/>
      </c>
      <c r="K1852" s="30"/>
      <c r="M1852" t="str">
        <f>IF($A1852=Ficha!$B$3,COUNTIF($A$5:$A1852,Ficha!$B$3),"")</f>
        <v/>
      </c>
    </row>
    <row r="1853" spans="2:13" x14ac:dyDescent="0.3">
      <c r="B1853" s="30" t="str">
        <f>IF(A1853="","",IFERROR(INDEX(Maniobras!$B$5:$B$504,MATCH(A1853,Maniobras!$A$5:$A$504,0)),""))</f>
        <v/>
      </c>
      <c r="C1853" t="str">
        <f t="shared" si="56"/>
        <v/>
      </c>
      <c r="D1853" t="str">
        <f>IF(A1853="","",IFERROR(INDEX(Maniobras!$D$5:$D$504,MATCH(A1853,Maniobras!$A$5:$A$504,0)),""))</f>
        <v/>
      </c>
      <c r="F1853" s="29" t="str">
        <f>IF(A1853="","",IFERROR(INDEX(Maniobras!$K$5:$K$504,MATCH(A1853,Maniobras!$A$5:$A$504,0)),""))</f>
        <v/>
      </c>
      <c r="G1853" s="29"/>
      <c r="H1853" s="29"/>
      <c r="I1853" s="29" t="str">
        <f t="shared" si="57"/>
        <v/>
      </c>
      <c r="K1853" s="30"/>
      <c r="M1853" t="str">
        <f>IF($A1853=Ficha!$B$3,COUNTIF($A$5:$A1853,Ficha!$B$3),"")</f>
        <v/>
      </c>
    </row>
    <row r="1854" spans="2:13" x14ac:dyDescent="0.3">
      <c r="B1854" s="30" t="str">
        <f>IF(A1854="","",IFERROR(INDEX(Maniobras!$B$5:$B$504,MATCH(A1854,Maniobras!$A$5:$A$504,0)),""))</f>
        <v/>
      </c>
      <c r="C1854" t="str">
        <f t="shared" si="56"/>
        <v/>
      </c>
      <c r="D1854" t="str">
        <f>IF(A1854="","",IFERROR(INDEX(Maniobras!$D$5:$D$504,MATCH(A1854,Maniobras!$A$5:$A$504,0)),""))</f>
        <v/>
      </c>
      <c r="F1854" s="29" t="str">
        <f>IF(A1854="","",IFERROR(INDEX(Maniobras!$K$5:$K$504,MATCH(A1854,Maniobras!$A$5:$A$504,0)),""))</f>
        <v/>
      </c>
      <c r="G1854" s="29"/>
      <c r="H1854" s="29"/>
      <c r="I1854" s="29" t="str">
        <f t="shared" si="57"/>
        <v/>
      </c>
      <c r="K1854" s="30"/>
      <c r="M1854" t="str">
        <f>IF($A1854=Ficha!$B$3,COUNTIF($A$5:$A1854,Ficha!$B$3),"")</f>
        <v/>
      </c>
    </row>
    <row r="1855" spans="2:13" x14ac:dyDescent="0.3">
      <c r="B1855" s="30" t="str">
        <f>IF(A1855="","",IFERROR(INDEX(Maniobras!$B$5:$B$504,MATCH(A1855,Maniobras!$A$5:$A$504,0)),""))</f>
        <v/>
      </c>
      <c r="C1855" t="str">
        <f t="shared" si="56"/>
        <v/>
      </c>
      <c r="D1855" t="str">
        <f>IF(A1855="","",IFERROR(INDEX(Maniobras!$D$5:$D$504,MATCH(A1855,Maniobras!$A$5:$A$504,0)),""))</f>
        <v/>
      </c>
      <c r="F1855" s="29" t="str">
        <f>IF(A1855="","",IFERROR(INDEX(Maniobras!$K$5:$K$504,MATCH(A1855,Maniobras!$A$5:$A$504,0)),""))</f>
        <v/>
      </c>
      <c r="G1855" s="29"/>
      <c r="H1855" s="29"/>
      <c r="I1855" s="29" t="str">
        <f t="shared" si="57"/>
        <v/>
      </c>
      <c r="K1855" s="30"/>
      <c r="M1855" t="str">
        <f>IF($A1855=Ficha!$B$3,COUNTIF($A$5:$A1855,Ficha!$B$3),"")</f>
        <v/>
      </c>
    </row>
    <row r="1856" spans="2:13" x14ac:dyDescent="0.3">
      <c r="B1856" s="30" t="str">
        <f>IF(A1856="","",IFERROR(INDEX(Maniobras!$B$5:$B$504,MATCH(A1856,Maniobras!$A$5:$A$504,0)),""))</f>
        <v/>
      </c>
      <c r="C1856" t="str">
        <f t="shared" si="56"/>
        <v/>
      </c>
      <c r="D1856" t="str">
        <f>IF(A1856="","",IFERROR(INDEX(Maniobras!$D$5:$D$504,MATCH(A1856,Maniobras!$A$5:$A$504,0)),""))</f>
        <v/>
      </c>
      <c r="F1856" s="29" t="str">
        <f>IF(A1856="","",IFERROR(INDEX(Maniobras!$K$5:$K$504,MATCH(A1856,Maniobras!$A$5:$A$504,0)),""))</f>
        <v/>
      </c>
      <c r="G1856" s="29"/>
      <c r="H1856" s="29"/>
      <c r="I1856" s="29" t="str">
        <f t="shared" si="57"/>
        <v/>
      </c>
      <c r="K1856" s="30"/>
      <c r="M1856" t="str">
        <f>IF($A1856=Ficha!$B$3,COUNTIF($A$5:$A1856,Ficha!$B$3),"")</f>
        <v/>
      </c>
    </row>
    <row r="1857" spans="2:13" x14ac:dyDescent="0.3">
      <c r="B1857" s="30" t="str">
        <f>IF(A1857="","",IFERROR(INDEX(Maniobras!$B$5:$B$504,MATCH(A1857,Maniobras!$A$5:$A$504,0)),""))</f>
        <v/>
      </c>
      <c r="C1857" t="str">
        <f t="shared" si="56"/>
        <v/>
      </c>
      <c r="D1857" t="str">
        <f>IF(A1857="","",IFERROR(INDEX(Maniobras!$D$5:$D$504,MATCH(A1857,Maniobras!$A$5:$A$504,0)),""))</f>
        <v/>
      </c>
      <c r="F1857" s="29" t="str">
        <f>IF(A1857="","",IFERROR(INDEX(Maniobras!$K$5:$K$504,MATCH(A1857,Maniobras!$A$5:$A$504,0)),""))</f>
        <v/>
      </c>
      <c r="G1857" s="29"/>
      <c r="H1857" s="29"/>
      <c r="I1857" s="29" t="str">
        <f t="shared" si="57"/>
        <v/>
      </c>
      <c r="K1857" s="30"/>
      <c r="M1857" t="str">
        <f>IF($A1857=Ficha!$B$3,COUNTIF($A$5:$A1857,Ficha!$B$3),"")</f>
        <v/>
      </c>
    </row>
    <row r="1858" spans="2:13" x14ac:dyDescent="0.3">
      <c r="B1858" s="30" t="str">
        <f>IF(A1858="","",IFERROR(INDEX(Maniobras!$B$5:$B$504,MATCH(A1858,Maniobras!$A$5:$A$504,0)),""))</f>
        <v/>
      </c>
      <c r="C1858" t="str">
        <f t="shared" si="56"/>
        <v/>
      </c>
      <c r="D1858" t="str">
        <f>IF(A1858="","",IFERROR(INDEX(Maniobras!$D$5:$D$504,MATCH(A1858,Maniobras!$A$5:$A$504,0)),""))</f>
        <v/>
      </c>
      <c r="F1858" s="29" t="str">
        <f>IF(A1858="","",IFERROR(INDEX(Maniobras!$K$5:$K$504,MATCH(A1858,Maniobras!$A$5:$A$504,0)),""))</f>
        <v/>
      </c>
      <c r="G1858" s="29"/>
      <c r="H1858" s="29"/>
      <c r="I1858" s="29" t="str">
        <f t="shared" si="57"/>
        <v/>
      </c>
      <c r="K1858" s="30"/>
      <c r="M1858" t="str">
        <f>IF($A1858=Ficha!$B$3,COUNTIF($A$5:$A1858,Ficha!$B$3),"")</f>
        <v/>
      </c>
    </row>
    <row r="1859" spans="2:13" x14ac:dyDescent="0.3">
      <c r="B1859" s="30" t="str">
        <f>IF(A1859="","",IFERROR(INDEX(Maniobras!$B$5:$B$504,MATCH(A1859,Maniobras!$A$5:$A$504,0)),""))</f>
        <v/>
      </c>
      <c r="C1859" t="str">
        <f t="shared" si="56"/>
        <v/>
      </c>
      <c r="D1859" t="str">
        <f>IF(A1859="","",IFERROR(INDEX(Maniobras!$D$5:$D$504,MATCH(A1859,Maniobras!$A$5:$A$504,0)),""))</f>
        <v/>
      </c>
      <c r="F1859" s="29" t="str">
        <f>IF(A1859="","",IFERROR(INDEX(Maniobras!$K$5:$K$504,MATCH(A1859,Maniobras!$A$5:$A$504,0)),""))</f>
        <v/>
      </c>
      <c r="G1859" s="29"/>
      <c r="H1859" s="29"/>
      <c r="I1859" s="29" t="str">
        <f t="shared" si="57"/>
        <v/>
      </c>
      <c r="K1859" s="30"/>
      <c r="M1859" t="str">
        <f>IF($A1859=Ficha!$B$3,COUNTIF($A$5:$A1859,Ficha!$B$3),"")</f>
        <v/>
      </c>
    </row>
    <row r="1860" spans="2:13" x14ac:dyDescent="0.3">
      <c r="B1860" s="30" t="str">
        <f>IF(A1860="","",IFERROR(INDEX(Maniobras!$B$5:$B$504,MATCH(A1860,Maniobras!$A$5:$A$504,0)),""))</f>
        <v/>
      </c>
      <c r="C1860" t="str">
        <f t="shared" si="56"/>
        <v/>
      </c>
      <c r="D1860" t="str">
        <f>IF(A1860="","",IFERROR(INDEX(Maniobras!$D$5:$D$504,MATCH(A1860,Maniobras!$A$5:$A$504,0)),""))</f>
        <v/>
      </c>
      <c r="F1860" s="29" t="str">
        <f>IF(A1860="","",IFERROR(INDEX(Maniobras!$K$5:$K$504,MATCH(A1860,Maniobras!$A$5:$A$504,0)),""))</f>
        <v/>
      </c>
      <c r="G1860" s="29"/>
      <c r="H1860" s="29"/>
      <c r="I1860" s="29" t="str">
        <f t="shared" si="57"/>
        <v/>
      </c>
      <c r="K1860" s="30"/>
      <c r="M1860" t="str">
        <f>IF($A1860=Ficha!$B$3,COUNTIF($A$5:$A1860,Ficha!$B$3),"")</f>
        <v/>
      </c>
    </row>
    <row r="1861" spans="2:13" x14ac:dyDescent="0.3">
      <c r="B1861" s="30" t="str">
        <f>IF(A1861="","",IFERROR(INDEX(Maniobras!$B$5:$B$504,MATCH(A1861,Maniobras!$A$5:$A$504,0)),""))</f>
        <v/>
      </c>
      <c r="C1861" t="str">
        <f t="shared" ref="C1861:C1924" si="58">IF(B1861="","",TEXT(B1861,"yyyy-mm"))</f>
        <v/>
      </c>
      <c r="D1861" t="str">
        <f>IF(A1861="","",IFERROR(INDEX(Maniobras!$D$5:$D$504,MATCH(A1861,Maniobras!$A$5:$A$504,0)),""))</f>
        <v/>
      </c>
      <c r="F1861" s="29" t="str">
        <f>IF(A1861="","",IFERROR(INDEX(Maniobras!$K$5:$K$504,MATCH(A1861,Maniobras!$A$5:$A$504,0)),""))</f>
        <v/>
      </c>
      <c r="G1861" s="29"/>
      <c r="H1861" s="29"/>
      <c r="I1861" s="29" t="str">
        <f t="shared" ref="I1861:I1924" si="59">IF(G1861="","",G1861+N(H1861))</f>
        <v/>
      </c>
      <c r="K1861" s="30"/>
      <c r="M1861" t="str">
        <f>IF($A1861=Ficha!$B$3,COUNTIF($A$5:$A1861,Ficha!$B$3),"")</f>
        <v/>
      </c>
    </row>
    <row r="1862" spans="2:13" x14ac:dyDescent="0.3">
      <c r="B1862" s="30" t="str">
        <f>IF(A1862="","",IFERROR(INDEX(Maniobras!$B$5:$B$504,MATCH(A1862,Maniobras!$A$5:$A$504,0)),""))</f>
        <v/>
      </c>
      <c r="C1862" t="str">
        <f t="shared" si="58"/>
        <v/>
      </c>
      <c r="D1862" t="str">
        <f>IF(A1862="","",IFERROR(INDEX(Maniobras!$D$5:$D$504,MATCH(A1862,Maniobras!$A$5:$A$504,0)),""))</f>
        <v/>
      </c>
      <c r="F1862" s="29" t="str">
        <f>IF(A1862="","",IFERROR(INDEX(Maniobras!$K$5:$K$504,MATCH(A1862,Maniobras!$A$5:$A$504,0)),""))</f>
        <v/>
      </c>
      <c r="G1862" s="29"/>
      <c r="H1862" s="29"/>
      <c r="I1862" s="29" t="str">
        <f t="shared" si="59"/>
        <v/>
      </c>
      <c r="K1862" s="30"/>
      <c r="M1862" t="str">
        <f>IF($A1862=Ficha!$B$3,COUNTIF($A$5:$A1862,Ficha!$B$3),"")</f>
        <v/>
      </c>
    </row>
    <row r="1863" spans="2:13" x14ac:dyDescent="0.3">
      <c r="B1863" s="30" t="str">
        <f>IF(A1863="","",IFERROR(INDEX(Maniobras!$B$5:$B$504,MATCH(A1863,Maniobras!$A$5:$A$504,0)),""))</f>
        <v/>
      </c>
      <c r="C1863" t="str">
        <f t="shared" si="58"/>
        <v/>
      </c>
      <c r="D1863" t="str">
        <f>IF(A1863="","",IFERROR(INDEX(Maniobras!$D$5:$D$504,MATCH(A1863,Maniobras!$A$5:$A$504,0)),""))</f>
        <v/>
      </c>
      <c r="F1863" s="29" t="str">
        <f>IF(A1863="","",IFERROR(INDEX(Maniobras!$K$5:$K$504,MATCH(A1863,Maniobras!$A$5:$A$504,0)),""))</f>
        <v/>
      </c>
      <c r="G1863" s="29"/>
      <c r="H1863" s="29"/>
      <c r="I1863" s="29" t="str">
        <f t="shared" si="59"/>
        <v/>
      </c>
      <c r="K1863" s="30"/>
      <c r="M1863" t="str">
        <f>IF($A1863=Ficha!$B$3,COUNTIF($A$5:$A1863,Ficha!$B$3),"")</f>
        <v/>
      </c>
    </row>
    <row r="1864" spans="2:13" x14ac:dyDescent="0.3">
      <c r="B1864" s="30" t="str">
        <f>IF(A1864="","",IFERROR(INDEX(Maniobras!$B$5:$B$504,MATCH(A1864,Maniobras!$A$5:$A$504,0)),""))</f>
        <v/>
      </c>
      <c r="C1864" t="str">
        <f t="shared" si="58"/>
        <v/>
      </c>
      <c r="D1864" t="str">
        <f>IF(A1864="","",IFERROR(INDEX(Maniobras!$D$5:$D$504,MATCH(A1864,Maniobras!$A$5:$A$504,0)),""))</f>
        <v/>
      </c>
      <c r="F1864" s="29" t="str">
        <f>IF(A1864="","",IFERROR(INDEX(Maniobras!$K$5:$K$504,MATCH(A1864,Maniobras!$A$5:$A$504,0)),""))</f>
        <v/>
      </c>
      <c r="G1864" s="29"/>
      <c r="H1864" s="29"/>
      <c r="I1864" s="29" t="str">
        <f t="shared" si="59"/>
        <v/>
      </c>
      <c r="K1864" s="30"/>
      <c r="M1864" t="str">
        <f>IF($A1864=Ficha!$B$3,COUNTIF($A$5:$A1864,Ficha!$B$3),"")</f>
        <v/>
      </c>
    </row>
    <row r="1865" spans="2:13" x14ac:dyDescent="0.3">
      <c r="B1865" s="30" t="str">
        <f>IF(A1865="","",IFERROR(INDEX(Maniobras!$B$5:$B$504,MATCH(A1865,Maniobras!$A$5:$A$504,0)),""))</f>
        <v/>
      </c>
      <c r="C1865" t="str">
        <f t="shared" si="58"/>
        <v/>
      </c>
      <c r="D1865" t="str">
        <f>IF(A1865="","",IFERROR(INDEX(Maniobras!$D$5:$D$504,MATCH(A1865,Maniobras!$A$5:$A$504,0)),""))</f>
        <v/>
      </c>
      <c r="F1865" s="29" t="str">
        <f>IF(A1865="","",IFERROR(INDEX(Maniobras!$K$5:$K$504,MATCH(A1865,Maniobras!$A$5:$A$504,0)),""))</f>
        <v/>
      </c>
      <c r="G1865" s="29"/>
      <c r="H1865" s="29"/>
      <c r="I1865" s="29" t="str">
        <f t="shared" si="59"/>
        <v/>
      </c>
      <c r="K1865" s="30"/>
      <c r="M1865" t="str">
        <f>IF($A1865=Ficha!$B$3,COUNTIF($A$5:$A1865,Ficha!$B$3),"")</f>
        <v/>
      </c>
    </row>
    <row r="1866" spans="2:13" x14ac:dyDescent="0.3">
      <c r="B1866" s="30" t="str">
        <f>IF(A1866="","",IFERROR(INDEX(Maniobras!$B$5:$B$504,MATCH(A1866,Maniobras!$A$5:$A$504,0)),""))</f>
        <v/>
      </c>
      <c r="C1866" t="str">
        <f t="shared" si="58"/>
        <v/>
      </c>
      <c r="D1866" t="str">
        <f>IF(A1866="","",IFERROR(INDEX(Maniobras!$D$5:$D$504,MATCH(A1866,Maniobras!$A$5:$A$504,0)),""))</f>
        <v/>
      </c>
      <c r="F1866" s="29" t="str">
        <f>IF(A1866="","",IFERROR(INDEX(Maniobras!$K$5:$K$504,MATCH(A1866,Maniobras!$A$5:$A$504,0)),""))</f>
        <v/>
      </c>
      <c r="G1866" s="29"/>
      <c r="H1866" s="29"/>
      <c r="I1866" s="29" t="str">
        <f t="shared" si="59"/>
        <v/>
      </c>
      <c r="K1866" s="30"/>
      <c r="M1866" t="str">
        <f>IF($A1866=Ficha!$B$3,COUNTIF($A$5:$A1866,Ficha!$B$3),"")</f>
        <v/>
      </c>
    </row>
    <row r="1867" spans="2:13" x14ac:dyDescent="0.3">
      <c r="B1867" s="30" t="str">
        <f>IF(A1867="","",IFERROR(INDEX(Maniobras!$B$5:$B$504,MATCH(A1867,Maniobras!$A$5:$A$504,0)),""))</f>
        <v/>
      </c>
      <c r="C1867" t="str">
        <f t="shared" si="58"/>
        <v/>
      </c>
      <c r="D1867" t="str">
        <f>IF(A1867="","",IFERROR(INDEX(Maniobras!$D$5:$D$504,MATCH(A1867,Maniobras!$A$5:$A$504,0)),""))</f>
        <v/>
      </c>
      <c r="F1867" s="29" t="str">
        <f>IF(A1867="","",IFERROR(INDEX(Maniobras!$K$5:$K$504,MATCH(A1867,Maniobras!$A$5:$A$504,0)),""))</f>
        <v/>
      </c>
      <c r="G1867" s="29"/>
      <c r="H1867" s="29"/>
      <c r="I1867" s="29" t="str">
        <f t="shared" si="59"/>
        <v/>
      </c>
      <c r="K1867" s="30"/>
      <c r="M1867" t="str">
        <f>IF($A1867=Ficha!$B$3,COUNTIF($A$5:$A1867,Ficha!$B$3),"")</f>
        <v/>
      </c>
    </row>
    <row r="1868" spans="2:13" x14ac:dyDescent="0.3">
      <c r="B1868" s="30" t="str">
        <f>IF(A1868="","",IFERROR(INDEX(Maniobras!$B$5:$B$504,MATCH(A1868,Maniobras!$A$5:$A$504,0)),""))</f>
        <v/>
      </c>
      <c r="C1868" t="str">
        <f t="shared" si="58"/>
        <v/>
      </c>
      <c r="D1868" t="str">
        <f>IF(A1868="","",IFERROR(INDEX(Maniobras!$D$5:$D$504,MATCH(A1868,Maniobras!$A$5:$A$504,0)),""))</f>
        <v/>
      </c>
      <c r="F1868" s="29" t="str">
        <f>IF(A1868="","",IFERROR(INDEX(Maniobras!$K$5:$K$504,MATCH(A1868,Maniobras!$A$5:$A$504,0)),""))</f>
        <v/>
      </c>
      <c r="G1868" s="29"/>
      <c r="H1868" s="29"/>
      <c r="I1868" s="29" t="str">
        <f t="shared" si="59"/>
        <v/>
      </c>
      <c r="K1868" s="30"/>
      <c r="M1868" t="str">
        <f>IF($A1868=Ficha!$B$3,COUNTIF($A$5:$A1868,Ficha!$B$3),"")</f>
        <v/>
      </c>
    </row>
    <row r="1869" spans="2:13" x14ac:dyDescent="0.3">
      <c r="B1869" s="30" t="str">
        <f>IF(A1869="","",IFERROR(INDEX(Maniobras!$B$5:$B$504,MATCH(A1869,Maniobras!$A$5:$A$504,0)),""))</f>
        <v/>
      </c>
      <c r="C1869" t="str">
        <f t="shared" si="58"/>
        <v/>
      </c>
      <c r="D1869" t="str">
        <f>IF(A1869="","",IFERROR(INDEX(Maniobras!$D$5:$D$504,MATCH(A1869,Maniobras!$A$5:$A$504,0)),""))</f>
        <v/>
      </c>
      <c r="F1869" s="29" t="str">
        <f>IF(A1869="","",IFERROR(INDEX(Maniobras!$K$5:$K$504,MATCH(A1869,Maniobras!$A$5:$A$504,0)),""))</f>
        <v/>
      </c>
      <c r="G1869" s="29"/>
      <c r="H1869" s="29"/>
      <c r="I1869" s="29" t="str">
        <f t="shared" si="59"/>
        <v/>
      </c>
      <c r="K1869" s="30"/>
      <c r="M1869" t="str">
        <f>IF($A1869=Ficha!$B$3,COUNTIF($A$5:$A1869,Ficha!$B$3),"")</f>
        <v/>
      </c>
    </row>
    <row r="1870" spans="2:13" x14ac:dyDescent="0.3">
      <c r="B1870" s="30" t="str">
        <f>IF(A1870="","",IFERROR(INDEX(Maniobras!$B$5:$B$504,MATCH(A1870,Maniobras!$A$5:$A$504,0)),""))</f>
        <v/>
      </c>
      <c r="C1870" t="str">
        <f t="shared" si="58"/>
        <v/>
      </c>
      <c r="D1870" t="str">
        <f>IF(A1870="","",IFERROR(INDEX(Maniobras!$D$5:$D$504,MATCH(A1870,Maniobras!$A$5:$A$504,0)),""))</f>
        <v/>
      </c>
      <c r="F1870" s="29" t="str">
        <f>IF(A1870="","",IFERROR(INDEX(Maniobras!$K$5:$K$504,MATCH(A1870,Maniobras!$A$5:$A$504,0)),""))</f>
        <v/>
      </c>
      <c r="G1870" s="29"/>
      <c r="H1870" s="29"/>
      <c r="I1870" s="29" t="str">
        <f t="shared" si="59"/>
        <v/>
      </c>
      <c r="K1870" s="30"/>
      <c r="M1870" t="str">
        <f>IF($A1870=Ficha!$B$3,COUNTIF($A$5:$A1870,Ficha!$B$3),"")</f>
        <v/>
      </c>
    </row>
    <row r="1871" spans="2:13" x14ac:dyDescent="0.3">
      <c r="B1871" s="30" t="str">
        <f>IF(A1871="","",IFERROR(INDEX(Maniobras!$B$5:$B$504,MATCH(A1871,Maniobras!$A$5:$A$504,0)),""))</f>
        <v/>
      </c>
      <c r="C1871" t="str">
        <f t="shared" si="58"/>
        <v/>
      </c>
      <c r="D1871" t="str">
        <f>IF(A1871="","",IFERROR(INDEX(Maniobras!$D$5:$D$504,MATCH(A1871,Maniobras!$A$5:$A$504,0)),""))</f>
        <v/>
      </c>
      <c r="F1871" s="29" t="str">
        <f>IF(A1871="","",IFERROR(INDEX(Maniobras!$K$5:$K$504,MATCH(A1871,Maniobras!$A$5:$A$504,0)),""))</f>
        <v/>
      </c>
      <c r="G1871" s="29"/>
      <c r="H1871" s="29"/>
      <c r="I1871" s="29" t="str">
        <f t="shared" si="59"/>
        <v/>
      </c>
      <c r="K1871" s="30"/>
      <c r="M1871" t="str">
        <f>IF($A1871=Ficha!$B$3,COUNTIF($A$5:$A1871,Ficha!$B$3),"")</f>
        <v/>
      </c>
    </row>
    <row r="1872" spans="2:13" x14ac:dyDescent="0.3">
      <c r="B1872" s="30" t="str">
        <f>IF(A1872="","",IFERROR(INDEX(Maniobras!$B$5:$B$504,MATCH(A1872,Maniobras!$A$5:$A$504,0)),""))</f>
        <v/>
      </c>
      <c r="C1872" t="str">
        <f t="shared" si="58"/>
        <v/>
      </c>
      <c r="D1872" t="str">
        <f>IF(A1872="","",IFERROR(INDEX(Maniobras!$D$5:$D$504,MATCH(A1872,Maniobras!$A$5:$A$504,0)),""))</f>
        <v/>
      </c>
      <c r="F1872" s="29" t="str">
        <f>IF(A1872="","",IFERROR(INDEX(Maniobras!$K$5:$K$504,MATCH(A1872,Maniobras!$A$5:$A$504,0)),""))</f>
        <v/>
      </c>
      <c r="G1872" s="29"/>
      <c r="H1872" s="29"/>
      <c r="I1872" s="29" t="str">
        <f t="shared" si="59"/>
        <v/>
      </c>
      <c r="K1872" s="30"/>
      <c r="M1872" t="str">
        <f>IF($A1872=Ficha!$B$3,COUNTIF($A$5:$A1872,Ficha!$B$3),"")</f>
        <v/>
      </c>
    </row>
    <row r="1873" spans="2:13" x14ac:dyDescent="0.3">
      <c r="B1873" s="30" t="str">
        <f>IF(A1873="","",IFERROR(INDEX(Maniobras!$B$5:$B$504,MATCH(A1873,Maniobras!$A$5:$A$504,0)),""))</f>
        <v/>
      </c>
      <c r="C1873" t="str">
        <f t="shared" si="58"/>
        <v/>
      </c>
      <c r="D1873" t="str">
        <f>IF(A1873="","",IFERROR(INDEX(Maniobras!$D$5:$D$504,MATCH(A1873,Maniobras!$A$5:$A$504,0)),""))</f>
        <v/>
      </c>
      <c r="F1873" s="29" t="str">
        <f>IF(A1873="","",IFERROR(INDEX(Maniobras!$K$5:$K$504,MATCH(A1873,Maniobras!$A$5:$A$504,0)),""))</f>
        <v/>
      </c>
      <c r="G1873" s="29"/>
      <c r="H1873" s="29"/>
      <c r="I1873" s="29" t="str">
        <f t="shared" si="59"/>
        <v/>
      </c>
      <c r="K1873" s="30"/>
      <c r="M1873" t="str">
        <f>IF($A1873=Ficha!$B$3,COUNTIF($A$5:$A1873,Ficha!$B$3),"")</f>
        <v/>
      </c>
    </row>
    <row r="1874" spans="2:13" x14ac:dyDescent="0.3">
      <c r="B1874" s="30" t="str">
        <f>IF(A1874="","",IFERROR(INDEX(Maniobras!$B$5:$B$504,MATCH(A1874,Maniobras!$A$5:$A$504,0)),""))</f>
        <v/>
      </c>
      <c r="C1874" t="str">
        <f t="shared" si="58"/>
        <v/>
      </c>
      <c r="D1874" t="str">
        <f>IF(A1874="","",IFERROR(INDEX(Maniobras!$D$5:$D$504,MATCH(A1874,Maniobras!$A$5:$A$504,0)),""))</f>
        <v/>
      </c>
      <c r="F1874" s="29" t="str">
        <f>IF(A1874="","",IFERROR(INDEX(Maniobras!$K$5:$K$504,MATCH(A1874,Maniobras!$A$5:$A$504,0)),""))</f>
        <v/>
      </c>
      <c r="G1874" s="29"/>
      <c r="H1874" s="29"/>
      <c r="I1874" s="29" t="str">
        <f t="shared" si="59"/>
        <v/>
      </c>
      <c r="K1874" s="30"/>
      <c r="M1874" t="str">
        <f>IF($A1874=Ficha!$B$3,COUNTIF($A$5:$A1874,Ficha!$B$3),"")</f>
        <v/>
      </c>
    </row>
    <row r="1875" spans="2:13" x14ac:dyDescent="0.3">
      <c r="B1875" s="30" t="str">
        <f>IF(A1875="","",IFERROR(INDEX(Maniobras!$B$5:$B$504,MATCH(A1875,Maniobras!$A$5:$A$504,0)),""))</f>
        <v/>
      </c>
      <c r="C1875" t="str">
        <f t="shared" si="58"/>
        <v/>
      </c>
      <c r="D1875" t="str">
        <f>IF(A1875="","",IFERROR(INDEX(Maniobras!$D$5:$D$504,MATCH(A1875,Maniobras!$A$5:$A$504,0)),""))</f>
        <v/>
      </c>
      <c r="F1875" s="29" t="str">
        <f>IF(A1875="","",IFERROR(INDEX(Maniobras!$K$5:$K$504,MATCH(A1875,Maniobras!$A$5:$A$504,0)),""))</f>
        <v/>
      </c>
      <c r="G1875" s="29"/>
      <c r="H1875" s="29"/>
      <c r="I1875" s="29" t="str">
        <f t="shared" si="59"/>
        <v/>
      </c>
      <c r="K1875" s="30"/>
      <c r="M1875" t="str">
        <f>IF($A1875=Ficha!$B$3,COUNTIF($A$5:$A1875,Ficha!$B$3),"")</f>
        <v/>
      </c>
    </row>
    <row r="1876" spans="2:13" x14ac:dyDescent="0.3">
      <c r="B1876" s="30" t="str">
        <f>IF(A1876="","",IFERROR(INDEX(Maniobras!$B$5:$B$504,MATCH(A1876,Maniobras!$A$5:$A$504,0)),""))</f>
        <v/>
      </c>
      <c r="C1876" t="str">
        <f t="shared" si="58"/>
        <v/>
      </c>
      <c r="D1876" t="str">
        <f>IF(A1876="","",IFERROR(INDEX(Maniobras!$D$5:$D$504,MATCH(A1876,Maniobras!$A$5:$A$504,0)),""))</f>
        <v/>
      </c>
      <c r="F1876" s="29" t="str">
        <f>IF(A1876="","",IFERROR(INDEX(Maniobras!$K$5:$K$504,MATCH(A1876,Maniobras!$A$5:$A$504,0)),""))</f>
        <v/>
      </c>
      <c r="G1876" s="29"/>
      <c r="H1876" s="29"/>
      <c r="I1876" s="29" t="str">
        <f t="shared" si="59"/>
        <v/>
      </c>
      <c r="K1876" s="30"/>
      <c r="M1876" t="str">
        <f>IF($A1876=Ficha!$B$3,COUNTIF($A$5:$A1876,Ficha!$B$3),"")</f>
        <v/>
      </c>
    </row>
    <row r="1877" spans="2:13" x14ac:dyDescent="0.3">
      <c r="B1877" s="30" t="str">
        <f>IF(A1877="","",IFERROR(INDEX(Maniobras!$B$5:$B$504,MATCH(A1877,Maniobras!$A$5:$A$504,0)),""))</f>
        <v/>
      </c>
      <c r="C1877" t="str">
        <f t="shared" si="58"/>
        <v/>
      </c>
      <c r="D1877" t="str">
        <f>IF(A1877="","",IFERROR(INDEX(Maniobras!$D$5:$D$504,MATCH(A1877,Maniobras!$A$5:$A$504,0)),""))</f>
        <v/>
      </c>
      <c r="F1877" s="29" t="str">
        <f>IF(A1877="","",IFERROR(INDEX(Maniobras!$K$5:$K$504,MATCH(A1877,Maniobras!$A$5:$A$504,0)),""))</f>
        <v/>
      </c>
      <c r="G1877" s="29"/>
      <c r="H1877" s="29"/>
      <c r="I1877" s="29" t="str">
        <f t="shared" si="59"/>
        <v/>
      </c>
      <c r="K1877" s="30"/>
      <c r="M1877" t="str">
        <f>IF($A1877=Ficha!$B$3,COUNTIF($A$5:$A1877,Ficha!$B$3),"")</f>
        <v/>
      </c>
    </row>
    <row r="1878" spans="2:13" x14ac:dyDescent="0.3">
      <c r="B1878" s="30" t="str">
        <f>IF(A1878="","",IFERROR(INDEX(Maniobras!$B$5:$B$504,MATCH(A1878,Maniobras!$A$5:$A$504,0)),""))</f>
        <v/>
      </c>
      <c r="C1878" t="str">
        <f t="shared" si="58"/>
        <v/>
      </c>
      <c r="D1878" t="str">
        <f>IF(A1878="","",IFERROR(INDEX(Maniobras!$D$5:$D$504,MATCH(A1878,Maniobras!$A$5:$A$504,0)),""))</f>
        <v/>
      </c>
      <c r="F1878" s="29" t="str">
        <f>IF(A1878="","",IFERROR(INDEX(Maniobras!$K$5:$K$504,MATCH(A1878,Maniobras!$A$5:$A$504,0)),""))</f>
        <v/>
      </c>
      <c r="G1878" s="29"/>
      <c r="H1878" s="29"/>
      <c r="I1878" s="29" t="str">
        <f t="shared" si="59"/>
        <v/>
      </c>
      <c r="K1878" s="30"/>
      <c r="M1878" t="str">
        <f>IF($A1878=Ficha!$B$3,COUNTIF($A$5:$A1878,Ficha!$B$3),"")</f>
        <v/>
      </c>
    </row>
    <row r="1879" spans="2:13" x14ac:dyDescent="0.3">
      <c r="B1879" s="30" t="str">
        <f>IF(A1879="","",IFERROR(INDEX(Maniobras!$B$5:$B$504,MATCH(A1879,Maniobras!$A$5:$A$504,0)),""))</f>
        <v/>
      </c>
      <c r="C1879" t="str">
        <f t="shared" si="58"/>
        <v/>
      </c>
      <c r="D1879" t="str">
        <f>IF(A1879="","",IFERROR(INDEX(Maniobras!$D$5:$D$504,MATCH(A1879,Maniobras!$A$5:$A$504,0)),""))</f>
        <v/>
      </c>
      <c r="F1879" s="29" t="str">
        <f>IF(A1879="","",IFERROR(INDEX(Maniobras!$K$5:$K$504,MATCH(A1879,Maniobras!$A$5:$A$504,0)),""))</f>
        <v/>
      </c>
      <c r="G1879" s="29"/>
      <c r="H1879" s="29"/>
      <c r="I1879" s="29" t="str">
        <f t="shared" si="59"/>
        <v/>
      </c>
      <c r="K1879" s="30"/>
      <c r="M1879" t="str">
        <f>IF($A1879=Ficha!$B$3,COUNTIF($A$5:$A1879,Ficha!$B$3),"")</f>
        <v/>
      </c>
    </row>
    <row r="1880" spans="2:13" x14ac:dyDescent="0.3">
      <c r="B1880" s="30" t="str">
        <f>IF(A1880="","",IFERROR(INDEX(Maniobras!$B$5:$B$504,MATCH(A1880,Maniobras!$A$5:$A$504,0)),""))</f>
        <v/>
      </c>
      <c r="C1880" t="str">
        <f t="shared" si="58"/>
        <v/>
      </c>
      <c r="D1880" t="str">
        <f>IF(A1880="","",IFERROR(INDEX(Maniobras!$D$5:$D$504,MATCH(A1880,Maniobras!$A$5:$A$504,0)),""))</f>
        <v/>
      </c>
      <c r="F1880" s="29" t="str">
        <f>IF(A1880="","",IFERROR(INDEX(Maniobras!$K$5:$K$504,MATCH(A1880,Maniobras!$A$5:$A$504,0)),""))</f>
        <v/>
      </c>
      <c r="G1880" s="29"/>
      <c r="H1880" s="29"/>
      <c r="I1880" s="29" t="str">
        <f t="shared" si="59"/>
        <v/>
      </c>
      <c r="K1880" s="30"/>
      <c r="M1880" t="str">
        <f>IF($A1880=Ficha!$B$3,COUNTIF($A$5:$A1880,Ficha!$B$3),"")</f>
        <v/>
      </c>
    </row>
    <row r="1881" spans="2:13" x14ac:dyDescent="0.3">
      <c r="B1881" s="30" t="str">
        <f>IF(A1881="","",IFERROR(INDEX(Maniobras!$B$5:$B$504,MATCH(A1881,Maniobras!$A$5:$A$504,0)),""))</f>
        <v/>
      </c>
      <c r="C1881" t="str">
        <f t="shared" si="58"/>
        <v/>
      </c>
      <c r="D1881" t="str">
        <f>IF(A1881="","",IFERROR(INDEX(Maniobras!$D$5:$D$504,MATCH(A1881,Maniobras!$A$5:$A$504,0)),""))</f>
        <v/>
      </c>
      <c r="F1881" s="29" t="str">
        <f>IF(A1881="","",IFERROR(INDEX(Maniobras!$K$5:$K$504,MATCH(A1881,Maniobras!$A$5:$A$504,0)),""))</f>
        <v/>
      </c>
      <c r="G1881" s="29"/>
      <c r="H1881" s="29"/>
      <c r="I1881" s="29" t="str">
        <f t="shared" si="59"/>
        <v/>
      </c>
      <c r="K1881" s="30"/>
      <c r="M1881" t="str">
        <f>IF($A1881=Ficha!$B$3,COUNTIF($A$5:$A1881,Ficha!$B$3),"")</f>
        <v/>
      </c>
    </row>
    <row r="1882" spans="2:13" x14ac:dyDescent="0.3">
      <c r="B1882" s="30" t="str">
        <f>IF(A1882="","",IFERROR(INDEX(Maniobras!$B$5:$B$504,MATCH(A1882,Maniobras!$A$5:$A$504,0)),""))</f>
        <v/>
      </c>
      <c r="C1882" t="str">
        <f t="shared" si="58"/>
        <v/>
      </c>
      <c r="D1882" t="str">
        <f>IF(A1882="","",IFERROR(INDEX(Maniobras!$D$5:$D$504,MATCH(A1882,Maniobras!$A$5:$A$504,0)),""))</f>
        <v/>
      </c>
      <c r="F1882" s="29" t="str">
        <f>IF(A1882="","",IFERROR(INDEX(Maniobras!$K$5:$K$504,MATCH(A1882,Maniobras!$A$5:$A$504,0)),""))</f>
        <v/>
      </c>
      <c r="G1882" s="29"/>
      <c r="H1882" s="29"/>
      <c r="I1882" s="29" t="str">
        <f t="shared" si="59"/>
        <v/>
      </c>
      <c r="K1882" s="30"/>
      <c r="M1882" t="str">
        <f>IF($A1882=Ficha!$B$3,COUNTIF($A$5:$A1882,Ficha!$B$3),"")</f>
        <v/>
      </c>
    </row>
    <row r="1883" spans="2:13" x14ac:dyDescent="0.3">
      <c r="B1883" s="30" t="str">
        <f>IF(A1883="","",IFERROR(INDEX(Maniobras!$B$5:$B$504,MATCH(A1883,Maniobras!$A$5:$A$504,0)),""))</f>
        <v/>
      </c>
      <c r="C1883" t="str">
        <f t="shared" si="58"/>
        <v/>
      </c>
      <c r="D1883" t="str">
        <f>IF(A1883="","",IFERROR(INDEX(Maniobras!$D$5:$D$504,MATCH(A1883,Maniobras!$A$5:$A$504,0)),""))</f>
        <v/>
      </c>
      <c r="F1883" s="29" t="str">
        <f>IF(A1883="","",IFERROR(INDEX(Maniobras!$K$5:$K$504,MATCH(A1883,Maniobras!$A$5:$A$504,0)),""))</f>
        <v/>
      </c>
      <c r="G1883" s="29"/>
      <c r="H1883" s="29"/>
      <c r="I1883" s="29" t="str">
        <f t="shared" si="59"/>
        <v/>
      </c>
      <c r="K1883" s="30"/>
      <c r="M1883" t="str">
        <f>IF($A1883=Ficha!$B$3,COUNTIF($A$5:$A1883,Ficha!$B$3),"")</f>
        <v/>
      </c>
    </row>
    <row r="1884" spans="2:13" x14ac:dyDescent="0.3">
      <c r="B1884" s="30" t="str">
        <f>IF(A1884="","",IFERROR(INDEX(Maniobras!$B$5:$B$504,MATCH(A1884,Maniobras!$A$5:$A$504,0)),""))</f>
        <v/>
      </c>
      <c r="C1884" t="str">
        <f t="shared" si="58"/>
        <v/>
      </c>
      <c r="D1884" t="str">
        <f>IF(A1884="","",IFERROR(INDEX(Maniobras!$D$5:$D$504,MATCH(A1884,Maniobras!$A$5:$A$504,0)),""))</f>
        <v/>
      </c>
      <c r="F1884" s="29" t="str">
        <f>IF(A1884="","",IFERROR(INDEX(Maniobras!$K$5:$K$504,MATCH(A1884,Maniobras!$A$5:$A$504,0)),""))</f>
        <v/>
      </c>
      <c r="G1884" s="29"/>
      <c r="H1884" s="29"/>
      <c r="I1884" s="29" t="str">
        <f t="shared" si="59"/>
        <v/>
      </c>
      <c r="K1884" s="30"/>
      <c r="M1884" t="str">
        <f>IF($A1884=Ficha!$B$3,COUNTIF($A$5:$A1884,Ficha!$B$3),"")</f>
        <v/>
      </c>
    </row>
    <row r="1885" spans="2:13" x14ac:dyDescent="0.3">
      <c r="B1885" s="30" t="str">
        <f>IF(A1885="","",IFERROR(INDEX(Maniobras!$B$5:$B$504,MATCH(A1885,Maniobras!$A$5:$A$504,0)),""))</f>
        <v/>
      </c>
      <c r="C1885" t="str">
        <f t="shared" si="58"/>
        <v/>
      </c>
      <c r="D1885" t="str">
        <f>IF(A1885="","",IFERROR(INDEX(Maniobras!$D$5:$D$504,MATCH(A1885,Maniobras!$A$5:$A$504,0)),""))</f>
        <v/>
      </c>
      <c r="F1885" s="29" t="str">
        <f>IF(A1885="","",IFERROR(INDEX(Maniobras!$K$5:$K$504,MATCH(A1885,Maniobras!$A$5:$A$504,0)),""))</f>
        <v/>
      </c>
      <c r="G1885" s="29"/>
      <c r="H1885" s="29"/>
      <c r="I1885" s="29" t="str">
        <f t="shared" si="59"/>
        <v/>
      </c>
      <c r="K1885" s="30"/>
      <c r="M1885" t="str">
        <f>IF($A1885=Ficha!$B$3,COUNTIF($A$5:$A1885,Ficha!$B$3),"")</f>
        <v/>
      </c>
    </row>
    <row r="1886" spans="2:13" x14ac:dyDescent="0.3">
      <c r="B1886" s="30" t="str">
        <f>IF(A1886="","",IFERROR(INDEX(Maniobras!$B$5:$B$504,MATCH(A1886,Maniobras!$A$5:$A$504,0)),""))</f>
        <v/>
      </c>
      <c r="C1886" t="str">
        <f t="shared" si="58"/>
        <v/>
      </c>
      <c r="D1886" t="str">
        <f>IF(A1886="","",IFERROR(INDEX(Maniobras!$D$5:$D$504,MATCH(A1886,Maniobras!$A$5:$A$504,0)),""))</f>
        <v/>
      </c>
      <c r="F1886" s="29" t="str">
        <f>IF(A1886="","",IFERROR(INDEX(Maniobras!$K$5:$K$504,MATCH(A1886,Maniobras!$A$5:$A$504,0)),""))</f>
        <v/>
      </c>
      <c r="G1886" s="29"/>
      <c r="H1886" s="29"/>
      <c r="I1886" s="29" t="str">
        <f t="shared" si="59"/>
        <v/>
      </c>
      <c r="K1886" s="30"/>
      <c r="M1886" t="str">
        <f>IF($A1886=Ficha!$B$3,COUNTIF($A$5:$A1886,Ficha!$B$3),"")</f>
        <v/>
      </c>
    </row>
    <row r="1887" spans="2:13" x14ac:dyDescent="0.3">
      <c r="B1887" s="30" t="str">
        <f>IF(A1887="","",IFERROR(INDEX(Maniobras!$B$5:$B$504,MATCH(A1887,Maniobras!$A$5:$A$504,0)),""))</f>
        <v/>
      </c>
      <c r="C1887" t="str">
        <f t="shared" si="58"/>
        <v/>
      </c>
      <c r="D1887" t="str">
        <f>IF(A1887="","",IFERROR(INDEX(Maniobras!$D$5:$D$504,MATCH(A1887,Maniobras!$A$5:$A$504,0)),""))</f>
        <v/>
      </c>
      <c r="F1887" s="29" t="str">
        <f>IF(A1887="","",IFERROR(INDEX(Maniobras!$K$5:$K$504,MATCH(A1887,Maniobras!$A$5:$A$504,0)),""))</f>
        <v/>
      </c>
      <c r="G1887" s="29"/>
      <c r="H1887" s="29"/>
      <c r="I1887" s="29" t="str">
        <f t="shared" si="59"/>
        <v/>
      </c>
      <c r="K1887" s="30"/>
      <c r="M1887" t="str">
        <f>IF($A1887=Ficha!$B$3,COUNTIF($A$5:$A1887,Ficha!$B$3),"")</f>
        <v/>
      </c>
    </row>
    <row r="1888" spans="2:13" x14ac:dyDescent="0.3">
      <c r="B1888" s="30" t="str">
        <f>IF(A1888="","",IFERROR(INDEX(Maniobras!$B$5:$B$504,MATCH(A1888,Maniobras!$A$5:$A$504,0)),""))</f>
        <v/>
      </c>
      <c r="C1888" t="str">
        <f t="shared" si="58"/>
        <v/>
      </c>
      <c r="D1888" t="str">
        <f>IF(A1888="","",IFERROR(INDEX(Maniobras!$D$5:$D$504,MATCH(A1888,Maniobras!$A$5:$A$504,0)),""))</f>
        <v/>
      </c>
      <c r="F1888" s="29" t="str">
        <f>IF(A1888="","",IFERROR(INDEX(Maniobras!$K$5:$K$504,MATCH(A1888,Maniobras!$A$5:$A$504,0)),""))</f>
        <v/>
      </c>
      <c r="G1888" s="29"/>
      <c r="H1888" s="29"/>
      <c r="I1888" s="29" t="str">
        <f t="shared" si="59"/>
        <v/>
      </c>
      <c r="K1888" s="30"/>
      <c r="M1888" t="str">
        <f>IF($A1888=Ficha!$B$3,COUNTIF($A$5:$A1888,Ficha!$B$3),"")</f>
        <v/>
      </c>
    </row>
    <row r="1889" spans="2:13" x14ac:dyDescent="0.3">
      <c r="B1889" s="30" t="str">
        <f>IF(A1889="","",IFERROR(INDEX(Maniobras!$B$5:$B$504,MATCH(A1889,Maniobras!$A$5:$A$504,0)),""))</f>
        <v/>
      </c>
      <c r="C1889" t="str">
        <f t="shared" si="58"/>
        <v/>
      </c>
      <c r="D1889" t="str">
        <f>IF(A1889="","",IFERROR(INDEX(Maniobras!$D$5:$D$504,MATCH(A1889,Maniobras!$A$5:$A$504,0)),""))</f>
        <v/>
      </c>
      <c r="F1889" s="29" t="str">
        <f>IF(A1889="","",IFERROR(INDEX(Maniobras!$K$5:$K$504,MATCH(A1889,Maniobras!$A$5:$A$504,0)),""))</f>
        <v/>
      </c>
      <c r="G1889" s="29"/>
      <c r="H1889" s="29"/>
      <c r="I1889" s="29" t="str">
        <f t="shared" si="59"/>
        <v/>
      </c>
      <c r="K1889" s="30"/>
      <c r="M1889" t="str">
        <f>IF($A1889=Ficha!$B$3,COUNTIF($A$5:$A1889,Ficha!$B$3),"")</f>
        <v/>
      </c>
    </row>
    <row r="1890" spans="2:13" x14ac:dyDescent="0.3">
      <c r="B1890" s="30" t="str">
        <f>IF(A1890="","",IFERROR(INDEX(Maniobras!$B$5:$B$504,MATCH(A1890,Maniobras!$A$5:$A$504,0)),""))</f>
        <v/>
      </c>
      <c r="C1890" t="str">
        <f t="shared" si="58"/>
        <v/>
      </c>
      <c r="D1890" t="str">
        <f>IF(A1890="","",IFERROR(INDEX(Maniobras!$D$5:$D$504,MATCH(A1890,Maniobras!$A$5:$A$504,0)),""))</f>
        <v/>
      </c>
      <c r="F1890" s="29" t="str">
        <f>IF(A1890="","",IFERROR(INDEX(Maniobras!$K$5:$K$504,MATCH(A1890,Maniobras!$A$5:$A$504,0)),""))</f>
        <v/>
      </c>
      <c r="G1890" s="29"/>
      <c r="H1890" s="29"/>
      <c r="I1890" s="29" t="str">
        <f t="shared" si="59"/>
        <v/>
      </c>
      <c r="K1890" s="30"/>
      <c r="M1890" t="str">
        <f>IF($A1890=Ficha!$B$3,COUNTIF($A$5:$A1890,Ficha!$B$3),"")</f>
        <v/>
      </c>
    </row>
    <row r="1891" spans="2:13" x14ac:dyDescent="0.3">
      <c r="B1891" s="30" t="str">
        <f>IF(A1891="","",IFERROR(INDEX(Maniobras!$B$5:$B$504,MATCH(A1891,Maniobras!$A$5:$A$504,0)),""))</f>
        <v/>
      </c>
      <c r="C1891" t="str">
        <f t="shared" si="58"/>
        <v/>
      </c>
      <c r="D1891" t="str">
        <f>IF(A1891="","",IFERROR(INDEX(Maniobras!$D$5:$D$504,MATCH(A1891,Maniobras!$A$5:$A$504,0)),""))</f>
        <v/>
      </c>
      <c r="F1891" s="29" t="str">
        <f>IF(A1891="","",IFERROR(INDEX(Maniobras!$K$5:$K$504,MATCH(A1891,Maniobras!$A$5:$A$504,0)),""))</f>
        <v/>
      </c>
      <c r="G1891" s="29"/>
      <c r="H1891" s="29"/>
      <c r="I1891" s="29" t="str">
        <f t="shared" si="59"/>
        <v/>
      </c>
      <c r="K1891" s="30"/>
      <c r="M1891" t="str">
        <f>IF($A1891=Ficha!$B$3,COUNTIF($A$5:$A1891,Ficha!$B$3),"")</f>
        <v/>
      </c>
    </row>
    <row r="1892" spans="2:13" x14ac:dyDescent="0.3">
      <c r="B1892" s="30" t="str">
        <f>IF(A1892="","",IFERROR(INDEX(Maniobras!$B$5:$B$504,MATCH(A1892,Maniobras!$A$5:$A$504,0)),""))</f>
        <v/>
      </c>
      <c r="C1892" t="str">
        <f t="shared" si="58"/>
        <v/>
      </c>
      <c r="D1892" t="str">
        <f>IF(A1892="","",IFERROR(INDEX(Maniobras!$D$5:$D$504,MATCH(A1892,Maniobras!$A$5:$A$504,0)),""))</f>
        <v/>
      </c>
      <c r="F1892" s="29" t="str">
        <f>IF(A1892="","",IFERROR(INDEX(Maniobras!$K$5:$K$504,MATCH(A1892,Maniobras!$A$5:$A$504,0)),""))</f>
        <v/>
      </c>
      <c r="G1892" s="29"/>
      <c r="H1892" s="29"/>
      <c r="I1892" s="29" t="str">
        <f t="shared" si="59"/>
        <v/>
      </c>
      <c r="K1892" s="30"/>
      <c r="M1892" t="str">
        <f>IF($A1892=Ficha!$B$3,COUNTIF($A$5:$A1892,Ficha!$B$3),"")</f>
        <v/>
      </c>
    </row>
    <row r="1893" spans="2:13" x14ac:dyDescent="0.3">
      <c r="B1893" s="30" t="str">
        <f>IF(A1893="","",IFERROR(INDEX(Maniobras!$B$5:$B$504,MATCH(A1893,Maniobras!$A$5:$A$504,0)),""))</f>
        <v/>
      </c>
      <c r="C1893" t="str">
        <f t="shared" si="58"/>
        <v/>
      </c>
      <c r="D1893" t="str">
        <f>IF(A1893="","",IFERROR(INDEX(Maniobras!$D$5:$D$504,MATCH(A1893,Maniobras!$A$5:$A$504,0)),""))</f>
        <v/>
      </c>
      <c r="F1893" s="29" t="str">
        <f>IF(A1893="","",IFERROR(INDEX(Maniobras!$K$5:$K$504,MATCH(A1893,Maniobras!$A$5:$A$504,0)),""))</f>
        <v/>
      </c>
      <c r="G1893" s="29"/>
      <c r="H1893" s="29"/>
      <c r="I1893" s="29" t="str">
        <f t="shared" si="59"/>
        <v/>
      </c>
      <c r="K1893" s="30"/>
      <c r="M1893" t="str">
        <f>IF($A1893=Ficha!$B$3,COUNTIF($A$5:$A1893,Ficha!$B$3),"")</f>
        <v/>
      </c>
    </row>
    <row r="1894" spans="2:13" x14ac:dyDescent="0.3">
      <c r="B1894" s="30" t="str">
        <f>IF(A1894="","",IFERROR(INDEX(Maniobras!$B$5:$B$504,MATCH(A1894,Maniobras!$A$5:$A$504,0)),""))</f>
        <v/>
      </c>
      <c r="C1894" t="str">
        <f t="shared" si="58"/>
        <v/>
      </c>
      <c r="D1894" t="str">
        <f>IF(A1894="","",IFERROR(INDEX(Maniobras!$D$5:$D$504,MATCH(A1894,Maniobras!$A$5:$A$504,0)),""))</f>
        <v/>
      </c>
      <c r="F1894" s="29" t="str">
        <f>IF(A1894="","",IFERROR(INDEX(Maniobras!$K$5:$K$504,MATCH(A1894,Maniobras!$A$5:$A$504,0)),""))</f>
        <v/>
      </c>
      <c r="G1894" s="29"/>
      <c r="H1894" s="29"/>
      <c r="I1894" s="29" t="str">
        <f t="shared" si="59"/>
        <v/>
      </c>
      <c r="K1894" s="30"/>
      <c r="M1894" t="str">
        <f>IF($A1894=Ficha!$B$3,COUNTIF($A$5:$A1894,Ficha!$B$3),"")</f>
        <v/>
      </c>
    </row>
    <row r="1895" spans="2:13" x14ac:dyDescent="0.3">
      <c r="B1895" s="30" t="str">
        <f>IF(A1895="","",IFERROR(INDEX(Maniobras!$B$5:$B$504,MATCH(A1895,Maniobras!$A$5:$A$504,0)),""))</f>
        <v/>
      </c>
      <c r="C1895" t="str">
        <f t="shared" si="58"/>
        <v/>
      </c>
      <c r="D1895" t="str">
        <f>IF(A1895="","",IFERROR(INDEX(Maniobras!$D$5:$D$504,MATCH(A1895,Maniobras!$A$5:$A$504,0)),""))</f>
        <v/>
      </c>
      <c r="F1895" s="29" t="str">
        <f>IF(A1895="","",IFERROR(INDEX(Maniobras!$K$5:$K$504,MATCH(A1895,Maniobras!$A$5:$A$504,0)),""))</f>
        <v/>
      </c>
      <c r="G1895" s="29"/>
      <c r="H1895" s="29"/>
      <c r="I1895" s="29" t="str">
        <f t="shared" si="59"/>
        <v/>
      </c>
      <c r="K1895" s="30"/>
      <c r="M1895" t="str">
        <f>IF($A1895=Ficha!$B$3,COUNTIF($A$5:$A1895,Ficha!$B$3),"")</f>
        <v/>
      </c>
    </row>
    <row r="1896" spans="2:13" x14ac:dyDescent="0.3">
      <c r="B1896" s="30" t="str">
        <f>IF(A1896="","",IFERROR(INDEX(Maniobras!$B$5:$B$504,MATCH(A1896,Maniobras!$A$5:$A$504,0)),""))</f>
        <v/>
      </c>
      <c r="C1896" t="str">
        <f t="shared" si="58"/>
        <v/>
      </c>
      <c r="D1896" t="str">
        <f>IF(A1896="","",IFERROR(INDEX(Maniobras!$D$5:$D$504,MATCH(A1896,Maniobras!$A$5:$A$504,0)),""))</f>
        <v/>
      </c>
      <c r="F1896" s="29" t="str">
        <f>IF(A1896="","",IFERROR(INDEX(Maniobras!$K$5:$K$504,MATCH(A1896,Maniobras!$A$5:$A$504,0)),""))</f>
        <v/>
      </c>
      <c r="G1896" s="29"/>
      <c r="H1896" s="29"/>
      <c r="I1896" s="29" t="str">
        <f t="shared" si="59"/>
        <v/>
      </c>
      <c r="K1896" s="30"/>
      <c r="M1896" t="str">
        <f>IF($A1896=Ficha!$B$3,COUNTIF($A$5:$A1896,Ficha!$B$3),"")</f>
        <v/>
      </c>
    </row>
    <row r="1897" spans="2:13" x14ac:dyDescent="0.3">
      <c r="B1897" s="30" t="str">
        <f>IF(A1897="","",IFERROR(INDEX(Maniobras!$B$5:$B$504,MATCH(A1897,Maniobras!$A$5:$A$504,0)),""))</f>
        <v/>
      </c>
      <c r="C1897" t="str">
        <f t="shared" si="58"/>
        <v/>
      </c>
      <c r="D1897" t="str">
        <f>IF(A1897="","",IFERROR(INDEX(Maniobras!$D$5:$D$504,MATCH(A1897,Maniobras!$A$5:$A$504,0)),""))</f>
        <v/>
      </c>
      <c r="F1897" s="29" t="str">
        <f>IF(A1897="","",IFERROR(INDEX(Maniobras!$K$5:$K$504,MATCH(A1897,Maniobras!$A$5:$A$504,0)),""))</f>
        <v/>
      </c>
      <c r="G1897" s="29"/>
      <c r="H1897" s="29"/>
      <c r="I1897" s="29" t="str">
        <f t="shared" si="59"/>
        <v/>
      </c>
      <c r="K1897" s="30"/>
      <c r="M1897" t="str">
        <f>IF($A1897=Ficha!$B$3,COUNTIF($A$5:$A1897,Ficha!$B$3),"")</f>
        <v/>
      </c>
    </row>
    <row r="1898" spans="2:13" x14ac:dyDescent="0.3">
      <c r="B1898" s="30" t="str">
        <f>IF(A1898="","",IFERROR(INDEX(Maniobras!$B$5:$B$504,MATCH(A1898,Maniobras!$A$5:$A$504,0)),""))</f>
        <v/>
      </c>
      <c r="C1898" t="str">
        <f t="shared" si="58"/>
        <v/>
      </c>
      <c r="D1898" t="str">
        <f>IF(A1898="","",IFERROR(INDEX(Maniobras!$D$5:$D$504,MATCH(A1898,Maniobras!$A$5:$A$504,0)),""))</f>
        <v/>
      </c>
      <c r="F1898" s="29" t="str">
        <f>IF(A1898="","",IFERROR(INDEX(Maniobras!$K$5:$K$504,MATCH(A1898,Maniobras!$A$5:$A$504,0)),""))</f>
        <v/>
      </c>
      <c r="G1898" s="29"/>
      <c r="H1898" s="29"/>
      <c r="I1898" s="29" t="str">
        <f t="shared" si="59"/>
        <v/>
      </c>
      <c r="K1898" s="30"/>
      <c r="M1898" t="str">
        <f>IF($A1898=Ficha!$B$3,COUNTIF($A$5:$A1898,Ficha!$B$3),"")</f>
        <v/>
      </c>
    </row>
    <row r="1899" spans="2:13" x14ac:dyDescent="0.3">
      <c r="B1899" s="30" t="str">
        <f>IF(A1899="","",IFERROR(INDEX(Maniobras!$B$5:$B$504,MATCH(A1899,Maniobras!$A$5:$A$504,0)),""))</f>
        <v/>
      </c>
      <c r="C1899" t="str">
        <f t="shared" si="58"/>
        <v/>
      </c>
      <c r="D1899" t="str">
        <f>IF(A1899="","",IFERROR(INDEX(Maniobras!$D$5:$D$504,MATCH(A1899,Maniobras!$A$5:$A$504,0)),""))</f>
        <v/>
      </c>
      <c r="F1899" s="29" t="str">
        <f>IF(A1899="","",IFERROR(INDEX(Maniobras!$K$5:$K$504,MATCH(A1899,Maniobras!$A$5:$A$504,0)),""))</f>
        <v/>
      </c>
      <c r="G1899" s="29"/>
      <c r="H1899" s="29"/>
      <c r="I1899" s="29" t="str">
        <f t="shared" si="59"/>
        <v/>
      </c>
      <c r="K1899" s="30"/>
      <c r="M1899" t="str">
        <f>IF($A1899=Ficha!$B$3,COUNTIF($A$5:$A1899,Ficha!$B$3),"")</f>
        <v/>
      </c>
    </row>
    <row r="1900" spans="2:13" x14ac:dyDescent="0.3">
      <c r="B1900" s="30" t="str">
        <f>IF(A1900="","",IFERROR(INDEX(Maniobras!$B$5:$B$504,MATCH(A1900,Maniobras!$A$5:$A$504,0)),""))</f>
        <v/>
      </c>
      <c r="C1900" t="str">
        <f t="shared" si="58"/>
        <v/>
      </c>
      <c r="D1900" t="str">
        <f>IF(A1900="","",IFERROR(INDEX(Maniobras!$D$5:$D$504,MATCH(A1900,Maniobras!$A$5:$A$504,0)),""))</f>
        <v/>
      </c>
      <c r="F1900" s="29" t="str">
        <f>IF(A1900="","",IFERROR(INDEX(Maniobras!$K$5:$K$504,MATCH(A1900,Maniobras!$A$5:$A$504,0)),""))</f>
        <v/>
      </c>
      <c r="G1900" s="29"/>
      <c r="H1900" s="29"/>
      <c r="I1900" s="29" t="str">
        <f t="shared" si="59"/>
        <v/>
      </c>
      <c r="K1900" s="30"/>
      <c r="M1900" t="str">
        <f>IF($A1900=Ficha!$B$3,COUNTIF($A$5:$A1900,Ficha!$B$3),"")</f>
        <v/>
      </c>
    </row>
    <row r="1901" spans="2:13" x14ac:dyDescent="0.3">
      <c r="B1901" s="30" t="str">
        <f>IF(A1901="","",IFERROR(INDEX(Maniobras!$B$5:$B$504,MATCH(A1901,Maniobras!$A$5:$A$504,0)),""))</f>
        <v/>
      </c>
      <c r="C1901" t="str">
        <f t="shared" si="58"/>
        <v/>
      </c>
      <c r="D1901" t="str">
        <f>IF(A1901="","",IFERROR(INDEX(Maniobras!$D$5:$D$504,MATCH(A1901,Maniobras!$A$5:$A$504,0)),""))</f>
        <v/>
      </c>
      <c r="F1901" s="29" t="str">
        <f>IF(A1901="","",IFERROR(INDEX(Maniobras!$K$5:$K$504,MATCH(A1901,Maniobras!$A$5:$A$504,0)),""))</f>
        <v/>
      </c>
      <c r="G1901" s="29"/>
      <c r="H1901" s="29"/>
      <c r="I1901" s="29" t="str">
        <f t="shared" si="59"/>
        <v/>
      </c>
      <c r="K1901" s="30"/>
      <c r="M1901" t="str">
        <f>IF($A1901=Ficha!$B$3,COUNTIF($A$5:$A1901,Ficha!$B$3),"")</f>
        <v/>
      </c>
    </row>
    <row r="1902" spans="2:13" x14ac:dyDescent="0.3">
      <c r="B1902" s="30" t="str">
        <f>IF(A1902="","",IFERROR(INDEX(Maniobras!$B$5:$B$504,MATCH(A1902,Maniobras!$A$5:$A$504,0)),""))</f>
        <v/>
      </c>
      <c r="C1902" t="str">
        <f t="shared" si="58"/>
        <v/>
      </c>
      <c r="D1902" t="str">
        <f>IF(A1902="","",IFERROR(INDEX(Maniobras!$D$5:$D$504,MATCH(A1902,Maniobras!$A$5:$A$504,0)),""))</f>
        <v/>
      </c>
      <c r="F1902" s="29" t="str">
        <f>IF(A1902="","",IFERROR(INDEX(Maniobras!$K$5:$K$504,MATCH(A1902,Maniobras!$A$5:$A$504,0)),""))</f>
        <v/>
      </c>
      <c r="G1902" s="29"/>
      <c r="H1902" s="29"/>
      <c r="I1902" s="29" t="str">
        <f t="shared" si="59"/>
        <v/>
      </c>
      <c r="K1902" s="30"/>
      <c r="M1902" t="str">
        <f>IF($A1902=Ficha!$B$3,COUNTIF($A$5:$A1902,Ficha!$B$3),"")</f>
        <v/>
      </c>
    </row>
    <row r="1903" spans="2:13" x14ac:dyDescent="0.3">
      <c r="B1903" s="30" t="str">
        <f>IF(A1903="","",IFERROR(INDEX(Maniobras!$B$5:$B$504,MATCH(A1903,Maniobras!$A$5:$A$504,0)),""))</f>
        <v/>
      </c>
      <c r="C1903" t="str">
        <f t="shared" si="58"/>
        <v/>
      </c>
      <c r="D1903" t="str">
        <f>IF(A1903="","",IFERROR(INDEX(Maniobras!$D$5:$D$504,MATCH(A1903,Maniobras!$A$5:$A$504,0)),""))</f>
        <v/>
      </c>
      <c r="F1903" s="29" t="str">
        <f>IF(A1903="","",IFERROR(INDEX(Maniobras!$K$5:$K$504,MATCH(A1903,Maniobras!$A$5:$A$504,0)),""))</f>
        <v/>
      </c>
      <c r="G1903" s="29"/>
      <c r="H1903" s="29"/>
      <c r="I1903" s="29" t="str">
        <f t="shared" si="59"/>
        <v/>
      </c>
      <c r="K1903" s="30"/>
      <c r="M1903" t="str">
        <f>IF($A1903=Ficha!$B$3,COUNTIF($A$5:$A1903,Ficha!$B$3),"")</f>
        <v/>
      </c>
    </row>
    <row r="1904" spans="2:13" x14ac:dyDescent="0.3">
      <c r="B1904" s="30" t="str">
        <f>IF(A1904="","",IFERROR(INDEX(Maniobras!$B$5:$B$504,MATCH(A1904,Maniobras!$A$5:$A$504,0)),""))</f>
        <v/>
      </c>
      <c r="C1904" t="str">
        <f t="shared" si="58"/>
        <v/>
      </c>
      <c r="D1904" t="str">
        <f>IF(A1904="","",IFERROR(INDEX(Maniobras!$D$5:$D$504,MATCH(A1904,Maniobras!$A$5:$A$504,0)),""))</f>
        <v/>
      </c>
      <c r="F1904" s="29" t="str">
        <f>IF(A1904="","",IFERROR(INDEX(Maniobras!$K$5:$K$504,MATCH(A1904,Maniobras!$A$5:$A$504,0)),""))</f>
        <v/>
      </c>
      <c r="G1904" s="29"/>
      <c r="H1904" s="29"/>
      <c r="I1904" s="29" t="str">
        <f t="shared" si="59"/>
        <v/>
      </c>
      <c r="K1904" s="30"/>
      <c r="M1904" t="str">
        <f>IF($A1904=Ficha!$B$3,COUNTIF($A$5:$A1904,Ficha!$B$3),"")</f>
        <v/>
      </c>
    </row>
    <row r="1905" spans="2:13" x14ac:dyDescent="0.3">
      <c r="B1905" s="30" t="str">
        <f>IF(A1905="","",IFERROR(INDEX(Maniobras!$B$5:$B$504,MATCH(A1905,Maniobras!$A$5:$A$504,0)),""))</f>
        <v/>
      </c>
      <c r="C1905" t="str">
        <f t="shared" si="58"/>
        <v/>
      </c>
      <c r="D1905" t="str">
        <f>IF(A1905="","",IFERROR(INDEX(Maniobras!$D$5:$D$504,MATCH(A1905,Maniobras!$A$5:$A$504,0)),""))</f>
        <v/>
      </c>
      <c r="F1905" s="29" t="str">
        <f>IF(A1905="","",IFERROR(INDEX(Maniobras!$K$5:$K$504,MATCH(A1905,Maniobras!$A$5:$A$504,0)),""))</f>
        <v/>
      </c>
      <c r="G1905" s="29"/>
      <c r="H1905" s="29"/>
      <c r="I1905" s="29" t="str">
        <f t="shared" si="59"/>
        <v/>
      </c>
      <c r="K1905" s="30"/>
      <c r="M1905" t="str">
        <f>IF($A1905=Ficha!$B$3,COUNTIF($A$5:$A1905,Ficha!$B$3),"")</f>
        <v/>
      </c>
    </row>
    <row r="1906" spans="2:13" x14ac:dyDescent="0.3">
      <c r="B1906" s="30" t="str">
        <f>IF(A1906="","",IFERROR(INDEX(Maniobras!$B$5:$B$504,MATCH(A1906,Maniobras!$A$5:$A$504,0)),""))</f>
        <v/>
      </c>
      <c r="C1906" t="str">
        <f t="shared" si="58"/>
        <v/>
      </c>
      <c r="D1906" t="str">
        <f>IF(A1906="","",IFERROR(INDEX(Maniobras!$D$5:$D$504,MATCH(A1906,Maniobras!$A$5:$A$504,0)),""))</f>
        <v/>
      </c>
      <c r="F1906" s="29" t="str">
        <f>IF(A1906="","",IFERROR(INDEX(Maniobras!$K$5:$K$504,MATCH(A1906,Maniobras!$A$5:$A$504,0)),""))</f>
        <v/>
      </c>
      <c r="G1906" s="29"/>
      <c r="H1906" s="29"/>
      <c r="I1906" s="29" t="str">
        <f t="shared" si="59"/>
        <v/>
      </c>
      <c r="K1906" s="30"/>
      <c r="M1906" t="str">
        <f>IF($A1906=Ficha!$B$3,COUNTIF($A$5:$A1906,Ficha!$B$3),"")</f>
        <v/>
      </c>
    </row>
    <row r="1907" spans="2:13" x14ac:dyDescent="0.3">
      <c r="B1907" s="30" t="str">
        <f>IF(A1907="","",IFERROR(INDEX(Maniobras!$B$5:$B$504,MATCH(A1907,Maniobras!$A$5:$A$504,0)),""))</f>
        <v/>
      </c>
      <c r="C1907" t="str">
        <f t="shared" si="58"/>
        <v/>
      </c>
      <c r="D1907" t="str">
        <f>IF(A1907="","",IFERROR(INDEX(Maniobras!$D$5:$D$504,MATCH(A1907,Maniobras!$A$5:$A$504,0)),""))</f>
        <v/>
      </c>
      <c r="F1907" s="29" t="str">
        <f>IF(A1907="","",IFERROR(INDEX(Maniobras!$K$5:$K$504,MATCH(A1907,Maniobras!$A$5:$A$504,0)),""))</f>
        <v/>
      </c>
      <c r="G1907" s="29"/>
      <c r="H1907" s="29"/>
      <c r="I1907" s="29" t="str">
        <f t="shared" si="59"/>
        <v/>
      </c>
      <c r="K1907" s="30"/>
      <c r="M1907" t="str">
        <f>IF($A1907=Ficha!$B$3,COUNTIF($A$5:$A1907,Ficha!$B$3),"")</f>
        <v/>
      </c>
    </row>
    <row r="1908" spans="2:13" x14ac:dyDescent="0.3">
      <c r="B1908" s="30" t="str">
        <f>IF(A1908="","",IFERROR(INDEX(Maniobras!$B$5:$B$504,MATCH(A1908,Maniobras!$A$5:$A$504,0)),""))</f>
        <v/>
      </c>
      <c r="C1908" t="str">
        <f t="shared" si="58"/>
        <v/>
      </c>
      <c r="D1908" t="str">
        <f>IF(A1908="","",IFERROR(INDEX(Maniobras!$D$5:$D$504,MATCH(A1908,Maniobras!$A$5:$A$504,0)),""))</f>
        <v/>
      </c>
      <c r="F1908" s="29" t="str">
        <f>IF(A1908="","",IFERROR(INDEX(Maniobras!$K$5:$K$504,MATCH(A1908,Maniobras!$A$5:$A$504,0)),""))</f>
        <v/>
      </c>
      <c r="G1908" s="29"/>
      <c r="H1908" s="29"/>
      <c r="I1908" s="29" t="str">
        <f t="shared" si="59"/>
        <v/>
      </c>
      <c r="K1908" s="30"/>
      <c r="M1908" t="str">
        <f>IF($A1908=Ficha!$B$3,COUNTIF($A$5:$A1908,Ficha!$B$3),"")</f>
        <v/>
      </c>
    </row>
    <row r="1909" spans="2:13" x14ac:dyDescent="0.3">
      <c r="B1909" s="30" t="str">
        <f>IF(A1909="","",IFERROR(INDEX(Maniobras!$B$5:$B$504,MATCH(A1909,Maniobras!$A$5:$A$504,0)),""))</f>
        <v/>
      </c>
      <c r="C1909" t="str">
        <f t="shared" si="58"/>
        <v/>
      </c>
      <c r="D1909" t="str">
        <f>IF(A1909="","",IFERROR(INDEX(Maniobras!$D$5:$D$504,MATCH(A1909,Maniobras!$A$5:$A$504,0)),""))</f>
        <v/>
      </c>
      <c r="F1909" s="29" t="str">
        <f>IF(A1909="","",IFERROR(INDEX(Maniobras!$K$5:$K$504,MATCH(A1909,Maniobras!$A$5:$A$504,0)),""))</f>
        <v/>
      </c>
      <c r="G1909" s="29"/>
      <c r="H1909" s="29"/>
      <c r="I1909" s="29" t="str">
        <f t="shared" si="59"/>
        <v/>
      </c>
      <c r="K1909" s="30"/>
      <c r="M1909" t="str">
        <f>IF($A1909=Ficha!$B$3,COUNTIF($A$5:$A1909,Ficha!$B$3),"")</f>
        <v/>
      </c>
    </row>
    <row r="1910" spans="2:13" x14ac:dyDescent="0.3">
      <c r="B1910" s="30" t="str">
        <f>IF(A1910="","",IFERROR(INDEX(Maniobras!$B$5:$B$504,MATCH(A1910,Maniobras!$A$5:$A$504,0)),""))</f>
        <v/>
      </c>
      <c r="C1910" t="str">
        <f t="shared" si="58"/>
        <v/>
      </c>
      <c r="D1910" t="str">
        <f>IF(A1910="","",IFERROR(INDEX(Maniobras!$D$5:$D$504,MATCH(A1910,Maniobras!$A$5:$A$504,0)),""))</f>
        <v/>
      </c>
      <c r="F1910" s="29" t="str">
        <f>IF(A1910="","",IFERROR(INDEX(Maniobras!$K$5:$K$504,MATCH(A1910,Maniobras!$A$5:$A$504,0)),""))</f>
        <v/>
      </c>
      <c r="G1910" s="29"/>
      <c r="H1910" s="29"/>
      <c r="I1910" s="29" t="str">
        <f t="shared" si="59"/>
        <v/>
      </c>
      <c r="K1910" s="30"/>
      <c r="M1910" t="str">
        <f>IF($A1910=Ficha!$B$3,COUNTIF($A$5:$A1910,Ficha!$B$3),"")</f>
        <v/>
      </c>
    </row>
    <row r="1911" spans="2:13" x14ac:dyDescent="0.3">
      <c r="B1911" s="30" t="str">
        <f>IF(A1911="","",IFERROR(INDEX(Maniobras!$B$5:$B$504,MATCH(A1911,Maniobras!$A$5:$A$504,0)),""))</f>
        <v/>
      </c>
      <c r="C1911" t="str">
        <f t="shared" si="58"/>
        <v/>
      </c>
      <c r="D1911" t="str">
        <f>IF(A1911="","",IFERROR(INDEX(Maniobras!$D$5:$D$504,MATCH(A1911,Maniobras!$A$5:$A$504,0)),""))</f>
        <v/>
      </c>
      <c r="F1911" s="29" t="str">
        <f>IF(A1911="","",IFERROR(INDEX(Maniobras!$K$5:$K$504,MATCH(A1911,Maniobras!$A$5:$A$504,0)),""))</f>
        <v/>
      </c>
      <c r="G1911" s="29"/>
      <c r="H1911" s="29"/>
      <c r="I1911" s="29" t="str">
        <f t="shared" si="59"/>
        <v/>
      </c>
      <c r="K1911" s="30"/>
      <c r="M1911" t="str">
        <f>IF($A1911=Ficha!$B$3,COUNTIF($A$5:$A1911,Ficha!$B$3),"")</f>
        <v/>
      </c>
    </row>
    <row r="1912" spans="2:13" x14ac:dyDescent="0.3">
      <c r="B1912" s="30" t="str">
        <f>IF(A1912="","",IFERROR(INDEX(Maniobras!$B$5:$B$504,MATCH(A1912,Maniobras!$A$5:$A$504,0)),""))</f>
        <v/>
      </c>
      <c r="C1912" t="str">
        <f t="shared" si="58"/>
        <v/>
      </c>
      <c r="D1912" t="str">
        <f>IF(A1912="","",IFERROR(INDEX(Maniobras!$D$5:$D$504,MATCH(A1912,Maniobras!$A$5:$A$504,0)),""))</f>
        <v/>
      </c>
      <c r="F1912" s="29" t="str">
        <f>IF(A1912="","",IFERROR(INDEX(Maniobras!$K$5:$K$504,MATCH(A1912,Maniobras!$A$5:$A$504,0)),""))</f>
        <v/>
      </c>
      <c r="G1912" s="29"/>
      <c r="H1912" s="29"/>
      <c r="I1912" s="29" t="str">
        <f t="shared" si="59"/>
        <v/>
      </c>
      <c r="K1912" s="30"/>
      <c r="M1912" t="str">
        <f>IF($A1912=Ficha!$B$3,COUNTIF($A$5:$A1912,Ficha!$B$3),"")</f>
        <v/>
      </c>
    </row>
    <row r="1913" spans="2:13" x14ac:dyDescent="0.3">
      <c r="B1913" s="30" t="str">
        <f>IF(A1913="","",IFERROR(INDEX(Maniobras!$B$5:$B$504,MATCH(A1913,Maniobras!$A$5:$A$504,0)),""))</f>
        <v/>
      </c>
      <c r="C1913" t="str">
        <f t="shared" si="58"/>
        <v/>
      </c>
      <c r="D1913" t="str">
        <f>IF(A1913="","",IFERROR(INDEX(Maniobras!$D$5:$D$504,MATCH(A1913,Maniobras!$A$5:$A$504,0)),""))</f>
        <v/>
      </c>
      <c r="F1913" s="29" t="str">
        <f>IF(A1913="","",IFERROR(INDEX(Maniobras!$K$5:$K$504,MATCH(A1913,Maniobras!$A$5:$A$504,0)),""))</f>
        <v/>
      </c>
      <c r="G1913" s="29"/>
      <c r="H1913" s="29"/>
      <c r="I1913" s="29" t="str">
        <f t="shared" si="59"/>
        <v/>
      </c>
      <c r="K1913" s="30"/>
      <c r="M1913" t="str">
        <f>IF($A1913=Ficha!$B$3,COUNTIF($A$5:$A1913,Ficha!$B$3),"")</f>
        <v/>
      </c>
    </row>
    <row r="1914" spans="2:13" x14ac:dyDescent="0.3">
      <c r="B1914" s="30" t="str">
        <f>IF(A1914="","",IFERROR(INDEX(Maniobras!$B$5:$B$504,MATCH(A1914,Maniobras!$A$5:$A$504,0)),""))</f>
        <v/>
      </c>
      <c r="C1914" t="str">
        <f t="shared" si="58"/>
        <v/>
      </c>
      <c r="D1914" t="str">
        <f>IF(A1914="","",IFERROR(INDEX(Maniobras!$D$5:$D$504,MATCH(A1914,Maniobras!$A$5:$A$504,0)),""))</f>
        <v/>
      </c>
      <c r="F1914" s="29" t="str">
        <f>IF(A1914="","",IFERROR(INDEX(Maniobras!$K$5:$K$504,MATCH(A1914,Maniobras!$A$5:$A$504,0)),""))</f>
        <v/>
      </c>
      <c r="G1914" s="29"/>
      <c r="H1914" s="29"/>
      <c r="I1914" s="29" t="str">
        <f t="shared" si="59"/>
        <v/>
      </c>
      <c r="K1914" s="30"/>
      <c r="M1914" t="str">
        <f>IF($A1914=Ficha!$B$3,COUNTIF($A$5:$A1914,Ficha!$B$3),"")</f>
        <v/>
      </c>
    </row>
    <row r="1915" spans="2:13" x14ac:dyDescent="0.3">
      <c r="B1915" s="30" t="str">
        <f>IF(A1915="","",IFERROR(INDEX(Maniobras!$B$5:$B$504,MATCH(A1915,Maniobras!$A$5:$A$504,0)),""))</f>
        <v/>
      </c>
      <c r="C1915" t="str">
        <f t="shared" si="58"/>
        <v/>
      </c>
      <c r="D1915" t="str">
        <f>IF(A1915="","",IFERROR(INDEX(Maniobras!$D$5:$D$504,MATCH(A1915,Maniobras!$A$5:$A$504,0)),""))</f>
        <v/>
      </c>
      <c r="F1915" s="29" t="str">
        <f>IF(A1915="","",IFERROR(INDEX(Maniobras!$K$5:$K$504,MATCH(A1915,Maniobras!$A$5:$A$504,0)),""))</f>
        <v/>
      </c>
      <c r="G1915" s="29"/>
      <c r="H1915" s="29"/>
      <c r="I1915" s="29" t="str">
        <f t="shared" si="59"/>
        <v/>
      </c>
      <c r="K1915" s="30"/>
      <c r="M1915" t="str">
        <f>IF($A1915=Ficha!$B$3,COUNTIF($A$5:$A1915,Ficha!$B$3),"")</f>
        <v/>
      </c>
    </row>
    <row r="1916" spans="2:13" x14ac:dyDescent="0.3">
      <c r="B1916" s="30" t="str">
        <f>IF(A1916="","",IFERROR(INDEX(Maniobras!$B$5:$B$504,MATCH(A1916,Maniobras!$A$5:$A$504,0)),""))</f>
        <v/>
      </c>
      <c r="C1916" t="str">
        <f t="shared" si="58"/>
        <v/>
      </c>
      <c r="D1916" t="str">
        <f>IF(A1916="","",IFERROR(INDEX(Maniobras!$D$5:$D$504,MATCH(A1916,Maniobras!$A$5:$A$504,0)),""))</f>
        <v/>
      </c>
      <c r="F1916" s="29" t="str">
        <f>IF(A1916="","",IFERROR(INDEX(Maniobras!$K$5:$K$504,MATCH(A1916,Maniobras!$A$5:$A$504,0)),""))</f>
        <v/>
      </c>
      <c r="G1916" s="29"/>
      <c r="H1916" s="29"/>
      <c r="I1916" s="29" t="str">
        <f t="shared" si="59"/>
        <v/>
      </c>
      <c r="K1916" s="30"/>
      <c r="M1916" t="str">
        <f>IF($A1916=Ficha!$B$3,COUNTIF($A$5:$A1916,Ficha!$B$3),"")</f>
        <v/>
      </c>
    </row>
    <row r="1917" spans="2:13" x14ac:dyDescent="0.3">
      <c r="B1917" s="30" t="str">
        <f>IF(A1917="","",IFERROR(INDEX(Maniobras!$B$5:$B$504,MATCH(A1917,Maniobras!$A$5:$A$504,0)),""))</f>
        <v/>
      </c>
      <c r="C1917" t="str">
        <f t="shared" si="58"/>
        <v/>
      </c>
      <c r="D1917" t="str">
        <f>IF(A1917="","",IFERROR(INDEX(Maniobras!$D$5:$D$504,MATCH(A1917,Maniobras!$A$5:$A$504,0)),""))</f>
        <v/>
      </c>
      <c r="F1917" s="29" t="str">
        <f>IF(A1917="","",IFERROR(INDEX(Maniobras!$K$5:$K$504,MATCH(A1917,Maniobras!$A$5:$A$504,0)),""))</f>
        <v/>
      </c>
      <c r="G1917" s="29"/>
      <c r="H1917" s="29"/>
      <c r="I1917" s="29" t="str">
        <f t="shared" si="59"/>
        <v/>
      </c>
      <c r="K1917" s="30"/>
      <c r="M1917" t="str">
        <f>IF($A1917=Ficha!$B$3,COUNTIF($A$5:$A1917,Ficha!$B$3),"")</f>
        <v/>
      </c>
    </row>
    <row r="1918" spans="2:13" x14ac:dyDescent="0.3">
      <c r="B1918" s="30" t="str">
        <f>IF(A1918="","",IFERROR(INDEX(Maniobras!$B$5:$B$504,MATCH(A1918,Maniobras!$A$5:$A$504,0)),""))</f>
        <v/>
      </c>
      <c r="C1918" t="str">
        <f t="shared" si="58"/>
        <v/>
      </c>
      <c r="D1918" t="str">
        <f>IF(A1918="","",IFERROR(INDEX(Maniobras!$D$5:$D$504,MATCH(A1918,Maniobras!$A$5:$A$504,0)),""))</f>
        <v/>
      </c>
      <c r="F1918" s="29" t="str">
        <f>IF(A1918="","",IFERROR(INDEX(Maniobras!$K$5:$K$504,MATCH(A1918,Maniobras!$A$5:$A$504,0)),""))</f>
        <v/>
      </c>
      <c r="G1918" s="29"/>
      <c r="H1918" s="29"/>
      <c r="I1918" s="29" t="str">
        <f t="shared" si="59"/>
        <v/>
      </c>
      <c r="K1918" s="30"/>
      <c r="M1918" t="str">
        <f>IF($A1918=Ficha!$B$3,COUNTIF($A$5:$A1918,Ficha!$B$3),"")</f>
        <v/>
      </c>
    </row>
    <row r="1919" spans="2:13" x14ac:dyDescent="0.3">
      <c r="B1919" s="30" t="str">
        <f>IF(A1919="","",IFERROR(INDEX(Maniobras!$B$5:$B$504,MATCH(A1919,Maniobras!$A$5:$A$504,0)),""))</f>
        <v/>
      </c>
      <c r="C1919" t="str">
        <f t="shared" si="58"/>
        <v/>
      </c>
      <c r="D1919" t="str">
        <f>IF(A1919="","",IFERROR(INDEX(Maniobras!$D$5:$D$504,MATCH(A1919,Maniobras!$A$5:$A$504,0)),""))</f>
        <v/>
      </c>
      <c r="F1919" s="29" t="str">
        <f>IF(A1919="","",IFERROR(INDEX(Maniobras!$K$5:$K$504,MATCH(A1919,Maniobras!$A$5:$A$504,0)),""))</f>
        <v/>
      </c>
      <c r="G1919" s="29"/>
      <c r="H1919" s="29"/>
      <c r="I1919" s="29" t="str">
        <f t="shared" si="59"/>
        <v/>
      </c>
      <c r="K1919" s="30"/>
      <c r="M1919" t="str">
        <f>IF($A1919=Ficha!$B$3,COUNTIF($A$5:$A1919,Ficha!$B$3),"")</f>
        <v/>
      </c>
    </row>
    <row r="1920" spans="2:13" x14ac:dyDescent="0.3">
      <c r="B1920" s="30" t="str">
        <f>IF(A1920="","",IFERROR(INDEX(Maniobras!$B$5:$B$504,MATCH(A1920,Maniobras!$A$5:$A$504,0)),""))</f>
        <v/>
      </c>
      <c r="C1920" t="str">
        <f t="shared" si="58"/>
        <v/>
      </c>
      <c r="D1920" t="str">
        <f>IF(A1920="","",IFERROR(INDEX(Maniobras!$D$5:$D$504,MATCH(A1920,Maniobras!$A$5:$A$504,0)),""))</f>
        <v/>
      </c>
      <c r="F1920" s="29" t="str">
        <f>IF(A1920="","",IFERROR(INDEX(Maniobras!$K$5:$K$504,MATCH(A1920,Maniobras!$A$5:$A$504,0)),""))</f>
        <v/>
      </c>
      <c r="G1920" s="29"/>
      <c r="H1920" s="29"/>
      <c r="I1920" s="29" t="str">
        <f t="shared" si="59"/>
        <v/>
      </c>
      <c r="K1920" s="30"/>
      <c r="M1920" t="str">
        <f>IF($A1920=Ficha!$B$3,COUNTIF($A$5:$A1920,Ficha!$B$3),"")</f>
        <v/>
      </c>
    </row>
    <row r="1921" spans="2:13" x14ac:dyDescent="0.3">
      <c r="B1921" s="30" t="str">
        <f>IF(A1921="","",IFERROR(INDEX(Maniobras!$B$5:$B$504,MATCH(A1921,Maniobras!$A$5:$A$504,0)),""))</f>
        <v/>
      </c>
      <c r="C1921" t="str">
        <f t="shared" si="58"/>
        <v/>
      </c>
      <c r="D1921" t="str">
        <f>IF(A1921="","",IFERROR(INDEX(Maniobras!$D$5:$D$504,MATCH(A1921,Maniobras!$A$5:$A$504,0)),""))</f>
        <v/>
      </c>
      <c r="F1921" s="29" t="str">
        <f>IF(A1921="","",IFERROR(INDEX(Maniobras!$K$5:$K$504,MATCH(A1921,Maniobras!$A$5:$A$504,0)),""))</f>
        <v/>
      </c>
      <c r="G1921" s="29"/>
      <c r="H1921" s="29"/>
      <c r="I1921" s="29" t="str">
        <f t="shared" si="59"/>
        <v/>
      </c>
      <c r="K1921" s="30"/>
      <c r="M1921" t="str">
        <f>IF($A1921=Ficha!$B$3,COUNTIF($A$5:$A1921,Ficha!$B$3),"")</f>
        <v/>
      </c>
    </row>
    <row r="1922" spans="2:13" x14ac:dyDescent="0.3">
      <c r="B1922" s="30" t="str">
        <f>IF(A1922="","",IFERROR(INDEX(Maniobras!$B$5:$B$504,MATCH(A1922,Maniobras!$A$5:$A$504,0)),""))</f>
        <v/>
      </c>
      <c r="C1922" t="str">
        <f t="shared" si="58"/>
        <v/>
      </c>
      <c r="D1922" t="str">
        <f>IF(A1922="","",IFERROR(INDEX(Maniobras!$D$5:$D$504,MATCH(A1922,Maniobras!$A$5:$A$504,0)),""))</f>
        <v/>
      </c>
      <c r="F1922" s="29" t="str">
        <f>IF(A1922="","",IFERROR(INDEX(Maniobras!$K$5:$K$504,MATCH(A1922,Maniobras!$A$5:$A$504,0)),""))</f>
        <v/>
      </c>
      <c r="G1922" s="29"/>
      <c r="H1922" s="29"/>
      <c r="I1922" s="29" t="str">
        <f t="shared" si="59"/>
        <v/>
      </c>
      <c r="K1922" s="30"/>
      <c r="M1922" t="str">
        <f>IF($A1922=Ficha!$B$3,COUNTIF($A$5:$A1922,Ficha!$B$3),"")</f>
        <v/>
      </c>
    </row>
    <row r="1923" spans="2:13" x14ac:dyDescent="0.3">
      <c r="B1923" s="30" t="str">
        <f>IF(A1923="","",IFERROR(INDEX(Maniobras!$B$5:$B$504,MATCH(A1923,Maniobras!$A$5:$A$504,0)),""))</f>
        <v/>
      </c>
      <c r="C1923" t="str">
        <f t="shared" si="58"/>
        <v/>
      </c>
      <c r="D1923" t="str">
        <f>IF(A1923="","",IFERROR(INDEX(Maniobras!$D$5:$D$504,MATCH(A1923,Maniobras!$A$5:$A$504,0)),""))</f>
        <v/>
      </c>
      <c r="F1923" s="29" t="str">
        <f>IF(A1923="","",IFERROR(INDEX(Maniobras!$K$5:$K$504,MATCH(A1923,Maniobras!$A$5:$A$504,0)),""))</f>
        <v/>
      </c>
      <c r="G1923" s="29"/>
      <c r="H1923" s="29"/>
      <c r="I1923" s="29" t="str">
        <f t="shared" si="59"/>
        <v/>
      </c>
      <c r="K1923" s="30"/>
      <c r="M1923" t="str">
        <f>IF($A1923=Ficha!$B$3,COUNTIF($A$5:$A1923,Ficha!$B$3),"")</f>
        <v/>
      </c>
    </row>
    <row r="1924" spans="2:13" x14ac:dyDescent="0.3">
      <c r="B1924" s="30" t="str">
        <f>IF(A1924="","",IFERROR(INDEX(Maniobras!$B$5:$B$504,MATCH(A1924,Maniobras!$A$5:$A$504,0)),""))</f>
        <v/>
      </c>
      <c r="C1924" t="str">
        <f t="shared" si="58"/>
        <v/>
      </c>
      <c r="D1924" t="str">
        <f>IF(A1924="","",IFERROR(INDEX(Maniobras!$D$5:$D$504,MATCH(A1924,Maniobras!$A$5:$A$504,0)),""))</f>
        <v/>
      </c>
      <c r="F1924" s="29" t="str">
        <f>IF(A1924="","",IFERROR(INDEX(Maniobras!$K$5:$K$504,MATCH(A1924,Maniobras!$A$5:$A$504,0)),""))</f>
        <v/>
      </c>
      <c r="G1924" s="29"/>
      <c r="H1924" s="29"/>
      <c r="I1924" s="29" t="str">
        <f t="shared" si="59"/>
        <v/>
      </c>
      <c r="K1924" s="30"/>
      <c r="M1924" t="str">
        <f>IF($A1924=Ficha!$B$3,COUNTIF($A$5:$A1924,Ficha!$B$3),"")</f>
        <v/>
      </c>
    </row>
    <row r="1925" spans="2:13" x14ac:dyDescent="0.3">
      <c r="B1925" s="30" t="str">
        <f>IF(A1925="","",IFERROR(INDEX(Maniobras!$B$5:$B$504,MATCH(A1925,Maniobras!$A$5:$A$504,0)),""))</f>
        <v/>
      </c>
      <c r="C1925" t="str">
        <f t="shared" ref="C1925:C1988" si="60">IF(B1925="","",TEXT(B1925,"yyyy-mm"))</f>
        <v/>
      </c>
      <c r="D1925" t="str">
        <f>IF(A1925="","",IFERROR(INDEX(Maniobras!$D$5:$D$504,MATCH(A1925,Maniobras!$A$5:$A$504,0)),""))</f>
        <v/>
      </c>
      <c r="F1925" s="29" t="str">
        <f>IF(A1925="","",IFERROR(INDEX(Maniobras!$K$5:$K$504,MATCH(A1925,Maniobras!$A$5:$A$504,0)),""))</f>
        <v/>
      </c>
      <c r="G1925" s="29"/>
      <c r="H1925" s="29"/>
      <c r="I1925" s="29" t="str">
        <f t="shared" ref="I1925:I1988" si="61">IF(G1925="","",G1925+N(H1925))</f>
        <v/>
      </c>
      <c r="K1925" s="30"/>
      <c r="M1925" t="str">
        <f>IF($A1925=Ficha!$B$3,COUNTIF($A$5:$A1925,Ficha!$B$3),"")</f>
        <v/>
      </c>
    </row>
    <row r="1926" spans="2:13" x14ac:dyDescent="0.3">
      <c r="B1926" s="30" t="str">
        <f>IF(A1926="","",IFERROR(INDEX(Maniobras!$B$5:$B$504,MATCH(A1926,Maniobras!$A$5:$A$504,0)),""))</f>
        <v/>
      </c>
      <c r="C1926" t="str">
        <f t="shared" si="60"/>
        <v/>
      </c>
      <c r="D1926" t="str">
        <f>IF(A1926="","",IFERROR(INDEX(Maniobras!$D$5:$D$504,MATCH(A1926,Maniobras!$A$5:$A$504,0)),""))</f>
        <v/>
      </c>
      <c r="F1926" s="29" t="str">
        <f>IF(A1926="","",IFERROR(INDEX(Maniobras!$K$5:$K$504,MATCH(A1926,Maniobras!$A$5:$A$504,0)),""))</f>
        <v/>
      </c>
      <c r="G1926" s="29"/>
      <c r="H1926" s="29"/>
      <c r="I1926" s="29" t="str">
        <f t="shared" si="61"/>
        <v/>
      </c>
      <c r="K1926" s="30"/>
      <c r="M1926" t="str">
        <f>IF($A1926=Ficha!$B$3,COUNTIF($A$5:$A1926,Ficha!$B$3),"")</f>
        <v/>
      </c>
    </row>
    <row r="1927" spans="2:13" x14ac:dyDescent="0.3">
      <c r="B1927" s="30" t="str">
        <f>IF(A1927="","",IFERROR(INDEX(Maniobras!$B$5:$B$504,MATCH(A1927,Maniobras!$A$5:$A$504,0)),""))</f>
        <v/>
      </c>
      <c r="C1927" t="str">
        <f t="shared" si="60"/>
        <v/>
      </c>
      <c r="D1927" t="str">
        <f>IF(A1927="","",IFERROR(INDEX(Maniobras!$D$5:$D$504,MATCH(A1927,Maniobras!$A$5:$A$504,0)),""))</f>
        <v/>
      </c>
      <c r="F1927" s="29" t="str">
        <f>IF(A1927="","",IFERROR(INDEX(Maniobras!$K$5:$K$504,MATCH(A1927,Maniobras!$A$5:$A$504,0)),""))</f>
        <v/>
      </c>
      <c r="G1927" s="29"/>
      <c r="H1927" s="29"/>
      <c r="I1927" s="29" t="str">
        <f t="shared" si="61"/>
        <v/>
      </c>
      <c r="K1927" s="30"/>
      <c r="M1927" t="str">
        <f>IF($A1927=Ficha!$B$3,COUNTIF($A$5:$A1927,Ficha!$B$3),"")</f>
        <v/>
      </c>
    </row>
    <row r="1928" spans="2:13" x14ac:dyDescent="0.3">
      <c r="B1928" s="30" t="str">
        <f>IF(A1928="","",IFERROR(INDEX(Maniobras!$B$5:$B$504,MATCH(A1928,Maniobras!$A$5:$A$504,0)),""))</f>
        <v/>
      </c>
      <c r="C1928" t="str">
        <f t="shared" si="60"/>
        <v/>
      </c>
      <c r="D1928" t="str">
        <f>IF(A1928="","",IFERROR(INDEX(Maniobras!$D$5:$D$504,MATCH(A1928,Maniobras!$A$5:$A$504,0)),""))</f>
        <v/>
      </c>
      <c r="F1928" s="29" t="str">
        <f>IF(A1928="","",IFERROR(INDEX(Maniobras!$K$5:$K$504,MATCH(A1928,Maniobras!$A$5:$A$504,0)),""))</f>
        <v/>
      </c>
      <c r="G1928" s="29"/>
      <c r="H1928" s="29"/>
      <c r="I1928" s="29" t="str">
        <f t="shared" si="61"/>
        <v/>
      </c>
      <c r="K1928" s="30"/>
      <c r="M1928" t="str">
        <f>IF($A1928=Ficha!$B$3,COUNTIF($A$5:$A1928,Ficha!$B$3),"")</f>
        <v/>
      </c>
    </row>
    <row r="1929" spans="2:13" x14ac:dyDescent="0.3">
      <c r="B1929" s="30" t="str">
        <f>IF(A1929="","",IFERROR(INDEX(Maniobras!$B$5:$B$504,MATCH(A1929,Maniobras!$A$5:$A$504,0)),""))</f>
        <v/>
      </c>
      <c r="C1929" t="str">
        <f t="shared" si="60"/>
        <v/>
      </c>
      <c r="D1929" t="str">
        <f>IF(A1929="","",IFERROR(INDEX(Maniobras!$D$5:$D$504,MATCH(A1929,Maniobras!$A$5:$A$504,0)),""))</f>
        <v/>
      </c>
      <c r="F1929" s="29" t="str">
        <f>IF(A1929="","",IFERROR(INDEX(Maniobras!$K$5:$K$504,MATCH(A1929,Maniobras!$A$5:$A$504,0)),""))</f>
        <v/>
      </c>
      <c r="G1929" s="29"/>
      <c r="H1929" s="29"/>
      <c r="I1929" s="29" t="str">
        <f t="shared" si="61"/>
        <v/>
      </c>
      <c r="K1929" s="30"/>
      <c r="M1929" t="str">
        <f>IF($A1929=Ficha!$B$3,COUNTIF($A$5:$A1929,Ficha!$B$3),"")</f>
        <v/>
      </c>
    </row>
    <row r="1930" spans="2:13" x14ac:dyDescent="0.3">
      <c r="B1930" s="30" t="str">
        <f>IF(A1930="","",IFERROR(INDEX(Maniobras!$B$5:$B$504,MATCH(A1930,Maniobras!$A$5:$A$504,0)),""))</f>
        <v/>
      </c>
      <c r="C1930" t="str">
        <f t="shared" si="60"/>
        <v/>
      </c>
      <c r="D1930" t="str">
        <f>IF(A1930="","",IFERROR(INDEX(Maniobras!$D$5:$D$504,MATCH(A1930,Maniobras!$A$5:$A$504,0)),""))</f>
        <v/>
      </c>
      <c r="F1930" s="29" t="str">
        <f>IF(A1930="","",IFERROR(INDEX(Maniobras!$K$5:$K$504,MATCH(A1930,Maniobras!$A$5:$A$504,0)),""))</f>
        <v/>
      </c>
      <c r="G1930" s="29"/>
      <c r="H1930" s="29"/>
      <c r="I1930" s="29" t="str">
        <f t="shared" si="61"/>
        <v/>
      </c>
      <c r="K1930" s="30"/>
      <c r="M1930" t="str">
        <f>IF($A1930=Ficha!$B$3,COUNTIF($A$5:$A1930,Ficha!$B$3),"")</f>
        <v/>
      </c>
    </row>
    <row r="1931" spans="2:13" x14ac:dyDescent="0.3">
      <c r="B1931" s="30" t="str">
        <f>IF(A1931="","",IFERROR(INDEX(Maniobras!$B$5:$B$504,MATCH(A1931,Maniobras!$A$5:$A$504,0)),""))</f>
        <v/>
      </c>
      <c r="C1931" t="str">
        <f t="shared" si="60"/>
        <v/>
      </c>
      <c r="D1931" t="str">
        <f>IF(A1931="","",IFERROR(INDEX(Maniobras!$D$5:$D$504,MATCH(A1931,Maniobras!$A$5:$A$504,0)),""))</f>
        <v/>
      </c>
      <c r="F1931" s="29" t="str">
        <f>IF(A1931="","",IFERROR(INDEX(Maniobras!$K$5:$K$504,MATCH(A1931,Maniobras!$A$5:$A$504,0)),""))</f>
        <v/>
      </c>
      <c r="G1931" s="29"/>
      <c r="H1931" s="29"/>
      <c r="I1931" s="29" t="str">
        <f t="shared" si="61"/>
        <v/>
      </c>
      <c r="K1931" s="30"/>
      <c r="M1931" t="str">
        <f>IF($A1931=Ficha!$B$3,COUNTIF($A$5:$A1931,Ficha!$B$3),"")</f>
        <v/>
      </c>
    </row>
    <row r="1932" spans="2:13" x14ac:dyDescent="0.3">
      <c r="B1932" s="30" t="str">
        <f>IF(A1932="","",IFERROR(INDEX(Maniobras!$B$5:$B$504,MATCH(A1932,Maniobras!$A$5:$A$504,0)),""))</f>
        <v/>
      </c>
      <c r="C1932" t="str">
        <f t="shared" si="60"/>
        <v/>
      </c>
      <c r="D1932" t="str">
        <f>IF(A1932="","",IFERROR(INDEX(Maniobras!$D$5:$D$504,MATCH(A1932,Maniobras!$A$5:$A$504,0)),""))</f>
        <v/>
      </c>
      <c r="F1932" s="29" t="str">
        <f>IF(A1932="","",IFERROR(INDEX(Maniobras!$K$5:$K$504,MATCH(A1932,Maniobras!$A$5:$A$504,0)),""))</f>
        <v/>
      </c>
      <c r="G1932" s="29"/>
      <c r="H1932" s="29"/>
      <c r="I1932" s="29" t="str">
        <f t="shared" si="61"/>
        <v/>
      </c>
      <c r="K1932" s="30"/>
      <c r="M1932" t="str">
        <f>IF($A1932=Ficha!$B$3,COUNTIF($A$5:$A1932,Ficha!$B$3),"")</f>
        <v/>
      </c>
    </row>
    <row r="1933" spans="2:13" x14ac:dyDescent="0.3">
      <c r="B1933" s="30" t="str">
        <f>IF(A1933="","",IFERROR(INDEX(Maniobras!$B$5:$B$504,MATCH(A1933,Maniobras!$A$5:$A$504,0)),""))</f>
        <v/>
      </c>
      <c r="C1933" t="str">
        <f t="shared" si="60"/>
        <v/>
      </c>
      <c r="D1933" t="str">
        <f>IF(A1933="","",IFERROR(INDEX(Maniobras!$D$5:$D$504,MATCH(A1933,Maniobras!$A$5:$A$504,0)),""))</f>
        <v/>
      </c>
      <c r="F1933" s="29" t="str">
        <f>IF(A1933="","",IFERROR(INDEX(Maniobras!$K$5:$K$504,MATCH(A1933,Maniobras!$A$5:$A$504,0)),""))</f>
        <v/>
      </c>
      <c r="G1933" s="29"/>
      <c r="H1933" s="29"/>
      <c r="I1933" s="29" t="str">
        <f t="shared" si="61"/>
        <v/>
      </c>
      <c r="K1933" s="30"/>
      <c r="M1933" t="str">
        <f>IF($A1933=Ficha!$B$3,COUNTIF($A$5:$A1933,Ficha!$B$3),"")</f>
        <v/>
      </c>
    </row>
    <row r="1934" spans="2:13" x14ac:dyDescent="0.3">
      <c r="B1934" s="30" t="str">
        <f>IF(A1934="","",IFERROR(INDEX(Maniobras!$B$5:$B$504,MATCH(A1934,Maniobras!$A$5:$A$504,0)),""))</f>
        <v/>
      </c>
      <c r="C1934" t="str">
        <f t="shared" si="60"/>
        <v/>
      </c>
      <c r="D1934" t="str">
        <f>IF(A1934="","",IFERROR(INDEX(Maniobras!$D$5:$D$504,MATCH(A1934,Maniobras!$A$5:$A$504,0)),""))</f>
        <v/>
      </c>
      <c r="F1934" s="29" t="str">
        <f>IF(A1934="","",IFERROR(INDEX(Maniobras!$K$5:$K$504,MATCH(A1934,Maniobras!$A$5:$A$504,0)),""))</f>
        <v/>
      </c>
      <c r="G1934" s="29"/>
      <c r="H1934" s="29"/>
      <c r="I1934" s="29" t="str">
        <f t="shared" si="61"/>
        <v/>
      </c>
      <c r="K1934" s="30"/>
      <c r="M1934" t="str">
        <f>IF($A1934=Ficha!$B$3,COUNTIF($A$5:$A1934,Ficha!$B$3),"")</f>
        <v/>
      </c>
    </row>
    <row r="1935" spans="2:13" x14ac:dyDescent="0.3">
      <c r="B1935" s="30" t="str">
        <f>IF(A1935="","",IFERROR(INDEX(Maniobras!$B$5:$B$504,MATCH(A1935,Maniobras!$A$5:$A$504,0)),""))</f>
        <v/>
      </c>
      <c r="C1935" t="str">
        <f t="shared" si="60"/>
        <v/>
      </c>
      <c r="D1935" t="str">
        <f>IF(A1935="","",IFERROR(INDEX(Maniobras!$D$5:$D$504,MATCH(A1935,Maniobras!$A$5:$A$504,0)),""))</f>
        <v/>
      </c>
      <c r="F1935" s="29" t="str">
        <f>IF(A1935="","",IFERROR(INDEX(Maniobras!$K$5:$K$504,MATCH(A1935,Maniobras!$A$5:$A$504,0)),""))</f>
        <v/>
      </c>
      <c r="G1935" s="29"/>
      <c r="H1935" s="29"/>
      <c r="I1935" s="29" t="str">
        <f t="shared" si="61"/>
        <v/>
      </c>
      <c r="K1935" s="30"/>
      <c r="M1935" t="str">
        <f>IF($A1935=Ficha!$B$3,COUNTIF($A$5:$A1935,Ficha!$B$3),"")</f>
        <v/>
      </c>
    </row>
    <row r="1936" spans="2:13" x14ac:dyDescent="0.3">
      <c r="B1936" s="30" t="str">
        <f>IF(A1936="","",IFERROR(INDEX(Maniobras!$B$5:$B$504,MATCH(A1936,Maniobras!$A$5:$A$504,0)),""))</f>
        <v/>
      </c>
      <c r="C1936" t="str">
        <f t="shared" si="60"/>
        <v/>
      </c>
      <c r="D1936" t="str">
        <f>IF(A1936="","",IFERROR(INDEX(Maniobras!$D$5:$D$504,MATCH(A1936,Maniobras!$A$5:$A$504,0)),""))</f>
        <v/>
      </c>
      <c r="F1936" s="29" t="str">
        <f>IF(A1936="","",IFERROR(INDEX(Maniobras!$K$5:$K$504,MATCH(A1936,Maniobras!$A$5:$A$504,0)),""))</f>
        <v/>
      </c>
      <c r="G1936" s="29"/>
      <c r="H1936" s="29"/>
      <c r="I1936" s="29" t="str">
        <f t="shared" si="61"/>
        <v/>
      </c>
      <c r="K1936" s="30"/>
      <c r="M1936" t="str">
        <f>IF($A1936=Ficha!$B$3,COUNTIF($A$5:$A1936,Ficha!$B$3),"")</f>
        <v/>
      </c>
    </row>
    <row r="1937" spans="2:13" x14ac:dyDescent="0.3">
      <c r="B1937" s="30" t="str">
        <f>IF(A1937="","",IFERROR(INDEX(Maniobras!$B$5:$B$504,MATCH(A1937,Maniobras!$A$5:$A$504,0)),""))</f>
        <v/>
      </c>
      <c r="C1937" t="str">
        <f t="shared" si="60"/>
        <v/>
      </c>
      <c r="D1937" t="str">
        <f>IF(A1937="","",IFERROR(INDEX(Maniobras!$D$5:$D$504,MATCH(A1937,Maniobras!$A$5:$A$504,0)),""))</f>
        <v/>
      </c>
      <c r="F1937" s="29" t="str">
        <f>IF(A1937="","",IFERROR(INDEX(Maniobras!$K$5:$K$504,MATCH(A1937,Maniobras!$A$5:$A$504,0)),""))</f>
        <v/>
      </c>
      <c r="G1937" s="29"/>
      <c r="H1937" s="29"/>
      <c r="I1937" s="29" t="str">
        <f t="shared" si="61"/>
        <v/>
      </c>
      <c r="K1937" s="30"/>
      <c r="M1937" t="str">
        <f>IF($A1937=Ficha!$B$3,COUNTIF($A$5:$A1937,Ficha!$B$3),"")</f>
        <v/>
      </c>
    </row>
    <row r="1938" spans="2:13" x14ac:dyDescent="0.3">
      <c r="B1938" s="30" t="str">
        <f>IF(A1938="","",IFERROR(INDEX(Maniobras!$B$5:$B$504,MATCH(A1938,Maniobras!$A$5:$A$504,0)),""))</f>
        <v/>
      </c>
      <c r="C1938" t="str">
        <f t="shared" si="60"/>
        <v/>
      </c>
      <c r="D1938" t="str">
        <f>IF(A1938="","",IFERROR(INDEX(Maniobras!$D$5:$D$504,MATCH(A1938,Maniobras!$A$5:$A$504,0)),""))</f>
        <v/>
      </c>
      <c r="F1938" s="29" t="str">
        <f>IF(A1938="","",IFERROR(INDEX(Maniobras!$K$5:$K$504,MATCH(A1938,Maniobras!$A$5:$A$504,0)),""))</f>
        <v/>
      </c>
      <c r="G1938" s="29"/>
      <c r="H1938" s="29"/>
      <c r="I1938" s="29" t="str">
        <f t="shared" si="61"/>
        <v/>
      </c>
      <c r="K1938" s="30"/>
      <c r="M1938" t="str">
        <f>IF($A1938=Ficha!$B$3,COUNTIF($A$5:$A1938,Ficha!$B$3),"")</f>
        <v/>
      </c>
    </row>
    <row r="1939" spans="2:13" x14ac:dyDescent="0.3">
      <c r="B1939" s="30" t="str">
        <f>IF(A1939="","",IFERROR(INDEX(Maniobras!$B$5:$B$504,MATCH(A1939,Maniobras!$A$5:$A$504,0)),""))</f>
        <v/>
      </c>
      <c r="C1939" t="str">
        <f t="shared" si="60"/>
        <v/>
      </c>
      <c r="D1939" t="str">
        <f>IF(A1939="","",IFERROR(INDEX(Maniobras!$D$5:$D$504,MATCH(A1939,Maniobras!$A$5:$A$504,0)),""))</f>
        <v/>
      </c>
      <c r="F1939" s="29" t="str">
        <f>IF(A1939="","",IFERROR(INDEX(Maniobras!$K$5:$K$504,MATCH(A1939,Maniobras!$A$5:$A$504,0)),""))</f>
        <v/>
      </c>
      <c r="G1939" s="29"/>
      <c r="H1939" s="29"/>
      <c r="I1939" s="29" t="str">
        <f t="shared" si="61"/>
        <v/>
      </c>
      <c r="K1939" s="30"/>
      <c r="M1939" t="str">
        <f>IF($A1939=Ficha!$B$3,COUNTIF($A$5:$A1939,Ficha!$B$3),"")</f>
        <v/>
      </c>
    </row>
    <row r="1940" spans="2:13" x14ac:dyDescent="0.3">
      <c r="B1940" s="30" t="str">
        <f>IF(A1940="","",IFERROR(INDEX(Maniobras!$B$5:$B$504,MATCH(A1940,Maniobras!$A$5:$A$504,0)),""))</f>
        <v/>
      </c>
      <c r="C1940" t="str">
        <f t="shared" si="60"/>
        <v/>
      </c>
      <c r="D1940" t="str">
        <f>IF(A1940="","",IFERROR(INDEX(Maniobras!$D$5:$D$504,MATCH(A1940,Maniobras!$A$5:$A$504,0)),""))</f>
        <v/>
      </c>
      <c r="F1940" s="29" t="str">
        <f>IF(A1940="","",IFERROR(INDEX(Maniobras!$K$5:$K$504,MATCH(A1940,Maniobras!$A$5:$A$504,0)),""))</f>
        <v/>
      </c>
      <c r="G1940" s="29"/>
      <c r="H1940" s="29"/>
      <c r="I1940" s="29" t="str">
        <f t="shared" si="61"/>
        <v/>
      </c>
      <c r="K1940" s="30"/>
      <c r="M1940" t="str">
        <f>IF($A1940=Ficha!$B$3,COUNTIF($A$5:$A1940,Ficha!$B$3),"")</f>
        <v/>
      </c>
    </row>
    <row r="1941" spans="2:13" x14ac:dyDescent="0.3">
      <c r="B1941" s="30" t="str">
        <f>IF(A1941="","",IFERROR(INDEX(Maniobras!$B$5:$B$504,MATCH(A1941,Maniobras!$A$5:$A$504,0)),""))</f>
        <v/>
      </c>
      <c r="C1941" t="str">
        <f t="shared" si="60"/>
        <v/>
      </c>
      <c r="D1941" t="str">
        <f>IF(A1941="","",IFERROR(INDEX(Maniobras!$D$5:$D$504,MATCH(A1941,Maniobras!$A$5:$A$504,0)),""))</f>
        <v/>
      </c>
      <c r="F1941" s="29" t="str">
        <f>IF(A1941="","",IFERROR(INDEX(Maniobras!$K$5:$K$504,MATCH(A1941,Maniobras!$A$5:$A$504,0)),""))</f>
        <v/>
      </c>
      <c r="G1941" s="29"/>
      <c r="H1941" s="29"/>
      <c r="I1941" s="29" t="str">
        <f t="shared" si="61"/>
        <v/>
      </c>
      <c r="K1941" s="30"/>
      <c r="M1941" t="str">
        <f>IF($A1941=Ficha!$B$3,COUNTIF($A$5:$A1941,Ficha!$B$3),"")</f>
        <v/>
      </c>
    </row>
    <row r="1942" spans="2:13" x14ac:dyDescent="0.3">
      <c r="B1942" s="30" t="str">
        <f>IF(A1942="","",IFERROR(INDEX(Maniobras!$B$5:$B$504,MATCH(A1942,Maniobras!$A$5:$A$504,0)),""))</f>
        <v/>
      </c>
      <c r="C1942" t="str">
        <f t="shared" si="60"/>
        <v/>
      </c>
      <c r="D1942" t="str">
        <f>IF(A1942="","",IFERROR(INDEX(Maniobras!$D$5:$D$504,MATCH(A1942,Maniobras!$A$5:$A$504,0)),""))</f>
        <v/>
      </c>
      <c r="F1942" s="29" t="str">
        <f>IF(A1942="","",IFERROR(INDEX(Maniobras!$K$5:$K$504,MATCH(A1942,Maniobras!$A$5:$A$504,0)),""))</f>
        <v/>
      </c>
      <c r="G1942" s="29"/>
      <c r="H1942" s="29"/>
      <c r="I1942" s="29" t="str">
        <f t="shared" si="61"/>
        <v/>
      </c>
      <c r="K1942" s="30"/>
      <c r="M1942" t="str">
        <f>IF($A1942=Ficha!$B$3,COUNTIF($A$5:$A1942,Ficha!$B$3),"")</f>
        <v/>
      </c>
    </row>
    <row r="1943" spans="2:13" x14ac:dyDescent="0.3">
      <c r="B1943" s="30" t="str">
        <f>IF(A1943="","",IFERROR(INDEX(Maniobras!$B$5:$B$504,MATCH(A1943,Maniobras!$A$5:$A$504,0)),""))</f>
        <v/>
      </c>
      <c r="C1943" t="str">
        <f t="shared" si="60"/>
        <v/>
      </c>
      <c r="D1943" t="str">
        <f>IF(A1943="","",IFERROR(INDEX(Maniobras!$D$5:$D$504,MATCH(A1943,Maniobras!$A$5:$A$504,0)),""))</f>
        <v/>
      </c>
      <c r="F1943" s="29" t="str">
        <f>IF(A1943="","",IFERROR(INDEX(Maniobras!$K$5:$K$504,MATCH(A1943,Maniobras!$A$5:$A$504,0)),""))</f>
        <v/>
      </c>
      <c r="G1943" s="29"/>
      <c r="H1943" s="29"/>
      <c r="I1943" s="29" t="str">
        <f t="shared" si="61"/>
        <v/>
      </c>
      <c r="K1943" s="30"/>
      <c r="M1943" t="str">
        <f>IF($A1943=Ficha!$B$3,COUNTIF($A$5:$A1943,Ficha!$B$3),"")</f>
        <v/>
      </c>
    </row>
    <row r="1944" spans="2:13" x14ac:dyDescent="0.3">
      <c r="B1944" s="30" t="str">
        <f>IF(A1944="","",IFERROR(INDEX(Maniobras!$B$5:$B$504,MATCH(A1944,Maniobras!$A$5:$A$504,0)),""))</f>
        <v/>
      </c>
      <c r="C1944" t="str">
        <f t="shared" si="60"/>
        <v/>
      </c>
      <c r="D1944" t="str">
        <f>IF(A1944="","",IFERROR(INDEX(Maniobras!$D$5:$D$504,MATCH(A1944,Maniobras!$A$5:$A$504,0)),""))</f>
        <v/>
      </c>
      <c r="F1944" s="29" t="str">
        <f>IF(A1944="","",IFERROR(INDEX(Maniobras!$K$5:$K$504,MATCH(A1944,Maniobras!$A$5:$A$504,0)),""))</f>
        <v/>
      </c>
      <c r="G1944" s="29"/>
      <c r="H1944" s="29"/>
      <c r="I1944" s="29" t="str">
        <f t="shared" si="61"/>
        <v/>
      </c>
      <c r="K1944" s="30"/>
      <c r="M1944" t="str">
        <f>IF($A1944=Ficha!$B$3,COUNTIF($A$5:$A1944,Ficha!$B$3),"")</f>
        <v/>
      </c>
    </row>
    <row r="1945" spans="2:13" x14ac:dyDescent="0.3">
      <c r="B1945" s="30" t="str">
        <f>IF(A1945="","",IFERROR(INDEX(Maniobras!$B$5:$B$504,MATCH(A1945,Maniobras!$A$5:$A$504,0)),""))</f>
        <v/>
      </c>
      <c r="C1945" t="str">
        <f t="shared" si="60"/>
        <v/>
      </c>
      <c r="D1945" t="str">
        <f>IF(A1945="","",IFERROR(INDEX(Maniobras!$D$5:$D$504,MATCH(A1945,Maniobras!$A$5:$A$504,0)),""))</f>
        <v/>
      </c>
      <c r="F1945" s="29" t="str">
        <f>IF(A1945="","",IFERROR(INDEX(Maniobras!$K$5:$K$504,MATCH(A1945,Maniobras!$A$5:$A$504,0)),""))</f>
        <v/>
      </c>
      <c r="G1945" s="29"/>
      <c r="H1945" s="29"/>
      <c r="I1945" s="29" t="str">
        <f t="shared" si="61"/>
        <v/>
      </c>
      <c r="K1945" s="30"/>
      <c r="M1945" t="str">
        <f>IF($A1945=Ficha!$B$3,COUNTIF($A$5:$A1945,Ficha!$B$3),"")</f>
        <v/>
      </c>
    </row>
    <row r="1946" spans="2:13" x14ac:dyDescent="0.3">
      <c r="B1946" s="30" t="str">
        <f>IF(A1946="","",IFERROR(INDEX(Maniobras!$B$5:$B$504,MATCH(A1946,Maniobras!$A$5:$A$504,0)),""))</f>
        <v/>
      </c>
      <c r="C1946" t="str">
        <f t="shared" si="60"/>
        <v/>
      </c>
      <c r="D1946" t="str">
        <f>IF(A1946="","",IFERROR(INDEX(Maniobras!$D$5:$D$504,MATCH(A1946,Maniobras!$A$5:$A$504,0)),""))</f>
        <v/>
      </c>
      <c r="F1946" s="29" t="str">
        <f>IF(A1946="","",IFERROR(INDEX(Maniobras!$K$5:$K$504,MATCH(A1946,Maniobras!$A$5:$A$504,0)),""))</f>
        <v/>
      </c>
      <c r="G1946" s="29"/>
      <c r="H1946" s="29"/>
      <c r="I1946" s="29" t="str">
        <f t="shared" si="61"/>
        <v/>
      </c>
      <c r="K1946" s="30"/>
      <c r="M1946" t="str">
        <f>IF($A1946=Ficha!$B$3,COUNTIF($A$5:$A1946,Ficha!$B$3),"")</f>
        <v/>
      </c>
    </row>
    <row r="1947" spans="2:13" x14ac:dyDescent="0.3">
      <c r="B1947" s="30" t="str">
        <f>IF(A1947="","",IFERROR(INDEX(Maniobras!$B$5:$B$504,MATCH(A1947,Maniobras!$A$5:$A$504,0)),""))</f>
        <v/>
      </c>
      <c r="C1947" t="str">
        <f t="shared" si="60"/>
        <v/>
      </c>
      <c r="D1947" t="str">
        <f>IF(A1947="","",IFERROR(INDEX(Maniobras!$D$5:$D$504,MATCH(A1947,Maniobras!$A$5:$A$504,0)),""))</f>
        <v/>
      </c>
      <c r="F1947" s="29" t="str">
        <f>IF(A1947="","",IFERROR(INDEX(Maniobras!$K$5:$K$504,MATCH(A1947,Maniobras!$A$5:$A$504,0)),""))</f>
        <v/>
      </c>
      <c r="G1947" s="29"/>
      <c r="H1947" s="29"/>
      <c r="I1947" s="29" t="str">
        <f t="shared" si="61"/>
        <v/>
      </c>
      <c r="K1947" s="30"/>
      <c r="M1947" t="str">
        <f>IF($A1947=Ficha!$B$3,COUNTIF($A$5:$A1947,Ficha!$B$3),"")</f>
        <v/>
      </c>
    </row>
    <row r="1948" spans="2:13" x14ac:dyDescent="0.3">
      <c r="B1948" s="30" t="str">
        <f>IF(A1948="","",IFERROR(INDEX(Maniobras!$B$5:$B$504,MATCH(A1948,Maniobras!$A$5:$A$504,0)),""))</f>
        <v/>
      </c>
      <c r="C1948" t="str">
        <f t="shared" si="60"/>
        <v/>
      </c>
      <c r="D1948" t="str">
        <f>IF(A1948="","",IFERROR(INDEX(Maniobras!$D$5:$D$504,MATCH(A1948,Maniobras!$A$5:$A$504,0)),""))</f>
        <v/>
      </c>
      <c r="F1948" s="29" t="str">
        <f>IF(A1948="","",IFERROR(INDEX(Maniobras!$K$5:$K$504,MATCH(A1948,Maniobras!$A$5:$A$504,0)),""))</f>
        <v/>
      </c>
      <c r="G1948" s="29"/>
      <c r="H1948" s="29"/>
      <c r="I1948" s="29" t="str">
        <f t="shared" si="61"/>
        <v/>
      </c>
      <c r="K1948" s="30"/>
      <c r="M1948" t="str">
        <f>IF($A1948=Ficha!$B$3,COUNTIF($A$5:$A1948,Ficha!$B$3),"")</f>
        <v/>
      </c>
    </row>
    <row r="1949" spans="2:13" x14ac:dyDescent="0.3">
      <c r="B1949" s="30" t="str">
        <f>IF(A1949="","",IFERROR(INDEX(Maniobras!$B$5:$B$504,MATCH(A1949,Maniobras!$A$5:$A$504,0)),""))</f>
        <v/>
      </c>
      <c r="C1949" t="str">
        <f t="shared" si="60"/>
        <v/>
      </c>
      <c r="D1949" t="str">
        <f>IF(A1949="","",IFERROR(INDEX(Maniobras!$D$5:$D$504,MATCH(A1949,Maniobras!$A$5:$A$504,0)),""))</f>
        <v/>
      </c>
      <c r="F1949" s="29" t="str">
        <f>IF(A1949="","",IFERROR(INDEX(Maniobras!$K$5:$K$504,MATCH(A1949,Maniobras!$A$5:$A$504,0)),""))</f>
        <v/>
      </c>
      <c r="G1949" s="29"/>
      <c r="H1949" s="29"/>
      <c r="I1949" s="29" t="str">
        <f t="shared" si="61"/>
        <v/>
      </c>
      <c r="K1949" s="30"/>
      <c r="M1949" t="str">
        <f>IF($A1949=Ficha!$B$3,COUNTIF($A$5:$A1949,Ficha!$B$3),"")</f>
        <v/>
      </c>
    </row>
    <row r="1950" spans="2:13" x14ac:dyDescent="0.3">
      <c r="B1950" s="30" t="str">
        <f>IF(A1950="","",IFERROR(INDEX(Maniobras!$B$5:$B$504,MATCH(A1950,Maniobras!$A$5:$A$504,0)),""))</f>
        <v/>
      </c>
      <c r="C1950" t="str">
        <f t="shared" si="60"/>
        <v/>
      </c>
      <c r="D1950" t="str">
        <f>IF(A1950="","",IFERROR(INDEX(Maniobras!$D$5:$D$504,MATCH(A1950,Maniobras!$A$5:$A$504,0)),""))</f>
        <v/>
      </c>
      <c r="F1950" s="29" t="str">
        <f>IF(A1950="","",IFERROR(INDEX(Maniobras!$K$5:$K$504,MATCH(A1950,Maniobras!$A$5:$A$504,0)),""))</f>
        <v/>
      </c>
      <c r="G1950" s="29"/>
      <c r="H1950" s="29"/>
      <c r="I1950" s="29" t="str">
        <f t="shared" si="61"/>
        <v/>
      </c>
      <c r="K1950" s="30"/>
      <c r="M1950" t="str">
        <f>IF($A1950=Ficha!$B$3,COUNTIF($A$5:$A1950,Ficha!$B$3),"")</f>
        <v/>
      </c>
    </row>
    <row r="1951" spans="2:13" x14ac:dyDescent="0.3">
      <c r="B1951" s="30" t="str">
        <f>IF(A1951="","",IFERROR(INDEX(Maniobras!$B$5:$B$504,MATCH(A1951,Maniobras!$A$5:$A$504,0)),""))</f>
        <v/>
      </c>
      <c r="C1951" t="str">
        <f t="shared" si="60"/>
        <v/>
      </c>
      <c r="D1951" t="str">
        <f>IF(A1951="","",IFERROR(INDEX(Maniobras!$D$5:$D$504,MATCH(A1951,Maniobras!$A$5:$A$504,0)),""))</f>
        <v/>
      </c>
      <c r="F1951" s="29" t="str">
        <f>IF(A1951="","",IFERROR(INDEX(Maniobras!$K$5:$K$504,MATCH(A1951,Maniobras!$A$5:$A$504,0)),""))</f>
        <v/>
      </c>
      <c r="G1951" s="29"/>
      <c r="H1951" s="29"/>
      <c r="I1951" s="29" t="str">
        <f t="shared" si="61"/>
        <v/>
      </c>
      <c r="K1951" s="30"/>
      <c r="M1951" t="str">
        <f>IF($A1951=Ficha!$B$3,COUNTIF($A$5:$A1951,Ficha!$B$3),"")</f>
        <v/>
      </c>
    </row>
    <row r="1952" spans="2:13" x14ac:dyDescent="0.3">
      <c r="B1952" s="30" t="str">
        <f>IF(A1952="","",IFERROR(INDEX(Maniobras!$B$5:$B$504,MATCH(A1952,Maniobras!$A$5:$A$504,0)),""))</f>
        <v/>
      </c>
      <c r="C1952" t="str">
        <f t="shared" si="60"/>
        <v/>
      </c>
      <c r="D1952" t="str">
        <f>IF(A1952="","",IFERROR(INDEX(Maniobras!$D$5:$D$504,MATCH(A1952,Maniobras!$A$5:$A$504,0)),""))</f>
        <v/>
      </c>
      <c r="F1952" s="29" t="str">
        <f>IF(A1952="","",IFERROR(INDEX(Maniobras!$K$5:$K$504,MATCH(A1952,Maniobras!$A$5:$A$504,0)),""))</f>
        <v/>
      </c>
      <c r="G1952" s="29"/>
      <c r="H1952" s="29"/>
      <c r="I1952" s="29" t="str">
        <f t="shared" si="61"/>
        <v/>
      </c>
      <c r="K1952" s="30"/>
      <c r="M1952" t="str">
        <f>IF($A1952=Ficha!$B$3,COUNTIF($A$5:$A1952,Ficha!$B$3),"")</f>
        <v/>
      </c>
    </row>
    <row r="1953" spans="2:13" x14ac:dyDescent="0.3">
      <c r="B1953" s="30" t="str">
        <f>IF(A1953="","",IFERROR(INDEX(Maniobras!$B$5:$B$504,MATCH(A1953,Maniobras!$A$5:$A$504,0)),""))</f>
        <v/>
      </c>
      <c r="C1953" t="str">
        <f t="shared" si="60"/>
        <v/>
      </c>
      <c r="D1953" t="str">
        <f>IF(A1953="","",IFERROR(INDEX(Maniobras!$D$5:$D$504,MATCH(A1953,Maniobras!$A$5:$A$504,0)),""))</f>
        <v/>
      </c>
      <c r="F1953" s="29" t="str">
        <f>IF(A1953="","",IFERROR(INDEX(Maniobras!$K$5:$K$504,MATCH(A1953,Maniobras!$A$5:$A$504,0)),""))</f>
        <v/>
      </c>
      <c r="G1953" s="29"/>
      <c r="H1953" s="29"/>
      <c r="I1953" s="29" t="str">
        <f t="shared" si="61"/>
        <v/>
      </c>
      <c r="K1953" s="30"/>
      <c r="M1953" t="str">
        <f>IF($A1953=Ficha!$B$3,COUNTIF($A$5:$A1953,Ficha!$B$3),"")</f>
        <v/>
      </c>
    </row>
    <row r="1954" spans="2:13" x14ac:dyDescent="0.3">
      <c r="B1954" s="30" t="str">
        <f>IF(A1954="","",IFERROR(INDEX(Maniobras!$B$5:$B$504,MATCH(A1954,Maniobras!$A$5:$A$504,0)),""))</f>
        <v/>
      </c>
      <c r="C1954" t="str">
        <f t="shared" si="60"/>
        <v/>
      </c>
      <c r="D1954" t="str">
        <f>IF(A1954="","",IFERROR(INDEX(Maniobras!$D$5:$D$504,MATCH(A1954,Maniobras!$A$5:$A$504,0)),""))</f>
        <v/>
      </c>
      <c r="F1954" s="29" t="str">
        <f>IF(A1954="","",IFERROR(INDEX(Maniobras!$K$5:$K$504,MATCH(A1954,Maniobras!$A$5:$A$504,0)),""))</f>
        <v/>
      </c>
      <c r="G1954" s="29"/>
      <c r="H1954" s="29"/>
      <c r="I1954" s="29" t="str">
        <f t="shared" si="61"/>
        <v/>
      </c>
      <c r="K1954" s="30"/>
      <c r="M1954" t="str">
        <f>IF($A1954=Ficha!$B$3,COUNTIF($A$5:$A1954,Ficha!$B$3),"")</f>
        <v/>
      </c>
    </row>
    <row r="1955" spans="2:13" x14ac:dyDescent="0.3">
      <c r="B1955" s="30" t="str">
        <f>IF(A1955="","",IFERROR(INDEX(Maniobras!$B$5:$B$504,MATCH(A1955,Maniobras!$A$5:$A$504,0)),""))</f>
        <v/>
      </c>
      <c r="C1955" t="str">
        <f t="shared" si="60"/>
        <v/>
      </c>
      <c r="D1955" t="str">
        <f>IF(A1955="","",IFERROR(INDEX(Maniobras!$D$5:$D$504,MATCH(A1955,Maniobras!$A$5:$A$504,0)),""))</f>
        <v/>
      </c>
      <c r="F1955" s="29" t="str">
        <f>IF(A1955="","",IFERROR(INDEX(Maniobras!$K$5:$K$504,MATCH(A1955,Maniobras!$A$5:$A$504,0)),""))</f>
        <v/>
      </c>
      <c r="G1955" s="29"/>
      <c r="H1955" s="29"/>
      <c r="I1955" s="29" t="str">
        <f t="shared" si="61"/>
        <v/>
      </c>
      <c r="K1955" s="30"/>
      <c r="M1955" t="str">
        <f>IF($A1955=Ficha!$B$3,COUNTIF($A$5:$A1955,Ficha!$B$3),"")</f>
        <v/>
      </c>
    </row>
    <row r="1956" spans="2:13" x14ac:dyDescent="0.3">
      <c r="B1956" s="30" t="str">
        <f>IF(A1956="","",IFERROR(INDEX(Maniobras!$B$5:$B$504,MATCH(A1956,Maniobras!$A$5:$A$504,0)),""))</f>
        <v/>
      </c>
      <c r="C1956" t="str">
        <f t="shared" si="60"/>
        <v/>
      </c>
      <c r="D1956" t="str">
        <f>IF(A1956="","",IFERROR(INDEX(Maniobras!$D$5:$D$504,MATCH(A1956,Maniobras!$A$5:$A$504,0)),""))</f>
        <v/>
      </c>
      <c r="F1956" s="29" t="str">
        <f>IF(A1956="","",IFERROR(INDEX(Maniobras!$K$5:$K$504,MATCH(A1956,Maniobras!$A$5:$A$504,0)),""))</f>
        <v/>
      </c>
      <c r="G1956" s="29"/>
      <c r="H1956" s="29"/>
      <c r="I1956" s="29" t="str">
        <f t="shared" si="61"/>
        <v/>
      </c>
      <c r="K1956" s="30"/>
      <c r="M1956" t="str">
        <f>IF($A1956=Ficha!$B$3,COUNTIF($A$5:$A1956,Ficha!$B$3),"")</f>
        <v/>
      </c>
    </row>
    <row r="1957" spans="2:13" x14ac:dyDescent="0.3">
      <c r="B1957" s="30" t="str">
        <f>IF(A1957="","",IFERROR(INDEX(Maniobras!$B$5:$B$504,MATCH(A1957,Maniobras!$A$5:$A$504,0)),""))</f>
        <v/>
      </c>
      <c r="C1957" t="str">
        <f t="shared" si="60"/>
        <v/>
      </c>
      <c r="D1957" t="str">
        <f>IF(A1957="","",IFERROR(INDEX(Maniobras!$D$5:$D$504,MATCH(A1957,Maniobras!$A$5:$A$504,0)),""))</f>
        <v/>
      </c>
      <c r="F1957" s="29" t="str">
        <f>IF(A1957="","",IFERROR(INDEX(Maniobras!$K$5:$K$504,MATCH(A1957,Maniobras!$A$5:$A$504,0)),""))</f>
        <v/>
      </c>
      <c r="G1957" s="29"/>
      <c r="H1957" s="29"/>
      <c r="I1957" s="29" t="str">
        <f t="shared" si="61"/>
        <v/>
      </c>
      <c r="K1957" s="30"/>
      <c r="M1957" t="str">
        <f>IF($A1957=Ficha!$B$3,COUNTIF($A$5:$A1957,Ficha!$B$3),"")</f>
        <v/>
      </c>
    </row>
    <row r="1958" spans="2:13" x14ac:dyDescent="0.3">
      <c r="B1958" s="30" t="str">
        <f>IF(A1958="","",IFERROR(INDEX(Maniobras!$B$5:$B$504,MATCH(A1958,Maniobras!$A$5:$A$504,0)),""))</f>
        <v/>
      </c>
      <c r="C1958" t="str">
        <f t="shared" si="60"/>
        <v/>
      </c>
      <c r="D1958" t="str">
        <f>IF(A1958="","",IFERROR(INDEX(Maniobras!$D$5:$D$504,MATCH(A1958,Maniobras!$A$5:$A$504,0)),""))</f>
        <v/>
      </c>
      <c r="F1958" s="29" t="str">
        <f>IF(A1958="","",IFERROR(INDEX(Maniobras!$K$5:$K$504,MATCH(A1958,Maniobras!$A$5:$A$504,0)),""))</f>
        <v/>
      </c>
      <c r="G1958" s="29"/>
      <c r="H1958" s="29"/>
      <c r="I1958" s="29" t="str">
        <f t="shared" si="61"/>
        <v/>
      </c>
      <c r="K1958" s="30"/>
      <c r="M1958" t="str">
        <f>IF($A1958=Ficha!$B$3,COUNTIF($A$5:$A1958,Ficha!$B$3),"")</f>
        <v/>
      </c>
    </row>
    <row r="1959" spans="2:13" x14ac:dyDescent="0.3">
      <c r="B1959" s="30" t="str">
        <f>IF(A1959="","",IFERROR(INDEX(Maniobras!$B$5:$B$504,MATCH(A1959,Maniobras!$A$5:$A$504,0)),""))</f>
        <v/>
      </c>
      <c r="C1959" t="str">
        <f t="shared" si="60"/>
        <v/>
      </c>
      <c r="D1959" t="str">
        <f>IF(A1959="","",IFERROR(INDEX(Maniobras!$D$5:$D$504,MATCH(A1959,Maniobras!$A$5:$A$504,0)),""))</f>
        <v/>
      </c>
      <c r="F1959" s="29" t="str">
        <f>IF(A1959="","",IFERROR(INDEX(Maniobras!$K$5:$K$504,MATCH(A1959,Maniobras!$A$5:$A$504,0)),""))</f>
        <v/>
      </c>
      <c r="G1959" s="29"/>
      <c r="H1959" s="29"/>
      <c r="I1959" s="29" t="str">
        <f t="shared" si="61"/>
        <v/>
      </c>
      <c r="K1959" s="30"/>
      <c r="M1959" t="str">
        <f>IF($A1959=Ficha!$B$3,COUNTIF($A$5:$A1959,Ficha!$B$3),"")</f>
        <v/>
      </c>
    </row>
    <row r="1960" spans="2:13" x14ac:dyDescent="0.3">
      <c r="B1960" s="30" t="str">
        <f>IF(A1960="","",IFERROR(INDEX(Maniobras!$B$5:$B$504,MATCH(A1960,Maniobras!$A$5:$A$504,0)),""))</f>
        <v/>
      </c>
      <c r="C1960" t="str">
        <f t="shared" si="60"/>
        <v/>
      </c>
      <c r="D1960" t="str">
        <f>IF(A1960="","",IFERROR(INDEX(Maniobras!$D$5:$D$504,MATCH(A1960,Maniobras!$A$5:$A$504,0)),""))</f>
        <v/>
      </c>
      <c r="F1960" s="29" t="str">
        <f>IF(A1960="","",IFERROR(INDEX(Maniobras!$K$5:$K$504,MATCH(A1960,Maniobras!$A$5:$A$504,0)),""))</f>
        <v/>
      </c>
      <c r="G1960" s="29"/>
      <c r="H1960" s="29"/>
      <c r="I1960" s="29" t="str">
        <f t="shared" si="61"/>
        <v/>
      </c>
      <c r="K1960" s="30"/>
      <c r="M1960" t="str">
        <f>IF($A1960=Ficha!$B$3,COUNTIF($A$5:$A1960,Ficha!$B$3),"")</f>
        <v/>
      </c>
    </row>
    <row r="1961" spans="2:13" x14ac:dyDescent="0.3">
      <c r="B1961" s="30" t="str">
        <f>IF(A1961="","",IFERROR(INDEX(Maniobras!$B$5:$B$504,MATCH(A1961,Maniobras!$A$5:$A$504,0)),""))</f>
        <v/>
      </c>
      <c r="C1961" t="str">
        <f t="shared" si="60"/>
        <v/>
      </c>
      <c r="D1961" t="str">
        <f>IF(A1961="","",IFERROR(INDEX(Maniobras!$D$5:$D$504,MATCH(A1961,Maniobras!$A$5:$A$504,0)),""))</f>
        <v/>
      </c>
      <c r="F1961" s="29" t="str">
        <f>IF(A1961="","",IFERROR(INDEX(Maniobras!$K$5:$K$504,MATCH(A1961,Maniobras!$A$5:$A$504,0)),""))</f>
        <v/>
      </c>
      <c r="G1961" s="29"/>
      <c r="H1961" s="29"/>
      <c r="I1961" s="29" t="str">
        <f t="shared" si="61"/>
        <v/>
      </c>
      <c r="K1961" s="30"/>
      <c r="M1961" t="str">
        <f>IF($A1961=Ficha!$B$3,COUNTIF($A$5:$A1961,Ficha!$B$3),"")</f>
        <v/>
      </c>
    </row>
    <row r="1962" spans="2:13" x14ac:dyDescent="0.3">
      <c r="B1962" s="30" t="str">
        <f>IF(A1962="","",IFERROR(INDEX(Maniobras!$B$5:$B$504,MATCH(A1962,Maniobras!$A$5:$A$504,0)),""))</f>
        <v/>
      </c>
      <c r="C1962" t="str">
        <f t="shared" si="60"/>
        <v/>
      </c>
      <c r="D1962" t="str">
        <f>IF(A1962="","",IFERROR(INDEX(Maniobras!$D$5:$D$504,MATCH(A1962,Maniobras!$A$5:$A$504,0)),""))</f>
        <v/>
      </c>
      <c r="F1962" s="29" t="str">
        <f>IF(A1962="","",IFERROR(INDEX(Maniobras!$K$5:$K$504,MATCH(A1962,Maniobras!$A$5:$A$504,0)),""))</f>
        <v/>
      </c>
      <c r="G1962" s="29"/>
      <c r="H1962" s="29"/>
      <c r="I1962" s="29" t="str">
        <f t="shared" si="61"/>
        <v/>
      </c>
      <c r="K1962" s="30"/>
      <c r="M1962" t="str">
        <f>IF($A1962=Ficha!$B$3,COUNTIF($A$5:$A1962,Ficha!$B$3),"")</f>
        <v/>
      </c>
    </row>
    <row r="1963" spans="2:13" x14ac:dyDescent="0.3">
      <c r="B1963" s="30" t="str">
        <f>IF(A1963="","",IFERROR(INDEX(Maniobras!$B$5:$B$504,MATCH(A1963,Maniobras!$A$5:$A$504,0)),""))</f>
        <v/>
      </c>
      <c r="C1963" t="str">
        <f t="shared" si="60"/>
        <v/>
      </c>
      <c r="D1963" t="str">
        <f>IF(A1963="","",IFERROR(INDEX(Maniobras!$D$5:$D$504,MATCH(A1963,Maniobras!$A$5:$A$504,0)),""))</f>
        <v/>
      </c>
      <c r="F1963" s="29" t="str">
        <f>IF(A1963="","",IFERROR(INDEX(Maniobras!$K$5:$K$504,MATCH(A1963,Maniobras!$A$5:$A$504,0)),""))</f>
        <v/>
      </c>
      <c r="G1963" s="29"/>
      <c r="H1963" s="29"/>
      <c r="I1963" s="29" t="str">
        <f t="shared" si="61"/>
        <v/>
      </c>
      <c r="K1963" s="30"/>
      <c r="M1963" t="str">
        <f>IF($A1963=Ficha!$B$3,COUNTIF($A$5:$A1963,Ficha!$B$3),"")</f>
        <v/>
      </c>
    </row>
    <row r="1964" spans="2:13" x14ac:dyDescent="0.3">
      <c r="B1964" s="30" t="str">
        <f>IF(A1964="","",IFERROR(INDEX(Maniobras!$B$5:$B$504,MATCH(A1964,Maniobras!$A$5:$A$504,0)),""))</f>
        <v/>
      </c>
      <c r="C1964" t="str">
        <f t="shared" si="60"/>
        <v/>
      </c>
      <c r="D1964" t="str">
        <f>IF(A1964="","",IFERROR(INDEX(Maniobras!$D$5:$D$504,MATCH(A1964,Maniobras!$A$5:$A$504,0)),""))</f>
        <v/>
      </c>
      <c r="F1964" s="29" t="str">
        <f>IF(A1964="","",IFERROR(INDEX(Maniobras!$K$5:$K$504,MATCH(A1964,Maniobras!$A$5:$A$504,0)),""))</f>
        <v/>
      </c>
      <c r="G1964" s="29"/>
      <c r="H1964" s="29"/>
      <c r="I1964" s="29" t="str">
        <f t="shared" si="61"/>
        <v/>
      </c>
      <c r="K1964" s="30"/>
      <c r="M1964" t="str">
        <f>IF($A1964=Ficha!$B$3,COUNTIF($A$5:$A1964,Ficha!$B$3),"")</f>
        <v/>
      </c>
    </row>
    <row r="1965" spans="2:13" x14ac:dyDescent="0.3">
      <c r="B1965" s="30" t="str">
        <f>IF(A1965="","",IFERROR(INDEX(Maniobras!$B$5:$B$504,MATCH(A1965,Maniobras!$A$5:$A$504,0)),""))</f>
        <v/>
      </c>
      <c r="C1965" t="str">
        <f t="shared" si="60"/>
        <v/>
      </c>
      <c r="D1965" t="str">
        <f>IF(A1965="","",IFERROR(INDEX(Maniobras!$D$5:$D$504,MATCH(A1965,Maniobras!$A$5:$A$504,0)),""))</f>
        <v/>
      </c>
      <c r="F1965" s="29" t="str">
        <f>IF(A1965="","",IFERROR(INDEX(Maniobras!$K$5:$K$504,MATCH(A1965,Maniobras!$A$5:$A$504,0)),""))</f>
        <v/>
      </c>
      <c r="G1965" s="29"/>
      <c r="H1965" s="29"/>
      <c r="I1965" s="29" t="str">
        <f t="shared" si="61"/>
        <v/>
      </c>
      <c r="K1965" s="30"/>
      <c r="M1965" t="str">
        <f>IF($A1965=Ficha!$B$3,COUNTIF($A$5:$A1965,Ficha!$B$3),"")</f>
        <v/>
      </c>
    </row>
    <row r="1966" spans="2:13" x14ac:dyDescent="0.3">
      <c r="B1966" s="30" t="str">
        <f>IF(A1966="","",IFERROR(INDEX(Maniobras!$B$5:$B$504,MATCH(A1966,Maniobras!$A$5:$A$504,0)),""))</f>
        <v/>
      </c>
      <c r="C1966" t="str">
        <f t="shared" si="60"/>
        <v/>
      </c>
      <c r="D1966" t="str">
        <f>IF(A1966="","",IFERROR(INDEX(Maniobras!$D$5:$D$504,MATCH(A1966,Maniobras!$A$5:$A$504,0)),""))</f>
        <v/>
      </c>
      <c r="F1966" s="29" t="str">
        <f>IF(A1966="","",IFERROR(INDEX(Maniobras!$K$5:$K$504,MATCH(A1966,Maniobras!$A$5:$A$504,0)),""))</f>
        <v/>
      </c>
      <c r="G1966" s="29"/>
      <c r="H1966" s="29"/>
      <c r="I1966" s="29" t="str">
        <f t="shared" si="61"/>
        <v/>
      </c>
      <c r="K1966" s="30"/>
      <c r="M1966" t="str">
        <f>IF($A1966=Ficha!$B$3,COUNTIF($A$5:$A1966,Ficha!$B$3),"")</f>
        <v/>
      </c>
    </row>
    <row r="1967" spans="2:13" x14ac:dyDescent="0.3">
      <c r="B1967" s="30" t="str">
        <f>IF(A1967="","",IFERROR(INDEX(Maniobras!$B$5:$B$504,MATCH(A1967,Maniobras!$A$5:$A$504,0)),""))</f>
        <v/>
      </c>
      <c r="C1967" t="str">
        <f t="shared" si="60"/>
        <v/>
      </c>
      <c r="D1967" t="str">
        <f>IF(A1967="","",IFERROR(INDEX(Maniobras!$D$5:$D$504,MATCH(A1967,Maniobras!$A$5:$A$504,0)),""))</f>
        <v/>
      </c>
      <c r="F1967" s="29" t="str">
        <f>IF(A1967="","",IFERROR(INDEX(Maniobras!$K$5:$K$504,MATCH(A1967,Maniobras!$A$5:$A$504,0)),""))</f>
        <v/>
      </c>
      <c r="G1967" s="29"/>
      <c r="H1967" s="29"/>
      <c r="I1967" s="29" t="str">
        <f t="shared" si="61"/>
        <v/>
      </c>
      <c r="K1967" s="30"/>
      <c r="M1967" t="str">
        <f>IF($A1967=Ficha!$B$3,COUNTIF($A$5:$A1967,Ficha!$B$3),"")</f>
        <v/>
      </c>
    </row>
    <row r="1968" spans="2:13" x14ac:dyDescent="0.3">
      <c r="B1968" s="30" t="str">
        <f>IF(A1968="","",IFERROR(INDEX(Maniobras!$B$5:$B$504,MATCH(A1968,Maniobras!$A$5:$A$504,0)),""))</f>
        <v/>
      </c>
      <c r="C1968" t="str">
        <f t="shared" si="60"/>
        <v/>
      </c>
      <c r="D1968" t="str">
        <f>IF(A1968="","",IFERROR(INDEX(Maniobras!$D$5:$D$504,MATCH(A1968,Maniobras!$A$5:$A$504,0)),""))</f>
        <v/>
      </c>
      <c r="F1968" s="29" t="str">
        <f>IF(A1968="","",IFERROR(INDEX(Maniobras!$K$5:$K$504,MATCH(A1968,Maniobras!$A$5:$A$504,0)),""))</f>
        <v/>
      </c>
      <c r="G1968" s="29"/>
      <c r="H1968" s="29"/>
      <c r="I1968" s="29" t="str">
        <f t="shared" si="61"/>
        <v/>
      </c>
      <c r="K1968" s="30"/>
      <c r="M1968" t="str">
        <f>IF($A1968=Ficha!$B$3,COUNTIF($A$5:$A1968,Ficha!$B$3),"")</f>
        <v/>
      </c>
    </row>
    <row r="1969" spans="2:13" x14ac:dyDescent="0.3">
      <c r="B1969" s="30" t="str">
        <f>IF(A1969="","",IFERROR(INDEX(Maniobras!$B$5:$B$504,MATCH(A1969,Maniobras!$A$5:$A$504,0)),""))</f>
        <v/>
      </c>
      <c r="C1969" t="str">
        <f t="shared" si="60"/>
        <v/>
      </c>
      <c r="D1969" t="str">
        <f>IF(A1969="","",IFERROR(INDEX(Maniobras!$D$5:$D$504,MATCH(A1969,Maniobras!$A$5:$A$504,0)),""))</f>
        <v/>
      </c>
      <c r="F1969" s="29" t="str">
        <f>IF(A1969="","",IFERROR(INDEX(Maniobras!$K$5:$K$504,MATCH(A1969,Maniobras!$A$5:$A$504,0)),""))</f>
        <v/>
      </c>
      <c r="G1969" s="29"/>
      <c r="H1969" s="29"/>
      <c r="I1969" s="29" t="str">
        <f t="shared" si="61"/>
        <v/>
      </c>
      <c r="K1969" s="30"/>
      <c r="M1969" t="str">
        <f>IF($A1969=Ficha!$B$3,COUNTIF($A$5:$A1969,Ficha!$B$3),"")</f>
        <v/>
      </c>
    </row>
    <row r="1970" spans="2:13" x14ac:dyDescent="0.3">
      <c r="B1970" s="30" t="str">
        <f>IF(A1970="","",IFERROR(INDEX(Maniobras!$B$5:$B$504,MATCH(A1970,Maniobras!$A$5:$A$504,0)),""))</f>
        <v/>
      </c>
      <c r="C1970" t="str">
        <f t="shared" si="60"/>
        <v/>
      </c>
      <c r="D1970" t="str">
        <f>IF(A1970="","",IFERROR(INDEX(Maniobras!$D$5:$D$504,MATCH(A1970,Maniobras!$A$5:$A$504,0)),""))</f>
        <v/>
      </c>
      <c r="F1970" s="29" t="str">
        <f>IF(A1970="","",IFERROR(INDEX(Maniobras!$K$5:$K$504,MATCH(A1970,Maniobras!$A$5:$A$504,0)),""))</f>
        <v/>
      </c>
      <c r="G1970" s="29"/>
      <c r="H1970" s="29"/>
      <c r="I1970" s="29" t="str">
        <f t="shared" si="61"/>
        <v/>
      </c>
      <c r="K1970" s="30"/>
      <c r="M1970" t="str">
        <f>IF($A1970=Ficha!$B$3,COUNTIF($A$5:$A1970,Ficha!$B$3),"")</f>
        <v/>
      </c>
    </row>
    <row r="1971" spans="2:13" x14ac:dyDescent="0.3">
      <c r="B1971" s="30" t="str">
        <f>IF(A1971="","",IFERROR(INDEX(Maniobras!$B$5:$B$504,MATCH(A1971,Maniobras!$A$5:$A$504,0)),""))</f>
        <v/>
      </c>
      <c r="C1971" t="str">
        <f t="shared" si="60"/>
        <v/>
      </c>
      <c r="D1971" t="str">
        <f>IF(A1971="","",IFERROR(INDEX(Maniobras!$D$5:$D$504,MATCH(A1971,Maniobras!$A$5:$A$504,0)),""))</f>
        <v/>
      </c>
      <c r="F1971" s="29" t="str">
        <f>IF(A1971="","",IFERROR(INDEX(Maniobras!$K$5:$K$504,MATCH(A1971,Maniobras!$A$5:$A$504,0)),""))</f>
        <v/>
      </c>
      <c r="G1971" s="29"/>
      <c r="H1971" s="29"/>
      <c r="I1971" s="29" t="str">
        <f t="shared" si="61"/>
        <v/>
      </c>
      <c r="K1971" s="30"/>
      <c r="M1971" t="str">
        <f>IF($A1971=Ficha!$B$3,COUNTIF($A$5:$A1971,Ficha!$B$3),"")</f>
        <v/>
      </c>
    </row>
    <row r="1972" spans="2:13" x14ac:dyDescent="0.3">
      <c r="B1972" s="30" t="str">
        <f>IF(A1972="","",IFERROR(INDEX(Maniobras!$B$5:$B$504,MATCH(A1972,Maniobras!$A$5:$A$504,0)),""))</f>
        <v/>
      </c>
      <c r="C1972" t="str">
        <f t="shared" si="60"/>
        <v/>
      </c>
      <c r="D1972" t="str">
        <f>IF(A1972="","",IFERROR(INDEX(Maniobras!$D$5:$D$504,MATCH(A1972,Maniobras!$A$5:$A$504,0)),""))</f>
        <v/>
      </c>
      <c r="F1972" s="29" t="str">
        <f>IF(A1972="","",IFERROR(INDEX(Maniobras!$K$5:$K$504,MATCH(A1972,Maniobras!$A$5:$A$504,0)),""))</f>
        <v/>
      </c>
      <c r="G1972" s="29"/>
      <c r="H1972" s="29"/>
      <c r="I1972" s="29" t="str">
        <f t="shared" si="61"/>
        <v/>
      </c>
      <c r="K1972" s="30"/>
      <c r="M1972" t="str">
        <f>IF($A1972=Ficha!$B$3,COUNTIF($A$5:$A1972,Ficha!$B$3),"")</f>
        <v/>
      </c>
    </row>
    <row r="1973" spans="2:13" x14ac:dyDescent="0.3">
      <c r="B1973" s="30" t="str">
        <f>IF(A1973="","",IFERROR(INDEX(Maniobras!$B$5:$B$504,MATCH(A1973,Maniobras!$A$5:$A$504,0)),""))</f>
        <v/>
      </c>
      <c r="C1973" t="str">
        <f t="shared" si="60"/>
        <v/>
      </c>
      <c r="D1973" t="str">
        <f>IF(A1973="","",IFERROR(INDEX(Maniobras!$D$5:$D$504,MATCH(A1973,Maniobras!$A$5:$A$504,0)),""))</f>
        <v/>
      </c>
      <c r="F1973" s="29" t="str">
        <f>IF(A1973="","",IFERROR(INDEX(Maniobras!$K$5:$K$504,MATCH(A1973,Maniobras!$A$5:$A$504,0)),""))</f>
        <v/>
      </c>
      <c r="G1973" s="29"/>
      <c r="H1973" s="29"/>
      <c r="I1973" s="29" t="str">
        <f t="shared" si="61"/>
        <v/>
      </c>
      <c r="K1973" s="30"/>
      <c r="M1973" t="str">
        <f>IF($A1973=Ficha!$B$3,COUNTIF($A$5:$A1973,Ficha!$B$3),"")</f>
        <v/>
      </c>
    </row>
    <row r="1974" spans="2:13" x14ac:dyDescent="0.3">
      <c r="B1974" s="30" t="str">
        <f>IF(A1974="","",IFERROR(INDEX(Maniobras!$B$5:$B$504,MATCH(A1974,Maniobras!$A$5:$A$504,0)),""))</f>
        <v/>
      </c>
      <c r="C1974" t="str">
        <f t="shared" si="60"/>
        <v/>
      </c>
      <c r="D1974" t="str">
        <f>IF(A1974="","",IFERROR(INDEX(Maniobras!$D$5:$D$504,MATCH(A1974,Maniobras!$A$5:$A$504,0)),""))</f>
        <v/>
      </c>
      <c r="F1974" s="29" t="str">
        <f>IF(A1974="","",IFERROR(INDEX(Maniobras!$K$5:$K$504,MATCH(A1974,Maniobras!$A$5:$A$504,0)),""))</f>
        <v/>
      </c>
      <c r="G1974" s="29"/>
      <c r="H1974" s="29"/>
      <c r="I1974" s="29" t="str">
        <f t="shared" si="61"/>
        <v/>
      </c>
      <c r="K1974" s="30"/>
      <c r="M1974" t="str">
        <f>IF($A1974=Ficha!$B$3,COUNTIF($A$5:$A1974,Ficha!$B$3),"")</f>
        <v/>
      </c>
    </row>
    <row r="1975" spans="2:13" x14ac:dyDescent="0.3">
      <c r="B1975" s="30" t="str">
        <f>IF(A1975="","",IFERROR(INDEX(Maniobras!$B$5:$B$504,MATCH(A1975,Maniobras!$A$5:$A$504,0)),""))</f>
        <v/>
      </c>
      <c r="C1975" t="str">
        <f t="shared" si="60"/>
        <v/>
      </c>
      <c r="D1975" t="str">
        <f>IF(A1975="","",IFERROR(INDEX(Maniobras!$D$5:$D$504,MATCH(A1975,Maniobras!$A$5:$A$504,0)),""))</f>
        <v/>
      </c>
      <c r="F1975" s="29" t="str">
        <f>IF(A1975="","",IFERROR(INDEX(Maniobras!$K$5:$K$504,MATCH(A1975,Maniobras!$A$5:$A$504,0)),""))</f>
        <v/>
      </c>
      <c r="G1975" s="29"/>
      <c r="H1975" s="29"/>
      <c r="I1975" s="29" t="str">
        <f t="shared" si="61"/>
        <v/>
      </c>
      <c r="K1975" s="30"/>
      <c r="M1975" t="str">
        <f>IF($A1975=Ficha!$B$3,COUNTIF($A$5:$A1975,Ficha!$B$3),"")</f>
        <v/>
      </c>
    </row>
    <row r="1976" spans="2:13" x14ac:dyDescent="0.3">
      <c r="B1976" s="30" t="str">
        <f>IF(A1976="","",IFERROR(INDEX(Maniobras!$B$5:$B$504,MATCH(A1976,Maniobras!$A$5:$A$504,0)),""))</f>
        <v/>
      </c>
      <c r="C1976" t="str">
        <f t="shared" si="60"/>
        <v/>
      </c>
      <c r="D1976" t="str">
        <f>IF(A1976="","",IFERROR(INDEX(Maniobras!$D$5:$D$504,MATCH(A1976,Maniobras!$A$5:$A$504,0)),""))</f>
        <v/>
      </c>
      <c r="F1976" s="29" t="str">
        <f>IF(A1976="","",IFERROR(INDEX(Maniobras!$K$5:$K$504,MATCH(A1976,Maniobras!$A$5:$A$504,0)),""))</f>
        <v/>
      </c>
      <c r="G1976" s="29"/>
      <c r="H1976" s="29"/>
      <c r="I1976" s="29" t="str">
        <f t="shared" si="61"/>
        <v/>
      </c>
      <c r="K1976" s="30"/>
      <c r="M1976" t="str">
        <f>IF($A1976=Ficha!$B$3,COUNTIF($A$5:$A1976,Ficha!$B$3),"")</f>
        <v/>
      </c>
    </row>
    <row r="1977" spans="2:13" x14ac:dyDescent="0.3">
      <c r="B1977" s="30" t="str">
        <f>IF(A1977="","",IFERROR(INDEX(Maniobras!$B$5:$B$504,MATCH(A1977,Maniobras!$A$5:$A$504,0)),""))</f>
        <v/>
      </c>
      <c r="C1977" t="str">
        <f t="shared" si="60"/>
        <v/>
      </c>
      <c r="D1977" t="str">
        <f>IF(A1977="","",IFERROR(INDEX(Maniobras!$D$5:$D$504,MATCH(A1977,Maniobras!$A$5:$A$504,0)),""))</f>
        <v/>
      </c>
      <c r="F1977" s="29" t="str">
        <f>IF(A1977="","",IFERROR(INDEX(Maniobras!$K$5:$K$504,MATCH(A1977,Maniobras!$A$5:$A$504,0)),""))</f>
        <v/>
      </c>
      <c r="G1977" s="29"/>
      <c r="H1977" s="29"/>
      <c r="I1977" s="29" t="str">
        <f t="shared" si="61"/>
        <v/>
      </c>
      <c r="K1977" s="30"/>
      <c r="M1977" t="str">
        <f>IF($A1977=Ficha!$B$3,COUNTIF($A$5:$A1977,Ficha!$B$3),"")</f>
        <v/>
      </c>
    </row>
    <row r="1978" spans="2:13" x14ac:dyDescent="0.3">
      <c r="B1978" s="30" t="str">
        <f>IF(A1978="","",IFERROR(INDEX(Maniobras!$B$5:$B$504,MATCH(A1978,Maniobras!$A$5:$A$504,0)),""))</f>
        <v/>
      </c>
      <c r="C1978" t="str">
        <f t="shared" si="60"/>
        <v/>
      </c>
      <c r="D1978" t="str">
        <f>IF(A1978="","",IFERROR(INDEX(Maniobras!$D$5:$D$504,MATCH(A1978,Maniobras!$A$5:$A$504,0)),""))</f>
        <v/>
      </c>
      <c r="F1978" s="29" t="str">
        <f>IF(A1978="","",IFERROR(INDEX(Maniobras!$K$5:$K$504,MATCH(A1978,Maniobras!$A$5:$A$504,0)),""))</f>
        <v/>
      </c>
      <c r="G1978" s="29"/>
      <c r="H1978" s="29"/>
      <c r="I1978" s="29" t="str">
        <f t="shared" si="61"/>
        <v/>
      </c>
      <c r="K1978" s="30"/>
      <c r="M1978" t="str">
        <f>IF($A1978=Ficha!$B$3,COUNTIF($A$5:$A1978,Ficha!$B$3),"")</f>
        <v/>
      </c>
    </row>
    <row r="1979" spans="2:13" x14ac:dyDescent="0.3">
      <c r="B1979" s="30" t="str">
        <f>IF(A1979="","",IFERROR(INDEX(Maniobras!$B$5:$B$504,MATCH(A1979,Maniobras!$A$5:$A$504,0)),""))</f>
        <v/>
      </c>
      <c r="C1979" t="str">
        <f t="shared" si="60"/>
        <v/>
      </c>
      <c r="D1979" t="str">
        <f>IF(A1979="","",IFERROR(INDEX(Maniobras!$D$5:$D$504,MATCH(A1979,Maniobras!$A$5:$A$504,0)),""))</f>
        <v/>
      </c>
      <c r="F1979" s="29" t="str">
        <f>IF(A1979="","",IFERROR(INDEX(Maniobras!$K$5:$K$504,MATCH(A1979,Maniobras!$A$5:$A$504,0)),""))</f>
        <v/>
      </c>
      <c r="G1979" s="29"/>
      <c r="H1979" s="29"/>
      <c r="I1979" s="29" t="str">
        <f t="shared" si="61"/>
        <v/>
      </c>
      <c r="K1979" s="30"/>
      <c r="M1979" t="str">
        <f>IF($A1979=Ficha!$B$3,COUNTIF($A$5:$A1979,Ficha!$B$3),"")</f>
        <v/>
      </c>
    </row>
    <row r="1980" spans="2:13" x14ac:dyDescent="0.3">
      <c r="B1980" s="30" t="str">
        <f>IF(A1980="","",IFERROR(INDEX(Maniobras!$B$5:$B$504,MATCH(A1980,Maniobras!$A$5:$A$504,0)),""))</f>
        <v/>
      </c>
      <c r="C1980" t="str">
        <f t="shared" si="60"/>
        <v/>
      </c>
      <c r="D1980" t="str">
        <f>IF(A1980="","",IFERROR(INDEX(Maniobras!$D$5:$D$504,MATCH(A1980,Maniobras!$A$5:$A$504,0)),""))</f>
        <v/>
      </c>
      <c r="F1980" s="29" t="str">
        <f>IF(A1980="","",IFERROR(INDEX(Maniobras!$K$5:$K$504,MATCH(A1980,Maniobras!$A$5:$A$504,0)),""))</f>
        <v/>
      </c>
      <c r="G1980" s="29"/>
      <c r="H1980" s="29"/>
      <c r="I1980" s="29" t="str">
        <f t="shared" si="61"/>
        <v/>
      </c>
      <c r="K1980" s="30"/>
      <c r="M1980" t="str">
        <f>IF($A1980=Ficha!$B$3,COUNTIF($A$5:$A1980,Ficha!$B$3),"")</f>
        <v/>
      </c>
    </row>
    <row r="1981" spans="2:13" x14ac:dyDescent="0.3">
      <c r="B1981" s="30" t="str">
        <f>IF(A1981="","",IFERROR(INDEX(Maniobras!$B$5:$B$504,MATCH(A1981,Maniobras!$A$5:$A$504,0)),""))</f>
        <v/>
      </c>
      <c r="C1981" t="str">
        <f t="shared" si="60"/>
        <v/>
      </c>
      <c r="D1981" t="str">
        <f>IF(A1981="","",IFERROR(INDEX(Maniobras!$D$5:$D$504,MATCH(A1981,Maniobras!$A$5:$A$504,0)),""))</f>
        <v/>
      </c>
      <c r="F1981" s="29" t="str">
        <f>IF(A1981="","",IFERROR(INDEX(Maniobras!$K$5:$K$504,MATCH(A1981,Maniobras!$A$5:$A$504,0)),""))</f>
        <v/>
      </c>
      <c r="G1981" s="29"/>
      <c r="H1981" s="29"/>
      <c r="I1981" s="29" t="str">
        <f t="shared" si="61"/>
        <v/>
      </c>
      <c r="K1981" s="30"/>
      <c r="M1981" t="str">
        <f>IF($A1981=Ficha!$B$3,COUNTIF($A$5:$A1981,Ficha!$B$3),"")</f>
        <v/>
      </c>
    </row>
    <row r="1982" spans="2:13" x14ac:dyDescent="0.3">
      <c r="B1982" s="30" t="str">
        <f>IF(A1982="","",IFERROR(INDEX(Maniobras!$B$5:$B$504,MATCH(A1982,Maniobras!$A$5:$A$504,0)),""))</f>
        <v/>
      </c>
      <c r="C1982" t="str">
        <f t="shared" si="60"/>
        <v/>
      </c>
      <c r="D1982" t="str">
        <f>IF(A1982="","",IFERROR(INDEX(Maniobras!$D$5:$D$504,MATCH(A1982,Maniobras!$A$5:$A$504,0)),""))</f>
        <v/>
      </c>
      <c r="F1982" s="29" t="str">
        <f>IF(A1982="","",IFERROR(INDEX(Maniobras!$K$5:$K$504,MATCH(A1982,Maniobras!$A$5:$A$504,0)),""))</f>
        <v/>
      </c>
      <c r="G1982" s="29"/>
      <c r="H1982" s="29"/>
      <c r="I1982" s="29" t="str">
        <f t="shared" si="61"/>
        <v/>
      </c>
      <c r="K1982" s="30"/>
      <c r="M1982" t="str">
        <f>IF($A1982=Ficha!$B$3,COUNTIF($A$5:$A1982,Ficha!$B$3),"")</f>
        <v/>
      </c>
    </row>
    <row r="1983" spans="2:13" x14ac:dyDescent="0.3">
      <c r="B1983" s="30" t="str">
        <f>IF(A1983="","",IFERROR(INDEX(Maniobras!$B$5:$B$504,MATCH(A1983,Maniobras!$A$5:$A$504,0)),""))</f>
        <v/>
      </c>
      <c r="C1983" t="str">
        <f t="shared" si="60"/>
        <v/>
      </c>
      <c r="D1983" t="str">
        <f>IF(A1983="","",IFERROR(INDEX(Maniobras!$D$5:$D$504,MATCH(A1983,Maniobras!$A$5:$A$504,0)),""))</f>
        <v/>
      </c>
      <c r="F1983" s="29" t="str">
        <f>IF(A1983="","",IFERROR(INDEX(Maniobras!$K$5:$K$504,MATCH(A1983,Maniobras!$A$5:$A$504,0)),""))</f>
        <v/>
      </c>
      <c r="G1983" s="29"/>
      <c r="H1983" s="29"/>
      <c r="I1983" s="29" t="str">
        <f t="shared" si="61"/>
        <v/>
      </c>
      <c r="K1983" s="30"/>
      <c r="M1983" t="str">
        <f>IF($A1983=Ficha!$B$3,COUNTIF($A$5:$A1983,Ficha!$B$3),"")</f>
        <v/>
      </c>
    </row>
    <row r="1984" spans="2:13" x14ac:dyDescent="0.3">
      <c r="B1984" s="30" t="str">
        <f>IF(A1984="","",IFERROR(INDEX(Maniobras!$B$5:$B$504,MATCH(A1984,Maniobras!$A$5:$A$504,0)),""))</f>
        <v/>
      </c>
      <c r="C1984" t="str">
        <f t="shared" si="60"/>
        <v/>
      </c>
      <c r="D1984" t="str">
        <f>IF(A1984="","",IFERROR(INDEX(Maniobras!$D$5:$D$504,MATCH(A1984,Maniobras!$A$5:$A$504,0)),""))</f>
        <v/>
      </c>
      <c r="F1984" s="29" t="str">
        <f>IF(A1984="","",IFERROR(INDEX(Maniobras!$K$5:$K$504,MATCH(A1984,Maniobras!$A$5:$A$504,0)),""))</f>
        <v/>
      </c>
      <c r="G1984" s="29"/>
      <c r="H1984" s="29"/>
      <c r="I1984" s="29" t="str">
        <f t="shared" si="61"/>
        <v/>
      </c>
      <c r="K1984" s="30"/>
      <c r="M1984" t="str">
        <f>IF($A1984=Ficha!$B$3,COUNTIF($A$5:$A1984,Ficha!$B$3),"")</f>
        <v/>
      </c>
    </row>
    <row r="1985" spans="2:13" x14ac:dyDescent="0.3">
      <c r="B1985" s="30" t="str">
        <f>IF(A1985="","",IFERROR(INDEX(Maniobras!$B$5:$B$504,MATCH(A1985,Maniobras!$A$5:$A$504,0)),""))</f>
        <v/>
      </c>
      <c r="C1985" t="str">
        <f t="shared" si="60"/>
        <v/>
      </c>
      <c r="D1985" t="str">
        <f>IF(A1985="","",IFERROR(INDEX(Maniobras!$D$5:$D$504,MATCH(A1985,Maniobras!$A$5:$A$504,0)),""))</f>
        <v/>
      </c>
      <c r="F1985" s="29" t="str">
        <f>IF(A1985="","",IFERROR(INDEX(Maniobras!$K$5:$K$504,MATCH(A1985,Maniobras!$A$5:$A$504,0)),""))</f>
        <v/>
      </c>
      <c r="G1985" s="29"/>
      <c r="H1985" s="29"/>
      <c r="I1985" s="29" t="str">
        <f t="shared" si="61"/>
        <v/>
      </c>
      <c r="K1985" s="30"/>
      <c r="M1985" t="str">
        <f>IF($A1985=Ficha!$B$3,COUNTIF($A$5:$A1985,Ficha!$B$3),"")</f>
        <v/>
      </c>
    </row>
    <row r="1986" spans="2:13" x14ac:dyDescent="0.3">
      <c r="B1986" s="30" t="str">
        <f>IF(A1986="","",IFERROR(INDEX(Maniobras!$B$5:$B$504,MATCH(A1986,Maniobras!$A$5:$A$504,0)),""))</f>
        <v/>
      </c>
      <c r="C1986" t="str">
        <f t="shared" si="60"/>
        <v/>
      </c>
      <c r="D1986" t="str">
        <f>IF(A1986="","",IFERROR(INDEX(Maniobras!$D$5:$D$504,MATCH(A1986,Maniobras!$A$5:$A$504,0)),""))</f>
        <v/>
      </c>
      <c r="F1986" s="29" t="str">
        <f>IF(A1986="","",IFERROR(INDEX(Maniobras!$K$5:$K$504,MATCH(A1986,Maniobras!$A$5:$A$504,0)),""))</f>
        <v/>
      </c>
      <c r="G1986" s="29"/>
      <c r="H1986" s="29"/>
      <c r="I1986" s="29" t="str">
        <f t="shared" si="61"/>
        <v/>
      </c>
      <c r="K1986" s="30"/>
      <c r="M1986" t="str">
        <f>IF($A1986=Ficha!$B$3,COUNTIF($A$5:$A1986,Ficha!$B$3),"")</f>
        <v/>
      </c>
    </row>
    <row r="1987" spans="2:13" x14ac:dyDescent="0.3">
      <c r="B1987" s="30" t="str">
        <f>IF(A1987="","",IFERROR(INDEX(Maniobras!$B$5:$B$504,MATCH(A1987,Maniobras!$A$5:$A$504,0)),""))</f>
        <v/>
      </c>
      <c r="C1987" t="str">
        <f t="shared" si="60"/>
        <v/>
      </c>
      <c r="D1987" t="str">
        <f>IF(A1987="","",IFERROR(INDEX(Maniobras!$D$5:$D$504,MATCH(A1987,Maniobras!$A$5:$A$504,0)),""))</f>
        <v/>
      </c>
      <c r="F1987" s="29" t="str">
        <f>IF(A1987="","",IFERROR(INDEX(Maniobras!$K$5:$K$504,MATCH(A1987,Maniobras!$A$5:$A$504,0)),""))</f>
        <v/>
      </c>
      <c r="G1987" s="29"/>
      <c r="H1987" s="29"/>
      <c r="I1987" s="29" t="str">
        <f t="shared" si="61"/>
        <v/>
      </c>
      <c r="K1987" s="30"/>
      <c r="M1987" t="str">
        <f>IF($A1987=Ficha!$B$3,COUNTIF($A$5:$A1987,Ficha!$B$3),"")</f>
        <v/>
      </c>
    </row>
    <row r="1988" spans="2:13" x14ac:dyDescent="0.3">
      <c r="B1988" s="30" t="str">
        <f>IF(A1988="","",IFERROR(INDEX(Maniobras!$B$5:$B$504,MATCH(A1988,Maniobras!$A$5:$A$504,0)),""))</f>
        <v/>
      </c>
      <c r="C1988" t="str">
        <f t="shared" si="60"/>
        <v/>
      </c>
      <c r="D1988" t="str">
        <f>IF(A1988="","",IFERROR(INDEX(Maniobras!$D$5:$D$504,MATCH(A1988,Maniobras!$A$5:$A$504,0)),""))</f>
        <v/>
      </c>
      <c r="F1988" s="29" t="str">
        <f>IF(A1988="","",IFERROR(INDEX(Maniobras!$K$5:$K$504,MATCH(A1988,Maniobras!$A$5:$A$504,0)),""))</f>
        <v/>
      </c>
      <c r="G1988" s="29"/>
      <c r="H1988" s="29"/>
      <c r="I1988" s="29" t="str">
        <f t="shared" si="61"/>
        <v/>
      </c>
      <c r="K1988" s="30"/>
      <c r="M1988" t="str">
        <f>IF($A1988=Ficha!$B$3,COUNTIF($A$5:$A1988,Ficha!$B$3),"")</f>
        <v/>
      </c>
    </row>
    <row r="1989" spans="2:13" x14ac:dyDescent="0.3">
      <c r="B1989" s="30" t="str">
        <f>IF(A1989="","",IFERROR(INDEX(Maniobras!$B$5:$B$504,MATCH(A1989,Maniobras!$A$5:$A$504,0)),""))</f>
        <v/>
      </c>
      <c r="C1989" t="str">
        <f t="shared" ref="C1989:C2052" si="62">IF(B1989="","",TEXT(B1989,"yyyy-mm"))</f>
        <v/>
      </c>
      <c r="D1989" t="str">
        <f>IF(A1989="","",IFERROR(INDEX(Maniobras!$D$5:$D$504,MATCH(A1989,Maniobras!$A$5:$A$504,0)),""))</f>
        <v/>
      </c>
      <c r="F1989" s="29" t="str">
        <f>IF(A1989="","",IFERROR(INDEX(Maniobras!$K$5:$K$504,MATCH(A1989,Maniobras!$A$5:$A$504,0)),""))</f>
        <v/>
      </c>
      <c r="G1989" s="29"/>
      <c r="H1989" s="29"/>
      <c r="I1989" s="29" t="str">
        <f t="shared" ref="I1989:I2052" si="63">IF(G1989="","",G1989+N(H1989))</f>
        <v/>
      </c>
      <c r="K1989" s="30"/>
      <c r="M1989" t="str">
        <f>IF($A1989=Ficha!$B$3,COUNTIF($A$5:$A1989,Ficha!$B$3),"")</f>
        <v/>
      </c>
    </row>
    <row r="1990" spans="2:13" x14ac:dyDescent="0.3">
      <c r="B1990" s="30" t="str">
        <f>IF(A1990="","",IFERROR(INDEX(Maniobras!$B$5:$B$504,MATCH(A1990,Maniobras!$A$5:$A$504,0)),""))</f>
        <v/>
      </c>
      <c r="C1990" t="str">
        <f t="shared" si="62"/>
        <v/>
      </c>
      <c r="D1990" t="str">
        <f>IF(A1990="","",IFERROR(INDEX(Maniobras!$D$5:$D$504,MATCH(A1990,Maniobras!$A$5:$A$504,0)),""))</f>
        <v/>
      </c>
      <c r="F1990" s="29" t="str">
        <f>IF(A1990="","",IFERROR(INDEX(Maniobras!$K$5:$K$504,MATCH(A1990,Maniobras!$A$5:$A$504,0)),""))</f>
        <v/>
      </c>
      <c r="G1990" s="29"/>
      <c r="H1990" s="29"/>
      <c r="I1990" s="29" t="str">
        <f t="shared" si="63"/>
        <v/>
      </c>
      <c r="K1990" s="30"/>
      <c r="M1990" t="str">
        <f>IF($A1990=Ficha!$B$3,COUNTIF($A$5:$A1990,Ficha!$B$3),"")</f>
        <v/>
      </c>
    </row>
    <row r="1991" spans="2:13" x14ac:dyDescent="0.3">
      <c r="B1991" s="30" t="str">
        <f>IF(A1991="","",IFERROR(INDEX(Maniobras!$B$5:$B$504,MATCH(A1991,Maniobras!$A$5:$A$504,0)),""))</f>
        <v/>
      </c>
      <c r="C1991" t="str">
        <f t="shared" si="62"/>
        <v/>
      </c>
      <c r="D1991" t="str">
        <f>IF(A1991="","",IFERROR(INDEX(Maniobras!$D$5:$D$504,MATCH(A1991,Maniobras!$A$5:$A$504,0)),""))</f>
        <v/>
      </c>
      <c r="F1991" s="29" t="str">
        <f>IF(A1991="","",IFERROR(INDEX(Maniobras!$K$5:$K$504,MATCH(A1991,Maniobras!$A$5:$A$504,0)),""))</f>
        <v/>
      </c>
      <c r="G1991" s="29"/>
      <c r="H1991" s="29"/>
      <c r="I1991" s="29" t="str">
        <f t="shared" si="63"/>
        <v/>
      </c>
      <c r="K1991" s="30"/>
      <c r="M1991" t="str">
        <f>IF($A1991=Ficha!$B$3,COUNTIF($A$5:$A1991,Ficha!$B$3),"")</f>
        <v/>
      </c>
    </row>
    <row r="1992" spans="2:13" x14ac:dyDescent="0.3">
      <c r="B1992" s="30" t="str">
        <f>IF(A1992="","",IFERROR(INDEX(Maniobras!$B$5:$B$504,MATCH(A1992,Maniobras!$A$5:$A$504,0)),""))</f>
        <v/>
      </c>
      <c r="C1992" t="str">
        <f t="shared" si="62"/>
        <v/>
      </c>
      <c r="D1992" t="str">
        <f>IF(A1992="","",IFERROR(INDEX(Maniobras!$D$5:$D$504,MATCH(A1992,Maniobras!$A$5:$A$504,0)),""))</f>
        <v/>
      </c>
      <c r="F1992" s="29" t="str">
        <f>IF(A1992="","",IFERROR(INDEX(Maniobras!$K$5:$K$504,MATCH(A1992,Maniobras!$A$5:$A$504,0)),""))</f>
        <v/>
      </c>
      <c r="G1992" s="29"/>
      <c r="H1992" s="29"/>
      <c r="I1992" s="29" t="str">
        <f t="shared" si="63"/>
        <v/>
      </c>
      <c r="K1992" s="30"/>
      <c r="M1992" t="str">
        <f>IF($A1992=Ficha!$B$3,COUNTIF($A$5:$A1992,Ficha!$B$3),"")</f>
        <v/>
      </c>
    </row>
    <row r="1993" spans="2:13" x14ac:dyDescent="0.3">
      <c r="B1993" s="30" t="str">
        <f>IF(A1993="","",IFERROR(INDEX(Maniobras!$B$5:$B$504,MATCH(A1993,Maniobras!$A$5:$A$504,0)),""))</f>
        <v/>
      </c>
      <c r="C1993" t="str">
        <f t="shared" si="62"/>
        <v/>
      </c>
      <c r="D1993" t="str">
        <f>IF(A1993="","",IFERROR(INDEX(Maniobras!$D$5:$D$504,MATCH(A1993,Maniobras!$A$5:$A$504,0)),""))</f>
        <v/>
      </c>
      <c r="F1993" s="29" t="str">
        <f>IF(A1993="","",IFERROR(INDEX(Maniobras!$K$5:$K$504,MATCH(A1993,Maniobras!$A$5:$A$504,0)),""))</f>
        <v/>
      </c>
      <c r="G1993" s="29"/>
      <c r="H1993" s="29"/>
      <c r="I1993" s="29" t="str">
        <f t="shared" si="63"/>
        <v/>
      </c>
      <c r="K1993" s="30"/>
      <c r="M1993" t="str">
        <f>IF($A1993=Ficha!$B$3,COUNTIF($A$5:$A1993,Ficha!$B$3),"")</f>
        <v/>
      </c>
    </row>
    <row r="1994" spans="2:13" x14ac:dyDescent="0.3">
      <c r="B1994" s="30" t="str">
        <f>IF(A1994="","",IFERROR(INDEX(Maniobras!$B$5:$B$504,MATCH(A1994,Maniobras!$A$5:$A$504,0)),""))</f>
        <v/>
      </c>
      <c r="C1994" t="str">
        <f t="shared" si="62"/>
        <v/>
      </c>
      <c r="D1994" t="str">
        <f>IF(A1994="","",IFERROR(INDEX(Maniobras!$D$5:$D$504,MATCH(A1994,Maniobras!$A$5:$A$504,0)),""))</f>
        <v/>
      </c>
      <c r="F1994" s="29" t="str">
        <f>IF(A1994="","",IFERROR(INDEX(Maniobras!$K$5:$K$504,MATCH(A1994,Maniobras!$A$5:$A$504,0)),""))</f>
        <v/>
      </c>
      <c r="G1994" s="29"/>
      <c r="H1994" s="29"/>
      <c r="I1994" s="29" t="str">
        <f t="shared" si="63"/>
        <v/>
      </c>
      <c r="K1994" s="30"/>
      <c r="M1994" t="str">
        <f>IF($A1994=Ficha!$B$3,COUNTIF($A$5:$A1994,Ficha!$B$3),"")</f>
        <v/>
      </c>
    </row>
    <row r="1995" spans="2:13" x14ac:dyDescent="0.3">
      <c r="B1995" s="30" t="str">
        <f>IF(A1995="","",IFERROR(INDEX(Maniobras!$B$5:$B$504,MATCH(A1995,Maniobras!$A$5:$A$504,0)),""))</f>
        <v/>
      </c>
      <c r="C1995" t="str">
        <f t="shared" si="62"/>
        <v/>
      </c>
      <c r="D1995" t="str">
        <f>IF(A1995="","",IFERROR(INDEX(Maniobras!$D$5:$D$504,MATCH(A1995,Maniobras!$A$5:$A$504,0)),""))</f>
        <v/>
      </c>
      <c r="F1995" s="29" t="str">
        <f>IF(A1995="","",IFERROR(INDEX(Maniobras!$K$5:$K$504,MATCH(A1995,Maniobras!$A$5:$A$504,0)),""))</f>
        <v/>
      </c>
      <c r="G1995" s="29"/>
      <c r="H1995" s="29"/>
      <c r="I1995" s="29" t="str">
        <f t="shared" si="63"/>
        <v/>
      </c>
      <c r="K1995" s="30"/>
      <c r="M1995" t="str">
        <f>IF($A1995=Ficha!$B$3,COUNTIF($A$5:$A1995,Ficha!$B$3),"")</f>
        <v/>
      </c>
    </row>
    <row r="1996" spans="2:13" x14ac:dyDescent="0.3">
      <c r="B1996" s="30" t="str">
        <f>IF(A1996="","",IFERROR(INDEX(Maniobras!$B$5:$B$504,MATCH(A1996,Maniobras!$A$5:$A$504,0)),""))</f>
        <v/>
      </c>
      <c r="C1996" t="str">
        <f t="shared" si="62"/>
        <v/>
      </c>
      <c r="D1996" t="str">
        <f>IF(A1996="","",IFERROR(INDEX(Maniobras!$D$5:$D$504,MATCH(A1996,Maniobras!$A$5:$A$504,0)),""))</f>
        <v/>
      </c>
      <c r="F1996" s="29" t="str">
        <f>IF(A1996="","",IFERROR(INDEX(Maniobras!$K$5:$K$504,MATCH(A1996,Maniobras!$A$5:$A$504,0)),""))</f>
        <v/>
      </c>
      <c r="G1996" s="29"/>
      <c r="H1996" s="29"/>
      <c r="I1996" s="29" t="str">
        <f t="shared" si="63"/>
        <v/>
      </c>
      <c r="K1996" s="30"/>
      <c r="M1996" t="str">
        <f>IF($A1996=Ficha!$B$3,COUNTIF($A$5:$A1996,Ficha!$B$3),"")</f>
        <v/>
      </c>
    </row>
    <row r="1997" spans="2:13" x14ac:dyDescent="0.3">
      <c r="B1997" s="30" t="str">
        <f>IF(A1997="","",IFERROR(INDEX(Maniobras!$B$5:$B$504,MATCH(A1997,Maniobras!$A$5:$A$504,0)),""))</f>
        <v/>
      </c>
      <c r="C1997" t="str">
        <f t="shared" si="62"/>
        <v/>
      </c>
      <c r="D1997" t="str">
        <f>IF(A1997="","",IFERROR(INDEX(Maniobras!$D$5:$D$504,MATCH(A1997,Maniobras!$A$5:$A$504,0)),""))</f>
        <v/>
      </c>
      <c r="F1997" s="29" t="str">
        <f>IF(A1997="","",IFERROR(INDEX(Maniobras!$K$5:$K$504,MATCH(A1997,Maniobras!$A$5:$A$504,0)),""))</f>
        <v/>
      </c>
      <c r="G1997" s="29"/>
      <c r="H1997" s="29"/>
      <c r="I1997" s="29" t="str">
        <f t="shared" si="63"/>
        <v/>
      </c>
      <c r="K1997" s="30"/>
      <c r="M1997" t="str">
        <f>IF($A1997=Ficha!$B$3,COUNTIF($A$5:$A1997,Ficha!$B$3),"")</f>
        <v/>
      </c>
    </row>
    <row r="1998" spans="2:13" x14ac:dyDescent="0.3">
      <c r="B1998" s="30" t="str">
        <f>IF(A1998="","",IFERROR(INDEX(Maniobras!$B$5:$B$504,MATCH(A1998,Maniobras!$A$5:$A$504,0)),""))</f>
        <v/>
      </c>
      <c r="C1998" t="str">
        <f t="shared" si="62"/>
        <v/>
      </c>
      <c r="D1998" t="str">
        <f>IF(A1998="","",IFERROR(INDEX(Maniobras!$D$5:$D$504,MATCH(A1998,Maniobras!$A$5:$A$504,0)),""))</f>
        <v/>
      </c>
      <c r="F1998" s="29" t="str">
        <f>IF(A1998="","",IFERROR(INDEX(Maniobras!$K$5:$K$504,MATCH(A1998,Maniobras!$A$5:$A$504,0)),""))</f>
        <v/>
      </c>
      <c r="G1998" s="29"/>
      <c r="H1998" s="29"/>
      <c r="I1998" s="29" t="str">
        <f t="shared" si="63"/>
        <v/>
      </c>
      <c r="K1998" s="30"/>
      <c r="M1998" t="str">
        <f>IF($A1998=Ficha!$B$3,COUNTIF($A$5:$A1998,Ficha!$B$3),"")</f>
        <v/>
      </c>
    </row>
    <row r="1999" spans="2:13" x14ac:dyDescent="0.3">
      <c r="B1999" s="30" t="str">
        <f>IF(A1999="","",IFERROR(INDEX(Maniobras!$B$5:$B$504,MATCH(A1999,Maniobras!$A$5:$A$504,0)),""))</f>
        <v/>
      </c>
      <c r="C1999" t="str">
        <f t="shared" si="62"/>
        <v/>
      </c>
      <c r="D1999" t="str">
        <f>IF(A1999="","",IFERROR(INDEX(Maniobras!$D$5:$D$504,MATCH(A1999,Maniobras!$A$5:$A$504,0)),""))</f>
        <v/>
      </c>
      <c r="F1999" s="29" t="str">
        <f>IF(A1999="","",IFERROR(INDEX(Maniobras!$K$5:$K$504,MATCH(A1999,Maniobras!$A$5:$A$504,0)),""))</f>
        <v/>
      </c>
      <c r="G1999" s="29"/>
      <c r="H1999" s="29"/>
      <c r="I1999" s="29" t="str">
        <f t="shared" si="63"/>
        <v/>
      </c>
      <c r="K1999" s="30"/>
      <c r="M1999" t="str">
        <f>IF($A1999=Ficha!$B$3,COUNTIF($A$5:$A1999,Ficha!$B$3),"")</f>
        <v/>
      </c>
    </row>
    <row r="2000" spans="2:13" x14ac:dyDescent="0.3">
      <c r="B2000" s="30" t="str">
        <f>IF(A2000="","",IFERROR(INDEX(Maniobras!$B$5:$B$504,MATCH(A2000,Maniobras!$A$5:$A$504,0)),""))</f>
        <v/>
      </c>
      <c r="C2000" t="str">
        <f t="shared" si="62"/>
        <v/>
      </c>
      <c r="D2000" t="str">
        <f>IF(A2000="","",IFERROR(INDEX(Maniobras!$D$5:$D$504,MATCH(A2000,Maniobras!$A$5:$A$504,0)),""))</f>
        <v/>
      </c>
      <c r="F2000" s="29" t="str">
        <f>IF(A2000="","",IFERROR(INDEX(Maniobras!$K$5:$K$504,MATCH(A2000,Maniobras!$A$5:$A$504,0)),""))</f>
        <v/>
      </c>
      <c r="G2000" s="29"/>
      <c r="H2000" s="29"/>
      <c r="I2000" s="29" t="str">
        <f t="shared" si="63"/>
        <v/>
      </c>
      <c r="K2000" s="30"/>
      <c r="M2000" t="str">
        <f>IF($A2000=Ficha!$B$3,COUNTIF($A$5:$A2000,Ficha!$B$3),"")</f>
        <v/>
      </c>
    </row>
    <row r="2001" spans="2:13" x14ac:dyDescent="0.3">
      <c r="B2001" s="30" t="str">
        <f>IF(A2001="","",IFERROR(INDEX(Maniobras!$B$5:$B$504,MATCH(A2001,Maniobras!$A$5:$A$504,0)),""))</f>
        <v/>
      </c>
      <c r="C2001" t="str">
        <f t="shared" si="62"/>
        <v/>
      </c>
      <c r="D2001" t="str">
        <f>IF(A2001="","",IFERROR(INDEX(Maniobras!$D$5:$D$504,MATCH(A2001,Maniobras!$A$5:$A$504,0)),""))</f>
        <v/>
      </c>
      <c r="F2001" s="29" t="str">
        <f>IF(A2001="","",IFERROR(INDEX(Maniobras!$K$5:$K$504,MATCH(A2001,Maniobras!$A$5:$A$504,0)),""))</f>
        <v/>
      </c>
      <c r="G2001" s="29"/>
      <c r="H2001" s="29"/>
      <c r="I2001" s="29" t="str">
        <f t="shared" si="63"/>
        <v/>
      </c>
      <c r="K2001" s="30"/>
      <c r="M2001" t="str">
        <f>IF($A2001=Ficha!$B$3,COUNTIF($A$5:$A2001,Ficha!$B$3),"")</f>
        <v/>
      </c>
    </row>
    <row r="2002" spans="2:13" x14ac:dyDescent="0.3">
      <c r="B2002" s="30" t="str">
        <f>IF(A2002="","",IFERROR(INDEX(Maniobras!$B$5:$B$504,MATCH(A2002,Maniobras!$A$5:$A$504,0)),""))</f>
        <v/>
      </c>
      <c r="C2002" t="str">
        <f t="shared" si="62"/>
        <v/>
      </c>
      <c r="D2002" t="str">
        <f>IF(A2002="","",IFERROR(INDEX(Maniobras!$D$5:$D$504,MATCH(A2002,Maniobras!$A$5:$A$504,0)),""))</f>
        <v/>
      </c>
      <c r="F2002" s="29" t="str">
        <f>IF(A2002="","",IFERROR(INDEX(Maniobras!$K$5:$K$504,MATCH(A2002,Maniobras!$A$5:$A$504,0)),""))</f>
        <v/>
      </c>
      <c r="G2002" s="29"/>
      <c r="H2002" s="29"/>
      <c r="I2002" s="29" t="str">
        <f t="shared" si="63"/>
        <v/>
      </c>
      <c r="K2002" s="30"/>
      <c r="M2002" t="str">
        <f>IF($A2002=Ficha!$B$3,COUNTIF($A$5:$A2002,Ficha!$B$3),"")</f>
        <v/>
      </c>
    </row>
    <row r="2003" spans="2:13" x14ac:dyDescent="0.3">
      <c r="B2003" s="30" t="str">
        <f>IF(A2003="","",IFERROR(INDEX(Maniobras!$B$5:$B$504,MATCH(A2003,Maniobras!$A$5:$A$504,0)),""))</f>
        <v/>
      </c>
      <c r="C2003" t="str">
        <f t="shared" si="62"/>
        <v/>
      </c>
      <c r="D2003" t="str">
        <f>IF(A2003="","",IFERROR(INDEX(Maniobras!$D$5:$D$504,MATCH(A2003,Maniobras!$A$5:$A$504,0)),""))</f>
        <v/>
      </c>
      <c r="F2003" s="29" t="str">
        <f>IF(A2003="","",IFERROR(INDEX(Maniobras!$K$5:$K$504,MATCH(A2003,Maniobras!$A$5:$A$504,0)),""))</f>
        <v/>
      </c>
      <c r="G2003" s="29"/>
      <c r="H2003" s="29"/>
      <c r="I2003" s="29" t="str">
        <f t="shared" si="63"/>
        <v/>
      </c>
      <c r="K2003" s="30"/>
      <c r="M2003" t="str">
        <f>IF($A2003=Ficha!$B$3,COUNTIF($A$5:$A2003,Ficha!$B$3),"")</f>
        <v/>
      </c>
    </row>
    <row r="2004" spans="2:13" x14ac:dyDescent="0.3">
      <c r="B2004" s="30" t="str">
        <f>IF(A2004="","",IFERROR(INDEX(Maniobras!$B$5:$B$504,MATCH(A2004,Maniobras!$A$5:$A$504,0)),""))</f>
        <v/>
      </c>
      <c r="C2004" t="str">
        <f t="shared" si="62"/>
        <v/>
      </c>
      <c r="D2004" t="str">
        <f>IF(A2004="","",IFERROR(INDEX(Maniobras!$D$5:$D$504,MATCH(A2004,Maniobras!$A$5:$A$504,0)),""))</f>
        <v/>
      </c>
      <c r="F2004" s="29" t="str">
        <f>IF(A2004="","",IFERROR(INDEX(Maniobras!$K$5:$K$504,MATCH(A2004,Maniobras!$A$5:$A$504,0)),""))</f>
        <v/>
      </c>
      <c r="G2004" s="29"/>
      <c r="H2004" s="29"/>
      <c r="I2004" s="29" t="str">
        <f t="shared" si="63"/>
        <v/>
      </c>
      <c r="K2004" s="30"/>
      <c r="M2004" t="str">
        <f>IF($A2004=Ficha!$B$3,COUNTIF($A$5:$A2004,Ficha!$B$3),"")</f>
        <v/>
      </c>
    </row>
  </sheetData>
  <mergeCells count="1">
    <mergeCell ref="A1:L1"/>
  </mergeCells>
  <conditionalFormatting sqref="J5:J2004">
    <cfRule type="cellIs" dxfId="1" priority="1" operator="equal">
      <formula>"Si"</formula>
    </cfRule>
    <cfRule type="cellIs" dxfId="0" priority="2" operator="equal">
      <formula>"No"</formula>
    </cfRule>
  </conditionalFormatting>
  <dataValidations count="1">
    <dataValidation type="list" sqref="J5:J2004" xr:uid="{00000000-0002-0000-0400-000002000000}">
      <formula1>"Si,No"</formula1>
    </dataValidation>
  </dataValidations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xr:uid="{00000000-0002-0000-0400-000000000000}">
          <x14:formula1>
            <xm:f>Maniobras!$A$5:$A$504</xm:f>
          </x14:formula1>
          <xm:sqref>A5:A2004</xm:sqref>
        </x14:dataValidation>
        <x14:dataValidation type="list" allowBlank="1" xr:uid="{00000000-0002-0000-0400-000001000000}">
          <x14:formula1>
            <xm:f>Trabajadores!$B$5:$B$204</xm:f>
          </x14:formula1>
          <xm:sqref>E5:E2004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7"/>
  <sheetViews>
    <sheetView showGridLines="0" workbookViewId="0">
      <pane ySplit="7" topLeftCell="A8" activePane="bottomLeft" state="frozen"/>
      <selection pane="bottomLeft"/>
    </sheetView>
  </sheetViews>
  <sheetFormatPr baseColWidth="10" defaultColWidth="8.796875" defaultRowHeight="15.6" x14ac:dyDescent="0.3"/>
  <cols>
    <col min="1" max="1" width="26" customWidth="1"/>
    <col min="2" max="2" width="20" customWidth="1"/>
    <col min="3" max="4" width="17" customWidth="1"/>
    <col min="5" max="5" width="20" customWidth="1"/>
    <col min="6" max="6" width="14" customWidth="1"/>
    <col min="7" max="7" width="18" customWidth="1"/>
    <col min="8" max="8" width="17" customWidth="1"/>
  </cols>
  <sheetData>
    <row r="1" spans="1:8" ht="18" x14ac:dyDescent="0.35">
      <c r="A1" s="41" t="s">
        <v>70</v>
      </c>
      <c r="B1" s="42"/>
      <c r="C1" s="42"/>
      <c r="D1" s="42"/>
      <c r="E1" s="42"/>
      <c r="F1" s="42"/>
      <c r="G1" s="42"/>
      <c r="H1" s="42"/>
    </row>
    <row r="3" spans="1:8" x14ac:dyDescent="0.3">
      <c r="A3" s="31" t="s">
        <v>71</v>
      </c>
    </row>
    <row r="7" spans="1:8" ht="31.2" x14ac:dyDescent="0.3">
      <c r="A7" s="26" t="s">
        <v>28</v>
      </c>
      <c r="B7" s="26" t="s">
        <v>72</v>
      </c>
      <c r="C7" s="26" t="s">
        <v>73</v>
      </c>
      <c r="D7" s="26" t="s">
        <v>29</v>
      </c>
      <c r="E7" s="26" t="s">
        <v>74</v>
      </c>
      <c r="F7" s="26" t="s">
        <v>75</v>
      </c>
      <c r="G7" s="26" t="s">
        <v>76</v>
      </c>
      <c r="H7" s="26" t="s">
        <v>77</v>
      </c>
    </row>
    <row r="8" spans="1:8" x14ac:dyDescent="0.3">
      <c r="A8" t="str">
        <f>IF(Trabajadores!B5="","",Trabajadores!B5)</f>
        <v>Carlos Salas</v>
      </c>
      <c r="B8">
        <f>IF(A8="","",COUNTIFS(Detalle_Pagos!$E$5:$E$2004,A8,Detalle_Pagos!$J$5:$J$2004,"No"))</f>
        <v>1</v>
      </c>
      <c r="C8" s="29">
        <f>IF(A8="","",SUMIFS(Detalle_Pagos!$I$5:$I$2004,Detalle_Pagos!$E$5:$E$2004,A8,Detalle_Pagos!$J$5:$J$2004,"No"))</f>
        <v>150</v>
      </c>
      <c r="D8" s="29">
        <f>IF(A8="","",B8*IFERROR(INDEX(Trabajadores!$D$5:$D$204,MATCH(A8,Trabajadores!$B$5:$B$204,0)),0))</f>
        <v>100</v>
      </c>
      <c r="E8" s="29">
        <f t="shared" ref="E8:E39" si="0">IF(A8="","",C8+D8)</f>
        <v>250</v>
      </c>
      <c r="F8" s="30">
        <f>IF(A8="","",IF(B8=0,"",LOOKUP(2,1/((Detalle_Pagos!$E$5:$E$2004=A8)*(Detalle_Pagos!$J$5:$J$2004="No")),Detalle_Pagos!$B$5:$B$2004)))</f>
        <v>46147</v>
      </c>
      <c r="G8" s="29">
        <f>IF(A8="","",SUMIFS(Detalle_Pagos!$I$5:$I$2004,Detalle_Pagos!$E$5:$E$2004,A8,Detalle_Pagos!$J$5:$J$2004,"Si"))</f>
        <v>0</v>
      </c>
      <c r="H8">
        <f>IF(A8="","",COUNTIFS(Detalle_Pagos!$E$5:$E$2004,A8,Detalle_Pagos!$J$5:$J$2004,"Si"))</f>
        <v>0</v>
      </c>
    </row>
    <row r="9" spans="1:8" x14ac:dyDescent="0.3">
      <c r="A9" t="str">
        <f>IF(Trabajadores!B6="","",Trabajadores!B6)</f>
        <v>Juan</v>
      </c>
      <c r="B9">
        <f>IF(A9="","",COUNTIFS(Detalle_Pagos!$E$5:$E$2004,A9,Detalle_Pagos!$J$5:$J$2004,"No"))</f>
        <v>2</v>
      </c>
      <c r="C9" s="29">
        <f>IF(A9="","",SUMIFS(Detalle_Pagos!$I$5:$I$2004,Detalle_Pagos!$E$5:$E$2004,A9,Detalle_Pagos!$J$5:$J$2004,"No"))</f>
        <v>450</v>
      </c>
      <c r="D9" s="29">
        <f>IF(A9="","",B9*IFERROR(INDEX(Trabajadores!$D$5:$D$204,MATCH(A9,Trabajadores!$B$5:$B$204,0)),0))</f>
        <v>0</v>
      </c>
      <c r="E9" s="29">
        <f t="shared" si="0"/>
        <v>450</v>
      </c>
      <c r="F9" s="30">
        <f>IF(A9="","",IF(B9=0,"",LOOKUP(2,1/((Detalle_Pagos!$E$5:$E$2004=A9)*(Detalle_Pagos!$J$5:$J$2004="No")),Detalle_Pagos!$B$5:$B$2004)))</f>
        <v>46148</v>
      </c>
      <c r="G9" s="29">
        <f>IF(A9="","",SUMIFS(Detalle_Pagos!$I$5:$I$2004,Detalle_Pagos!$E$5:$E$2004,A9,Detalle_Pagos!$J$5:$J$2004,"Si"))</f>
        <v>0</v>
      </c>
      <c r="H9">
        <f>IF(A9="","",COUNTIFS(Detalle_Pagos!$E$5:$E$2004,A9,Detalle_Pagos!$J$5:$J$2004,"Si"))</f>
        <v>0</v>
      </c>
    </row>
    <row r="10" spans="1:8" x14ac:dyDescent="0.3">
      <c r="A10" t="str">
        <f>IF(Trabajadores!B7="","",Trabajadores!B7)</f>
        <v>Uriel</v>
      </c>
      <c r="B10">
        <f>IF(A10="","",COUNTIFS(Detalle_Pagos!$E$5:$E$2004,A10,Detalle_Pagos!$J$5:$J$2004,"No"))</f>
        <v>2</v>
      </c>
      <c r="C10" s="29">
        <f>IF(A10="","",SUMIFS(Detalle_Pagos!$I$5:$I$2004,Detalle_Pagos!$E$5:$E$2004,A10,Detalle_Pagos!$J$5:$J$2004,"No"))</f>
        <v>450</v>
      </c>
      <c r="D10" s="29">
        <f>IF(A10="","",B10*IFERROR(INDEX(Trabajadores!$D$5:$D$204,MATCH(A10,Trabajadores!$B$5:$B$204,0)),0))</f>
        <v>0</v>
      </c>
      <c r="E10" s="29">
        <f t="shared" si="0"/>
        <v>450</v>
      </c>
      <c r="F10" s="30">
        <f>IF(A10="","",IF(B10=0,"",LOOKUP(2,1/((Detalle_Pagos!$E$5:$E$2004=A10)*(Detalle_Pagos!$J$5:$J$2004="No")),Detalle_Pagos!$B$5:$B$2004)))</f>
        <v>46148</v>
      </c>
      <c r="G10" s="29">
        <f>IF(A10="","",SUMIFS(Detalle_Pagos!$I$5:$I$2004,Detalle_Pagos!$E$5:$E$2004,A10,Detalle_Pagos!$J$5:$J$2004,"Si"))</f>
        <v>0</v>
      </c>
      <c r="H10">
        <f>IF(A10="","",COUNTIFS(Detalle_Pagos!$E$5:$E$2004,A10,Detalle_Pagos!$J$5:$J$2004,"Si"))</f>
        <v>0</v>
      </c>
    </row>
    <row r="11" spans="1:8" x14ac:dyDescent="0.3">
      <c r="A11" t="str">
        <f>IF(Trabajadores!B8="","",Trabajadores!B8)</f>
        <v>Eliseo</v>
      </c>
      <c r="B11">
        <f>IF(A11="","",COUNTIFS(Detalle_Pagos!$E$5:$E$2004,A11,Detalle_Pagos!$J$5:$J$2004,"No"))</f>
        <v>2</v>
      </c>
      <c r="C11" s="29">
        <f>IF(A11="","",SUMIFS(Detalle_Pagos!$I$5:$I$2004,Detalle_Pagos!$E$5:$E$2004,A11,Detalle_Pagos!$J$5:$J$2004,"No"))</f>
        <v>450</v>
      </c>
      <c r="D11" s="29">
        <f>IF(A11="","",B11*IFERROR(INDEX(Trabajadores!$D$5:$D$204,MATCH(A11,Trabajadores!$B$5:$B$204,0)),0))</f>
        <v>0</v>
      </c>
      <c r="E11" s="29">
        <f t="shared" si="0"/>
        <v>450</v>
      </c>
      <c r="F11" s="30">
        <f>IF(A11="","",IF(B11=0,"",LOOKUP(2,1/((Detalle_Pagos!$E$5:$E$2004=A11)*(Detalle_Pagos!$J$5:$J$2004="No")),Detalle_Pagos!$B$5:$B$2004)))</f>
        <v>46148</v>
      </c>
      <c r="G11" s="29">
        <f>IF(A11="","",SUMIFS(Detalle_Pagos!$I$5:$I$2004,Detalle_Pagos!$E$5:$E$2004,A11,Detalle_Pagos!$J$5:$J$2004,"Si"))</f>
        <v>0</v>
      </c>
      <c r="H11">
        <f>IF(A11="","",COUNTIFS(Detalle_Pagos!$E$5:$E$2004,A11,Detalle_Pagos!$J$5:$J$2004,"Si"))</f>
        <v>0</v>
      </c>
    </row>
    <row r="12" spans="1:8" x14ac:dyDescent="0.3">
      <c r="A12" t="str">
        <f>IF(Trabajadores!B9="","",Trabajadores!B9)</f>
        <v>Marcos</v>
      </c>
      <c r="B12">
        <f>IF(A12="","",COUNTIFS(Detalle_Pagos!$E$5:$E$2004,A12,Detalle_Pagos!$J$5:$J$2004,"No"))</f>
        <v>1</v>
      </c>
      <c r="C12" s="29">
        <f>IF(A12="","",SUMIFS(Detalle_Pagos!$I$5:$I$2004,Detalle_Pagos!$E$5:$E$2004,A12,Detalle_Pagos!$J$5:$J$2004,"No"))</f>
        <v>150</v>
      </c>
      <c r="D12" s="29">
        <f>IF(A12="","",B12*IFERROR(INDEX(Trabajadores!$D$5:$D$204,MATCH(A12,Trabajadores!$B$5:$B$204,0)),0))</f>
        <v>0</v>
      </c>
      <c r="E12" s="29">
        <f t="shared" si="0"/>
        <v>150</v>
      </c>
      <c r="F12" s="30">
        <f>IF(A12="","",IF(B12=0,"",LOOKUP(2,1/((Detalle_Pagos!$E$5:$E$2004=A12)*(Detalle_Pagos!$J$5:$J$2004="No")),Detalle_Pagos!$B$5:$B$2004)))</f>
        <v>46147</v>
      </c>
      <c r="G12" s="29">
        <f>IF(A12="","",SUMIFS(Detalle_Pagos!$I$5:$I$2004,Detalle_Pagos!$E$5:$E$2004,A12,Detalle_Pagos!$J$5:$J$2004,"Si"))</f>
        <v>0</v>
      </c>
      <c r="H12">
        <f>IF(A12="","",COUNTIFS(Detalle_Pagos!$E$5:$E$2004,A12,Detalle_Pagos!$J$5:$J$2004,"Si"))</f>
        <v>0</v>
      </c>
    </row>
    <row r="13" spans="1:8" x14ac:dyDescent="0.3">
      <c r="A13" t="str">
        <f>IF(Trabajadores!B10="","",Trabajadores!B10)</f>
        <v>Fabián</v>
      </c>
      <c r="B13">
        <f>IF(A13="","",COUNTIFS(Detalle_Pagos!$E$5:$E$2004,A13,Detalle_Pagos!$J$5:$J$2004,"No"))</f>
        <v>1</v>
      </c>
      <c r="C13" s="29">
        <f>IF(A13="","",SUMIFS(Detalle_Pagos!$I$5:$I$2004,Detalle_Pagos!$E$5:$E$2004,A13,Detalle_Pagos!$J$5:$J$2004,"No"))</f>
        <v>150</v>
      </c>
      <c r="D13" s="29">
        <f>IF(A13="","",B13*IFERROR(INDEX(Trabajadores!$D$5:$D$204,MATCH(A13,Trabajadores!$B$5:$B$204,0)),0))</f>
        <v>0</v>
      </c>
      <c r="E13" s="29">
        <f t="shared" si="0"/>
        <v>150</v>
      </c>
      <c r="F13" s="30">
        <f>IF(A13="","",IF(B13=0,"",LOOKUP(2,1/((Detalle_Pagos!$E$5:$E$2004=A13)*(Detalle_Pagos!$J$5:$J$2004="No")),Detalle_Pagos!$B$5:$B$2004)))</f>
        <v>46147</v>
      </c>
      <c r="G13" s="29">
        <f>IF(A13="","",SUMIFS(Detalle_Pagos!$I$5:$I$2004,Detalle_Pagos!$E$5:$E$2004,A13,Detalle_Pagos!$J$5:$J$2004,"Si"))</f>
        <v>0</v>
      </c>
      <c r="H13">
        <f>IF(A13="","",COUNTIFS(Detalle_Pagos!$E$5:$E$2004,A13,Detalle_Pagos!$J$5:$J$2004,"Si"))</f>
        <v>0</v>
      </c>
    </row>
    <row r="14" spans="1:8" x14ac:dyDescent="0.3">
      <c r="A14" t="str">
        <f>IF(Trabajadores!B11="","",Trabajadores!B11)</f>
        <v>Ramses</v>
      </c>
      <c r="B14">
        <f>IF(A14="","",COUNTIFS(Detalle_Pagos!$E$5:$E$2004,A14,Detalle_Pagos!$J$5:$J$2004,"No"))</f>
        <v>2</v>
      </c>
      <c r="C14" s="29">
        <f>IF(A14="","",SUMIFS(Detalle_Pagos!$I$5:$I$2004,Detalle_Pagos!$E$5:$E$2004,A14,Detalle_Pagos!$J$5:$J$2004,"No"))</f>
        <v>450</v>
      </c>
      <c r="D14" s="29">
        <f>IF(A14="","",B14*IFERROR(INDEX(Trabajadores!$D$5:$D$204,MATCH(A14,Trabajadores!$B$5:$B$204,0)),0))</f>
        <v>0</v>
      </c>
      <c r="E14" s="29">
        <f t="shared" si="0"/>
        <v>450</v>
      </c>
      <c r="F14" s="30">
        <f>IF(A14="","",IF(B14=0,"",LOOKUP(2,1/((Detalle_Pagos!$E$5:$E$2004=A14)*(Detalle_Pagos!$J$5:$J$2004="No")),Detalle_Pagos!$B$5:$B$2004)))</f>
        <v>46148</v>
      </c>
      <c r="G14" s="29">
        <f>IF(A14="","",SUMIFS(Detalle_Pagos!$I$5:$I$2004,Detalle_Pagos!$E$5:$E$2004,A14,Detalle_Pagos!$J$5:$J$2004,"Si"))</f>
        <v>0</v>
      </c>
      <c r="H14">
        <f>IF(A14="","",COUNTIFS(Detalle_Pagos!$E$5:$E$2004,A14,Detalle_Pagos!$J$5:$J$2004,"Si"))</f>
        <v>0</v>
      </c>
    </row>
    <row r="15" spans="1:8" x14ac:dyDescent="0.3">
      <c r="A15" t="str">
        <f>IF(Trabajadores!B12="","",Trabajadores!B12)</f>
        <v>Emanuel</v>
      </c>
      <c r="B15">
        <f>IF(A15="","",COUNTIFS(Detalle_Pagos!$E$5:$E$2004,A15,Detalle_Pagos!$J$5:$J$2004,"No"))</f>
        <v>1</v>
      </c>
      <c r="C15" s="29">
        <f>IF(A15="","",SUMIFS(Detalle_Pagos!$I$5:$I$2004,Detalle_Pagos!$E$5:$E$2004,A15,Detalle_Pagos!$J$5:$J$2004,"No"))</f>
        <v>300</v>
      </c>
      <c r="D15" s="29">
        <f>IF(A15="","",B15*IFERROR(INDEX(Trabajadores!$D$5:$D$204,MATCH(A15,Trabajadores!$B$5:$B$204,0)),0))</f>
        <v>0</v>
      </c>
      <c r="E15" s="29">
        <f t="shared" si="0"/>
        <v>300</v>
      </c>
      <c r="F15" s="30">
        <f>IF(A15="","",IF(B15=0,"",LOOKUP(2,1/((Detalle_Pagos!$E$5:$E$2004=A15)*(Detalle_Pagos!$J$5:$J$2004="No")),Detalle_Pagos!$B$5:$B$2004)))</f>
        <v>46148</v>
      </c>
      <c r="G15" s="29">
        <f>IF(A15="","",SUMIFS(Detalle_Pagos!$I$5:$I$2004,Detalle_Pagos!$E$5:$E$2004,A15,Detalle_Pagos!$J$5:$J$2004,"Si"))</f>
        <v>0</v>
      </c>
      <c r="H15">
        <f>IF(A15="","",COUNTIFS(Detalle_Pagos!$E$5:$E$2004,A15,Detalle_Pagos!$J$5:$J$2004,"Si"))</f>
        <v>0</v>
      </c>
    </row>
    <row r="16" spans="1:8" x14ac:dyDescent="0.3">
      <c r="A16" t="str">
        <f>IF(Trabajadores!B13="","",Trabajadores!B13)</f>
        <v>Ahmed</v>
      </c>
      <c r="B16">
        <f>IF(A16="","",COUNTIFS(Detalle_Pagos!$E$5:$E$2004,A16,Detalle_Pagos!$J$5:$J$2004,"No"))</f>
        <v>1</v>
      </c>
      <c r="C16" s="29">
        <f>IF(A16="","",SUMIFS(Detalle_Pagos!$I$5:$I$2004,Detalle_Pagos!$E$5:$E$2004,A16,Detalle_Pagos!$J$5:$J$2004,"No"))</f>
        <v>300</v>
      </c>
      <c r="D16" s="29">
        <f>IF(A16="","",B16*IFERROR(INDEX(Trabajadores!$D$5:$D$204,MATCH(A16,Trabajadores!$B$5:$B$204,0)),0))</f>
        <v>0</v>
      </c>
      <c r="E16" s="29">
        <f t="shared" si="0"/>
        <v>300</v>
      </c>
      <c r="F16" s="30">
        <f>IF(A16="","",IF(B16=0,"",LOOKUP(2,1/((Detalle_Pagos!$E$5:$E$2004=A16)*(Detalle_Pagos!$J$5:$J$2004="No")),Detalle_Pagos!$B$5:$B$2004)))</f>
        <v>46148</v>
      </c>
      <c r="G16" s="29">
        <f>IF(A16="","",SUMIFS(Detalle_Pagos!$I$5:$I$2004,Detalle_Pagos!$E$5:$E$2004,A16,Detalle_Pagos!$J$5:$J$2004,"Si"))</f>
        <v>0</v>
      </c>
      <c r="H16">
        <f>IF(A16="","",COUNTIFS(Detalle_Pagos!$E$5:$E$2004,A16,Detalle_Pagos!$J$5:$J$2004,"Si"))</f>
        <v>0</v>
      </c>
    </row>
    <row r="17" spans="1:8" x14ac:dyDescent="0.3">
      <c r="A17" t="str">
        <f>IF(Trabajadores!B14="","",Trabajadores!B14)</f>
        <v>Juan Carlos</v>
      </c>
      <c r="B17">
        <f>IF(A17="","",COUNTIFS(Detalle_Pagos!$E$5:$E$2004,A17,Detalle_Pagos!$J$5:$J$2004,"No"))</f>
        <v>1</v>
      </c>
      <c r="C17" s="29">
        <f>IF(A17="","",SUMIFS(Detalle_Pagos!$I$5:$I$2004,Detalle_Pagos!$E$5:$E$2004,A17,Detalle_Pagos!$J$5:$J$2004,"No"))</f>
        <v>300</v>
      </c>
      <c r="D17" s="29">
        <f>IF(A17="","",B17*IFERROR(INDEX(Trabajadores!$D$5:$D$204,MATCH(A17,Trabajadores!$B$5:$B$204,0)),0))</f>
        <v>0</v>
      </c>
      <c r="E17" s="29">
        <f t="shared" si="0"/>
        <v>300</v>
      </c>
      <c r="F17" s="30">
        <f>IF(A17="","",IF(B17=0,"",LOOKUP(2,1/((Detalle_Pagos!$E$5:$E$2004=A17)*(Detalle_Pagos!$J$5:$J$2004="No")),Detalle_Pagos!$B$5:$B$2004)))</f>
        <v>46148</v>
      </c>
      <c r="G17" s="29">
        <f>IF(A17="","",SUMIFS(Detalle_Pagos!$I$5:$I$2004,Detalle_Pagos!$E$5:$E$2004,A17,Detalle_Pagos!$J$5:$J$2004,"Si"))</f>
        <v>0</v>
      </c>
      <c r="H17">
        <f>IF(A17="","",COUNTIFS(Detalle_Pagos!$E$5:$E$2004,A17,Detalle_Pagos!$J$5:$J$2004,"Si"))</f>
        <v>0</v>
      </c>
    </row>
    <row r="18" spans="1:8" x14ac:dyDescent="0.3">
      <c r="A18" t="str">
        <f>IF(Trabajadores!B15="","",Trabajadores!B15)</f>
        <v>Gabriel</v>
      </c>
      <c r="B18">
        <f>IF(A18="","",COUNTIFS(Detalle_Pagos!$E$5:$E$2004,A18,Detalle_Pagos!$J$5:$J$2004,"No"))</f>
        <v>0</v>
      </c>
      <c r="C18" s="29">
        <f>IF(A18="","",SUMIFS(Detalle_Pagos!$I$5:$I$2004,Detalle_Pagos!$E$5:$E$2004,A18,Detalle_Pagos!$J$5:$J$2004,"No"))</f>
        <v>0</v>
      </c>
      <c r="D18" s="29">
        <f>IF(A18="","",B18*IFERROR(INDEX(Trabajadores!$D$5:$D$204,MATCH(A18,Trabajadores!$B$5:$B$204,0)),0))</f>
        <v>0</v>
      </c>
      <c r="E18" s="29">
        <f t="shared" si="0"/>
        <v>0</v>
      </c>
      <c r="F18" s="30" t="str">
        <f>IF(A18="","",IF(B18=0,"",LOOKUP(2,1/((Detalle_Pagos!$E$5:$E$2004=A18)*(Detalle_Pagos!$J$5:$J$2004="No")),Detalle_Pagos!$B$5:$B$2004)))</f>
        <v/>
      </c>
      <c r="G18" s="29">
        <f>IF(A18="","",SUMIFS(Detalle_Pagos!$I$5:$I$2004,Detalle_Pagos!$E$5:$E$2004,A18,Detalle_Pagos!$J$5:$J$2004,"Si"))</f>
        <v>0</v>
      </c>
      <c r="H18">
        <f>IF(A18="","",COUNTIFS(Detalle_Pagos!$E$5:$E$2004,A18,Detalle_Pagos!$J$5:$J$2004,"Si"))</f>
        <v>0</v>
      </c>
    </row>
    <row r="19" spans="1:8" x14ac:dyDescent="0.3">
      <c r="A19" t="str">
        <f>IF(Trabajadores!B16="","",Trabajadores!B16)</f>
        <v>Pavel</v>
      </c>
      <c r="B19">
        <f>IF(A19="","",COUNTIFS(Detalle_Pagos!$E$5:$E$2004,A19,Detalle_Pagos!$J$5:$J$2004,"No"))</f>
        <v>0</v>
      </c>
      <c r="C19" s="29">
        <f>IF(A19="","",SUMIFS(Detalle_Pagos!$I$5:$I$2004,Detalle_Pagos!$E$5:$E$2004,A19,Detalle_Pagos!$J$5:$J$2004,"No"))</f>
        <v>0</v>
      </c>
      <c r="D19" s="29">
        <f>IF(A19="","",B19*IFERROR(INDEX(Trabajadores!$D$5:$D$204,MATCH(A19,Trabajadores!$B$5:$B$204,0)),0))</f>
        <v>0</v>
      </c>
      <c r="E19" s="29">
        <f t="shared" si="0"/>
        <v>0</v>
      </c>
      <c r="F19" s="30" t="str">
        <f>IF(A19="","",IF(B19=0,"",LOOKUP(2,1/((Detalle_Pagos!$E$5:$E$2004=A19)*(Detalle_Pagos!$J$5:$J$2004="No")),Detalle_Pagos!$B$5:$B$2004)))</f>
        <v/>
      </c>
      <c r="G19" s="29">
        <f>IF(A19="","",SUMIFS(Detalle_Pagos!$I$5:$I$2004,Detalle_Pagos!$E$5:$E$2004,A19,Detalle_Pagos!$J$5:$J$2004,"Si"))</f>
        <v>0</v>
      </c>
      <c r="H19">
        <f>IF(A19="","",COUNTIFS(Detalle_Pagos!$E$5:$E$2004,A19,Detalle_Pagos!$J$5:$J$2004,"Si"))</f>
        <v>0</v>
      </c>
    </row>
    <row r="20" spans="1:8" x14ac:dyDescent="0.3">
      <c r="A20" t="str">
        <f>IF(Trabajadores!B17="","",Trabajadores!B17)</f>
        <v>Severiano</v>
      </c>
      <c r="B20">
        <f>IF(A20="","",COUNTIFS(Detalle_Pagos!$E$5:$E$2004,A20,Detalle_Pagos!$J$5:$J$2004,"No"))</f>
        <v>0</v>
      </c>
      <c r="C20" s="29">
        <f>IF(A20="","",SUMIFS(Detalle_Pagos!$I$5:$I$2004,Detalle_Pagos!$E$5:$E$2004,A20,Detalle_Pagos!$J$5:$J$2004,"No"))</f>
        <v>0</v>
      </c>
      <c r="D20" s="29">
        <f>IF(A20="","",B20*IFERROR(INDEX(Trabajadores!$D$5:$D$204,MATCH(A20,Trabajadores!$B$5:$B$204,0)),0))</f>
        <v>0</v>
      </c>
      <c r="E20" s="29">
        <f t="shared" si="0"/>
        <v>0</v>
      </c>
      <c r="F20" s="30" t="str">
        <f>IF(A20="","",IF(B20=0,"",LOOKUP(2,1/((Detalle_Pagos!$E$5:$E$2004=A20)*(Detalle_Pagos!$J$5:$J$2004="No")),Detalle_Pagos!$B$5:$B$2004)))</f>
        <v/>
      </c>
      <c r="G20" s="29">
        <f>IF(A20="","",SUMIFS(Detalle_Pagos!$I$5:$I$2004,Detalle_Pagos!$E$5:$E$2004,A20,Detalle_Pagos!$J$5:$J$2004,"Si"))</f>
        <v>0</v>
      </c>
      <c r="H20">
        <f>IF(A20="","",COUNTIFS(Detalle_Pagos!$E$5:$E$2004,A20,Detalle_Pagos!$J$5:$J$2004,"Si"))</f>
        <v>0</v>
      </c>
    </row>
    <row r="21" spans="1:8" x14ac:dyDescent="0.3">
      <c r="A21" t="str">
        <f>IF(Trabajadores!B18="","",Trabajadores!B18)</f>
        <v/>
      </c>
      <c r="B21" t="str">
        <f>IF(A21="","",COUNTIFS(Detalle_Pagos!$E$5:$E$2004,A21,Detalle_Pagos!$J$5:$J$2004,"No"))</f>
        <v/>
      </c>
      <c r="C21" s="29" t="str">
        <f>IF(A21="","",SUMIFS(Detalle_Pagos!$I$5:$I$2004,Detalle_Pagos!$E$5:$E$2004,A21,Detalle_Pagos!$J$5:$J$2004,"No"))</f>
        <v/>
      </c>
      <c r="D21" s="29" t="str">
        <f>IF(A21="","",B21*IFERROR(INDEX(Trabajadores!$D$5:$D$204,MATCH(A21,Trabajadores!$B$5:$B$204,0)),0))</f>
        <v/>
      </c>
      <c r="E21" s="29" t="str">
        <f t="shared" si="0"/>
        <v/>
      </c>
      <c r="F21" s="30" t="str">
        <f>IF(A21="","",IF(B21=0,"",LOOKUP(2,1/((Detalle_Pagos!$E$5:$E$2004=A21)*(Detalle_Pagos!$J$5:$J$2004="No")),Detalle_Pagos!$B$5:$B$2004)))</f>
        <v/>
      </c>
      <c r="G21" s="29" t="str">
        <f>IF(A21="","",SUMIFS(Detalle_Pagos!$I$5:$I$2004,Detalle_Pagos!$E$5:$E$2004,A21,Detalle_Pagos!$J$5:$J$2004,"Si"))</f>
        <v/>
      </c>
      <c r="H21" t="str">
        <f>IF(A21="","",COUNTIFS(Detalle_Pagos!$E$5:$E$2004,A21,Detalle_Pagos!$J$5:$J$2004,"Si"))</f>
        <v/>
      </c>
    </row>
    <row r="22" spans="1:8" x14ac:dyDescent="0.3">
      <c r="A22" t="str">
        <f>IF(Trabajadores!B19="","",Trabajadores!B19)</f>
        <v/>
      </c>
      <c r="B22" t="str">
        <f>IF(A22="","",COUNTIFS(Detalle_Pagos!$E$5:$E$2004,A22,Detalle_Pagos!$J$5:$J$2004,"No"))</f>
        <v/>
      </c>
      <c r="C22" s="29" t="str">
        <f>IF(A22="","",SUMIFS(Detalle_Pagos!$I$5:$I$2004,Detalle_Pagos!$E$5:$E$2004,A22,Detalle_Pagos!$J$5:$J$2004,"No"))</f>
        <v/>
      </c>
      <c r="D22" s="29" t="str">
        <f>IF(A22="","",B22*IFERROR(INDEX(Trabajadores!$D$5:$D$204,MATCH(A22,Trabajadores!$B$5:$B$204,0)),0))</f>
        <v/>
      </c>
      <c r="E22" s="29" t="str">
        <f t="shared" si="0"/>
        <v/>
      </c>
      <c r="F22" s="30" t="str">
        <f>IF(A22="","",IF(B22=0,"",LOOKUP(2,1/((Detalle_Pagos!$E$5:$E$2004=A22)*(Detalle_Pagos!$J$5:$J$2004="No")),Detalle_Pagos!$B$5:$B$2004)))</f>
        <v/>
      </c>
      <c r="G22" s="29" t="str">
        <f>IF(A22="","",SUMIFS(Detalle_Pagos!$I$5:$I$2004,Detalle_Pagos!$E$5:$E$2004,A22,Detalle_Pagos!$J$5:$J$2004,"Si"))</f>
        <v/>
      </c>
      <c r="H22" t="str">
        <f>IF(A22="","",COUNTIFS(Detalle_Pagos!$E$5:$E$2004,A22,Detalle_Pagos!$J$5:$J$2004,"Si"))</f>
        <v/>
      </c>
    </row>
    <row r="23" spans="1:8" x14ac:dyDescent="0.3">
      <c r="A23" t="str">
        <f>IF(Trabajadores!B20="","",Trabajadores!B20)</f>
        <v/>
      </c>
      <c r="B23" t="str">
        <f>IF(A23="","",COUNTIFS(Detalle_Pagos!$E$5:$E$2004,A23,Detalle_Pagos!$J$5:$J$2004,"No"))</f>
        <v/>
      </c>
      <c r="C23" s="29" t="str">
        <f>IF(A23="","",SUMIFS(Detalle_Pagos!$I$5:$I$2004,Detalle_Pagos!$E$5:$E$2004,A23,Detalle_Pagos!$J$5:$J$2004,"No"))</f>
        <v/>
      </c>
      <c r="D23" s="29" t="str">
        <f>IF(A23="","",B23*IFERROR(INDEX(Trabajadores!$D$5:$D$204,MATCH(A23,Trabajadores!$B$5:$B$204,0)),0))</f>
        <v/>
      </c>
      <c r="E23" s="29" t="str">
        <f t="shared" si="0"/>
        <v/>
      </c>
      <c r="F23" s="30" t="str">
        <f>IF(A23="","",IF(B23=0,"",LOOKUP(2,1/((Detalle_Pagos!$E$5:$E$2004=A23)*(Detalle_Pagos!$J$5:$J$2004="No")),Detalle_Pagos!$B$5:$B$2004)))</f>
        <v/>
      </c>
      <c r="G23" s="29" t="str">
        <f>IF(A23="","",SUMIFS(Detalle_Pagos!$I$5:$I$2004,Detalle_Pagos!$E$5:$E$2004,A23,Detalle_Pagos!$J$5:$J$2004,"Si"))</f>
        <v/>
      </c>
      <c r="H23" t="str">
        <f>IF(A23="","",COUNTIFS(Detalle_Pagos!$E$5:$E$2004,A23,Detalle_Pagos!$J$5:$J$2004,"Si"))</f>
        <v/>
      </c>
    </row>
    <row r="24" spans="1:8" x14ac:dyDescent="0.3">
      <c r="A24" t="str">
        <f>IF(Trabajadores!B21="","",Trabajadores!B21)</f>
        <v/>
      </c>
      <c r="B24" t="str">
        <f>IF(A24="","",COUNTIFS(Detalle_Pagos!$E$5:$E$2004,A24,Detalle_Pagos!$J$5:$J$2004,"No"))</f>
        <v/>
      </c>
      <c r="C24" s="29" t="str">
        <f>IF(A24="","",SUMIFS(Detalle_Pagos!$I$5:$I$2004,Detalle_Pagos!$E$5:$E$2004,A24,Detalle_Pagos!$J$5:$J$2004,"No"))</f>
        <v/>
      </c>
      <c r="D24" s="29" t="str">
        <f>IF(A24="","",B24*IFERROR(INDEX(Trabajadores!$D$5:$D$204,MATCH(A24,Trabajadores!$B$5:$B$204,0)),0))</f>
        <v/>
      </c>
      <c r="E24" s="29" t="str">
        <f t="shared" si="0"/>
        <v/>
      </c>
      <c r="F24" s="30" t="str">
        <f>IF(A24="","",IF(B24=0,"",LOOKUP(2,1/((Detalle_Pagos!$E$5:$E$2004=A24)*(Detalle_Pagos!$J$5:$J$2004="No")),Detalle_Pagos!$B$5:$B$2004)))</f>
        <v/>
      </c>
      <c r="G24" s="29" t="str">
        <f>IF(A24="","",SUMIFS(Detalle_Pagos!$I$5:$I$2004,Detalle_Pagos!$E$5:$E$2004,A24,Detalle_Pagos!$J$5:$J$2004,"Si"))</f>
        <v/>
      </c>
      <c r="H24" t="str">
        <f>IF(A24="","",COUNTIFS(Detalle_Pagos!$E$5:$E$2004,A24,Detalle_Pagos!$J$5:$J$2004,"Si"))</f>
        <v/>
      </c>
    </row>
    <row r="25" spans="1:8" x14ac:dyDescent="0.3">
      <c r="A25" t="str">
        <f>IF(Trabajadores!B22="","",Trabajadores!B22)</f>
        <v/>
      </c>
      <c r="B25" t="str">
        <f>IF(A25="","",COUNTIFS(Detalle_Pagos!$E$5:$E$2004,A25,Detalle_Pagos!$J$5:$J$2004,"No"))</f>
        <v/>
      </c>
      <c r="C25" s="29" t="str">
        <f>IF(A25="","",SUMIFS(Detalle_Pagos!$I$5:$I$2004,Detalle_Pagos!$E$5:$E$2004,A25,Detalle_Pagos!$J$5:$J$2004,"No"))</f>
        <v/>
      </c>
      <c r="D25" s="29" t="str">
        <f>IF(A25="","",B25*IFERROR(INDEX(Trabajadores!$D$5:$D$204,MATCH(A25,Trabajadores!$B$5:$B$204,0)),0))</f>
        <v/>
      </c>
      <c r="E25" s="29" t="str">
        <f t="shared" si="0"/>
        <v/>
      </c>
      <c r="F25" s="30" t="str">
        <f>IF(A25="","",IF(B25=0,"",LOOKUP(2,1/((Detalle_Pagos!$E$5:$E$2004=A25)*(Detalle_Pagos!$J$5:$J$2004="No")),Detalle_Pagos!$B$5:$B$2004)))</f>
        <v/>
      </c>
      <c r="G25" s="29" t="str">
        <f>IF(A25="","",SUMIFS(Detalle_Pagos!$I$5:$I$2004,Detalle_Pagos!$E$5:$E$2004,A25,Detalle_Pagos!$J$5:$J$2004,"Si"))</f>
        <v/>
      </c>
      <c r="H25" t="str">
        <f>IF(A25="","",COUNTIFS(Detalle_Pagos!$E$5:$E$2004,A25,Detalle_Pagos!$J$5:$J$2004,"Si"))</f>
        <v/>
      </c>
    </row>
    <row r="26" spans="1:8" x14ac:dyDescent="0.3">
      <c r="A26" t="str">
        <f>IF(Trabajadores!B23="","",Trabajadores!B23)</f>
        <v/>
      </c>
      <c r="B26" t="str">
        <f>IF(A26="","",COUNTIFS(Detalle_Pagos!$E$5:$E$2004,A26,Detalle_Pagos!$J$5:$J$2004,"No"))</f>
        <v/>
      </c>
      <c r="C26" s="29" t="str">
        <f>IF(A26="","",SUMIFS(Detalle_Pagos!$I$5:$I$2004,Detalle_Pagos!$E$5:$E$2004,A26,Detalle_Pagos!$J$5:$J$2004,"No"))</f>
        <v/>
      </c>
      <c r="D26" s="29" t="str">
        <f>IF(A26="","",B26*IFERROR(INDEX(Trabajadores!$D$5:$D$204,MATCH(A26,Trabajadores!$B$5:$B$204,0)),0))</f>
        <v/>
      </c>
      <c r="E26" s="29" t="str">
        <f t="shared" si="0"/>
        <v/>
      </c>
      <c r="F26" s="30" t="str">
        <f>IF(A26="","",IF(B26=0,"",LOOKUP(2,1/((Detalle_Pagos!$E$5:$E$2004=A26)*(Detalle_Pagos!$J$5:$J$2004="No")),Detalle_Pagos!$B$5:$B$2004)))</f>
        <v/>
      </c>
      <c r="G26" s="29" t="str">
        <f>IF(A26="","",SUMIFS(Detalle_Pagos!$I$5:$I$2004,Detalle_Pagos!$E$5:$E$2004,A26,Detalle_Pagos!$J$5:$J$2004,"Si"))</f>
        <v/>
      </c>
      <c r="H26" t="str">
        <f>IF(A26="","",COUNTIFS(Detalle_Pagos!$E$5:$E$2004,A26,Detalle_Pagos!$J$5:$J$2004,"Si"))</f>
        <v/>
      </c>
    </row>
    <row r="27" spans="1:8" x14ac:dyDescent="0.3">
      <c r="A27" t="str">
        <f>IF(Trabajadores!B24="","",Trabajadores!B24)</f>
        <v/>
      </c>
      <c r="B27" t="str">
        <f>IF(A27="","",COUNTIFS(Detalle_Pagos!$E$5:$E$2004,A27,Detalle_Pagos!$J$5:$J$2004,"No"))</f>
        <v/>
      </c>
      <c r="C27" s="29" t="str">
        <f>IF(A27="","",SUMIFS(Detalle_Pagos!$I$5:$I$2004,Detalle_Pagos!$E$5:$E$2004,A27,Detalle_Pagos!$J$5:$J$2004,"No"))</f>
        <v/>
      </c>
      <c r="D27" s="29" t="str">
        <f>IF(A27="","",B27*IFERROR(INDEX(Trabajadores!$D$5:$D$204,MATCH(A27,Trabajadores!$B$5:$B$204,0)),0))</f>
        <v/>
      </c>
      <c r="E27" s="29" t="str">
        <f t="shared" si="0"/>
        <v/>
      </c>
      <c r="F27" s="30" t="str">
        <f>IF(A27="","",IF(B27=0,"",LOOKUP(2,1/((Detalle_Pagos!$E$5:$E$2004=A27)*(Detalle_Pagos!$J$5:$J$2004="No")),Detalle_Pagos!$B$5:$B$2004)))</f>
        <v/>
      </c>
      <c r="G27" s="29" t="str">
        <f>IF(A27="","",SUMIFS(Detalle_Pagos!$I$5:$I$2004,Detalle_Pagos!$E$5:$E$2004,A27,Detalle_Pagos!$J$5:$J$2004,"Si"))</f>
        <v/>
      </c>
      <c r="H27" t="str">
        <f>IF(A27="","",COUNTIFS(Detalle_Pagos!$E$5:$E$2004,A27,Detalle_Pagos!$J$5:$J$2004,"Si"))</f>
        <v/>
      </c>
    </row>
    <row r="28" spans="1:8" x14ac:dyDescent="0.3">
      <c r="A28" t="str">
        <f>IF(Trabajadores!B25="","",Trabajadores!B25)</f>
        <v/>
      </c>
      <c r="B28" t="str">
        <f>IF(A28="","",COUNTIFS(Detalle_Pagos!$E$5:$E$2004,A28,Detalle_Pagos!$J$5:$J$2004,"No"))</f>
        <v/>
      </c>
      <c r="C28" s="29" t="str">
        <f>IF(A28="","",SUMIFS(Detalle_Pagos!$I$5:$I$2004,Detalle_Pagos!$E$5:$E$2004,A28,Detalle_Pagos!$J$5:$J$2004,"No"))</f>
        <v/>
      </c>
      <c r="D28" s="29" t="str">
        <f>IF(A28="","",B28*IFERROR(INDEX(Trabajadores!$D$5:$D$204,MATCH(A28,Trabajadores!$B$5:$B$204,0)),0))</f>
        <v/>
      </c>
      <c r="E28" s="29" t="str">
        <f t="shared" si="0"/>
        <v/>
      </c>
      <c r="F28" s="30" t="str">
        <f>IF(A28="","",IF(B28=0,"",LOOKUP(2,1/((Detalle_Pagos!$E$5:$E$2004=A28)*(Detalle_Pagos!$J$5:$J$2004="No")),Detalle_Pagos!$B$5:$B$2004)))</f>
        <v/>
      </c>
      <c r="G28" s="29" t="str">
        <f>IF(A28="","",SUMIFS(Detalle_Pagos!$I$5:$I$2004,Detalle_Pagos!$E$5:$E$2004,A28,Detalle_Pagos!$J$5:$J$2004,"Si"))</f>
        <v/>
      </c>
      <c r="H28" t="str">
        <f>IF(A28="","",COUNTIFS(Detalle_Pagos!$E$5:$E$2004,A28,Detalle_Pagos!$J$5:$J$2004,"Si"))</f>
        <v/>
      </c>
    </row>
    <row r="29" spans="1:8" x14ac:dyDescent="0.3">
      <c r="A29" t="str">
        <f>IF(Trabajadores!B26="","",Trabajadores!B26)</f>
        <v/>
      </c>
      <c r="B29" t="str">
        <f>IF(A29="","",COUNTIFS(Detalle_Pagos!$E$5:$E$2004,A29,Detalle_Pagos!$J$5:$J$2004,"No"))</f>
        <v/>
      </c>
      <c r="C29" s="29" t="str">
        <f>IF(A29="","",SUMIFS(Detalle_Pagos!$I$5:$I$2004,Detalle_Pagos!$E$5:$E$2004,A29,Detalle_Pagos!$J$5:$J$2004,"No"))</f>
        <v/>
      </c>
      <c r="D29" s="29" t="str">
        <f>IF(A29="","",B29*IFERROR(INDEX(Trabajadores!$D$5:$D$204,MATCH(A29,Trabajadores!$B$5:$B$204,0)),0))</f>
        <v/>
      </c>
      <c r="E29" s="29" t="str">
        <f t="shared" si="0"/>
        <v/>
      </c>
      <c r="F29" s="30" t="str">
        <f>IF(A29="","",IF(B29=0,"",LOOKUP(2,1/((Detalle_Pagos!$E$5:$E$2004=A29)*(Detalle_Pagos!$J$5:$J$2004="No")),Detalle_Pagos!$B$5:$B$2004)))</f>
        <v/>
      </c>
      <c r="G29" s="29" t="str">
        <f>IF(A29="","",SUMIFS(Detalle_Pagos!$I$5:$I$2004,Detalle_Pagos!$E$5:$E$2004,A29,Detalle_Pagos!$J$5:$J$2004,"Si"))</f>
        <v/>
      </c>
      <c r="H29" t="str">
        <f>IF(A29="","",COUNTIFS(Detalle_Pagos!$E$5:$E$2004,A29,Detalle_Pagos!$J$5:$J$2004,"Si"))</f>
        <v/>
      </c>
    </row>
    <row r="30" spans="1:8" x14ac:dyDescent="0.3">
      <c r="A30" t="str">
        <f>IF(Trabajadores!B27="","",Trabajadores!B27)</f>
        <v/>
      </c>
      <c r="B30" t="str">
        <f>IF(A30="","",COUNTIFS(Detalle_Pagos!$E$5:$E$2004,A30,Detalle_Pagos!$J$5:$J$2004,"No"))</f>
        <v/>
      </c>
      <c r="C30" s="29" t="str">
        <f>IF(A30="","",SUMIFS(Detalle_Pagos!$I$5:$I$2004,Detalle_Pagos!$E$5:$E$2004,A30,Detalle_Pagos!$J$5:$J$2004,"No"))</f>
        <v/>
      </c>
      <c r="D30" s="29" t="str">
        <f>IF(A30="","",B30*IFERROR(INDEX(Trabajadores!$D$5:$D$204,MATCH(A30,Trabajadores!$B$5:$B$204,0)),0))</f>
        <v/>
      </c>
      <c r="E30" s="29" t="str">
        <f t="shared" si="0"/>
        <v/>
      </c>
      <c r="F30" s="30" t="str">
        <f>IF(A30="","",IF(B30=0,"",LOOKUP(2,1/((Detalle_Pagos!$E$5:$E$2004=A30)*(Detalle_Pagos!$J$5:$J$2004="No")),Detalle_Pagos!$B$5:$B$2004)))</f>
        <v/>
      </c>
      <c r="G30" s="29" t="str">
        <f>IF(A30="","",SUMIFS(Detalle_Pagos!$I$5:$I$2004,Detalle_Pagos!$E$5:$E$2004,A30,Detalle_Pagos!$J$5:$J$2004,"Si"))</f>
        <v/>
      </c>
      <c r="H30" t="str">
        <f>IF(A30="","",COUNTIFS(Detalle_Pagos!$E$5:$E$2004,A30,Detalle_Pagos!$J$5:$J$2004,"Si"))</f>
        <v/>
      </c>
    </row>
    <row r="31" spans="1:8" x14ac:dyDescent="0.3">
      <c r="A31" t="str">
        <f>IF(Trabajadores!B28="","",Trabajadores!B28)</f>
        <v/>
      </c>
      <c r="B31" t="str">
        <f>IF(A31="","",COUNTIFS(Detalle_Pagos!$E$5:$E$2004,A31,Detalle_Pagos!$J$5:$J$2004,"No"))</f>
        <v/>
      </c>
      <c r="C31" s="29" t="str">
        <f>IF(A31="","",SUMIFS(Detalle_Pagos!$I$5:$I$2004,Detalle_Pagos!$E$5:$E$2004,A31,Detalle_Pagos!$J$5:$J$2004,"No"))</f>
        <v/>
      </c>
      <c r="D31" s="29" t="str">
        <f>IF(A31="","",B31*IFERROR(INDEX(Trabajadores!$D$5:$D$204,MATCH(A31,Trabajadores!$B$5:$B$204,0)),0))</f>
        <v/>
      </c>
      <c r="E31" s="29" t="str">
        <f t="shared" si="0"/>
        <v/>
      </c>
      <c r="F31" s="30" t="str">
        <f>IF(A31="","",IF(B31=0,"",LOOKUP(2,1/((Detalle_Pagos!$E$5:$E$2004=A31)*(Detalle_Pagos!$J$5:$J$2004="No")),Detalle_Pagos!$B$5:$B$2004)))</f>
        <v/>
      </c>
      <c r="G31" s="29" t="str">
        <f>IF(A31="","",SUMIFS(Detalle_Pagos!$I$5:$I$2004,Detalle_Pagos!$E$5:$E$2004,A31,Detalle_Pagos!$J$5:$J$2004,"Si"))</f>
        <v/>
      </c>
      <c r="H31" t="str">
        <f>IF(A31="","",COUNTIFS(Detalle_Pagos!$E$5:$E$2004,A31,Detalle_Pagos!$J$5:$J$2004,"Si"))</f>
        <v/>
      </c>
    </row>
    <row r="32" spans="1:8" x14ac:dyDescent="0.3">
      <c r="A32" t="str">
        <f>IF(Trabajadores!B29="","",Trabajadores!B29)</f>
        <v/>
      </c>
      <c r="B32" t="str">
        <f>IF(A32="","",COUNTIFS(Detalle_Pagos!$E$5:$E$2004,A32,Detalle_Pagos!$J$5:$J$2004,"No"))</f>
        <v/>
      </c>
      <c r="C32" s="29" t="str">
        <f>IF(A32="","",SUMIFS(Detalle_Pagos!$I$5:$I$2004,Detalle_Pagos!$E$5:$E$2004,A32,Detalle_Pagos!$J$5:$J$2004,"No"))</f>
        <v/>
      </c>
      <c r="D32" s="29" t="str">
        <f>IF(A32="","",B32*IFERROR(INDEX(Trabajadores!$D$5:$D$204,MATCH(A32,Trabajadores!$B$5:$B$204,0)),0))</f>
        <v/>
      </c>
      <c r="E32" s="29" t="str">
        <f t="shared" si="0"/>
        <v/>
      </c>
      <c r="F32" s="30" t="str">
        <f>IF(A32="","",IF(B32=0,"",LOOKUP(2,1/((Detalle_Pagos!$E$5:$E$2004=A32)*(Detalle_Pagos!$J$5:$J$2004="No")),Detalle_Pagos!$B$5:$B$2004)))</f>
        <v/>
      </c>
      <c r="G32" s="29" t="str">
        <f>IF(A32="","",SUMIFS(Detalle_Pagos!$I$5:$I$2004,Detalle_Pagos!$E$5:$E$2004,A32,Detalle_Pagos!$J$5:$J$2004,"Si"))</f>
        <v/>
      </c>
      <c r="H32" t="str">
        <f>IF(A32="","",COUNTIFS(Detalle_Pagos!$E$5:$E$2004,A32,Detalle_Pagos!$J$5:$J$2004,"Si"))</f>
        <v/>
      </c>
    </row>
    <row r="33" spans="1:8" x14ac:dyDescent="0.3">
      <c r="A33" t="str">
        <f>IF(Trabajadores!B30="","",Trabajadores!B30)</f>
        <v/>
      </c>
      <c r="B33" t="str">
        <f>IF(A33="","",COUNTIFS(Detalle_Pagos!$E$5:$E$2004,A33,Detalle_Pagos!$J$5:$J$2004,"No"))</f>
        <v/>
      </c>
      <c r="C33" s="29" t="str">
        <f>IF(A33="","",SUMIFS(Detalle_Pagos!$I$5:$I$2004,Detalle_Pagos!$E$5:$E$2004,A33,Detalle_Pagos!$J$5:$J$2004,"No"))</f>
        <v/>
      </c>
      <c r="D33" s="29" t="str">
        <f>IF(A33="","",B33*IFERROR(INDEX(Trabajadores!$D$5:$D$204,MATCH(A33,Trabajadores!$B$5:$B$204,0)),0))</f>
        <v/>
      </c>
      <c r="E33" s="29" t="str">
        <f t="shared" si="0"/>
        <v/>
      </c>
      <c r="F33" s="30" t="str">
        <f>IF(A33="","",IF(B33=0,"",LOOKUP(2,1/((Detalle_Pagos!$E$5:$E$2004=A33)*(Detalle_Pagos!$J$5:$J$2004="No")),Detalle_Pagos!$B$5:$B$2004)))</f>
        <v/>
      </c>
      <c r="G33" s="29" t="str">
        <f>IF(A33="","",SUMIFS(Detalle_Pagos!$I$5:$I$2004,Detalle_Pagos!$E$5:$E$2004,A33,Detalle_Pagos!$J$5:$J$2004,"Si"))</f>
        <v/>
      </c>
      <c r="H33" t="str">
        <f>IF(A33="","",COUNTIFS(Detalle_Pagos!$E$5:$E$2004,A33,Detalle_Pagos!$J$5:$J$2004,"Si"))</f>
        <v/>
      </c>
    </row>
    <row r="34" spans="1:8" x14ac:dyDescent="0.3">
      <c r="A34" t="str">
        <f>IF(Trabajadores!B31="","",Trabajadores!B31)</f>
        <v/>
      </c>
      <c r="B34" t="str">
        <f>IF(A34="","",COUNTIFS(Detalle_Pagos!$E$5:$E$2004,A34,Detalle_Pagos!$J$5:$J$2004,"No"))</f>
        <v/>
      </c>
      <c r="C34" s="29" t="str">
        <f>IF(A34="","",SUMIFS(Detalle_Pagos!$I$5:$I$2004,Detalle_Pagos!$E$5:$E$2004,A34,Detalle_Pagos!$J$5:$J$2004,"No"))</f>
        <v/>
      </c>
      <c r="D34" s="29" t="str">
        <f>IF(A34="","",B34*IFERROR(INDEX(Trabajadores!$D$5:$D$204,MATCH(A34,Trabajadores!$B$5:$B$204,0)),0))</f>
        <v/>
      </c>
      <c r="E34" s="29" t="str">
        <f t="shared" si="0"/>
        <v/>
      </c>
      <c r="F34" s="30" t="str">
        <f>IF(A34="","",IF(B34=0,"",LOOKUP(2,1/((Detalle_Pagos!$E$5:$E$2004=A34)*(Detalle_Pagos!$J$5:$J$2004="No")),Detalle_Pagos!$B$5:$B$2004)))</f>
        <v/>
      </c>
      <c r="G34" s="29" t="str">
        <f>IF(A34="","",SUMIFS(Detalle_Pagos!$I$5:$I$2004,Detalle_Pagos!$E$5:$E$2004,A34,Detalle_Pagos!$J$5:$J$2004,"Si"))</f>
        <v/>
      </c>
      <c r="H34" t="str">
        <f>IF(A34="","",COUNTIFS(Detalle_Pagos!$E$5:$E$2004,A34,Detalle_Pagos!$J$5:$J$2004,"Si"))</f>
        <v/>
      </c>
    </row>
    <row r="35" spans="1:8" x14ac:dyDescent="0.3">
      <c r="A35" t="str">
        <f>IF(Trabajadores!B32="","",Trabajadores!B32)</f>
        <v/>
      </c>
      <c r="B35" t="str">
        <f>IF(A35="","",COUNTIFS(Detalle_Pagos!$E$5:$E$2004,A35,Detalle_Pagos!$J$5:$J$2004,"No"))</f>
        <v/>
      </c>
      <c r="C35" s="29" t="str">
        <f>IF(A35="","",SUMIFS(Detalle_Pagos!$I$5:$I$2004,Detalle_Pagos!$E$5:$E$2004,A35,Detalle_Pagos!$J$5:$J$2004,"No"))</f>
        <v/>
      </c>
      <c r="D35" s="29" t="str">
        <f>IF(A35="","",B35*IFERROR(INDEX(Trabajadores!$D$5:$D$204,MATCH(A35,Trabajadores!$B$5:$B$204,0)),0))</f>
        <v/>
      </c>
      <c r="E35" s="29" t="str">
        <f t="shared" si="0"/>
        <v/>
      </c>
      <c r="F35" s="30" t="str">
        <f>IF(A35="","",IF(B35=0,"",LOOKUP(2,1/((Detalle_Pagos!$E$5:$E$2004=A35)*(Detalle_Pagos!$J$5:$J$2004="No")),Detalle_Pagos!$B$5:$B$2004)))</f>
        <v/>
      </c>
      <c r="G35" s="29" t="str">
        <f>IF(A35="","",SUMIFS(Detalle_Pagos!$I$5:$I$2004,Detalle_Pagos!$E$5:$E$2004,A35,Detalle_Pagos!$J$5:$J$2004,"Si"))</f>
        <v/>
      </c>
      <c r="H35" t="str">
        <f>IF(A35="","",COUNTIFS(Detalle_Pagos!$E$5:$E$2004,A35,Detalle_Pagos!$J$5:$J$2004,"Si"))</f>
        <v/>
      </c>
    </row>
    <row r="36" spans="1:8" x14ac:dyDescent="0.3">
      <c r="A36" t="str">
        <f>IF(Trabajadores!B33="","",Trabajadores!B33)</f>
        <v/>
      </c>
      <c r="B36" t="str">
        <f>IF(A36="","",COUNTIFS(Detalle_Pagos!$E$5:$E$2004,A36,Detalle_Pagos!$J$5:$J$2004,"No"))</f>
        <v/>
      </c>
      <c r="C36" s="29" t="str">
        <f>IF(A36="","",SUMIFS(Detalle_Pagos!$I$5:$I$2004,Detalle_Pagos!$E$5:$E$2004,A36,Detalle_Pagos!$J$5:$J$2004,"No"))</f>
        <v/>
      </c>
      <c r="D36" s="29" t="str">
        <f>IF(A36="","",B36*IFERROR(INDEX(Trabajadores!$D$5:$D$204,MATCH(A36,Trabajadores!$B$5:$B$204,0)),0))</f>
        <v/>
      </c>
      <c r="E36" s="29" t="str">
        <f t="shared" si="0"/>
        <v/>
      </c>
      <c r="F36" s="30" t="str">
        <f>IF(A36="","",IF(B36=0,"",LOOKUP(2,1/((Detalle_Pagos!$E$5:$E$2004=A36)*(Detalle_Pagos!$J$5:$J$2004="No")),Detalle_Pagos!$B$5:$B$2004)))</f>
        <v/>
      </c>
      <c r="G36" s="29" t="str">
        <f>IF(A36="","",SUMIFS(Detalle_Pagos!$I$5:$I$2004,Detalle_Pagos!$E$5:$E$2004,A36,Detalle_Pagos!$J$5:$J$2004,"Si"))</f>
        <v/>
      </c>
      <c r="H36" t="str">
        <f>IF(A36="","",COUNTIFS(Detalle_Pagos!$E$5:$E$2004,A36,Detalle_Pagos!$J$5:$J$2004,"Si"))</f>
        <v/>
      </c>
    </row>
    <row r="37" spans="1:8" x14ac:dyDescent="0.3">
      <c r="A37" t="str">
        <f>IF(Trabajadores!B34="","",Trabajadores!B34)</f>
        <v/>
      </c>
      <c r="B37" t="str">
        <f>IF(A37="","",COUNTIFS(Detalle_Pagos!$E$5:$E$2004,A37,Detalle_Pagos!$J$5:$J$2004,"No"))</f>
        <v/>
      </c>
      <c r="C37" s="29" t="str">
        <f>IF(A37="","",SUMIFS(Detalle_Pagos!$I$5:$I$2004,Detalle_Pagos!$E$5:$E$2004,A37,Detalle_Pagos!$J$5:$J$2004,"No"))</f>
        <v/>
      </c>
      <c r="D37" s="29" t="str">
        <f>IF(A37="","",B37*IFERROR(INDEX(Trabajadores!$D$5:$D$204,MATCH(A37,Trabajadores!$B$5:$B$204,0)),0))</f>
        <v/>
      </c>
      <c r="E37" s="29" t="str">
        <f t="shared" si="0"/>
        <v/>
      </c>
      <c r="F37" s="30" t="str">
        <f>IF(A37="","",IF(B37=0,"",LOOKUP(2,1/((Detalle_Pagos!$E$5:$E$2004=A37)*(Detalle_Pagos!$J$5:$J$2004="No")),Detalle_Pagos!$B$5:$B$2004)))</f>
        <v/>
      </c>
      <c r="G37" s="29" t="str">
        <f>IF(A37="","",SUMIFS(Detalle_Pagos!$I$5:$I$2004,Detalle_Pagos!$E$5:$E$2004,A37,Detalle_Pagos!$J$5:$J$2004,"Si"))</f>
        <v/>
      </c>
      <c r="H37" t="str">
        <f>IF(A37="","",COUNTIFS(Detalle_Pagos!$E$5:$E$2004,A37,Detalle_Pagos!$J$5:$J$2004,"Si"))</f>
        <v/>
      </c>
    </row>
    <row r="38" spans="1:8" x14ac:dyDescent="0.3">
      <c r="A38" t="str">
        <f>IF(Trabajadores!B35="","",Trabajadores!B35)</f>
        <v/>
      </c>
      <c r="B38" t="str">
        <f>IF(A38="","",COUNTIFS(Detalle_Pagos!$E$5:$E$2004,A38,Detalle_Pagos!$J$5:$J$2004,"No"))</f>
        <v/>
      </c>
      <c r="C38" s="29" t="str">
        <f>IF(A38="","",SUMIFS(Detalle_Pagos!$I$5:$I$2004,Detalle_Pagos!$E$5:$E$2004,A38,Detalle_Pagos!$J$5:$J$2004,"No"))</f>
        <v/>
      </c>
      <c r="D38" s="29" t="str">
        <f>IF(A38="","",B38*IFERROR(INDEX(Trabajadores!$D$5:$D$204,MATCH(A38,Trabajadores!$B$5:$B$204,0)),0))</f>
        <v/>
      </c>
      <c r="E38" s="29" t="str">
        <f t="shared" si="0"/>
        <v/>
      </c>
      <c r="F38" s="30" t="str">
        <f>IF(A38="","",IF(B38=0,"",LOOKUP(2,1/((Detalle_Pagos!$E$5:$E$2004=A38)*(Detalle_Pagos!$J$5:$J$2004="No")),Detalle_Pagos!$B$5:$B$2004)))</f>
        <v/>
      </c>
      <c r="G38" s="29" t="str">
        <f>IF(A38="","",SUMIFS(Detalle_Pagos!$I$5:$I$2004,Detalle_Pagos!$E$5:$E$2004,A38,Detalle_Pagos!$J$5:$J$2004,"Si"))</f>
        <v/>
      </c>
      <c r="H38" t="str">
        <f>IF(A38="","",COUNTIFS(Detalle_Pagos!$E$5:$E$2004,A38,Detalle_Pagos!$J$5:$J$2004,"Si"))</f>
        <v/>
      </c>
    </row>
    <row r="39" spans="1:8" x14ac:dyDescent="0.3">
      <c r="A39" t="str">
        <f>IF(Trabajadores!B36="","",Trabajadores!B36)</f>
        <v/>
      </c>
      <c r="B39" t="str">
        <f>IF(A39="","",COUNTIFS(Detalle_Pagos!$E$5:$E$2004,A39,Detalle_Pagos!$J$5:$J$2004,"No"))</f>
        <v/>
      </c>
      <c r="C39" s="29" t="str">
        <f>IF(A39="","",SUMIFS(Detalle_Pagos!$I$5:$I$2004,Detalle_Pagos!$E$5:$E$2004,A39,Detalle_Pagos!$J$5:$J$2004,"No"))</f>
        <v/>
      </c>
      <c r="D39" s="29" t="str">
        <f>IF(A39="","",B39*IFERROR(INDEX(Trabajadores!$D$5:$D$204,MATCH(A39,Trabajadores!$B$5:$B$204,0)),0))</f>
        <v/>
      </c>
      <c r="E39" s="29" t="str">
        <f t="shared" si="0"/>
        <v/>
      </c>
      <c r="F39" s="30" t="str">
        <f>IF(A39="","",IF(B39=0,"",LOOKUP(2,1/((Detalle_Pagos!$E$5:$E$2004=A39)*(Detalle_Pagos!$J$5:$J$2004="No")),Detalle_Pagos!$B$5:$B$2004)))</f>
        <v/>
      </c>
      <c r="G39" s="29" t="str">
        <f>IF(A39="","",SUMIFS(Detalle_Pagos!$I$5:$I$2004,Detalle_Pagos!$E$5:$E$2004,A39,Detalle_Pagos!$J$5:$J$2004,"Si"))</f>
        <v/>
      </c>
      <c r="H39" t="str">
        <f>IF(A39="","",COUNTIFS(Detalle_Pagos!$E$5:$E$2004,A39,Detalle_Pagos!$J$5:$J$2004,"Si"))</f>
        <v/>
      </c>
    </row>
    <row r="40" spans="1:8" x14ac:dyDescent="0.3">
      <c r="A40" t="str">
        <f>IF(Trabajadores!B37="","",Trabajadores!B37)</f>
        <v/>
      </c>
      <c r="B40" t="str">
        <f>IF(A40="","",COUNTIFS(Detalle_Pagos!$E$5:$E$2004,A40,Detalle_Pagos!$J$5:$J$2004,"No"))</f>
        <v/>
      </c>
      <c r="C40" s="29" t="str">
        <f>IF(A40="","",SUMIFS(Detalle_Pagos!$I$5:$I$2004,Detalle_Pagos!$E$5:$E$2004,A40,Detalle_Pagos!$J$5:$J$2004,"No"))</f>
        <v/>
      </c>
      <c r="D40" s="29" t="str">
        <f>IF(A40="","",B40*IFERROR(INDEX(Trabajadores!$D$5:$D$204,MATCH(A40,Trabajadores!$B$5:$B$204,0)),0))</f>
        <v/>
      </c>
      <c r="E40" s="29" t="str">
        <f t="shared" ref="E40:E71" si="1">IF(A40="","",C40+D40)</f>
        <v/>
      </c>
      <c r="F40" s="30" t="str">
        <f>IF(A40="","",IF(B40=0,"",LOOKUP(2,1/((Detalle_Pagos!$E$5:$E$2004=A40)*(Detalle_Pagos!$J$5:$J$2004="No")),Detalle_Pagos!$B$5:$B$2004)))</f>
        <v/>
      </c>
      <c r="G40" s="29" t="str">
        <f>IF(A40="","",SUMIFS(Detalle_Pagos!$I$5:$I$2004,Detalle_Pagos!$E$5:$E$2004,A40,Detalle_Pagos!$J$5:$J$2004,"Si"))</f>
        <v/>
      </c>
      <c r="H40" t="str">
        <f>IF(A40="","",COUNTIFS(Detalle_Pagos!$E$5:$E$2004,A40,Detalle_Pagos!$J$5:$J$2004,"Si"))</f>
        <v/>
      </c>
    </row>
    <row r="41" spans="1:8" x14ac:dyDescent="0.3">
      <c r="A41" t="str">
        <f>IF(Trabajadores!B38="","",Trabajadores!B38)</f>
        <v/>
      </c>
      <c r="B41" t="str">
        <f>IF(A41="","",COUNTIFS(Detalle_Pagos!$E$5:$E$2004,A41,Detalle_Pagos!$J$5:$J$2004,"No"))</f>
        <v/>
      </c>
      <c r="C41" s="29" t="str">
        <f>IF(A41="","",SUMIFS(Detalle_Pagos!$I$5:$I$2004,Detalle_Pagos!$E$5:$E$2004,A41,Detalle_Pagos!$J$5:$J$2004,"No"))</f>
        <v/>
      </c>
      <c r="D41" s="29" t="str">
        <f>IF(A41="","",B41*IFERROR(INDEX(Trabajadores!$D$5:$D$204,MATCH(A41,Trabajadores!$B$5:$B$204,0)),0))</f>
        <v/>
      </c>
      <c r="E41" s="29" t="str">
        <f t="shared" si="1"/>
        <v/>
      </c>
      <c r="F41" s="30" t="str">
        <f>IF(A41="","",IF(B41=0,"",LOOKUP(2,1/((Detalle_Pagos!$E$5:$E$2004=A41)*(Detalle_Pagos!$J$5:$J$2004="No")),Detalle_Pagos!$B$5:$B$2004)))</f>
        <v/>
      </c>
      <c r="G41" s="29" t="str">
        <f>IF(A41="","",SUMIFS(Detalle_Pagos!$I$5:$I$2004,Detalle_Pagos!$E$5:$E$2004,A41,Detalle_Pagos!$J$5:$J$2004,"Si"))</f>
        <v/>
      </c>
      <c r="H41" t="str">
        <f>IF(A41="","",COUNTIFS(Detalle_Pagos!$E$5:$E$2004,A41,Detalle_Pagos!$J$5:$J$2004,"Si"))</f>
        <v/>
      </c>
    </row>
    <row r="42" spans="1:8" x14ac:dyDescent="0.3">
      <c r="A42" t="str">
        <f>IF(Trabajadores!B39="","",Trabajadores!B39)</f>
        <v/>
      </c>
      <c r="B42" t="str">
        <f>IF(A42="","",COUNTIFS(Detalle_Pagos!$E$5:$E$2004,A42,Detalle_Pagos!$J$5:$J$2004,"No"))</f>
        <v/>
      </c>
      <c r="C42" s="29" t="str">
        <f>IF(A42="","",SUMIFS(Detalle_Pagos!$I$5:$I$2004,Detalle_Pagos!$E$5:$E$2004,A42,Detalle_Pagos!$J$5:$J$2004,"No"))</f>
        <v/>
      </c>
      <c r="D42" s="29" t="str">
        <f>IF(A42="","",B42*IFERROR(INDEX(Trabajadores!$D$5:$D$204,MATCH(A42,Trabajadores!$B$5:$B$204,0)),0))</f>
        <v/>
      </c>
      <c r="E42" s="29" t="str">
        <f t="shared" si="1"/>
        <v/>
      </c>
      <c r="F42" s="30" t="str">
        <f>IF(A42="","",IF(B42=0,"",LOOKUP(2,1/((Detalle_Pagos!$E$5:$E$2004=A42)*(Detalle_Pagos!$J$5:$J$2004="No")),Detalle_Pagos!$B$5:$B$2004)))</f>
        <v/>
      </c>
      <c r="G42" s="29" t="str">
        <f>IF(A42="","",SUMIFS(Detalle_Pagos!$I$5:$I$2004,Detalle_Pagos!$E$5:$E$2004,A42,Detalle_Pagos!$J$5:$J$2004,"Si"))</f>
        <v/>
      </c>
      <c r="H42" t="str">
        <f>IF(A42="","",COUNTIFS(Detalle_Pagos!$E$5:$E$2004,A42,Detalle_Pagos!$J$5:$J$2004,"Si"))</f>
        <v/>
      </c>
    </row>
    <row r="43" spans="1:8" x14ac:dyDescent="0.3">
      <c r="A43" t="str">
        <f>IF(Trabajadores!B40="","",Trabajadores!B40)</f>
        <v/>
      </c>
      <c r="B43" t="str">
        <f>IF(A43="","",COUNTIFS(Detalle_Pagos!$E$5:$E$2004,A43,Detalle_Pagos!$J$5:$J$2004,"No"))</f>
        <v/>
      </c>
      <c r="C43" s="29" t="str">
        <f>IF(A43="","",SUMIFS(Detalle_Pagos!$I$5:$I$2004,Detalle_Pagos!$E$5:$E$2004,A43,Detalle_Pagos!$J$5:$J$2004,"No"))</f>
        <v/>
      </c>
      <c r="D43" s="29" t="str">
        <f>IF(A43="","",B43*IFERROR(INDEX(Trabajadores!$D$5:$D$204,MATCH(A43,Trabajadores!$B$5:$B$204,0)),0))</f>
        <v/>
      </c>
      <c r="E43" s="29" t="str">
        <f t="shared" si="1"/>
        <v/>
      </c>
      <c r="F43" s="30" t="str">
        <f>IF(A43="","",IF(B43=0,"",LOOKUP(2,1/((Detalle_Pagos!$E$5:$E$2004=A43)*(Detalle_Pagos!$J$5:$J$2004="No")),Detalle_Pagos!$B$5:$B$2004)))</f>
        <v/>
      </c>
      <c r="G43" s="29" t="str">
        <f>IF(A43="","",SUMIFS(Detalle_Pagos!$I$5:$I$2004,Detalle_Pagos!$E$5:$E$2004,A43,Detalle_Pagos!$J$5:$J$2004,"Si"))</f>
        <v/>
      </c>
      <c r="H43" t="str">
        <f>IF(A43="","",COUNTIFS(Detalle_Pagos!$E$5:$E$2004,A43,Detalle_Pagos!$J$5:$J$2004,"Si"))</f>
        <v/>
      </c>
    </row>
    <row r="44" spans="1:8" x14ac:dyDescent="0.3">
      <c r="A44" t="str">
        <f>IF(Trabajadores!B41="","",Trabajadores!B41)</f>
        <v/>
      </c>
      <c r="B44" t="str">
        <f>IF(A44="","",COUNTIFS(Detalle_Pagos!$E$5:$E$2004,A44,Detalle_Pagos!$J$5:$J$2004,"No"))</f>
        <v/>
      </c>
      <c r="C44" s="29" t="str">
        <f>IF(A44="","",SUMIFS(Detalle_Pagos!$I$5:$I$2004,Detalle_Pagos!$E$5:$E$2004,A44,Detalle_Pagos!$J$5:$J$2004,"No"))</f>
        <v/>
      </c>
      <c r="D44" s="29" t="str">
        <f>IF(A44="","",B44*IFERROR(INDEX(Trabajadores!$D$5:$D$204,MATCH(A44,Trabajadores!$B$5:$B$204,0)),0))</f>
        <v/>
      </c>
      <c r="E44" s="29" t="str">
        <f t="shared" si="1"/>
        <v/>
      </c>
      <c r="F44" s="30" t="str">
        <f>IF(A44="","",IF(B44=0,"",LOOKUP(2,1/((Detalle_Pagos!$E$5:$E$2004=A44)*(Detalle_Pagos!$J$5:$J$2004="No")),Detalle_Pagos!$B$5:$B$2004)))</f>
        <v/>
      </c>
      <c r="G44" s="29" t="str">
        <f>IF(A44="","",SUMIFS(Detalle_Pagos!$I$5:$I$2004,Detalle_Pagos!$E$5:$E$2004,A44,Detalle_Pagos!$J$5:$J$2004,"Si"))</f>
        <v/>
      </c>
      <c r="H44" t="str">
        <f>IF(A44="","",COUNTIFS(Detalle_Pagos!$E$5:$E$2004,A44,Detalle_Pagos!$J$5:$J$2004,"Si"))</f>
        <v/>
      </c>
    </row>
    <row r="45" spans="1:8" x14ac:dyDescent="0.3">
      <c r="A45" t="str">
        <f>IF(Trabajadores!B42="","",Trabajadores!B42)</f>
        <v/>
      </c>
      <c r="B45" t="str">
        <f>IF(A45="","",COUNTIFS(Detalle_Pagos!$E$5:$E$2004,A45,Detalle_Pagos!$J$5:$J$2004,"No"))</f>
        <v/>
      </c>
      <c r="C45" s="29" t="str">
        <f>IF(A45="","",SUMIFS(Detalle_Pagos!$I$5:$I$2004,Detalle_Pagos!$E$5:$E$2004,A45,Detalle_Pagos!$J$5:$J$2004,"No"))</f>
        <v/>
      </c>
      <c r="D45" s="29" t="str">
        <f>IF(A45="","",B45*IFERROR(INDEX(Trabajadores!$D$5:$D$204,MATCH(A45,Trabajadores!$B$5:$B$204,0)),0))</f>
        <v/>
      </c>
      <c r="E45" s="29" t="str">
        <f t="shared" si="1"/>
        <v/>
      </c>
      <c r="F45" s="30" t="str">
        <f>IF(A45="","",IF(B45=0,"",LOOKUP(2,1/((Detalle_Pagos!$E$5:$E$2004=A45)*(Detalle_Pagos!$J$5:$J$2004="No")),Detalle_Pagos!$B$5:$B$2004)))</f>
        <v/>
      </c>
      <c r="G45" s="29" t="str">
        <f>IF(A45="","",SUMIFS(Detalle_Pagos!$I$5:$I$2004,Detalle_Pagos!$E$5:$E$2004,A45,Detalle_Pagos!$J$5:$J$2004,"Si"))</f>
        <v/>
      </c>
      <c r="H45" t="str">
        <f>IF(A45="","",COUNTIFS(Detalle_Pagos!$E$5:$E$2004,A45,Detalle_Pagos!$J$5:$J$2004,"Si"))</f>
        <v/>
      </c>
    </row>
    <row r="46" spans="1:8" x14ac:dyDescent="0.3">
      <c r="A46" t="str">
        <f>IF(Trabajadores!B43="","",Trabajadores!B43)</f>
        <v/>
      </c>
      <c r="B46" t="str">
        <f>IF(A46="","",COUNTIFS(Detalle_Pagos!$E$5:$E$2004,A46,Detalle_Pagos!$J$5:$J$2004,"No"))</f>
        <v/>
      </c>
      <c r="C46" s="29" t="str">
        <f>IF(A46="","",SUMIFS(Detalle_Pagos!$I$5:$I$2004,Detalle_Pagos!$E$5:$E$2004,A46,Detalle_Pagos!$J$5:$J$2004,"No"))</f>
        <v/>
      </c>
      <c r="D46" s="29" t="str">
        <f>IF(A46="","",B46*IFERROR(INDEX(Trabajadores!$D$5:$D$204,MATCH(A46,Trabajadores!$B$5:$B$204,0)),0))</f>
        <v/>
      </c>
      <c r="E46" s="29" t="str">
        <f t="shared" si="1"/>
        <v/>
      </c>
      <c r="F46" s="30" t="str">
        <f>IF(A46="","",IF(B46=0,"",LOOKUP(2,1/((Detalle_Pagos!$E$5:$E$2004=A46)*(Detalle_Pagos!$J$5:$J$2004="No")),Detalle_Pagos!$B$5:$B$2004)))</f>
        <v/>
      </c>
      <c r="G46" s="29" t="str">
        <f>IF(A46="","",SUMIFS(Detalle_Pagos!$I$5:$I$2004,Detalle_Pagos!$E$5:$E$2004,A46,Detalle_Pagos!$J$5:$J$2004,"Si"))</f>
        <v/>
      </c>
      <c r="H46" t="str">
        <f>IF(A46="","",COUNTIFS(Detalle_Pagos!$E$5:$E$2004,A46,Detalle_Pagos!$J$5:$J$2004,"Si"))</f>
        <v/>
      </c>
    </row>
    <row r="47" spans="1:8" x14ac:dyDescent="0.3">
      <c r="A47" t="str">
        <f>IF(Trabajadores!B44="","",Trabajadores!B44)</f>
        <v/>
      </c>
      <c r="B47" t="str">
        <f>IF(A47="","",COUNTIFS(Detalle_Pagos!$E$5:$E$2004,A47,Detalle_Pagos!$J$5:$J$2004,"No"))</f>
        <v/>
      </c>
      <c r="C47" s="29" t="str">
        <f>IF(A47="","",SUMIFS(Detalle_Pagos!$I$5:$I$2004,Detalle_Pagos!$E$5:$E$2004,A47,Detalle_Pagos!$J$5:$J$2004,"No"))</f>
        <v/>
      </c>
      <c r="D47" s="29" t="str">
        <f>IF(A47="","",B47*IFERROR(INDEX(Trabajadores!$D$5:$D$204,MATCH(A47,Trabajadores!$B$5:$B$204,0)),0))</f>
        <v/>
      </c>
      <c r="E47" s="29" t="str">
        <f t="shared" si="1"/>
        <v/>
      </c>
      <c r="F47" s="30" t="str">
        <f>IF(A47="","",IF(B47=0,"",LOOKUP(2,1/((Detalle_Pagos!$E$5:$E$2004=A47)*(Detalle_Pagos!$J$5:$J$2004="No")),Detalle_Pagos!$B$5:$B$2004)))</f>
        <v/>
      </c>
      <c r="G47" s="29" t="str">
        <f>IF(A47="","",SUMIFS(Detalle_Pagos!$I$5:$I$2004,Detalle_Pagos!$E$5:$E$2004,A47,Detalle_Pagos!$J$5:$J$2004,"Si"))</f>
        <v/>
      </c>
      <c r="H47" t="str">
        <f>IF(A47="","",COUNTIFS(Detalle_Pagos!$E$5:$E$2004,A47,Detalle_Pagos!$J$5:$J$2004,"Si"))</f>
        <v/>
      </c>
    </row>
    <row r="48" spans="1:8" x14ac:dyDescent="0.3">
      <c r="A48" t="str">
        <f>IF(Trabajadores!B45="","",Trabajadores!B45)</f>
        <v/>
      </c>
      <c r="B48" t="str">
        <f>IF(A48="","",COUNTIFS(Detalle_Pagos!$E$5:$E$2004,A48,Detalle_Pagos!$J$5:$J$2004,"No"))</f>
        <v/>
      </c>
      <c r="C48" s="29" t="str">
        <f>IF(A48="","",SUMIFS(Detalle_Pagos!$I$5:$I$2004,Detalle_Pagos!$E$5:$E$2004,A48,Detalle_Pagos!$J$5:$J$2004,"No"))</f>
        <v/>
      </c>
      <c r="D48" s="29" t="str">
        <f>IF(A48="","",B48*IFERROR(INDEX(Trabajadores!$D$5:$D$204,MATCH(A48,Trabajadores!$B$5:$B$204,0)),0))</f>
        <v/>
      </c>
      <c r="E48" s="29" t="str">
        <f t="shared" si="1"/>
        <v/>
      </c>
      <c r="F48" s="30" t="str">
        <f>IF(A48="","",IF(B48=0,"",LOOKUP(2,1/((Detalle_Pagos!$E$5:$E$2004=A48)*(Detalle_Pagos!$J$5:$J$2004="No")),Detalle_Pagos!$B$5:$B$2004)))</f>
        <v/>
      </c>
      <c r="G48" s="29" t="str">
        <f>IF(A48="","",SUMIFS(Detalle_Pagos!$I$5:$I$2004,Detalle_Pagos!$E$5:$E$2004,A48,Detalle_Pagos!$J$5:$J$2004,"Si"))</f>
        <v/>
      </c>
      <c r="H48" t="str">
        <f>IF(A48="","",COUNTIFS(Detalle_Pagos!$E$5:$E$2004,A48,Detalle_Pagos!$J$5:$J$2004,"Si"))</f>
        <v/>
      </c>
    </row>
    <row r="49" spans="1:8" x14ac:dyDescent="0.3">
      <c r="A49" t="str">
        <f>IF(Trabajadores!B46="","",Trabajadores!B46)</f>
        <v/>
      </c>
      <c r="B49" t="str">
        <f>IF(A49="","",COUNTIFS(Detalle_Pagos!$E$5:$E$2004,A49,Detalle_Pagos!$J$5:$J$2004,"No"))</f>
        <v/>
      </c>
      <c r="C49" s="29" t="str">
        <f>IF(A49="","",SUMIFS(Detalle_Pagos!$I$5:$I$2004,Detalle_Pagos!$E$5:$E$2004,A49,Detalle_Pagos!$J$5:$J$2004,"No"))</f>
        <v/>
      </c>
      <c r="D49" s="29" t="str">
        <f>IF(A49="","",B49*IFERROR(INDEX(Trabajadores!$D$5:$D$204,MATCH(A49,Trabajadores!$B$5:$B$204,0)),0))</f>
        <v/>
      </c>
      <c r="E49" s="29" t="str">
        <f t="shared" si="1"/>
        <v/>
      </c>
      <c r="F49" s="30" t="str">
        <f>IF(A49="","",IF(B49=0,"",LOOKUP(2,1/((Detalle_Pagos!$E$5:$E$2004=A49)*(Detalle_Pagos!$J$5:$J$2004="No")),Detalle_Pagos!$B$5:$B$2004)))</f>
        <v/>
      </c>
      <c r="G49" s="29" t="str">
        <f>IF(A49="","",SUMIFS(Detalle_Pagos!$I$5:$I$2004,Detalle_Pagos!$E$5:$E$2004,A49,Detalle_Pagos!$J$5:$J$2004,"Si"))</f>
        <v/>
      </c>
      <c r="H49" t="str">
        <f>IF(A49="","",COUNTIFS(Detalle_Pagos!$E$5:$E$2004,A49,Detalle_Pagos!$J$5:$J$2004,"Si"))</f>
        <v/>
      </c>
    </row>
    <row r="50" spans="1:8" x14ac:dyDescent="0.3">
      <c r="A50" t="str">
        <f>IF(Trabajadores!B47="","",Trabajadores!B47)</f>
        <v/>
      </c>
      <c r="B50" t="str">
        <f>IF(A50="","",COUNTIFS(Detalle_Pagos!$E$5:$E$2004,A50,Detalle_Pagos!$J$5:$J$2004,"No"))</f>
        <v/>
      </c>
      <c r="C50" s="29" t="str">
        <f>IF(A50="","",SUMIFS(Detalle_Pagos!$I$5:$I$2004,Detalle_Pagos!$E$5:$E$2004,A50,Detalle_Pagos!$J$5:$J$2004,"No"))</f>
        <v/>
      </c>
      <c r="D50" s="29" t="str">
        <f>IF(A50="","",B50*IFERROR(INDEX(Trabajadores!$D$5:$D$204,MATCH(A50,Trabajadores!$B$5:$B$204,0)),0))</f>
        <v/>
      </c>
      <c r="E50" s="29" t="str">
        <f t="shared" si="1"/>
        <v/>
      </c>
      <c r="F50" s="30" t="str">
        <f>IF(A50="","",IF(B50=0,"",LOOKUP(2,1/((Detalle_Pagos!$E$5:$E$2004=A50)*(Detalle_Pagos!$J$5:$J$2004="No")),Detalle_Pagos!$B$5:$B$2004)))</f>
        <v/>
      </c>
      <c r="G50" s="29" t="str">
        <f>IF(A50="","",SUMIFS(Detalle_Pagos!$I$5:$I$2004,Detalle_Pagos!$E$5:$E$2004,A50,Detalle_Pagos!$J$5:$J$2004,"Si"))</f>
        <v/>
      </c>
      <c r="H50" t="str">
        <f>IF(A50="","",COUNTIFS(Detalle_Pagos!$E$5:$E$2004,A50,Detalle_Pagos!$J$5:$J$2004,"Si"))</f>
        <v/>
      </c>
    </row>
    <row r="51" spans="1:8" x14ac:dyDescent="0.3">
      <c r="A51" t="str">
        <f>IF(Trabajadores!B48="","",Trabajadores!B48)</f>
        <v/>
      </c>
      <c r="B51" t="str">
        <f>IF(A51="","",COUNTIFS(Detalle_Pagos!$E$5:$E$2004,A51,Detalle_Pagos!$J$5:$J$2004,"No"))</f>
        <v/>
      </c>
      <c r="C51" s="29" t="str">
        <f>IF(A51="","",SUMIFS(Detalle_Pagos!$I$5:$I$2004,Detalle_Pagos!$E$5:$E$2004,A51,Detalle_Pagos!$J$5:$J$2004,"No"))</f>
        <v/>
      </c>
      <c r="D51" s="29" t="str">
        <f>IF(A51="","",B51*IFERROR(INDEX(Trabajadores!$D$5:$D$204,MATCH(A51,Trabajadores!$B$5:$B$204,0)),0))</f>
        <v/>
      </c>
      <c r="E51" s="29" t="str">
        <f t="shared" si="1"/>
        <v/>
      </c>
      <c r="F51" s="30" t="str">
        <f>IF(A51="","",IF(B51=0,"",LOOKUP(2,1/((Detalle_Pagos!$E$5:$E$2004=A51)*(Detalle_Pagos!$J$5:$J$2004="No")),Detalle_Pagos!$B$5:$B$2004)))</f>
        <v/>
      </c>
      <c r="G51" s="29" t="str">
        <f>IF(A51="","",SUMIFS(Detalle_Pagos!$I$5:$I$2004,Detalle_Pagos!$E$5:$E$2004,A51,Detalle_Pagos!$J$5:$J$2004,"Si"))</f>
        <v/>
      </c>
      <c r="H51" t="str">
        <f>IF(A51="","",COUNTIFS(Detalle_Pagos!$E$5:$E$2004,A51,Detalle_Pagos!$J$5:$J$2004,"Si"))</f>
        <v/>
      </c>
    </row>
    <row r="52" spans="1:8" x14ac:dyDescent="0.3">
      <c r="A52" t="str">
        <f>IF(Trabajadores!B49="","",Trabajadores!B49)</f>
        <v/>
      </c>
      <c r="B52" t="str">
        <f>IF(A52="","",COUNTIFS(Detalle_Pagos!$E$5:$E$2004,A52,Detalle_Pagos!$J$5:$J$2004,"No"))</f>
        <v/>
      </c>
      <c r="C52" s="29" t="str">
        <f>IF(A52="","",SUMIFS(Detalle_Pagos!$I$5:$I$2004,Detalle_Pagos!$E$5:$E$2004,A52,Detalle_Pagos!$J$5:$J$2004,"No"))</f>
        <v/>
      </c>
      <c r="D52" s="29" t="str">
        <f>IF(A52="","",B52*IFERROR(INDEX(Trabajadores!$D$5:$D$204,MATCH(A52,Trabajadores!$B$5:$B$204,0)),0))</f>
        <v/>
      </c>
      <c r="E52" s="29" t="str">
        <f t="shared" si="1"/>
        <v/>
      </c>
      <c r="F52" s="30" t="str">
        <f>IF(A52="","",IF(B52=0,"",LOOKUP(2,1/((Detalle_Pagos!$E$5:$E$2004=A52)*(Detalle_Pagos!$J$5:$J$2004="No")),Detalle_Pagos!$B$5:$B$2004)))</f>
        <v/>
      </c>
      <c r="G52" s="29" t="str">
        <f>IF(A52="","",SUMIFS(Detalle_Pagos!$I$5:$I$2004,Detalle_Pagos!$E$5:$E$2004,A52,Detalle_Pagos!$J$5:$J$2004,"Si"))</f>
        <v/>
      </c>
      <c r="H52" t="str">
        <f>IF(A52="","",COUNTIFS(Detalle_Pagos!$E$5:$E$2004,A52,Detalle_Pagos!$J$5:$J$2004,"Si"))</f>
        <v/>
      </c>
    </row>
    <row r="53" spans="1:8" x14ac:dyDescent="0.3">
      <c r="A53" t="str">
        <f>IF(Trabajadores!B50="","",Trabajadores!B50)</f>
        <v/>
      </c>
      <c r="B53" t="str">
        <f>IF(A53="","",COUNTIFS(Detalle_Pagos!$E$5:$E$2004,A53,Detalle_Pagos!$J$5:$J$2004,"No"))</f>
        <v/>
      </c>
      <c r="C53" s="29" t="str">
        <f>IF(A53="","",SUMIFS(Detalle_Pagos!$I$5:$I$2004,Detalle_Pagos!$E$5:$E$2004,A53,Detalle_Pagos!$J$5:$J$2004,"No"))</f>
        <v/>
      </c>
      <c r="D53" s="29" t="str">
        <f>IF(A53="","",B53*IFERROR(INDEX(Trabajadores!$D$5:$D$204,MATCH(A53,Trabajadores!$B$5:$B$204,0)),0))</f>
        <v/>
      </c>
      <c r="E53" s="29" t="str">
        <f t="shared" si="1"/>
        <v/>
      </c>
      <c r="F53" s="30" t="str">
        <f>IF(A53="","",IF(B53=0,"",LOOKUP(2,1/((Detalle_Pagos!$E$5:$E$2004=A53)*(Detalle_Pagos!$J$5:$J$2004="No")),Detalle_Pagos!$B$5:$B$2004)))</f>
        <v/>
      </c>
      <c r="G53" s="29" t="str">
        <f>IF(A53="","",SUMIFS(Detalle_Pagos!$I$5:$I$2004,Detalle_Pagos!$E$5:$E$2004,A53,Detalle_Pagos!$J$5:$J$2004,"Si"))</f>
        <v/>
      </c>
      <c r="H53" t="str">
        <f>IF(A53="","",COUNTIFS(Detalle_Pagos!$E$5:$E$2004,A53,Detalle_Pagos!$J$5:$J$2004,"Si"))</f>
        <v/>
      </c>
    </row>
    <row r="54" spans="1:8" x14ac:dyDescent="0.3">
      <c r="A54" t="str">
        <f>IF(Trabajadores!B51="","",Trabajadores!B51)</f>
        <v/>
      </c>
      <c r="B54" t="str">
        <f>IF(A54="","",COUNTIFS(Detalle_Pagos!$E$5:$E$2004,A54,Detalle_Pagos!$J$5:$J$2004,"No"))</f>
        <v/>
      </c>
      <c r="C54" s="29" t="str">
        <f>IF(A54="","",SUMIFS(Detalle_Pagos!$I$5:$I$2004,Detalle_Pagos!$E$5:$E$2004,A54,Detalle_Pagos!$J$5:$J$2004,"No"))</f>
        <v/>
      </c>
      <c r="D54" s="29" t="str">
        <f>IF(A54="","",B54*IFERROR(INDEX(Trabajadores!$D$5:$D$204,MATCH(A54,Trabajadores!$B$5:$B$204,0)),0))</f>
        <v/>
      </c>
      <c r="E54" s="29" t="str">
        <f t="shared" si="1"/>
        <v/>
      </c>
      <c r="F54" s="30" t="str">
        <f>IF(A54="","",IF(B54=0,"",LOOKUP(2,1/((Detalle_Pagos!$E$5:$E$2004=A54)*(Detalle_Pagos!$J$5:$J$2004="No")),Detalle_Pagos!$B$5:$B$2004)))</f>
        <v/>
      </c>
      <c r="G54" s="29" t="str">
        <f>IF(A54="","",SUMIFS(Detalle_Pagos!$I$5:$I$2004,Detalle_Pagos!$E$5:$E$2004,A54,Detalle_Pagos!$J$5:$J$2004,"Si"))</f>
        <v/>
      </c>
      <c r="H54" t="str">
        <f>IF(A54="","",COUNTIFS(Detalle_Pagos!$E$5:$E$2004,A54,Detalle_Pagos!$J$5:$J$2004,"Si"))</f>
        <v/>
      </c>
    </row>
    <row r="55" spans="1:8" x14ac:dyDescent="0.3">
      <c r="A55" t="str">
        <f>IF(Trabajadores!B52="","",Trabajadores!B52)</f>
        <v/>
      </c>
      <c r="B55" t="str">
        <f>IF(A55="","",COUNTIFS(Detalle_Pagos!$E$5:$E$2004,A55,Detalle_Pagos!$J$5:$J$2004,"No"))</f>
        <v/>
      </c>
      <c r="C55" s="29" t="str">
        <f>IF(A55="","",SUMIFS(Detalle_Pagos!$I$5:$I$2004,Detalle_Pagos!$E$5:$E$2004,A55,Detalle_Pagos!$J$5:$J$2004,"No"))</f>
        <v/>
      </c>
      <c r="D55" s="29" t="str">
        <f>IF(A55="","",B55*IFERROR(INDEX(Trabajadores!$D$5:$D$204,MATCH(A55,Trabajadores!$B$5:$B$204,0)),0))</f>
        <v/>
      </c>
      <c r="E55" s="29" t="str">
        <f t="shared" si="1"/>
        <v/>
      </c>
      <c r="F55" s="30" t="str">
        <f>IF(A55="","",IF(B55=0,"",LOOKUP(2,1/((Detalle_Pagos!$E$5:$E$2004=A55)*(Detalle_Pagos!$J$5:$J$2004="No")),Detalle_Pagos!$B$5:$B$2004)))</f>
        <v/>
      </c>
      <c r="G55" s="29" t="str">
        <f>IF(A55="","",SUMIFS(Detalle_Pagos!$I$5:$I$2004,Detalle_Pagos!$E$5:$E$2004,A55,Detalle_Pagos!$J$5:$J$2004,"Si"))</f>
        <v/>
      </c>
      <c r="H55" t="str">
        <f>IF(A55="","",COUNTIFS(Detalle_Pagos!$E$5:$E$2004,A55,Detalle_Pagos!$J$5:$J$2004,"Si"))</f>
        <v/>
      </c>
    </row>
    <row r="56" spans="1:8" x14ac:dyDescent="0.3">
      <c r="A56" t="str">
        <f>IF(Trabajadores!B53="","",Trabajadores!B53)</f>
        <v/>
      </c>
      <c r="B56" t="str">
        <f>IF(A56="","",COUNTIFS(Detalle_Pagos!$E$5:$E$2004,A56,Detalle_Pagos!$J$5:$J$2004,"No"))</f>
        <v/>
      </c>
      <c r="C56" s="29" t="str">
        <f>IF(A56="","",SUMIFS(Detalle_Pagos!$I$5:$I$2004,Detalle_Pagos!$E$5:$E$2004,A56,Detalle_Pagos!$J$5:$J$2004,"No"))</f>
        <v/>
      </c>
      <c r="D56" s="29" t="str">
        <f>IF(A56="","",B56*IFERROR(INDEX(Trabajadores!$D$5:$D$204,MATCH(A56,Trabajadores!$B$5:$B$204,0)),0))</f>
        <v/>
      </c>
      <c r="E56" s="29" t="str">
        <f t="shared" si="1"/>
        <v/>
      </c>
      <c r="F56" s="30" t="str">
        <f>IF(A56="","",IF(B56=0,"",LOOKUP(2,1/((Detalle_Pagos!$E$5:$E$2004=A56)*(Detalle_Pagos!$J$5:$J$2004="No")),Detalle_Pagos!$B$5:$B$2004)))</f>
        <v/>
      </c>
      <c r="G56" s="29" t="str">
        <f>IF(A56="","",SUMIFS(Detalle_Pagos!$I$5:$I$2004,Detalle_Pagos!$E$5:$E$2004,A56,Detalle_Pagos!$J$5:$J$2004,"Si"))</f>
        <v/>
      </c>
      <c r="H56" t="str">
        <f>IF(A56="","",COUNTIFS(Detalle_Pagos!$E$5:$E$2004,A56,Detalle_Pagos!$J$5:$J$2004,"Si"))</f>
        <v/>
      </c>
    </row>
    <row r="57" spans="1:8" x14ac:dyDescent="0.3">
      <c r="A57" t="str">
        <f>IF(Trabajadores!B54="","",Trabajadores!B54)</f>
        <v/>
      </c>
      <c r="B57" t="str">
        <f>IF(A57="","",COUNTIFS(Detalle_Pagos!$E$5:$E$2004,A57,Detalle_Pagos!$J$5:$J$2004,"No"))</f>
        <v/>
      </c>
      <c r="C57" s="29" t="str">
        <f>IF(A57="","",SUMIFS(Detalle_Pagos!$I$5:$I$2004,Detalle_Pagos!$E$5:$E$2004,A57,Detalle_Pagos!$J$5:$J$2004,"No"))</f>
        <v/>
      </c>
      <c r="D57" s="29" t="str">
        <f>IF(A57="","",B57*IFERROR(INDEX(Trabajadores!$D$5:$D$204,MATCH(A57,Trabajadores!$B$5:$B$204,0)),0))</f>
        <v/>
      </c>
      <c r="E57" s="29" t="str">
        <f t="shared" si="1"/>
        <v/>
      </c>
      <c r="F57" s="30" t="str">
        <f>IF(A57="","",IF(B57=0,"",LOOKUP(2,1/((Detalle_Pagos!$E$5:$E$2004=A57)*(Detalle_Pagos!$J$5:$J$2004="No")),Detalle_Pagos!$B$5:$B$2004)))</f>
        <v/>
      </c>
      <c r="G57" s="29" t="str">
        <f>IF(A57="","",SUMIFS(Detalle_Pagos!$I$5:$I$2004,Detalle_Pagos!$E$5:$E$2004,A57,Detalle_Pagos!$J$5:$J$2004,"Si"))</f>
        <v/>
      </c>
      <c r="H57" t="str">
        <f>IF(A57="","",COUNTIFS(Detalle_Pagos!$E$5:$E$2004,A57,Detalle_Pagos!$J$5:$J$2004,"Si"))</f>
        <v/>
      </c>
    </row>
    <row r="58" spans="1:8" x14ac:dyDescent="0.3">
      <c r="A58" t="str">
        <f>IF(Trabajadores!B55="","",Trabajadores!B55)</f>
        <v/>
      </c>
      <c r="B58" t="str">
        <f>IF(A58="","",COUNTIFS(Detalle_Pagos!$E$5:$E$2004,A58,Detalle_Pagos!$J$5:$J$2004,"No"))</f>
        <v/>
      </c>
      <c r="C58" s="29" t="str">
        <f>IF(A58="","",SUMIFS(Detalle_Pagos!$I$5:$I$2004,Detalle_Pagos!$E$5:$E$2004,A58,Detalle_Pagos!$J$5:$J$2004,"No"))</f>
        <v/>
      </c>
      <c r="D58" s="29" t="str">
        <f>IF(A58="","",B58*IFERROR(INDEX(Trabajadores!$D$5:$D$204,MATCH(A58,Trabajadores!$B$5:$B$204,0)),0))</f>
        <v/>
      </c>
      <c r="E58" s="29" t="str">
        <f t="shared" si="1"/>
        <v/>
      </c>
      <c r="F58" s="30" t="str">
        <f>IF(A58="","",IF(B58=0,"",LOOKUP(2,1/((Detalle_Pagos!$E$5:$E$2004=A58)*(Detalle_Pagos!$J$5:$J$2004="No")),Detalle_Pagos!$B$5:$B$2004)))</f>
        <v/>
      </c>
      <c r="G58" s="29" t="str">
        <f>IF(A58="","",SUMIFS(Detalle_Pagos!$I$5:$I$2004,Detalle_Pagos!$E$5:$E$2004,A58,Detalle_Pagos!$J$5:$J$2004,"Si"))</f>
        <v/>
      </c>
      <c r="H58" t="str">
        <f>IF(A58="","",COUNTIFS(Detalle_Pagos!$E$5:$E$2004,A58,Detalle_Pagos!$J$5:$J$2004,"Si"))</f>
        <v/>
      </c>
    </row>
    <row r="59" spans="1:8" x14ac:dyDescent="0.3">
      <c r="A59" t="str">
        <f>IF(Trabajadores!B56="","",Trabajadores!B56)</f>
        <v/>
      </c>
      <c r="B59" t="str">
        <f>IF(A59="","",COUNTIFS(Detalle_Pagos!$E$5:$E$2004,A59,Detalle_Pagos!$J$5:$J$2004,"No"))</f>
        <v/>
      </c>
      <c r="C59" s="29" t="str">
        <f>IF(A59="","",SUMIFS(Detalle_Pagos!$I$5:$I$2004,Detalle_Pagos!$E$5:$E$2004,A59,Detalle_Pagos!$J$5:$J$2004,"No"))</f>
        <v/>
      </c>
      <c r="D59" s="29" t="str">
        <f>IF(A59="","",B59*IFERROR(INDEX(Trabajadores!$D$5:$D$204,MATCH(A59,Trabajadores!$B$5:$B$204,0)),0))</f>
        <v/>
      </c>
      <c r="E59" s="29" t="str">
        <f t="shared" si="1"/>
        <v/>
      </c>
      <c r="F59" s="30" t="str">
        <f>IF(A59="","",IF(B59=0,"",LOOKUP(2,1/((Detalle_Pagos!$E$5:$E$2004=A59)*(Detalle_Pagos!$J$5:$J$2004="No")),Detalle_Pagos!$B$5:$B$2004)))</f>
        <v/>
      </c>
      <c r="G59" s="29" t="str">
        <f>IF(A59="","",SUMIFS(Detalle_Pagos!$I$5:$I$2004,Detalle_Pagos!$E$5:$E$2004,A59,Detalle_Pagos!$J$5:$J$2004,"Si"))</f>
        <v/>
      </c>
      <c r="H59" t="str">
        <f>IF(A59="","",COUNTIFS(Detalle_Pagos!$E$5:$E$2004,A59,Detalle_Pagos!$J$5:$J$2004,"Si"))</f>
        <v/>
      </c>
    </row>
    <row r="60" spans="1:8" x14ac:dyDescent="0.3">
      <c r="A60" t="str">
        <f>IF(Trabajadores!B57="","",Trabajadores!B57)</f>
        <v/>
      </c>
      <c r="B60" t="str">
        <f>IF(A60="","",COUNTIFS(Detalle_Pagos!$E$5:$E$2004,A60,Detalle_Pagos!$J$5:$J$2004,"No"))</f>
        <v/>
      </c>
      <c r="C60" s="29" t="str">
        <f>IF(A60="","",SUMIFS(Detalle_Pagos!$I$5:$I$2004,Detalle_Pagos!$E$5:$E$2004,A60,Detalle_Pagos!$J$5:$J$2004,"No"))</f>
        <v/>
      </c>
      <c r="D60" s="29" t="str">
        <f>IF(A60="","",B60*IFERROR(INDEX(Trabajadores!$D$5:$D$204,MATCH(A60,Trabajadores!$B$5:$B$204,0)),0))</f>
        <v/>
      </c>
      <c r="E60" s="29" t="str">
        <f t="shared" si="1"/>
        <v/>
      </c>
      <c r="F60" s="30" t="str">
        <f>IF(A60="","",IF(B60=0,"",LOOKUP(2,1/((Detalle_Pagos!$E$5:$E$2004=A60)*(Detalle_Pagos!$J$5:$J$2004="No")),Detalle_Pagos!$B$5:$B$2004)))</f>
        <v/>
      </c>
      <c r="G60" s="29" t="str">
        <f>IF(A60="","",SUMIFS(Detalle_Pagos!$I$5:$I$2004,Detalle_Pagos!$E$5:$E$2004,A60,Detalle_Pagos!$J$5:$J$2004,"Si"))</f>
        <v/>
      </c>
      <c r="H60" t="str">
        <f>IF(A60="","",COUNTIFS(Detalle_Pagos!$E$5:$E$2004,A60,Detalle_Pagos!$J$5:$J$2004,"Si"))</f>
        <v/>
      </c>
    </row>
    <row r="61" spans="1:8" x14ac:dyDescent="0.3">
      <c r="A61" t="str">
        <f>IF(Trabajadores!B58="","",Trabajadores!B58)</f>
        <v/>
      </c>
      <c r="B61" t="str">
        <f>IF(A61="","",COUNTIFS(Detalle_Pagos!$E$5:$E$2004,A61,Detalle_Pagos!$J$5:$J$2004,"No"))</f>
        <v/>
      </c>
      <c r="C61" s="29" t="str">
        <f>IF(A61="","",SUMIFS(Detalle_Pagos!$I$5:$I$2004,Detalle_Pagos!$E$5:$E$2004,A61,Detalle_Pagos!$J$5:$J$2004,"No"))</f>
        <v/>
      </c>
      <c r="D61" s="29" t="str">
        <f>IF(A61="","",B61*IFERROR(INDEX(Trabajadores!$D$5:$D$204,MATCH(A61,Trabajadores!$B$5:$B$204,0)),0))</f>
        <v/>
      </c>
      <c r="E61" s="29" t="str">
        <f t="shared" si="1"/>
        <v/>
      </c>
      <c r="F61" s="30" t="str">
        <f>IF(A61="","",IF(B61=0,"",LOOKUP(2,1/((Detalle_Pagos!$E$5:$E$2004=A61)*(Detalle_Pagos!$J$5:$J$2004="No")),Detalle_Pagos!$B$5:$B$2004)))</f>
        <v/>
      </c>
      <c r="G61" s="29" t="str">
        <f>IF(A61="","",SUMIFS(Detalle_Pagos!$I$5:$I$2004,Detalle_Pagos!$E$5:$E$2004,A61,Detalle_Pagos!$J$5:$J$2004,"Si"))</f>
        <v/>
      </c>
      <c r="H61" t="str">
        <f>IF(A61="","",COUNTIFS(Detalle_Pagos!$E$5:$E$2004,A61,Detalle_Pagos!$J$5:$J$2004,"Si"))</f>
        <v/>
      </c>
    </row>
    <row r="62" spans="1:8" x14ac:dyDescent="0.3">
      <c r="A62" t="str">
        <f>IF(Trabajadores!B59="","",Trabajadores!B59)</f>
        <v/>
      </c>
      <c r="B62" t="str">
        <f>IF(A62="","",COUNTIFS(Detalle_Pagos!$E$5:$E$2004,A62,Detalle_Pagos!$J$5:$J$2004,"No"))</f>
        <v/>
      </c>
      <c r="C62" s="29" t="str">
        <f>IF(A62="","",SUMIFS(Detalle_Pagos!$I$5:$I$2004,Detalle_Pagos!$E$5:$E$2004,A62,Detalle_Pagos!$J$5:$J$2004,"No"))</f>
        <v/>
      </c>
      <c r="D62" s="29" t="str">
        <f>IF(A62="","",B62*IFERROR(INDEX(Trabajadores!$D$5:$D$204,MATCH(A62,Trabajadores!$B$5:$B$204,0)),0))</f>
        <v/>
      </c>
      <c r="E62" s="29" t="str">
        <f t="shared" si="1"/>
        <v/>
      </c>
      <c r="F62" s="30" t="str">
        <f>IF(A62="","",IF(B62=0,"",LOOKUP(2,1/((Detalle_Pagos!$E$5:$E$2004=A62)*(Detalle_Pagos!$J$5:$J$2004="No")),Detalle_Pagos!$B$5:$B$2004)))</f>
        <v/>
      </c>
      <c r="G62" s="29" t="str">
        <f>IF(A62="","",SUMIFS(Detalle_Pagos!$I$5:$I$2004,Detalle_Pagos!$E$5:$E$2004,A62,Detalle_Pagos!$J$5:$J$2004,"Si"))</f>
        <v/>
      </c>
      <c r="H62" t="str">
        <f>IF(A62="","",COUNTIFS(Detalle_Pagos!$E$5:$E$2004,A62,Detalle_Pagos!$J$5:$J$2004,"Si"))</f>
        <v/>
      </c>
    </row>
    <row r="63" spans="1:8" x14ac:dyDescent="0.3">
      <c r="A63" t="str">
        <f>IF(Trabajadores!B60="","",Trabajadores!B60)</f>
        <v/>
      </c>
      <c r="B63" t="str">
        <f>IF(A63="","",COUNTIFS(Detalle_Pagos!$E$5:$E$2004,A63,Detalle_Pagos!$J$5:$J$2004,"No"))</f>
        <v/>
      </c>
      <c r="C63" s="29" t="str">
        <f>IF(A63="","",SUMIFS(Detalle_Pagos!$I$5:$I$2004,Detalle_Pagos!$E$5:$E$2004,A63,Detalle_Pagos!$J$5:$J$2004,"No"))</f>
        <v/>
      </c>
      <c r="D63" s="29" t="str">
        <f>IF(A63="","",B63*IFERROR(INDEX(Trabajadores!$D$5:$D$204,MATCH(A63,Trabajadores!$B$5:$B$204,0)),0))</f>
        <v/>
      </c>
      <c r="E63" s="29" t="str">
        <f t="shared" si="1"/>
        <v/>
      </c>
      <c r="F63" s="30" t="str">
        <f>IF(A63="","",IF(B63=0,"",LOOKUP(2,1/((Detalle_Pagos!$E$5:$E$2004=A63)*(Detalle_Pagos!$J$5:$J$2004="No")),Detalle_Pagos!$B$5:$B$2004)))</f>
        <v/>
      </c>
      <c r="G63" s="29" t="str">
        <f>IF(A63="","",SUMIFS(Detalle_Pagos!$I$5:$I$2004,Detalle_Pagos!$E$5:$E$2004,A63,Detalle_Pagos!$J$5:$J$2004,"Si"))</f>
        <v/>
      </c>
      <c r="H63" t="str">
        <f>IF(A63="","",COUNTIFS(Detalle_Pagos!$E$5:$E$2004,A63,Detalle_Pagos!$J$5:$J$2004,"Si"))</f>
        <v/>
      </c>
    </row>
    <row r="64" spans="1:8" x14ac:dyDescent="0.3">
      <c r="A64" t="str">
        <f>IF(Trabajadores!B61="","",Trabajadores!B61)</f>
        <v/>
      </c>
      <c r="B64" t="str">
        <f>IF(A64="","",COUNTIFS(Detalle_Pagos!$E$5:$E$2004,A64,Detalle_Pagos!$J$5:$J$2004,"No"))</f>
        <v/>
      </c>
      <c r="C64" s="29" t="str">
        <f>IF(A64="","",SUMIFS(Detalle_Pagos!$I$5:$I$2004,Detalle_Pagos!$E$5:$E$2004,A64,Detalle_Pagos!$J$5:$J$2004,"No"))</f>
        <v/>
      </c>
      <c r="D64" s="29" t="str">
        <f>IF(A64="","",B64*IFERROR(INDEX(Trabajadores!$D$5:$D$204,MATCH(A64,Trabajadores!$B$5:$B$204,0)),0))</f>
        <v/>
      </c>
      <c r="E64" s="29" t="str">
        <f t="shared" si="1"/>
        <v/>
      </c>
      <c r="F64" s="30" t="str">
        <f>IF(A64="","",IF(B64=0,"",LOOKUP(2,1/((Detalle_Pagos!$E$5:$E$2004=A64)*(Detalle_Pagos!$J$5:$J$2004="No")),Detalle_Pagos!$B$5:$B$2004)))</f>
        <v/>
      </c>
      <c r="G64" s="29" t="str">
        <f>IF(A64="","",SUMIFS(Detalle_Pagos!$I$5:$I$2004,Detalle_Pagos!$E$5:$E$2004,A64,Detalle_Pagos!$J$5:$J$2004,"Si"))</f>
        <v/>
      </c>
      <c r="H64" t="str">
        <f>IF(A64="","",COUNTIFS(Detalle_Pagos!$E$5:$E$2004,A64,Detalle_Pagos!$J$5:$J$2004,"Si"))</f>
        <v/>
      </c>
    </row>
    <row r="65" spans="1:8" x14ac:dyDescent="0.3">
      <c r="A65" t="str">
        <f>IF(Trabajadores!B62="","",Trabajadores!B62)</f>
        <v/>
      </c>
      <c r="B65" t="str">
        <f>IF(A65="","",COUNTIFS(Detalle_Pagos!$E$5:$E$2004,A65,Detalle_Pagos!$J$5:$J$2004,"No"))</f>
        <v/>
      </c>
      <c r="C65" s="29" t="str">
        <f>IF(A65="","",SUMIFS(Detalle_Pagos!$I$5:$I$2004,Detalle_Pagos!$E$5:$E$2004,A65,Detalle_Pagos!$J$5:$J$2004,"No"))</f>
        <v/>
      </c>
      <c r="D65" s="29" t="str">
        <f>IF(A65="","",B65*IFERROR(INDEX(Trabajadores!$D$5:$D$204,MATCH(A65,Trabajadores!$B$5:$B$204,0)),0))</f>
        <v/>
      </c>
      <c r="E65" s="29" t="str">
        <f t="shared" si="1"/>
        <v/>
      </c>
      <c r="F65" s="30" t="str">
        <f>IF(A65="","",IF(B65=0,"",LOOKUP(2,1/((Detalle_Pagos!$E$5:$E$2004=A65)*(Detalle_Pagos!$J$5:$J$2004="No")),Detalle_Pagos!$B$5:$B$2004)))</f>
        <v/>
      </c>
      <c r="G65" s="29" t="str">
        <f>IF(A65="","",SUMIFS(Detalle_Pagos!$I$5:$I$2004,Detalle_Pagos!$E$5:$E$2004,A65,Detalle_Pagos!$J$5:$J$2004,"Si"))</f>
        <v/>
      </c>
      <c r="H65" t="str">
        <f>IF(A65="","",COUNTIFS(Detalle_Pagos!$E$5:$E$2004,A65,Detalle_Pagos!$J$5:$J$2004,"Si"))</f>
        <v/>
      </c>
    </row>
    <row r="66" spans="1:8" x14ac:dyDescent="0.3">
      <c r="A66" t="str">
        <f>IF(Trabajadores!B63="","",Trabajadores!B63)</f>
        <v/>
      </c>
      <c r="B66" t="str">
        <f>IF(A66="","",COUNTIFS(Detalle_Pagos!$E$5:$E$2004,A66,Detalle_Pagos!$J$5:$J$2004,"No"))</f>
        <v/>
      </c>
      <c r="C66" s="29" t="str">
        <f>IF(A66="","",SUMIFS(Detalle_Pagos!$I$5:$I$2004,Detalle_Pagos!$E$5:$E$2004,A66,Detalle_Pagos!$J$5:$J$2004,"No"))</f>
        <v/>
      </c>
      <c r="D66" s="29" t="str">
        <f>IF(A66="","",B66*IFERROR(INDEX(Trabajadores!$D$5:$D$204,MATCH(A66,Trabajadores!$B$5:$B$204,0)),0))</f>
        <v/>
      </c>
      <c r="E66" s="29" t="str">
        <f t="shared" si="1"/>
        <v/>
      </c>
      <c r="F66" s="30" t="str">
        <f>IF(A66="","",IF(B66=0,"",LOOKUP(2,1/((Detalle_Pagos!$E$5:$E$2004=A66)*(Detalle_Pagos!$J$5:$J$2004="No")),Detalle_Pagos!$B$5:$B$2004)))</f>
        <v/>
      </c>
      <c r="G66" s="29" t="str">
        <f>IF(A66="","",SUMIFS(Detalle_Pagos!$I$5:$I$2004,Detalle_Pagos!$E$5:$E$2004,A66,Detalle_Pagos!$J$5:$J$2004,"Si"))</f>
        <v/>
      </c>
      <c r="H66" t="str">
        <f>IF(A66="","",COUNTIFS(Detalle_Pagos!$E$5:$E$2004,A66,Detalle_Pagos!$J$5:$J$2004,"Si"))</f>
        <v/>
      </c>
    </row>
    <row r="67" spans="1:8" x14ac:dyDescent="0.3">
      <c r="A67" t="str">
        <f>IF(Trabajadores!B64="","",Trabajadores!B64)</f>
        <v/>
      </c>
      <c r="B67" t="str">
        <f>IF(A67="","",COUNTIFS(Detalle_Pagos!$E$5:$E$2004,A67,Detalle_Pagos!$J$5:$J$2004,"No"))</f>
        <v/>
      </c>
      <c r="C67" s="29" t="str">
        <f>IF(A67="","",SUMIFS(Detalle_Pagos!$I$5:$I$2004,Detalle_Pagos!$E$5:$E$2004,A67,Detalle_Pagos!$J$5:$J$2004,"No"))</f>
        <v/>
      </c>
      <c r="D67" s="29" t="str">
        <f>IF(A67="","",B67*IFERROR(INDEX(Trabajadores!$D$5:$D$204,MATCH(A67,Trabajadores!$B$5:$B$204,0)),0))</f>
        <v/>
      </c>
      <c r="E67" s="29" t="str">
        <f t="shared" si="1"/>
        <v/>
      </c>
      <c r="F67" s="30" t="str">
        <f>IF(A67="","",IF(B67=0,"",LOOKUP(2,1/((Detalle_Pagos!$E$5:$E$2004=A67)*(Detalle_Pagos!$J$5:$J$2004="No")),Detalle_Pagos!$B$5:$B$2004)))</f>
        <v/>
      </c>
      <c r="G67" s="29" t="str">
        <f>IF(A67="","",SUMIFS(Detalle_Pagos!$I$5:$I$2004,Detalle_Pagos!$E$5:$E$2004,A67,Detalle_Pagos!$J$5:$J$2004,"Si"))</f>
        <v/>
      </c>
      <c r="H67" t="str">
        <f>IF(A67="","",COUNTIFS(Detalle_Pagos!$E$5:$E$2004,A67,Detalle_Pagos!$J$5:$J$2004,"Si"))</f>
        <v/>
      </c>
    </row>
    <row r="68" spans="1:8" x14ac:dyDescent="0.3">
      <c r="A68" t="str">
        <f>IF(Trabajadores!B65="","",Trabajadores!B65)</f>
        <v/>
      </c>
      <c r="B68" t="str">
        <f>IF(A68="","",COUNTIFS(Detalle_Pagos!$E$5:$E$2004,A68,Detalle_Pagos!$J$5:$J$2004,"No"))</f>
        <v/>
      </c>
      <c r="C68" s="29" t="str">
        <f>IF(A68="","",SUMIFS(Detalle_Pagos!$I$5:$I$2004,Detalle_Pagos!$E$5:$E$2004,A68,Detalle_Pagos!$J$5:$J$2004,"No"))</f>
        <v/>
      </c>
      <c r="D68" s="29" t="str">
        <f>IF(A68="","",B68*IFERROR(INDEX(Trabajadores!$D$5:$D$204,MATCH(A68,Trabajadores!$B$5:$B$204,0)),0))</f>
        <v/>
      </c>
      <c r="E68" s="29" t="str">
        <f t="shared" si="1"/>
        <v/>
      </c>
      <c r="F68" s="30" t="str">
        <f>IF(A68="","",IF(B68=0,"",LOOKUP(2,1/((Detalle_Pagos!$E$5:$E$2004=A68)*(Detalle_Pagos!$J$5:$J$2004="No")),Detalle_Pagos!$B$5:$B$2004)))</f>
        <v/>
      </c>
      <c r="G68" s="29" t="str">
        <f>IF(A68="","",SUMIFS(Detalle_Pagos!$I$5:$I$2004,Detalle_Pagos!$E$5:$E$2004,A68,Detalle_Pagos!$J$5:$J$2004,"Si"))</f>
        <v/>
      </c>
      <c r="H68" t="str">
        <f>IF(A68="","",COUNTIFS(Detalle_Pagos!$E$5:$E$2004,A68,Detalle_Pagos!$J$5:$J$2004,"Si"))</f>
        <v/>
      </c>
    </row>
    <row r="69" spans="1:8" x14ac:dyDescent="0.3">
      <c r="A69" t="str">
        <f>IF(Trabajadores!B66="","",Trabajadores!B66)</f>
        <v/>
      </c>
      <c r="B69" t="str">
        <f>IF(A69="","",COUNTIFS(Detalle_Pagos!$E$5:$E$2004,A69,Detalle_Pagos!$J$5:$J$2004,"No"))</f>
        <v/>
      </c>
      <c r="C69" s="29" t="str">
        <f>IF(A69="","",SUMIFS(Detalle_Pagos!$I$5:$I$2004,Detalle_Pagos!$E$5:$E$2004,A69,Detalle_Pagos!$J$5:$J$2004,"No"))</f>
        <v/>
      </c>
      <c r="D69" s="29" t="str">
        <f>IF(A69="","",B69*IFERROR(INDEX(Trabajadores!$D$5:$D$204,MATCH(A69,Trabajadores!$B$5:$B$204,0)),0))</f>
        <v/>
      </c>
      <c r="E69" s="29" t="str">
        <f t="shared" si="1"/>
        <v/>
      </c>
      <c r="F69" s="30" t="str">
        <f>IF(A69="","",IF(B69=0,"",LOOKUP(2,1/((Detalle_Pagos!$E$5:$E$2004=A69)*(Detalle_Pagos!$J$5:$J$2004="No")),Detalle_Pagos!$B$5:$B$2004)))</f>
        <v/>
      </c>
      <c r="G69" s="29" t="str">
        <f>IF(A69="","",SUMIFS(Detalle_Pagos!$I$5:$I$2004,Detalle_Pagos!$E$5:$E$2004,A69,Detalle_Pagos!$J$5:$J$2004,"Si"))</f>
        <v/>
      </c>
      <c r="H69" t="str">
        <f>IF(A69="","",COUNTIFS(Detalle_Pagos!$E$5:$E$2004,A69,Detalle_Pagos!$J$5:$J$2004,"Si"))</f>
        <v/>
      </c>
    </row>
    <row r="70" spans="1:8" x14ac:dyDescent="0.3">
      <c r="A70" t="str">
        <f>IF(Trabajadores!B67="","",Trabajadores!B67)</f>
        <v/>
      </c>
      <c r="B70" t="str">
        <f>IF(A70="","",COUNTIFS(Detalle_Pagos!$E$5:$E$2004,A70,Detalle_Pagos!$J$5:$J$2004,"No"))</f>
        <v/>
      </c>
      <c r="C70" s="29" t="str">
        <f>IF(A70="","",SUMIFS(Detalle_Pagos!$I$5:$I$2004,Detalle_Pagos!$E$5:$E$2004,A70,Detalle_Pagos!$J$5:$J$2004,"No"))</f>
        <v/>
      </c>
      <c r="D70" s="29" t="str">
        <f>IF(A70="","",B70*IFERROR(INDEX(Trabajadores!$D$5:$D$204,MATCH(A70,Trabajadores!$B$5:$B$204,0)),0))</f>
        <v/>
      </c>
      <c r="E70" s="29" t="str">
        <f t="shared" si="1"/>
        <v/>
      </c>
      <c r="F70" s="30" t="str">
        <f>IF(A70="","",IF(B70=0,"",LOOKUP(2,1/((Detalle_Pagos!$E$5:$E$2004=A70)*(Detalle_Pagos!$J$5:$J$2004="No")),Detalle_Pagos!$B$5:$B$2004)))</f>
        <v/>
      </c>
      <c r="G70" s="29" t="str">
        <f>IF(A70="","",SUMIFS(Detalle_Pagos!$I$5:$I$2004,Detalle_Pagos!$E$5:$E$2004,A70,Detalle_Pagos!$J$5:$J$2004,"Si"))</f>
        <v/>
      </c>
      <c r="H70" t="str">
        <f>IF(A70="","",COUNTIFS(Detalle_Pagos!$E$5:$E$2004,A70,Detalle_Pagos!$J$5:$J$2004,"Si"))</f>
        <v/>
      </c>
    </row>
    <row r="71" spans="1:8" x14ac:dyDescent="0.3">
      <c r="A71" t="str">
        <f>IF(Trabajadores!B68="","",Trabajadores!B68)</f>
        <v/>
      </c>
      <c r="B71" t="str">
        <f>IF(A71="","",COUNTIFS(Detalle_Pagos!$E$5:$E$2004,A71,Detalle_Pagos!$J$5:$J$2004,"No"))</f>
        <v/>
      </c>
      <c r="C71" s="29" t="str">
        <f>IF(A71="","",SUMIFS(Detalle_Pagos!$I$5:$I$2004,Detalle_Pagos!$E$5:$E$2004,A71,Detalle_Pagos!$J$5:$J$2004,"No"))</f>
        <v/>
      </c>
      <c r="D71" s="29" t="str">
        <f>IF(A71="","",B71*IFERROR(INDEX(Trabajadores!$D$5:$D$204,MATCH(A71,Trabajadores!$B$5:$B$204,0)),0))</f>
        <v/>
      </c>
      <c r="E71" s="29" t="str">
        <f t="shared" si="1"/>
        <v/>
      </c>
      <c r="F71" s="30" t="str">
        <f>IF(A71="","",IF(B71=0,"",LOOKUP(2,1/((Detalle_Pagos!$E$5:$E$2004=A71)*(Detalle_Pagos!$J$5:$J$2004="No")),Detalle_Pagos!$B$5:$B$2004)))</f>
        <v/>
      </c>
      <c r="G71" s="29" t="str">
        <f>IF(A71="","",SUMIFS(Detalle_Pagos!$I$5:$I$2004,Detalle_Pagos!$E$5:$E$2004,A71,Detalle_Pagos!$J$5:$J$2004,"Si"))</f>
        <v/>
      </c>
      <c r="H71" t="str">
        <f>IF(A71="","",COUNTIFS(Detalle_Pagos!$E$5:$E$2004,A71,Detalle_Pagos!$J$5:$J$2004,"Si"))</f>
        <v/>
      </c>
    </row>
    <row r="72" spans="1:8" x14ac:dyDescent="0.3">
      <c r="A72" t="str">
        <f>IF(Trabajadores!B69="","",Trabajadores!B69)</f>
        <v/>
      </c>
      <c r="B72" t="str">
        <f>IF(A72="","",COUNTIFS(Detalle_Pagos!$E$5:$E$2004,A72,Detalle_Pagos!$J$5:$J$2004,"No"))</f>
        <v/>
      </c>
      <c r="C72" s="29" t="str">
        <f>IF(A72="","",SUMIFS(Detalle_Pagos!$I$5:$I$2004,Detalle_Pagos!$E$5:$E$2004,A72,Detalle_Pagos!$J$5:$J$2004,"No"))</f>
        <v/>
      </c>
      <c r="D72" s="29" t="str">
        <f>IF(A72="","",B72*IFERROR(INDEX(Trabajadores!$D$5:$D$204,MATCH(A72,Trabajadores!$B$5:$B$204,0)),0))</f>
        <v/>
      </c>
      <c r="E72" s="29" t="str">
        <f t="shared" ref="E72:E103" si="2">IF(A72="","",C72+D72)</f>
        <v/>
      </c>
      <c r="F72" s="30" t="str">
        <f>IF(A72="","",IF(B72=0,"",LOOKUP(2,1/((Detalle_Pagos!$E$5:$E$2004=A72)*(Detalle_Pagos!$J$5:$J$2004="No")),Detalle_Pagos!$B$5:$B$2004)))</f>
        <v/>
      </c>
      <c r="G72" s="29" t="str">
        <f>IF(A72="","",SUMIFS(Detalle_Pagos!$I$5:$I$2004,Detalle_Pagos!$E$5:$E$2004,A72,Detalle_Pagos!$J$5:$J$2004,"Si"))</f>
        <v/>
      </c>
      <c r="H72" t="str">
        <f>IF(A72="","",COUNTIFS(Detalle_Pagos!$E$5:$E$2004,A72,Detalle_Pagos!$J$5:$J$2004,"Si"))</f>
        <v/>
      </c>
    </row>
    <row r="73" spans="1:8" x14ac:dyDescent="0.3">
      <c r="A73" t="str">
        <f>IF(Trabajadores!B70="","",Trabajadores!B70)</f>
        <v/>
      </c>
      <c r="B73" t="str">
        <f>IF(A73="","",COUNTIFS(Detalle_Pagos!$E$5:$E$2004,A73,Detalle_Pagos!$J$5:$J$2004,"No"))</f>
        <v/>
      </c>
      <c r="C73" s="29" t="str">
        <f>IF(A73="","",SUMIFS(Detalle_Pagos!$I$5:$I$2004,Detalle_Pagos!$E$5:$E$2004,A73,Detalle_Pagos!$J$5:$J$2004,"No"))</f>
        <v/>
      </c>
      <c r="D73" s="29" t="str">
        <f>IF(A73="","",B73*IFERROR(INDEX(Trabajadores!$D$5:$D$204,MATCH(A73,Trabajadores!$B$5:$B$204,0)),0))</f>
        <v/>
      </c>
      <c r="E73" s="29" t="str">
        <f t="shared" si="2"/>
        <v/>
      </c>
      <c r="F73" s="30" t="str">
        <f>IF(A73="","",IF(B73=0,"",LOOKUP(2,1/((Detalle_Pagos!$E$5:$E$2004=A73)*(Detalle_Pagos!$J$5:$J$2004="No")),Detalle_Pagos!$B$5:$B$2004)))</f>
        <v/>
      </c>
      <c r="G73" s="29" t="str">
        <f>IF(A73="","",SUMIFS(Detalle_Pagos!$I$5:$I$2004,Detalle_Pagos!$E$5:$E$2004,A73,Detalle_Pagos!$J$5:$J$2004,"Si"))</f>
        <v/>
      </c>
      <c r="H73" t="str">
        <f>IF(A73="","",COUNTIFS(Detalle_Pagos!$E$5:$E$2004,A73,Detalle_Pagos!$J$5:$J$2004,"Si"))</f>
        <v/>
      </c>
    </row>
    <row r="74" spans="1:8" x14ac:dyDescent="0.3">
      <c r="A74" t="str">
        <f>IF(Trabajadores!B71="","",Trabajadores!B71)</f>
        <v/>
      </c>
      <c r="B74" t="str">
        <f>IF(A74="","",COUNTIFS(Detalle_Pagos!$E$5:$E$2004,A74,Detalle_Pagos!$J$5:$J$2004,"No"))</f>
        <v/>
      </c>
      <c r="C74" s="29" t="str">
        <f>IF(A74="","",SUMIFS(Detalle_Pagos!$I$5:$I$2004,Detalle_Pagos!$E$5:$E$2004,A74,Detalle_Pagos!$J$5:$J$2004,"No"))</f>
        <v/>
      </c>
      <c r="D74" s="29" t="str">
        <f>IF(A74="","",B74*IFERROR(INDEX(Trabajadores!$D$5:$D$204,MATCH(A74,Trabajadores!$B$5:$B$204,0)),0))</f>
        <v/>
      </c>
      <c r="E74" s="29" t="str">
        <f t="shared" si="2"/>
        <v/>
      </c>
      <c r="F74" s="30" t="str">
        <f>IF(A74="","",IF(B74=0,"",LOOKUP(2,1/((Detalle_Pagos!$E$5:$E$2004=A74)*(Detalle_Pagos!$J$5:$J$2004="No")),Detalle_Pagos!$B$5:$B$2004)))</f>
        <v/>
      </c>
      <c r="G74" s="29" t="str">
        <f>IF(A74="","",SUMIFS(Detalle_Pagos!$I$5:$I$2004,Detalle_Pagos!$E$5:$E$2004,A74,Detalle_Pagos!$J$5:$J$2004,"Si"))</f>
        <v/>
      </c>
      <c r="H74" t="str">
        <f>IF(A74="","",COUNTIFS(Detalle_Pagos!$E$5:$E$2004,A74,Detalle_Pagos!$J$5:$J$2004,"Si"))</f>
        <v/>
      </c>
    </row>
    <row r="75" spans="1:8" x14ac:dyDescent="0.3">
      <c r="A75" t="str">
        <f>IF(Trabajadores!B72="","",Trabajadores!B72)</f>
        <v/>
      </c>
      <c r="B75" t="str">
        <f>IF(A75="","",COUNTIFS(Detalle_Pagos!$E$5:$E$2004,A75,Detalle_Pagos!$J$5:$J$2004,"No"))</f>
        <v/>
      </c>
      <c r="C75" s="29" t="str">
        <f>IF(A75="","",SUMIFS(Detalle_Pagos!$I$5:$I$2004,Detalle_Pagos!$E$5:$E$2004,A75,Detalle_Pagos!$J$5:$J$2004,"No"))</f>
        <v/>
      </c>
      <c r="D75" s="29" t="str">
        <f>IF(A75="","",B75*IFERROR(INDEX(Trabajadores!$D$5:$D$204,MATCH(A75,Trabajadores!$B$5:$B$204,0)),0))</f>
        <v/>
      </c>
      <c r="E75" s="29" t="str">
        <f t="shared" si="2"/>
        <v/>
      </c>
      <c r="F75" s="30" t="str">
        <f>IF(A75="","",IF(B75=0,"",LOOKUP(2,1/((Detalle_Pagos!$E$5:$E$2004=A75)*(Detalle_Pagos!$J$5:$J$2004="No")),Detalle_Pagos!$B$5:$B$2004)))</f>
        <v/>
      </c>
      <c r="G75" s="29" t="str">
        <f>IF(A75="","",SUMIFS(Detalle_Pagos!$I$5:$I$2004,Detalle_Pagos!$E$5:$E$2004,A75,Detalle_Pagos!$J$5:$J$2004,"Si"))</f>
        <v/>
      </c>
      <c r="H75" t="str">
        <f>IF(A75="","",COUNTIFS(Detalle_Pagos!$E$5:$E$2004,A75,Detalle_Pagos!$J$5:$J$2004,"Si"))</f>
        <v/>
      </c>
    </row>
    <row r="76" spans="1:8" x14ac:dyDescent="0.3">
      <c r="A76" t="str">
        <f>IF(Trabajadores!B73="","",Trabajadores!B73)</f>
        <v/>
      </c>
      <c r="B76" t="str">
        <f>IF(A76="","",COUNTIFS(Detalle_Pagos!$E$5:$E$2004,A76,Detalle_Pagos!$J$5:$J$2004,"No"))</f>
        <v/>
      </c>
      <c r="C76" s="29" t="str">
        <f>IF(A76="","",SUMIFS(Detalle_Pagos!$I$5:$I$2004,Detalle_Pagos!$E$5:$E$2004,A76,Detalle_Pagos!$J$5:$J$2004,"No"))</f>
        <v/>
      </c>
      <c r="D76" s="29" t="str">
        <f>IF(A76="","",B76*IFERROR(INDEX(Trabajadores!$D$5:$D$204,MATCH(A76,Trabajadores!$B$5:$B$204,0)),0))</f>
        <v/>
      </c>
      <c r="E76" s="29" t="str">
        <f t="shared" si="2"/>
        <v/>
      </c>
      <c r="F76" s="30" t="str">
        <f>IF(A76="","",IF(B76=0,"",LOOKUP(2,1/((Detalle_Pagos!$E$5:$E$2004=A76)*(Detalle_Pagos!$J$5:$J$2004="No")),Detalle_Pagos!$B$5:$B$2004)))</f>
        <v/>
      </c>
      <c r="G76" s="29" t="str">
        <f>IF(A76="","",SUMIFS(Detalle_Pagos!$I$5:$I$2004,Detalle_Pagos!$E$5:$E$2004,A76,Detalle_Pagos!$J$5:$J$2004,"Si"))</f>
        <v/>
      </c>
      <c r="H76" t="str">
        <f>IF(A76="","",COUNTIFS(Detalle_Pagos!$E$5:$E$2004,A76,Detalle_Pagos!$J$5:$J$2004,"Si"))</f>
        <v/>
      </c>
    </row>
    <row r="77" spans="1:8" x14ac:dyDescent="0.3">
      <c r="A77" t="str">
        <f>IF(Trabajadores!B74="","",Trabajadores!B74)</f>
        <v/>
      </c>
      <c r="B77" t="str">
        <f>IF(A77="","",COUNTIFS(Detalle_Pagos!$E$5:$E$2004,A77,Detalle_Pagos!$J$5:$J$2004,"No"))</f>
        <v/>
      </c>
      <c r="C77" s="29" t="str">
        <f>IF(A77="","",SUMIFS(Detalle_Pagos!$I$5:$I$2004,Detalle_Pagos!$E$5:$E$2004,A77,Detalle_Pagos!$J$5:$J$2004,"No"))</f>
        <v/>
      </c>
      <c r="D77" s="29" t="str">
        <f>IF(A77="","",B77*IFERROR(INDEX(Trabajadores!$D$5:$D$204,MATCH(A77,Trabajadores!$B$5:$B$204,0)),0))</f>
        <v/>
      </c>
      <c r="E77" s="29" t="str">
        <f t="shared" si="2"/>
        <v/>
      </c>
      <c r="F77" s="30" t="str">
        <f>IF(A77="","",IF(B77=0,"",LOOKUP(2,1/((Detalle_Pagos!$E$5:$E$2004=A77)*(Detalle_Pagos!$J$5:$J$2004="No")),Detalle_Pagos!$B$5:$B$2004)))</f>
        <v/>
      </c>
      <c r="G77" s="29" t="str">
        <f>IF(A77="","",SUMIFS(Detalle_Pagos!$I$5:$I$2004,Detalle_Pagos!$E$5:$E$2004,A77,Detalle_Pagos!$J$5:$J$2004,"Si"))</f>
        <v/>
      </c>
      <c r="H77" t="str">
        <f>IF(A77="","",COUNTIFS(Detalle_Pagos!$E$5:$E$2004,A77,Detalle_Pagos!$J$5:$J$2004,"Si"))</f>
        <v/>
      </c>
    </row>
    <row r="78" spans="1:8" x14ac:dyDescent="0.3">
      <c r="A78" t="str">
        <f>IF(Trabajadores!B75="","",Trabajadores!B75)</f>
        <v/>
      </c>
      <c r="B78" t="str">
        <f>IF(A78="","",COUNTIFS(Detalle_Pagos!$E$5:$E$2004,A78,Detalle_Pagos!$J$5:$J$2004,"No"))</f>
        <v/>
      </c>
      <c r="C78" s="29" t="str">
        <f>IF(A78="","",SUMIFS(Detalle_Pagos!$I$5:$I$2004,Detalle_Pagos!$E$5:$E$2004,A78,Detalle_Pagos!$J$5:$J$2004,"No"))</f>
        <v/>
      </c>
      <c r="D78" s="29" t="str">
        <f>IF(A78="","",B78*IFERROR(INDEX(Trabajadores!$D$5:$D$204,MATCH(A78,Trabajadores!$B$5:$B$204,0)),0))</f>
        <v/>
      </c>
      <c r="E78" s="29" t="str">
        <f t="shared" si="2"/>
        <v/>
      </c>
      <c r="F78" s="30" t="str">
        <f>IF(A78="","",IF(B78=0,"",LOOKUP(2,1/((Detalle_Pagos!$E$5:$E$2004=A78)*(Detalle_Pagos!$J$5:$J$2004="No")),Detalle_Pagos!$B$5:$B$2004)))</f>
        <v/>
      </c>
      <c r="G78" s="29" t="str">
        <f>IF(A78="","",SUMIFS(Detalle_Pagos!$I$5:$I$2004,Detalle_Pagos!$E$5:$E$2004,A78,Detalle_Pagos!$J$5:$J$2004,"Si"))</f>
        <v/>
      </c>
      <c r="H78" t="str">
        <f>IF(A78="","",COUNTIFS(Detalle_Pagos!$E$5:$E$2004,A78,Detalle_Pagos!$J$5:$J$2004,"Si"))</f>
        <v/>
      </c>
    </row>
    <row r="79" spans="1:8" x14ac:dyDescent="0.3">
      <c r="A79" t="str">
        <f>IF(Trabajadores!B76="","",Trabajadores!B76)</f>
        <v/>
      </c>
      <c r="B79" t="str">
        <f>IF(A79="","",COUNTIFS(Detalle_Pagos!$E$5:$E$2004,A79,Detalle_Pagos!$J$5:$J$2004,"No"))</f>
        <v/>
      </c>
      <c r="C79" s="29" t="str">
        <f>IF(A79="","",SUMIFS(Detalle_Pagos!$I$5:$I$2004,Detalle_Pagos!$E$5:$E$2004,A79,Detalle_Pagos!$J$5:$J$2004,"No"))</f>
        <v/>
      </c>
      <c r="D79" s="29" t="str">
        <f>IF(A79="","",B79*IFERROR(INDEX(Trabajadores!$D$5:$D$204,MATCH(A79,Trabajadores!$B$5:$B$204,0)),0))</f>
        <v/>
      </c>
      <c r="E79" s="29" t="str">
        <f t="shared" si="2"/>
        <v/>
      </c>
      <c r="F79" s="30" t="str">
        <f>IF(A79="","",IF(B79=0,"",LOOKUP(2,1/((Detalle_Pagos!$E$5:$E$2004=A79)*(Detalle_Pagos!$J$5:$J$2004="No")),Detalle_Pagos!$B$5:$B$2004)))</f>
        <v/>
      </c>
      <c r="G79" s="29" t="str">
        <f>IF(A79="","",SUMIFS(Detalle_Pagos!$I$5:$I$2004,Detalle_Pagos!$E$5:$E$2004,A79,Detalle_Pagos!$J$5:$J$2004,"Si"))</f>
        <v/>
      </c>
      <c r="H79" t="str">
        <f>IF(A79="","",COUNTIFS(Detalle_Pagos!$E$5:$E$2004,A79,Detalle_Pagos!$J$5:$J$2004,"Si"))</f>
        <v/>
      </c>
    </row>
    <row r="80" spans="1:8" x14ac:dyDescent="0.3">
      <c r="A80" t="str">
        <f>IF(Trabajadores!B77="","",Trabajadores!B77)</f>
        <v/>
      </c>
      <c r="B80" t="str">
        <f>IF(A80="","",COUNTIFS(Detalle_Pagos!$E$5:$E$2004,A80,Detalle_Pagos!$J$5:$J$2004,"No"))</f>
        <v/>
      </c>
      <c r="C80" s="29" t="str">
        <f>IF(A80="","",SUMIFS(Detalle_Pagos!$I$5:$I$2004,Detalle_Pagos!$E$5:$E$2004,A80,Detalle_Pagos!$J$5:$J$2004,"No"))</f>
        <v/>
      </c>
      <c r="D80" s="29" t="str">
        <f>IF(A80="","",B80*IFERROR(INDEX(Trabajadores!$D$5:$D$204,MATCH(A80,Trabajadores!$B$5:$B$204,0)),0))</f>
        <v/>
      </c>
      <c r="E80" s="29" t="str">
        <f t="shared" si="2"/>
        <v/>
      </c>
      <c r="F80" s="30" t="str">
        <f>IF(A80="","",IF(B80=0,"",LOOKUP(2,1/((Detalle_Pagos!$E$5:$E$2004=A80)*(Detalle_Pagos!$J$5:$J$2004="No")),Detalle_Pagos!$B$5:$B$2004)))</f>
        <v/>
      </c>
      <c r="G80" s="29" t="str">
        <f>IF(A80="","",SUMIFS(Detalle_Pagos!$I$5:$I$2004,Detalle_Pagos!$E$5:$E$2004,A80,Detalle_Pagos!$J$5:$J$2004,"Si"))</f>
        <v/>
      </c>
      <c r="H80" t="str">
        <f>IF(A80="","",COUNTIFS(Detalle_Pagos!$E$5:$E$2004,A80,Detalle_Pagos!$J$5:$J$2004,"Si"))</f>
        <v/>
      </c>
    </row>
    <row r="81" spans="1:8" x14ac:dyDescent="0.3">
      <c r="A81" t="str">
        <f>IF(Trabajadores!B78="","",Trabajadores!B78)</f>
        <v/>
      </c>
      <c r="B81" t="str">
        <f>IF(A81="","",COUNTIFS(Detalle_Pagos!$E$5:$E$2004,A81,Detalle_Pagos!$J$5:$J$2004,"No"))</f>
        <v/>
      </c>
      <c r="C81" s="29" t="str">
        <f>IF(A81="","",SUMIFS(Detalle_Pagos!$I$5:$I$2004,Detalle_Pagos!$E$5:$E$2004,A81,Detalle_Pagos!$J$5:$J$2004,"No"))</f>
        <v/>
      </c>
      <c r="D81" s="29" t="str">
        <f>IF(A81="","",B81*IFERROR(INDEX(Trabajadores!$D$5:$D$204,MATCH(A81,Trabajadores!$B$5:$B$204,0)),0))</f>
        <v/>
      </c>
      <c r="E81" s="29" t="str">
        <f t="shared" si="2"/>
        <v/>
      </c>
      <c r="F81" s="30" t="str">
        <f>IF(A81="","",IF(B81=0,"",LOOKUP(2,1/((Detalle_Pagos!$E$5:$E$2004=A81)*(Detalle_Pagos!$J$5:$J$2004="No")),Detalle_Pagos!$B$5:$B$2004)))</f>
        <v/>
      </c>
      <c r="G81" s="29" t="str">
        <f>IF(A81="","",SUMIFS(Detalle_Pagos!$I$5:$I$2004,Detalle_Pagos!$E$5:$E$2004,A81,Detalle_Pagos!$J$5:$J$2004,"Si"))</f>
        <v/>
      </c>
      <c r="H81" t="str">
        <f>IF(A81="","",COUNTIFS(Detalle_Pagos!$E$5:$E$2004,A81,Detalle_Pagos!$J$5:$J$2004,"Si"))</f>
        <v/>
      </c>
    </row>
    <row r="82" spans="1:8" x14ac:dyDescent="0.3">
      <c r="A82" t="str">
        <f>IF(Trabajadores!B79="","",Trabajadores!B79)</f>
        <v/>
      </c>
      <c r="B82" t="str">
        <f>IF(A82="","",COUNTIFS(Detalle_Pagos!$E$5:$E$2004,A82,Detalle_Pagos!$J$5:$J$2004,"No"))</f>
        <v/>
      </c>
      <c r="C82" s="29" t="str">
        <f>IF(A82="","",SUMIFS(Detalle_Pagos!$I$5:$I$2004,Detalle_Pagos!$E$5:$E$2004,A82,Detalle_Pagos!$J$5:$J$2004,"No"))</f>
        <v/>
      </c>
      <c r="D82" s="29" t="str">
        <f>IF(A82="","",B82*IFERROR(INDEX(Trabajadores!$D$5:$D$204,MATCH(A82,Trabajadores!$B$5:$B$204,0)),0))</f>
        <v/>
      </c>
      <c r="E82" s="29" t="str">
        <f t="shared" si="2"/>
        <v/>
      </c>
      <c r="F82" s="30" t="str">
        <f>IF(A82="","",IF(B82=0,"",LOOKUP(2,1/((Detalle_Pagos!$E$5:$E$2004=A82)*(Detalle_Pagos!$J$5:$J$2004="No")),Detalle_Pagos!$B$5:$B$2004)))</f>
        <v/>
      </c>
      <c r="G82" s="29" t="str">
        <f>IF(A82="","",SUMIFS(Detalle_Pagos!$I$5:$I$2004,Detalle_Pagos!$E$5:$E$2004,A82,Detalle_Pagos!$J$5:$J$2004,"Si"))</f>
        <v/>
      </c>
      <c r="H82" t="str">
        <f>IF(A82="","",COUNTIFS(Detalle_Pagos!$E$5:$E$2004,A82,Detalle_Pagos!$J$5:$J$2004,"Si"))</f>
        <v/>
      </c>
    </row>
    <row r="83" spans="1:8" x14ac:dyDescent="0.3">
      <c r="A83" t="str">
        <f>IF(Trabajadores!B80="","",Trabajadores!B80)</f>
        <v/>
      </c>
      <c r="B83" t="str">
        <f>IF(A83="","",COUNTIFS(Detalle_Pagos!$E$5:$E$2004,A83,Detalle_Pagos!$J$5:$J$2004,"No"))</f>
        <v/>
      </c>
      <c r="C83" s="29" t="str">
        <f>IF(A83="","",SUMIFS(Detalle_Pagos!$I$5:$I$2004,Detalle_Pagos!$E$5:$E$2004,A83,Detalle_Pagos!$J$5:$J$2004,"No"))</f>
        <v/>
      </c>
      <c r="D83" s="29" t="str">
        <f>IF(A83="","",B83*IFERROR(INDEX(Trabajadores!$D$5:$D$204,MATCH(A83,Trabajadores!$B$5:$B$204,0)),0))</f>
        <v/>
      </c>
      <c r="E83" s="29" t="str">
        <f t="shared" si="2"/>
        <v/>
      </c>
      <c r="F83" s="30" t="str">
        <f>IF(A83="","",IF(B83=0,"",LOOKUP(2,1/((Detalle_Pagos!$E$5:$E$2004=A83)*(Detalle_Pagos!$J$5:$J$2004="No")),Detalle_Pagos!$B$5:$B$2004)))</f>
        <v/>
      </c>
      <c r="G83" s="29" t="str">
        <f>IF(A83="","",SUMIFS(Detalle_Pagos!$I$5:$I$2004,Detalle_Pagos!$E$5:$E$2004,A83,Detalle_Pagos!$J$5:$J$2004,"Si"))</f>
        <v/>
      </c>
      <c r="H83" t="str">
        <f>IF(A83="","",COUNTIFS(Detalle_Pagos!$E$5:$E$2004,A83,Detalle_Pagos!$J$5:$J$2004,"Si"))</f>
        <v/>
      </c>
    </row>
    <row r="84" spans="1:8" x14ac:dyDescent="0.3">
      <c r="A84" t="str">
        <f>IF(Trabajadores!B81="","",Trabajadores!B81)</f>
        <v/>
      </c>
      <c r="B84" t="str">
        <f>IF(A84="","",COUNTIFS(Detalle_Pagos!$E$5:$E$2004,A84,Detalle_Pagos!$J$5:$J$2004,"No"))</f>
        <v/>
      </c>
      <c r="C84" s="29" t="str">
        <f>IF(A84="","",SUMIFS(Detalle_Pagos!$I$5:$I$2004,Detalle_Pagos!$E$5:$E$2004,A84,Detalle_Pagos!$J$5:$J$2004,"No"))</f>
        <v/>
      </c>
      <c r="D84" s="29" t="str">
        <f>IF(A84="","",B84*IFERROR(INDEX(Trabajadores!$D$5:$D$204,MATCH(A84,Trabajadores!$B$5:$B$204,0)),0))</f>
        <v/>
      </c>
      <c r="E84" s="29" t="str">
        <f t="shared" si="2"/>
        <v/>
      </c>
      <c r="F84" s="30" t="str">
        <f>IF(A84="","",IF(B84=0,"",LOOKUP(2,1/((Detalle_Pagos!$E$5:$E$2004=A84)*(Detalle_Pagos!$J$5:$J$2004="No")),Detalle_Pagos!$B$5:$B$2004)))</f>
        <v/>
      </c>
      <c r="G84" s="29" t="str">
        <f>IF(A84="","",SUMIFS(Detalle_Pagos!$I$5:$I$2004,Detalle_Pagos!$E$5:$E$2004,A84,Detalle_Pagos!$J$5:$J$2004,"Si"))</f>
        <v/>
      </c>
      <c r="H84" t="str">
        <f>IF(A84="","",COUNTIFS(Detalle_Pagos!$E$5:$E$2004,A84,Detalle_Pagos!$J$5:$J$2004,"Si"))</f>
        <v/>
      </c>
    </row>
    <row r="85" spans="1:8" x14ac:dyDescent="0.3">
      <c r="A85" t="str">
        <f>IF(Trabajadores!B82="","",Trabajadores!B82)</f>
        <v/>
      </c>
      <c r="B85" t="str">
        <f>IF(A85="","",COUNTIFS(Detalle_Pagos!$E$5:$E$2004,A85,Detalle_Pagos!$J$5:$J$2004,"No"))</f>
        <v/>
      </c>
      <c r="C85" s="29" t="str">
        <f>IF(A85="","",SUMIFS(Detalle_Pagos!$I$5:$I$2004,Detalle_Pagos!$E$5:$E$2004,A85,Detalle_Pagos!$J$5:$J$2004,"No"))</f>
        <v/>
      </c>
      <c r="D85" s="29" t="str">
        <f>IF(A85="","",B85*IFERROR(INDEX(Trabajadores!$D$5:$D$204,MATCH(A85,Trabajadores!$B$5:$B$204,0)),0))</f>
        <v/>
      </c>
      <c r="E85" s="29" t="str">
        <f t="shared" si="2"/>
        <v/>
      </c>
      <c r="F85" s="30" t="str">
        <f>IF(A85="","",IF(B85=0,"",LOOKUP(2,1/((Detalle_Pagos!$E$5:$E$2004=A85)*(Detalle_Pagos!$J$5:$J$2004="No")),Detalle_Pagos!$B$5:$B$2004)))</f>
        <v/>
      </c>
      <c r="G85" s="29" t="str">
        <f>IF(A85="","",SUMIFS(Detalle_Pagos!$I$5:$I$2004,Detalle_Pagos!$E$5:$E$2004,A85,Detalle_Pagos!$J$5:$J$2004,"Si"))</f>
        <v/>
      </c>
      <c r="H85" t="str">
        <f>IF(A85="","",COUNTIFS(Detalle_Pagos!$E$5:$E$2004,A85,Detalle_Pagos!$J$5:$J$2004,"Si"))</f>
        <v/>
      </c>
    </row>
    <row r="86" spans="1:8" x14ac:dyDescent="0.3">
      <c r="A86" t="str">
        <f>IF(Trabajadores!B83="","",Trabajadores!B83)</f>
        <v/>
      </c>
      <c r="B86" t="str">
        <f>IF(A86="","",COUNTIFS(Detalle_Pagos!$E$5:$E$2004,A86,Detalle_Pagos!$J$5:$J$2004,"No"))</f>
        <v/>
      </c>
      <c r="C86" s="29" t="str">
        <f>IF(A86="","",SUMIFS(Detalle_Pagos!$I$5:$I$2004,Detalle_Pagos!$E$5:$E$2004,A86,Detalle_Pagos!$J$5:$J$2004,"No"))</f>
        <v/>
      </c>
      <c r="D86" s="29" t="str">
        <f>IF(A86="","",B86*IFERROR(INDEX(Trabajadores!$D$5:$D$204,MATCH(A86,Trabajadores!$B$5:$B$204,0)),0))</f>
        <v/>
      </c>
      <c r="E86" s="29" t="str">
        <f t="shared" si="2"/>
        <v/>
      </c>
      <c r="F86" s="30" t="str">
        <f>IF(A86="","",IF(B86=0,"",LOOKUP(2,1/((Detalle_Pagos!$E$5:$E$2004=A86)*(Detalle_Pagos!$J$5:$J$2004="No")),Detalle_Pagos!$B$5:$B$2004)))</f>
        <v/>
      </c>
      <c r="G86" s="29" t="str">
        <f>IF(A86="","",SUMIFS(Detalle_Pagos!$I$5:$I$2004,Detalle_Pagos!$E$5:$E$2004,A86,Detalle_Pagos!$J$5:$J$2004,"Si"))</f>
        <v/>
      </c>
      <c r="H86" t="str">
        <f>IF(A86="","",COUNTIFS(Detalle_Pagos!$E$5:$E$2004,A86,Detalle_Pagos!$J$5:$J$2004,"Si"))</f>
        <v/>
      </c>
    </row>
    <row r="87" spans="1:8" x14ac:dyDescent="0.3">
      <c r="A87" t="str">
        <f>IF(Trabajadores!B84="","",Trabajadores!B84)</f>
        <v/>
      </c>
      <c r="B87" t="str">
        <f>IF(A87="","",COUNTIFS(Detalle_Pagos!$E$5:$E$2004,A87,Detalle_Pagos!$J$5:$J$2004,"No"))</f>
        <v/>
      </c>
      <c r="C87" s="29" t="str">
        <f>IF(A87="","",SUMIFS(Detalle_Pagos!$I$5:$I$2004,Detalle_Pagos!$E$5:$E$2004,A87,Detalle_Pagos!$J$5:$J$2004,"No"))</f>
        <v/>
      </c>
      <c r="D87" s="29" t="str">
        <f>IF(A87="","",B87*IFERROR(INDEX(Trabajadores!$D$5:$D$204,MATCH(A87,Trabajadores!$B$5:$B$204,0)),0))</f>
        <v/>
      </c>
      <c r="E87" s="29" t="str">
        <f t="shared" si="2"/>
        <v/>
      </c>
      <c r="F87" s="30" t="str">
        <f>IF(A87="","",IF(B87=0,"",LOOKUP(2,1/((Detalle_Pagos!$E$5:$E$2004=A87)*(Detalle_Pagos!$J$5:$J$2004="No")),Detalle_Pagos!$B$5:$B$2004)))</f>
        <v/>
      </c>
      <c r="G87" s="29" t="str">
        <f>IF(A87="","",SUMIFS(Detalle_Pagos!$I$5:$I$2004,Detalle_Pagos!$E$5:$E$2004,A87,Detalle_Pagos!$J$5:$J$2004,"Si"))</f>
        <v/>
      </c>
      <c r="H87" t="str">
        <f>IF(A87="","",COUNTIFS(Detalle_Pagos!$E$5:$E$2004,A87,Detalle_Pagos!$J$5:$J$2004,"Si"))</f>
        <v/>
      </c>
    </row>
    <row r="88" spans="1:8" x14ac:dyDescent="0.3">
      <c r="A88" t="str">
        <f>IF(Trabajadores!B85="","",Trabajadores!B85)</f>
        <v/>
      </c>
      <c r="B88" t="str">
        <f>IF(A88="","",COUNTIFS(Detalle_Pagos!$E$5:$E$2004,A88,Detalle_Pagos!$J$5:$J$2004,"No"))</f>
        <v/>
      </c>
      <c r="C88" s="29" t="str">
        <f>IF(A88="","",SUMIFS(Detalle_Pagos!$I$5:$I$2004,Detalle_Pagos!$E$5:$E$2004,A88,Detalle_Pagos!$J$5:$J$2004,"No"))</f>
        <v/>
      </c>
      <c r="D88" s="29" t="str">
        <f>IF(A88="","",B88*IFERROR(INDEX(Trabajadores!$D$5:$D$204,MATCH(A88,Trabajadores!$B$5:$B$204,0)),0))</f>
        <v/>
      </c>
      <c r="E88" s="29" t="str">
        <f t="shared" si="2"/>
        <v/>
      </c>
      <c r="F88" s="30" t="str">
        <f>IF(A88="","",IF(B88=0,"",LOOKUP(2,1/((Detalle_Pagos!$E$5:$E$2004=A88)*(Detalle_Pagos!$J$5:$J$2004="No")),Detalle_Pagos!$B$5:$B$2004)))</f>
        <v/>
      </c>
      <c r="G88" s="29" t="str">
        <f>IF(A88="","",SUMIFS(Detalle_Pagos!$I$5:$I$2004,Detalle_Pagos!$E$5:$E$2004,A88,Detalle_Pagos!$J$5:$J$2004,"Si"))</f>
        <v/>
      </c>
      <c r="H88" t="str">
        <f>IF(A88="","",COUNTIFS(Detalle_Pagos!$E$5:$E$2004,A88,Detalle_Pagos!$J$5:$J$2004,"Si"))</f>
        <v/>
      </c>
    </row>
    <row r="89" spans="1:8" x14ac:dyDescent="0.3">
      <c r="A89" t="str">
        <f>IF(Trabajadores!B86="","",Trabajadores!B86)</f>
        <v/>
      </c>
      <c r="B89" t="str">
        <f>IF(A89="","",COUNTIFS(Detalle_Pagos!$E$5:$E$2004,A89,Detalle_Pagos!$J$5:$J$2004,"No"))</f>
        <v/>
      </c>
      <c r="C89" s="29" t="str">
        <f>IF(A89="","",SUMIFS(Detalle_Pagos!$I$5:$I$2004,Detalle_Pagos!$E$5:$E$2004,A89,Detalle_Pagos!$J$5:$J$2004,"No"))</f>
        <v/>
      </c>
      <c r="D89" s="29" t="str">
        <f>IF(A89="","",B89*IFERROR(INDEX(Trabajadores!$D$5:$D$204,MATCH(A89,Trabajadores!$B$5:$B$204,0)),0))</f>
        <v/>
      </c>
      <c r="E89" s="29" t="str">
        <f t="shared" si="2"/>
        <v/>
      </c>
      <c r="F89" s="30" t="str">
        <f>IF(A89="","",IF(B89=0,"",LOOKUP(2,1/((Detalle_Pagos!$E$5:$E$2004=A89)*(Detalle_Pagos!$J$5:$J$2004="No")),Detalle_Pagos!$B$5:$B$2004)))</f>
        <v/>
      </c>
      <c r="G89" s="29" t="str">
        <f>IF(A89="","",SUMIFS(Detalle_Pagos!$I$5:$I$2004,Detalle_Pagos!$E$5:$E$2004,A89,Detalle_Pagos!$J$5:$J$2004,"Si"))</f>
        <v/>
      </c>
      <c r="H89" t="str">
        <f>IF(A89="","",COUNTIFS(Detalle_Pagos!$E$5:$E$2004,A89,Detalle_Pagos!$J$5:$J$2004,"Si"))</f>
        <v/>
      </c>
    </row>
    <row r="90" spans="1:8" x14ac:dyDescent="0.3">
      <c r="A90" t="str">
        <f>IF(Trabajadores!B87="","",Trabajadores!B87)</f>
        <v/>
      </c>
      <c r="B90" t="str">
        <f>IF(A90="","",COUNTIFS(Detalle_Pagos!$E$5:$E$2004,A90,Detalle_Pagos!$J$5:$J$2004,"No"))</f>
        <v/>
      </c>
      <c r="C90" s="29" t="str">
        <f>IF(A90="","",SUMIFS(Detalle_Pagos!$I$5:$I$2004,Detalle_Pagos!$E$5:$E$2004,A90,Detalle_Pagos!$J$5:$J$2004,"No"))</f>
        <v/>
      </c>
      <c r="D90" s="29" t="str">
        <f>IF(A90="","",B90*IFERROR(INDEX(Trabajadores!$D$5:$D$204,MATCH(A90,Trabajadores!$B$5:$B$204,0)),0))</f>
        <v/>
      </c>
      <c r="E90" s="29" t="str">
        <f t="shared" si="2"/>
        <v/>
      </c>
      <c r="F90" s="30" t="str">
        <f>IF(A90="","",IF(B90=0,"",LOOKUP(2,1/((Detalle_Pagos!$E$5:$E$2004=A90)*(Detalle_Pagos!$J$5:$J$2004="No")),Detalle_Pagos!$B$5:$B$2004)))</f>
        <v/>
      </c>
      <c r="G90" s="29" t="str">
        <f>IF(A90="","",SUMIFS(Detalle_Pagos!$I$5:$I$2004,Detalle_Pagos!$E$5:$E$2004,A90,Detalle_Pagos!$J$5:$J$2004,"Si"))</f>
        <v/>
      </c>
      <c r="H90" t="str">
        <f>IF(A90="","",COUNTIFS(Detalle_Pagos!$E$5:$E$2004,A90,Detalle_Pagos!$J$5:$J$2004,"Si"))</f>
        <v/>
      </c>
    </row>
    <row r="91" spans="1:8" x14ac:dyDescent="0.3">
      <c r="A91" t="str">
        <f>IF(Trabajadores!B88="","",Trabajadores!B88)</f>
        <v/>
      </c>
      <c r="B91" t="str">
        <f>IF(A91="","",COUNTIFS(Detalle_Pagos!$E$5:$E$2004,A91,Detalle_Pagos!$J$5:$J$2004,"No"))</f>
        <v/>
      </c>
      <c r="C91" s="29" t="str">
        <f>IF(A91="","",SUMIFS(Detalle_Pagos!$I$5:$I$2004,Detalle_Pagos!$E$5:$E$2004,A91,Detalle_Pagos!$J$5:$J$2004,"No"))</f>
        <v/>
      </c>
      <c r="D91" s="29" t="str">
        <f>IF(A91="","",B91*IFERROR(INDEX(Trabajadores!$D$5:$D$204,MATCH(A91,Trabajadores!$B$5:$B$204,0)),0))</f>
        <v/>
      </c>
      <c r="E91" s="29" t="str">
        <f t="shared" si="2"/>
        <v/>
      </c>
      <c r="F91" s="30" t="str">
        <f>IF(A91="","",IF(B91=0,"",LOOKUP(2,1/((Detalle_Pagos!$E$5:$E$2004=A91)*(Detalle_Pagos!$J$5:$J$2004="No")),Detalle_Pagos!$B$5:$B$2004)))</f>
        <v/>
      </c>
      <c r="G91" s="29" t="str">
        <f>IF(A91="","",SUMIFS(Detalle_Pagos!$I$5:$I$2004,Detalle_Pagos!$E$5:$E$2004,A91,Detalle_Pagos!$J$5:$J$2004,"Si"))</f>
        <v/>
      </c>
      <c r="H91" t="str">
        <f>IF(A91="","",COUNTIFS(Detalle_Pagos!$E$5:$E$2004,A91,Detalle_Pagos!$J$5:$J$2004,"Si"))</f>
        <v/>
      </c>
    </row>
    <row r="92" spans="1:8" x14ac:dyDescent="0.3">
      <c r="A92" t="str">
        <f>IF(Trabajadores!B89="","",Trabajadores!B89)</f>
        <v/>
      </c>
      <c r="B92" t="str">
        <f>IF(A92="","",COUNTIFS(Detalle_Pagos!$E$5:$E$2004,A92,Detalle_Pagos!$J$5:$J$2004,"No"))</f>
        <v/>
      </c>
      <c r="C92" s="29" t="str">
        <f>IF(A92="","",SUMIFS(Detalle_Pagos!$I$5:$I$2004,Detalle_Pagos!$E$5:$E$2004,A92,Detalle_Pagos!$J$5:$J$2004,"No"))</f>
        <v/>
      </c>
      <c r="D92" s="29" t="str">
        <f>IF(A92="","",B92*IFERROR(INDEX(Trabajadores!$D$5:$D$204,MATCH(A92,Trabajadores!$B$5:$B$204,0)),0))</f>
        <v/>
      </c>
      <c r="E92" s="29" t="str">
        <f t="shared" si="2"/>
        <v/>
      </c>
      <c r="F92" s="30" t="str">
        <f>IF(A92="","",IF(B92=0,"",LOOKUP(2,1/((Detalle_Pagos!$E$5:$E$2004=A92)*(Detalle_Pagos!$J$5:$J$2004="No")),Detalle_Pagos!$B$5:$B$2004)))</f>
        <v/>
      </c>
      <c r="G92" s="29" t="str">
        <f>IF(A92="","",SUMIFS(Detalle_Pagos!$I$5:$I$2004,Detalle_Pagos!$E$5:$E$2004,A92,Detalle_Pagos!$J$5:$J$2004,"Si"))</f>
        <v/>
      </c>
      <c r="H92" t="str">
        <f>IF(A92="","",COUNTIFS(Detalle_Pagos!$E$5:$E$2004,A92,Detalle_Pagos!$J$5:$J$2004,"Si"))</f>
        <v/>
      </c>
    </row>
    <row r="93" spans="1:8" x14ac:dyDescent="0.3">
      <c r="A93" t="str">
        <f>IF(Trabajadores!B90="","",Trabajadores!B90)</f>
        <v/>
      </c>
      <c r="B93" t="str">
        <f>IF(A93="","",COUNTIFS(Detalle_Pagos!$E$5:$E$2004,A93,Detalle_Pagos!$J$5:$J$2004,"No"))</f>
        <v/>
      </c>
      <c r="C93" s="29" t="str">
        <f>IF(A93="","",SUMIFS(Detalle_Pagos!$I$5:$I$2004,Detalle_Pagos!$E$5:$E$2004,A93,Detalle_Pagos!$J$5:$J$2004,"No"))</f>
        <v/>
      </c>
      <c r="D93" s="29" t="str">
        <f>IF(A93="","",B93*IFERROR(INDEX(Trabajadores!$D$5:$D$204,MATCH(A93,Trabajadores!$B$5:$B$204,0)),0))</f>
        <v/>
      </c>
      <c r="E93" s="29" t="str">
        <f t="shared" si="2"/>
        <v/>
      </c>
      <c r="F93" s="30" t="str">
        <f>IF(A93="","",IF(B93=0,"",LOOKUP(2,1/((Detalle_Pagos!$E$5:$E$2004=A93)*(Detalle_Pagos!$J$5:$J$2004="No")),Detalle_Pagos!$B$5:$B$2004)))</f>
        <v/>
      </c>
      <c r="G93" s="29" t="str">
        <f>IF(A93="","",SUMIFS(Detalle_Pagos!$I$5:$I$2004,Detalle_Pagos!$E$5:$E$2004,A93,Detalle_Pagos!$J$5:$J$2004,"Si"))</f>
        <v/>
      </c>
      <c r="H93" t="str">
        <f>IF(A93="","",COUNTIFS(Detalle_Pagos!$E$5:$E$2004,A93,Detalle_Pagos!$J$5:$J$2004,"Si"))</f>
        <v/>
      </c>
    </row>
    <row r="94" spans="1:8" x14ac:dyDescent="0.3">
      <c r="A94" t="str">
        <f>IF(Trabajadores!B91="","",Trabajadores!B91)</f>
        <v/>
      </c>
      <c r="B94" t="str">
        <f>IF(A94="","",COUNTIFS(Detalle_Pagos!$E$5:$E$2004,A94,Detalle_Pagos!$J$5:$J$2004,"No"))</f>
        <v/>
      </c>
      <c r="C94" s="29" t="str">
        <f>IF(A94="","",SUMIFS(Detalle_Pagos!$I$5:$I$2004,Detalle_Pagos!$E$5:$E$2004,A94,Detalle_Pagos!$J$5:$J$2004,"No"))</f>
        <v/>
      </c>
      <c r="D94" s="29" t="str">
        <f>IF(A94="","",B94*IFERROR(INDEX(Trabajadores!$D$5:$D$204,MATCH(A94,Trabajadores!$B$5:$B$204,0)),0))</f>
        <v/>
      </c>
      <c r="E94" s="29" t="str">
        <f t="shared" si="2"/>
        <v/>
      </c>
      <c r="F94" s="30" t="str">
        <f>IF(A94="","",IF(B94=0,"",LOOKUP(2,1/((Detalle_Pagos!$E$5:$E$2004=A94)*(Detalle_Pagos!$J$5:$J$2004="No")),Detalle_Pagos!$B$5:$B$2004)))</f>
        <v/>
      </c>
      <c r="G94" s="29" t="str">
        <f>IF(A94="","",SUMIFS(Detalle_Pagos!$I$5:$I$2004,Detalle_Pagos!$E$5:$E$2004,A94,Detalle_Pagos!$J$5:$J$2004,"Si"))</f>
        <v/>
      </c>
      <c r="H94" t="str">
        <f>IF(A94="","",COUNTIFS(Detalle_Pagos!$E$5:$E$2004,A94,Detalle_Pagos!$J$5:$J$2004,"Si"))</f>
        <v/>
      </c>
    </row>
    <row r="95" spans="1:8" x14ac:dyDescent="0.3">
      <c r="A95" t="str">
        <f>IF(Trabajadores!B92="","",Trabajadores!B92)</f>
        <v/>
      </c>
      <c r="B95" t="str">
        <f>IF(A95="","",COUNTIFS(Detalle_Pagos!$E$5:$E$2004,A95,Detalle_Pagos!$J$5:$J$2004,"No"))</f>
        <v/>
      </c>
      <c r="C95" s="29" t="str">
        <f>IF(A95="","",SUMIFS(Detalle_Pagos!$I$5:$I$2004,Detalle_Pagos!$E$5:$E$2004,A95,Detalle_Pagos!$J$5:$J$2004,"No"))</f>
        <v/>
      </c>
      <c r="D95" s="29" t="str">
        <f>IF(A95="","",B95*IFERROR(INDEX(Trabajadores!$D$5:$D$204,MATCH(A95,Trabajadores!$B$5:$B$204,0)),0))</f>
        <v/>
      </c>
      <c r="E95" s="29" t="str">
        <f t="shared" si="2"/>
        <v/>
      </c>
      <c r="F95" s="30" t="str">
        <f>IF(A95="","",IF(B95=0,"",LOOKUP(2,1/((Detalle_Pagos!$E$5:$E$2004=A95)*(Detalle_Pagos!$J$5:$J$2004="No")),Detalle_Pagos!$B$5:$B$2004)))</f>
        <v/>
      </c>
      <c r="G95" s="29" t="str">
        <f>IF(A95="","",SUMIFS(Detalle_Pagos!$I$5:$I$2004,Detalle_Pagos!$E$5:$E$2004,A95,Detalle_Pagos!$J$5:$J$2004,"Si"))</f>
        <v/>
      </c>
      <c r="H95" t="str">
        <f>IF(A95="","",COUNTIFS(Detalle_Pagos!$E$5:$E$2004,A95,Detalle_Pagos!$J$5:$J$2004,"Si"))</f>
        <v/>
      </c>
    </row>
    <row r="96" spans="1:8" x14ac:dyDescent="0.3">
      <c r="A96" t="str">
        <f>IF(Trabajadores!B93="","",Trabajadores!B93)</f>
        <v/>
      </c>
      <c r="B96" t="str">
        <f>IF(A96="","",COUNTIFS(Detalle_Pagos!$E$5:$E$2004,A96,Detalle_Pagos!$J$5:$J$2004,"No"))</f>
        <v/>
      </c>
      <c r="C96" s="29" t="str">
        <f>IF(A96="","",SUMIFS(Detalle_Pagos!$I$5:$I$2004,Detalle_Pagos!$E$5:$E$2004,A96,Detalle_Pagos!$J$5:$J$2004,"No"))</f>
        <v/>
      </c>
      <c r="D96" s="29" t="str">
        <f>IF(A96="","",B96*IFERROR(INDEX(Trabajadores!$D$5:$D$204,MATCH(A96,Trabajadores!$B$5:$B$204,0)),0))</f>
        <v/>
      </c>
      <c r="E96" s="29" t="str">
        <f t="shared" si="2"/>
        <v/>
      </c>
      <c r="F96" s="30" t="str">
        <f>IF(A96="","",IF(B96=0,"",LOOKUP(2,1/((Detalle_Pagos!$E$5:$E$2004=A96)*(Detalle_Pagos!$J$5:$J$2004="No")),Detalle_Pagos!$B$5:$B$2004)))</f>
        <v/>
      </c>
      <c r="G96" s="29" t="str">
        <f>IF(A96="","",SUMIFS(Detalle_Pagos!$I$5:$I$2004,Detalle_Pagos!$E$5:$E$2004,A96,Detalle_Pagos!$J$5:$J$2004,"Si"))</f>
        <v/>
      </c>
      <c r="H96" t="str">
        <f>IF(A96="","",COUNTIFS(Detalle_Pagos!$E$5:$E$2004,A96,Detalle_Pagos!$J$5:$J$2004,"Si"))</f>
        <v/>
      </c>
    </row>
    <row r="97" spans="1:8" x14ac:dyDescent="0.3">
      <c r="A97" t="str">
        <f>IF(Trabajadores!B94="","",Trabajadores!B94)</f>
        <v/>
      </c>
      <c r="B97" t="str">
        <f>IF(A97="","",COUNTIFS(Detalle_Pagos!$E$5:$E$2004,A97,Detalle_Pagos!$J$5:$J$2004,"No"))</f>
        <v/>
      </c>
      <c r="C97" s="29" t="str">
        <f>IF(A97="","",SUMIFS(Detalle_Pagos!$I$5:$I$2004,Detalle_Pagos!$E$5:$E$2004,A97,Detalle_Pagos!$J$5:$J$2004,"No"))</f>
        <v/>
      </c>
      <c r="D97" s="29" t="str">
        <f>IF(A97="","",B97*IFERROR(INDEX(Trabajadores!$D$5:$D$204,MATCH(A97,Trabajadores!$B$5:$B$204,0)),0))</f>
        <v/>
      </c>
      <c r="E97" s="29" t="str">
        <f t="shared" si="2"/>
        <v/>
      </c>
      <c r="F97" s="30" t="str">
        <f>IF(A97="","",IF(B97=0,"",LOOKUP(2,1/((Detalle_Pagos!$E$5:$E$2004=A97)*(Detalle_Pagos!$J$5:$J$2004="No")),Detalle_Pagos!$B$5:$B$2004)))</f>
        <v/>
      </c>
      <c r="G97" s="29" t="str">
        <f>IF(A97="","",SUMIFS(Detalle_Pagos!$I$5:$I$2004,Detalle_Pagos!$E$5:$E$2004,A97,Detalle_Pagos!$J$5:$J$2004,"Si"))</f>
        <v/>
      </c>
      <c r="H97" t="str">
        <f>IF(A97="","",COUNTIFS(Detalle_Pagos!$E$5:$E$2004,A97,Detalle_Pagos!$J$5:$J$2004,"Si"))</f>
        <v/>
      </c>
    </row>
    <row r="98" spans="1:8" x14ac:dyDescent="0.3">
      <c r="A98" t="str">
        <f>IF(Trabajadores!B95="","",Trabajadores!B95)</f>
        <v/>
      </c>
      <c r="B98" t="str">
        <f>IF(A98="","",COUNTIFS(Detalle_Pagos!$E$5:$E$2004,A98,Detalle_Pagos!$J$5:$J$2004,"No"))</f>
        <v/>
      </c>
      <c r="C98" s="29" t="str">
        <f>IF(A98="","",SUMIFS(Detalle_Pagos!$I$5:$I$2004,Detalle_Pagos!$E$5:$E$2004,A98,Detalle_Pagos!$J$5:$J$2004,"No"))</f>
        <v/>
      </c>
      <c r="D98" s="29" t="str">
        <f>IF(A98="","",B98*IFERROR(INDEX(Trabajadores!$D$5:$D$204,MATCH(A98,Trabajadores!$B$5:$B$204,0)),0))</f>
        <v/>
      </c>
      <c r="E98" s="29" t="str">
        <f t="shared" si="2"/>
        <v/>
      </c>
      <c r="F98" s="30" t="str">
        <f>IF(A98="","",IF(B98=0,"",LOOKUP(2,1/((Detalle_Pagos!$E$5:$E$2004=A98)*(Detalle_Pagos!$J$5:$J$2004="No")),Detalle_Pagos!$B$5:$B$2004)))</f>
        <v/>
      </c>
      <c r="G98" s="29" t="str">
        <f>IF(A98="","",SUMIFS(Detalle_Pagos!$I$5:$I$2004,Detalle_Pagos!$E$5:$E$2004,A98,Detalle_Pagos!$J$5:$J$2004,"Si"))</f>
        <v/>
      </c>
      <c r="H98" t="str">
        <f>IF(A98="","",COUNTIFS(Detalle_Pagos!$E$5:$E$2004,A98,Detalle_Pagos!$J$5:$J$2004,"Si"))</f>
        <v/>
      </c>
    </row>
    <row r="99" spans="1:8" x14ac:dyDescent="0.3">
      <c r="A99" t="str">
        <f>IF(Trabajadores!B96="","",Trabajadores!B96)</f>
        <v/>
      </c>
      <c r="B99" t="str">
        <f>IF(A99="","",COUNTIFS(Detalle_Pagos!$E$5:$E$2004,A99,Detalle_Pagos!$J$5:$J$2004,"No"))</f>
        <v/>
      </c>
      <c r="C99" s="29" t="str">
        <f>IF(A99="","",SUMIFS(Detalle_Pagos!$I$5:$I$2004,Detalle_Pagos!$E$5:$E$2004,A99,Detalle_Pagos!$J$5:$J$2004,"No"))</f>
        <v/>
      </c>
      <c r="D99" s="29" t="str">
        <f>IF(A99="","",B99*IFERROR(INDEX(Trabajadores!$D$5:$D$204,MATCH(A99,Trabajadores!$B$5:$B$204,0)),0))</f>
        <v/>
      </c>
      <c r="E99" s="29" t="str">
        <f t="shared" si="2"/>
        <v/>
      </c>
      <c r="F99" s="30" t="str">
        <f>IF(A99="","",IF(B99=0,"",LOOKUP(2,1/((Detalle_Pagos!$E$5:$E$2004=A99)*(Detalle_Pagos!$J$5:$J$2004="No")),Detalle_Pagos!$B$5:$B$2004)))</f>
        <v/>
      </c>
      <c r="G99" s="29" t="str">
        <f>IF(A99="","",SUMIFS(Detalle_Pagos!$I$5:$I$2004,Detalle_Pagos!$E$5:$E$2004,A99,Detalle_Pagos!$J$5:$J$2004,"Si"))</f>
        <v/>
      </c>
      <c r="H99" t="str">
        <f>IF(A99="","",COUNTIFS(Detalle_Pagos!$E$5:$E$2004,A99,Detalle_Pagos!$J$5:$J$2004,"Si"))</f>
        <v/>
      </c>
    </row>
    <row r="100" spans="1:8" x14ac:dyDescent="0.3">
      <c r="A100" t="str">
        <f>IF(Trabajadores!B97="","",Trabajadores!B97)</f>
        <v/>
      </c>
      <c r="B100" t="str">
        <f>IF(A100="","",COUNTIFS(Detalle_Pagos!$E$5:$E$2004,A100,Detalle_Pagos!$J$5:$J$2004,"No"))</f>
        <v/>
      </c>
      <c r="C100" s="29" t="str">
        <f>IF(A100="","",SUMIFS(Detalle_Pagos!$I$5:$I$2004,Detalle_Pagos!$E$5:$E$2004,A100,Detalle_Pagos!$J$5:$J$2004,"No"))</f>
        <v/>
      </c>
      <c r="D100" s="29" t="str">
        <f>IF(A100="","",B100*IFERROR(INDEX(Trabajadores!$D$5:$D$204,MATCH(A100,Trabajadores!$B$5:$B$204,0)),0))</f>
        <v/>
      </c>
      <c r="E100" s="29" t="str">
        <f t="shared" si="2"/>
        <v/>
      </c>
      <c r="F100" s="30" t="str">
        <f>IF(A100="","",IF(B100=0,"",LOOKUP(2,1/((Detalle_Pagos!$E$5:$E$2004=A100)*(Detalle_Pagos!$J$5:$J$2004="No")),Detalle_Pagos!$B$5:$B$2004)))</f>
        <v/>
      </c>
      <c r="G100" s="29" t="str">
        <f>IF(A100="","",SUMIFS(Detalle_Pagos!$I$5:$I$2004,Detalle_Pagos!$E$5:$E$2004,A100,Detalle_Pagos!$J$5:$J$2004,"Si"))</f>
        <v/>
      </c>
      <c r="H100" t="str">
        <f>IF(A100="","",COUNTIFS(Detalle_Pagos!$E$5:$E$2004,A100,Detalle_Pagos!$J$5:$J$2004,"Si"))</f>
        <v/>
      </c>
    </row>
    <row r="101" spans="1:8" x14ac:dyDescent="0.3">
      <c r="A101" t="str">
        <f>IF(Trabajadores!B98="","",Trabajadores!B98)</f>
        <v/>
      </c>
      <c r="B101" t="str">
        <f>IF(A101="","",COUNTIFS(Detalle_Pagos!$E$5:$E$2004,A101,Detalle_Pagos!$J$5:$J$2004,"No"))</f>
        <v/>
      </c>
      <c r="C101" s="29" t="str">
        <f>IF(A101="","",SUMIFS(Detalle_Pagos!$I$5:$I$2004,Detalle_Pagos!$E$5:$E$2004,A101,Detalle_Pagos!$J$5:$J$2004,"No"))</f>
        <v/>
      </c>
      <c r="D101" s="29" t="str">
        <f>IF(A101="","",B101*IFERROR(INDEX(Trabajadores!$D$5:$D$204,MATCH(A101,Trabajadores!$B$5:$B$204,0)),0))</f>
        <v/>
      </c>
      <c r="E101" s="29" t="str">
        <f t="shared" si="2"/>
        <v/>
      </c>
      <c r="F101" s="30" t="str">
        <f>IF(A101="","",IF(B101=0,"",LOOKUP(2,1/((Detalle_Pagos!$E$5:$E$2004=A101)*(Detalle_Pagos!$J$5:$J$2004="No")),Detalle_Pagos!$B$5:$B$2004)))</f>
        <v/>
      </c>
      <c r="G101" s="29" t="str">
        <f>IF(A101="","",SUMIFS(Detalle_Pagos!$I$5:$I$2004,Detalle_Pagos!$E$5:$E$2004,A101,Detalle_Pagos!$J$5:$J$2004,"Si"))</f>
        <v/>
      </c>
      <c r="H101" t="str">
        <f>IF(A101="","",COUNTIFS(Detalle_Pagos!$E$5:$E$2004,A101,Detalle_Pagos!$J$5:$J$2004,"Si"))</f>
        <v/>
      </c>
    </row>
    <row r="102" spans="1:8" x14ac:dyDescent="0.3">
      <c r="A102" t="str">
        <f>IF(Trabajadores!B99="","",Trabajadores!B99)</f>
        <v/>
      </c>
      <c r="B102" t="str">
        <f>IF(A102="","",COUNTIFS(Detalle_Pagos!$E$5:$E$2004,A102,Detalle_Pagos!$J$5:$J$2004,"No"))</f>
        <v/>
      </c>
      <c r="C102" s="29" t="str">
        <f>IF(A102="","",SUMIFS(Detalle_Pagos!$I$5:$I$2004,Detalle_Pagos!$E$5:$E$2004,A102,Detalle_Pagos!$J$5:$J$2004,"No"))</f>
        <v/>
      </c>
      <c r="D102" s="29" t="str">
        <f>IF(A102="","",B102*IFERROR(INDEX(Trabajadores!$D$5:$D$204,MATCH(A102,Trabajadores!$B$5:$B$204,0)),0))</f>
        <v/>
      </c>
      <c r="E102" s="29" t="str">
        <f t="shared" si="2"/>
        <v/>
      </c>
      <c r="F102" s="30" t="str">
        <f>IF(A102="","",IF(B102=0,"",LOOKUP(2,1/((Detalle_Pagos!$E$5:$E$2004=A102)*(Detalle_Pagos!$J$5:$J$2004="No")),Detalle_Pagos!$B$5:$B$2004)))</f>
        <v/>
      </c>
      <c r="G102" s="29" t="str">
        <f>IF(A102="","",SUMIFS(Detalle_Pagos!$I$5:$I$2004,Detalle_Pagos!$E$5:$E$2004,A102,Detalle_Pagos!$J$5:$J$2004,"Si"))</f>
        <v/>
      </c>
      <c r="H102" t="str">
        <f>IF(A102="","",COUNTIFS(Detalle_Pagos!$E$5:$E$2004,A102,Detalle_Pagos!$J$5:$J$2004,"Si"))</f>
        <v/>
      </c>
    </row>
    <row r="103" spans="1:8" x14ac:dyDescent="0.3">
      <c r="A103" t="str">
        <f>IF(Trabajadores!B100="","",Trabajadores!B100)</f>
        <v/>
      </c>
      <c r="B103" t="str">
        <f>IF(A103="","",COUNTIFS(Detalle_Pagos!$E$5:$E$2004,A103,Detalle_Pagos!$J$5:$J$2004,"No"))</f>
        <v/>
      </c>
      <c r="C103" s="29" t="str">
        <f>IF(A103="","",SUMIFS(Detalle_Pagos!$I$5:$I$2004,Detalle_Pagos!$E$5:$E$2004,A103,Detalle_Pagos!$J$5:$J$2004,"No"))</f>
        <v/>
      </c>
      <c r="D103" s="29" t="str">
        <f>IF(A103="","",B103*IFERROR(INDEX(Trabajadores!$D$5:$D$204,MATCH(A103,Trabajadores!$B$5:$B$204,0)),0))</f>
        <v/>
      </c>
      <c r="E103" s="29" t="str">
        <f t="shared" si="2"/>
        <v/>
      </c>
      <c r="F103" s="30" t="str">
        <f>IF(A103="","",IF(B103=0,"",LOOKUP(2,1/((Detalle_Pagos!$E$5:$E$2004=A103)*(Detalle_Pagos!$J$5:$J$2004="No")),Detalle_Pagos!$B$5:$B$2004)))</f>
        <v/>
      </c>
      <c r="G103" s="29" t="str">
        <f>IF(A103="","",SUMIFS(Detalle_Pagos!$I$5:$I$2004,Detalle_Pagos!$E$5:$E$2004,A103,Detalle_Pagos!$J$5:$J$2004,"Si"))</f>
        <v/>
      </c>
      <c r="H103" t="str">
        <f>IF(A103="","",COUNTIFS(Detalle_Pagos!$E$5:$E$2004,A103,Detalle_Pagos!$J$5:$J$2004,"Si"))</f>
        <v/>
      </c>
    </row>
    <row r="104" spans="1:8" x14ac:dyDescent="0.3">
      <c r="A104" t="str">
        <f>IF(Trabajadores!B101="","",Trabajadores!B101)</f>
        <v/>
      </c>
      <c r="B104" t="str">
        <f>IF(A104="","",COUNTIFS(Detalle_Pagos!$E$5:$E$2004,A104,Detalle_Pagos!$J$5:$J$2004,"No"))</f>
        <v/>
      </c>
      <c r="C104" s="29" t="str">
        <f>IF(A104="","",SUMIFS(Detalle_Pagos!$I$5:$I$2004,Detalle_Pagos!$E$5:$E$2004,A104,Detalle_Pagos!$J$5:$J$2004,"No"))</f>
        <v/>
      </c>
      <c r="D104" s="29" t="str">
        <f>IF(A104="","",B104*IFERROR(INDEX(Trabajadores!$D$5:$D$204,MATCH(A104,Trabajadores!$B$5:$B$204,0)),0))</f>
        <v/>
      </c>
      <c r="E104" s="29" t="str">
        <f t="shared" ref="E104:E135" si="3">IF(A104="","",C104+D104)</f>
        <v/>
      </c>
      <c r="F104" s="30" t="str">
        <f>IF(A104="","",IF(B104=0,"",LOOKUP(2,1/((Detalle_Pagos!$E$5:$E$2004=A104)*(Detalle_Pagos!$J$5:$J$2004="No")),Detalle_Pagos!$B$5:$B$2004)))</f>
        <v/>
      </c>
      <c r="G104" s="29" t="str">
        <f>IF(A104="","",SUMIFS(Detalle_Pagos!$I$5:$I$2004,Detalle_Pagos!$E$5:$E$2004,A104,Detalle_Pagos!$J$5:$J$2004,"Si"))</f>
        <v/>
      </c>
      <c r="H104" t="str">
        <f>IF(A104="","",COUNTIFS(Detalle_Pagos!$E$5:$E$2004,A104,Detalle_Pagos!$J$5:$J$2004,"Si"))</f>
        <v/>
      </c>
    </row>
    <row r="105" spans="1:8" x14ac:dyDescent="0.3">
      <c r="A105" t="str">
        <f>IF(Trabajadores!B102="","",Trabajadores!B102)</f>
        <v/>
      </c>
      <c r="B105" t="str">
        <f>IF(A105="","",COUNTIFS(Detalle_Pagos!$E$5:$E$2004,A105,Detalle_Pagos!$J$5:$J$2004,"No"))</f>
        <v/>
      </c>
      <c r="C105" s="29" t="str">
        <f>IF(A105="","",SUMIFS(Detalle_Pagos!$I$5:$I$2004,Detalle_Pagos!$E$5:$E$2004,A105,Detalle_Pagos!$J$5:$J$2004,"No"))</f>
        <v/>
      </c>
      <c r="D105" s="29" t="str">
        <f>IF(A105="","",B105*IFERROR(INDEX(Trabajadores!$D$5:$D$204,MATCH(A105,Trabajadores!$B$5:$B$204,0)),0))</f>
        <v/>
      </c>
      <c r="E105" s="29" t="str">
        <f t="shared" si="3"/>
        <v/>
      </c>
      <c r="F105" s="30" t="str">
        <f>IF(A105="","",IF(B105=0,"",LOOKUP(2,1/((Detalle_Pagos!$E$5:$E$2004=A105)*(Detalle_Pagos!$J$5:$J$2004="No")),Detalle_Pagos!$B$5:$B$2004)))</f>
        <v/>
      </c>
      <c r="G105" s="29" t="str">
        <f>IF(A105="","",SUMIFS(Detalle_Pagos!$I$5:$I$2004,Detalle_Pagos!$E$5:$E$2004,A105,Detalle_Pagos!$J$5:$J$2004,"Si"))</f>
        <v/>
      </c>
      <c r="H105" t="str">
        <f>IF(A105="","",COUNTIFS(Detalle_Pagos!$E$5:$E$2004,A105,Detalle_Pagos!$J$5:$J$2004,"Si"))</f>
        <v/>
      </c>
    </row>
    <row r="106" spans="1:8" x14ac:dyDescent="0.3">
      <c r="A106" t="str">
        <f>IF(Trabajadores!B103="","",Trabajadores!B103)</f>
        <v/>
      </c>
      <c r="B106" t="str">
        <f>IF(A106="","",COUNTIFS(Detalle_Pagos!$E$5:$E$2004,A106,Detalle_Pagos!$J$5:$J$2004,"No"))</f>
        <v/>
      </c>
      <c r="C106" s="29" t="str">
        <f>IF(A106="","",SUMIFS(Detalle_Pagos!$I$5:$I$2004,Detalle_Pagos!$E$5:$E$2004,A106,Detalle_Pagos!$J$5:$J$2004,"No"))</f>
        <v/>
      </c>
      <c r="D106" s="29" t="str">
        <f>IF(A106="","",B106*IFERROR(INDEX(Trabajadores!$D$5:$D$204,MATCH(A106,Trabajadores!$B$5:$B$204,0)),0))</f>
        <v/>
      </c>
      <c r="E106" s="29" t="str">
        <f t="shared" si="3"/>
        <v/>
      </c>
      <c r="F106" s="30" t="str">
        <f>IF(A106="","",IF(B106=0,"",LOOKUP(2,1/((Detalle_Pagos!$E$5:$E$2004=A106)*(Detalle_Pagos!$J$5:$J$2004="No")),Detalle_Pagos!$B$5:$B$2004)))</f>
        <v/>
      </c>
      <c r="G106" s="29" t="str">
        <f>IF(A106="","",SUMIFS(Detalle_Pagos!$I$5:$I$2004,Detalle_Pagos!$E$5:$E$2004,A106,Detalle_Pagos!$J$5:$J$2004,"Si"))</f>
        <v/>
      </c>
      <c r="H106" t="str">
        <f>IF(A106="","",COUNTIFS(Detalle_Pagos!$E$5:$E$2004,A106,Detalle_Pagos!$J$5:$J$2004,"Si"))</f>
        <v/>
      </c>
    </row>
    <row r="107" spans="1:8" x14ac:dyDescent="0.3">
      <c r="A107" t="str">
        <f>IF(Trabajadores!B104="","",Trabajadores!B104)</f>
        <v/>
      </c>
      <c r="B107" t="str">
        <f>IF(A107="","",COUNTIFS(Detalle_Pagos!$E$5:$E$2004,A107,Detalle_Pagos!$J$5:$J$2004,"No"))</f>
        <v/>
      </c>
      <c r="C107" s="29" t="str">
        <f>IF(A107="","",SUMIFS(Detalle_Pagos!$I$5:$I$2004,Detalle_Pagos!$E$5:$E$2004,A107,Detalle_Pagos!$J$5:$J$2004,"No"))</f>
        <v/>
      </c>
      <c r="D107" s="29" t="str">
        <f>IF(A107="","",B107*IFERROR(INDEX(Trabajadores!$D$5:$D$204,MATCH(A107,Trabajadores!$B$5:$B$204,0)),0))</f>
        <v/>
      </c>
      <c r="E107" s="29" t="str">
        <f t="shared" si="3"/>
        <v/>
      </c>
      <c r="F107" s="30" t="str">
        <f>IF(A107="","",IF(B107=0,"",LOOKUP(2,1/((Detalle_Pagos!$E$5:$E$2004=A107)*(Detalle_Pagos!$J$5:$J$2004="No")),Detalle_Pagos!$B$5:$B$2004)))</f>
        <v/>
      </c>
      <c r="G107" s="29" t="str">
        <f>IF(A107="","",SUMIFS(Detalle_Pagos!$I$5:$I$2004,Detalle_Pagos!$E$5:$E$2004,A107,Detalle_Pagos!$J$5:$J$2004,"Si"))</f>
        <v/>
      </c>
      <c r="H107" t="str">
        <f>IF(A107="","",COUNTIFS(Detalle_Pagos!$E$5:$E$2004,A107,Detalle_Pagos!$J$5:$J$2004,"Si"))</f>
        <v/>
      </c>
    </row>
    <row r="108" spans="1:8" x14ac:dyDescent="0.3">
      <c r="A108" t="str">
        <f>IF(Trabajadores!B105="","",Trabajadores!B105)</f>
        <v/>
      </c>
      <c r="B108" t="str">
        <f>IF(A108="","",COUNTIFS(Detalle_Pagos!$E$5:$E$2004,A108,Detalle_Pagos!$J$5:$J$2004,"No"))</f>
        <v/>
      </c>
      <c r="C108" s="29" t="str">
        <f>IF(A108="","",SUMIFS(Detalle_Pagos!$I$5:$I$2004,Detalle_Pagos!$E$5:$E$2004,A108,Detalle_Pagos!$J$5:$J$2004,"No"))</f>
        <v/>
      </c>
      <c r="D108" s="29" t="str">
        <f>IF(A108="","",B108*IFERROR(INDEX(Trabajadores!$D$5:$D$204,MATCH(A108,Trabajadores!$B$5:$B$204,0)),0))</f>
        <v/>
      </c>
      <c r="E108" s="29" t="str">
        <f t="shared" si="3"/>
        <v/>
      </c>
      <c r="F108" s="30" t="str">
        <f>IF(A108="","",IF(B108=0,"",LOOKUP(2,1/((Detalle_Pagos!$E$5:$E$2004=A108)*(Detalle_Pagos!$J$5:$J$2004="No")),Detalle_Pagos!$B$5:$B$2004)))</f>
        <v/>
      </c>
      <c r="G108" s="29" t="str">
        <f>IF(A108="","",SUMIFS(Detalle_Pagos!$I$5:$I$2004,Detalle_Pagos!$E$5:$E$2004,A108,Detalle_Pagos!$J$5:$J$2004,"Si"))</f>
        <v/>
      </c>
      <c r="H108" t="str">
        <f>IF(A108="","",COUNTIFS(Detalle_Pagos!$E$5:$E$2004,A108,Detalle_Pagos!$J$5:$J$2004,"Si"))</f>
        <v/>
      </c>
    </row>
    <row r="109" spans="1:8" x14ac:dyDescent="0.3">
      <c r="A109" t="str">
        <f>IF(Trabajadores!B106="","",Trabajadores!B106)</f>
        <v/>
      </c>
      <c r="B109" t="str">
        <f>IF(A109="","",COUNTIFS(Detalle_Pagos!$E$5:$E$2004,A109,Detalle_Pagos!$J$5:$J$2004,"No"))</f>
        <v/>
      </c>
      <c r="C109" s="29" t="str">
        <f>IF(A109="","",SUMIFS(Detalle_Pagos!$I$5:$I$2004,Detalle_Pagos!$E$5:$E$2004,A109,Detalle_Pagos!$J$5:$J$2004,"No"))</f>
        <v/>
      </c>
      <c r="D109" s="29" t="str">
        <f>IF(A109="","",B109*IFERROR(INDEX(Trabajadores!$D$5:$D$204,MATCH(A109,Trabajadores!$B$5:$B$204,0)),0))</f>
        <v/>
      </c>
      <c r="E109" s="29" t="str">
        <f t="shared" si="3"/>
        <v/>
      </c>
      <c r="F109" s="30" t="str">
        <f>IF(A109="","",IF(B109=0,"",LOOKUP(2,1/((Detalle_Pagos!$E$5:$E$2004=A109)*(Detalle_Pagos!$J$5:$J$2004="No")),Detalle_Pagos!$B$5:$B$2004)))</f>
        <v/>
      </c>
      <c r="G109" s="29" t="str">
        <f>IF(A109="","",SUMIFS(Detalle_Pagos!$I$5:$I$2004,Detalle_Pagos!$E$5:$E$2004,A109,Detalle_Pagos!$J$5:$J$2004,"Si"))</f>
        <v/>
      </c>
      <c r="H109" t="str">
        <f>IF(A109="","",COUNTIFS(Detalle_Pagos!$E$5:$E$2004,A109,Detalle_Pagos!$J$5:$J$2004,"Si"))</f>
        <v/>
      </c>
    </row>
    <row r="110" spans="1:8" x14ac:dyDescent="0.3">
      <c r="A110" t="str">
        <f>IF(Trabajadores!B107="","",Trabajadores!B107)</f>
        <v/>
      </c>
      <c r="B110" t="str">
        <f>IF(A110="","",COUNTIFS(Detalle_Pagos!$E$5:$E$2004,A110,Detalle_Pagos!$J$5:$J$2004,"No"))</f>
        <v/>
      </c>
      <c r="C110" s="29" t="str">
        <f>IF(A110="","",SUMIFS(Detalle_Pagos!$I$5:$I$2004,Detalle_Pagos!$E$5:$E$2004,A110,Detalle_Pagos!$J$5:$J$2004,"No"))</f>
        <v/>
      </c>
      <c r="D110" s="29" t="str">
        <f>IF(A110="","",B110*IFERROR(INDEX(Trabajadores!$D$5:$D$204,MATCH(A110,Trabajadores!$B$5:$B$204,0)),0))</f>
        <v/>
      </c>
      <c r="E110" s="29" t="str">
        <f t="shared" si="3"/>
        <v/>
      </c>
      <c r="F110" s="30" t="str">
        <f>IF(A110="","",IF(B110=0,"",LOOKUP(2,1/((Detalle_Pagos!$E$5:$E$2004=A110)*(Detalle_Pagos!$J$5:$J$2004="No")),Detalle_Pagos!$B$5:$B$2004)))</f>
        <v/>
      </c>
      <c r="G110" s="29" t="str">
        <f>IF(A110="","",SUMIFS(Detalle_Pagos!$I$5:$I$2004,Detalle_Pagos!$E$5:$E$2004,A110,Detalle_Pagos!$J$5:$J$2004,"Si"))</f>
        <v/>
      </c>
      <c r="H110" t="str">
        <f>IF(A110="","",COUNTIFS(Detalle_Pagos!$E$5:$E$2004,A110,Detalle_Pagos!$J$5:$J$2004,"Si"))</f>
        <v/>
      </c>
    </row>
    <row r="111" spans="1:8" x14ac:dyDescent="0.3">
      <c r="A111" t="str">
        <f>IF(Trabajadores!B108="","",Trabajadores!B108)</f>
        <v/>
      </c>
      <c r="B111" t="str">
        <f>IF(A111="","",COUNTIFS(Detalle_Pagos!$E$5:$E$2004,A111,Detalle_Pagos!$J$5:$J$2004,"No"))</f>
        <v/>
      </c>
      <c r="C111" s="29" t="str">
        <f>IF(A111="","",SUMIFS(Detalle_Pagos!$I$5:$I$2004,Detalle_Pagos!$E$5:$E$2004,A111,Detalle_Pagos!$J$5:$J$2004,"No"))</f>
        <v/>
      </c>
      <c r="D111" s="29" t="str">
        <f>IF(A111="","",B111*IFERROR(INDEX(Trabajadores!$D$5:$D$204,MATCH(A111,Trabajadores!$B$5:$B$204,0)),0))</f>
        <v/>
      </c>
      <c r="E111" s="29" t="str">
        <f t="shared" si="3"/>
        <v/>
      </c>
      <c r="F111" s="30" t="str">
        <f>IF(A111="","",IF(B111=0,"",LOOKUP(2,1/((Detalle_Pagos!$E$5:$E$2004=A111)*(Detalle_Pagos!$J$5:$J$2004="No")),Detalle_Pagos!$B$5:$B$2004)))</f>
        <v/>
      </c>
      <c r="G111" s="29" t="str">
        <f>IF(A111="","",SUMIFS(Detalle_Pagos!$I$5:$I$2004,Detalle_Pagos!$E$5:$E$2004,A111,Detalle_Pagos!$J$5:$J$2004,"Si"))</f>
        <v/>
      </c>
      <c r="H111" t="str">
        <f>IF(A111="","",COUNTIFS(Detalle_Pagos!$E$5:$E$2004,A111,Detalle_Pagos!$J$5:$J$2004,"Si"))</f>
        <v/>
      </c>
    </row>
    <row r="112" spans="1:8" x14ac:dyDescent="0.3">
      <c r="A112" t="str">
        <f>IF(Trabajadores!B109="","",Trabajadores!B109)</f>
        <v/>
      </c>
      <c r="B112" t="str">
        <f>IF(A112="","",COUNTIFS(Detalle_Pagos!$E$5:$E$2004,A112,Detalle_Pagos!$J$5:$J$2004,"No"))</f>
        <v/>
      </c>
      <c r="C112" s="29" t="str">
        <f>IF(A112="","",SUMIFS(Detalle_Pagos!$I$5:$I$2004,Detalle_Pagos!$E$5:$E$2004,A112,Detalle_Pagos!$J$5:$J$2004,"No"))</f>
        <v/>
      </c>
      <c r="D112" s="29" t="str">
        <f>IF(A112="","",B112*IFERROR(INDEX(Trabajadores!$D$5:$D$204,MATCH(A112,Trabajadores!$B$5:$B$204,0)),0))</f>
        <v/>
      </c>
      <c r="E112" s="29" t="str">
        <f t="shared" si="3"/>
        <v/>
      </c>
      <c r="F112" s="30" t="str">
        <f>IF(A112="","",IF(B112=0,"",LOOKUP(2,1/((Detalle_Pagos!$E$5:$E$2004=A112)*(Detalle_Pagos!$J$5:$J$2004="No")),Detalle_Pagos!$B$5:$B$2004)))</f>
        <v/>
      </c>
      <c r="G112" s="29" t="str">
        <f>IF(A112="","",SUMIFS(Detalle_Pagos!$I$5:$I$2004,Detalle_Pagos!$E$5:$E$2004,A112,Detalle_Pagos!$J$5:$J$2004,"Si"))</f>
        <v/>
      </c>
      <c r="H112" t="str">
        <f>IF(A112="","",COUNTIFS(Detalle_Pagos!$E$5:$E$2004,A112,Detalle_Pagos!$J$5:$J$2004,"Si"))</f>
        <v/>
      </c>
    </row>
    <row r="113" spans="1:8" x14ac:dyDescent="0.3">
      <c r="A113" t="str">
        <f>IF(Trabajadores!B110="","",Trabajadores!B110)</f>
        <v/>
      </c>
      <c r="B113" t="str">
        <f>IF(A113="","",COUNTIFS(Detalle_Pagos!$E$5:$E$2004,A113,Detalle_Pagos!$J$5:$J$2004,"No"))</f>
        <v/>
      </c>
      <c r="C113" s="29" t="str">
        <f>IF(A113="","",SUMIFS(Detalle_Pagos!$I$5:$I$2004,Detalle_Pagos!$E$5:$E$2004,A113,Detalle_Pagos!$J$5:$J$2004,"No"))</f>
        <v/>
      </c>
      <c r="D113" s="29" t="str">
        <f>IF(A113="","",B113*IFERROR(INDEX(Trabajadores!$D$5:$D$204,MATCH(A113,Trabajadores!$B$5:$B$204,0)),0))</f>
        <v/>
      </c>
      <c r="E113" s="29" t="str">
        <f t="shared" si="3"/>
        <v/>
      </c>
      <c r="F113" s="30" t="str">
        <f>IF(A113="","",IF(B113=0,"",LOOKUP(2,1/((Detalle_Pagos!$E$5:$E$2004=A113)*(Detalle_Pagos!$J$5:$J$2004="No")),Detalle_Pagos!$B$5:$B$2004)))</f>
        <v/>
      </c>
      <c r="G113" s="29" t="str">
        <f>IF(A113="","",SUMIFS(Detalle_Pagos!$I$5:$I$2004,Detalle_Pagos!$E$5:$E$2004,A113,Detalle_Pagos!$J$5:$J$2004,"Si"))</f>
        <v/>
      </c>
      <c r="H113" t="str">
        <f>IF(A113="","",COUNTIFS(Detalle_Pagos!$E$5:$E$2004,A113,Detalle_Pagos!$J$5:$J$2004,"Si"))</f>
        <v/>
      </c>
    </row>
    <row r="114" spans="1:8" x14ac:dyDescent="0.3">
      <c r="A114" t="str">
        <f>IF(Trabajadores!B111="","",Trabajadores!B111)</f>
        <v/>
      </c>
      <c r="B114" t="str">
        <f>IF(A114="","",COUNTIFS(Detalle_Pagos!$E$5:$E$2004,A114,Detalle_Pagos!$J$5:$J$2004,"No"))</f>
        <v/>
      </c>
      <c r="C114" s="29" t="str">
        <f>IF(A114="","",SUMIFS(Detalle_Pagos!$I$5:$I$2004,Detalle_Pagos!$E$5:$E$2004,A114,Detalle_Pagos!$J$5:$J$2004,"No"))</f>
        <v/>
      </c>
      <c r="D114" s="29" t="str">
        <f>IF(A114="","",B114*IFERROR(INDEX(Trabajadores!$D$5:$D$204,MATCH(A114,Trabajadores!$B$5:$B$204,0)),0))</f>
        <v/>
      </c>
      <c r="E114" s="29" t="str">
        <f t="shared" si="3"/>
        <v/>
      </c>
      <c r="F114" s="30" t="str">
        <f>IF(A114="","",IF(B114=0,"",LOOKUP(2,1/((Detalle_Pagos!$E$5:$E$2004=A114)*(Detalle_Pagos!$J$5:$J$2004="No")),Detalle_Pagos!$B$5:$B$2004)))</f>
        <v/>
      </c>
      <c r="G114" s="29" t="str">
        <f>IF(A114="","",SUMIFS(Detalle_Pagos!$I$5:$I$2004,Detalle_Pagos!$E$5:$E$2004,A114,Detalle_Pagos!$J$5:$J$2004,"Si"))</f>
        <v/>
      </c>
      <c r="H114" t="str">
        <f>IF(A114="","",COUNTIFS(Detalle_Pagos!$E$5:$E$2004,A114,Detalle_Pagos!$J$5:$J$2004,"Si"))</f>
        <v/>
      </c>
    </row>
    <row r="115" spans="1:8" x14ac:dyDescent="0.3">
      <c r="A115" t="str">
        <f>IF(Trabajadores!B112="","",Trabajadores!B112)</f>
        <v/>
      </c>
      <c r="B115" t="str">
        <f>IF(A115="","",COUNTIFS(Detalle_Pagos!$E$5:$E$2004,A115,Detalle_Pagos!$J$5:$J$2004,"No"))</f>
        <v/>
      </c>
      <c r="C115" s="29" t="str">
        <f>IF(A115="","",SUMIFS(Detalle_Pagos!$I$5:$I$2004,Detalle_Pagos!$E$5:$E$2004,A115,Detalle_Pagos!$J$5:$J$2004,"No"))</f>
        <v/>
      </c>
      <c r="D115" s="29" t="str">
        <f>IF(A115="","",B115*IFERROR(INDEX(Trabajadores!$D$5:$D$204,MATCH(A115,Trabajadores!$B$5:$B$204,0)),0))</f>
        <v/>
      </c>
      <c r="E115" s="29" t="str">
        <f t="shared" si="3"/>
        <v/>
      </c>
      <c r="F115" s="30" t="str">
        <f>IF(A115="","",IF(B115=0,"",LOOKUP(2,1/((Detalle_Pagos!$E$5:$E$2004=A115)*(Detalle_Pagos!$J$5:$J$2004="No")),Detalle_Pagos!$B$5:$B$2004)))</f>
        <v/>
      </c>
      <c r="G115" s="29" t="str">
        <f>IF(A115="","",SUMIFS(Detalle_Pagos!$I$5:$I$2004,Detalle_Pagos!$E$5:$E$2004,A115,Detalle_Pagos!$J$5:$J$2004,"Si"))</f>
        <v/>
      </c>
      <c r="H115" t="str">
        <f>IF(A115="","",COUNTIFS(Detalle_Pagos!$E$5:$E$2004,A115,Detalle_Pagos!$J$5:$J$2004,"Si"))</f>
        <v/>
      </c>
    </row>
    <row r="116" spans="1:8" x14ac:dyDescent="0.3">
      <c r="A116" t="str">
        <f>IF(Trabajadores!B113="","",Trabajadores!B113)</f>
        <v/>
      </c>
      <c r="B116" t="str">
        <f>IF(A116="","",COUNTIFS(Detalle_Pagos!$E$5:$E$2004,A116,Detalle_Pagos!$J$5:$J$2004,"No"))</f>
        <v/>
      </c>
      <c r="C116" s="29" t="str">
        <f>IF(A116="","",SUMIFS(Detalle_Pagos!$I$5:$I$2004,Detalle_Pagos!$E$5:$E$2004,A116,Detalle_Pagos!$J$5:$J$2004,"No"))</f>
        <v/>
      </c>
      <c r="D116" s="29" t="str">
        <f>IF(A116="","",B116*IFERROR(INDEX(Trabajadores!$D$5:$D$204,MATCH(A116,Trabajadores!$B$5:$B$204,0)),0))</f>
        <v/>
      </c>
      <c r="E116" s="29" t="str">
        <f t="shared" si="3"/>
        <v/>
      </c>
      <c r="F116" s="30" t="str">
        <f>IF(A116="","",IF(B116=0,"",LOOKUP(2,1/((Detalle_Pagos!$E$5:$E$2004=A116)*(Detalle_Pagos!$J$5:$J$2004="No")),Detalle_Pagos!$B$5:$B$2004)))</f>
        <v/>
      </c>
      <c r="G116" s="29" t="str">
        <f>IF(A116="","",SUMIFS(Detalle_Pagos!$I$5:$I$2004,Detalle_Pagos!$E$5:$E$2004,A116,Detalle_Pagos!$J$5:$J$2004,"Si"))</f>
        <v/>
      </c>
      <c r="H116" t="str">
        <f>IF(A116="","",COUNTIFS(Detalle_Pagos!$E$5:$E$2004,A116,Detalle_Pagos!$J$5:$J$2004,"Si"))</f>
        <v/>
      </c>
    </row>
    <row r="117" spans="1:8" x14ac:dyDescent="0.3">
      <c r="A117" t="str">
        <f>IF(Trabajadores!B114="","",Trabajadores!B114)</f>
        <v/>
      </c>
      <c r="B117" t="str">
        <f>IF(A117="","",COUNTIFS(Detalle_Pagos!$E$5:$E$2004,A117,Detalle_Pagos!$J$5:$J$2004,"No"))</f>
        <v/>
      </c>
      <c r="C117" s="29" t="str">
        <f>IF(A117="","",SUMIFS(Detalle_Pagos!$I$5:$I$2004,Detalle_Pagos!$E$5:$E$2004,A117,Detalle_Pagos!$J$5:$J$2004,"No"))</f>
        <v/>
      </c>
      <c r="D117" s="29" t="str">
        <f>IF(A117="","",B117*IFERROR(INDEX(Trabajadores!$D$5:$D$204,MATCH(A117,Trabajadores!$B$5:$B$204,0)),0))</f>
        <v/>
      </c>
      <c r="E117" s="29" t="str">
        <f t="shared" si="3"/>
        <v/>
      </c>
      <c r="F117" s="30" t="str">
        <f>IF(A117="","",IF(B117=0,"",LOOKUP(2,1/((Detalle_Pagos!$E$5:$E$2004=A117)*(Detalle_Pagos!$J$5:$J$2004="No")),Detalle_Pagos!$B$5:$B$2004)))</f>
        <v/>
      </c>
      <c r="G117" s="29" t="str">
        <f>IF(A117="","",SUMIFS(Detalle_Pagos!$I$5:$I$2004,Detalle_Pagos!$E$5:$E$2004,A117,Detalle_Pagos!$J$5:$J$2004,"Si"))</f>
        <v/>
      </c>
      <c r="H117" t="str">
        <f>IF(A117="","",COUNTIFS(Detalle_Pagos!$E$5:$E$2004,A117,Detalle_Pagos!$J$5:$J$2004,"Si"))</f>
        <v/>
      </c>
    </row>
    <row r="118" spans="1:8" x14ac:dyDescent="0.3">
      <c r="A118" t="str">
        <f>IF(Trabajadores!B115="","",Trabajadores!B115)</f>
        <v/>
      </c>
      <c r="B118" t="str">
        <f>IF(A118="","",COUNTIFS(Detalle_Pagos!$E$5:$E$2004,A118,Detalle_Pagos!$J$5:$J$2004,"No"))</f>
        <v/>
      </c>
      <c r="C118" s="29" t="str">
        <f>IF(A118="","",SUMIFS(Detalle_Pagos!$I$5:$I$2004,Detalle_Pagos!$E$5:$E$2004,A118,Detalle_Pagos!$J$5:$J$2004,"No"))</f>
        <v/>
      </c>
      <c r="D118" s="29" t="str">
        <f>IF(A118="","",B118*IFERROR(INDEX(Trabajadores!$D$5:$D$204,MATCH(A118,Trabajadores!$B$5:$B$204,0)),0))</f>
        <v/>
      </c>
      <c r="E118" s="29" t="str">
        <f t="shared" si="3"/>
        <v/>
      </c>
      <c r="F118" s="30" t="str">
        <f>IF(A118="","",IF(B118=0,"",LOOKUP(2,1/((Detalle_Pagos!$E$5:$E$2004=A118)*(Detalle_Pagos!$J$5:$J$2004="No")),Detalle_Pagos!$B$5:$B$2004)))</f>
        <v/>
      </c>
      <c r="G118" s="29" t="str">
        <f>IF(A118="","",SUMIFS(Detalle_Pagos!$I$5:$I$2004,Detalle_Pagos!$E$5:$E$2004,A118,Detalle_Pagos!$J$5:$J$2004,"Si"))</f>
        <v/>
      </c>
      <c r="H118" t="str">
        <f>IF(A118="","",COUNTIFS(Detalle_Pagos!$E$5:$E$2004,A118,Detalle_Pagos!$J$5:$J$2004,"Si"))</f>
        <v/>
      </c>
    </row>
    <row r="119" spans="1:8" x14ac:dyDescent="0.3">
      <c r="A119" t="str">
        <f>IF(Trabajadores!B116="","",Trabajadores!B116)</f>
        <v/>
      </c>
      <c r="B119" t="str">
        <f>IF(A119="","",COUNTIFS(Detalle_Pagos!$E$5:$E$2004,A119,Detalle_Pagos!$J$5:$J$2004,"No"))</f>
        <v/>
      </c>
      <c r="C119" s="29" t="str">
        <f>IF(A119="","",SUMIFS(Detalle_Pagos!$I$5:$I$2004,Detalle_Pagos!$E$5:$E$2004,A119,Detalle_Pagos!$J$5:$J$2004,"No"))</f>
        <v/>
      </c>
      <c r="D119" s="29" t="str">
        <f>IF(A119="","",B119*IFERROR(INDEX(Trabajadores!$D$5:$D$204,MATCH(A119,Trabajadores!$B$5:$B$204,0)),0))</f>
        <v/>
      </c>
      <c r="E119" s="29" t="str">
        <f t="shared" si="3"/>
        <v/>
      </c>
      <c r="F119" s="30" t="str">
        <f>IF(A119="","",IF(B119=0,"",LOOKUP(2,1/((Detalle_Pagos!$E$5:$E$2004=A119)*(Detalle_Pagos!$J$5:$J$2004="No")),Detalle_Pagos!$B$5:$B$2004)))</f>
        <v/>
      </c>
      <c r="G119" s="29" t="str">
        <f>IF(A119="","",SUMIFS(Detalle_Pagos!$I$5:$I$2004,Detalle_Pagos!$E$5:$E$2004,A119,Detalle_Pagos!$J$5:$J$2004,"Si"))</f>
        <v/>
      </c>
      <c r="H119" t="str">
        <f>IF(A119="","",COUNTIFS(Detalle_Pagos!$E$5:$E$2004,A119,Detalle_Pagos!$J$5:$J$2004,"Si"))</f>
        <v/>
      </c>
    </row>
    <row r="120" spans="1:8" x14ac:dyDescent="0.3">
      <c r="A120" t="str">
        <f>IF(Trabajadores!B117="","",Trabajadores!B117)</f>
        <v/>
      </c>
      <c r="B120" t="str">
        <f>IF(A120="","",COUNTIFS(Detalle_Pagos!$E$5:$E$2004,A120,Detalle_Pagos!$J$5:$J$2004,"No"))</f>
        <v/>
      </c>
      <c r="C120" s="29" t="str">
        <f>IF(A120="","",SUMIFS(Detalle_Pagos!$I$5:$I$2004,Detalle_Pagos!$E$5:$E$2004,A120,Detalle_Pagos!$J$5:$J$2004,"No"))</f>
        <v/>
      </c>
      <c r="D120" s="29" t="str">
        <f>IF(A120="","",B120*IFERROR(INDEX(Trabajadores!$D$5:$D$204,MATCH(A120,Trabajadores!$B$5:$B$204,0)),0))</f>
        <v/>
      </c>
      <c r="E120" s="29" t="str">
        <f t="shared" si="3"/>
        <v/>
      </c>
      <c r="F120" s="30" t="str">
        <f>IF(A120="","",IF(B120=0,"",LOOKUP(2,1/((Detalle_Pagos!$E$5:$E$2004=A120)*(Detalle_Pagos!$J$5:$J$2004="No")),Detalle_Pagos!$B$5:$B$2004)))</f>
        <v/>
      </c>
      <c r="G120" s="29" t="str">
        <f>IF(A120="","",SUMIFS(Detalle_Pagos!$I$5:$I$2004,Detalle_Pagos!$E$5:$E$2004,A120,Detalle_Pagos!$J$5:$J$2004,"Si"))</f>
        <v/>
      </c>
      <c r="H120" t="str">
        <f>IF(A120="","",COUNTIFS(Detalle_Pagos!$E$5:$E$2004,A120,Detalle_Pagos!$J$5:$J$2004,"Si"))</f>
        <v/>
      </c>
    </row>
    <row r="121" spans="1:8" x14ac:dyDescent="0.3">
      <c r="A121" t="str">
        <f>IF(Trabajadores!B118="","",Trabajadores!B118)</f>
        <v/>
      </c>
      <c r="B121" t="str">
        <f>IF(A121="","",COUNTIFS(Detalle_Pagos!$E$5:$E$2004,A121,Detalle_Pagos!$J$5:$J$2004,"No"))</f>
        <v/>
      </c>
      <c r="C121" s="29" t="str">
        <f>IF(A121="","",SUMIFS(Detalle_Pagos!$I$5:$I$2004,Detalle_Pagos!$E$5:$E$2004,A121,Detalle_Pagos!$J$5:$J$2004,"No"))</f>
        <v/>
      </c>
      <c r="D121" s="29" t="str">
        <f>IF(A121="","",B121*IFERROR(INDEX(Trabajadores!$D$5:$D$204,MATCH(A121,Trabajadores!$B$5:$B$204,0)),0))</f>
        <v/>
      </c>
      <c r="E121" s="29" t="str">
        <f t="shared" si="3"/>
        <v/>
      </c>
      <c r="F121" s="30" t="str">
        <f>IF(A121="","",IF(B121=0,"",LOOKUP(2,1/((Detalle_Pagos!$E$5:$E$2004=A121)*(Detalle_Pagos!$J$5:$J$2004="No")),Detalle_Pagos!$B$5:$B$2004)))</f>
        <v/>
      </c>
      <c r="G121" s="29" t="str">
        <f>IF(A121="","",SUMIFS(Detalle_Pagos!$I$5:$I$2004,Detalle_Pagos!$E$5:$E$2004,A121,Detalle_Pagos!$J$5:$J$2004,"Si"))</f>
        <v/>
      </c>
      <c r="H121" t="str">
        <f>IF(A121="","",COUNTIFS(Detalle_Pagos!$E$5:$E$2004,A121,Detalle_Pagos!$J$5:$J$2004,"Si"))</f>
        <v/>
      </c>
    </row>
    <row r="122" spans="1:8" x14ac:dyDescent="0.3">
      <c r="A122" t="str">
        <f>IF(Trabajadores!B119="","",Trabajadores!B119)</f>
        <v/>
      </c>
      <c r="B122" t="str">
        <f>IF(A122="","",COUNTIFS(Detalle_Pagos!$E$5:$E$2004,A122,Detalle_Pagos!$J$5:$J$2004,"No"))</f>
        <v/>
      </c>
      <c r="C122" s="29" t="str">
        <f>IF(A122="","",SUMIFS(Detalle_Pagos!$I$5:$I$2004,Detalle_Pagos!$E$5:$E$2004,A122,Detalle_Pagos!$J$5:$J$2004,"No"))</f>
        <v/>
      </c>
      <c r="D122" s="29" t="str">
        <f>IF(A122="","",B122*IFERROR(INDEX(Trabajadores!$D$5:$D$204,MATCH(A122,Trabajadores!$B$5:$B$204,0)),0))</f>
        <v/>
      </c>
      <c r="E122" s="29" t="str">
        <f t="shared" si="3"/>
        <v/>
      </c>
      <c r="F122" s="30" t="str">
        <f>IF(A122="","",IF(B122=0,"",LOOKUP(2,1/((Detalle_Pagos!$E$5:$E$2004=A122)*(Detalle_Pagos!$J$5:$J$2004="No")),Detalle_Pagos!$B$5:$B$2004)))</f>
        <v/>
      </c>
      <c r="G122" s="29" t="str">
        <f>IF(A122="","",SUMIFS(Detalle_Pagos!$I$5:$I$2004,Detalle_Pagos!$E$5:$E$2004,A122,Detalle_Pagos!$J$5:$J$2004,"Si"))</f>
        <v/>
      </c>
      <c r="H122" t="str">
        <f>IF(A122="","",COUNTIFS(Detalle_Pagos!$E$5:$E$2004,A122,Detalle_Pagos!$J$5:$J$2004,"Si"))</f>
        <v/>
      </c>
    </row>
    <row r="123" spans="1:8" x14ac:dyDescent="0.3">
      <c r="A123" t="str">
        <f>IF(Trabajadores!B120="","",Trabajadores!B120)</f>
        <v/>
      </c>
      <c r="B123" t="str">
        <f>IF(A123="","",COUNTIFS(Detalle_Pagos!$E$5:$E$2004,A123,Detalle_Pagos!$J$5:$J$2004,"No"))</f>
        <v/>
      </c>
      <c r="C123" s="29" t="str">
        <f>IF(A123="","",SUMIFS(Detalle_Pagos!$I$5:$I$2004,Detalle_Pagos!$E$5:$E$2004,A123,Detalle_Pagos!$J$5:$J$2004,"No"))</f>
        <v/>
      </c>
      <c r="D123" s="29" t="str">
        <f>IF(A123="","",B123*IFERROR(INDEX(Trabajadores!$D$5:$D$204,MATCH(A123,Trabajadores!$B$5:$B$204,0)),0))</f>
        <v/>
      </c>
      <c r="E123" s="29" t="str">
        <f t="shared" si="3"/>
        <v/>
      </c>
      <c r="F123" s="30" t="str">
        <f>IF(A123="","",IF(B123=0,"",LOOKUP(2,1/((Detalle_Pagos!$E$5:$E$2004=A123)*(Detalle_Pagos!$J$5:$J$2004="No")),Detalle_Pagos!$B$5:$B$2004)))</f>
        <v/>
      </c>
      <c r="G123" s="29" t="str">
        <f>IF(A123="","",SUMIFS(Detalle_Pagos!$I$5:$I$2004,Detalle_Pagos!$E$5:$E$2004,A123,Detalle_Pagos!$J$5:$J$2004,"Si"))</f>
        <v/>
      </c>
      <c r="H123" t="str">
        <f>IF(A123="","",COUNTIFS(Detalle_Pagos!$E$5:$E$2004,A123,Detalle_Pagos!$J$5:$J$2004,"Si"))</f>
        <v/>
      </c>
    </row>
    <row r="124" spans="1:8" x14ac:dyDescent="0.3">
      <c r="A124" t="str">
        <f>IF(Trabajadores!B121="","",Trabajadores!B121)</f>
        <v/>
      </c>
      <c r="B124" t="str">
        <f>IF(A124="","",COUNTIFS(Detalle_Pagos!$E$5:$E$2004,A124,Detalle_Pagos!$J$5:$J$2004,"No"))</f>
        <v/>
      </c>
      <c r="C124" s="29" t="str">
        <f>IF(A124="","",SUMIFS(Detalle_Pagos!$I$5:$I$2004,Detalle_Pagos!$E$5:$E$2004,A124,Detalle_Pagos!$J$5:$J$2004,"No"))</f>
        <v/>
      </c>
      <c r="D124" s="29" t="str">
        <f>IF(A124="","",B124*IFERROR(INDEX(Trabajadores!$D$5:$D$204,MATCH(A124,Trabajadores!$B$5:$B$204,0)),0))</f>
        <v/>
      </c>
      <c r="E124" s="29" t="str">
        <f t="shared" si="3"/>
        <v/>
      </c>
      <c r="F124" s="30" t="str">
        <f>IF(A124="","",IF(B124=0,"",LOOKUP(2,1/((Detalle_Pagos!$E$5:$E$2004=A124)*(Detalle_Pagos!$J$5:$J$2004="No")),Detalle_Pagos!$B$5:$B$2004)))</f>
        <v/>
      </c>
      <c r="G124" s="29" t="str">
        <f>IF(A124="","",SUMIFS(Detalle_Pagos!$I$5:$I$2004,Detalle_Pagos!$E$5:$E$2004,A124,Detalle_Pagos!$J$5:$J$2004,"Si"))</f>
        <v/>
      </c>
      <c r="H124" t="str">
        <f>IF(A124="","",COUNTIFS(Detalle_Pagos!$E$5:$E$2004,A124,Detalle_Pagos!$J$5:$J$2004,"Si"))</f>
        <v/>
      </c>
    </row>
    <row r="125" spans="1:8" x14ac:dyDescent="0.3">
      <c r="A125" t="str">
        <f>IF(Trabajadores!B122="","",Trabajadores!B122)</f>
        <v/>
      </c>
      <c r="B125" t="str">
        <f>IF(A125="","",COUNTIFS(Detalle_Pagos!$E$5:$E$2004,A125,Detalle_Pagos!$J$5:$J$2004,"No"))</f>
        <v/>
      </c>
      <c r="C125" s="29" t="str">
        <f>IF(A125="","",SUMIFS(Detalle_Pagos!$I$5:$I$2004,Detalle_Pagos!$E$5:$E$2004,A125,Detalle_Pagos!$J$5:$J$2004,"No"))</f>
        <v/>
      </c>
      <c r="D125" s="29" t="str">
        <f>IF(A125="","",B125*IFERROR(INDEX(Trabajadores!$D$5:$D$204,MATCH(A125,Trabajadores!$B$5:$B$204,0)),0))</f>
        <v/>
      </c>
      <c r="E125" s="29" t="str">
        <f t="shared" si="3"/>
        <v/>
      </c>
      <c r="F125" s="30" t="str">
        <f>IF(A125="","",IF(B125=0,"",LOOKUP(2,1/((Detalle_Pagos!$E$5:$E$2004=A125)*(Detalle_Pagos!$J$5:$J$2004="No")),Detalle_Pagos!$B$5:$B$2004)))</f>
        <v/>
      </c>
      <c r="G125" s="29" t="str">
        <f>IF(A125="","",SUMIFS(Detalle_Pagos!$I$5:$I$2004,Detalle_Pagos!$E$5:$E$2004,A125,Detalle_Pagos!$J$5:$J$2004,"Si"))</f>
        <v/>
      </c>
      <c r="H125" t="str">
        <f>IF(A125="","",COUNTIFS(Detalle_Pagos!$E$5:$E$2004,A125,Detalle_Pagos!$J$5:$J$2004,"Si"))</f>
        <v/>
      </c>
    </row>
    <row r="126" spans="1:8" x14ac:dyDescent="0.3">
      <c r="A126" t="str">
        <f>IF(Trabajadores!B123="","",Trabajadores!B123)</f>
        <v/>
      </c>
      <c r="B126" t="str">
        <f>IF(A126="","",COUNTIFS(Detalle_Pagos!$E$5:$E$2004,A126,Detalle_Pagos!$J$5:$J$2004,"No"))</f>
        <v/>
      </c>
      <c r="C126" s="29" t="str">
        <f>IF(A126="","",SUMIFS(Detalle_Pagos!$I$5:$I$2004,Detalle_Pagos!$E$5:$E$2004,A126,Detalle_Pagos!$J$5:$J$2004,"No"))</f>
        <v/>
      </c>
      <c r="D126" s="29" t="str">
        <f>IF(A126="","",B126*IFERROR(INDEX(Trabajadores!$D$5:$D$204,MATCH(A126,Trabajadores!$B$5:$B$204,0)),0))</f>
        <v/>
      </c>
      <c r="E126" s="29" t="str">
        <f t="shared" si="3"/>
        <v/>
      </c>
      <c r="F126" s="30" t="str">
        <f>IF(A126="","",IF(B126=0,"",LOOKUP(2,1/((Detalle_Pagos!$E$5:$E$2004=A126)*(Detalle_Pagos!$J$5:$J$2004="No")),Detalle_Pagos!$B$5:$B$2004)))</f>
        <v/>
      </c>
      <c r="G126" s="29" t="str">
        <f>IF(A126="","",SUMIFS(Detalle_Pagos!$I$5:$I$2004,Detalle_Pagos!$E$5:$E$2004,A126,Detalle_Pagos!$J$5:$J$2004,"Si"))</f>
        <v/>
      </c>
      <c r="H126" t="str">
        <f>IF(A126="","",COUNTIFS(Detalle_Pagos!$E$5:$E$2004,A126,Detalle_Pagos!$J$5:$J$2004,"Si"))</f>
        <v/>
      </c>
    </row>
    <row r="127" spans="1:8" x14ac:dyDescent="0.3">
      <c r="A127" t="str">
        <f>IF(Trabajadores!B124="","",Trabajadores!B124)</f>
        <v/>
      </c>
      <c r="B127" t="str">
        <f>IF(A127="","",COUNTIFS(Detalle_Pagos!$E$5:$E$2004,A127,Detalle_Pagos!$J$5:$J$2004,"No"))</f>
        <v/>
      </c>
      <c r="C127" s="29" t="str">
        <f>IF(A127="","",SUMIFS(Detalle_Pagos!$I$5:$I$2004,Detalle_Pagos!$E$5:$E$2004,A127,Detalle_Pagos!$J$5:$J$2004,"No"))</f>
        <v/>
      </c>
      <c r="D127" s="29" t="str">
        <f>IF(A127="","",B127*IFERROR(INDEX(Trabajadores!$D$5:$D$204,MATCH(A127,Trabajadores!$B$5:$B$204,0)),0))</f>
        <v/>
      </c>
      <c r="E127" s="29" t="str">
        <f t="shared" si="3"/>
        <v/>
      </c>
      <c r="F127" s="30" t="str">
        <f>IF(A127="","",IF(B127=0,"",LOOKUP(2,1/((Detalle_Pagos!$E$5:$E$2004=A127)*(Detalle_Pagos!$J$5:$J$2004="No")),Detalle_Pagos!$B$5:$B$2004)))</f>
        <v/>
      </c>
      <c r="G127" s="29" t="str">
        <f>IF(A127="","",SUMIFS(Detalle_Pagos!$I$5:$I$2004,Detalle_Pagos!$E$5:$E$2004,A127,Detalle_Pagos!$J$5:$J$2004,"Si"))</f>
        <v/>
      </c>
      <c r="H127" t="str">
        <f>IF(A127="","",COUNTIFS(Detalle_Pagos!$E$5:$E$2004,A127,Detalle_Pagos!$J$5:$J$2004,"Si"))</f>
        <v/>
      </c>
    </row>
    <row r="128" spans="1:8" x14ac:dyDescent="0.3">
      <c r="A128" t="str">
        <f>IF(Trabajadores!B125="","",Trabajadores!B125)</f>
        <v/>
      </c>
      <c r="B128" t="str">
        <f>IF(A128="","",COUNTIFS(Detalle_Pagos!$E$5:$E$2004,A128,Detalle_Pagos!$J$5:$J$2004,"No"))</f>
        <v/>
      </c>
      <c r="C128" s="29" t="str">
        <f>IF(A128="","",SUMIFS(Detalle_Pagos!$I$5:$I$2004,Detalle_Pagos!$E$5:$E$2004,A128,Detalle_Pagos!$J$5:$J$2004,"No"))</f>
        <v/>
      </c>
      <c r="D128" s="29" t="str">
        <f>IF(A128="","",B128*IFERROR(INDEX(Trabajadores!$D$5:$D$204,MATCH(A128,Trabajadores!$B$5:$B$204,0)),0))</f>
        <v/>
      </c>
      <c r="E128" s="29" t="str">
        <f t="shared" si="3"/>
        <v/>
      </c>
      <c r="F128" s="30" t="str">
        <f>IF(A128="","",IF(B128=0,"",LOOKUP(2,1/((Detalle_Pagos!$E$5:$E$2004=A128)*(Detalle_Pagos!$J$5:$J$2004="No")),Detalle_Pagos!$B$5:$B$2004)))</f>
        <v/>
      </c>
      <c r="G128" s="29" t="str">
        <f>IF(A128="","",SUMIFS(Detalle_Pagos!$I$5:$I$2004,Detalle_Pagos!$E$5:$E$2004,A128,Detalle_Pagos!$J$5:$J$2004,"Si"))</f>
        <v/>
      </c>
      <c r="H128" t="str">
        <f>IF(A128="","",COUNTIFS(Detalle_Pagos!$E$5:$E$2004,A128,Detalle_Pagos!$J$5:$J$2004,"Si"))</f>
        <v/>
      </c>
    </row>
    <row r="129" spans="1:8" x14ac:dyDescent="0.3">
      <c r="A129" t="str">
        <f>IF(Trabajadores!B126="","",Trabajadores!B126)</f>
        <v/>
      </c>
      <c r="B129" t="str">
        <f>IF(A129="","",COUNTIFS(Detalle_Pagos!$E$5:$E$2004,A129,Detalle_Pagos!$J$5:$J$2004,"No"))</f>
        <v/>
      </c>
      <c r="C129" s="29" t="str">
        <f>IF(A129="","",SUMIFS(Detalle_Pagos!$I$5:$I$2004,Detalle_Pagos!$E$5:$E$2004,A129,Detalle_Pagos!$J$5:$J$2004,"No"))</f>
        <v/>
      </c>
      <c r="D129" s="29" t="str">
        <f>IF(A129="","",B129*IFERROR(INDEX(Trabajadores!$D$5:$D$204,MATCH(A129,Trabajadores!$B$5:$B$204,0)),0))</f>
        <v/>
      </c>
      <c r="E129" s="29" t="str">
        <f t="shared" si="3"/>
        <v/>
      </c>
      <c r="F129" s="30" t="str">
        <f>IF(A129="","",IF(B129=0,"",LOOKUP(2,1/((Detalle_Pagos!$E$5:$E$2004=A129)*(Detalle_Pagos!$J$5:$J$2004="No")),Detalle_Pagos!$B$5:$B$2004)))</f>
        <v/>
      </c>
      <c r="G129" s="29" t="str">
        <f>IF(A129="","",SUMIFS(Detalle_Pagos!$I$5:$I$2004,Detalle_Pagos!$E$5:$E$2004,A129,Detalle_Pagos!$J$5:$J$2004,"Si"))</f>
        <v/>
      </c>
      <c r="H129" t="str">
        <f>IF(A129="","",COUNTIFS(Detalle_Pagos!$E$5:$E$2004,A129,Detalle_Pagos!$J$5:$J$2004,"Si"))</f>
        <v/>
      </c>
    </row>
    <row r="130" spans="1:8" x14ac:dyDescent="0.3">
      <c r="A130" t="str">
        <f>IF(Trabajadores!B127="","",Trabajadores!B127)</f>
        <v/>
      </c>
      <c r="B130" t="str">
        <f>IF(A130="","",COUNTIFS(Detalle_Pagos!$E$5:$E$2004,A130,Detalle_Pagos!$J$5:$J$2004,"No"))</f>
        <v/>
      </c>
      <c r="C130" s="29" t="str">
        <f>IF(A130="","",SUMIFS(Detalle_Pagos!$I$5:$I$2004,Detalle_Pagos!$E$5:$E$2004,A130,Detalle_Pagos!$J$5:$J$2004,"No"))</f>
        <v/>
      </c>
      <c r="D130" s="29" t="str">
        <f>IF(A130="","",B130*IFERROR(INDEX(Trabajadores!$D$5:$D$204,MATCH(A130,Trabajadores!$B$5:$B$204,0)),0))</f>
        <v/>
      </c>
      <c r="E130" s="29" t="str">
        <f t="shared" si="3"/>
        <v/>
      </c>
      <c r="F130" s="30" t="str">
        <f>IF(A130="","",IF(B130=0,"",LOOKUP(2,1/((Detalle_Pagos!$E$5:$E$2004=A130)*(Detalle_Pagos!$J$5:$J$2004="No")),Detalle_Pagos!$B$5:$B$2004)))</f>
        <v/>
      </c>
      <c r="G130" s="29" t="str">
        <f>IF(A130="","",SUMIFS(Detalle_Pagos!$I$5:$I$2004,Detalle_Pagos!$E$5:$E$2004,A130,Detalle_Pagos!$J$5:$J$2004,"Si"))</f>
        <v/>
      </c>
      <c r="H130" t="str">
        <f>IF(A130="","",COUNTIFS(Detalle_Pagos!$E$5:$E$2004,A130,Detalle_Pagos!$J$5:$J$2004,"Si"))</f>
        <v/>
      </c>
    </row>
    <row r="131" spans="1:8" x14ac:dyDescent="0.3">
      <c r="A131" t="str">
        <f>IF(Trabajadores!B128="","",Trabajadores!B128)</f>
        <v/>
      </c>
      <c r="B131" t="str">
        <f>IF(A131="","",COUNTIFS(Detalle_Pagos!$E$5:$E$2004,A131,Detalle_Pagos!$J$5:$J$2004,"No"))</f>
        <v/>
      </c>
      <c r="C131" s="29" t="str">
        <f>IF(A131="","",SUMIFS(Detalle_Pagos!$I$5:$I$2004,Detalle_Pagos!$E$5:$E$2004,A131,Detalle_Pagos!$J$5:$J$2004,"No"))</f>
        <v/>
      </c>
      <c r="D131" s="29" t="str">
        <f>IF(A131="","",B131*IFERROR(INDEX(Trabajadores!$D$5:$D$204,MATCH(A131,Trabajadores!$B$5:$B$204,0)),0))</f>
        <v/>
      </c>
      <c r="E131" s="29" t="str">
        <f t="shared" si="3"/>
        <v/>
      </c>
      <c r="F131" s="30" t="str">
        <f>IF(A131="","",IF(B131=0,"",LOOKUP(2,1/((Detalle_Pagos!$E$5:$E$2004=A131)*(Detalle_Pagos!$J$5:$J$2004="No")),Detalle_Pagos!$B$5:$B$2004)))</f>
        <v/>
      </c>
      <c r="G131" s="29" t="str">
        <f>IF(A131="","",SUMIFS(Detalle_Pagos!$I$5:$I$2004,Detalle_Pagos!$E$5:$E$2004,A131,Detalle_Pagos!$J$5:$J$2004,"Si"))</f>
        <v/>
      </c>
      <c r="H131" t="str">
        <f>IF(A131="","",COUNTIFS(Detalle_Pagos!$E$5:$E$2004,A131,Detalle_Pagos!$J$5:$J$2004,"Si"))</f>
        <v/>
      </c>
    </row>
    <row r="132" spans="1:8" x14ac:dyDescent="0.3">
      <c r="A132" t="str">
        <f>IF(Trabajadores!B129="","",Trabajadores!B129)</f>
        <v/>
      </c>
      <c r="B132" t="str">
        <f>IF(A132="","",COUNTIFS(Detalle_Pagos!$E$5:$E$2004,A132,Detalle_Pagos!$J$5:$J$2004,"No"))</f>
        <v/>
      </c>
      <c r="C132" s="29" t="str">
        <f>IF(A132="","",SUMIFS(Detalle_Pagos!$I$5:$I$2004,Detalle_Pagos!$E$5:$E$2004,A132,Detalle_Pagos!$J$5:$J$2004,"No"))</f>
        <v/>
      </c>
      <c r="D132" s="29" t="str">
        <f>IF(A132="","",B132*IFERROR(INDEX(Trabajadores!$D$5:$D$204,MATCH(A132,Trabajadores!$B$5:$B$204,0)),0))</f>
        <v/>
      </c>
      <c r="E132" s="29" t="str">
        <f t="shared" si="3"/>
        <v/>
      </c>
      <c r="F132" s="30" t="str">
        <f>IF(A132="","",IF(B132=0,"",LOOKUP(2,1/((Detalle_Pagos!$E$5:$E$2004=A132)*(Detalle_Pagos!$J$5:$J$2004="No")),Detalle_Pagos!$B$5:$B$2004)))</f>
        <v/>
      </c>
      <c r="G132" s="29" t="str">
        <f>IF(A132="","",SUMIFS(Detalle_Pagos!$I$5:$I$2004,Detalle_Pagos!$E$5:$E$2004,A132,Detalle_Pagos!$J$5:$J$2004,"Si"))</f>
        <v/>
      </c>
      <c r="H132" t="str">
        <f>IF(A132="","",COUNTIFS(Detalle_Pagos!$E$5:$E$2004,A132,Detalle_Pagos!$J$5:$J$2004,"Si"))</f>
        <v/>
      </c>
    </row>
    <row r="133" spans="1:8" x14ac:dyDescent="0.3">
      <c r="A133" t="str">
        <f>IF(Trabajadores!B130="","",Trabajadores!B130)</f>
        <v/>
      </c>
      <c r="B133" t="str">
        <f>IF(A133="","",COUNTIFS(Detalle_Pagos!$E$5:$E$2004,A133,Detalle_Pagos!$J$5:$J$2004,"No"))</f>
        <v/>
      </c>
      <c r="C133" s="29" t="str">
        <f>IF(A133="","",SUMIFS(Detalle_Pagos!$I$5:$I$2004,Detalle_Pagos!$E$5:$E$2004,A133,Detalle_Pagos!$J$5:$J$2004,"No"))</f>
        <v/>
      </c>
      <c r="D133" s="29" t="str">
        <f>IF(A133="","",B133*IFERROR(INDEX(Trabajadores!$D$5:$D$204,MATCH(A133,Trabajadores!$B$5:$B$204,0)),0))</f>
        <v/>
      </c>
      <c r="E133" s="29" t="str">
        <f t="shared" si="3"/>
        <v/>
      </c>
      <c r="F133" s="30" t="str">
        <f>IF(A133="","",IF(B133=0,"",LOOKUP(2,1/((Detalle_Pagos!$E$5:$E$2004=A133)*(Detalle_Pagos!$J$5:$J$2004="No")),Detalle_Pagos!$B$5:$B$2004)))</f>
        <v/>
      </c>
      <c r="G133" s="29" t="str">
        <f>IF(A133="","",SUMIFS(Detalle_Pagos!$I$5:$I$2004,Detalle_Pagos!$E$5:$E$2004,A133,Detalle_Pagos!$J$5:$J$2004,"Si"))</f>
        <v/>
      </c>
      <c r="H133" t="str">
        <f>IF(A133="","",COUNTIFS(Detalle_Pagos!$E$5:$E$2004,A133,Detalle_Pagos!$J$5:$J$2004,"Si"))</f>
        <v/>
      </c>
    </row>
    <row r="134" spans="1:8" x14ac:dyDescent="0.3">
      <c r="A134" t="str">
        <f>IF(Trabajadores!B131="","",Trabajadores!B131)</f>
        <v/>
      </c>
      <c r="B134" t="str">
        <f>IF(A134="","",COUNTIFS(Detalle_Pagos!$E$5:$E$2004,A134,Detalle_Pagos!$J$5:$J$2004,"No"))</f>
        <v/>
      </c>
      <c r="C134" s="29" t="str">
        <f>IF(A134="","",SUMIFS(Detalle_Pagos!$I$5:$I$2004,Detalle_Pagos!$E$5:$E$2004,A134,Detalle_Pagos!$J$5:$J$2004,"No"))</f>
        <v/>
      </c>
      <c r="D134" s="29" t="str">
        <f>IF(A134="","",B134*IFERROR(INDEX(Trabajadores!$D$5:$D$204,MATCH(A134,Trabajadores!$B$5:$B$204,0)),0))</f>
        <v/>
      </c>
      <c r="E134" s="29" t="str">
        <f t="shared" si="3"/>
        <v/>
      </c>
      <c r="F134" s="30" t="str">
        <f>IF(A134="","",IF(B134=0,"",LOOKUP(2,1/((Detalle_Pagos!$E$5:$E$2004=A134)*(Detalle_Pagos!$J$5:$J$2004="No")),Detalle_Pagos!$B$5:$B$2004)))</f>
        <v/>
      </c>
      <c r="G134" s="29" t="str">
        <f>IF(A134="","",SUMIFS(Detalle_Pagos!$I$5:$I$2004,Detalle_Pagos!$E$5:$E$2004,A134,Detalle_Pagos!$J$5:$J$2004,"Si"))</f>
        <v/>
      </c>
      <c r="H134" t="str">
        <f>IF(A134="","",COUNTIFS(Detalle_Pagos!$E$5:$E$2004,A134,Detalle_Pagos!$J$5:$J$2004,"Si"))</f>
        <v/>
      </c>
    </row>
    <row r="135" spans="1:8" x14ac:dyDescent="0.3">
      <c r="A135" t="str">
        <f>IF(Trabajadores!B132="","",Trabajadores!B132)</f>
        <v/>
      </c>
      <c r="B135" t="str">
        <f>IF(A135="","",COUNTIFS(Detalle_Pagos!$E$5:$E$2004,A135,Detalle_Pagos!$J$5:$J$2004,"No"))</f>
        <v/>
      </c>
      <c r="C135" s="29" t="str">
        <f>IF(A135="","",SUMIFS(Detalle_Pagos!$I$5:$I$2004,Detalle_Pagos!$E$5:$E$2004,A135,Detalle_Pagos!$J$5:$J$2004,"No"))</f>
        <v/>
      </c>
      <c r="D135" s="29" t="str">
        <f>IF(A135="","",B135*IFERROR(INDEX(Trabajadores!$D$5:$D$204,MATCH(A135,Trabajadores!$B$5:$B$204,0)),0))</f>
        <v/>
      </c>
      <c r="E135" s="29" t="str">
        <f t="shared" si="3"/>
        <v/>
      </c>
      <c r="F135" s="30" t="str">
        <f>IF(A135="","",IF(B135=0,"",LOOKUP(2,1/((Detalle_Pagos!$E$5:$E$2004=A135)*(Detalle_Pagos!$J$5:$J$2004="No")),Detalle_Pagos!$B$5:$B$2004)))</f>
        <v/>
      </c>
      <c r="G135" s="29" t="str">
        <f>IF(A135="","",SUMIFS(Detalle_Pagos!$I$5:$I$2004,Detalle_Pagos!$E$5:$E$2004,A135,Detalle_Pagos!$J$5:$J$2004,"Si"))</f>
        <v/>
      </c>
      <c r="H135" t="str">
        <f>IF(A135="","",COUNTIFS(Detalle_Pagos!$E$5:$E$2004,A135,Detalle_Pagos!$J$5:$J$2004,"Si"))</f>
        <v/>
      </c>
    </row>
    <row r="136" spans="1:8" x14ac:dyDescent="0.3">
      <c r="A136" t="str">
        <f>IF(Trabajadores!B133="","",Trabajadores!B133)</f>
        <v/>
      </c>
      <c r="B136" t="str">
        <f>IF(A136="","",COUNTIFS(Detalle_Pagos!$E$5:$E$2004,A136,Detalle_Pagos!$J$5:$J$2004,"No"))</f>
        <v/>
      </c>
      <c r="C136" s="29" t="str">
        <f>IF(A136="","",SUMIFS(Detalle_Pagos!$I$5:$I$2004,Detalle_Pagos!$E$5:$E$2004,A136,Detalle_Pagos!$J$5:$J$2004,"No"))</f>
        <v/>
      </c>
      <c r="D136" s="29" t="str">
        <f>IF(A136="","",B136*IFERROR(INDEX(Trabajadores!$D$5:$D$204,MATCH(A136,Trabajadores!$B$5:$B$204,0)),0))</f>
        <v/>
      </c>
      <c r="E136" s="29" t="str">
        <f t="shared" ref="E136:E167" si="4">IF(A136="","",C136+D136)</f>
        <v/>
      </c>
      <c r="F136" s="30" t="str">
        <f>IF(A136="","",IF(B136=0,"",LOOKUP(2,1/((Detalle_Pagos!$E$5:$E$2004=A136)*(Detalle_Pagos!$J$5:$J$2004="No")),Detalle_Pagos!$B$5:$B$2004)))</f>
        <v/>
      </c>
      <c r="G136" s="29" t="str">
        <f>IF(A136="","",SUMIFS(Detalle_Pagos!$I$5:$I$2004,Detalle_Pagos!$E$5:$E$2004,A136,Detalle_Pagos!$J$5:$J$2004,"Si"))</f>
        <v/>
      </c>
      <c r="H136" t="str">
        <f>IF(A136="","",COUNTIFS(Detalle_Pagos!$E$5:$E$2004,A136,Detalle_Pagos!$J$5:$J$2004,"Si"))</f>
        <v/>
      </c>
    </row>
    <row r="137" spans="1:8" x14ac:dyDescent="0.3">
      <c r="A137" t="str">
        <f>IF(Trabajadores!B134="","",Trabajadores!B134)</f>
        <v/>
      </c>
      <c r="B137" t="str">
        <f>IF(A137="","",COUNTIFS(Detalle_Pagos!$E$5:$E$2004,A137,Detalle_Pagos!$J$5:$J$2004,"No"))</f>
        <v/>
      </c>
      <c r="C137" s="29" t="str">
        <f>IF(A137="","",SUMIFS(Detalle_Pagos!$I$5:$I$2004,Detalle_Pagos!$E$5:$E$2004,A137,Detalle_Pagos!$J$5:$J$2004,"No"))</f>
        <v/>
      </c>
      <c r="D137" s="29" t="str">
        <f>IF(A137="","",B137*IFERROR(INDEX(Trabajadores!$D$5:$D$204,MATCH(A137,Trabajadores!$B$5:$B$204,0)),0))</f>
        <v/>
      </c>
      <c r="E137" s="29" t="str">
        <f t="shared" si="4"/>
        <v/>
      </c>
      <c r="F137" s="30" t="str">
        <f>IF(A137="","",IF(B137=0,"",LOOKUP(2,1/((Detalle_Pagos!$E$5:$E$2004=A137)*(Detalle_Pagos!$J$5:$J$2004="No")),Detalle_Pagos!$B$5:$B$2004)))</f>
        <v/>
      </c>
      <c r="G137" s="29" t="str">
        <f>IF(A137="","",SUMIFS(Detalle_Pagos!$I$5:$I$2004,Detalle_Pagos!$E$5:$E$2004,A137,Detalle_Pagos!$J$5:$J$2004,"Si"))</f>
        <v/>
      </c>
      <c r="H137" t="str">
        <f>IF(A137="","",COUNTIFS(Detalle_Pagos!$E$5:$E$2004,A137,Detalle_Pagos!$J$5:$J$2004,"Si"))</f>
        <v/>
      </c>
    </row>
    <row r="138" spans="1:8" x14ac:dyDescent="0.3">
      <c r="A138" t="str">
        <f>IF(Trabajadores!B135="","",Trabajadores!B135)</f>
        <v/>
      </c>
      <c r="B138" t="str">
        <f>IF(A138="","",COUNTIFS(Detalle_Pagos!$E$5:$E$2004,A138,Detalle_Pagos!$J$5:$J$2004,"No"))</f>
        <v/>
      </c>
      <c r="C138" s="29" t="str">
        <f>IF(A138="","",SUMIFS(Detalle_Pagos!$I$5:$I$2004,Detalle_Pagos!$E$5:$E$2004,A138,Detalle_Pagos!$J$5:$J$2004,"No"))</f>
        <v/>
      </c>
      <c r="D138" s="29" t="str">
        <f>IF(A138="","",B138*IFERROR(INDEX(Trabajadores!$D$5:$D$204,MATCH(A138,Trabajadores!$B$5:$B$204,0)),0))</f>
        <v/>
      </c>
      <c r="E138" s="29" t="str">
        <f t="shared" si="4"/>
        <v/>
      </c>
      <c r="F138" s="30" t="str">
        <f>IF(A138="","",IF(B138=0,"",LOOKUP(2,1/((Detalle_Pagos!$E$5:$E$2004=A138)*(Detalle_Pagos!$J$5:$J$2004="No")),Detalle_Pagos!$B$5:$B$2004)))</f>
        <v/>
      </c>
      <c r="G138" s="29" t="str">
        <f>IF(A138="","",SUMIFS(Detalle_Pagos!$I$5:$I$2004,Detalle_Pagos!$E$5:$E$2004,A138,Detalle_Pagos!$J$5:$J$2004,"Si"))</f>
        <v/>
      </c>
      <c r="H138" t="str">
        <f>IF(A138="","",COUNTIFS(Detalle_Pagos!$E$5:$E$2004,A138,Detalle_Pagos!$J$5:$J$2004,"Si"))</f>
        <v/>
      </c>
    </row>
    <row r="139" spans="1:8" x14ac:dyDescent="0.3">
      <c r="A139" t="str">
        <f>IF(Trabajadores!B136="","",Trabajadores!B136)</f>
        <v/>
      </c>
      <c r="B139" t="str">
        <f>IF(A139="","",COUNTIFS(Detalle_Pagos!$E$5:$E$2004,A139,Detalle_Pagos!$J$5:$J$2004,"No"))</f>
        <v/>
      </c>
      <c r="C139" s="29" t="str">
        <f>IF(A139="","",SUMIFS(Detalle_Pagos!$I$5:$I$2004,Detalle_Pagos!$E$5:$E$2004,A139,Detalle_Pagos!$J$5:$J$2004,"No"))</f>
        <v/>
      </c>
      <c r="D139" s="29" t="str">
        <f>IF(A139="","",B139*IFERROR(INDEX(Trabajadores!$D$5:$D$204,MATCH(A139,Trabajadores!$B$5:$B$204,0)),0))</f>
        <v/>
      </c>
      <c r="E139" s="29" t="str">
        <f t="shared" si="4"/>
        <v/>
      </c>
      <c r="F139" s="30" t="str">
        <f>IF(A139="","",IF(B139=0,"",LOOKUP(2,1/((Detalle_Pagos!$E$5:$E$2004=A139)*(Detalle_Pagos!$J$5:$J$2004="No")),Detalle_Pagos!$B$5:$B$2004)))</f>
        <v/>
      </c>
      <c r="G139" s="29" t="str">
        <f>IF(A139="","",SUMIFS(Detalle_Pagos!$I$5:$I$2004,Detalle_Pagos!$E$5:$E$2004,A139,Detalle_Pagos!$J$5:$J$2004,"Si"))</f>
        <v/>
      </c>
      <c r="H139" t="str">
        <f>IF(A139="","",COUNTIFS(Detalle_Pagos!$E$5:$E$2004,A139,Detalle_Pagos!$J$5:$J$2004,"Si"))</f>
        <v/>
      </c>
    </row>
    <row r="140" spans="1:8" x14ac:dyDescent="0.3">
      <c r="A140" t="str">
        <f>IF(Trabajadores!B137="","",Trabajadores!B137)</f>
        <v/>
      </c>
      <c r="B140" t="str">
        <f>IF(A140="","",COUNTIFS(Detalle_Pagos!$E$5:$E$2004,A140,Detalle_Pagos!$J$5:$J$2004,"No"))</f>
        <v/>
      </c>
      <c r="C140" s="29" t="str">
        <f>IF(A140="","",SUMIFS(Detalle_Pagos!$I$5:$I$2004,Detalle_Pagos!$E$5:$E$2004,A140,Detalle_Pagos!$J$5:$J$2004,"No"))</f>
        <v/>
      </c>
      <c r="D140" s="29" t="str">
        <f>IF(A140="","",B140*IFERROR(INDEX(Trabajadores!$D$5:$D$204,MATCH(A140,Trabajadores!$B$5:$B$204,0)),0))</f>
        <v/>
      </c>
      <c r="E140" s="29" t="str">
        <f t="shared" si="4"/>
        <v/>
      </c>
      <c r="F140" s="30" t="str">
        <f>IF(A140="","",IF(B140=0,"",LOOKUP(2,1/((Detalle_Pagos!$E$5:$E$2004=A140)*(Detalle_Pagos!$J$5:$J$2004="No")),Detalle_Pagos!$B$5:$B$2004)))</f>
        <v/>
      </c>
      <c r="G140" s="29" t="str">
        <f>IF(A140="","",SUMIFS(Detalle_Pagos!$I$5:$I$2004,Detalle_Pagos!$E$5:$E$2004,A140,Detalle_Pagos!$J$5:$J$2004,"Si"))</f>
        <v/>
      </c>
      <c r="H140" t="str">
        <f>IF(A140="","",COUNTIFS(Detalle_Pagos!$E$5:$E$2004,A140,Detalle_Pagos!$J$5:$J$2004,"Si"))</f>
        <v/>
      </c>
    </row>
    <row r="141" spans="1:8" x14ac:dyDescent="0.3">
      <c r="A141" t="str">
        <f>IF(Trabajadores!B138="","",Trabajadores!B138)</f>
        <v/>
      </c>
      <c r="B141" t="str">
        <f>IF(A141="","",COUNTIFS(Detalle_Pagos!$E$5:$E$2004,A141,Detalle_Pagos!$J$5:$J$2004,"No"))</f>
        <v/>
      </c>
      <c r="C141" s="29" t="str">
        <f>IF(A141="","",SUMIFS(Detalle_Pagos!$I$5:$I$2004,Detalle_Pagos!$E$5:$E$2004,A141,Detalle_Pagos!$J$5:$J$2004,"No"))</f>
        <v/>
      </c>
      <c r="D141" s="29" t="str">
        <f>IF(A141="","",B141*IFERROR(INDEX(Trabajadores!$D$5:$D$204,MATCH(A141,Trabajadores!$B$5:$B$204,0)),0))</f>
        <v/>
      </c>
      <c r="E141" s="29" t="str">
        <f t="shared" si="4"/>
        <v/>
      </c>
      <c r="F141" s="30" t="str">
        <f>IF(A141="","",IF(B141=0,"",LOOKUP(2,1/((Detalle_Pagos!$E$5:$E$2004=A141)*(Detalle_Pagos!$J$5:$J$2004="No")),Detalle_Pagos!$B$5:$B$2004)))</f>
        <v/>
      </c>
      <c r="G141" s="29" t="str">
        <f>IF(A141="","",SUMIFS(Detalle_Pagos!$I$5:$I$2004,Detalle_Pagos!$E$5:$E$2004,A141,Detalle_Pagos!$J$5:$J$2004,"Si"))</f>
        <v/>
      </c>
      <c r="H141" t="str">
        <f>IF(A141="","",COUNTIFS(Detalle_Pagos!$E$5:$E$2004,A141,Detalle_Pagos!$J$5:$J$2004,"Si"))</f>
        <v/>
      </c>
    </row>
    <row r="142" spans="1:8" x14ac:dyDescent="0.3">
      <c r="A142" t="str">
        <f>IF(Trabajadores!B139="","",Trabajadores!B139)</f>
        <v/>
      </c>
      <c r="B142" t="str">
        <f>IF(A142="","",COUNTIFS(Detalle_Pagos!$E$5:$E$2004,A142,Detalle_Pagos!$J$5:$J$2004,"No"))</f>
        <v/>
      </c>
      <c r="C142" s="29" t="str">
        <f>IF(A142="","",SUMIFS(Detalle_Pagos!$I$5:$I$2004,Detalle_Pagos!$E$5:$E$2004,A142,Detalle_Pagos!$J$5:$J$2004,"No"))</f>
        <v/>
      </c>
      <c r="D142" s="29" t="str">
        <f>IF(A142="","",B142*IFERROR(INDEX(Trabajadores!$D$5:$D$204,MATCH(A142,Trabajadores!$B$5:$B$204,0)),0))</f>
        <v/>
      </c>
      <c r="E142" s="29" t="str">
        <f t="shared" si="4"/>
        <v/>
      </c>
      <c r="F142" s="30" t="str">
        <f>IF(A142="","",IF(B142=0,"",LOOKUP(2,1/((Detalle_Pagos!$E$5:$E$2004=A142)*(Detalle_Pagos!$J$5:$J$2004="No")),Detalle_Pagos!$B$5:$B$2004)))</f>
        <v/>
      </c>
      <c r="G142" s="29" t="str">
        <f>IF(A142="","",SUMIFS(Detalle_Pagos!$I$5:$I$2004,Detalle_Pagos!$E$5:$E$2004,A142,Detalle_Pagos!$J$5:$J$2004,"Si"))</f>
        <v/>
      </c>
      <c r="H142" t="str">
        <f>IF(A142="","",COUNTIFS(Detalle_Pagos!$E$5:$E$2004,A142,Detalle_Pagos!$J$5:$J$2004,"Si"))</f>
        <v/>
      </c>
    </row>
    <row r="143" spans="1:8" x14ac:dyDescent="0.3">
      <c r="A143" t="str">
        <f>IF(Trabajadores!B140="","",Trabajadores!B140)</f>
        <v/>
      </c>
      <c r="B143" t="str">
        <f>IF(A143="","",COUNTIFS(Detalle_Pagos!$E$5:$E$2004,A143,Detalle_Pagos!$J$5:$J$2004,"No"))</f>
        <v/>
      </c>
      <c r="C143" s="29" t="str">
        <f>IF(A143="","",SUMIFS(Detalle_Pagos!$I$5:$I$2004,Detalle_Pagos!$E$5:$E$2004,A143,Detalle_Pagos!$J$5:$J$2004,"No"))</f>
        <v/>
      </c>
      <c r="D143" s="29" t="str">
        <f>IF(A143="","",B143*IFERROR(INDEX(Trabajadores!$D$5:$D$204,MATCH(A143,Trabajadores!$B$5:$B$204,0)),0))</f>
        <v/>
      </c>
      <c r="E143" s="29" t="str">
        <f t="shared" si="4"/>
        <v/>
      </c>
      <c r="F143" s="30" t="str">
        <f>IF(A143="","",IF(B143=0,"",LOOKUP(2,1/((Detalle_Pagos!$E$5:$E$2004=A143)*(Detalle_Pagos!$J$5:$J$2004="No")),Detalle_Pagos!$B$5:$B$2004)))</f>
        <v/>
      </c>
      <c r="G143" s="29" t="str">
        <f>IF(A143="","",SUMIFS(Detalle_Pagos!$I$5:$I$2004,Detalle_Pagos!$E$5:$E$2004,A143,Detalle_Pagos!$J$5:$J$2004,"Si"))</f>
        <v/>
      </c>
      <c r="H143" t="str">
        <f>IF(A143="","",COUNTIFS(Detalle_Pagos!$E$5:$E$2004,A143,Detalle_Pagos!$J$5:$J$2004,"Si"))</f>
        <v/>
      </c>
    </row>
    <row r="144" spans="1:8" x14ac:dyDescent="0.3">
      <c r="A144" t="str">
        <f>IF(Trabajadores!B141="","",Trabajadores!B141)</f>
        <v/>
      </c>
      <c r="B144" t="str">
        <f>IF(A144="","",COUNTIFS(Detalle_Pagos!$E$5:$E$2004,A144,Detalle_Pagos!$J$5:$J$2004,"No"))</f>
        <v/>
      </c>
      <c r="C144" s="29" t="str">
        <f>IF(A144="","",SUMIFS(Detalle_Pagos!$I$5:$I$2004,Detalle_Pagos!$E$5:$E$2004,A144,Detalle_Pagos!$J$5:$J$2004,"No"))</f>
        <v/>
      </c>
      <c r="D144" s="29" t="str">
        <f>IF(A144="","",B144*IFERROR(INDEX(Trabajadores!$D$5:$D$204,MATCH(A144,Trabajadores!$B$5:$B$204,0)),0))</f>
        <v/>
      </c>
      <c r="E144" s="29" t="str">
        <f t="shared" si="4"/>
        <v/>
      </c>
      <c r="F144" s="30" t="str">
        <f>IF(A144="","",IF(B144=0,"",LOOKUP(2,1/((Detalle_Pagos!$E$5:$E$2004=A144)*(Detalle_Pagos!$J$5:$J$2004="No")),Detalle_Pagos!$B$5:$B$2004)))</f>
        <v/>
      </c>
      <c r="G144" s="29" t="str">
        <f>IF(A144="","",SUMIFS(Detalle_Pagos!$I$5:$I$2004,Detalle_Pagos!$E$5:$E$2004,A144,Detalle_Pagos!$J$5:$J$2004,"Si"))</f>
        <v/>
      </c>
      <c r="H144" t="str">
        <f>IF(A144="","",COUNTIFS(Detalle_Pagos!$E$5:$E$2004,A144,Detalle_Pagos!$J$5:$J$2004,"Si"))</f>
        <v/>
      </c>
    </row>
    <row r="145" spans="1:8" x14ac:dyDescent="0.3">
      <c r="A145" t="str">
        <f>IF(Trabajadores!B142="","",Trabajadores!B142)</f>
        <v/>
      </c>
      <c r="B145" t="str">
        <f>IF(A145="","",COUNTIFS(Detalle_Pagos!$E$5:$E$2004,A145,Detalle_Pagos!$J$5:$J$2004,"No"))</f>
        <v/>
      </c>
      <c r="C145" s="29" t="str">
        <f>IF(A145="","",SUMIFS(Detalle_Pagos!$I$5:$I$2004,Detalle_Pagos!$E$5:$E$2004,A145,Detalle_Pagos!$J$5:$J$2004,"No"))</f>
        <v/>
      </c>
      <c r="D145" s="29" t="str">
        <f>IF(A145="","",B145*IFERROR(INDEX(Trabajadores!$D$5:$D$204,MATCH(A145,Trabajadores!$B$5:$B$204,0)),0))</f>
        <v/>
      </c>
      <c r="E145" s="29" t="str">
        <f t="shared" si="4"/>
        <v/>
      </c>
      <c r="F145" s="30" t="str">
        <f>IF(A145="","",IF(B145=0,"",LOOKUP(2,1/((Detalle_Pagos!$E$5:$E$2004=A145)*(Detalle_Pagos!$J$5:$J$2004="No")),Detalle_Pagos!$B$5:$B$2004)))</f>
        <v/>
      </c>
      <c r="G145" s="29" t="str">
        <f>IF(A145="","",SUMIFS(Detalle_Pagos!$I$5:$I$2004,Detalle_Pagos!$E$5:$E$2004,A145,Detalle_Pagos!$J$5:$J$2004,"Si"))</f>
        <v/>
      </c>
      <c r="H145" t="str">
        <f>IF(A145="","",COUNTIFS(Detalle_Pagos!$E$5:$E$2004,A145,Detalle_Pagos!$J$5:$J$2004,"Si"))</f>
        <v/>
      </c>
    </row>
    <row r="146" spans="1:8" x14ac:dyDescent="0.3">
      <c r="A146" t="str">
        <f>IF(Trabajadores!B143="","",Trabajadores!B143)</f>
        <v/>
      </c>
      <c r="B146" t="str">
        <f>IF(A146="","",COUNTIFS(Detalle_Pagos!$E$5:$E$2004,A146,Detalle_Pagos!$J$5:$J$2004,"No"))</f>
        <v/>
      </c>
      <c r="C146" s="29" t="str">
        <f>IF(A146="","",SUMIFS(Detalle_Pagos!$I$5:$I$2004,Detalle_Pagos!$E$5:$E$2004,A146,Detalle_Pagos!$J$5:$J$2004,"No"))</f>
        <v/>
      </c>
      <c r="D146" s="29" t="str">
        <f>IF(A146="","",B146*IFERROR(INDEX(Trabajadores!$D$5:$D$204,MATCH(A146,Trabajadores!$B$5:$B$204,0)),0))</f>
        <v/>
      </c>
      <c r="E146" s="29" t="str">
        <f t="shared" si="4"/>
        <v/>
      </c>
      <c r="F146" s="30" t="str">
        <f>IF(A146="","",IF(B146=0,"",LOOKUP(2,1/((Detalle_Pagos!$E$5:$E$2004=A146)*(Detalle_Pagos!$J$5:$J$2004="No")),Detalle_Pagos!$B$5:$B$2004)))</f>
        <v/>
      </c>
      <c r="G146" s="29" t="str">
        <f>IF(A146="","",SUMIFS(Detalle_Pagos!$I$5:$I$2004,Detalle_Pagos!$E$5:$E$2004,A146,Detalle_Pagos!$J$5:$J$2004,"Si"))</f>
        <v/>
      </c>
      <c r="H146" t="str">
        <f>IF(A146="","",COUNTIFS(Detalle_Pagos!$E$5:$E$2004,A146,Detalle_Pagos!$J$5:$J$2004,"Si"))</f>
        <v/>
      </c>
    </row>
    <row r="147" spans="1:8" x14ac:dyDescent="0.3">
      <c r="A147" t="str">
        <f>IF(Trabajadores!B144="","",Trabajadores!B144)</f>
        <v/>
      </c>
      <c r="B147" t="str">
        <f>IF(A147="","",COUNTIFS(Detalle_Pagos!$E$5:$E$2004,A147,Detalle_Pagos!$J$5:$J$2004,"No"))</f>
        <v/>
      </c>
      <c r="C147" s="29" t="str">
        <f>IF(A147="","",SUMIFS(Detalle_Pagos!$I$5:$I$2004,Detalle_Pagos!$E$5:$E$2004,A147,Detalle_Pagos!$J$5:$J$2004,"No"))</f>
        <v/>
      </c>
      <c r="D147" s="29" t="str">
        <f>IF(A147="","",B147*IFERROR(INDEX(Trabajadores!$D$5:$D$204,MATCH(A147,Trabajadores!$B$5:$B$204,0)),0))</f>
        <v/>
      </c>
      <c r="E147" s="29" t="str">
        <f t="shared" si="4"/>
        <v/>
      </c>
      <c r="F147" s="30" t="str">
        <f>IF(A147="","",IF(B147=0,"",LOOKUP(2,1/((Detalle_Pagos!$E$5:$E$2004=A147)*(Detalle_Pagos!$J$5:$J$2004="No")),Detalle_Pagos!$B$5:$B$2004)))</f>
        <v/>
      </c>
      <c r="G147" s="29" t="str">
        <f>IF(A147="","",SUMIFS(Detalle_Pagos!$I$5:$I$2004,Detalle_Pagos!$E$5:$E$2004,A147,Detalle_Pagos!$J$5:$J$2004,"Si"))</f>
        <v/>
      </c>
      <c r="H147" t="str">
        <f>IF(A147="","",COUNTIFS(Detalle_Pagos!$E$5:$E$2004,A147,Detalle_Pagos!$J$5:$J$2004,"Si"))</f>
        <v/>
      </c>
    </row>
    <row r="148" spans="1:8" x14ac:dyDescent="0.3">
      <c r="A148" t="str">
        <f>IF(Trabajadores!B145="","",Trabajadores!B145)</f>
        <v/>
      </c>
      <c r="B148" t="str">
        <f>IF(A148="","",COUNTIFS(Detalle_Pagos!$E$5:$E$2004,A148,Detalle_Pagos!$J$5:$J$2004,"No"))</f>
        <v/>
      </c>
      <c r="C148" s="29" t="str">
        <f>IF(A148="","",SUMIFS(Detalle_Pagos!$I$5:$I$2004,Detalle_Pagos!$E$5:$E$2004,A148,Detalle_Pagos!$J$5:$J$2004,"No"))</f>
        <v/>
      </c>
      <c r="D148" s="29" t="str">
        <f>IF(A148="","",B148*IFERROR(INDEX(Trabajadores!$D$5:$D$204,MATCH(A148,Trabajadores!$B$5:$B$204,0)),0))</f>
        <v/>
      </c>
      <c r="E148" s="29" t="str">
        <f t="shared" si="4"/>
        <v/>
      </c>
      <c r="F148" s="30" t="str">
        <f>IF(A148="","",IF(B148=0,"",LOOKUP(2,1/((Detalle_Pagos!$E$5:$E$2004=A148)*(Detalle_Pagos!$J$5:$J$2004="No")),Detalle_Pagos!$B$5:$B$2004)))</f>
        <v/>
      </c>
      <c r="G148" s="29" t="str">
        <f>IF(A148="","",SUMIFS(Detalle_Pagos!$I$5:$I$2004,Detalle_Pagos!$E$5:$E$2004,A148,Detalle_Pagos!$J$5:$J$2004,"Si"))</f>
        <v/>
      </c>
      <c r="H148" t="str">
        <f>IF(A148="","",COUNTIFS(Detalle_Pagos!$E$5:$E$2004,A148,Detalle_Pagos!$J$5:$J$2004,"Si"))</f>
        <v/>
      </c>
    </row>
    <row r="149" spans="1:8" x14ac:dyDescent="0.3">
      <c r="A149" t="str">
        <f>IF(Trabajadores!B146="","",Trabajadores!B146)</f>
        <v/>
      </c>
      <c r="B149" t="str">
        <f>IF(A149="","",COUNTIFS(Detalle_Pagos!$E$5:$E$2004,A149,Detalle_Pagos!$J$5:$J$2004,"No"))</f>
        <v/>
      </c>
      <c r="C149" s="29" t="str">
        <f>IF(A149="","",SUMIFS(Detalle_Pagos!$I$5:$I$2004,Detalle_Pagos!$E$5:$E$2004,A149,Detalle_Pagos!$J$5:$J$2004,"No"))</f>
        <v/>
      </c>
      <c r="D149" s="29" t="str">
        <f>IF(A149="","",B149*IFERROR(INDEX(Trabajadores!$D$5:$D$204,MATCH(A149,Trabajadores!$B$5:$B$204,0)),0))</f>
        <v/>
      </c>
      <c r="E149" s="29" t="str">
        <f t="shared" si="4"/>
        <v/>
      </c>
      <c r="F149" s="30" t="str">
        <f>IF(A149="","",IF(B149=0,"",LOOKUP(2,1/((Detalle_Pagos!$E$5:$E$2004=A149)*(Detalle_Pagos!$J$5:$J$2004="No")),Detalle_Pagos!$B$5:$B$2004)))</f>
        <v/>
      </c>
      <c r="G149" s="29" t="str">
        <f>IF(A149="","",SUMIFS(Detalle_Pagos!$I$5:$I$2004,Detalle_Pagos!$E$5:$E$2004,A149,Detalle_Pagos!$J$5:$J$2004,"Si"))</f>
        <v/>
      </c>
      <c r="H149" t="str">
        <f>IF(A149="","",COUNTIFS(Detalle_Pagos!$E$5:$E$2004,A149,Detalle_Pagos!$J$5:$J$2004,"Si"))</f>
        <v/>
      </c>
    </row>
    <row r="150" spans="1:8" x14ac:dyDescent="0.3">
      <c r="A150" t="str">
        <f>IF(Trabajadores!B147="","",Trabajadores!B147)</f>
        <v/>
      </c>
      <c r="B150" t="str">
        <f>IF(A150="","",COUNTIFS(Detalle_Pagos!$E$5:$E$2004,A150,Detalle_Pagos!$J$5:$J$2004,"No"))</f>
        <v/>
      </c>
      <c r="C150" s="29" t="str">
        <f>IF(A150="","",SUMIFS(Detalle_Pagos!$I$5:$I$2004,Detalle_Pagos!$E$5:$E$2004,A150,Detalle_Pagos!$J$5:$J$2004,"No"))</f>
        <v/>
      </c>
      <c r="D150" s="29" t="str">
        <f>IF(A150="","",B150*IFERROR(INDEX(Trabajadores!$D$5:$D$204,MATCH(A150,Trabajadores!$B$5:$B$204,0)),0))</f>
        <v/>
      </c>
      <c r="E150" s="29" t="str">
        <f t="shared" si="4"/>
        <v/>
      </c>
      <c r="F150" s="30" t="str">
        <f>IF(A150="","",IF(B150=0,"",LOOKUP(2,1/((Detalle_Pagos!$E$5:$E$2004=A150)*(Detalle_Pagos!$J$5:$J$2004="No")),Detalle_Pagos!$B$5:$B$2004)))</f>
        <v/>
      </c>
      <c r="G150" s="29" t="str">
        <f>IF(A150="","",SUMIFS(Detalle_Pagos!$I$5:$I$2004,Detalle_Pagos!$E$5:$E$2004,A150,Detalle_Pagos!$J$5:$J$2004,"Si"))</f>
        <v/>
      </c>
      <c r="H150" t="str">
        <f>IF(A150="","",COUNTIFS(Detalle_Pagos!$E$5:$E$2004,A150,Detalle_Pagos!$J$5:$J$2004,"Si"))</f>
        <v/>
      </c>
    </row>
    <row r="151" spans="1:8" x14ac:dyDescent="0.3">
      <c r="A151" t="str">
        <f>IF(Trabajadores!B148="","",Trabajadores!B148)</f>
        <v/>
      </c>
      <c r="B151" t="str">
        <f>IF(A151="","",COUNTIFS(Detalle_Pagos!$E$5:$E$2004,A151,Detalle_Pagos!$J$5:$J$2004,"No"))</f>
        <v/>
      </c>
      <c r="C151" s="29" t="str">
        <f>IF(A151="","",SUMIFS(Detalle_Pagos!$I$5:$I$2004,Detalle_Pagos!$E$5:$E$2004,A151,Detalle_Pagos!$J$5:$J$2004,"No"))</f>
        <v/>
      </c>
      <c r="D151" s="29" t="str">
        <f>IF(A151="","",B151*IFERROR(INDEX(Trabajadores!$D$5:$D$204,MATCH(A151,Trabajadores!$B$5:$B$204,0)),0))</f>
        <v/>
      </c>
      <c r="E151" s="29" t="str">
        <f t="shared" si="4"/>
        <v/>
      </c>
      <c r="F151" s="30" t="str">
        <f>IF(A151="","",IF(B151=0,"",LOOKUP(2,1/((Detalle_Pagos!$E$5:$E$2004=A151)*(Detalle_Pagos!$J$5:$J$2004="No")),Detalle_Pagos!$B$5:$B$2004)))</f>
        <v/>
      </c>
      <c r="G151" s="29" t="str">
        <f>IF(A151="","",SUMIFS(Detalle_Pagos!$I$5:$I$2004,Detalle_Pagos!$E$5:$E$2004,A151,Detalle_Pagos!$J$5:$J$2004,"Si"))</f>
        <v/>
      </c>
      <c r="H151" t="str">
        <f>IF(A151="","",COUNTIFS(Detalle_Pagos!$E$5:$E$2004,A151,Detalle_Pagos!$J$5:$J$2004,"Si"))</f>
        <v/>
      </c>
    </row>
    <row r="152" spans="1:8" x14ac:dyDescent="0.3">
      <c r="A152" t="str">
        <f>IF(Trabajadores!B149="","",Trabajadores!B149)</f>
        <v/>
      </c>
      <c r="B152" t="str">
        <f>IF(A152="","",COUNTIFS(Detalle_Pagos!$E$5:$E$2004,A152,Detalle_Pagos!$J$5:$J$2004,"No"))</f>
        <v/>
      </c>
      <c r="C152" s="29" t="str">
        <f>IF(A152="","",SUMIFS(Detalle_Pagos!$I$5:$I$2004,Detalle_Pagos!$E$5:$E$2004,A152,Detalle_Pagos!$J$5:$J$2004,"No"))</f>
        <v/>
      </c>
      <c r="D152" s="29" t="str">
        <f>IF(A152="","",B152*IFERROR(INDEX(Trabajadores!$D$5:$D$204,MATCH(A152,Trabajadores!$B$5:$B$204,0)),0))</f>
        <v/>
      </c>
      <c r="E152" s="29" t="str">
        <f t="shared" si="4"/>
        <v/>
      </c>
      <c r="F152" s="30" t="str">
        <f>IF(A152="","",IF(B152=0,"",LOOKUP(2,1/((Detalle_Pagos!$E$5:$E$2004=A152)*(Detalle_Pagos!$J$5:$J$2004="No")),Detalle_Pagos!$B$5:$B$2004)))</f>
        <v/>
      </c>
      <c r="G152" s="29" t="str">
        <f>IF(A152="","",SUMIFS(Detalle_Pagos!$I$5:$I$2004,Detalle_Pagos!$E$5:$E$2004,A152,Detalle_Pagos!$J$5:$J$2004,"Si"))</f>
        <v/>
      </c>
      <c r="H152" t="str">
        <f>IF(A152="","",COUNTIFS(Detalle_Pagos!$E$5:$E$2004,A152,Detalle_Pagos!$J$5:$J$2004,"Si"))</f>
        <v/>
      </c>
    </row>
    <row r="153" spans="1:8" x14ac:dyDescent="0.3">
      <c r="A153" t="str">
        <f>IF(Trabajadores!B150="","",Trabajadores!B150)</f>
        <v/>
      </c>
      <c r="B153" t="str">
        <f>IF(A153="","",COUNTIFS(Detalle_Pagos!$E$5:$E$2004,A153,Detalle_Pagos!$J$5:$J$2004,"No"))</f>
        <v/>
      </c>
      <c r="C153" s="29" t="str">
        <f>IF(A153="","",SUMIFS(Detalle_Pagos!$I$5:$I$2004,Detalle_Pagos!$E$5:$E$2004,A153,Detalle_Pagos!$J$5:$J$2004,"No"))</f>
        <v/>
      </c>
      <c r="D153" s="29" t="str">
        <f>IF(A153="","",B153*IFERROR(INDEX(Trabajadores!$D$5:$D$204,MATCH(A153,Trabajadores!$B$5:$B$204,0)),0))</f>
        <v/>
      </c>
      <c r="E153" s="29" t="str">
        <f t="shared" si="4"/>
        <v/>
      </c>
      <c r="F153" s="30" t="str">
        <f>IF(A153="","",IF(B153=0,"",LOOKUP(2,1/((Detalle_Pagos!$E$5:$E$2004=A153)*(Detalle_Pagos!$J$5:$J$2004="No")),Detalle_Pagos!$B$5:$B$2004)))</f>
        <v/>
      </c>
      <c r="G153" s="29" t="str">
        <f>IF(A153="","",SUMIFS(Detalle_Pagos!$I$5:$I$2004,Detalle_Pagos!$E$5:$E$2004,A153,Detalle_Pagos!$J$5:$J$2004,"Si"))</f>
        <v/>
      </c>
      <c r="H153" t="str">
        <f>IF(A153="","",COUNTIFS(Detalle_Pagos!$E$5:$E$2004,A153,Detalle_Pagos!$J$5:$J$2004,"Si"))</f>
        <v/>
      </c>
    </row>
    <row r="154" spans="1:8" x14ac:dyDescent="0.3">
      <c r="A154" t="str">
        <f>IF(Trabajadores!B151="","",Trabajadores!B151)</f>
        <v/>
      </c>
      <c r="B154" t="str">
        <f>IF(A154="","",COUNTIFS(Detalle_Pagos!$E$5:$E$2004,A154,Detalle_Pagos!$J$5:$J$2004,"No"))</f>
        <v/>
      </c>
      <c r="C154" s="29" t="str">
        <f>IF(A154="","",SUMIFS(Detalle_Pagos!$I$5:$I$2004,Detalle_Pagos!$E$5:$E$2004,A154,Detalle_Pagos!$J$5:$J$2004,"No"))</f>
        <v/>
      </c>
      <c r="D154" s="29" t="str">
        <f>IF(A154="","",B154*IFERROR(INDEX(Trabajadores!$D$5:$D$204,MATCH(A154,Trabajadores!$B$5:$B$204,0)),0))</f>
        <v/>
      </c>
      <c r="E154" s="29" t="str">
        <f t="shared" si="4"/>
        <v/>
      </c>
      <c r="F154" s="30" t="str">
        <f>IF(A154="","",IF(B154=0,"",LOOKUP(2,1/((Detalle_Pagos!$E$5:$E$2004=A154)*(Detalle_Pagos!$J$5:$J$2004="No")),Detalle_Pagos!$B$5:$B$2004)))</f>
        <v/>
      </c>
      <c r="G154" s="29" t="str">
        <f>IF(A154="","",SUMIFS(Detalle_Pagos!$I$5:$I$2004,Detalle_Pagos!$E$5:$E$2004,A154,Detalle_Pagos!$J$5:$J$2004,"Si"))</f>
        <v/>
      </c>
      <c r="H154" t="str">
        <f>IF(A154="","",COUNTIFS(Detalle_Pagos!$E$5:$E$2004,A154,Detalle_Pagos!$J$5:$J$2004,"Si"))</f>
        <v/>
      </c>
    </row>
    <row r="155" spans="1:8" x14ac:dyDescent="0.3">
      <c r="A155" t="str">
        <f>IF(Trabajadores!B152="","",Trabajadores!B152)</f>
        <v/>
      </c>
      <c r="B155" t="str">
        <f>IF(A155="","",COUNTIFS(Detalle_Pagos!$E$5:$E$2004,A155,Detalle_Pagos!$J$5:$J$2004,"No"))</f>
        <v/>
      </c>
      <c r="C155" s="29" t="str">
        <f>IF(A155="","",SUMIFS(Detalle_Pagos!$I$5:$I$2004,Detalle_Pagos!$E$5:$E$2004,A155,Detalle_Pagos!$J$5:$J$2004,"No"))</f>
        <v/>
      </c>
      <c r="D155" s="29" t="str">
        <f>IF(A155="","",B155*IFERROR(INDEX(Trabajadores!$D$5:$D$204,MATCH(A155,Trabajadores!$B$5:$B$204,0)),0))</f>
        <v/>
      </c>
      <c r="E155" s="29" t="str">
        <f t="shared" si="4"/>
        <v/>
      </c>
      <c r="F155" s="30" t="str">
        <f>IF(A155="","",IF(B155=0,"",LOOKUP(2,1/((Detalle_Pagos!$E$5:$E$2004=A155)*(Detalle_Pagos!$J$5:$J$2004="No")),Detalle_Pagos!$B$5:$B$2004)))</f>
        <v/>
      </c>
      <c r="G155" s="29" t="str">
        <f>IF(A155="","",SUMIFS(Detalle_Pagos!$I$5:$I$2004,Detalle_Pagos!$E$5:$E$2004,A155,Detalle_Pagos!$J$5:$J$2004,"Si"))</f>
        <v/>
      </c>
      <c r="H155" t="str">
        <f>IF(A155="","",COUNTIFS(Detalle_Pagos!$E$5:$E$2004,A155,Detalle_Pagos!$J$5:$J$2004,"Si"))</f>
        <v/>
      </c>
    </row>
    <row r="156" spans="1:8" x14ac:dyDescent="0.3">
      <c r="A156" t="str">
        <f>IF(Trabajadores!B153="","",Trabajadores!B153)</f>
        <v/>
      </c>
      <c r="B156" t="str">
        <f>IF(A156="","",COUNTIFS(Detalle_Pagos!$E$5:$E$2004,A156,Detalle_Pagos!$J$5:$J$2004,"No"))</f>
        <v/>
      </c>
      <c r="C156" s="29" t="str">
        <f>IF(A156="","",SUMIFS(Detalle_Pagos!$I$5:$I$2004,Detalle_Pagos!$E$5:$E$2004,A156,Detalle_Pagos!$J$5:$J$2004,"No"))</f>
        <v/>
      </c>
      <c r="D156" s="29" t="str">
        <f>IF(A156="","",B156*IFERROR(INDEX(Trabajadores!$D$5:$D$204,MATCH(A156,Trabajadores!$B$5:$B$204,0)),0))</f>
        <v/>
      </c>
      <c r="E156" s="29" t="str">
        <f t="shared" si="4"/>
        <v/>
      </c>
      <c r="F156" s="30" t="str">
        <f>IF(A156="","",IF(B156=0,"",LOOKUP(2,1/((Detalle_Pagos!$E$5:$E$2004=A156)*(Detalle_Pagos!$J$5:$J$2004="No")),Detalle_Pagos!$B$5:$B$2004)))</f>
        <v/>
      </c>
      <c r="G156" s="29" t="str">
        <f>IF(A156="","",SUMIFS(Detalle_Pagos!$I$5:$I$2004,Detalle_Pagos!$E$5:$E$2004,A156,Detalle_Pagos!$J$5:$J$2004,"Si"))</f>
        <v/>
      </c>
      <c r="H156" t="str">
        <f>IF(A156="","",COUNTIFS(Detalle_Pagos!$E$5:$E$2004,A156,Detalle_Pagos!$J$5:$J$2004,"Si"))</f>
        <v/>
      </c>
    </row>
    <row r="157" spans="1:8" x14ac:dyDescent="0.3">
      <c r="A157" t="str">
        <f>IF(Trabajadores!B154="","",Trabajadores!B154)</f>
        <v/>
      </c>
      <c r="B157" t="str">
        <f>IF(A157="","",COUNTIFS(Detalle_Pagos!$E$5:$E$2004,A157,Detalle_Pagos!$J$5:$J$2004,"No"))</f>
        <v/>
      </c>
      <c r="C157" s="29" t="str">
        <f>IF(A157="","",SUMIFS(Detalle_Pagos!$I$5:$I$2004,Detalle_Pagos!$E$5:$E$2004,A157,Detalle_Pagos!$J$5:$J$2004,"No"))</f>
        <v/>
      </c>
      <c r="D157" s="29" t="str">
        <f>IF(A157="","",B157*IFERROR(INDEX(Trabajadores!$D$5:$D$204,MATCH(A157,Trabajadores!$B$5:$B$204,0)),0))</f>
        <v/>
      </c>
      <c r="E157" s="29" t="str">
        <f t="shared" si="4"/>
        <v/>
      </c>
      <c r="F157" s="30" t="str">
        <f>IF(A157="","",IF(B157=0,"",LOOKUP(2,1/((Detalle_Pagos!$E$5:$E$2004=A157)*(Detalle_Pagos!$J$5:$J$2004="No")),Detalle_Pagos!$B$5:$B$2004)))</f>
        <v/>
      </c>
      <c r="G157" s="29" t="str">
        <f>IF(A157="","",SUMIFS(Detalle_Pagos!$I$5:$I$2004,Detalle_Pagos!$E$5:$E$2004,A157,Detalle_Pagos!$J$5:$J$2004,"Si"))</f>
        <v/>
      </c>
      <c r="H157" t="str">
        <f>IF(A157="","",COUNTIFS(Detalle_Pagos!$E$5:$E$2004,A157,Detalle_Pagos!$J$5:$J$2004,"Si"))</f>
        <v/>
      </c>
    </row>
    <row r="158" spans="1:8" x14ac:dyDescent="0.3">
      <c r="A158" t="str">
        <f>IF(Trabajadores!B155="","",Trabajadores!B155)</f>
        <v/>
      </c>
      <c r="B158" t="str">
        <f>IF(A158="","",COUNTIFS(Detalle_Pagos!$E$5:$E$2004,A158,Detalle_Pagos!$J$5:$J$2004,"No"))</f>
        <v/>
      </c>
      <c r="C158" s="29" t="str">
        <f>IF(A158="","",SUMIFS(Detalle_Pagos!$I$5:$I$2004,Detalle_Pagos!$E$5:$E$2004,A158,Detalle_Pagos!$J$5:$J$2004,"No"))</f>
        <v/>
      </c>
      <c r="D158" s="29" t="str">
        <f>IF(A158="","",B158*IFERROR(INDEX(Trabajadores!$D$5:$D$204,MATCH(A158,Trabajadores!$B$5:$B$204,0)),0))</f>
        <v/>
      </c>
      <c r="E158" s="29" t="str">
        <f t="shared" si="4"/>
        <v/>
      </c>
      <c r="F158" s="30" t="str">
        <f>IF(A158="","",IF(B158=0,"",LOOKUP(2,1/((Detalle_Pagos!$E$5:$E$2004=A158)*(Detalle_Pagos!$J$5:$J$2004="No")),Detalle_Pagos!$B$5:$B$2004)))</f>
        <v/>
      </c>
      <c r="G158" s="29" t="str">
        <f>IF(A158="","",SUMIFS(Detalle_Pagos!$I$5:$I$2004,Detalle_Pagos!$E$5:$E$2004,A158,Detalle_Pagos!$J$5:$J$2004,"Si"))</f>
        <v/>
      </c>
      <c r="H158" t="str">
        <f>IF(A158="","",COUNTIFS(Detalle_Pagos!$E$5:$E$2004,A158,Detalle_Pagos!$J$5:$J$2004,"Si"))</f>
        <v/>
      </c>
    </row>
    <row r="159" spans="1:8" x14ac:dyDescent="0.3">
      <c r="A159" t="str">
        <f>IF(Trabajadores!B156="","",Trabajadores!B156)</f>
        <v/>
      </c>
      <c r="B159" t="str">
        <f>IF(A159="","",COUNTIFS(Detalle_Pagos!$E$5:$E$2004,A159,Detalle_Pagos!$J$5:$J$2004,"No"))</f>
        <v/>
      </c>
      <c r="C159" s="29" t="str">
        <f>IF(A159="","",SUMIFS(Detalle_Pagos!$I$5:$I$2004,Detalle_Pagos!$E$5:$E$2004,A159,Detalle_Pagos!$J$5:$J$2004,"No"))</f>
        <v/>
      </c>
      <c r="D159" s="29" t="str">
        <f>IF(A159="","",B159*IFERROR(INDEX(Trabajadores!$D$5:$D$204,MATCH(A159,Trabajadores!$B$5:$B$204,0)),0))</f>
        <v/>
      </c>
      <c r="E159" s="29" t="str">
        <f t="shared" si="4"/>
        <v/>
      </c>
      <c r="F159" s="30" t="str">
        <f>IF(A159="","",IF(B159=0,"",LOOKUP(2,1/((Detalle_Pagos!$E$5:$E$2004=A159)*(Detalle_Pagos!$J$5:$J$2004="No")),Detalle_Pagos!$B$5:$B$2004)))</f>
        <v/>
      </c>
      <c r="G159" s="29" t="str">
        <f>IF(A159="","",SUMIFS(Detalle_Pagos!$I$5:$I$2004,Detalle_Pagos!$E$5:$E$2004,A159,Detalle_Pagos!$J$5:$J$2004,"Si"))</f>
        <v/>
      </c>
      <c r="H159" t="str">
        <f>IF(A159="","",COUNTIFS(Detalle_Pagos!$E$5:$E$2004,A159,Detalle_Pagos!$J$5:$J$2004,"Si"))</f>
        <v/>
      </c>
    </row>
    <row r="160" spans="1:8" x14ac:dyDescent="0.3">
      <c r="A160" t="str">
        <f>IF(Trabajadores!B157="","",Trabajadores!B157)</f>
        <v/>
      </c>
      <c r="B160" t="str">
        <f>IF(A160="","",COUNTIFS(Detalle_Pagos!$E$5:$E$2004,A160,Detalle_Pagos!$J$5:$J$2004,"No"))</f>
        <v/>
      </c>
      <c r="C160" s="29" t="str">
        <f>IF(A160="","",SUMIFS(Detalle_Pagos!$I$5:$I$2004,Detalle_Pagos!$E$5:$E$2004,A160,Detalle_Pagos!$J$5:$J$2004,"No"))</f>
        <v/>
      </c>
      <c r="D160" s="29" t="str">
        <f>IF(A160="","",B160*IFERROR(INDEX(Trabajadores!$D$5:$D$204,MATCH(A160,Trabajadores!$B$5:$B$204,0)),0))</f>
        <v/>
      </c>
      <c r="E160" s="29" t="str">
        <f t="shared" si="4"/>
        <v/>
      </c>
      <c r="F160" s="30" t="str">
        <f>IF(A160="","",IF(B160=0,"",LOOKUP(2,1/((Detalle_Pagos!$E$5:$E$2004=A160)*(Detalle_Pagos!$J$5:$J$2004="No")),Detalle_Pagos!$B$5:$B$2004)))</f>
        <v/>
      </c>
      <c r="G160" s="29" t="str">
        <f>IF(A160="","",SUMIFS(Detalle_Pagos!$I$5:$I$2004,Detalle_Pagos!$E$5:$E$2004,A160,Detalle_Pagos!$J$5:$J$2004,"Si"))</f>
        <v/>
      </c>
      <c r="H160" t="str">
        <f>IF(A160="","",COUNTIFS(Detalle_Pagos!$E$5:$E$2004,A160,Detalle_Pagos!$J$5:$J$2004,"Si"))</f>
        <v/>
      </c>
    </row>
    <row r="161" spans="1:8" x14ac:dyDescent="0.3">
      <c r="A161" t="str">
        <f>IF(Trabajadores!B158="","",Trabajadores!B158)</f>
        <v/>
      </c>
      <c r="B161" t="str">
        <f>IF(A161="","",COUNTIFS(Detalle_Pagos!$E$5:$E$2004,A161,Detalle_Pagos!$J$5:$J$2004,"No"))</f>
        <v/>
      </c>
      <c r="C161" s="29" t="str">
        <f>IF(A161="","",SUMIFS(Detalle_Pagos!$I$5:$I$2004,Detalle_Pagos!$E$5:$E$2004,A161,Detalle_Pagos!$J$5:$J$2004,"No"))</f>
        <v/>
      </c>
      <c r="D161" s="29" t="str">
        <f>IF(A161="","",B161*IFERROR(INDEX(Trabajadores!$D$5:$D$204,MATCH(A161,Trabajadores!$B$5:$B$204,0)),0))</f>
        <v/>
      </c>
      <c r="E161" s="29" t="str">
        <f t="shared" si="4"/>
        <v/>
      </c>
      <c r="F161" s="30" t="str">
        <f>IF(A161="","",IF(B161=0,"",LOOKUP(2,1/((Detalle_Pagos!$E$5:$E$2004=A161)*(Detalle_Pagos!$J$5:$J$2004="No")),Detalle_Pagos!$B$5:$B$2004)))</f>
        <v/>
      </c>
      <c r="G161" s="29" t="str">
        <f>IF(A161="","",SUMIFS(Detalle_Pagos!$I$5:$I$2004,Detalle_Pagos!$E$5:$E$2004,A161,Detalle_Pagos!$J$5:$J$2004,"Si"))</f>
        <v/>
      </c>
      <c r="H161" t="str">
        <f>IF(A161="","",COUNTIFS(Detalle_Pagos!$E$5:$E$2004,A161,Detalle_Pagos!$J$5:$J$2004,"Si"))</f>
        <v/>
      </c>
    </row>
    <row r="162" spans="1:8" x14ac:dyDescent="0.3">
      <c r="A162" t="str">
        <f>IF(Trabajadores!B159="","",Trabajadores!B159)</f>
        <v/>
      </c>
      <c r="B162" t="str">
        <f>IF(A162="","",COUNTIFS(Detalle_Pagos!$E$5:$E$2004,A162,Detalle_Pagos!$J$5:$J$2004,"No"))</f>
        <v/>
      </c>
      <c r="C162" s="29" t="str">
        <f>IF(A162="","",SUMIFS(Detalle_Pagos!$I$5:$I$2004,Detalle_Pagos!$E$5:$E$2004,A162,Detalle_Pagos!$J$5:$J$2004,"No"))</f>
        <v/>
      </c>
      <c r="D162" s="29" t="str">
        <f>IF(A162="","",B162*IFERROR(INDEX(Trabajadores!$D$5:$D$204,MATCH(A162,Trabajadores!$B$5:$B$204,0)),0))</f>
        <v/>
      </c>
      <c r="E162" s="29" t="str">
        <f t="shared" si="4"/>
        <v/>
      </c>
      <c r="F162" s="30" t="str">
        <f>IF(A162="","",IF(B162=0,"",LOOKUP(2,1/((Detalle_Pagos!$E$5:$E$2004=A162)*(Detalle_Pagos!$J$5:$J$2004="No")),Detalle_Pagos!$B$5:$B$2004)))</f>
        <v/>
      </c>
      <c r="G162" s="29" t="str">
        <f>IF(A162="","",SUMIFS(Detalle_Pagos!$I$5:$I$2004,Detalle_Pagos!$E$5:$E$2004,A162,Detalle_Pagos!$J$5:$J$2004,"Si"))</f>
        <v/>
      </c>
      <c r="H162" t="str">
        <f>IF(A162="","",COUNTIFS(Detalle_Pagos!$E$5:$E$2004,A162,Detalle_Pagos!$J$5:$J$2004,"Si"))</f>
        <v/>
      </c>
    </row>
    <row r="163" spans="1:8" x14ac:dyDescent="0.3">
      <c r="A163" t="str">
        <f>IF(Trabajadores!B160="","",Trabajadores!B160)</f>
        <v/>
      </c>
      <c r="B163" t="str">
        <f>IF(A163="","",COUNTIFS(Detalle_Pagos!$E$5:$E$2004,A163,Detalle_Pagos!$J$5:$J$2004,"No"))</f>
        <v/>
      </c>
      <c r="C163" s="29" t="str">
        <f>IF(A163="","",SUMIFS(Detalle_Pagos!$I$5:$I$2004,Detalle_Pagos!$E$5:$E$2004,A163,Detalle_Pagos!$J$5:$J$2004,"No"))</f>
        <v/>
      </c>
      <c r="D163" s="29" t="str">
        <f>IF(A163="","",B163*IFERROR(INDEX(Trabajadores!$D$5:$D$204,MATCH(A163,Trabajadores!$B$5:$B$204,0)),0))</f>
        <v/>
      </c>
      <c r="E163" s="29" t="str">
        <f t="shared" si="4"/>
        <v/>
      </c>
      <c r="F163" s="30" t="str">
        <f>IF(A163="","",IF(B163=0,"",LOOKUP(2,1/((Detalle_Pagos!$E$5:$E$2004=A163)*(Detalle_Pagos!$J$5:$J$2004="No")),Detalle_Pagos!$B$5:$B$2004)))</f>
        <v/>
      </c>
      <c r="G163" s="29" t="str">
        <f>IF(A163="","",SUMIFS(Detalle_Pagos!$I$5:$I$2004,Detalle_Pagos!$E$5:$E$2004,A163,Detalle_Pagos!$J$5:$J$2004,"Si"))</f>
        <v/>
      </c>
      <c r="H163" t="str">
        <f>IF(A163="","",COUNTIFS(Detalle_Pagos!$E$5:$E$2004,A163,Detalle_Pagos!$J$5:$J$2004,"Si"))</f>
        <v/>
      </c>
    </row>
    <row r="164" spans="1:8" x14ac:dyDescent="0.3">
      <c r="A164" t="str">
        <f>IF(Trabajadores!B161="","",Trabajadores!B161)</f>
        <v/>
      </c>
      <c r="B164" t="str">
        <f>IF(A164="","",COUNTIFS(Detalle_Pagos!$E$5:$E$2004,A164,Detalle_Pagos!$J$5:$J$2004,"No"))</f>
        <v/>
      </c>
      <c r="C164" s="29" t="str">
        <f>IF(A164="","",SUMIFS(Detalle_Pagos!$I$5:$I$2004,Detalle_Pagos!$E$5:$E$2004,A164,Detalle_Pagos!$J$5:$J$2004,"No"))</f>
        <v/>
      </c>
      <c r="D164" s="29" t="str">
        <f>IF(A164="","",B164*IFERROR(INDEX(Trabajadores!$D$5:$D$204,MATCH(A164,Trabajadores!$B$5:$B$204,0)),0))</f>
        <v/>
      </c>
      <c r="E164" s="29" t="str">
        <f t="shared" si="4"/>
        <v/>
      </c>
      <c r="F164" s="30" t="str">
        <f>IF(A164="","",IF(B164=0,"",LOOKUP(2,1/((Detalle_Pagos!$E$5:$E$2004=A164)*(Detalle_Pagos!$J$5:$J$2004="No")),Detalle_Pagos!$B$5:$B$2004)))</f>
        <v/>
      </c>
      <c r="G164" s="29" t="str">
        <f>IF(A164="","",SUMIFS(Detalle_Pagos!$I$5:$I$2004,Detalle_Pagos!$E$5:$E$2004,A164,Detalle_Pagos!$J$5:$J$2004,"Si"))</f>
        <v/>
      </c>
      <c r="H164" t="str">
        <f>IF(A164="","",COUNTIFS(Detalle_Pagos!$E$5:$E$2004,A164,Detalle_Pagos!$J$5:$J$2004,"Si"))</f>
        <v/>
      </c>
    </row>
    <row r="165" spans="1:8" x14ac:dyDescent="0.3">
      <c r="A165" t="str">
        <f>IF(Trabajadores!B162="","",Trabajadores!B162)</f>
        <v/>
      </c>
      <c r="B165" t="str">
        <f>IF(A165="","",COUNTIFS(Detalle_Pagos!$E$5:$E$2004,A165,Detalle_Pagos!$J$5:$J$2004,"No"))</f>
        <v/>
      </c>
      <c r="C165" s="29" t="str">
        <f>IF(A165="","",SUMIFS(Detalle_Pagos!$I$5:$I$2004,Detalle_Pagos!$E$5:$E$2004,A165,Detalle_Pagos!$J$5:$J$2004,"No"))</f>
        <v/>
      </c>
      <c r="D165" s="29" t="str">
        <f>IF(A165="","",B165*IFERROR(INDEX(Trabajadores!$D$5:$D$204,MATCH(A165,Trabajadores!$B$5:$B$204,0)),0))</f>
        <v/>
      </c>
      <c r="E165" s="29" t="str">
        <f t="shared" si="4"/>
        <v/>
      </c>
      <c r="F165" s="30" t="str">
        <f>IF(A165="","",IF(B165=0,"",LOOKUP(2,1/((Detalle_Pagos!$E$5:$E$2004=A165)*(Detalle_Pagos!$J$5:$J$2004="No")),Detalle_Pagos!$B$5:$B$2004)))</f>
        <v/>
      </c>
      <c r="G165" s="29" t="str">
        <f>IF(A165="","",SUMIFS(Detalle_Pagos!$I$5:$I$2004,Detalle_Pagos!$E$5:$E$2004,A165,Detalle_Pagos!$J$5:$J$2004,"Si"))</f>
        <v/>
      </c>
      <c r="H165" t="str">
        <f>IF(A165="","",COUNTIFS(Detalle_Pagos!$E$5:$E$2004,A165,Detalle_Pagos!$J$5:$J$2004,"Si"))</f>
        <v/>
      </c>
    </row>
    <row r="166" spans="1:8" x14ac:dyDescent="0.3">
      <c r="A166" t="str">
        <f>IF(Trabajadores!B163="","",Trabajadores!B163)</f>
        <v/>
      </c>
      <c r="B166" t="str">
        <f>IF(A166="","",COUNTIFS(Detalle_Pagos!$E$5:$E$2004,A166,Detalle_Pagos!$J$5:$J$2004,"No"))</f>
        <v/>
      </c>
      <c r="C166" s="29" t="str">
        <f>IF(A166="","",SUMIFS(Detalle_Pagos!$I$5:$I$2004,Detalle_Pagos!$E$5:$E$2004,A166,Detalle_Pagos!$J$5:$J$2004,"No"))</f>
        <v/>
      </c>
      <c r="D166" s="29" t="str">
        <f>IF(A166="","",B166*IFERROR(INDEX(Trabajadores!$D$5:$D$204,MATCH(A166,Trabajadores!$B$5:$B$204,0)),0))</f>
        <v/>
      </c>
      <c r="E166" s="29" t="str">
        <f t="shared" si="4"/>
        <v/>
      </c>
      <c r="F166" s="30" t="str">
        <f>IF(A166="","",IF(B166=0,"",LOOKUP(2,1/((Detalle_Pagos!$E$5:$E$2004=A166)*(Detalle_Pagos!$J$5:$J$2004="No")),Detalle_Pagos!$B$5:$B$2004)))</f>
        <v/>
      </c>
      <c r="G166" s="29" t="str">
        <f>IF(A166="","",SUMIFS(Detalle_Pagos!$I$5:$I$2004,Detalle_Pagos!$E$5:$E$2004,A166,Detalle_Pagos!$J$5:$J$2004,"Si"))</f>
        <v/>
      </c>
      <c r="H166" t="str">
        <f>IF(A166="","",COUNTIFS(Detalle_Pagos!$E$5:$E$2004,A166,Detalle_Pagos!$J$5:$J$2004,"Si"))</f>
        <v/>
      </c>
    </row>
    <row r="167" spans="1:8" x14ac:dyDescent="0.3">
      <c r="A167" t="str">
        <f>IF(Trabajadores!B164="","",Trabajadores!B164)</f>
        <v/>
      </c>
      <c r="B167" t="str">
        <f>IF(A167="","",COUNTIFS(Detalle_Pagos!$E$5:$E$2004,A167,Detalle_Pagos!$J$5:$J$2004,"No"))</f>
        <v/>
      </c>
      <c r="C167" s="29" t="str">
        <f>IF(A167="","",SUMIFS(Detalle_Pagos!$I$5:$I$2004,Detalle_Pagos!$E$5:$E$2004,A167,Detalle_Pagos!$J$5:$J$2004,"No"))</f>
        <v/>
      </c>
      <c r="D167" s="29" t="str">
        <f>IF(A167="","",B167*IFERROR(INDEX(Trabajadores!$D$5:$D$204,MATCH(A167,Trabajadores!$B$5:$B$204,0)),0))</f>
        <v/>
      </c>
      <c r="E167" s="29" t="str">
        <f t="shared" si="4"/>
        <v/>
      </c>
      <c r="F167" s="30" t="str">
        <f>IF(A167="","",IF(B167=0,"",LOOKUP(2,1/((Detalle_Pagos!$E$5:$E$2004=A167)*(Detalle_Pagos!$J$5:$J$2004="No")),Detalle_Pagos!$B$5:$B$2004)))</f>
        <v/>
      </c>
      <c r="G167" s="29" t="str">
        <f>IF(A167="","",SUMIFS(Detalle_Pagos!$I$5:$I$2004,Detalle_Pagos!$E$5:$E$2004,A167,Detalle_Pagos!$J$5:$J$2004,"Si"))</f>
        <v/>
      </c>
      <c r="H167" t="str">
        <f>IF(A167="","",COUNTIFS(Detalle_Pagos!$E$5:$E$2004,A167,Detalle_Pagos!$J$5:$J$2004,"Si"))</f>
        <v/>
      </c>
    </row>
    <row r="168" spans="1:8" x14ac:dyDescent="0.3">
      <c r="A168" t="str">
        <f>IF(Trabajadores!B165="","",Trabajadores!B165)</f>
        <v/>
      </c>
      <c r="B168" t="str">
        <f>IF(A168="","",COUNTIFS(Detalle_Pagos!$E$5:$E$2004,A168,Detalle_Pagos!$J$5:$J$2004,"No"))</f>
        <v/>
      </c>
      <c r="C168" s="29" t="str">
        <f>IF(A168="","",SUMIFS(Detalle_Pagos!$I$5:$I$2004,Detalle_Pagos!$E$5:$E$2004,A168,Detalle_Pagos!$J$5:$J$2004,"No"))</f>
        <v/>
      </c>
      <c r="D168" s="29" t="str">
        <f>IF(A168="","",B168*IFERROR(INDEX(Trabajadores!$D$5:$D$204,MATCH(A168,Trabajadores!$B$5:$B$204,0)),0))</f>
        <v/>
      </c>
      <c r="E168" s="29" t="str">
        <f t="shared" ref="E168:E199" si="5">IF(A168="","",C168+D168)</f>
        <v/>
      </c>
      <c r="F168" s="30" t="str">
        <f>IF(A168="","",IF(B168=0,"",LOOKUP(2,1/((Detalle_Pagos!$E$5:$E$2004=A168)*(Detalle_Pagos!$J$5:$J$2004="No")),Detalle_Pagos!$B$5:$B$2004)))</f>
        <v/>
      </c>
      <c r="G168" s="29" t="str">
        <f>IF(A168="","",SUMIFS(Detalle_Pagos!$I$5:$I$2004,Detalle_Pagos!$E$5:$E$2004,A168,Detalle_Pagos!$J$5:$J$2004,"Si"))</f>
        <v/>
      </c>
      <c r="H168" t="str">
        <f>IF(A168="","",COUNTIFS(Detalle_Pagos!$E$5:$E$2004,A168,Detalle_Pagos!$J$5:$J$2004,"Si"))</f>
        <v/>
      </c>
    </row>
    <row r="169" spans="1:8" x14ac:dyDescent="0.3">
      <c r="A169" t="str">
        <f>IF(Trabajadores!B166="","",Trabajadores!B166)</f>
        <v/>
      </c>
      <c r="B169" t="str">
        <f>IF(A169="","",COUNTIFS(Detalle_Pagos!$E$5:$E$2004,A169,Detalle_Pagos!$J$5:$J$2004,"No"))</f>
        <v/>
      </c>
      <c r="C169" s="29" t="str">
        <f>IF(A169="","",SUMIFS(Detalle_Pagos!$I$5:$I$2004,Detalle_Pagos!$E$5:$E$2004,A169,Detalle_Pagos!$J$5:$J$2004,"No"))</f>
        <v/>
      </c>
      <c r="D169" s="29" t="str">
        <f>IF(A169="","",B169*IFERROR(INDEX(Trabajadores!$D$5:$D$204,MATCH(A169,Trabajadores!$B$5:$B$204,0)),0))</f>
        <v/>
      </c>
      <c r="E169" s="29" t="str">
        <f t="shared" si="5"/>
        <v/>
      </c>
      <c r="F169" s="30" t="str">
        <f>IF(A169="","",IF(B169=0,"",LOOKUP(2,1/((Detalle_Pagos!$E$5:$E$2004=A169)*(Detalle_Pagos!$J$5:$J$2004="No")),Detalle_Pagos!$B$5:$B$2004)))</f>
        <v/>
      </c>
      <c r="G169" s="29" t="str">
        <f>IF(A169="","",SUMIFS(Detalle_Pagos!$I$5:$I$2004,Detalle_Pagos!$E$5:$E$2004,A169,Detalle_Pagos!$J$5:$J$2004,"Si"))</f>
        <v/>
      </c>
      <c r="H169" t="str">
        <f>IF(A169="","",COUNTIFS(Detalle_Pagos!$E$5:$E$2004,A169,Detalle_Pagos!$J$5:$J$2004,"Si"))</f>
        <v/>
      </c>
    </row>
    <row r="170" spans="1:8" x14ac:dyDescent="0.3">
      <c r="A170" t="str">
        <f>IF(Trabajadores!B167="","",Trabajadores!B167)</f>
        <v/>
      </c>
      <c r="B170" t="str">
        <f>IF(A170="","",COUNTIFS(Detalle_Pagos!$E$5:$E$2004,A170,Detalle_Pagos!$J$5:$J$2004,"No"))</f>
        <v/>
      </c>
      <c r="C170" s="29" t="str">
        <f>IF(A170="","",SUMIFS(Detalle_Pagos!$I$5:$I$2004,Detalle_Pagos!$E$5:$E$2004,A170,Detalle_Pagos!$J$5:$J$2004,"No"))</f>
        <v/>
      </c>
      <c r="D170" s="29" t="str">
        <f>IF(A170="","",B170*IFERROR(INDEX(Trabajadores!$D$5:$D$204,MATCH(A170,Trabajadores!$B$5:$B$204,0)),0))</f>
        <v/>
      </c>
      <c r="E170" s="29" t="str">
        <f t="shared" si="5"/>
        <v/>
      </c>
      <c r="F170" s="30" t="str">
        <f>IF(A170="","",IF(B170=0,"",LOOKUP(2,1/((Detalle_Pagos!$E$5:$E$2004=A170)*(Detalle_Pagos!$J$5:$J$2004="No")),Detalle_Pagos!$B$5:$B$2004)))</f>
        <v/>
      </c>
      <c r="G170" s="29" t="str">
        <f>IF(A170="","",SUMIFS(Detalle_Pagos!$I$5:$I$2004,Detalle_Pagos!$E$5:$E$2004,A170,Detalle_Pagos!$J$5:$J$2004,"Si"))</f>
        <v/>
      </c>
      <c r="H170" t="str">
        <f>IF(A170="","",COUNTIFS(Detalle_Pagos!$E$5:$E$2004,A170,Detalle_Pagos!$J$5:$J$2004,"Si"))</f>
        <v/>
      </c>
    </row>
    <row r="171" spans="1:8" x14ac:dyDescent="0.3">
      <c r="A171" t="str">
        <f>IF(Trabajadores!B168="","",Trabajadores!B168)</f>
        <v/>
      </c>
      <c r="B171" t="str">
        <f>IF(A171="","",COUNTIFS(Detalle_Pagos!$E$5:$E$2004,A171,Detalle_Pagos!$J$5:$J$2004,"No"))</f>
        <v/>
      </c>
      <c r="C171" s="29" t="str">
        <f>IF(A171="","",SUMIFS(Detalle_Pagos!$I$5:$I$2004,Detalle_Pagos!$E$5:$E$2004,A171,Detalle_Pagos!$J$5:$J$2004,"No"))</f>
        <v/>
      </c>
      <c r="D171" s="29" t="str">
        <f>IF(A171="","",B171*IFERROR(INDEX(Trabajadores!$D$5:$D$204,MATCH(A171,Trabajadores!$B$5:$B$204,0)),0))</f>
        <v/>
      </c>
      <c r="E171" s="29" t="str">
        <f t="shared" si="5"/>
        <v/>
      </c>
      <c r="F171" s="30" t="str">
        <f>IF(A171="","",IF(B171=0,"",LOOKUP(2,1/((Detalle_Pagos!$E$5:$E$2004=A171)*(Detalle_Pagos!$J$5:$J$2004="No")),Detalle_Pagos!$B$5:$B$2004)))</f>
        <v/>
      </c>
      <c r="G171" s="29" t="str">
        <f>IF(A171="","",SUMIFS(Detalle_Pagos!$I$5:$I$2004,Detalle_Pagos!$E$5:$E$2004,A171,Detalle_Pagos!$J$5:$J$2004,"Si"))</f>
        <v/>
      </c>
      <c r="H171" t="str">
        <f>IF(A171="","",COUNTIFS(Detalle_Pagos!$E$5:$E$2004,A171,Detalle_Pagos!$J$5:$J$2004,"Si"))</f>
        <v/>
      </c>
    </row>
    <row r="172" spans="1:8" x14ac:dyDescent="0.3">
      <c r="A172" t="str">
        <f>IF(Trabajadores!B169="","",Trabajadores!B169)</f>
        <v/>
      </c>
      <c r="B172" t="str">
        <f>IF(A172="","",COUNTIFS(Detalle_Pagos!$E$5:$E$2004,A172,Detalle_Pagos!$J$5:$J$2004,"No"))</f>
        <v/>
      </c>
      <c r="C172" s="29" t="str">
        <f>IF(A172="","",SUMIFS(Detalle_Pagos!$I$5:$I$2004,Detalle_Pagos!$E$5:$E$2004,A172,Detalle_Pagos!$J$5:$J$2004,"No"))</f>
        <v/>
      </c>
      <c r="D172" s="29" t="str">
        <f>IF(A172="","",B172*IFERROR(INDEX(Trabajadores!$D$5:$D$204,MATCH(A172,Trabajadores!$B$5:$B$204,0)),0))</f>
        <v/>
      </c>
      <c r="E172" s="29" t="str">
        <f t="shared" si="5"/>
        <v/>
      </c>
      <c r="F172" s="30" t="str">
        <f>IF(A172="","",IF(B172=0,"",LOOKUP(2,1/((Detalle_Pagos!$E$5:$E$2004=A172)*(Detalle_Pagos!$J$5:$J$2004="No")),Detalle_Pagos!$B$5:$B$2004)))</f>
        <v/>
      </c>
      <c r="G172" s="29" t="str">
        <f>IF(A172="","",SUMIFS(Detalle_Pagos!$I$5:$I$2004,Detalle_Pagos!$E$5:$E$2004,A172,Detalle_Pagos!$J$5:$J$2004,"Si"))</f>
        <v/>
      </c>
      <c r="H172" t="str">
        <f>IF(A172="","",COUNTIFS(Detalle_Pagos!$E$5:$E$2004,A172,Detalle_Pagos!$J$5:$J$2004,"Si"))</f>
        <v/>
      </c>
    </row>
    <row r="173" spans="1:8" x14ac:dyDescent="0.3">
      <c r="A173" t="str">
        <f>IF(Trabajadores!B170="","",Trabajadores!B170)</f>
        <v/>
      </c>
      <c r="B173" t="str">
        <f>IF(A173="","",COUNTIFS(Detalle_Pagos!$E$5:$E$2004,A173,Detalle_Pagos!$J$5:$J$2004,"No"))</f>
        <v/>
      </c>
      <c r="C173" s="29" t="str">
        <f>IF(A173="","",SUMIFS(Detalle_Pagos!$I$5:$I$2004,Detalle_Pagos!$E$5:$E$2004,A173,Detalle_Pagos!$J$5:$J$2004,"No"))</f>
        <v/>
      </c>
      <c r="D173" s="29" t="str">
        <f>IF(A173="","",B173*IFERROR(INDEX(Trabajadores!$D$5:$D$204,MATCH(A173,Trabajadores!$B$5:$B$204,0)),0))</f>
        <v/>
      </c>
      <c r="E173" s="29" t="str">
        <f t="shared" si="5"/>
        <v/>
      </c>
      <c r="F173" s="30" t="str">
        <f>IF(A173="","",IF(B173=0,"",LOOKUP(2,1/((Detalle_Pagos!$E$5:$E$2004=A173)*(Detalle_Pagos!$J$5:$J$2004="No")),Detalle_Pagos!$B$5:$B$2004)))</f>
        <v/>
      </c>
      <c r="G173" s="29" t="str">
        <f>IF(A173="","",SUMIFS(Detalle_Pagos!$I$5:$I$2004,Detalle_Pagos!$E$5:$E$2004,A173,Detalle_Pagos!$J$5:$J$2004,"Si"))</f>
        <v/>
      </c>
      <c r="H173" t="str">
        <f>IF(A173="","",COUNTIFS(Detalle_Pagos!$E$5:$E$2004,A173,Detalle_Pagos!$J$5:$J$2004,"Si"))</f>
        <v/>
      </c>
    </row>
    <row r="174" spans="1:8" x14ac:dyDescent="0.3">
      <c r="A174" t="str">
        <f>IF(Trabajadores!B171="","",Trabajadores!B171)</f>
        <v/>
      </c>
      <c r="B174" t="str">
        <f>IF(A174="","",COUNTIFS(Detalle_Pagos!$E$5:$E$2004,A174,Detalle_Pagos!$J$5:$J$2004,"No"))</f>
        <v/>
      </c>
      <c r="C174" s="29" t="str">
        <f>IF(A174="","",SUMIFS(Detalle_Pagos!$I$5:$I$2004,Detalle_Pagos!$E$5:$E$2004,A174,Detalle_Pagos!$J$5:$J$2004,"No"))</f>
        <v/>
      </c>
      <c r="D174" s="29" t="str">
        <f>IF(A174="","",B174*IFERROR(INDEX(Trabajadores!$D$5:$D$204,MATCH(A174,Trabajadores!$B$5:$B$204,0)),0))</f>
        <v/>
      </c>
      <c r="E174" s="29" t="str">
        <f t="shared" si="5"/>
        <v/>
      </c>
      <c r="F174" s="30" t="str">
        <f>IF(A174="","",IF(B174=0,"",LOOKUP(2,1/((Detalle_Pagos!$E$5:$E$2004=A174)*(Detalle_Pagos!$J$5:$J$2004="No")),Detalle_Pagos!$B$5:$B$2004)))</f>
        <v/>
      </c>
      <c r="G174" s="29" t="str">
        <f>IF(A174="","",SUMIFS(Detalle_Pagos!$I$5:$I$2004,Detalle_Pagos!$E$5:$E$2004,A174,Detalle_Pagos!$J$5:$J$2004,"Si"))</f>
        <v/>
      </c>
      <c r="H174" t="str">
        <f>IF(A174="","",COUNTIFS(Detalle_Pagos!$E$5:$E$2004,A174,Detalle_Pagos!$J$5:$J$2004,"Si"))</f>
        <v/>
      </c>
    </row>
    <row r="175" spans="1:8" x14ac:dyDescent="0.3">
      <c r="A175" t="str">
        <f>IF(Trabajadores!B172="","",Trabajadores!B172)</f>
        <v/>
      </c>
      <c r="B175" t="str">
        <f>IF(A175="","",COUNTIFS(Detalle_Pagos!$E$5:$E$2004,A175,Detalle_Pagos!$J$5:$J$2004,"No"))</f>
        <v/>
      </c>
      <c r="C175" s="29" t="str">
        <f>IF(A175="","",SUMIFS(Detalle_Pagos!$I$5:$I$2004,Detalle_Pagos!$E$5:$E$2004,A175,Detalle_Pagos!$J$5:$J$2004,"No"))</f>
        <v/>
      </c>
      <c r="D175" s="29" t="str">
        <f>IF(A175="","",B175*IFERROR(INDEX(Trabajadores!$D$5:$D$204,MATCH(A175,Trabajadores!$B$5:$B$204,0)),0))</f>
        <v/>
      </c>
      <c r="E175" s="29" t="str">
        <f t="shared" si="5"/>
        <v/>
      </c>
      <c r="F175" s="30" t="str">
        <f>IF(A175="","",IF(B175=0,"",LOOKUP(2,1/((Detalle_Pagos!$E$5:$E$2004=A175)*(Detalle_Pagos!$J$5:$J$2004="No")),Detalle_Pagos!$B$5:$B$2004)))</f>
        <v/>
      </c>
      <c r="G175" s="29" t="str">
        <f>IF(A175="","",SUMIFS(Detalle_Pagos!$I$5:$I$2004,Detalle_Pagos!$E$5:$E$2004,A175,Detalle_Pagos!$J$5:$J$2004,"Si"))</f>
        <v/>
      </c>
      <c r="H175" t="str">
        <f>IF(A175="","",COUNTIFS(Detalle_Pagos!$E$5:$E$2004,A175,Detalle_Pagos!$J$5:$J$2004,"Si"))</f>
        <v/>
      </c>
    </row>
    <row r="176" spans="1:8" x14ac:dyDescent="0.3">
      <c r="A176" t="str">
        <f>IF(Trabajadores!B173="","",Trabajadores!B173)</f>
        <v/>
      </c>
      <c r="B176" t="str">
        <f>IF(A176="","",COUNTIFS(Detalle_Pagos!$E$5:$E$2004,A176,Detalle_Pagos!$J$5:$J$2004,"No"))</f>
        <v/>
      </c>
      <c r="C176" s="29" t="str">
        <f>IF(A176="","",SUMIFS(Detalle_Pagos!$I$5:$I$2004,Detalle_Pagos!$E$5:$E$2004,A176,Detalle_Pagos!$J$5:$J$2004,"No"))</f>
        <v/>
      </c>
      <c r="D176" s="29" t="str">
        <f>IF(A176="","",B176*IFERROR(INDEX(Trabajadores!$D$5:$D$204,MATCH(A176,Trabajadores!$B$5:$B$204,0)),0))</f>
        <v/>
      </c>
      <c r="E176" s="29" t="str">
        <f t="shared" si="5"/>
        <v/>
      </c>
      <c r="F176" s="30" t="str">
        <f>IF(A176="","",IF(B176=0,"",LOOKUP(2,1/((Detalle_Pagos!$E$5:$E$2004=A176)*(Detalle_Pagos!$J$5:$J$2004="No")),Detalle_Pagos!$B$5:$B$2004)))</f>
        <v/>
      </c>
      <c r="G176" s="29" t="str">
        <f>IF(A176="","",SUMIFS(Detalle_Pagos!$I$5:$I$2004,Detalle_Pagos!$E$5:$E$2004,A176,Detalle_Pagos!$J$5:$J$2004,"Si"))</f>
        <v/>
      </c>
      <c r="H176" t="str">
        <f>IF(A176="","",COUNTIFS(Detalle_Pagos!$E$5:$E$2004,A176,Detalle_Pagos!$J$5:$J$2004,"Si"))</f>
        <v/>
      </c>
    </row>
    <row r="177" spans="1:8" x14ac:dyDescent="0.3">
      <c r="A177" t="str">
        <f>IF(Trabajadores!B174="","",Trabajadores!B174)</f>
        <v/>
      </c>
      <c r="B177" t="str">
        <f>IF(A177="","",COUNTIFS(Detalle_Pagos!$E$5:$E$2004,A177,Detalle_Pagos!$J$5:$J$2004,"No"))</f>
        <v/>
      </c>
      <c r="C177" s="29" t="str">
        <f>IF(A177="","",SUMIFS(Detalle_Pagos!$I$5:$I$2004,Detalle_Pagos!$E$5:$E$2004,A177,Detalle_Pagos!$J$5:$J$2004,"No"))</f>
        <v/>
      </c>
      <c r="D177" s="29" t="str">
        <f>IF(A177="","",B177*IFERROR(INDEX(Trabajadores!$D$5:$D$204,MATCH(A177,Trabajadores!$B$5:$B$204,0)),0))</f>
        <v/>
      </c>
      <c r="E177" s="29" t="str">
        <f t="shared" si="5"/>
        <v/>
      </c>
      <c r="F177" s="30" t="str">
        <f>IF(A177="","",IF(B177=0,"",LOOKUP(2,1/((Detalle_Pagos!$E$5:$E$2004=A177)*(Detalle_Pagos!$J$5:$J$2004="No")),Detalle_Pagos!$B$5:$B$2004)))</f>
        <v/>
      </c>
      <c r="G177" s="29" t="str">
        <f>IF(A177="","",SUMIFS(Detalle_Pagos!$I$5:$I$2004,Detalle_Pagos!$E$5:$E$2004,A177,Detalle_Pagos!$J$5:$J$2004,"Si"))</f>
        <v/>
      </c>
      <c r="H177" t="str">
        <f>IF(A177="","",COUNTIFS(Detalle_Pagos!$E$5:$E$2004,A177,Detalle_Pagos!$J$5:$J$2004,"Si"))</f>
        <v/>
      </c>
    </row>
    <row r="178" spans="1:8" x14ac:dyDescent="0.3">
      <c r="A178" t="str">
        <f>IF(Trabajadores!B175="","",Trabajadores!B175)</f>
        <v/>
      </c>
      <c r="B178" t="str">
        <f>IF(A178="","",COUNTIFS(Detalle_Pagos!$E$5:$E$2004,A178,Detalle_Pagos!$J$5:$J$2004,"No"))</f>
        <v/>
      </c>
      <c r="C178" s="29" t="str">
        <f>IF(A178="","",SUMIFS(Detalle_Pagos!$I$5:$I$2004,Detalle_Pagos!$E$5:$E$2004,A178,Detalle_Pagos!$J$5:$J$2004,"No"))</f>
        <v/>
      </c>
      <c r="D178" s="29" t="str">
        <f>IF(A178="","",B178*IFERROR(INDEX(Trabajadores!$D$5:$D$204,MATCH(A178,Trabajadores!$B$5:$B$204,0)),0))</f>
        <v/>
      </c>
      <c r="E178" s="29" t="str">
        <f t="shared" si="5"/>
        <v/>
      </c>
      <c r="F178" s="30" t="str">
        <f>IF(A178="","",IF(B178=0,"",LOOKUP(2,1/((Detalle_Pagos!$E$5:$E$2004=A178)*(Detalle_Pagos!$J$5:$J$2004="No")),Detalle_Pagos!$B$5:$B$2004)))</f>
        <v/>
      </c>
      <c r="G178" s="29" t="str">
        <f>IF(A178="","",SUMIFS(Detalle_Pagos!$I$5:$I$2004,Detalle_Pagos!$E$5:$E$2004,A178,Detalle_Pagos!$J$5:$J$2004,"Si"))</f>
        <v/>
      </c>
      <c r="H178" t="str">
        <f>IF(A178="","",COUNTIFS(Detalle_Pagos!$E$5:$E$2004,A178,Detalle_Pagos!$J$5:$J$2004,"Si"))</f>
        <v/>
      </c>
    </row>
    <row r="179" spans="1:8" x14ac:dyDescent="0.3">
      <c r="A179" t="str">
        <f>IF(Trabajadores!B176="","",Trabajadores!B176)</f>
        <v/>
      </c>
      <c r="B179" t="str">
        <f>IF(A179="","",COUNTIFS(Detalle_Pagos!$E$5:$E$2004,A179,Detalle_Pagos!$J$5:$J$2004,"No"))</f>
        <v/>
      </c>
      <c r="C179" s="29" t="str">
        <f>IF(A179="","",SUMIFS(Detalle_Pagos!$I$5:$I$2004,Detalle_Pagos!$E$5:$E$2004,A179,Detalle_Pagos!$J$5:$J$2004,"No"))</f>
        <v/>
      </c>
      <c r="D179" s="29" t="str">
        <f>IF(A179="","",B179*IFERROR(INDEX(Trabajadores!$D$5:$D$204,MATCH(A179,Trabajadores!$B$5:$B$204,0)),0))</f>
        <v/>
      </c>
      <c r="E179" s="29" t="str">
        <f t="shared" si="5"/>
        <v/>
      </c>
      <c r="F179" s="30" t="str">
        <f>IF(A179="","",IF(B179=0,"",LOOKUP(2,1/((Detalle_Pagos!$E$5:$E$2004=A179)*(Detalle_Pagos!$J$5:$J$2004="No")),Detalle_Pagos!$B$5:$B$2004)))</f>
        <v/>
      </c>
      <c r="G179" s="29" t="str">
        <f>IF(A179="","",SUMIFS(Detalle_Pagos!$I$5:$I$2004,Detalle_Pagos!$E$5:$E$2004,A179,Detalle_Pagos!$J$5:$J$2004,"Si"))</f>
        <v/>
      </c>
      <c r="H179" t="str">
        <f>IF(A179="","",COUNTIFS(Detalle_Pagos!$E$5:$E$2004,A179,Detalle_Pagos!$J$5:$J$2004,"Si"))</f>
        <v/>
      </c>
    </row>
    <row r="180" spans="1:8" x14ac:dyDescent="0.3">
      <c r="A180" t="str">
        <f>IF(Trabajadores!B177="","",Trabajadores!B177)</f>
        <v/>
      </c>
      <c r="B180" t="str">
        <f>IF(A180="","",COUNTIFS(Detalle_Pagos!$E$5:$E$2004,A180,Detalle_Pagos!$J$5:$J$2004,"No"))</f>
        <v/>
      </c>
      <c r="C180" s="29" t="str">
        <f>IF(A180="","",SUMIFS(Detalle_Pagos!$I$5:$I$2004,Detalle_Pagos!$E$5:$E$2004,A180,Detalle_Pagos!$J$5:$J$2004,"No"))</f>
        <v/>
      </c>
      <c r="D180" s="29" t="str">
        <f>IF(A180="","",B180*IFERROR(INDEX(Trabajadores!$D$5:$D$204,MATCH(A180,Trabajadores!$B$5:$B$204,0)),0))</f>
        <v/>
      </c>
      <c r="E180" s="29" t="str">
        <f t="shared" si="5"/>
        <v/>
      </c>
      <c r="F180" s="30" t="str">
        <f>IF(A180="","",IF(B180=0,"",LOOKUP(2,1/((Detalle_Pagos!$E$5:$E$2004=A180)*(Detalle_Pagos!$J$5:$J$2004="No")),Detalle_Pagos!$B$5:$B$2004)))</f>
        <v/>
      </c>
      <c r="G180" s="29" t="str">
        <f>IF(A180="","",SUMIFS(Detalle_Pagos!$I$5:$I$2004,Detalle_Pagos!$E$5:$E$2004,A180,Detalle_Pagos!$J$5:$J$2004,"Si"))</f>
        <v/>
      </c>
      <c r="H180" t="str">
        <f>IF(A180="","",COUNTIFS(Detalle_Pagos!$E$5:$E$2004,A180,Detalle_Pagos!$J$5:$J$2004,"Si"))</f>
        <v/>
      </c>
    </row>
    <row r="181" spans="1:8" x14ac:dyDescent="0.3">
      <c r="A181" t="str">
        <f>IF(Trabajadores!B178="","",Trabajadores!B178)</f>
        <v/>
      </c>
      <c r="B181" t="str">
        <f>IF(A181="","",COUNTIFS(Detalle_Pagos!$E$5:$E$2004,A181,Detalle_Pagos!$J$5:$J$2004,"No"))</f>
        <v/>
      </c>
      <c r="C181" s="29" t="str">
        <f>IF(A181="","",SUMIFS(Detalle_Pagos!$I$5:$I$2004,Detalle_Pagos!$E$5:$E$2004,A181,Detalle_Pagos!$J$5:$J$2004,"No"))</f>
        <v/>
      </c>
      <c r="D181" s="29" t="str">
        <f>IF(A181="","",B181*IFERROR(INDEX(Trabajadores!$D$5:$D$204,MATCH(A181,Trabajadores!$B$5:$B$204,0)),0))</f>
        <v/>
      </c>
      <c r="E181" s="29" t="str">
        <f t="shared" si="5"/>
        <v/>
      </c>
      <c r="F181" s="30" t="str">
        <f>IF(A181="","",IF(B181=0,"",LOOKUP(2,1/((Detalle_Pagos!$E$5:$E$2004=A181)*(Detalle_Pagos!$J$5:$J$2004="No")),Detalle_Pagos!$B$5:$B$2004)))</f>
        <v/>
      </c>
      <c r="G181" s="29" t="str">
        <f>IF(A181="","",SUMIFS(Detalle_Pagos!$I$5:$I$2004,Detalle_Pagos!$E$5:$E$2004,A181,Detalle_Pagos!$J$5:$J$2004,"Si"))</f>
        <v/>
      </c>
      <c r="H181" t="str">
        <f>IF(A181="","",COUNTIFS(Detalle_Pagos!$E$5:$E$2004,A181,Detalle_Pagos!$J$5:$J$2004,"Si"))</f>
        <v/>
      </c>
    </row>
    <row r="182" spans="1:8" x14ac:dyDescent="0.3">
      <c r="A182" t="str">
        <f>IF(Trabajadores!B179="","",Trabajadores!B179)</f>
        <v/>
      </c>
      <c r="B182" t="str">
        <f>IF(A182="","",COUNTIFS(Detalle_Pagos!$E$5:$E$2004,A182,Detalle_Pagos!$J$5:$J$2004,"No"))</f>
        <v/>
      </c>
      <c r="C182" s="29" t="str">
        <f>IF(A182="","",SUMIFS(Detalle_Pagos!$I$5:$I$2004,Detalle_Pagos!$E$5:$E$2004,A182,Detalle_Pagos!$J$5:$J$2004,"No"))</f>
        <v/>
      </c>
      <c r="D182" s="29" t="str">
        <f>IF(A182="","",B182*IFERROR(INDEX(Trabajadores!$D$5:$D$204,MATCH(A182,Trabajadores!$B$5:$B$204,0)),0))</f>
        <v/>
      </c>
      <c r="E182" s="29" t="str">
        <f t="shared" si="5"/>
        <v/>
      </c>
      <c r="F182" s="30" t="str">
        <f>IF(A182="","",IF(B182=0,"",LOOKUP(2,1/((Detalle_Pagos!$E$5:$E$2004=A182)*(Detalle_Pagos!$J$5:$J$2004="No")),Detalle_Pagos!$B$5:$B$2004)))</f>
        <v/>
      </c>
      <c r="G182" s="29" t="str">
        <f>IF(A182="","",SUMIFS(Detalle_Pagos!$I$5:$I$2004,Detalle_Pagos!$E$5:$E$2004,A182,Detalle_Pagos!$J$5:$J$2004,"Si"))</f>
        <v/>
      </c>
      <c r="H182" t="str">
        <f>IF(A182="","",COUNTIFS(Detalle_Pagos!$E$5:$E$2004,A182,Detalle_Pagos!$J$5:$J$2004,"Si"))</f>
        <v/>
      </c>
    </row>
    <row r="183" spans="1:8" x14ac:dyDescent="0.3">
      <c r="A183" t="str">
        <f>IF(Trabajadores!B180="","",Trabajadores!B180)</f>
        <v/>
      </c>
      <c r="B183" t="str">
        <f>IF(A183="","",COUNTIFS(Detalle_Pagos!$E$5:$E$2004,A183,Detalle_Pagos!$J$5:$J$2004,"No"))</f>
        <v/>
      </c>
      <c r="C183" s="29" t="str">
        <f>IF(A183="","",SUMIFS(Detalle_Pagos!$I$5:$I$2004,Detalle_Pagos!$E$5:$E$2004,A183,Detalle_Pagos!$J$5:$J$2004,"No"))</f>
        <v/>
      </c>
      <c r="D183" s="29" t="str">
        <f>IF(A183="","",B183*IFERROR(INDEX(Trabajadores!$D$5:$D$204,MATCH(A183,Trabajadores!$B$5:$B$204,0)),0))</f>
        <v/>
      </c>
      <c r="E183" s="29" t="str">
        <f t="shared" si="5"/>
        <v/>
      </c>
      <c r="F183" s="30" t="str">
        <f>IF(A183="","",IF(B183=0,"",LOOKUP(2,1/((Detalle_Pagos!$E$5:$E$2004=A183)*(Detalle_Pagos!$J$5:$J$2004="No")),Detalle_Pagos!$B$5:$B$2004)))</f>
        <v/>
      </c>
      <c r="G183" s="29" t="str">
        <f>IF(A183="","",SUMIFS(Detalle_Pagos!$I$5:$I$2004,Detalle_Pagos!$E$5:$E$2004,A183,Detalle_Pagos!$J$5:$J$2004,"Si"))</f>
        <v/>
      </c>
      <c r="H183" t="str">
        <f>IF(A183="","",COUNTIFS(Detalle_Pagos!$E$5:$E$2004,A183,Detalle_Pagos!$J$5:$J$2004,"Si"))</f>
        <v/>
      </c>
    </row>
    <row r="184" spans="1:8" x14ac:dyDescent="0.3">
      <c r="A184" t="str">
        <f>IF(Trabajadores!B181="","",Trabajadores!B181)</f>
        <v/>
      </c>
      <c r="B184" t="str">
        <f>IF(A184="","",COUNTIFS(Detalle_Pagos!$E$5:$E$2004,A184,Detalle_Pagos!$J$5:$J$2004,"No"))</f>
        <v/>
      </c>
      <c r="C184" s="29" t="str">
        <f>IF(A184="","",SUMIFS(Detalle_Pagos!$I$5:$I$2004,Detalle_Pagos!$E$5:$E$2004,A184,Detalle_Pagos!$J$5:$J$2004,"No"))</f>
        <v/>
      </c>
      <c r="D184" s="29" t="str">
        <f>IF(A184="","",B184*IFERROR(INDEX(Trabajadores!$D$5:$D$204,MATCH(A184,Trabajadores!$B$5:$B$204,0)),0))</f>
        <v/>
      </c>
      <c r="E184" s="29" t="str">
        <f t="shared" si="5"/>
        <v/>
      </c>
      <c r="F184" s="30" t="str">
        <f>IF(A184="","",IF(B184=0,"",LOOKUP(2,1/((Detalle_Pagos!$E$5:$E$2004=A184)*(Detalle_Pagos!$J$5:$J$2004="No")),Detalle_Pagos!$B$5:$B$2004)))</f>
        <v/>
      </c>
      <c r="G184" s="29" t="str">
        <f>IF(A184="","",SUMIFS(Detalle_Pagos!$I$5:$I$2004,Detalle_Pagos!$E$5:$E$2004,A184,Detalle_Pagos!$J$5:$J$2004,"Si"))</f>
        <v/>
      </c>
      <c r="H184" t="str">
        <f>IF(A184="","",COUNTIFS(Detalle_Pagos!$E$5:$E$2004,A184,Detalle_Pagos!$J$5:$J$2004,"Si"))</f>
        <v/>
      </c>
    </row>
    <row r="185" spans="1:8" x14ac:dyDescent="0.3">
      <c r="A185" t="str">
        <f>IF(Trabajadores!B182="","",Trabajadores!B182)</f>
        <v/>
      </c>
      <c r="B185" t="str">
        <f>IF(A185="","",COUNTIFS(Detalle_Pagos!$E$5:$E$2004,A185,Detalle_Pagos!$J$5:$J$2004,"No"))</f>
        <v/>
      </c>
      <c r="C185" s="29" t="str">
        <f>IF(A185="","",SUMIFS(Detalle_Pagos!$I$5:$I$2004,Detalle_Pagos!$E$5:$E$2004,A185,Detalle_Pagos!$J$5:$J$2004,"No"))</f>
        <v/>
      </c>
      <c r="D185" s="29" t="str">
        <f>IF(A185="","",B185*IFERROR(INDEX(Trabajadores!$D$5:$D$204,MATCH(A185,Trabajadores!$B$5:$B$204,0)),0))</f>
        <v/>
      </c>
      <c r="E185" s="29" t="str">
        <f t="shared" si="5"/>
        <v/>
      </c>
      <c r="F185" s="30" t="str">
        <f>IF(A185="","",IF(B185=0,"",LOOKUP(2,1/((Detalle_Pagos!$E$5:$E$2004=A185)*(Detalle_Pagos!$J$5:$J$2004="No")),Detalle_Pagos!$B$5:$B$2004)))</f>
        <v/>
      </c>
      <c r="G185" s="29" t="str">
        <f>IF(A185="","",SUMIFS(Detalle_Pagos!$I$5:$I$2004,Detalle_Pagos!$E$5:$E$2004,A185,Detalle_Pagos!$J$5:$J$2004,"Si"))</f>
        <v/>
      </c>
      <c r="H185" t="str">
        <f>IF(A185="","",COUNTIFS(Detalle_Pagos!$E$5:$E$2004,A185,Detalle_Pagos!$J$5:$J$2004,"Si"))</f>
        <v/>
      </c>
    </row>
    <row r="186" spans="1:8" x14ac:dyDescent="0.3">
      <c r="A186" t="str">
        <f>IF(Trabajadores!B183="","",Trabajadores!B183)</f>
        <v/>
      </c>
      <c r="B186" t="str">
        <f>IF(A186="","",COUNTIFS(Detalle_Pagos!$E$5:$E$2004,A186,Detalle_Pagos!$J$5:$J$2004,"No"))</f>
        <v/>
      </c>
      <c r="C186" s="29" t="str">
        <f>IF(A186="","",SUMIFS(Detalle_Pagos!$I$5:$I$2004,Detalle_Pagos!$E$5:$E$2004,A186,Detalle_Pagos!$J$5:$J$2004,"No"))</f>
        <v/>
      </c>
      <c r="D186" s="29" t="str">
        <f>IF(A186="","",B186*IFERROR(INDEX(Trabajadores!$D$5:$D$204,MATCH(A186,Trabajadores!$B$5:$B$204,0)),0))</f>
        <v/>
      </c>
      <c r="E186" s="29" t="str">
        <f t="shared" si="5"/>
        <v/>
      </c>
      <c r="F186" s="30" t="str">
        <f>IF(A186="","",IF(B186=0,"",LOOKUP(2,1/((Detalle_Pagos!$E$5:$E$2004=A186)*(Detalle_Pagos!$J$5:$J$2004="No")),Detalle_Pagos!$B$5:$B$2004)))</f>
        <v/>
      </c>
      <c r="G186" s="29" t="str">
        <f>IF(A186="","",SUMIFS(Detalle_Pagos!$I$5:$I$2004,Detalle_Pagos!$E$5:$E$2004,A186,Detalle_Pagos!$J$5:$J$2004,"Si"))</f>
        <v/>
      </c>
      <c r="H186" t="str">
        <f>IF(A186="","",COUNTIFS(Detalle_Pagos!$E$5:$E$2004,A186,Detalle_Pagos!$J$5:$J$2004,"Si"))</f>
        <v/>
      </c>
    </row>
    <row r="187" spans="1:8" x14ac:dyDescent="0.3">
      <c r="A187" t="str">
        <f>IF(Trabajadores!B184="","",Trabajadores!B184)</f>
        <v/>
      </c>
      <c r="B187" t="str">
        <f>IF(A187="","",COUNTIFS(Detalle_Pagos!$E$5:$E$2004,A187,Detalle_Pagos!$J$5:$J$2004,"No"))</f>
        <v/>
      </c>
      <c r="C187" s="29" t="str">
        <f>IF(A187="","",SUMIFS(Detalle_Pagos!$I$5:$I$2004,Detalle_Pagos!$E$5:$E$2004,A187,Detalle_Pagos!$J$5:$J$2004,"No"))</f>
        <v/>
      </c>
      <c r="D187" s="29" t="str">
        <f>IF(A187="","",B187*IFERROR(INDEX(Trabajadores!$D$5:$D$204,MATCH(A187,Trabajadores!$B$5:$B$204,0)),0))</f>
        <v/>
      </c>
      <c r="E187" s="29" t="str">
        <f t="shared" si="5"/>
        <v/>
      </c>
      <c r="F187" s="30" t="str">
        <f>IF(A187="","",IF(B187=0,"",LOOKUP(2,1/((Detalle_Pagos!$E$5:$E$2004=A187)*(Detalle_Pagos!$J$5:$J$2004="No")),Detalle_Pagos!$B$5:$B$2004)))</f>
        <v/>
      </c>
      <c r="G187" s="29" t="str">
        <f>IF(A187="","",SUMIFS(Detalle_Pagos!$I$5:$I$2004,Detalle_Pagos!$E$5:$E$2004,A187,Detalle_Pagos!$J$5:$J$2004,"Si"))</f>
        <v/>
      </c>
      <c r="H187" t="str">
        <f>IF(A187="","",COUNTIFS(Detalle_Pagos!$E$5:$E$2004,A187,Detalle_Pagos!$J$5:$J$2004,"Si"))</f>
        <v/>
      </c>
    </row>
    <row r="188" spans="1:8" x14ac:dyDescent="0.3">
      <c r="A188" t="str">
        <f>IF(Trabajadores!B185="","",Trabajadores!B185)</f>
        <v/>
      </c>
      <c r="B188" t="str">
        <f>IF(A188="","",COUNTIFS(Detalle_Pagos!$E$5:$E$2004,A188,Detalle_Pagos!$J$5:$J$2004,"No"))</f>
        <v/>
      </c>
      <c r="C188" s="29" t="str">
        <f>IF(A188="","",SUMIFS(Detalle_Pagos!$I$5:$I$2004,Detalle_Pagos!$E$5:$E$2004,A188,Detalle_Pagos!$J$5:$J$2004,"No"))</f>
        <v/>
      </c>
      <c r="D188" s="29" t="str">
        <f>IF(A188="","",B188*IFERROR(INDEX(Trabajadores!$D$5:$D$204,MATCH(A188,Trabajadores!$B$5:$B$204,0)),0))</f>
        <v/>
      </c>
      <c r="E188" s="29" t="str">
        <f t="shared" si="5"/>
        <v/>
      </c>
      <c r="F188" s="30" t="str">
        <f>IF(A188="","",IF(B188=0,"",LOOKUP(2,1/((Detalle_Pagos!$E$5:$E$2004=A188)*(Detalle_Pagos!$J$5:$J$2004="No")),Detalle_Pagos!$B$5:$B$2004)))</f>
        <v/>
      </c>
      <c r="G188" s="29" t="str">
        <f>IF(A188="","",SUMIFS(Detalle_Pagos!$I$5:$I$2004,Detalle_Pagos!$E$5:$E$2004,A188,Detalle_Pagos!$J$5:$J$2004,"Si"))</f>
        <v/>
      </c>
      <c r="H188" t="str">
        <f>IF(A188="","",COUNTIFS(Detalle_Pagos!$E$5:$E$2004,A188,Detalle_Pagos!$J$5:$J$2004,"Si"))</f>
        <v/>
      </c>
    </row>
    <row r="189" spans="1:8" x14ac:dyDescent="0.3">
      <c r="A189" t="str">
        <f>IF(Trabajadores!B186="","",Trabajadores!B186)</f>
        <v/>
      </c>
      <c r="B189" t="str">
        <f>IF(A189="","",COUNTIFS(Detalle_Pagos!$E$5:$E$2004,A189,Detalle_Pagos!$J$5:$J$2004,"No"))</f>
        <v/>
      </c>
      <c r="C189" s="29" t="str">
        <f>IF(A189="","",SUMIFS(Detalle_Pagos!$I$5:$I$2004,Detalle_Pagos!$E$5:$E$2004,A189,Detalle_Pagos!$J$5:$J$2004,"No"))</f>
        <v/>
      </c>
      <c r="D189" s="29" t="str">
        <f>IF(A189="","",B189*IFERROR(INDEX(Trabajadores!$D$5:$D$204,MATCH(A189,Trabajadores!$B$5:$B$204,0)),0))</f>
        <v/>
      </c>
      <c r="E189" s="29" t="str">
        <f t="shared" si="5"/>
        <v/>
      </c>
      <c r="F189" s="30" t="str">
        <f>IF(A189="","",IF(B189=0,"",LOOKUP(2,1/((Detalle_Pagos!$E$5:$E$2004=A189)*(Detalle_Pagos!$J$5:$J$2004="No")),Detalle_Pagos!$B$5:$B$2004)))</f>
        <v/>
      </c>
      <c r="G189" s="29" t="str">
        <f>IF(A189="","",SUMIFS(Detalle_Pagos!$I$5:$I$2004,Detalle_Pagos!$E$5:$E$2004,A189,Detalle_Pagos!$J$5:$J$2004,"Si"))</f>
        <v/>
      </c>
      <c r="H189" t="str">
        <f>IF(A189="","",COUNTIFS(Detalle_Pagos!$E$5:$E$2004,A189,Detalle_Pagos!$J$5:$J$2004,"Si"))</f>
        <v/>
      </c>
    </row>
    <row r="190" spans="1:8" x14ac:dyDescent="0.3">
      <c r="A190" t="str">
        <f>IF(Trabajadores!B187="","",Trabajadores!B187)</f>
        <v/>
      </c>
      <c r="B190" t="str">
        <f>IF(A190="","",COUNTIFS(Detalle_Pagos!$E$5:$E$2004,A190,Detalle_Pagos!$J$5:$J$2004,"No"))</f>
        <v/>
      </c>
      <c r="C190" s="29" t="str">
        <f>IF(A190="","",SUMIFS(Detalle_Pagos!$I$5:$I$2004,Detalle_Pagos!$E$5:$E$2004,A190,Detalle_Pagos!$J$5:$J$2004,"No"))</f>
        <v/>
      </c>
      <c r="D190" s="29" t="str">
        <f>IF(A190="","",B190*IFERROR(INDEX(Trabajadores!$D$5:$D$204,MATCH(A190,Trabajadores!$B$5:$B$204,0)),0))</f>
        <v/>
      </c>
      <c r="E190" s="29" t="str">
        <f t="shared" si="5"/>
        <v/>
      </c>
      <c r="F190" s="30" t="str">
        <f>IF(A190="","",IF(B190=0,"",LOOKUP(2,1/((Detalle_Pagos!$E$5:$E$2004=A190)*(Detalle_Pagos!$J$5:$J$2004="No")),Detalle_Pagos!$B$5:$B$2004)))</f>
        <v/>
      </c>
      <c r="G190" s="29" t="str">
        <f>IF(A190="","",SUMIFS(Detalle_Pagos!$I$5:$I$2004,Detalle_Pagos!$E$5:$E$2004,A190,Detalle_Pagos!$J$5:$J$2004,"Si"))</f>
        <v/>
      </c>
      <c r="H190" t="str">
        <f>IF(A190="","",COUNTIFS(Detalle_Pagos!$E$5:$E$2004,A190,Detalle_Pagos!$J$5:$J$2004,"Si"))</f>
        <v/>
      </c>
    </row>
    <row r="191" spans="1:8" x14ac:dyDescent="0.3">
      <c r="A191" t="str">
        <f>IF(Trabajadores!B188="","",Trabajadores!B188)</f>
        <v/>
      </c>
      <c r="B191" t="str">
        <f>IF(A191="","",COUNTIFS(Detalle_Pagos!$E$5:$E$2004,A191,Detalle_Pagos!$J$5:$J$2004,"No"))</f>
        <v/>
      </c>
      <c r="C191" s="29" t="str">
        <f>IF(A191="","",SUMIFS(Detalle_Pagos!$I$5:$I$2004,Detalle_Pagos!$E$5:$E$2004,A191,Detalle_Pagos!$J$5:$J$2004,"No"))</f>
        <v/>
      </c>
      <c r="D191" s="29" t="str">
        <f>IF(A191="","",B191*IFERROR(INDEX(Trabajadores!$D$5:$D$204,MATCH(A191,Trabajadores!$B$5:$B$204,0)),0))</f>
        <v/>
      </c>
      <c r="E191" s="29" t="str">
        <f t="shared" si="5"/>
        <v/>
      </c>
      <c r="F191" s="30" t="str">
        <f>IF(A191="","",IF(B191=0,"",LOOKUP(2,1/((Detalle_Pagos!$E$5:$E$2004=A191)*(Detalle_Pagos!$J$5:$J$2004="No")),Detalle_Pagos!$B$5:$B$2004)))</f>
        <v/>
      </c>
      <c r="G191" s="29" t="str">
        <f>IF(A191="","",SUMIFS(Detalle_Pagos!$I$5:$I$2004,Detalle_Pagos!$E$5:$E$2004,A191,Detalle_Pagos!$J$5:$J$2004,"Si"))</f>
        <v/>
      </c>
      <c r="H191" t="str">
        <f>IF(A191="","",COUNTIFS(Detalle_Pagos!$E$5:$E$2004,A191,Detalle_Pagos!$J$5:$J$2004,"Si"))</f>
        <v/>
      </c>
    </row>
    <row r="192" spans="1:8" x14ac:dyDescent="0.3">
      <c r="A192" t="str">
        <f>IF(Trabajadores!B189="","",Trabajadores!B189)</f>
        <v/>
      </c>
      <c r="B192" t="str">
        <f>IF(A192="","",COUNTIFS(Detalle_Pagos!$E$5:$E$2004,A192,Detalle_Pagos!$J$5:$J$2004,"No"))</f>
        <v/>
      </c>
      <c r="C192" s="29" t="str">
        <f>IF(A192="","",SUMIFS(Detalle_Pagos!$I$5:$I$2004,Detalle_Pagos!$E$5:$E$2004,A192,Detalle_Pagos!$J$5:$J$2004,"No"))</f>
        <v/>
      </c>
      <c r="D192" s="29" t="str">
        <f>IF(A192="","",B192*IFERROR(INDEX(Trabajadores!$D$5:$D$204,MATCH(A192,Trabajadores!$B$5:$B$204,0)),0))</f>
        <v/>
      </c>
      <c r="E192" s="29" t="str">
        <f t="shared" si="5"/>
        <v/>
      </c>
      <c r="F192" s="30" t="str">
        <f>IF(A192="","",IF(B192=0,"",LOOKUP(2,1/((Detalle_Pagos!$E$5:$E$2004=A192)*(Detalle_Pagos!$J$5:$J$2004="No")),Detalle_Pagos!$B$5:$B$2004)))</f>
        <v/>
      </c>
      <c r="G192" s="29" t="str">
        <f>IF(A192="","",SUMIFS(Detalle_Pagos!$I$5:$I$2004,Detalle_Pagos!$E$5:$E$2004,A192,Detalle_Pagos!$J$5:$J$2004,"Si"))</f>
        <v/>
      </c>
      <c r="H192" t="str">
        <f>IF(A192="","",COUNTIFS(Detalle_Pagos!$E$5:$E$2004,A192,Detalle_Pagos!$J$5:$J$2004,"Si"))</f>
        <v/>
      </c>
    </row>
    <row r="193" spans="1:8" x14ac:dyDescent="0.3">
      <c r="A193" t="str">
        <f>IF(Trabajadores!B190="","",Trabajadores!B190)</f>
        <v/>
      </c>
      <c r="B193" t="str">
        <f>IF(A193="","",COUNTIFS(Detalle_Pagos!$E$5:$E$2004,A193,Detalle_Pagos!$J$5:$J$2004,"No"))</f>
        <v/>
      </c>
      <c r="C193" s="29" t="str">
        <f>IF(A193="","",SUMIFS(Detalle_Pagos!$I$5:$I$2004,Detalle_Pagos!$E$5:$E$2004,A193,Detalle_Pagos!$J$5:$J$2004,"No"))</f>
        <v/>
      </c>
      <c r="D193" s="29" t="str">
        <f>IF(A193="","",B193*IFERROR(INDEX(Trabajadores!$D$5:$D$204,MATCH(A193,Trabajadores!$B$5:$B$204,0)),0))</f>
        <v/>
      </c>
      <c r="E193" s="29" t="str">
        <f t="shared" si="5"/>
        <v/>
      </c>
      <c r="F193" s="30" t="str">
        <f>IF(A193="","",IF(B193=0,"",LOOKUP(2,1/((Detalle_Pagos!$E$5:$E$2004=A193)*(Detalle_Pagos!$J$5:$J$2004="No")),Detalle_Pagos!$B$5:$B$2004)))</f>
        <v/>
      </c>
      <c r="G193" s="29" t="str">
        <f>IF(A193="","",SUMIFS(Detalle_Pagos!$I$5:$I$2004,Detalle_Pagos!$E$5:$E$2004,A193,Detalle_Pagos!$J$5:$J$2004,"Si"))</f>
        <v/>
      </c>
      <c r="H193" t="str">
        <f>IF(A193="","",COUNTIFS(Detalle_Pagos!$E$5:$E$2004,A193,Detalle_Pagos!$J$5:$J$2004,"Si"))</f>
        <v/>
      </c>
    </row>
    <row r="194" spans="1:8" x14ac:dyDescent="0.3">
      <c r="A194" t="str">
        <f>IF(Trabajadores!B191="","",Trabajadores!B191)</f>
        <v/>
      </c>
      <c r="B194" t="str">
        <f>IF(A194="","",COUNTIFS(Detalle_Pagos!$E$5:$E$2004,A194,Detalle_Pagos!$J$5:$J$2004,"No"))</f>
        <v/>
      </c>
      <c r="C194" s="29" t="str">
        <f>IF(A194="","",SUMIFS(Detalle_Pagos!$I$5:$I$2004,Detalle_Pagos!$E$5:$E$2004,A194,Detalle_Pagos!$J$5:$J$2004,"No"))</f>
        <v/>
      </c>
      <c r="D194" s="29" t="str">
        <f>IF(A194="","",B194*IFERROR(INDEX(Trabajadores!$D$5:$D$204,MATCH(A194,Trabajadores!$B$5:$B$204,0)),0))</f>
        <v/>
      </c>
      <c r="E194" s="29" t="str">
        <f t="shared" si="5"/>
        <v/>
      </c>
      <c r="F194" s="30" t="str">
        <f>IF(A194="","",IF(B194=0,"",LOOKUP(2,1/((Detalle_Pagos!$E$5:$E$2004=A194)*(Detalle_Pagos!$J$5:$J$2004="No")),Detalle_Pagos!$B$5:$B$2004)))</f>
        <v/>
      </c>
      <c r="G194" s="29" t="str">
        <f>IF(A194="","",SUMIFS(Detalle_Pagos!$I$5:$I$2004,Detalle_Pagos!$E$5:$E$2004,A194,Detalle_Pagos!$J$5:$J$2004,"Si"))</f>
        <v/>
      </c>
      <c r="H194" t="str">
        <f>IF(A194="","",COUNTIFS(Detalle_Pagos!$E$5:$E$2004,A194,Detalle_Pagos!$J$5:$J$2004,"Si"))</f>
        <v/>
      </c>
    </row>
    <row r="195" spans="1:8" x14ac:dyDescent="0.3">
      <c r="A195" t="str">
        <f>IF(Trabajadores!B192="","",Trabajadores!B192)</f>
        <v/>
      </c>
      <c r="B195" t="str">
        <f>IF(A195="","",COUNTIFS(Detalle_Pagos!$E$5:$E$2004,A195,Detalle_Pagos!$J$5:$J$2004,"No"))</f>
        <v/>
      </c>
      <c r="C195" s="29" t="str">
        <f>IF(A195="","",SUMIFS(Detalle_Pagos!$I$5:$I$2004,Detalle_Pagos!$E$5:$E$2004,A195,Detalle_Pagos!$J$5:$J$2004,"No"))</f>
        <v/>
      </c>
      <c r="D195" s="29" t="str">
        <f>IF(A195="","",B195*IFERROR(INDEX(Trabajadores!$D$5:$D$204,MATCH(A195,Trabajadores!$B$5:$B$204,0)),0))</f>
        <v/>
      </c>
      <c r="E195" s="29" t="str">
        <f t="shared" si="5"/>
        <v/>
      </c>
      <c r="F195" s="30" t="str">
        <f>IF(A195="","",IF(B195=0,"",LOOKUP(2,1/((Detalle_Pagos!$E$5:$E$2004=A195)*(Detalle_Pagos!$J$5:$J$2004="No")),Detalle_Pagos!$B$5:$B$2004)))</f>
        <v/>
      </c>
      <c r="G195" s="29" t="str">
        <f>IF(A195="","",SUMIFS(Detalle_Pagos!$I$5:$I$2004,Detalle_Pagos!$E$5:$E$2004,A195,Detalle_Pagos!$J$5:$J$2004,"Si"))</f>
        <v/>
      </c>
      <c r="H195" t="str">
        <f>IF(A195="","",COUNTIFS(Detalle_Pagos!$E$5:$E$2004,A195,Detalle_Pagos!$J$5:$J$2004,"Si"))</f>
        <v/>
      </c>
    </row>
    <row r="196" spans="1:8" x14ac:dyDescent="0.3">
      <c r="A196" t="str">
        <f>IF(Trabajadores!B193="","",Trabajadores!B193)</f>
        <v/>
      </c>
      <c r="B196" t="str">
        <f>IF(A196="","",COUNTIFS(Detalle_Pagos!$E$5:$E$2004,A196,Detalle_Pagos!$J$5:$J$2004,"No"))</f>
        <v/>
      </c>
      <c r="C196" s="29" t="str">
        <f>IF(A196="","",SUMIFS(Detalle_Pagos!$I$5:$I$2004,Detalle_Pagos!$E$5:$E$2004,A196,Detalle_Pagos!$J$5:$J$2004,"No"))</f>
        <v/>
      </c>
      <c r="D196" s="29" t="str">
        <f>IF(A196="","",B196*IFERROR(INDEX(Trabajadores!$D$5:$D$204,MATCH(A196,Trabajadores!$B$5:$B$204,0)),0))</f>
        <v/>
      </c>
      <c r="E196" s="29" t="str">
        <f t="shared" si="5"/>
        <v/>
      </c>
      <c r="F196" s="30" t="str">
        <f>IF(A196="","",IF(B196=0,"",LOOKUP(2,1/((Detalle_Pagos!$E$5:$E$2004=A196)*(Detalle_Pagos!$J$5:$J$2004="No")),Detalle_Pagos!$B$5:$B$2004)))</f>
        <v/>
      </c>
      <c r="G196" s="29" t="str">
        <f>IF(A196="","",SUMIFS(Detalle_Pagos!$I$5:$I$2004,Detalle_Pagos!$E$5:$E$2004,A196,Detalle_Pagos!$J$5:$J$2004,"Si"))</f>
        <v/>
      </c>
      <c r="H196" t="str">
        <f>IF(A196="","",COUNTIFS(Detalle_Pagos!$E$5:$E$2004,A196,Detalle_Pagos!$J$5:$J$2004,"Si"))</f>
        <v/>
      </c>
    </row>
    <row r="197" spans="1:8" x14ac:dyDescent="0.3">
      <c r="A197" t="str">
        <f>IF(Trabajadores!B194="","",Trabajadores!B194)</f>
        <v/>
      </c>
      <c r="B197" t="str">
        <f>IF(A197="","",COUNTIFS(Detalle_Pagos!$E$5:$E$2004,A197,Detalle_Pagos!$J$5:$J$2004,"No"))</f>
        <v/>
      </c>
      <c r="C197" s="29" t="str">
        <f>IF(A197="","",SUMIFS(Detalle_Pagos!$I$5:$I$2004,Detalle_Pagos!$E$5:$E$2004,A197,Detalle_Pagos!$J$5:$J$2004,"No"))</f>
        <v/>
      </c>
      <c r="D197" s="29" t="str">
        <f>IF(A197="","",B197*IFERROR(INDEX(Trabajadores!$D$5:$D$204,MATCH(A197,Trabajadores!$B$5:$B$204,0)),0))</f>
        <v/>
      </c>
      <c r="E197" s="29" t="str">
        <f t="shared" si="5"/>
        <v/>
      </c>
      <c r="F197" s="30" t="str">
        <f>IF(A197="","",IF(B197=0,"",LOOKUP(2,1/((Detalle_Pagos!$E$5:$E$2004=A197)*(Detalle_Pagos!$J$5:$J$2004="No")),Detalle_Pagos!$B$5:$B$2004)))</f>
        <v/>
      </c>
      <c r="G197" s="29" t="str">
        <f>IF(A197="","",SUMIFS(Detalle_Pagos!$I$5:$I$2004,Detalle_Pagos!$E$5:$E$2004,A197,Detalle_Pagos!$J$5:$J$2004,"Si"))</f>
        <v/>
      </c>
      <c r="H197" t="str">
        <f>IF(A197="","",COUNTIFS(Detalle_Pagos!$E$5:$E$2004,A197,Detalle_Pagos!$J$5:$J$2004,"Si"))</f>
        <v/>
      </c>
    </row>
    <row r="198" spans="1:8" x14ac:dyDescent="0.3">
      <c r="A198" t="str">
        <f>IF(Trabajadores!B195="","",Trabajadores!B195)</f>
        <v/>
      </c>
      <c r="B198" t="str">
        <f>IF(A198="","",COUNTIFS(Detalle_Pagos!$E$5:$E$2004,A198,Detalle_Pagos!$J$5:$J$2004,"No"))</f>
        <v/>
      </c>
      <c r="C198" s="29" t="str">
        <f>IF(A198="","",SUMIFS(Detalle_Pagos!$I$5:$I$2004,Detalle_Pagos!$E$5:$E$2004,A198,Detalle_Pagos!$J$5:$J$2004,"No"))</f>
        <v/>
      </c>
      <c r="D198" s="29" t="str">
        <f>IF(A198="","",B198*IFERROR(INDEX(Trabajadores!$D$5:$D$204,MATCH(A198,Trabajadores!$B$5:$B$204,0)),0))</f>
        <v/>
      </c>
      <c r="E198" s="29" t="str">
        <f t="shared" si="5"/>
        <v/>
      </c>
      <c r="F198" s="30" t="str">
        <f>IF(A198="","",IF(B198=0,"",LOOKUP(2,1/((Detalle_Pagos!$E$5:$E$2004=A198)*(Detalle_Pagos!$J$5:$J$2004="No")),Detalle_Pagos!$B$5:$B$2004)))</f>
        <v/>
      </c>
      <c r="G198" s="29" t="str">
        <f>IF(A198="","",SUMIFS(Detalle_Pagos!$I$5:$I$2004,Detalle_Pagos!$E$5:$E$2004,A198,Detalle_Pagos!$J$5:$J$2004,"Si"))</f>
        <v/>
      </c>
      <c r="H198" t="str">
        <f>IF(A198="","",COUNTIFS(Detalle_Pagos!$E$5:$E$2004,A198,Detalle_Pagos!$J$5:$J$2004,"Si"))</f>
        <v/>
      </c>
    </row>
    <row r="199" spans="1:8" x14ac:dyDescent="0.3">
      <c r="A199" t="str">
        <f>IF(Trabajadores!B196="","",Trabajadores!B196)</f>
        <v/>
      </c>
      <c r="B199" t="str">
        <f>IF(A199="","",COUNTIFS(Detalle_Pagos!$E$5:$E$2004,A199,Detalle_Pagos!$J$5:$J$2004,"No"))</f>
        <v/>
      </c>
      <c r="C199" s="29" t="str">
        <f>IF(A199="","",SUMIFS(Detalle_Pagos!$I$5:$I$2004,Detalle_Pagos!$E$5:$E$2004,A199,Detalle_Pagos!$J$5:$J$2004,"No"))</f>
        <v/>
      </c>
      <c r="D199" s="29" t="str">
        <f>IF(A199="","",B199*IFERROR(INDEX(Trabajadores!$D$5:$D$204,MATCH(A199,Trabajadores!$B$5:$B$204,0)),0))</f>
        <v/>
      </c>
      <c r="E199" s="29" t="str">
        <f t="shared" si="5"/>
        <v/>
      </c>
      <c r="F199" s="30" t="str">
        <f>IF(A199="","",IF(B199=0,"",LOOKUP(2,1/((Detalle_Pagos!$E$5:$E$2004=A199)*(Detalle_Pagos!$J$5:$J$2004="No")),Detalle_Pagos!$B$5:$B$2004)))</f>
        <v/>
      </c>
      <c r="G199" s="29" t="str">
        <f>IF(A199="","",SUMIFS(Detalle_Pagos!$I$5:$I$2004,Detalle_Pagos!$E$5:$E$2004,A199,Detalle_Pagos!$J$5:$J$2004,"Si"))</f>
        <v/>
      </c>
      <c r="H199" t="str">
        <f>IF(A199="","",COUNTIFS(Detalle_Pagos!$E$5:$E$2004,A199,Detalle_Pagos!$J$5:$J$2004,"Si"))</f>
        <v/>
      </c>
    </row>
    <row r="200" spans="1:8" x14ac:dyDescent="0.3">
      <c r="A200" t="str">
        <f>IF(Trabajadores!B197="","",Trabajadores!B197)</f>
        <v/>
      </c>
      <c r="B200" t="str">
        <f>IF(A200="","",COUNTIFS(Detalle_Pagos!$E$5:$E$2004,A200,Detalle_Pagos!$J$5:$J$2004,"No"))</f>
        <v/>
      </c>
      <c r="C200" s="29" t="str">
        <f>IF(A200="","",SUMIFS(Detalle_Pagos!$I$5:$I$2004,Detalle_Pagos!$E$5:$E$2004,A200,Detalle_Pagos!$J$5:$J$2004,"No"))</f>
        <v/>
      </c>
      <c r="D200" s="29" t="str">
        <f>IF(A200="","",B200*IFERROR(INDEX(Trabajadores!$D$5:$D$204,MATCH(A200,Trabajadores!$B$5:$B$204,0)),0))</f>
        <v/>
      </c>
      <c r="E200" s="29" t="str">
        <f t="shared" ref="E200:E231" si="6">IF(A200="","",C200+D200)</f>
        <v/>
      </c>
      <c r="F200" s="30" t="str">
        <f>IF(A200="","",IF(B200=0,"",LOOKUP(2,1/((Detalle_Pagos!$E$5:$E$2004=A200)*(Detalle_Pagos!$J$5:$J$2004="No")),Detalle_Pagos!$B$5:$B$2004)))</f>
        <v/>
      </c>
      <c r="G200" s="29" t="str">
        <f>IF(A200="","",SUMIFS(Detalle_Pagos!$I$5:$I$2004,Detalle_Pagos!$E$5:$E$2004,A200,Detalle_Pagos!$J$5:$J$2004,"Si"))</f>
        <v/>
      </c>
      <c r="H200" t="str">
        <f>IF(A200="","",COUNTIFS(Detalle_Pagos!$E$5:$E$2004,A200,Detalle_Pagos!$J$5:$J$2004,"Si"))</f>
        <v/>
      </c>
    </row>
    <row r="201" spans="1:8" x14ac:dyDescent="0.3">
      <c r="A201" t="str">
        <f>IF(Trabajadores!B198="","",Trabajadores!B198)</f>
        <v/>
      </c>
      <c r="B201" t="str">
        <f>IF(A201="","",COUNTIFS(Detalle_Pagos!$E$5:$E$2004,A201,Detalle_Pagos!$J$5:$J$2004,"No"))</f>
        <v/>
      </c>
      <c r="C201" s="29" t="str">
        <f>IF(A201="","",SUMIFS(Detalle_Pagos!$I$5:$I$2004,Detalle_Pagos!$E$5:$E$2004,A201,Detalle_Pagos!$J$5:$J$2004,"No"))</f>
        <v/>
      </c>
      <c r="D201" s="29" t="str">
        <f>IF(A201="","",B201*IFERROR(INDEX(Trabajadores!$D$5:$D$204,MATCH(A201,Trabajadores!$B$5:$B$204,0)),0))</f>
        <v/>
      </c>
      <c r="E201" s="29" t="str">
        <f t="shared" si="6"/>
        <v/>
      </c>
      <c r="F201" s="30" t="str">
        <f>IF(A201="","",IF(B201=0,"",LOOKUP(2,1/((Detalle_Pagos!$E$5:$E$2004=A201)*(Detalle_Pagos!$J$5:$J$2004="No")),Detalle_Pagos!$B$5:$B$2004)))</f>
        <v/>
      </c>
      <c r="G201" s="29" t="str">
        <f>IF(A201="","",SUMIFS(Detalle_Pagos!$I$5:$I$2004,Detalle_Pagos!$E$5:$E$2004,A201,Detalle_Pagos!$J$5:$J$2004,"Si"))</f>
        <v/>
      </c>
      <c r="H201" t="str">
        <f>IF(A201="","",COUNTIFS(Detalle_Pagos!$E$5:$E$2004,A201,Detalle_Pagos!$J$5:$J$2004,"Si"))</f>
        <v/>
      </c>
    </row>
    <row r="202" spans="1:8" x14ac:dyDescent="0.3">
      <c r="A202" t="str">
        <f>IF(Trabajadores!B199="","",Trabajadores!B199)</f>
        <v/>
      </c>
      <c r="B202" t="str">
        <f>IF(A202="","",COUNTIFS(Detalle_Pagos!$E$5:$E$2004,A202,Detalle_Pagos!$J$5:$J$2004,"No"))</f>
        <v/>
      </c>
      <c r="C202" s="29" t="str">
        <f>IF(A202="","",SUMIFS(Detalle_Pagos!$I$5:$I$2004,Detalle_Pagos!$E$5:$E$2004,A202,Detalle_Pagos!$J$5:$J$2004,"No"))</f>
        <v/>
      </c>
      <c r="D202" s="29" t="str">
        <f>IF(A202="","",B202*IFERROR(INDEX(Trabajadores!$D$5:$D$204,MATCH(A202,Trabajadores!$B$5:$B$204,0)),0))</f>
        <v/>
      </c>
      <c r="E202" s="29" t="str">
        <f t="shared" si="6"/>
        <v/>
      </c>
      <c r="F202" s="30" t="str">
        <f>IF(A202="","",IF(B202=0,"",LOOKUP(2,1/((Detalle_Pagos!$E$5:$E$2004=A202)*(Detalle_Pagos!$J$5:$J$2004="No")),Detalle_Pagos!$B$5:$B$2004)))</f>
        <v/>
      </c>
      <c r="G202" s="29" t="str">
        <f>IF(A202="","",SUMIFS(Detalle_Pagos!$I$5:$I$2004,Detalle_Pagos!$E$5:$E$2004,A202,Detalle_Pagos!$J$5:$J$2004,"Si"))</f>
        <v/>
      </c>
      <c r="H202" t="str">
        <f>IF(A202="","",COUNTIFS(Detalle_Pagos!$E$5:$E$2004,A202,Detalle_Pagos!$J$5:$J$2004,"Si"))</f>
        <v/>
      </c>
    </row>
    <row r="203" spans="1:8" x14ac:dyDescent="0.3">
      <c r="A203" t="str">
        <f>IF(Trabajadores!B200="","",Trabajadores!B200)</f>
        <v/>
      </c>
      <c r="B203" t="str">
        <f>IF(A203="","",COUNTIFS(Detalle_Pagos!$E$5:$E$2004,A203,Detalle_Pagos!$J$5:$J$2004,"No"))</f>
        <v/>
      </c>
      <c r="C203" s="29" t="str">
        <f>IF(A203="","",SUMIFS(Detalle_Pagos!$I$5:$I$2004,Detalle_Pagos!$E$5:$E$2004,A203,Detalle_Pagos!$J$5:$J$2004,"No"))</f>
        <v/>
      </c>
      <c r="D203" s="29" t="str">
        <f>IF(A203="","",B203*IFERROR(INDEX(Trabajadores!$D$5:$D$204,MATCH(A203,Trabajadores!$B$5:$B$204,0)),0))</f>
        <v/>
      </c>
      <c r="E203" s="29" t="str">
        <f t="shared" si="6"/>
        <v/>
      </c>
      <c r="F203" s="30" t="str">
        <f>IF(A203="","",IF(B203=0,"",LOOKUP(2,1/((Detalle_Pagos!$E$5:$E$2004=A203)*(Detalle_Pagos!$J$5:$J$2004="No")),Detalle_Pagos!$B$5:$B$2004)))</f>
        <v/>
      </c>
      <c r="G203" s="29" t="str">
        <f>IF(A203="","",SUMIFS(Detalle_Pagos!$I$5:$I$2004,Detalle_Pagos!$E$5:$E$2004,A203,Detalle_Pagos!$J$5:$J$2004,"Si"))</f>
        <v/>
      </c>
      <c r="H203" t="str">
        <f>IF(A203="","",COUNTIFS(Detalle_Pagos!$E$5:$E$2004,A203,Detalle_Pagos!$J$5:$J$2004,"Si"))</f>
        <v/>
      </c>
    </row>
    <row r="204" spans="1:8" x14ac:dyDescent="0.3">
      <c r="A204" t="str">
        <f>IF(Trabajadores!B201="","",Trabajadores!B201)</f>
        <v/>
      </c>
      <c r="B204" t="str">
        <f>IF(A204="","",COUNTIFS(Detalle_Pagos!$E$5:$E$2004,A204,Detalle_Pagos!$J$5:$J$2004,"No"))</f>
        <v/>
      </c>
      <c r="C204" s="29" t="str">
        <f>IF(A204="","",SUMIFS(Detalle_Pagos!$I$5:$I$2004,Detalle_Pagos!$E$5:$E$2004,A204,Detalle_Pagos!$J$5:$J$2004,"No"))</f>
        <v/>
      </c>
      <c r="D204" s="29" t="str">
        <f>IF(A204="","",B204*IFERROR(INDEX(Trabajadores!$D$5:$D$204,MATCH(A204,Trabajadores!$B$5:$B$204,0)),0))</f>
        <v/>
      </c>
      <c r="E204" s="29" t="str">
        <f t="shared" si="6"/>
        <v/>
      </c>
      <c r="F204" s="30" t="str">
        <f>IF(A204="","",IF(B204=0,"",LOOKUP(2,1/((Detalle_Pagos!$E$5:$E$2004=A204)*(Detalle_Pagos!$J$5:$J$2004="No")),Detalle_Pagos!$B$5:$B$2004)))</f>
        <v/>
      </c>
      <c r="G204" s="29" t="str">
        <f>IF(A204="","",SUMIFS(Detalle_Pagos!$I$5:$I$2004,Detalle_Pagos!$E$5:$E$2004,A204,Detalle_Pagos!$J$5:$J$2004,"Si"))</f>
        <v/>
      </c>
      <c r="H204" t="str">
        <f>IF(A204="","",COUNTIFS(Detalle_Pagos!$E$5:$E$2004,A204,Detalle_Pagos!$J$5:$J$2004,"Si"))</f>
        <v/>
      </c>
    </row>
    <row r="205" spans="1:8" x14ac:dyDescent="0.3">
      <c r="A205" t="str">
        <f>IF(Trabajadores!B202="","",Trabajadores!B202)</f>
        <v/>
      </c>
      <c r="B205" t="str">
        <f>IF(A205="","",COUNTIFS(Detalle_Pagos!$E$5:$E$2004,A205,Detalle_Pagos!$J$5:$J$2004,"No"))</f>
        <v/>
      </c>
      <c r="C205" s="29" t="str">
        <f>IF(A205="","",SUMIFS(Detalle_Pagos!$I$5:$I$2004,Detalle_Pagos!$E$5:$E$2004,A205,Detalle_Pagos!$J$5:$J$2004,"No"))</f>
        <v/>
      </c>
      <c r="D205" s="29" t="str">
        <f>IF(A205="","",B205*IFERROR(INDEX(Trabajadores!$D$5:$D$204,MATCH(A205,Trabajadores!$B$5:$B$204,0)),0))</f>
        <v/>
      </c>
      <c r="E205" s="29" t="str">
        <f t="shared" si="6"/>
        <v/>
      </c>
      <c r="F205" s="30" t="str">
        <f>IF(A205="","",IF(B205=0,"",LOOKUP(2,1/((Detalle_Pagos!$E$5:$E$2004=A205)*(Detalle_Pagos!$J$5:$J$2004="No")),Detalle_Pagos!$B$5:$B$2004)))</f>
        <v/>
      </c>
      <c r="G205" s="29" t="str">
        <f>IF(A205="","",SUMIFS(Detalle_Pagos!$I$5:$I$2004,Detalle_Pagos!$E$5:$E$2004,A205,Detalle_Pagos!$J$5:$J$2004,"Si"))</f>
        <v/>
      </c>
      <c r="H205" t="str">
        <f>IF(A205="","",COUNTIFS(Detalle_Pagos!$E$5:$E$2004,A205,Detalle_Pagos!$J$5:$J$2004,"Si"))</f>
        <v/>
      </c>
    </row>
    <row r="206" spans="1:8" x14ac:dyDescent="0.3">
      <c r="A206" t="str">
        <f>IF(Trabajadores!B203="","",Trabajadores!B203)</f>
        <v/>
      </c>
      <c r="B206" t="str">
        <f>IF(A206="","",COUNTIFS(Detalle_Pagos!$E$5:$E$2004,A206,Detalle_Pagos!$J$5:$J$2004,"No"))</f>
        <v/>
      </c>
      <c r="C206" s="29" t="str">
        <f>IF(A206="","",SUMIFS(Detalle_Pagos!$I$5:$I$2004,Detalle_Pagos!$E$5:$E$2004,A206,Detalle_Pagos!$J$5:$J$2004,"No"))</f>
        <v/>
      </c>
      <c r="D206" s="29" t="str">
        <f>IF(A206="","",B206*IFERROR(INDEX(Trabajadores!$D$5:$D$204,MATCH(A206,Trabajadores!$B$5:$B$204,0)),0))</f>
        <v/>
      </c>
      <c r="E206" s="29" t="str">
        <f t="shared" si="6"/>
        <v/>
      </c>
      <c r="F206" s="30" t="str">
        <f>IF(A206="","",IF(B206=0,"",LOOKUP(2,1/((Detalle_Pagos!$E$5:$E$2004=A206)*(Detalle_Pagos!$J$5:$J$2004="No")),Detalle_Pagos!$B$5:$B$2004)))</f>
        <v/>
      </c>
      <c r="G206" s="29" t="str">
        <f>IF(A206="","",SUMIFS(Detalle_Pagos!$I$5:$I$2004,Detalle_Pagos!$E$5:$E$2004,A206,Detalle_Pagos!$J$5:$J$2004,"Si"))</f>
        <v/>
      </c>
      <c r="H206" t="str">
        <f>IF(A206="","",COUNTIFS(Detalle_Pagos!$E$5:$E$2004,A206,Detalle_Pagos!$J$5:$J$2004,"Si"))</f>
        <v/>
      </c>
    </row>
    <row r="207" spans="1:8" x14ac:dyDescent="0.3">
      <c r="A207" t="str">
        <f>IF(Trabajadores!B204="","",Trabajadores!B204)</f>
        <v/>
      </c>
      <c r="B207" t="str">
        <f>IF(A207="","",COUNTIFS(Detalle_Pagos!$E$5:$E$2004,A207,Detalle_Pagos!$J$5:$J$2004,"No"))</f>
        <v/>
      </c>
      <c r="C207" s="29" t="str">
        <f>IF(A207="","",SUMIFS(Detalle_Pagos!$I$5:$I$2004,Detalle_Pagos!$E$5:$E$2004,A207,Detalle_Pagos!$J$5:$J$2004,"No"))</f>
        <v/>
      </c>
      <c r="D207" s="29" t="str">
        <f>IF(A207="","",B207*IFERROR(INDEX(Trabajadores!$D$5:$D$204,MATCH(A207,Trabajadores!$B$5:$B$204,0)),0))</f>
        <v/>
      </c>
      <c r="E207" s="29" t="str">
        <f t="shared" si="6"/>
        <v/>
      </c>
      <c r="F207" s="30" t="str">
        <f>IF(A207="","",IF(B207=0,"",LOOKUP(2,1/((Detalle_Pagos!$E$5:$E$2004=A207)*(Detalle_Pagos!$J$5:$J$2004="No")),Detalle_Pagos!$B$5:$B$2004)))</f>
        <v/>
      </c>
      <c r="G207" s="29" t="str">
        <f>IF(A207="","",SUMIFS(Detalle_Pagos!$I$5:$I$2004,Detalle_Pagos!$E$5:$E$2004,A207,Detalle_Pagos!$J$5:$J$2004,"Si"))</f>
        <v/>
      </c>
      <c r="H207" t="str">
        <f>IF(A207="","",COUNTIFS(Detalle_Pagos!$E$5:$E$2004,A207,Detalle_Pagos!$J$5:$J$2004,"Si"))</f>
        <v/>
      </c>
    </row>
  </sheetData>
  <mergeCells count="1">
    <mergeCell ref="A1:H1"/>
  </mergeCells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07"/>
  <sheetViews>
    <sheetView showGridLines="0" workbookViewId="0">
      <pane ySplit="7" topLeftCell="A8" activePane="bottomLeft" state="frozen"/>
      <selection pane="bottomLeft"/>
    </sheetView>
  </sheetViews>
  <sheetFormatPr baseColWidth="10" defaultColWidth="8.796875" defaultRowHeight="15.6" x14ac:dyDescent="0.3"/>
  <cols>
    <col min="1" max="1" width="26" customWidth="1"/>
    <col min="2" max="2" width="18" customWidth="1"/>
    <col min="3" max="3" width="17" customWidth="1"/>
    <col min="4" max="4" width="18" customWidth="1"/>
    <col min="5" max="6" width="13" customWidth="1"/>
    <col min="7" max="8" width="18" customWidth="1"/>
    <col min="9" max="9" width="16" customWidth="1"/>
    <col min="10" max="10" width="12" customWidth="1"/>
  </cols>
  <sheetData>
    <row r="1" spans="1:10" ht="18" x14ac:dyDescent="0.35">
      <c r="A1" s="41" t="s">
        <v>78</v>
      </c>
      <c r="B1" s="42"/>
      <c r="C1" s="42"/>
      <c r="D1" s="42"/>
      <c r="E1" s="42"/>
      <c r="F1" s="42"/>
      <c r="G1" s="42"/>
      <c r="H1" s="42"/>
      <c r="I1" s="42"/>
      <c r="J1" s="42"/>
    </row>
    <row r="3" spans="1:10" x14ac:dyDescent="0.3">
      <c r="A3" s="32" t="s">
        <v>79</v>
      </c>
      <c r="B3" s="30">
        <v>46023</v>
      </c>
      <c r="D3" s="32" t="s">
        <v>80</v>
      </c>
      <c r="E3" s="29">
        <f>SUMIFS(Detalle_Pagos!$I$5:$I$2004,Detalle_Pagos!$J$5:$J$2004,"Si",Detalle_Pagos!$B$5:$B$2004,"&gt;="&amp;$B$3,Detalle_Pagos!$B$5:$B$2004,"&lt;="&amp;$B$4)</f>
        <v>0</v>
      </c>
      <c r="G3" s="32" t="s">
        <v>81</v>
      </c>
      <c r="H3">
        <f>COUNTIFS(Maniobras!$A$5:$A$504,"&lt;&gt;",Maniobras!$B$5:$B$504,"&gt;="&amp;$B$3,Maniobras!$B$5:$B$504,"&lt;="&amp;$B$4)</f>
        <v>2</v>
      </c>
    </row>
    <row r="4" spans="1:10" x14ac:dyDescent="0.3">
      <c r="A4" s="32" t="s">
        <v>82</v>
      </c>
      <c r="B4" s="30">
        <v>46387</v>
      </c>
      <c r="D4" s="32" t="s">
        <v>73</v>
      </c>
      <c r="E4" s="29">
        <f>SUMIFS(Detalle_Pagos!$I$5:$I$2004,Detalle_Pagos!$J$5:$J$2004,"No",Detalle_Pagos!$B$5:$B$2004,"&gt;="&amp;$B$3,Detalle_Pagos!$B$5:$B$2004,"&lt;="&amp;$B$4)</f>
        <v>3150</v>
      </c>
      <c r="G4" s="32" t="s">
        <v>83</v>
      </c>
      <c r="H4">
        <f>COUNTIF(Pendientes!$B$8:$B$207,"&gt;0")</f>
        <v>10</v>
      </c>
    </row>
    <row r="7" spans="1:10" ht="31.2" x14ac:dyDescent="0.3">
      <c r="A7" s="26" t="s">
        <v>28</v>
      </c>
      <c r="B7" s="26" t="s">
        <v>84</v>
      </c>
      <c r="C7" s="26" t="s">
        <v>85</v>
      </c>
      <c r="D7" s="26" t="s">
        <v>86</v>
      </c>
      <c r="E7" s="26" t="s">
        <v>87</v>
      </c>
      <c r="F7" s="26" t="s">
        <v>88</v>
      </c>
      <c r="G7" s="26" t="s">
        <v>89</v>
      </c>
      <c r="H7" s="26" t="s">
        <v>90</v>
      </c>
      <c r="I7" s="26" t="s">
        <v>91</v>
      </c>
      <c r="J7" s="26"/>
    </row>
    <row r="8" spans="1:10" x14ac:dyDescent="0.3">
      <c r="A8" t="str">
        <f>IF(Trabajadores!B5="","",Trabajadores!B5)</f>
        <v>Carlos Salas</v>
      </c>
      <c r="B8">
        <f>IF(A8="","",COUNTIFS(Detalle_Pagos!$E$5:$E$2004,A8,Detalle_Pagos!$B$5:$B$2004,"&gt;="&amp;$B$3,Detalle_Pagos!$B$5:$B$2004,"&lt;="&amp;$B$4))</f>
        <v>1</v>
      </c>
      <c r="C8" s="29">
        <f>IF(A8="","",SUMIFS(Detalle_Pagos!$I$5:$I$2004,Detalle_Pagos!$E$5:$E$2004,A8,Detalle_Pagos!$J$5:$J$2004,"Si",Detalle_Pagos!$B$5:$B$2004,"&gt;="&amp;$B$3,Detalle_Pagos!$B$5:$B$2004,"&lt;="&amp;$B$4))</f>
        <v>0</v>
      </c>
      <c r="D8" s="29">
        <f>IF(A8="","",SUMIFS(Detalle_Pagos!$I$5:$I$2004,Detalle_Pagos!$E$5:$E$2004,A8,Detalle_Pagos!$J$5:$J$2004,"No",Detalle_Pagos!$B$5:$B$2004,"&gt;="&amp;$B$3,Detalle_Pagos!$B$5:$B$2004,"&lt;="&amp;$B$4))</f>
        <v>150</v>
      </c>
      <c r="E8">
        <f>IF(A8="","",COUNTIFS(Detalle_Pagos!$E$5:$E$2004,A8,Detalle_Pagos!$J$5:$J$2004,"No",Detalle_Pagos!$B$5:$B$2004,"&gt;="&amp;$B$3,Detalle_Pagos!$B$5:$B$2004,"&lt;="&amp;$B$4))</f>
        <v>1</v>
      </c>
      <c r="F8">
        <f>IF(A8="","",COUNTIFS(Detalle_Pagos!$E$5:$E$2004,A8,Detalle_Pagos!$J$5:$J$2004,"Si",Detalle_Pagos!$B$5:$B$2004,"&gt;="&amp;$B$3,Detalle_Pagos!$B$5:$B$2004,"&lt;="&amp;$B$4))</f>
        <v>0</v>
      </c>
      <c r="G8" s="29">
        <f>IF(A8="","",E8*IFERROR(INDEX(Trabajadores!$D$5:$D$204,MATCH(A8,Trabajadores!$B$5:$B$204,0)),0))</f>
        <v>100</v>
      </c>
      <c r="H8" s="29">
        <f t="shared" ref="H8:H39" si="0">IF(A8="","",D8+G8)</f>
        <v>250</v>
      </c>
      <c r="I8" s="29">
        <f t="shared" ref="I8:I39" si="1">IF(A8="","",C8+D8)</f>
        <v>150</v>
      </c>
    </row>
    <row r="9" spans="1:10" x14ac:dyDescent="0.3">
      <c r="A9" t="str">
        <f>IF(Trabajadores!B6="","",Trabajadores!B6)</f>
        <v>Juan</v>
      </c>
      <c r="B9">
        <f>IF(A9="","",COUNTIFS(Detalle_Pagos!$E$5:$E$2004,A9,Detalle_Pagos!$B$5:$B$2004,"&gt;="&amp;$B$3,Detalle_Pagos!$B$5:$B$2004,"&lt;="&amp;$B$4))</f>
        <v>2</v>
      </c>
      <c r="C9" s="29">
        <f>IF(A9="","",SUMIFS(Detalle_Pagos!$I$5:$I$2004,Detalle_Pagos!$E$5:$E$2004,A9,Detalle_Pagos!$J$5:$J$2004,"Si",Detalle_Pagos!$B$5:$B$2004,"&gt;="&amp;$B$3,Detalle_Pagos!$B$5:$B$2004,"&lt;="&amp;$B$4))</f>
        <v>0</v>
      </c>
      <c r="D9" s="29">
        <f>IF(A9="","",SUMIFS(Detalle_Pagos!$I$5:$I$2004,Detalle_Pagos!$E$5:$E$2004,A9,Detalle_Pagos!$J$5:$J$2004,"No",Detalle_Pagos!$B$5:$B$2004,"&gt;="&amp;$B$3,Detalle_Pagos!$B$5:$B$2004,"&lt;="&amp;$B$4))</f>
        <v>450</v>
      </c>
      <c r="E9">
        <f>IF(A9="","",COUNTIFS(Detalle_Pagos!$E$5:$E$2004,A9,Detalle_Pagos!$J$5:$J$2004,"No",Detalle_Pagos!$B$5:$B$2004,"&gt;="&amp;$B$3,Detalle_Pagos!$B$5:$B$2004,"&lt;="&amp;$B$4))</f>
        <v>2</v>
      </c>
      <c r="F9">
        <f>IF(A9="","",COUNTIFS(Detalle_Pagos!$E$5:$E$2004,A9,Detalle_Pagos!$J$5:$J$2004,"Si",Detalle_Pagos!$B$5:$B$2004,"&gt;="&amp;$B$3,Detalle_Pagos!$B$5:$B$2004,"&lt;="&amp;$B$4))</f>
        <v>0</v>
      </c>
      <c r="G9" s="29">
        <f>IF(A9="","",E9*IFERROR(INDEX(Trabajadores!$D$5:$D$204,MATCH(A9,Trabajadores!$B$5:$B$204,0)),0))</f>
        <v>0</v>
      </c>
      <c r="H9" s="29">
        <f t="shared" si="0"/>
        <v>450</v>
      </c>
      <c r="I9" s="29">
        <f t="shared" si="1"/>
        <v>450</v>
      </c>
    </row>
    <row r="10" spans="1:10" x14ac:dyDescent="0.3">
      <c r="A10" t="str">
        <f>IF(Trabajadores!B7="","",Trabajadores!B7)</f>
        <v>Uriel</v>
      </c>
      <c r="B10">
        <f>IF(A10="","",COUNTIFS(Detalle_Pagos!$E$5:$E$2004,A10,Detalle_Pagos!$B$5:$B$2004,"&gt;="&amp;$B$3,Detalle_Pagos!$B$5:$B$2004,"&lt;="&amp;$B$4))</f>
        <v>2</v>
      </c>
      <c r="C10" s="29">
        <f>IF(A10="","",SUMIFS(Detalle_Pagos!$I$5:$I$2004,Detalle_Pagos!$E$5:$E$2004,A10,Detalle_Pagos!$J$5:$J$2004,"Si",Detalle_Pagos!$B$5:$B$2004,"&gt;="&amp;$B$3,Detalle_Pagos!$B$5:$B$2004,"&lt;="&amp;$B$4))</f>
        <v>0</v>
      </c>
      <c r="D10" s="29">
        <f>IF(A10="","",SUMIFS(Detalle_Pagos!$I$5:$I$2004,Detalle_Pagos!$E$5:$E$2004,A10,Detalle_Pagos!$J$5:$J$2004,"No",Detalle_Pagos!$B$5:$B$2004,"&gt;="&amp;$B$3,Detalle_Pagos!$B$5:$B$2004,"&lt;="&amp;$B$4))</f>
        <v>450</v>
      </c>
      <c r="E10">
        <f>IF(A10="","",COUNTIFS(Detalle_Pagos!$E$5:$E$2004,A10,Detalle_Pagos!$J$5:$J$2004,"No",Detalle_Pagos!$B$5:$B$2004,"&gt;="&amp;$B$3,Detalle_Pagos!$B$5:$B$2004,"&lt;="&amp;$B$4))</f>
        <v>2</v>
      </c>
      <c r="F10">
        <f>IF(A10="","",COUNTIFS(Detalle_Pagos!$E$5:$E$2004,A10,Detalle_Pagos!$J$5:$J$2004,"Si",Detalle_Pagos!$B$5:$B$2004,"&gt;="&amp;$B$3,Detalle_Pagos!$B$5:$B$2004,"&lt;="&amp;$B$4))</f>
        <v>0</v>
      </c>
      <c r="G10" s="29">
        <f>IF(A10="","",E10*IFERROR(INDEX(Trabajadores!$D$5:$D$204,MATCH(A10,Trabajadores!$B$5:$B$204,0)),0))</f>
        <v>0</v>
      </c>
      <c r="H10" s="29">
        <f t="shared" si="0"/>
        <v>450</v>
      </c>
      <c r="I10" s="29">
        <f t="shared" si="1"/>
        <v>450</v>
      </c>
    </row>
    <row r="11" spans="1:10" x14ac:dyDescent="0.3">
      <c r="A11" t="str">
        <f>IF(Trabajadores!B8="","",Trabajadores!B8)</f>
        <v>Eliseo</v>
      </c>
      <c r="B11">
        <f>IF(A11="","",COUNTIFS(Detalle_Pagos!$E$5:$E$2004,A11,Detalle_Pagos!$B$5:$B$2004,"&gt;="&amp;$B$3,Detalle_Pagos!$B$5:$B$2004,"&lt;="&amp;$B$4))</f>
        <v>2</v>
      </c>
      <c r="C11" s="29">
        <f>IF(A11="","",SUMIFS(Detalle_Pagos!$I$5:$I$2004,Detalle_Pagos!$E$5:$E$2004,A11,Detalle_Pagos!$J$5:$J$2004,"Si",Detalle_Pagos!$B$5:$B$2004,"&gt;="&amp;$B$3,Detalle_Pagos!$B$5:$B$2004,"&lt;="&amp;$B$4))</f>
        <v>0</v>
      </c>
      <c r="D11" s="29">
        <f>IF(A11="","",SUMIFS(Detalle_Pagos!$I$5:$I$2004,Detalle_Pagos!$E$5:$E$2004,A11,Detalle_Pagos!$J$5:$J$2004,"No",Detalle_Pagos!$B$5:$B$2004,"&gt;="&amp;$B$3,Detalle_Pagos!$B$5:$B$2004,"&lt;="&amp;$B$4))</f>
        <v>450</v>
      </c>
      <c r="E11">
        <f>IF(A11="","",COUNTIFS(Detalle_Pagos!$E$5:$E$2004,A11,Detalle_Pagos!$J$5:$J$2004,"No",Detalle_Pagos!$B$5:$B$2004,"&gt;="&amp;$B$3,Detalle_Pagos!$B$5:$B$2004,"&lt;="&amp;$B$4))</f>
        <v>2</v>
      </c>
      <c r="F11">
        <f>IF(A11="","",COUNTIFS(Detalle_Pagos!$E$5:$E$2004,A11,Detalle_Pagos!$J$5:$J$2004,"Si",Detalle_Pagos!$B$5:$B$2004,"&gt;="&amp;$B$3,Detalle_Pagos!$B$5:$B$2004,"&lt;="&amp;$B$4))</f>
        <v>0</v>
      </c>
      <c r="G11" s="29">
        <f>IF(A11="","",E11*IFERROR(INDEX(Trabajadores!$D$5:$D$204,MATCH(A11,Trabajadores!$B$5:$B$204,0)),0))</f>
        <v>0</v>
      </c>
      <c r="H11" s="29">
        <f t="shared" si="0"/>
        <v>450</v>
      </c>
      <c r="I11" s="29">
        <f t="shared" si="1"/>
        <v>450</v>
      </c>
    </row>
    <row r="12" spans="1:10" x14ac:dyDescent="0.3">
      <c r="A12" t="str">
        <f>IF(Trabajadores!B9="","",Trabajadores!B9)</f>
        <v>Marcos</v>
      </c>
      <c r="B12">
        <f>IF(A12="","",COUNTIFS(Detalle_Pagos!$E$5:$E$2004,A12,Detalle_Pagos!$B$5:$B$2004,"&gt;="&amp;$B$3,Detalle_Pagos!$B$5:$B$2004,"&lt;="&amp;$B$4))</f>
        <v>1</v>
      </c>
      <c r="C12" s="29">
        <f>IF(A12="","",SUMIFS(Detalle_Pagos!$I$5:$I$2004,Detalle_Pagos!$E$5:$E$2004,A12,Detalle_Pagos!$J$5:$J$2004,"Si",Detalle_Pagos!$B$5:$B$2004,"&gt;="&amp;$B$3,Detalle_Pagos!$B$5:$B$2004,"&lt;="&amp;$B$4))</f>
        <v>0</v>
      </c>
      <c r="D12" s="29">
        <f>IF(A12="","",SUMIFS(Detalle_Pagos!$I$5:$I$2004,Detalle_Pagos!$E$5:$E$2004,A12,Detalle_Pagos!$J$5:$J$2004,"No",Detalle_Pagos!$B$5:$B$2004,"&gt;="&amp;$B$3,Detalle_Pagos!$B$5:$B$2004,"&lt;="&amp;$B$4))</f>
        <v>150</v>
      </c>
      <c r="E12">
        <f>IF(A12="","",COUNTIFS(Detalle_Pagos!$E$5:$E$2004,A12,Detalle_Pagos!$J$5:$J$2004,"No",Detalle_Pagos!$B$5:$B$2004,"&gt;="&amp;$B$3,Detalle_Pagos!$B$5:$B$2004,"&lt;="&amp;$B$4))</f>
        <v>1</v>
      </c>
      <c r="F12">
        <f>IF(A12="","",COUNTIFS(Detalle_Pagos!$E$5:$E$2004,A12,Detalle_Pagos!$J$5:$J$2004,"Si",Detalle_Pagos!$B$5:$B$2004,"&gt;="&amp;$B$3,Detalle_Pagos!$B$5:$B$2004,"&lt;="&amp;$B$4))</f>
        <v>0</v>
      </c>
      <c r="G12" s="29">
        <f>IF(A12="","",E12*IFERROR(INDEX(Trabajadores!$D$5:$D$204,MATCH(A12,Trabajadores!$B$5:$B$204,0)),0))</f>
        <v>0</v>
      </c>
      <c r="H12" s="29">
        <f t="shared" si="0"/>
        <v>150</v>
      </c>
      <c r="I12" s="29">
        <f t="shared" si="1"/>
        <v>150</v>
      </c>
    </row>
    <row r="13" spans="1:10" x14ac:dyDescent="0.3">
      <c r="A13" t="str">
        <f>IF(Trabajadores!B10="","",Trabajadores!B10)</f>
        <v>Fabián</v>
      </c>
      <c r="B13">
        <f>IF(A13="","",COUNTIFS(Detalle_Pagos!$E$5:$E$2004,A13,Detalle_Pagos!$B$5:$B$2004,"&gt;="&amp;$B$3,Detalle_Pagos!$B$5:$B$2004,"&lt;="&amp;$B$4))</f>
        <v>1</v>
      </c>
      <c r="C13" s="29">
        <f>IF(A13="","",SUMIFS(Detalle_Pagos!$I$5:$I$2004,Detalle_Pagos!$E$5:$E$2004,A13,Detalle_Pagos!$J$5:$J$2004,"Si",Detalle_Pagos!$B$5:$B$2004,"&gt;="&amp;$B$3,Detalle_Pagos!$B$5:$B$2004,"&lt;="&amp;$B$4))</f>
        <v>0</v>
      </c>
      <c r="D13" s="29">
        <f>IF(A13="","",SUMIFS(Detalle_Pagos!$I$5:$I$2004,Detalle_Pagos!$E$5:$E$2004,A13,Detalle_Pagos!$J$5:$J$2004,"No",Detalle_Pagos!$B$5:$B$2004,"&gt;="&amp;$B$3,Detalle_Pagos!$B$5:$B$2004,"&lt;="&amp;$B$4))</f>
        <v>150</v>
      </c>
      <c r="E13">
        <f>IF(A13="","",COUNTIFS(Detalle_Pagos!$E$5:$E$2004,A13,Detalle_Pagos!$J$5:$J$2004,"No",Detalle_Pagos!$B$5:$B$2004,"&gt;="&amp;$B$3,Detalle_Pagos!$B$5:$B$2004,"&lt;="&amp;$B$4))</f>
        <v>1</v>
      </c>
      <c r="F13">
        <f>IF(A13="","",COUNTIFS(Detalle_Pagos!$E$5:$E$2004,A13,Detalle_Pagos!$J$5:$J$2004,"Si",Detalle_Pagos!$B$5:$B$2004,"&gt;="&amp;$B$3,Detalle_Pagos!$B$5:$B$2004,"&lt;="&amp;$B$4))</f>
        <v>0</v>
      </c>
      <c r="G13" s="29">
        <f>IF(A13="","",E13*IFERROR(INDEX(Trabajadores!$D$5:$D$204,MATCH(A13,Trabajadores!$B$5:$B$204,0)),0))</f>
        <v>0</v>
      </c>
      <c r="H13" s="29">
        <f t="shared" si="0"/>
        <v>150</v>
      </c>
      <c r="I13" s="29">
        <f t="shared" si="1"/>
        <v>150</v>
      </c>
    </row>
    <row r="14" spans="1:10" x14ac:dyDescent="0.3">
      <c r="A14" t="str">
        <f>IF(Trabajadores!B11="","",Trabajadores!B11)</f>
        <v>Ramses</v>
      </c>
      <c r="B14">
        <f>IF(A14="","",COUNTIFS(Detalle_Pagos!$E$5:$E$2004,A14,Detalle_Pagos!$B$5:$B$2004,"&gt;="&amp;$B$3,Detalle_Pagos!$B$5:$B$2004,"&lt;="&amp;$B$4))</f>
        <v>2</v>
      </c>
      <c r="C14" s="29">
        <f>IF(A14="","",SUMIFS(Detalle_Pagos!$I$5:$I$2004,Detalle_Pagos!$E$5:$E$2004,A14,Detalle_Pagos!$J$5:$J$2004,"Si",Detalle_Pagos!$B$5:$B$2004,"&gt;="&amp;$B$3,Detalle_Pagos!$B$5:$B$2004,"&lt;="&amp;$B$4))</f>
        <v>0</v>
      </c>
      <c r="D14" s="29">
        <f>IF(A14="","",SUMIFS(Detalle_Pagos!$I$5:$I$2004,Detalle_Pagos!$E$5:$E$2004,A14,Detalle_Pagos!$J$5:$J$2004,"No",Detalle_Pagos!$B$5:$B$2004,"&gt;="&amp;$B$3,Detalle_Pagos!$B$5:$B$2004,"&lt;="&amp;$B$4))</f>
        <v>450</v>
      </c>
      <c r="E14">
        <f>IF(A14="","",COUNTIFS(Detalle_Pagos!$E$5:$E$2004,A14,Detalle_Pagos!$J$5:$J$2004,"No",Detalle_Pagos!$B$5:$B$2004,"&gt;="&amp;$B$3,Detalle_Pagos!$B$5:$B$2004,"&lt;="&amp;$B$4))</f>
        <v>2</v>
      </c>
      <c r="F14">
        <f>IF(A14="","",COUNTIFS(Detalle_Pagos!$E$5:$E$2004,A14,Detalle_Pagos!$J$5:$J$2004,"Si",Detalle_Pagos!$B$5:$B$2004,"&gt;="&amp;$B$3,Detalle_Pagos!$B$5:$B$2004,"&lt;="&amp;$B$4))</f>
        <v>0</v>
      </c>
      <c r="G14" s="29">
        <f>IF(A14="","",E14*IFERROR(INDEX(Trabajadores!$D$5:$D$204,MATCH(A14,Trabajadores!$B$5:$B$204,0)),0))</f>
        <v>0</v>
      </c>
      <c r="H14" s="29">
        <f t="shared" si="0"/>
        <v>450</v>
      </c>
      <c r="I14" s="29">
        <f t="shared" si="1"/>
        <v>450</v>
      </c>
    </row>
    <row r="15" spans="1:10" x14ac:dyDescent="0.3">
      <c r="A15" t="str">
        <f>IF(Trabajadores!B12="","",Trabajadores!B12)</f>
        <v>Emanuel</v>
      </c>
      <c r="B15">
        <f>IF(A15="","",COUNTIFS(Detalle_Pagos!$E$5:$E$2004,A15,Detalle_Pagos!$B$5:$B$2004,"&gt;="&amp;$B$3,Detalle_Pagos!$B$5:$B$2004,"&lt;="&amp;$B$4))</f>
        <v>1</v>
      </c>
      <c r="C15" s="29">
        <f>IF(A15="","",SUMIFS(Detalle_Pagos!$I$5:$I$2004,Detalle_Pagos!$E$5:$E$2004,A15,Detalle_Pagos!$J$5:$J$2004,"Si",Detalle_Pagos!$B$5:$B$2004,"&gt;="&amp;$B$3,Detalle_Pagos!$B$5:$B$2004,"&lt;="&amp;$B$4))</f>
        <v>0</v>
      </c>
      <c r="D15" s="29">
        <f>IF(A15="","",SUMIFS(Detalle_Pagos!$I$5:$I$2004,Detalle_Pagos!$E$5:$E$2004,A15,Detalle_Pagos!$J$5:$J$2004,"No",Detalle_Pagos!$B$5:$B$2004,"&gt;="&amp;$B$3,Detalle_Pagos!$B$5:$B$2004,"&lt;="&amp;$B$4))</f>
        <v>300</v>
      </c>
      <c r="E15">
        <f>IF(A15="","",COUNTIFS(Detalle_Pagos!$E$5:$E$2004,A15,Detalle_Pagos!$J$5:$J$2004,"No",Detalle_Pagos!$B$5:$B$2004,"&gt;="&amp;$B$3,Detalle_Pagos!$B$5:$B$2004,"&lt;="&amp;$B$4))</f>
        <v>1</v>
      </c>
      <c r="F15">
        <f>IF(A15="","",COUNTIFS(Detalle_Pagos!$E$5:$E$2004,A15,Detalle_Pagos!$J$5:$J$2004,"Si",Detalle_Pagos!$B$5:$B$2004,"&gt;="&amp;$B$3,Detalle_Pagos!$B$5:$B$2004,"&lt;="&amp;$B$4))</f>
        <v>0</v>
      </c>
      <c r="G15" s="29">
        <f>IF(A15="","",E15*IFERROR(INDEX(Trabajadores!$D$5:$D$204,MATCH(A15,Trabajadores!$B$5:$B$204,0)),0))</f>
        <v>0</v>
      </c>
      <c r="H15" s="29">
        <f t="shared" si="0"/>
        <v>300</v>
      </c>
      <c r="I15" s="29">
        <f t="shared" si="1"/>
        <v>300</v>
      </c>
    </row>
    <row r="16" spans="1:10" x14ac:dyDescent="0.3">
      <c r="A16" t="str">
        <f>IF(Trabajadores!B13="","",Trabajadores!B13)</f>
        <v>Ahmed</v>
      </c>
      <c r="B16">
        <f>IF(A16="","",COUNTIFS(Detalle_Pagos!$E$5:$E$2004,A16,Detalle_Pagos!$B$5:$B$2004,"&gt;="&amp;$B$3,Detalle_Pagos!$B$5:$B$2004,"&lt;="&amp;$B$4))</f>
        <v>1</v>
      </c>
      <c r="C16" s="29">
        <f>IF(A16="","",SUMIFS(Detalle_Pagos!$I$5:$I$2004,Detalle_Pagos!$E$5:$E$2004,A16,Detalle_Pagos!$J$5:$J$2004,"Si",Detalle_Pagos!$B$5:$B$2004,"&gt;="&amp;$B$3,Detalle_Pagos!$B$5:$B$2004,"&lt;="&amp;$B$4))</f>
        <v>0</v>
      </c>
      <c r="D16" s="29">
        <f>IF(A16="","",SUMIFS(Detalle_Pagos!$I$5:$I$2004,Detalle_Pagos!$E$5:$E$2004,A16,Detalle_Pagos!$J$5:$J$2004,"No",Detalle_Pagos!$B$5:$B$2004,"&gt;="&amp;$B$3,Detalle_Pagos!$B$5:$B$2004,"&lt;="&amp;$B$4))</f>
        <v>300</v>
      </c>
      <c r="E16">
        <f>IF(A16="","",COUNTIFS(Detalle_Pagos!$E$5:$E$2004,A16,Detalle_Pagos!$J$5:$J$2004,"No",Detalle_Pagos!$B$5:$B$2004,"&gt;="&amp;$B$3,Detalle_Pagos!$B$5:$B$2004,"&lt;="&amp;$B$4))</f>
        <v>1</v>
      </c>
      <c r="F16">
        <f>IF(A16="","",COUNTIFS(Detalle_Pagos!$E$5:$E$2004,A16,Detalle_Pagos!$J$5:$J$2004,"Si",Detalle_Pagos!$B$5:$B$2004,"&gt;="&amp;$B$3,Detalle_Pagos!$B$5:$B$2004,"&lt;="&amp;$B$4))</f>
        <v>0</v>
      </c>
      <c r="G16" s="29">
        <f>IF(A16="","",E16*IFERROR(INDEX(Trabajadores!$D$5:$D$204,MATCH(A16,Trabajadores!$B$5:$B$204,0)),0))</f>
        <v>0</v>
      </c>
      <c r="H16" s="29">
        <f t="shared" si="0"/>
        <v>300</v>
      </c>
      <c r="I16" s="29">
        <f t="shared" si="1"/>
        <v>300</v>
      </c>
    </row>
    <row r="17" spans="1:9" x14ac:dyDescent="0.3">
      <c r="A17" t="str">
        <f>IF(Trabajadores!B14="","",Trabajadores!B14)</f>
        <v>Juan Carlos</v>
      </c>
      <c r="B17">
        <f>IF(A17="","",COUNTIFS(Detalle_Pagos!$E$5:$E$2004,A17,Detalle_Pagos!$B$5:$B$2004,"&gt;="&amp;$B$3,Detalle_Pagos!$B$5:$B$2004,"&lt;="&amp;$B$4))</f>
        <v>1</v>
      </c>
      <c r="C17" s="29">
        <f>IF(A17="","",SUMIFS(Detalle_Pagos!$I$5:$I$2004,Detalle_Pagos!$E$5:$E$2004,A17,Detalle_Pagos!$J$5:$J$2004,"Si",Detalle_Pagos!$B$5:$B$2004,"&gt;="&amp;$B$3,Detalle_Pagos!$B$5:$B$2004,"&lt;="&amp;$B$4))</f>
        <v>0</v>
      </c>
      <c r="D17" s="29">
        <f>IF(A17="","",SUMIFS(Detalle_Pagos!$I$5:$I$2004,Detalle_Pagos!$E$5:$E$2004,A17,Detalle_Pagos!$J$5:$J$2004,"No",Detalle_Pagos!$B$5:$B$2004,"&gt;="&amp;$B$3,Detalle_Pagos!$B$5:$B$2004,"&lt;="&amp;$B$4))</f>
        <v>300</v>
      </c>
      <c r="E17">
        <f>IF(A17="","",COUNTIFS(Detalle_Pagos!$E$5:$E$2004,A17,Detalle_Pagos!$J$5:$J$2004,"No",Detalle_Pagos!$B$5:$B$2004,"&gt;="&amp;$B$3,Detalle_Pagos!$B$5:$B$2004,"&lt;="&amp;$B$4))</f>
        <v>1</v>
      </c>
      <c r="F17">
        <f>IF(A17="","",COUNTIFS(Detalle_Pagos!$E$5:$E$2004,A17,Detalle_Pagos!$J$5:$J$2004,"Si",Detalle_Pagos!$B$5:$B$2004,"&gt;="&amp;$B$3,Detalle_Pagos!$B$5:$B$2004,"&lt;="&amp;$B$4))</f>
        <v>0</v>
      </c>
      <c r="G17" s="29">
        <f>IF(A17="","",E17*IFERROR(INDEX(Trabajadores!$D$5:$D$204,MATCH(A17,Trabajadores!$B$5:$B$204,0)),0))</f>
        <v>0</v>
      </c>
      <c r="H17" s="29">
        <f t="shared" si="0"/>
        <v>300</v>
      </c>
      <c r="I17" s="29">
        <f t="shared" si="1"/>
        <v>300</v>
      </c>
    </row>
    <row r="18" spans="1:9" x14ac:dyDescent="0.3">
      <c r="A18" t="str">
        <f>IF(Trabajadores!B15="","",Trabajadores!B15)</f>
        <v>Gabriel</v>
      </c>
      <c r="B18">
        <f>IF(A18="","",COUNTIFS(Detalle_Pagos!$E$5:$E$2004,A18,Detalle_Pagos!$B$5:$B$2004,"&gt;="&amp;$B$3,Detalle_Pagos!$B$5:$B$2004,"&lt;="&amp;$B$4))</f>
        <v>0</v>
      </c>
      <c r="C18" s="29">
        <f>IF(A18="","",SUMIFS(Detalle_Pagos!$I$5:$I$2004,Detalle_Pagos!$E$5:$E$2004,A18,Detalle_Pagos!$J$5:$J$2004,"Si",Detalle_Pagos!$B$5:$B$2004,"&gt;="&amp;$B$3,Detalle_Pagos!$B$5:$B$2004,"&lt;="&amp;$B$4))</f>
        <v>0</v>
      </c>
      <c r="D18" s="29">
        <f>IF(A18="","",SUMIFS(Detalle_Pagos!$I$5:$I$2004,Detalle_Pagos!$E$5:$E$2004,A18,Detalle_Pagos!$J$5:$J$2004,"No",Detalle_Pagos!$B$5:$B$2004,"&gt;="&amp;$B$3,Detalle_Pagos!$B$5:$B$2004,"&lt;="&amp;$B$4))</f>
        <v>0</v>
      </c>
      <c r="E18">
        <f>IF(A18="","",COUNTIFS(Detalle_Pagos!$E$5:$E$2004,A18,Detalle_Pagos!$J$5:$J$2004,"No",Detalle_Pagos!$B$5:$B$2004,"&gt;="&amp;$B$3,Detalle_Pagos!$B$5:$B$2004,"&lt;="&amp;$B$4))</f>
        <v>0</v>
      </c>
      <c r="F18">
        <f>IF(A18="","",COUNTIFS(Detalle_Pagos!$E$5:$E$2004,A18,Detalle_Pagos!$J$5:$J$2004,"Si",Detalle_Pagos!$B$5:$B$2004,"&gt;="&amp;$B$3,Detalle_Pagos!$B$5:$B$2004,"&lt;="&amp;$B$4))</f>
        <v>0</v>
      </c>
      <c r="G18" s="29">
        <f>IF(A18="","",E18*IFERROR(INDEX(Trabajadores!$D$5:$D$204,MATCH(A18,Trabajadores!$B$5:$B$204,0)),0))</f>
        <v>0</v>
      </c>
      <c r="H18" s="29">
        <f t="shared" si="0"/>
        <v>0</v>
      </c>
      <c r="I18" s="29">
        <f t="shared" si="1"/>
        <v>0</v>
      </c>
    </row>
    <row r="19" spans="1:9" x14ac:dyDescent="0.3">
      <c r="A19" t="str">
        <f>IF(Trabajadores!B16="","",Trabajadores!B16)</f>
        <v>Pavel</v>
      </c>
      <c r="B19">
        <f>IF(A19="","",COUNTIFS(Detalle_Pagos!$E$5:$E$2004,A19,Detalle_Pagos!$B$5:$B$2004,"&gt;="&amp;$B$3,Detalle_Pagos!$B$5:$B$2004,"&lt;="&amp;$B$4))</f>
        <v>0</v>
      </c>
      <c r="C19" s="29">
        <f>IF(A19="","",SUMIFS(Detalle_Pagos!$I$5:$I$2004,Detalle_Pagos!$E$5:$E$2004,A19,Detalle_Pagos!$J$5:$J$2004,"Si",Detalle_Pagos!$B$5:$B$2004,"&gt;="&amp;$B$3,Detalle_Pagos!$B$5:$B$2004,"&lt;="&amp;$B$4))</f>
        <v>0</v>
      </c>
      <c r="D19" s="29">
        <f>IF(A19="","",SUMIFS(Detalle_Pagos!$I$5:$I$2004,Detalle_Pagos!$E$5:$E$2004,A19,Detalle_Pagos!$J$5:$J$2004,"No",Detalle_Pagos!$B$5:$B$2004,"&gt;="&amp;$B$3,Detalle_Pagos!$B$5:$B$2004,"&lt;="&amp;$B$4))</f>
        <v>0</v>
      </c>
      <c r="E19">
        <f>IF(A19="","",COUNTIFS(Detalle_Pagos!$E$5:$E$2004,A19,Detalle_Pagos!$J$5:$J$2004,"No",Detalle_Pagos!$B$5:$B$2004,"&gt;="&amp;$B$3,Detalle_Pagos!$B$5:$B$2004,"&lt;="&amp;$B$4))</f>
        <v>0</v>
      </c>
      <c r="F19">
        <f>IF(A19="","",COUNTIFS(Detalle_Pagos!$E$5:$E$2004,A19,Detalle_Pagos!$J$5:$J$2004,"Si",Detalle_Pagos!$B$5:$B$2004,"&gt;="&amp;$B$3,Detalle_Pagos!$B$5:$B$2004,"&lt;="&amp;$B$4))</f>
        <v>0</v>
      </c>
      <c r="G19" s="29">
        <f>IF(A19="","",E19*IFERROR(INDEX(Trabajadores!$D$5:$D$204,MATCH(A19,Trabajadores!$B$5:$B$204,0)),0))</f>
        <v>0</v>
      </c>
      <c r="H19" s="29">
        <f t="shared" si="0"/>
        <v>0</v>
      </c>
      <c r="I19" s="29">
        <f t="shared" si="1"/>
        <v>0</v>
      </c>
    </row>
    <row r="20" spans="1:9" x14ac:dyDescent="0.3">
      <c r="A20" t="str">
        <f>IF(Trabajadores!B17="","",Trabajadores!B17)</f>
        <v>Severiano</v>
      </c>
      <c r="B20">
        <f>IF(A20="","",COUNTIFS(Detalle_Pagos!$E$5:$E$2004,A20,Detalle_Pagos!$B$5:$B$2004,"&gt;="&amp;$B$3,Detalle_Pagos!$B$5:$B$2004,"&lt;="&amp;$B$4))</f>
        <v>0</v>
      </c>
      <c r="C20" s="29">
        <f>IF(A20="","",SUMIFS(Detalle_Pagos!$I$5:$I$2004,Detalle_Pagos!$E$5:$E$2004,A20,Detalle_Pagos!$J$5:$J$2004,"Si",Detalle_Pagos!$B$5:$B$2004,"&gt;="&amp;$B$3,Detalle_Pagos!$B$5:$B$2004,"&lt;="&amp;$B$4))</f>
        <v>0</v>
      </c>
      <c r="D20" s="29">
        <f>IF(A20="","",SUMIFS(Detalle_Pagos!$I$5:$I$2004,Detalle_Pagos!$E$5:$E$2004,A20,Detalle_Pagos!$J$5:$J$2004,"No",Detalle_Pagos!$B$5:$B$2004,"&gt;="&amp;$B$3,Detalle_Pagos!$B$5:$B$2004,"&lt;="&amp;$B$4))</f>
        <v>0</v>
      </c>
      <c r="E20">
        <f>IF(A20="","",COUNTIFS(Detalle_Pagos!$E$5:$E$2004,A20,Detalle_Pagos!$J$5:$J$2004,"No",Detalle_Pagos!$B$5:$B$2004,"&gt;="&amp;$B$3,Detalle_Pagos!$B$5:$B$2004,"&lt;="&amp;$B$4))</f>
        <v>0</v>
      </c>
      <c r="F20">
        <f>IF(A20="","",COUNTIFS(Detalle_Pagos!$E$5:$E$2004,A20,Detalle_Pagos!$J$5:$J$2004,"Si",Detalle_Pagos!$B$5:$B$2004,"&gt;="&amp;$B$3,Detalle_Pagos!$B$5:$B$2004,"&lt;="&amp;$B$4))</f>
        <v>0</v>
      </c>
      <c r="G20" s="29">
        <f>IF(A20="","",E20*IFERROR(INDEX(Trabajadores!$D$5:$D$204,MATCH(A20,Trabajadores!$B$5:$B$204,0)),0))</f>
        <v>0</v>
      </c>
      <c r="H20" s="29">
        <f t="shared" si="0"/>
        <v>0</v>
      </c>
      <c r="I20" s="29">
        <f t="shared" si="1"/>
        <v>0</v>
      </c>
    </row>
    <row r="21" spans="1:9" x14ac:dyDescent="0.3">
      <c r="A21" t="str">
        <f>IF(Trabajadores!B18="","",Trabajadores!B18)</f>
        <v/>
      </c>
      <c r="B21" t="str">
        <f>IF(A21="","",COUNTIFS(Detalle_Pagos!$E$5:$E$2004,A21,Detalle_Pagos!$B$5:$B$2004,"&gt;="&amp;$B$3,Detalle_Pagos!$B$5:$B$2004,"&lt;="&amp;$B$4))</f>
        <v/>
      </c>
      <c r="C21" s="29" t="str">
        <f>IF(A21="","",SUMIFS(Detalle_Pagos!$I$5:$I$2004,Detalle_Pagos!$E$5:$E$2004,A21,Detalle_Pagos!$J$5:$J$2004,"Si",Detalle_Pagos!$B$5:$B$2004,"&gt;="&amp;$B$3,Detalle_Pagos!$B$5:$B$2004,"&lt;="&amp;$B$4))</f>
        <v/>
      </c>
      <c r="D21" s="29" t="str">
        <f>IF(A21="","",SUMIFS(Detalle_Pagos!$I$5:$I$2004,Detalle_Pagos!$E$5:$E$2004,A21,Detalle_Pagos!$J$5:$J$2004,"No",Detalle_Pagos!$B$5:$B$2004,"&gt;="&amp;$B$3,Detalle_Pagos!$B$5:$B$2004,"&lt;="&amp;$B$4))</f>
        <v/>
      </c>
      <c r="E21" t="str">
        <f>IF(A21="","",COUNTIFS(Detalle_Pagos!$E$5:$E$2004,A21,Detalle_Pagos!$J$5:$J$2004,"No",Detalle_Pagos!$B$5:$B$2004,"&gt;="&amp;$B$3,Detalle_Pagos!$B$5:$B$2004,"&lt;="&amp;$B$4))</f>
        <v/>
      </c>
      <c r="F21" t="str">
        <f>IF(A21="","",COUNTIFS(Detalle_Pagos!$E$5:$E$2004,A21,Detalle_Pagos!$J$5:$J$2004,"Si",Detalle_Pagos!$B$5:$B$2004,"&gt;="&amp;$B$3,Detalle_Pagos!$B$5:$B$2004,"&lt;="&amp;$B$4))</f>
        <v/>
      </c>
      <c r="G21" s="29" t="str">
        <f>IF(A21="","",E21*IFERROR(INDEX(Trabajadores!$D$5:$D$204,MATCH(A21,Trabajadores!$B$5:$B$204,0)),0))</f>
        <v/>
      </c>
      <c r="H21" s="29" t="str">
        <f t="shared" si="0"/>
        <v/>
      </c>
      <c r="I21" s="29" t="str">
        <f t="shared" si="1"/>
        <v/>
      </c>
    </row>
    <row r="22" spans="1:9" x14ac:dyDescent="0.3">
      <c r="A22" t="str">
        <f>IF(Trabajadores!B19="","",Trabajadores!B19)</f>
        <v/>
      </c>
      <c r="B22" t="str">
        <f>IF(A22="","",COUNTIFS(Detalle_Pagos!$E$5:$E$2004,A22,Detalle_Pagos!$B$5:$B$2004,"&gt;="&amp;$B$3,Detalle_Pagos!$B$5:$B$2004,"&lt;="&amp;$B$4))</f>
        <v/>
      </c>
      <c r="C22" s="29" t="str">
        <f>IF(A22="","",SUMIFS(Detalle_Pagos!$I$5:$I$2004,Detalle_Pagos!$E$5:$E$2004,A22,Detalle_Pagos!$J$5:$J$2004,"Si",Detalle_Pagos!$B$5:$B$2004,"&gt;="&amp;$B$3,Detalle_Pagos!$B$5:$B$2004,"&lt;="&amp;$B$4))</f>
        <v/>
      </c>
      <c r="D22" s="29" t="str">
        <f>IF(A22="","",SUMIFS(Detalle_Pagos!$I$5:$I$2004,Detalle_Pagos!$E$5:$E$2004,A22,Detalle_Pagos!$J$5:$J$2004,"No",Detalle_Pagos!$B$5:$B$2004,"&gt;="&amp;$B$3,Detalle_Pagos!$B$5:$B$2004,"&lt;="&amp;$B$4))</f>
        <v/>
      </c>
      <c r="E22" t="str">
        <f>IF(A22="","",COUNTIFS(Detalle_Pagos!$E$5:$E$2004,A22,Detalle_Pagos!$J$5:$J$2004,"No",Detalle_Pagos!$B$5:$B$2004,"&gt;="&amp;$B$3,Detalle_Pagos!$B$5:$B$2004,"&lt;="&amp;$B$4))</f>
        <v/>
      </c>
      <c r="F22" t="str">
        <f>IF(A22="","",COUNTIFS(Detalle_Pagos!$E$5:$E$2004,A22,Detalle_Pagos!$J$5:$J$2004,"Si",Detalle_Pagos!$B$5:$B$2004,"&gt;="&amp;$B$3,Detalle_Pagos!$B$5:$B$2004,"&lt;="&amp;$B$4))</f>
        <v/>
      </c>
      <c r="G22" s="29" t="str">
        <f>IF(A22="","",E22*IFERROR(INDEX(Trabajadores!$D$5:$D$204,MATCH(A22,Trabajadores!$B$5:$B$204,0)),0))</f>
        <v/>
      </c>
      <c r="H22" s="29" t="str">
        <f t="shared" si="0"/>
        <v/>
      </c>
      <c r="I22" s="29" t="str">
        <f t="shared" si="1"/>
        <v/>
      </c>
    </row>
    <row r="23" spans="1:9" x14ac:dyDescent="0.3">
      <c r="A23" t="str">
        <f>IF(Trabajadores!B20="","",Trabajadores!B20)</f>
        <v/>
      </c>
      <c r="B23" t="str">
        <f>IF(A23="","",COUNTIFS(Detalle_Pagos!$E$5:$E$2004,A23,Detalle_Pagos!$B$5:$B$2004,"&gt;="&amp;$B$3,Detalle_Pagos!$B$5:$B$2004,"&lt;="&amp;$B$4))</f>
        <v/>
      </c>
      <c r="C23" s="29" t="str">
        <f>IF(A23="","",SUMIFS(Detalle_Pagos!$I$5:$I$2004,Detalle_Pagos!$E$5:$E$2004,A23,Detalle_Pagos!$J$5:$J$2004,"Si",Detalle_Pagos!$B$5:$B$2004,"&gt;="&amp;$B$3,Detalle_Pagos!$B$5:$B$2004,"&lt;="&amp;$B$4))</f>
        <v/>
      </c>
      <c r="D23" s="29" t="str">
        <f>IF(A23="","",SUMIFS(Detalle_Pagos!$I$5:$I$2004,Detalle_Pagos!$E$5:$E$2004,A23,Detalle_Pagos!$J$5:$J$2004,"No",Detalle_Pagos!$B$5:$B$2004,"&gt;="&amp;$B$3,Detalle_Pagos!$B$5:$B$2004,"&lt;="&amp;$B$4))</f>
        <v/>
      </c>
      <c r="E23" t="str">
        <f>IF(A23="","",COUNTIFS(Detalle_Pagos!$E$5:$E$2004,A23,Detalle_Pagos!$J$5:$J$2004,"No",Detalle_Pagos!$B$5:$B$2004,"&gt;="&amp;$B$3,Detalle_Pagos!$B$5:$B$2004,"&lt;="&amp;$B$4))</f>
        <v/>
      </c>
      <c r="F23" t="str">
        <f>IF(A23="","",COUNTIFS(Detalle_Pagos!$E$5:$E$2004,A23,Detalle_Pagos!$J$5:$J$2004,"Si",Detalle_Pagos!$B$5:$B$2004,"&gt;="&amp;$B$3,Detalle_Pagos!$B$5:$B$2004,"&lt;="&amp;$B$4))</f>
        <v/>
      </c>
      <c r="G23" s="29" t="str">
        <f>IF(A23="","",E23*IFERROR(INDEX(Trabajadores!$D$5:$D$204,MATCH(A23,Trabajadores!$B$5:$B$204,0)),0))</f>
        <v/>
      </c>
      <c r="H23" s="29" t="str">
        <f t="shared" si="0"/>
        <v/>
      </c>
      <c r="I23" s="29" t="str">
        <f t="shared" si="1"/>
        <v/>
      </c>
    </row>
    <row r="24" spans="1:9" x14ac:dyDescent="0.3">
      <c r="A24" t="str">
        <f>IF(Trabajadores!B21="","",Trabajadores!B21)</f>
        <v/>
      </c>
      <c r="B24" t="str">
        <f>IF(A24="","",COUNTIFS(Detalle_Pagos!$E$5:$E$2004,A24,Detalle_Pagos!$B$5:$B$2004,"&gt;="&amp;$B$3,Detalle_Pagos!$B$5:$B$2004,"&lt;="&amp;$B$4))</f>
        <v/>
      </c>
      <c r="C24" s="29" t="str">
        <f>IF(A24="","",SUMIFS(Detalle_Pagos!$I$5:$I$2004,Detalle_Pagos!$E$5:$E$2004,A24,Detalle_Pagos!$J$5:$J$2004,"Si",Detalle_Pagos!$B$5:$B$2004,"&gt;="&amp;$B$3,Detalle_Pagos!$B$5:$B$2004,"&lt;="&amp;$B$4))</f>
        <v/>
      </c>
      <c r="D24" s="29" t="str">
        <f>IF(A24="","",SUMIFS(Detalle_Pagos!$I$5:$I$2004,Detalle_Pagos!$E$5:$E$2004,A24,Detalle_Pagos!$J$5:$J$2004,"No",Detalle_Pagos!$B$5:$B$2004,"&gt;="&amp;$B$3,Detalle_Pagos!$B$5:$B$2004,"&lt;="&amp;$B$4))</f>
        <v/>
      </c>
      <c r="E24" t="str">
        <f>IF(A24="","",COUNTIFS(Detalle_Pagos!$E$5:$E$2004,A24,Detalle_Pagos!$J$5:$J$2004,"No",Detalle_Pagos!$B$5:$B$2004,"&gt;="&amp;$B$3,Detalle_Pagos!$B$5:$B$2004,"&lt;="&amp;$B$4))</f>
        <v/>
      </c>
      <c r="F24" t="str">
        <f>IF(A24="","",COUNTIFS(Detalle_Pagos!$E$5:$E$2004,A24,Detalle_Pagos!$J$5:$J$2004,"Si",Detalle_Pagos!$B$5:$B$2004,"&gt;="&amp;$B$3,Detalle_Pagos!$B$5:$B$2004,"&lt;="&amp;$B$4))</f>
        <v/>
      </c>
      <c r="G24" s="29" t="str">
        <f>IF(A24="","",E24*IFERROR(INDEX(Trabajadores!$D$5:$D$204,MATCH(A24,Trabajadores!$B$5:$B$204,0)),0))</f>
        <v/>
      </c>
      <c r="H24" s="29" t="str">
        <f t="shared" si="0"/>
        <v/>
      </c>
      <c r="I24" s="29" t="str">
        <f t="shared" si="1"/>
        <v/>
      </c>
    </row>
    <row r="25" spans="1:9" x14ac:dyDescent="0.3">
      <c r="A25" t="str">
        <f>IF(Trabajadores!B22="","",Trabajadores!B22)</f>
        <v/>
      </c>
      <c r="B25" t="str">
        <f>IF(A25="","",COUNTIFS(Detalle_Pagos!$E$5:$E$2004,A25,Detalle_Pagos!$B$5:$B$2004,"&gt;="&amp;$B$3,Detalle_Pagos!$B$5:$B$2004,"&lt;="&amp;$B$4))</f>
        <v/>
      </c>
      <c r="C25" s="29" t="str">
        <f>IF(A25="","",SUMIFS(Detalle_Pagos!$I$5:$I$2004,Detalle_Pagos!$E$5:$E$2004,A25,Detalle_Pagos!$J$5:$J$2004,"Si",Detalle_Pagos!$B$5:$B$2004,"&gt;="&amp;$B$3,Detalle_Pagos!$B$5:$B$2004,"&lt;="&amp;$B$4))</f>
        <v/>
      </c>
      <c r="D25" s="29" t="str">
        <f>IF(A25="","",SUMIFS(Detalle_Pagos!$I$5:$I$2004,Detalle_Pagos!$E$5:$E$2004,A25,Detalle_Pagos!$J$5:$J$2004,"No",Detalle_Pagos!$B$5:$B$2004,"&gt;="&amp;$B$3,Detalle_Pagos!$B$5:$B$2004,"&lt;="&amp;$B$4))</f>
        <v/>
      </c>
      <c r="E25" t="str">
        <f>IF(A25="","",COUNTIFS(Detalle_Pagos!$E$5:$E$2004,A25,Detalle_Pagos!$J$5:$J$2004,"No",Detalle_Pagos!$B$5:$B$2004,"&gt;="&amp;$B$3,Detalle_Pagos!$B$5:$B$2004,"&lt;="&amp;$B$4))</f>
        <v/>
      </c>
      <c r="F25" t="str">
        <f>IF(A25="","",COUNTIFS(Detalle_Pagos!$E$5:$E$2004,A25,Detalle_Pagos!$J$5:$J$2004,"Si",Detalle_Pagos!$B$5:$B$2004,"&gt;="&amp;$B$3,Detalle_Pagos!$B$5:$B$2004,"&lt;="&amp;$B$4))</f>
        <v/>
      </c>
      <c r="G25" s="29" t="str">
        <f>IF(A25="","",E25*IFERROR(INDEX(Trabajadores!$D$5:$D$204,MATCH(A25,Trabajadores!$B$5:$B$204,0)),0))</f>
        <v/>
      </c>
      <c r="H25" s="29" t="str">
        <f t="shared" si="0"/>
        <v/>
      </c>
      <c r="I25" s="29" t="str">
        <f t="shared" si="1"/>
        <v/>
      </c>
    </row>
    <row r="26" spans="1:9" x14ac:dyDescent="0.3">
      <c r="A26" t="str">
        <f>IF(Trabajadores!B23="","",Trabajadores!B23)</f>
        <v/>
      </c>
      <c r="B26" t="str">
        <f>IF(A26="","",COUNTIFS(Detalle_Pagos!$E$5:$E$2004,A26,Detalle_Pagos!$B$5:$B$2004,"&gt;="&amp;$B$3,Detalle_Pagos!$B$5:$B$2004,"&lt;="&amp;$B$4))</f>
        <v/>
      </c>
      <c r="C26" s="29" t="str">
        <f>IF(A26="","",SUMIFS(Detalle_Pagos!$I$5:$I$2004,Detalle_Pagos!$E$5:$E$2004,A26,Detalle_Pagos!$J$5:$J$2004,"Si",Detalle_Pagos!$B$5:$B$2004,"&gt;="&amp;$B$3,Detalle_Pagos!$B$5:$B$2004,"&lt;="&amp;$B$4))</f>
        <v/>
      </c>
      <c r="D26" s="29" t="str">
        <f>IF(A26="","",SUMIFS(Detalle_Pagos!$I$5:$I$2004,Detalle_Pagos!$E$5:$E$2004,A26,Detalle_Pagos!$J$5:$J$2004,"No",Detalle_Pagos!$B$5:$B$2004,"&gt;="&amp;$B$3,Detalle_Pagos!$B$5:$B$2004,"&lt;="&amp;$B$4))</f>
        <v/>
      </c>
      <c r="E26" t="str">
        <f>IF(A26="","",COUNTIFS(Detalle_Pagos!$E$5:$E$2004,A26,Detalle_Pagos!$J$5:$J$2004,"No",Detalle_Pagos!$B$5:$B$2004,"&gt;="&amp;$B$3,Detalle_Pagos!$B$5:$B$2004,"&lt;="&amp;$B$4))</f>
        <v/>
      </c>
      <c r="F26" t="str">
        <f>IF(A26="","",COUNTIFS(Detalle_Pagos!$E$5:$E$2004,A26,Detalle_Pagos!$J$5:$J$2004,"Si",Detalle_Pagos!$B$5:$B$2004,"&gt;="&amp;$B$3,Detalle_Pagos!$B$5:$B$2004,"&lt;="&amp;$B$4))</f>
        <v/>
      </c>
      <c r="G26" s="29" t="str">
        <f>IF(A26="","",E26*IFERROR(INDEX(Trabajadores!$D$5:$D$204,MATCH(A26,Trabajadores!$B$5:$B$204,0)),0))</f>
        <v/>
      </c>
      <c r="H26" s="29" t="str">
        <f t="shared" si="0"/>
        <v/>
      </c>
      <c r="I26" s="29" t="str">
        <f t="shared" si="1"/>
        <v/>
      </c>
    </row>
    <row r="27" spans="1:9" x14ac:dyDescent="0.3">
      <c r="A27" t="str">
        <f>IF(Trabajadores!B24="","",Trabajadores!B24)</f>
        <v/>
      </c>
      <c r="B27" t="str">
        <f>IF(A27="","",COUNTIFS(Detalle_Pagos!$E$5:$E$2004,A27,Detalle_Pagos!$B$5:$B$2004,"&gt;="&amp;$B$3,Detalle_Pagos!$B$5:$B$2004,"&lt;="&amp;$B$4))</f>
        <v/>
      </c>
      <c r="C27" s="29" t="str">
        <f>IF(A27="","",SUMIFS(Detalle_Pagos!$I$5:$I$2004,Detalle_Pagos!$E$5:$E$2004,A27,Detalle_Pagos!$J$5:$J$2004,"Si",Detalle_Pagos!$B$5:$B$2004,"&gt;="&amp;$B$3,Detalle_Pagos!$B$5:$B$2004,"&lt;="&amp;$B$4))</f>
        <v/>
      </c>
      <c r="D27" s="29" t="str">
        <f>IF(A27="","",SUMIFS(Detalle_Pagos!$I$5:$I$2004,Detalle_Pagos!$E$5:$E$2004,A27,Detalle_Pagos!$J$5:$J$2004,"No",Detalle_Pagos!$B$5:$B$2004,"&gt;="&amp;$B$3,Detalle_Pagos!$B$5:$B$2004,"&lt;="&amp;$B$4))</f>
        <v/>
      </c>
      <c r="E27" t="str">
        <f>IF(A27="","",COUNTIFS(Detalle_Pagos!$E$5:$E$2004,A27,Detalle_Pagos!$J$5:$J$2004,"No",Detalle_Pagos!$B$5:$B$2004,"&gt;="&amp;$B$3,Detalle_Pagos!$B$5:$B$2004,"&lt;="&amp;$B$4))</f>
        <v/>
      </c>
      <c r="F27" t="str">
        <f>IF(A27="","",COUNTIFS(Detalle_Pagos!$E$5:$E$2004,A27,Detalle_Pagos!$J$5:$J$2004,"Si",Detalle_Pagos!$B$5:$B$2004,"&gt;="&amp;$B$3,Detalle_Pagos!$B$5:$B$2004,"&lt;="&amp;$B$4))</f>
        <v/>
      </c>
      <c r="G27" s="29" t="str">
        <f>IF(A27="","",E27*IFERROR(INDEX(Trabajadores!$D$5:$D$204,MATCH(A27,Trabajadores!$B$5:$B$204,0)),0))</f>
        <v/>
      </c>
      <c r="H27" s="29" t="str">
        <f t="shared" si="0"/>
        <v/>
      </c>
      <c r="I27" s="29" t="str">
        <f t="shared" si="1"/>
        <v/>
      </c>
    </row>
    <row r="28" spans="1:9" x14ac:dyDescent="0.3">
      <c r="A28" t="str">
        <f>IF(Trabajadores!B25="","",Trabajadores!B25)</f>
        <v/>
      </c>
      <c r="B28" t="str">
        <f>IF(A28="","",COUNTIFS(Detalle_Pagos!$E$5:$E$2004,A28,Detalle_Pagos!$B$5:$B$2004,"&gt;="&amp;$B$3,Detalle_Pagos!$B$5:$B$2004,"&lt;="&amp;$B$4))</f>
        <v/>
      </c>
      <c r="C28" s="29" t="str">
        <f>IF(A28="","",SUMIFS(Detalle_Pagos!$I$5:$I$2004,Detalle_Pagos!$E$5:$E$2004,A28,Detalle_Pagos!$J$5:$J$2004,"Si",Detalle_Pagos!$B$5:$B$2004,"&gt;="&amp;$B$3,Detalle_Pagos!$B$5:$B$2004,"&lt;="&amp;$B$4))</f>
        <v/>
      </c>
      <c r="D28" s="29" t="str">
        <f>IF(A28="","",SUMIFS(Detalle_Pagos!$I$5:$I$2004,Detalle_Pagos!$E$5:$E$2004,A28,Detalle_Pagos!$J$5:$J$2004,"No",Detalle_Pagos!$B$5:$B$2004,"&gt;="&amp;$B$3,Detalle_Pagos!$B$5:$B$2004,"&lt;="&amp;$B$4))</f>
        <v/>
      </c>
      <c r="E28" t="str">
        <f>IF(A28="","",COUNTIFS(Detalle_Pagos!$E$5:$E$2004,A28,Detalle_Pagos!$J$5:$J$2004,"No",Detalle_Pagos!$B$5:$B$2004,"&gt;="&amp;$B$3,Detalle_Pagos!$B$5:$B$2004,"&lt;="&amp;$B$4))</f>
        <v/>
      </c>
      <c r="F28" t="str">
        <f>IF(A28="","",COUNTIFS(Detalle_Pagos!$E$5:$E$2004,A28,Detalle_Pagos!$J$5:$J$2004,"Si",Detalle_Pagos!$B$5:$B$2004,"&gt;="&amp;$B$3,Detalle_Pagos!$B$5:$B$2004,"&lt;="&amp;$B$4))</f>
        <v/>
      </c>
      <c r="G28" s="29" t="str">
        <f>IF(A28="","",E28*IFERROR(INDEX(Trabajadores!$D$5:$D$204,MATCH(A28,Trabajadores!$B$5:$B$204,0)),0))</f>
        <v/>
      </c>
      <c r="H28" s="29" t="str">
        <f t="shared" si="0"/>
        <v/>
      </c>
      <c r="I28" s="29" t="str">
        <f t="shared" si="1"/>
        <v/>
      </c>
    </row>
    <row r="29" spans="1:9" x14ac:dyDescent="0.3">
      <c r="A29" t="str">
        <f>IF(Trabajadores!B26="","",Trabajadores!B26)</f>
        <v/>
      </c>
      <c r="B29" t="str">
        <f>IF(A29="","",COUNTIFS(Detalle_Pagos!$E$5:$E$2004,A29,Detalle_Pagos!$B$5:$B$2004,"&gt;="&amp;$B$3,Detalle_Pagos!$B$5:$B$2004,"&lt;="&amp;$B$4))</f>
        <v/>
      </c>
      <c r="C29" s="29" t="str">
        <f>IF(A29="","",SUMIFS(Detalle_Pagos!$I$5:$I$2004,Detalle_Pagos!$E$5:$E$2004,A29,Detalle_Pagos!$J$5:$J$2004,"Si",Detalle_Pagos!$B$5:$B$2004,"&gt;="&amp;$B$3,Detalle_Pagos!$B$5:$B$2004,"&lt;="&amp;$B$4))</f>
        <v/>
      </c>
      <c r="D29" s="29" t="str">
        <f>IF(A29="","",SUMIFS(Detalle_Pagos!$I$5:$I$2004,Detalle_Pagos!$E$5:$E$2004,A29,Detalle_Pagos!$J$5:$J$2004,"No",Detalle_Pagos!$B$5:$B$2004,"&gt;="&amp;$B$3,Detalle_Pagos!$B$5:$B$2004,"&lt;="&amp;$B$4))</f>
        <v/>
      </c>
      <c r="E29" t="str">
        <f>IF(A29="","",COUNTIFS(Detalle_Pagos!$E$5:$E$2004,A29,Detalle_Pagos!$J$5:$J$2004,"No",Detalle_Pagos!$B$5:$B$2004,"&gt;="&amp;$B$3,Detalle_Pagos!$B$5:$B$2004,"&lt;="&amp;$B$4))</f>
        <v/>
      </c>
      <c r="F29" t="str">
        <f>IF(A29="","",COUNTIFS(Detalle_Pagos!$E$5:$E$2004,A29,Detalle_Pagos!$J$5:$J$2004,"Si",Detalle_Pagos!$B$5:$B$2004,"&gt;="&amp;$B$3,Detalle_Pagos!$B$5:$B$2004,"&lt;="&amp;$B$4))</f>
        <v/>
      </c>
      <c r="G29" s="29" t="str">
        <f>IF(A29="","",E29*IFERROR(INDEX(Trabajadores!$D$5:$D$204,MATCH(A29,Trabajadores!$B$5:$B$204,0)),0))</f>
        <v/>
      </c>
      <c r="H29" s="29" t="str">
        <f t="shared" si="0"/>
        <v/>
      </c>
      <c r="I29" s="29" t="str">
        <f t="shared" si="1"/>
        <v/>
      </c>
    </row>
    <row r="30" spans="1:9" x14ac:dyDescent="0.3">
      <c r="A30" t="str">
        <f>IF(Trabajadores!B27="","",Trabajadores!B27)</f>
        <v/>
      </c>
      <c r="B30" t="str">
        <f>IF(A30="","",COUNTIFS(Detalle_Pagos!$E$5:$E$2004,A30,Detalle_Pagos!$B$5:$B$2004,"&gt;="&amp;$B$3,Detalle_Pagos!$B$5:$B$2004,"&lt;="&amp;$B$4))</f>
        <v/>
      </c>
      <c r="C30" s="29" t="str">
        <f>IF(A30="","",SUMIFS(Detalle_Pagos!$I$5:$I$2004,Detalle_Pagos!$E$5:$E$2004,A30,Detalle_Pagos!$J$5:$J$2004,"Si",Detalle_Pagos!$B$5:$B$2004,"&gt;="&amp;$B$3,Detalle_Pagos!$B$5:$B$2004,"&lt;="&amp;$B$4))</f>
        <v/>
      </c>
      <c r="D30" s="29" t="str">
        <f>IF(A30="","",SUMIFS(Detalle_Pagos!$I$5:$I$2004,Detalle_Pagos!$E$5:$E$2004,A30,Detalle_Pagos!$J$5:$J$2004,"No",Detalle_Pagos!$B$5:$B$2004,"&gt;="&amp;$B$3,Detalle_Pagos!$B$5:$B$2004,"&lt;="&amp;$B$4))</f>
        <v/>
      </c>
      <c r="E30" t="str">
        <f>IF(A30="","",COUNTIFS(Detalle_Pagos!$E$5:$E$2004,A30,Detalle_Pagos!$J$5:$J$2004,"No",Detalle_Pagos!$B$5:$B$2004,"&gt;="&amp;$B$3,Detalle_Pagos!$B$5:$B$2004,"&lt;="&amp;$B$4))</f>
        <v/>
      </c>
      <c r="F30" t="str">
        <f>IF(A30="","",COUNTIFS(Detalle_Pagos!$E$5:$E$2004,A30,Detalle_Pagos!$J$5:$J$2004,"Si",Detalle_Pagos!$B$5:$B$2004,"&gt;="&amp;$B$3,Detalle_Pagos!$B$5:$B$2004,"&lt;="&amp;$B$4))</f>
        <v/>
      </c>
      <c r="G30" s="29" t="str">
        <f>IF(A30="","",E30*IFERROR(INDEX(Trabajadores!$D$5:$D$204,MATCH(A30,Trabajadores!$B$5:$B$204,0)),0))</f>
        <v/>
      </c>
      <c r="H30" s="29" t="str">
        <f t="shared" si="0"/>
        <v/>
      </c>
      <c r="I30" s="29" t="str">
        <f t="shared" si="1"/>
        <v/>
      </c>
    </row>
    <row r="31" spans="1:9" x14ac:dyDescent="0.3">
      <c r="A31" t="str">
        <f>IF(Trabajadores!B28="","",Trabajadores!B28)</f>
        <v/>
      </c>
      <c r="B31" t="str">
        <f>IF(A31="","",COUNTIFS(Detalle_Pagos!$E$5:$E$2004,A31,Detalle_Pagos!$B$5:$B$2004,"&gt;="&amp;$B$3,Detalle_Pagos!$B$5:$B$2004,"&lt;="&amp;$B$4))</f>
        <v/>
      </c>
      <c r="C31" s="29" t="str">
        <f>IF(A31="","",SUMIFS(Detalle_Pagos!$I$5:$I$2004,Detalle_Pagos!$E$5:$E$2004,A31,Detalle_Pagos!$J$5:$J$2004,"Si",Detalle_Pagos!$B$5:$B$2004,"&gt;="&amp;$B$3,Detalle_Pagos!$B$5:$B$2004,"&lt;="&amp;$B$4))</f>
        <v/>
      </c>
      <c r="D31" s="29" t="str">
        <f>IF(A31="","",SUMIFS(Detalle_Pagos!$I$5:$I$2004,Detalle_Pagos!$E$5:$E$2004,A31,Detalle_Pagos!$J$5:$J$2004,"No",Detalle_Pagos!$B$5:$B$2004,"&gt;="&amp;$B$3,Detalle_Pagos!$B$5:$B$2004,"&lt;="&amp;$B$4))</f>
        <v/>
      </c>
      <c r="E31" t="str">
        <f>IF(A31="","",COUNTIFS(Detalle_Pagos!$E$5:$E$2004,A31,Detalle_Pagos!$J$5:$J$2004,"No",Detalle_Pagos!$B$5:$B$2004,"&gt;="&amp;$B$3,Detalle_Pagos!$B$5:$B$2004,"&lt;="&amp;$B$4))</f>
        <v/>
      </c>
      <c r="F31" t="str">
        <f>IF(A31="","",COUNTIFS(Detalle_Pagos!$E$5:$E$2004,A31,Detalle_Pagos!$J$5:$J$2004,"Si",Detalle_Pagos!$B$5:$B$2004,"&gt;="&amp;$B$3,Detalle_Pagos!$B$5:$B$2004,"&lt;="&amp;$B$4))</f>
        <v/>
      </c>
      <c r="G31" s="29" t="str">
        <f>IF(A31="","",E31*IFERROR(INDEX(Trabajadores!$D$5:$D$204,MATCH(A31,Trabajadores!$B$5:$B$204,0)),0))</f>
        <v/>
      </c>
      <c r="H31" s="29" t="str">
        <f t="shared" si="0"/>
        <v/>
      </c>
      <c r="I31" s="29" t="str">
        <f t="shared" si="1"/>
        <v/>
      </c>
    </row>
    <row r="32" spans="1:9" x14ac:dyDescent="0.3">
      <c r="A32" t="str">
        <f>IF(Trabajadores!B29="","",Trabajadores!B29)</f>
        <v/>
      </c>
      <c r="B32" t="str">
        <f>IF(A32="","",COUNTIFS(Detalle_Pagos!$E$5:$E$2004,A32,Detalle_Pagos!$B$5:$B$2004,"&gt;="&amp;$B$3,Detalle_Pagos!$B$5:$B$2004,"&lt;="&amp;$B$4))</f>
        <v/>
      </c>
      <c r="C32" s="29" t="str">
        <f>IF(A32="","",SUMIFS(Detalle_Pagos!$I$5:$I$2004,Detalle_Pagos!$E$5:$E$2004,A32,Detalle_Pagos!$J$5:$J$2004,"Si",Detalle_Pagos!$B$5:$B$2004,"&gt;="&amp;$B$3,Detalle_Pagos!$B$5:$B$2004,"&lt;="&amp;$B$4))</f>
        <v/>
      </c>
      <c r="D32" s="29" t="str">
        <f>IF(A32="","",SUMIFS(Detalle_Pagos!$I$5:$I$2004,Detalle_Pagos!$E$5:$E$2004,A32,Detalle_Pagos!$J$5:$J$2004,"No",Detalle_Pagos!$B$5:$B$2004,"&gt;="&amp;$B$3,Detalle_Pagos!$B$5:$B$2004,"&lt;="&amp;$B$4))</f>
        <v/>
      </c>
      <c r="E32" t="str">
        <f>IF(A32="","",COUNTIFS(Detalle_Pagos!$E$5:$E$2004,A32,Detalle_Pagos!$J$5:$J$2004,"No",Detalle_Pagos!$B$5:$B$2004,"&gt;="&amp;$B$3,Detalle_Pagos!$B$5:$B$2004,"&lt;="&amp;$B$4))</f>
        <v/>
      </c>
      <c r="F32" t="str">
        <f>IF(A32="","",COUNTIFS(Detalle_Pagos!$E$5:$E$2004,A32,Detalle_Pagos!$J$5:$J$2004,"Si",Detalle_Pagos!$B$5:$B$2004,"&gt;="&amp;$B$3,Detalle_Pagos!$B$5:$B$2004,"&lt;="&amp;$B$4))</f>
        <v/>
      </c>
      <c r="G32" s="29" t="str">
        <f>IF(A32="","",E32*IFERROR(INDEX(Trabajadores!$D$5:$D$204,MATCH(A32,Trabajadores!$B$5:$B$204,0)),0))</f>
        <v/>
      </c>
      <c r="H32" s="29" t="str">
        <f t="shared" si="0"/>
        <v/>
      </c>
      <c r="I32" s="29" t="str">
        <f t="shared" si="1"/>
        <v/>
      </c>
    </row>
    <row r="33" spans="1:9" x14ac:dyDescent="0.3">
      <c r="A33" t="str">
        <f>IF(Trabajadores!B30="","",Trabajadores!B30)</f>
        <v/>
      </c>
      <c r="B33" t="str">
        <f>IF(A33="","",COUNTIFS(Detalle_Pagos!$E$5:$E$2004,A33,Detalle_Pagos!$B$5:$B$2004,"&gt;="&amp;$B$3,Detalle_Pagos!$B$5:$B$2004,"&lt;="&amp;$B$4))</f>
        <v/>
      </c>
      <c r="C33" s="29" t="str">
        <f>IF(A33="","",SUMIFS(Detalle_Pagos!$I$5:$I$2004,Detalle_Pagos!$E$5:$E$2004,A33,Detalle_Pagos!$J$5:$J$2004,"Si",Detalle_Pagos!$B$5:$B$2004,"&gt;="&amp;$B$3,Detalle_Pagos!$B$5:$B$2004,"&lt;="&amp;$B$4))</f>
        <v/>
      </c>
      <c r="D33" s="29" t="str">
        <f>IF(A33="","",SUMIFS(Detalle_Pagos!$I$5:$I$2004,Detalle_Pagos!$E$5:$E$2004,A33,Detalle_Pagos!$J$5:$J$2004,"No",Detalle_Pagos!$B$5:$B$2004,"&gt;="&amp;$B$3,Detalle_Pagos!$B$5:$B$2004,"&lt;="&amp;$B$4))</f>
        <v/>
      </c>
      <c r="E33" t="str">
        <f>IF(A33="","",COUNTIFS(Detalle_Pagos!$E$5:$E$2004,A33,Detalle_Pagos!$J$5:$J$2004,"No",Detalle_Pagos!$B$5:$B$2004,"&gt;="&amp;$B$3,Detalle_Pagos!$B$5:$B$2004,"&lt;="&amp;$B$4))</f>
        <v/>
      </c>
      <c r="F33" t="str">
        <f>IF(A33="","",COUNTIFS(Detalle_Pagos!$E$5:$E$2004,A33,Detalle_Pagos!$J$5:$J$2004,"Si",Detalle_Pagos!$B$5:$B$2004,"&gt;="&amp;$B$3,Detalle_Pagos!$B$5:$B$2004,"&lt;="&amp;$B$4))</f>
        <v/>
      </c>
      <c r="G33" s="29" t="str">
        <f>IF(A33="","",E33*IFERROR(INDEX(Trabajadores!$D$5:$D$204,MATCH(A33,Trabajadores!$B$5:$B$204,0)),0))</f>
        <v/>
      </c>
      <c r="H33" s="29" t="str">
        <f t="shared" si="0"/>
        <v/>
      </c>
      <c r="I33" s="29" t="str">
        <f t="shared" si="1"/>
        <v/>
      </c>
    </row>
    <row r="34" spans="1:9" x14ac:dyDescent="0.3">
      <c r="A34" t="str">
        <f>IF(Trabajadores!B31="","",Trabajadores!B31)</f>
        <v/>
      </c>
      <c r="B34" t="str">
        <f>IF(A34="","",COUNTIFS(Detalle_Pagos!$E$5:$E$2004,A34,Detalle_Pagos!$B$5:$B$2004,"&gt;="&amp;$B$3,Detalle_Pagos!$B$5:$B$2004,"&lt;="&amp;$B$4))</f>
        <v/>
      </c>
      <c r="C34" s="29" t="str">
        <f>IF(A34="","",SUMIFS(Detalle_Pagos!$I$5:$I$2004,Detalle_Pagos!$E$5:$E$2004,A34,Detalle_Pagos!$J$5:$J$2004,"Si",Detalle_Pagos!$B$5:$B$2004,"&gt;="&amp;$B$3,Detalle_Pagos!$B$5:$B$2004,"&lt;="&amp;$B$4))</f>
        <v/>
      </c>
      <c r="D34" s="29" t="str">
        <f>IF(A34="","",SUMIFS(Detalle_Pagos!$I$5:$I$2004,Detalle_Pagos!$E$5:$E$2004,A34,Detalle_Pagos!$J$5:$J$2004,"No",Detalle_Pagos!$B$5:$B$2004,"&gt;="&amp;$B$3,Detalle_Pagos!$B$5:$B$2004,"&lt;="&amp;$B$4))</f>
        <v/>
      </c>
      <c r="E34" t="str">
        <f>IF(A34="","",COUNTIFS(Detalle_Pagos!$E$5:$E$2004,A34,Detalle_Pagos!$J$5:$J$2004,"No",Detalle_Pagos!$B$5:$B$2004,"&gt;="&amp;$B$3,Detalle_Pagos!$B$5:$B$2004,"&lt;="&amp;$B$4))</f>
        <v/>
      </c>
      <c r="F34" t="str">
        <f>IF(A34="","",COUNTIFS(Detalle_Pagos!$E$5:$E$2004,A34,Detalle_Pagos!$J$5:$J$2004,"Si",Detalle_Pagos!$B$5:$B$2004,"&gt;="&amp;$B$3,Detalle_Pagos!$B$5:$B$2004,"&lt;="&amp;$B$4))</f>
        <v/>
      </c>
      <c r="G34" s="29" t="str">
        <f>IF(A34="","",E34*IFERROR(INDEX(Trabajadores!$D$5:$D$204,MATCH(A34,Trabajadores!$B$5:$B$204,0)),0))</f>
        <v/>
      </c>
      <c r="H34" s="29" t="str">
        <f t="shared" si="0"/>
        <v/>
      </c>
      <c r="I34" s="29" t="str">
        <f t="shared" si="1"/>
        <v/>
      </c>
    </row>
    <row r="35" spans="1:9" x14ac:dyDescent="0.3">
      <c r="A35" t="str">
        <f>IF(Trabajadores!B32="","",Trabajadores!B32)</f>
        <v/>
      </c>
      <c r="B35" t="str">
        <f>IF(A35="","",COUNTIFS(Detalle_Pagos!$E$5:$E$2004,A35,Detalle_Pagos!$B$5:$B$2004,"&gt;="&amp;$B$3,Detalle_Pagos!$B$5:$B$2004,"&lt;="&amp;$B$4))</f>
        <v/>
      </c>
      <c r="C35" s="29" t="str">
        <f>IF(A35="","",SUMIFS(Detalle_Pagos!$I$5:$I$2004,Detalle_Pagos!$E$5:$E$2004,A35,Detalle_Pagos!$J$5:$J$2004,"Si",Detalle_Pagos!$B$5:$B$2004,"&gt;="&amp;$B$3,Detalle_Pagos!$B$5:$B$2004,"&lt;="&amp;$B$4))</f>
        <v/>
      </c>
      <c r="D35" s="29" t="str">
        <f>IF(A35="","",SUMIFS(Detalle_Pagos!$I$5:$I$2004,Detalle_Pagos!$E$5:$E$2004,A35,Detalle_Pagos!$J$5:$J$2004,"No",Detalle_Pagos!$B$5:$B$2004,"&gt;="&amp;$B$3,Detalle_Pagos!$B$5:$B$2004,"&lt;="&amp;$B$4))</f>
        <v/>
      </c>
      <c r="E35" t="str">
        <f>IF(A35="","",COUNTIFS(Detalle_Pagos!$E$5:$E$2004,A35,Detalle_Pagos!$J$5:$J$2004,"No",Detalle_Pagos!$B$5:$B$2004,"&gt;="&amp;$B$3,Detalle_Pagos!$B$5:$B$2004,"&lt;="&amp;$B$4))</f>
        <v/>
      </c>
      <c r="F35" t="str">
        <f>IF(A35="","",COUNTIFS(Detalle_Pagos!$E$5:$E$2004,A35,Detalle_Pagos!$J$5:$J$2004,"Si",Detalle_Pagos!$B$5:$B$2004,"&gt;="&amp;$B$3,Detalle_Pagos!$B$5:$B$2004,"&lt;="&amp;$B$4))</f>
        <v/>
      </c>
      <c r="G35" s="29" t="str">
        <f>IF(A35="","",E35*IFERROR(INDEX(Trabajadores!$D$5:$D$204,MATCH(A35,Trabajadores!$B$5:$B$204,0)),0))</f>
        <v/>
      </c>
      <c r="H35" s="29" t="str">
        <f t="shared" si="0"/>
        <v/>
      </c>
      <c r="I35" s="29" t="str">
        <f t="shared" si="1"/>
        <v/>
      </c>
    </row>
    <row r="36" spans="1:9" x14ac:dyDescent="0.3">
      <c r="A36" t="str">
        <f>IF(Trabajadores!B33="","",Trabajadores!B33)</f>
        <v/>
      </c>
      <c r="B36" t="str">
        <f>IF(A36="","",COUNTIFS(Detalle_Pagos!$E$5:$E$2004,A36,Detalle_Pagos!$B$5:$B$2004,"&gt;="&amp;$B$3,Detalle_Pagos!$B$5:$B$2004,"&lt;="&amp;$B$4))</f>
        <v/>
      </c>
      <c r="C36" s="29" t="str">
        <f>IF(A36="","",SUMIFS(Detalle_Pagos!$I$5:$I$2004,Detalle_Pagos!$E$5:$E$2004,A36,Detalle_Pagos!$J$5:$J$2004,"Si",Detalle_Pagos!$B$5:$B$2004,"&gt;="&amp;$B$3,Detalle_Pagos!$B$5:$B$2004,"&lt;="&amp;$B$4))</f>
        <v/>
      </c>
      <c r="D36" s="29" t="str">
        <f>IF(A36="","",SUMIFS(Detalle_Pagos!$I$5:$I$2004,Detalle_Pagos!$E$5:$E$2004,A36,Detalle_Pagos!$J$5:$J$2004,"No",Detalle_Pagos!$B$5:$B$2004,"&gt;="&amp;$B$3,Detalle_Pagos!$B$5:$B$2004,"&lt;="&amp;$B$4))</f>
        <v/>
      </c>
      <c r="E36" t="str">
        <f>IF(A36="","",COUNTIFS(Detalle_Pagos!$E$5:$E$2004,A36,Detalle_Pagos!$J$5:$J$2004,"No",Detalle_Pagos!$B$5:$B$2004,"&gt;="&amp;$B$3,Detalle_Pagos!$B$5:$B$2004,"&lt;="&amp;$B$4))</f>
        <v/>
      </c>
      <c r="F36" t="str">
        <f>IF(A36="","",COUNTIFS(Detalle_Pagos!$E$5:$E$2004,A36,Detalle_Pagos!$J$5:$J$2004,"Si",Detalle_Pagos!$B$5:$B$2004,"&gt;="&amp;$B$3,Detalle_Pagos!$B$5:$B$2004,"&lt;="&amp;$B$4))</f>
        <v/>
      </c>
      <c r="G36" s="29" t="str">
        <f>IF(A36="","",E36*IFERROR(INDEX(Trabajadores!$D$5:$D$204,MATCH(A36,Trabajadores!$B$5:$B$204,0)),0))</f>
        <v/>
      </c>
      <c r="H36" s="29" t="str">
        <f t="shared" si="0"/>
        <v/>
      </c>
      <c r="I36" s="29" t="str">
        <f t="shared" si="1"/>
        <v/>
      </c>
    </row>
    <row r="37" spans="1:9" x14ac:dyDescent="0.3">
      <c r="A37" t="str">
        <f>IF(Trabajadores!B34="","",Trabajadores!B34)</f>
        <v/>
      </c>
      <c r="B37" t="str">
        <f>IF(A37="","",COUNTIFS(Detalle_Pagos!$E$5:$E$2004,A37,Detalle_Pagos!$B$5:$B$2004,"&gt;="&amp;$B$3,Detalle_Pagos!$B$5:$B$2004,"&lt;="&amp;$B$4))</f>
        <v/>
      </c>
      <c r="C37" s="29" t="str">
        <f>IF(A37="","",SUMIFS(Detalle_Pagos!$I$5:$I$2004,Detalle_Pagos!$E$5:$E$2004,A37,Detalle_Pagos!$J$5:$J$2004,"Si",Detalle_Pagos!$B$5:$B$2004,"&gt;="&amp;$B$3,Detalle_Pagos!$B$5:$B$2004,"&lt;="&amp;$B$4))</f>
        <v/>
      </c>
      <c r="D37" s="29" t="str">
        <f>IF(A37="","",SUMIFS(Detalle_Pagos!$I$5:$I$2004,Detalle_Pagos!$E$5:$E$2004,A37,Detalle_Pagos!$J$5:$J$2004,"No",Detalle_Pagos!$B$5:$B$2004,"&gt;="&amp;$B$3,Detalle_Pagos!$B$5:$B$2004,"&lt;="&amp;$B$4))</f>
        <v/>
      </c>
      <c r="E37" t="str">
        <f>IF(A37="","",COUNTIFS(Detalle_Pagos!$E$5:$E$2004,A37,Detalle_Pagos!$J$5:$J$2004,"No",Detalle_Pagos!$B$5:$B$2004,"&gt;="&amp;$B$3,Detalle_Pagos!$B$5:$B$2004,"&lt;="&amp;$B$4))</f>
        <v/>
      </c>
      <c r="F37" t="str">
        <f>IF(A37="","",COUNTIFS(Detalle_Pagos!$E$5:$E$2004,A37,Detalle_Pagos!$J$5:$J$2004,"Si",Detalle_Pagos!$B$5:$B$2004,"&gt;="&amp;$B$3,Detalle_Pagos!$B$5:$B$2004,"&lt;="&amp;$B$4))</f>
        <v/>
      </c>
      <c r="G37" s="29" t="str">
        <f>IF(A37="","",E37*IFERROR(INDEX(Trabajadores!$D$5:$D$204,MATCH(A37,Trabajadores!$B$5:$B$204,0)),0))</f>
        <v/>
      </c>
      <c r="H37" s="29" t="str">
        <f t="shared" si="0"/>
        <v/>
      </c>
      <c r="I37" s="29" t="str">
        <f t="shared" si="1"/>
        <v/>
      </c>
    </row>
    <row r="38" spans="1:9" x14ac:dyDescent="0.3">
      <c r="A38" t="str">
        <f>IF(Trabajadores!B35="","",Trabajadores!B35)</f>
        <v/>
      </c>
      <c r="B38" t="str">
        <f>IF(A38="","",COUNTIFS(Detalle_Pagos!$E$5:$E$2004,A38,Detalle_Pagos!$B$5:$B$2004,"&gt;="&amp;$B$3,Detalle_Pagos!$B$5:$B$2004,"&lt;="&amp;$B$4))</f>
        <v/>
      </c>
      <c r="C38" s="29" t="str">
        <f>IF(A38="","",SUMIFS(Detalle_Pagos!$I$5:$I$2004,Detalle_Pagos!$E$5:$E$2004,A38,Detalle_Pagos!$J$5:$J$2004,"Si",Detalle_Pagos!$B$5:$B$2004,"&gt;="&amp;$B$3,Detalle_Pagos!$B$5:$B$2004,"&lt;="&amp;$B$4))</f>
        <v/>
      </c>
      <c r="D38" s="29" t="str">
        <f>IF(A38="","",SUMIFS(Detalle_Pagos!$I$5:$I$2004,Detalle_Pagos!$E$5:$E$2004,A38,Detalle_Pagos!$J$5:$J$2004,"No",Detalle_Pagos!$B$5:$B$2004,"&gt;="&amp;$B$3,Detalle_Pagos!$B$5:$B$2004,"&lt;="&amp;$B$4))</f>
        <v/>
      </c>
      <c r="E38" t="str">
        <f>IF(A38="","",COUNTIFS(Detalle_Pagos!$E$5:$E$2004,A38,Detalle_Pagos!$J$5:$J$2004,"No",Detalle_Pagos!$B$5:$B$2004,"&gt;="&amp;$B$3,Detalle_Pagos!$B$5:$B$2004,"&lt;="&amp;$B$4))</f>
        <v/>
      </c>
      <c r="F38" t="str">
        <f>IF(A38="","",COUNTIFS(Detalle_Pagos!$E$5:$E$2004,A38,Detalle_Pagos!$J$5:$J$2004,"Si",Detalle_Pagos!$B$5:$B$2004,"&gt;="&amp;$B$3,Detalle_Pagos!$B$5:$B$2004,"&lt;="&amp;$B$4))</f>
        <v/>
      </c>
      <c r="G38" s="29" t="str">
        <f>IF(A38="","",E38*IFERROR(INDEX(Trabajadores!$D$5:$D$204,MATCH(A38,Trabajadores!$B$5:$B$204,0)),0))</f>
        <v/>
      </c>
      <c r="H38" s="29" t="str">
        <f t="shared" si="0"/>
        <v/>
      </c>
      <c r="I38" s="29" t="str">
        <f t="shared" si="1"/>
        <v/>
      </c>
    </row>
    <row r="39" spans="1:9" x14ac:dyDescent="0.3">
      <c r="A39" t="str">
        <f>IF(Trabajadores!B36="","",Trabajadores!B36)</f>
        <v/>
      </c>
      <c r="B39" t="str">
        <f>IF(A39="","",COUNTIFS(Detalle_Pagos!$E$5:$E$2004,A39,Detalle_Pagos!$B$5:$B$2004,"&gt;="&amp;$B$3,Detalle_Pagos!$B$5:$B$2004,"&lt;="&amp;$B$4))</f>
        <v/>
      </c>
      <c r="C39" s="29" t="str">
        <f>IF(A39="","",SUMIFS(Detalle_Pagos!$I$5:$I$2004,Detalle_Pagos!$E$5:$E$2004,A39,Detalle_Pagos!$J$5:$J$2004,"Si",Detalle_Pagos!$B$5:$B$2004,"&gt;="&amp;$B$3,Detalle_Pagos!$B$5:$B$2004,"&lt;="&amp;$B$4))</f>
        <v/>
      </c>
      <c r="D39" s="29" t="str">
        <f>IF(A39="","",SUMIFS(Detalle_Pagos!$I$5:$I$2004,Detalle_Pagos!$E$5:$E$2004,A39,Detalle_Pagos!$J$5:$J$2004,"No",Detalle_Pagos!$B$5:$B$2004,"&gt;="&amp;$B$3,Detalle_Pagos!$B$5:$B$2004,"&lt;="&amp;$B$4))</f>
        <v/>
      </c>
      <c r="E39" t="str">
        <f>IF(A39="","",COUNTIFS(Detalle_Pagos!$E$5:$E$2004,A39,Detalle_Pagos!$J$5:$J$2004,"No",Detalle_Pagos!$B$5:$B$2004,"&gt;="&amp;$B$3,Detalle_Pagos!$B$5:$B$2004,"&lt;="&amp;$B$4))</f>
        <v/>
      </c>
      <c r="F39" t="str">
        <f>IF(A39="","",COUNTIFS(Detalle_Pagos!$E$5:$E$2004,A39,Detalle_Pagos!$J$5:$J$2004,"Si",Detalle_Pagos!$B$5:$B$2004,"&gt;="&amp;$B$3,Detalle_Pagos!$B$5:$B$2004,"&lt;="&amp;$B$4))</f>
        <v/>
      </c>
      <c r="G39" s="29" t="str">
        <f>IF(A39="","",E39*IFERROR(INDEX(Trabajadores!$D$5:$D$204,MATCH(A39,Trabajadores!$B$5:$B$204,0)),0))</f>
        <v/>
      </c>
      <c r="H39" s="29" t="str">
        <f t="shared" si="0"/>
        <v/>
      </c>
      <c r="I39" s="29" t="str">
        <f t="shared" si="1"/>
        <v/>
      </c>
    </row>
    <row r="40" spans="1:9" x14ac:dyDescent="0.3">
      <c r="A40" t="str">
        <f>IF(Trabajadores!B37="","",Trabajadores!B37)</f>
        <v/>
      </c>
      <c r="B40" t="str">
        <f>IF(A40="","",COUNTIFS(Detalle_Pagos!$E$5:$E$2004,A40,Detalle_Pagos!$B$5:$B$2004,"&gt;="&amp;$B$3,Detalle_Pagos!$B$5:$B$2004,"&lt;="&amp;$B$4))</f>
        <v/>
      </c>
      <c r="C40" s="29" t="str">
        <f>IF(A40="","",SUMIFS(Detalle_Pagos!$I$5:$I$2004,Detalle_Pagos!$E$5:$E$2004,A40,Detalle_Pagos!$J$5:$J$2004,"Si",Detalle_Pagos!$B$5:$B$2004,"&gt;="&amp;$B$3,Detalle_Pagos!$B$5:$B$2004,"&lt;="&amp;$B$4))</f>
        <v/>
      </c>
      <c r="D40" s="29" t="str">
        <f>IF(A40="","",SUMIFS(Detalle_Pagos!$I$5:$I$2004,Detalle_Pagos!$E$5:$E$2004,A40,Detalle_Pagos!$J$5:$J$2004,"No",Detalle_Pagos!$B$5:$B$2004,"&gt;="&amp;$B$3,Detalle_Pagos!$B$5:$B$2004,"&lt;="&amp;$B$4))</f>
        <v/>
      </c>
      <c r="E40" t="str">
        <f>IF(A40="","",COUNTIFS(Detalle_Pagos!$E$5:$E$2004,A40,Detalle_Pagos!$J$5:$J$2004,"No",Detalle_Pagos!$B$5:$B$2004,"&gt;="&amp;$B$3,Detalle_Pagos!$B$5:$B$2004,"&lt;="&amp;$B$4))</f>
        <v/>
      </c>
      <c r="F40" t="str">
        <f>IF(A40="","",COUNTIFS(Detalle_Pagos!$E$5:$E$2004,A40,Detalle_Pagos!$J$5:$J$2004,"Si",Detalle_Pagos!$B$5:$B$2004,"&gt;="&amp;$B$3,Detalle_Pagos!$B$5:$B$2004,"&lt;="&amp;$B$4))</f>
        <v/>
      </c>
      <c r="G40" s="29" t="str">
        <f>IF(A40="","",E40*IFERROR(INDEX(Trabajadores!$D$5:$D$204,MATCH(A40,Trabajadores!$B$5:$B$204,0)),0))</f>
        <v/>
      </c>
      <c r="H40" s="29" t="str">
        <f t="shared" ref="H40:H71" si="2">IF(A40="","",D40+G40)</f>
        <v/>
      </c>
      <c r="I40" s="29" t="str">
        <f t="shared" ref="I40:I71" si="3">IF(A40="","",C40+D40)</f>
        <v/>
      </c>
    </row>
    <row r="41" spans="1:9" x14ac:dyDescent="0.3">
      <c r="A41" t="str">
        <f>IF(Trabajadores!B38="","",Trabajadores!B38)</f>
        <v/>
      </c>
      <c r="B41" t="str">
        <f>IF(A41="","",COUNTIFS(Detalle_Pagos!$E$5:$E$2004,A41,Detalle_Pagos!$B$5:$B$2004,"&gt;="&amp;$B$3,Detalle_Pagos!$B$5:$B$2004,"&lt;="&amp;$B$4))</f>
        <v/>
      </c>
      <c r="C41" s="29" t="str">
        <f>IF(A41="","",SUMIFS(Detalle_Pagos!$I$5:$I$2004,Detalle_Pagos!$E$5:$E$2004,A41,Detalle_Pagos!$J$5:$J$2004,"Si",Detalle_Pagos!$B$5:$B$2004,"&gt;="&amp;$B$3,Detalle_Pagos!$B$5:$B$2004,"&lt;="&amp;$B$4))</f>
        <v/>
      </c>
      <c r="D41" s="29" t="str">
        <f>IF(A41="","",SUMIFS(Detalle_Pagos!$I$5:$I$2004,Detalle_Pagos!$E$5:$E$2004,A41,Detalle_Pagos!$J$5:$J$2004,"No",Detalle_Pagos!$B$5:$B$2004,"&gt;="&amp;$B$3,Detalle_Pagos!$B$5:$B$2004,"&lt;="&amp;$B$4))</f>
        <v/>
      </c>
      <c r="E41" t="str">
        <f>IF(A41="","",COUNTIFS(Detalle_Pagos!$E$5:$E$2004,A41,Detalle_Pagos!$J$5:$J$2004,"No",Detalle_Pagos!$B$5:$B$2004,"&gt;="&amp;$B$3,Detalle_Pagos!$B$5:$B$2004,"&lt;="&amp;$B$4))</f>
        <v/>
      </c>
      <c r="F41" t="str">
        <f>IF(A41="","",COUNTIFS(Detalle_Pagos!$E$5:$E$2004,A41,Detalle_Pagos!$J$5:$J$2004,"Si",Detalle_Pagos!$B$5:$B$2004,"&gt;="&amp;$B$3,Detalle_Pagos!$B$5:$B$2004,"&lt;="&amp;$B$4))</f>
        <v/>
      </c>
      <c r="G41" s="29" t="str">
        <f>IF(A41="","",E41*IFERROR(INDEX(Trabajadores!$D$5:$D$204,MATCH(A41,Trabajadores!$B$5:$B$204,0)),0))</f>
        <v/>
      </c>
      <c r="H41" s="29" t="str">
        <f t="shared" si="2"/>
        <v/>
      </c>
      <c r="I41" s="29" t="str">
        <f t="shared" si="3"/>
        <v/>
      </c>
    </row>
    <row r="42" spans="1:9" x14ac:dyDescent="0.3">
      <c r="A42" t="str">
        <f>IF(Trabajadores!B39="","",Trabajadores!B39)</f>
        <v/>
      </c>
      <c r="B42" t="str">
        <f>IF(A42="","",COUNTIFS(Detalle_Pagos!$E$5:$E$2004,A42,Detalle_Pagos!$B$5:$B$2004,"&gt;="&amp;$B$3,Detalle_Pagos!$B$5:$B$2004,"&lt;="&amp;$B$4))</f>
        <v/>
      </c>
      <c r="C42" s="29" t="str">
        <f>IF(A42="","",SUMIFS(Detalle_Pagos!$I$5:$I$2004,Detalle_Pagos!$E$5:$E$2004,A42,Detalle_Pagos!$J$5:$J$2004,"Si",Detalle_Pagos!$B$5:$B$2004,"&gt;="&amp;$B$3,Detalle_Pagos!$B$5:$B$2004,"&lt;="&amp;$B$4))</f>
        <v/>
      </c>
      <c r="D42" s="29" t="str">
        <f>IF(A42="","",SUMIFS(Detalle_Pagos!$I$5:$I$2004,Detalle_Pagos!$E$5:$E$2004,A42,Detalle_Pagos!$J$5:$J$2004,"No",Detalle_Pagos!$B$5:$B$2004,"&gt;="&amp;$B$3,Detalle_Pagos!$B$5:$B$2004,"&lt;="&amp;$B$4))</f>
        <v/>
      </c>
      <c r="E42" t="str">
        <f>IF(A42="","",COUNTIFS(Detalle_Pagos!$E$5:$E$2004,A42,Detalle_Pagos!$J$5:$J$2004,"No",Detalle_Pagos!$B$5:$B$2004,"&gt;="&amp;$B$3,Detalle_Pagos!$B$5:$B$2004,"&lt;="&amp;$B$4))</f>
        <v/>
      </c>
      <c r="F42" t="str">
        <f>IF(A42="","",COUNTIFS(Detalle_Pagos!$E$5:$E$2004,A42,Detalle_Pagos!$J$5:$J$2004,"Si",Detalle_Pagos!$B$5:$B$2004,"&gt;="&amp;$B$3,Detalle_Pagos!$B$5:$B$2004,"&lt;="&amp;$B$4))</f>
        <v/>
      </c>
      <c r="G42" s="29" t="str">
        <f>IF(A42="","",E42*IFERROR(INDEX(Trabajadores!$D$5:$D$204,MATCH(A42,Trabajadores!$B$5:$B$204,0)),0))</f>
        <v/>
      </c>
      <c r="H42" s="29" t="str">
        <f t="shared" si="2"/>
        <v/>
      </c>
      <c r="I42" s="29" t="str">
        <f t="shared" si="3"/>
        <v/>
      </c>
    </row>
    <row r="43" spans="1:9" x14ac:dyDescent="0.3">
      <c r="A43" t="str">
        <f>IF(Trabajadores!B40="","",Trabajadores!B40)</f>
        <v/>
      </c>
      <c r="B43" t="str">
        <f>IF(A43="","",COUNTIFS(Detalle_Pagos!$E$5:$E$2004,A43,Detalle_Pagos!$B$5:$B$2004,"&gt;="&amp;$B$3,Detalle_Pagos!$B$5:$B$2004,"&lt;="&amp;$B$4))</f>
        <v/>
      </c>
      <c r="C43" s="29" t="str">
        <f>IF(A43="","",SUMIFS(Detalle_Pagos!$I$5:$I$2004,Detalle_Pagos!$E$5:$E$2004,A43,Detalle_Pagos!$J$5:$J$2004,"Si",Detalle_Pagos!$B$5:$B$2004,"&gt;="&amp;$B$3,Detalle_Pagos!$B$5:$B$2004,"&lt;="&amp;$B$4))</f>
        <v/>
      </c>
      <c r="D43" s="29" t="str">
        <f>IF(A43="","",SUMIFS(Detalle_Pagos!$I$5:$I$2004,Detalle_Pagos!$E$5:$E$2004,A43,Detalle_Pagos!$J$5:$J$2004,"No",Detalle_Pagos!$B$5:$B$2004,"&gt;="&amp;$B$3,Detalle_Pagos!$B$5:$B$2004,"&lt;="&amp;$B$4))</f>
        <v/>
      </c>
      <c r="E43" t="str">
        <f>IF(A43="","",COUNTIFS(Detalle_Pagos!$E$5:$E$2004,A43,Detalle_Pagos!$J$5:$J$2004,"No",Detalle_Pagos!$B$5:$B$2004,"&gt;="&amp;$B$3,Detalle_Pagos!$B$5:$B$2004,"&lt;="&amp;$B$4))</f>
        <v/>
      </c>
      <c r="F43" t="str">
        <f>IF(A43="","",COUNTIFS(Detalle_Pagos!$E$5:$E$2004,A43,Detalle_Pagos!$J$5:$J$2004,"Si",Detalle_Pagos!$B$5:$B$2004,"&gt;="&amp;$B$3,Detalle_Pagos!$B$5:$B$2004,"&lt;="&amp;$B$4))</f>
        <v/>
      </c>
      <c r="G43" s="29" t="str">
        <f>IF(A43="","",E43*IFERROR(INDEX(Trabajadores!$D$5:$D$204,MATCH(A43,Trabajadores!$B$5:$B$204,0)),0))</f>
        <v/>
      </c>
      <c r="H43" s="29" t="str">
        <f t="shared" si="2"/>
        <v/>
      </c>
      <c r="I43" s="29" t="str">
        <f t="shared" si="3"/>
        <v/>
      </c>
    </row>
    <row r="44" spans="1:9" x14ac:dyDescent="0.3">
      <c r="A44" t="str">
        <f>IF(Trabajadores!B41="","",Trabajadores!B41)</f>
        <v/>
      </c>
      <c r="B44" t="str">
        <f>IF(A44="","",COUNTIFS(Detalle_Pagos!$E$5:$E$2004,A44,Detalle_Pagos!$B$5:$B$2004,"&gt;="&amp;$B$3,Detalle_Pagos!$B$5:$B$2004,"&lt;="&amp;$B$4))</f>
        <v/>
      </c>
      <c r="C44" s="29" t="str">
        <f>IF(A44="","",SUMIFS(Detalle_Pagos!$I$5:$I$2004,Detalle_Pagos!$E$5:$E$2004,A44,Detalle_Pagos!$J$5:$J$2004,"Si",Detalle_Pagos!$B$5:$B$2004,"&gt;="&amp;$B$3,Detalle_Pagos!$B$5:$B$2004,"&lt;="&amp;$B$4))</f>
        <v/>
      </c>
      <c r="D44" s="29" t="str">
        <f>IF(A44="","",SUMIFS(Detalle_Pagos!$I$5:$I$2004,Detalle_Pagos!$E$5:$E$2004,A44,Detalle_Pagos!$J$5:$J$2004,"No",Detalle_Pagos!$B$5:$B$2004,"&gt;="&amp;$B$3,Detalle_Pagos!$B$5:$B$2004,"&lt;="&amp;$B$4))</f>
        <v/>
      </c>
      <c r="E44" t="str">
        <f>IF(A44="","",COUNTIFS(Detalle_Pagos!$E$5:$E$2004,A44,Detalle_Pagos!$J$5:$J$2004,"No",Detalle_Pagos!$B$5:$B$2004,"&gt;="&amp;$B$3,Detalle_Pagos!$B$5:$B$2004,"&lt;="&amp;$B$4))</f>
        <v/>
      </c>
      <c r="F44" t="str">
        <f>IF(A44="","",COUNTIFS(Detalle_Pagos!$E$5:$E$2004,A44,Detalle_Pagos!$J$5:$J$2004,"Si",Detalle_Pagos!$B$5:$B$2004,"&gt;="&amp;$B$3,Detalle_Pagos!$B$5:$B$2004,"&lt;="&amp;$B$4))</f>
        <v/>
      </c>
      <c r="G44" s="29" t="str">
        <f>IF(A44="","",E44*IFERROR(INDEX(Trabajadores!$D$5:$D$204,MATCH(A44,Trabajadores!$B$5:$B$204,0)),0))</f>
        <v/>
      </c>
      <c r="H44" s="29" t="str">
        <f t="shared" si="2"/>
        <v/>
      </c>
      <c r="I44" s="29" t="str">
        <f t="shared" si="3"/>
        <v/>
      </c>
    </row>
    <row r="45" spans="1:9" x14ac:dyDescent="0.3">
      <c r="A45" t="str">
        <f>IF(Trabajadores!B42="","",Trabajadores!B42)</f>
        <v/>
      </c>
      <c r="B45" t="str">
        <f>IF(A45="","",COUNTIFS(Detalle_Pagos!$E$5:$E$2004,A45,Detalle_Pagos!$B$5:$B$2004,"&gt;="&amp;$B$3,Detalle_Pagos!$B$5:$B$2004,"&lt;="&amp;$B$4))</f>
        <v/>
      </c>
      <c r="C45" s="29" t="str">
        <f>IF(A45="","",SUMIFS(Detalle_Pagos!$I$5:$I$2004,Detalle_Pagos!$E$5:$E$2004,A45,Detalle_Pagos!$J$5:$J$2004,"Si",Detalle_Pagos!$B$5:$B$2004,"&gt;="&amp;$B$3,Detalle_Pagos!$B$5:$B$2004,"&lt;="&amp;$B$4))</f>
        <v/>
      </c>
      <c r="D45" s="29" t="str">
        <f>IF(A45="","",SUMIFS(Detalle_Pagos!$I$5:$I$2004,Detalle_Pagos!$E$5:$E$2004,A45,Detalle_Pagos!$J$5:$J$2004,"No",Detalle_Pagos!$B$5:$B$2004,"&gt;="&amp;$B$3,Detalle_Pagos!$B$5:$B$2004,"&lt;="&amp;$B$4))</f>
        <v/>
      </c>
      <c r="E45" t="str">
        <f>IF(A45="","",COUNTIFS(Detalle_Pagos!$E$5:$E$2004,A45,Detalle_Pagos!$J$5:$J$2004,"No",Detalle_Pagos!$B$5:$B$2004,"&gt;="&amp;$B$3,Detalle_Pagos!$B$5:$B$2004,"&lt;="&amp;$B$4))</f>
        <v/>
      </c>
      <c r="F45" t="str">
        <f>IF(A45="","",COUNTIFS(Detalle_Pagos!$E$5:$E$2004,A45,Detalle_Pagos!$J$5:$J$2004,"Si",Detalle_Pagos!$B$5:$B$2004,"&gt;="&amp;$B$3,Detalle_Pagos!$B$5:$B$2004,"&lt;="&amp;$B$4))</f>
        <v/>
      </c>
      <c r="G45" s="29" t="str">
        <f>IF(A45="","",E45*IFERROR(INDEX(Trabajadores!$D$5:$D$204,MATCH(A45,Trabajadores!$B$5:$B$204,0)),0))</f>
        <v/>
      </c>
      <c r="H45" s="29" t="str">
        <f t="shared" si="2"/>
        <v/>
      </c>
      <c r="I45" s="29" t="str">
        <f t="shared" si="3"/>
        <v/>
      </c>
    </row>
    <row r="46" spans="1:9" x14ac:dyDescent="0.3">
      <c r="A46" t="str">
        <f>IF(Trabajadores!B43="","",Trabajadores!B43)</f>
        <v/>
      </c>
      <c r="B46" t="str">
        <f>IF(A46="","",COUNTIFS(Detalle_Pagos!$E$5:$E$2004,A46,Detalle_Pagos!$B$5:$B$2004,"&gt;="&amp;$B$3,Detalle_Pagos!$B$5:$B$2004,"&lt;="&amp;$B$4))</f>
        <v/>
      </c>
      <c r="C46" s="29" t="str">
        <f>IF(A46="","",SUMIFS(Detalle_Pagos!$I$5:$I$2004,Detalle_Pagos!$E$5:$E$2004,A46,Detalle_Pagos!$J$5:$J$2004,"Si",Detalle_Pagos!$B$5:$B$2004,"&gt;="&amp;$B$3,Detalle_Pagos!$B$5:$B$2004,"&lt;="&amp;$B$4))</f>
        <v/>
      </c>
      <c r="D46" s="29" t="str">
        <f>IF(A46="","",SUMIFS(Detalle_Pagos!$I$5:$I$2004,Detalle_Pagos!$E$5:$E$2004,A46,Detalle_Pagos!$J$5:$J$2004,"No",Detalle_Pagos!$B$5:$B$2004,"&gt;="&amp;$B$3,Detalle_Pagos!$B$5:$B$2004,"&lt;="&amp;$B$4))</f>
        <v/>
      </c>
      <c r="E46" t="str">
        <f>IF(A46="","",COUNTIFS(Detalle_Pagos!$E$5:$E$2004,A46,Detalle_Pagos!$J$5:$J$2004,"No",Detalle_Pagos!$B$5:$B$2004,"&gt;="&amp;$B$3,Detalle_Pagos!$B$5:$B$2004,"&lt;="&amp;$B$4))</f>
        <v/>
      </c>
      <c r="F46" t="str">
        <f>IF(A46="","",COUNTIFS(Detalle_Pagos!$E$5:$E$2004,A46,Detalle_Pagos!$J$5:$J$2004,"Si",Detalle_Pagos!$B$5:$B$2004,"&gt;="&amp;$B$3,Detalle_Pagos!$B$5:$B$2004,"&lt;="&amp;$B$4))</f>
        <v/>
      </c>
      <c r="G46" s="29" t="str">
        <f>IF(A46="","",E46*IFERROR(INDEX(Trabajadores!$D$5:$D$204,MATCH(A46,Trabajadores!$B$5:$B$204,0)),0))</f>
        <v/>
      </c>
      <c r="H46" s="29" t="str">
        <f t="shared" si="2"/>
        <v/>
      </c>
      <c r="I46" s="29" t="str">
        <f t="shared" si="3"/>
        <v/>
      </c>
    </row>
    <row r="47" spans="1:9" x14ac:dyDescent="0.3">
      <c r="A47" t="str">
        <f>IF(Trabajadores!B44="","",Trabajadores!B44)</f>
        <v/>
      </c>
      <c r="B47" t="str">
        <f>IF(A47="","",COUNTIFS(Detalle_Pagos!$E$5:$E$2004,A47,Detalle_Pagos!$B$5:$B$2004,"&gt;="&amp;$B$3,Detalle_Pagos!$B$5:$B$2004,"&lt;="&amp;$B$4))</f>
        <v/>
      </c>
      <c r="C47" s="29" t="str">
        <f>IF(A47="","",SUMIFS(Detalle_Pagos!$I$5:$I$2004,Detalle_Pagos!$E$5:$E$2004,A47,Detalle_Pagos!$J$5:$J$2004,"Si",Detalle_Pagos!$B$5:$B$2004,"&gt;="&amp;$B$3,Detalle_Pagos!$B$5:$B$2004,"&lt;="&amp;$B$4))</f>
        <v/>
      </c>
      <c r="D47" s="29" t="str">
        <f>IF(A47="","",SUMIFS(Detalle_Pagos!$I$5:$I$2004,Detalle_Pagos!$E$5:$E$2004,A47,Detalle_Pagos!$J$5:$J$2004,"No",Detalle_Pagos!$B$5:$B$2004,"&gt;="&amp;$B$3,Detalle_Pagos!$B$5:$B$2004,"&lt;="&amp;$B$4))</f>
        <v/>
      </c>
      <c r="E47" t="str">
        <f>IF(A47="","",COUNTIFS(Detalle_Pagos!$E$5:$E$2004,A47,Detalle_Pagos!$J$5:$J$2004,"No",Detalle_Pagos!$B$5:$B$2004,"&gt;="&amp;$B$3,Detalle_Pagos!$B$5:$B$2004,"&lt;="&amp;$B$4))</f>
        <v/>
      </c>
      <c r="F47" t="str">
        <f>IF(A47="","",COUNTIFS(Detalle_Pagos!$E$5:$E$2004,A47,Detalle_Pagos!$J$5:$J$2004,"Si",Detalle_Pagos!$B$5:$B$2004,"&gt;="&amp;$B$3,Detalle_Pagos!$B$5:$B$2004,"&lt;="&amp;$B$4))</f>
        <v/>
      </c>
      <c r="G47" s="29" t="str">
        <f>IF(A47="","",E47*IFERROR(INDEX(Trabajadores!$D$5:$D$204,MATCH(A47,Trabajadores!$B$5:$B$204,0)),0))</f>
        <v/>
      </c>
      <c r="H47" s="29" t="str">
        <f t="shared" si="2"/>
        <v/>
      </c>
      <c r="I47" s="29" t="str">
        <f t="shared" si="3"/>
        <v/>
      </c>
    </row>
    <row r="48" spans="1:9" x14ac:dyDescent="0.3">
      <c r="A48" t="str">
        <f>IF(Trabajadores!B45="","",Trabajadores!B45)</f>
        <v/>
      </c>
      <c r="B48" t="str">
        <f>IF(A48="","",COUNTIFS(Detalle_Pagos!$E$5:$E$2004,A48,Detalle_Pagos!$B$5:$B$2004,"&gt;="&amp;$B$3,Detalle_Pagos!$B$5:$B$2004,"&lt;="&amp;$B$4))</f>
        <v/>
      </c>
      <c r="C48" s="29" t="str">
        <f>IF(A48="","",SUMIFS(Detalle_Pagos!$I$5:$I$2004,Detalle_Pagos!$E$5:$E$2004,A48,Detalle_Pagos!$J$5:$J$2004,"Si",Detalle_Pagos!$B$5:$B$2004,"&gt;="&amp;$B$3,Detalle_Pagos!$B$5:$B$2004,"&lt;="&amp;$B$4))</f>
        <v/>
      </c>
      <c r="D48" s="29" t="str">
        <f>IF(A48="","",SUMIFS(Detalle_Pagos!$I$5:$I$2004,Detalle_Pagos!$E$5:$E$2004,A48,Detalle_Pagos!$J$5:$J$2004,"No",Detalle_Pagos!$B$5:$B$2004,"&gt;="&amp;$B$3,Detalle_Pagos!$B$5:$B$2004,"&lt;="&amp;$B$4))</f>
        <v/>
      </c>
      <c r="E48" t="str">
        <f>IF(A48="","",COUNTIFS(Detalle_Pagos!$E$5:$E$2004,A48,Detalle_Pagos!$J$5:$J$2004,"No",Detalle_Pagos!$B$5:$B$2004,"&gt;="&amp;$B$3,Detalle_Pagos!$B$5:$B$2004,"&lt;="&amp;$B$4))</f>
        <v/>
      </c>
      <c r="F48" t="str">
        <f>IF(A48="","",COUNTIFS(Detalle_Pagos!$E$5:$E$2004,A48,Detalle_Pagos!$J$5:$J$2004,"Si",Detalle_Pagos!$B$5:$B$2004,"&gt;="&amp;$B$3,Detalle_Pagos!$B$5:$B$2004,"&lt;="&amp;$B$4))</f>
        <v/>
      </c>
      <c r="G48" s="29" t="str">
        <f>IF(A48="","",E48*IFERROR(INDEX(Trabajadores!$D$5:$D$204,MATCH(A48,Trabajadores!$B$5:$B$204,0)),0))</f>
        <v/>
      </c>
      <c r="H48" s="29" t="str">
        <f t="shared" si="2"/>
        <v/>
      </c>
      <c r="I48" s="29" t="str">
        <f t="shared" si="3"/>
        <v/>
      </c>
    </row>
    <row r="49" spans="1:9" x14ac:dyDescent="0.3">
      <c r="A49" t="str">
        <f>IF(Trabajadores!B46="","",Trabajadores!B46)</f>
        <v/>
      </c>
      <c r="B49" t="str">
        <f>IF(A49="","",COUNTIFS(Detalle_Pagos!$E$5:$E$2004,A49,Detalle_Pagos!$B$5:$B$2004,"&gt;="&amp;$B$3,Detalle_Pagos!$B$5:$B$2004,"&lt;="&amp;$B$4))</f>
        <v/>
      </c>
      <c r="C49" s="29" t="str">
        <f>IF(A49="","",SUMIFS(Detalle_Pagos!$I$5:$I$2004,Detalle_Pagos!$E$5:$E$2004,A49,Detalle_Pagos!$J$5:$J$2004,"Si",Detalle_Pagos!$B$5:$B$2004,"&gt;="&amp;$B$3,Detalle_Pagos!$B$5:$B$2004,"&lt;="&amp;$B$4))</f>
        <v/>
      </c>
      <c r="D49" s="29" t="str">
        <f>IF(A49="","",SUMIFS(Detalle_Pagos!$I$5:$I$2004,Detalle_Pagos!$E$5:$E$2004,A49,Detalle_Pagos!$J$5:$J$2004,"No",Detalle_Pagos!$B$5:$B$2004,"&gt;="&amp;$B$3,Detalle_Pagos!$B$5:$B$2004,"&lt;="&amp;$B$4))</f>
        <v/>
      </c>
      <c r="E49" t="str">
        <f>IF(A49="","",COUNTIFS(Detalle_Pagos!$E$5:$E$2004,A49,Detalle_Pagos!$J$5:$J$2004,"No",Detalle_Pagos!$B$5:$B$2004,"&gt;="&amp;$B$3,Detalle_Pagos!$B$5:$B$2004,"&lt;="&amp;$B$4))</f>
        <v/>
      </c>
      <c r="F49" t="str">
        <f>IF(A49="","",COUNTIFS(Detalle_Pagos!$E$5:$E$2004,A49,Detalle_Pagos!$J$5:$J$2004,"Si",Detalle_Pagos!$B$5:$B$2004,"&gt;="&amp;$B$3,Detalle_Pagos!$B$5:$B$2004,"&lt;="&amp;$B$4))</f>
        <v/>
      </c>
      <c r="G49" s="29" t="str">
        <f>IF(A49="","",E49*IFERROR(INDEX(Trabajadores!$D$5:$D$204,MATCH(A49,Trabajadores!$B$5:$B$204,0)),0))</f>
        <v/>
      </c>
      <c r="H49" s="29" t="str">
        <f t="shared" si="2"/>
        <v/>
      </c>
      <c r="I49" s="29" t="str">
        <f t="shared" si="3"/>
        <v/>
      </c>
    </row>
    <row r="50" spans="1:9" x14ac:dyDescent="0.3">
      <c r="A50" t="str">
        <f>IF(Trabajadores!B47="","",Trabajadores!B47)</f>
        <v/>
      </c>
      <c r="B50" t="str">
        <f>IF(A50="","",COUNTIFS(Detalle_Pagos!$E$5:$E$2004,A50,Detalle_Pagos!$B$5:$B$2004,"&gt;="&amp;$B$3,Detalle_Pagos!$B$5:$B$2004,"&lt;="&amp;$B$4))</f>
        <v/>
      </c>
      <c r="C50" s="29" t="str">
        <f>IF(A50="","",SUMIFS(Detalle_Pagos!$I$5:$I$2004,Detalle_Pagos!$E$5:$E$2004,A50,Detalle_Pagos!$J$5:$J$2004,"Si",Detalle_Pagos!$B$5:$B$2004,"&gt;="&amp;$B$3,Detalle_Pagos!$B$5:$B$2004,"&lt;="&amp;$B$4))</f>
        <v/>
      </c>
      <c r="D50" s="29" t="str">
        <f>IF(A50="","",SUMIFS(Detalle_Pagos!$I$5:$I$2004,Detalle_Pagos!$E$5:$E$2004,A50,Detalle_Pagos!$J$5:$J$2004,"No",Detalle_Pagos!$B$5:$B$2004,"&gt;="&amp;$B$3,Detalle_Pagos!$B$5:$B$2004,"&lt;="&amp;$B$4))</f>
        <v/>
      </c>
      <c r="E50" t="str">
        <f>IF(A50="","",COUNTIFS(Detalle_Pagos!$E$5:$E$2004,A50,Detalle_Pagos!$J$5:$J$2004,"No",Detalle_Pagos!$B$5:$B$2004,"&gt;="&amp;$B$3,Detalle_Pagos!$B$5:$B$2004,"&lt;="&amp;$B$4))</f>
        <v/>
      </c>
      <c r="F50" t="str">
        <f>IF(A50="","",COUNTIFS(Detalle_Pagos!$E$5:$E$2004,A50,Detalle_Pagos!$J$5:$J$2004,"Si",Detalle_Pagos!$B$5:$B$2004,"&gt;="&amp;$B$3,Detalle_Pagos!$B$5:$B$2004,"&lt;="&amp;$B$4))</f>
        <v/>
      </c>
      <c r="G50" s="29" t="str">
        <f>IF(A50="","",E50*IFERROR(INDEX(Trabajadores!$D$5:$D$204,MATCH(A50,Trabajadores!$B$5:$B$204,0)),0))</f>
        <v/>
      </c>
      <c r="H50" s="29" t="str">
        <f t="shared" si="2"/>
        <v/>
      </c>
      <c r="I50" s="29" t="str">
        <f t="shared" si="3"/>
        <v/>
      </c>
    </row>
    <row r="51" spans="1:9" x14ac:dyDescent="0.3">
      <c r="A51" t="str">
        <f>IF(Trabajadores!B48="","",Trabajadores!B48)</f>
        <v/>
      </c>
      <c r="B51" t="str">
        <f>IF(A51="","",COUNTIFS(Detalle_Pagos!$E$5:$E$2004,A51,Detalle_Pagos!$B$5:$B$2004,"&gt;="&amp;$B$3,Detalle_Pagos!$B$5:$B$2004,"&lt;="&amp;$B$4))</f>
        <v/>
      </c>
      <c r="C51" s="29" t="str">
        <f>IF(A51="","",SUMIFS(Detalle_Pagos!$I$5:$I$2004,Detalle_Pagos!$E$5:$E$2004,A51,Detalle_Pagos!$J$5:$J$2004,"Si",Detalle_Pagos!$B$5:$B$2004,"&gt;="&amp;$B$3,Detalle_Pagos!$B$5:$B$2004,"&lt;="&amp;$B$4))</f>
        <v/>
      </c>
      <c r="D51" s="29" t="str">
        <f>IF(A51="","",SUMIFS(Detalle_Pagos!$I$5:$I$2004,Detalle_Pagos!$E$5:$E$2004,A51,Detalle_Pagos!$J$5:$J$2004,"No",Detalle_Pagos!$B$5:$B$2004,"&gt;="&amp;$B$3,Detalle_Pagos!$B$5:$B$2004,"&lt;="&amp;$B$4))</f>
        <v/>
      </c>
      <c r="E51" t="str">
        <f>IF(A51="","",COUNTIFS(Detalle_Pagos!$E$5:$E$2004,A51,Detalle_Pagos!$J$5:$J$2004,"No",Detalle_Pagos!$B$5:$B$2004,"&gt;="&amp;$B$3,Detalle_Pagos!$B$5:$B$2004,"&lt;="&amp;$B$4))</f>
        <v/>
      </c>
      <c r="F51" t="str">
        <f>IF(A51="","",COUNTIFS(Detalle_Pagos!$E$5:$E$2004,A51,Detalle_Pagos!$J$5:$J$2004,"Si",Detalle_Pagos!$B$5:$B$2004,"&gt;="&amp;$B$3,Detalle_Pagos!$B$5:$B$2004,"&lt;="&amp;$B$4))</f>
        <v/>
      </c>
      <c r="G51" s="29" t="str">
        <f>IF(A51="","",E51*IFERROR(INDEX(Trabajadores!$D$5:$D$204,MATCH(A51,Trabajadores!$B$5:$B$204,0)),0))</f>
        <v/>
      </c>
      <c r="H51" s="29" t="str">
        <f t="shared" si="2"/>
        <v/>
      </c>
      <c r="I51" s="29" t="str">
        <f t="shared" si="3"/>
        <v/>
      </c>
    </row>
    <row r="52" spans="1:9" x14ac:dyDescent="0.3">
      <c r="A52" t="str">
        <f>IF(Trabajadores!B49="","",Trabajadores!B49)</f>
        <v/>
      </c>
      <c r="B52" t="str">
        <f>IF(A52="","",COUNTIFS(Detalle_Pagos!$E$5:$E$2004,A52,Detalle_Pagos!$B$5:$B$2004,"&gt;="&amp;$B$3,Detalle_Pagos!$B$5:$B$2004,"&lt;="&amp;$B$4))</f>
        <v/>
      </c>
      <c r="C52" s="29" t="str">
        <f>IF(A52="","",SUMIFS(Detalle_Pagos!$I$5:$I$2004,Detalle_Pagos!$E$5:$E$2004,A52,Detalle_Pagos!$J$5:$J$2004,"Si",Detalle_Pagos!$B$5:$B$2004,"&gt;="&amp;$B$3,Detalle_Pagos!$B$5:$B$2004,"&lt;="&amp;$B$4))</f>
        <v/>
      </c>
      <c r="D52" s="29" t="str">
        <f>IF(A52="","",SUMIFS(Detalle_Pagos!$I$5:$I$2004,Detalle_Pagos!$E$5:$E$2004,A52,Detalle_Pagos!$J$5:$J$2004,"No",Detalle_Pagos!$B$5:$B$2004,"&gt;="&amp;$B$3,Detalle_Pagos!$B$5:$B$2004,"&lt;="&amp;$B$4))</f>
        <v/>
      </c>
      <c r="E52" t="str">
        <f>IF(A52="","",COUNTIFS(Detalle_Pagos!$E$5:$E$2004,A52,Detalle_Pagos!$J$5:$J$2004,"No",Detalle_Pagos!$B$5:$B$2004,"&gt;="&amp;$B$3,Detalle_Pagos!$B$5:$B$2004,"&lt;="&amp;$B$4))</f>
        <v/>
      </c>
      <c r="F52" t="str">
        <f>IF(A52="","",COUNTIFS(Detalle_Pagos!$E$5:$E$2004,A52,Detalle_Pagos!$J$5:$J$2004,"Si",Detalle_Pagos!$B$5:$B$2004,"&gt;="&amp;$B$3,Detalle_Pagos!$B$5:$B$2004,"&lt;="&amp;$B$4))</f>
        <v/>
      </c>
      <c r="G52" s="29" t="str">
        <f>IF(A52="","",E52*IFERROR(INDEX(Trabajadores!$D$5:$D$204,MATCH(A52,Trabajadores!$B$5:$B$204,0)),0))</f>
        <v/>
      </c>
      <c r="H52" s="29" t="str">
        <f t="shared" si="2"/>
        <v/>
      </c>
      <c r="I52" s="29" t="str">
        <f t="shared" si="3"/>
        <v/>
      </c>
    </row>
    <row r="53" spans="1:9" x14ac:dyDescent="0.3">
      <c r="A53" t="str">
        <f>IF(Trabajadores!B50="","",Trabajadores!B50)</f>
        <v/>
      </c>
      <c r="B53" t="str">
        <f>IF(A53="","",COUNTIFS(Detalle_Pagos!$E$5:$E$2004,A53,Detalle_Pagos!$B$5:$B$2004,"&gt;="&amp;$B$3,Detalle_Pagos!$B$5:$B$2004,"&lt;="&amp;$B$4))</f>
        <v/>
      </c>
      <c r="C53" s="29" t="str">
        <f>IF(A53="","",SUMIFS(Detalle_Pagos!$I$5:$I$2004,Detalle_Pagos!$E$5:$E$2004,A53,Detalle_Pagos!$J$5:$J$2004,"Si",Detalle_Pagos!$B$5:$B$2004,"&gt;="&amp;$B$3,Detalle_Pagos!$B$5:$B$2004,"&lt;="&amp;$B$4))</f>
        <v/>
      </c>
      <c r="D53" s="29" t="str">
        <f>IF(A53="","",SUMIFS(Detalle_Pagos!$I$5:$I$2004,Detalle_Pagos!$E$5:$E$2004,A53,Detalle_Pagos!$J$5:$J$2004,"No",Detalle_Pagos!$B$5:$B$2004,"&gt;="&amp;$B$3,Detalle_Pagos!$B$5:$B$2004,"&lt;="&amp;$B$4))</f>
        <v/>
      </c>
      <c r="E53" t="str">
        <f>IF(A53="","",COUNTIFS(Detalle_Pagos!$E$5:$E$2004,A53,Detalle_Pagos!$J$5:$J$2004,"No",Detalle_Pagos!$B$5:$B$2004,"&gt;="&amp;$B$3,Detalle_Pagos!$B$5:$B$2004,"&lt;="&amp;$B$4))</f>
        <v/>
      </c>
      <c r="F53" t="str">
        <f>IF(A53="","",COUNTIFS(Detalle_Pagos!$E$5:$E$2004,A53,Detalle_Pagos!$J$5:$J$2004,"Si",Detalle_Pagos!$B$5:$B$2004,"&gt;="&amp;$B$3,Detalle_Pagos!$B$5:$B$2004,"&lt;="&amp;$B$4))</f>
        <v/>
      </c>
      <c r="G53" s="29" t="str">
        <f>IF(A53="","",E53*IFERROR(INDEX(Trabajadores!$D$5:$D$204,MATCH(A53,Trabajadores!$B$5:$B$204,0)),0))</f>
        <v/>
      </c>
      <c r="H53" s="29" t="str">
        <f t="shared" si="2"/>
        <v/>
      </c>
      <c r="I53" s="29" t="str">
        <f t="shared" si="3"/>
        <v/>
      </c>
    </row>
    <row r="54" spans="1:9" x14ac:dyDescent="0.3">
      <c r="A54" t="str">
        <f>IF(Trabajadores!B51="","",Trabajadores!B51)</f>
        <v/>
      </c>
      <c r="B54" t="str">
        <f>IF(A54="","",COUNTIFS(Detalle_Pagos!$E$5:$E$2004,A54,Detalle_Pagos!$B$5:$B$2004,"&gt;="&amp;$B$3,Detalle_Pagos!$B$5:$B$2004,"&lt;="&amp;$B$4))</f>
        <v/>
      </c>
      <c r="C54" s="29" t="str">
        <f>IF(A54="","",SUMIFS(Detalle_Pagos!$I$5:$I$2004,Detalle_Pagos!$E$5:$E$2004,A54,Detalle_Pagos!$J$5:$J$2004,"Si",Detalle_Pagos!$B$5:$B$2004,"&gt;="&amp;$B$3,Detalle_Pagos!$B$5:$B$2004,"&lt;="&amp;$B$4))</f>
        <v/>
      </c>
      <c r="D54" s="29" t="str">
        <f>IF(A54="","",SUMIFS(Detalle_Pagos!$I$5:$I$2004,Detalle_Pagos!$E$5:$E$2004,A54,Detalle_Pagos!$J$5:$J$2004,"No",Detalle_Pagos!$B$5:$B$2004,"&gt;="&amp;$B$3,Detalle_Pagos!$B$5:$B$2004,"&lt;="&amp;$B$4))</f>
        <v/>
      </c>
      <c r="E54" t="str">
        <f>IF(A54="","",COUNTIFS(Detalle_Pagos!$E$5:$E$2004,A54,Detalle_Pagos!$J$5:$J$2004,"No",Detalle_Pagos!$B$5:$B$2004,"&gt;="&amp;$B$3,Detalle_Pagos!$B$5:$B$2004,"&lt;="&amp;$B$4))</f>
        <v/>
      </c>
      <c r="F54" t="str">
        <f>IF(A54="","",COUNTIFS(Detalle_Pagos!$E$5:$E$2004,A54,Detalle_Pagos!$J$5:$J$2004,"Si",Detalle_Pagos!$B$5:$B$2004,"&gt;="&amp;$B$3,Detalle_Pagos!$B$5:$B$2004,"&lt;="&amp;$B$4))</f>
        <v/>
      </c>
      <c r="G54" s="29" t="str">
        <f>IF(A54="","",E54*IFERROR(INDEX(Trabajadores!$D$5:$D$204,MATCH(A54,Trabajadores!$B$5:$B$204,0)),0))</f>
        <v/>
      </c>
      <c r="H54" s="29" t="str">
        <f t="shared" si="2"/>
        <v/>
      </c>
      <c r="I54" s="29" t="str">
        <f t="shared" si="3"/>
        <v/>
      </c>
    </row>
    <row r="55" spans="1:9" x14ac:dyDescent="0.3">
      <c r="A55" t="str">
        <f>IF(Trabajadores!B52="","",Trabajadores!B52)</f>
        <v/>
      </c>
      <c r="B55" t="str">
        <f>IF(A55="","",COUNTIFS(Detalle_Pagos!$E$5:$E$2004,A55,Detalle_Pagos!$B$5:$B$2004,"&gt;="&amp;$B$3,Detalle_Pagos!$B$5:$B$2004,"&lt;="&amp;$B$4))</f>
        <v/>
      </c>
      <c r="C55" s="29" t="str">
        <f>IF(A55="","",SUMIFS(Detalle_Pagos!$I$5:$I$2004,Detalle_Pagos!$E$5:$E$2004,A55,Detalle_Pagos!$J$5:$J$2004,"Si",Detalle_Pagos!$B$5:$B$2004,"&gt;="&amp;$B$3,Detalle_Pagos!$B$5:$B$2004,"&lt;="&amp;$B$4))</f>
        <v/>
      </c>
      <c r="D55" s="29" t="str">
        <f>IF(A55="","",SUMIFS(Detalle_Pagos!$I$5:$I$2004,Detalle_Pagos!$E$5:$E$2004,A55,Detalle_Pagos!$J$5:$J$2004,"No",Detalle_Pagos!$B$5:$B$2004,"&gt;="&amp;$B$3,Detalle_Pagos!$B$5:$B$2004,"&lt;="&amp;$B$4))</f>
        <v/>
      </c>
      <c r="E55" t="str">
        <f>IF(A55="","",COUNTIFS(Detalle_Pagos!$E$5:$E$2004,A55,Detalle_Pagos!$J$5:$J$2004,"No",Detalle_Pagos!$B$5:$B$2004,"&gt;="&amp;$B$3,Detalle_Pagos!$B$5:$B$2004,"&lt;="&amp;$B$4))</f>
        <v/>
      </c>
      <c r="F55" t="str">
        <f>IF(A55="","",COUNTIFS(Detalle_Pagos!$E$5:$E$2004,A55,Detalle_Pagos!$J$5:$J$2004,"Si",Detalle_Pagos!$B$5:$B$2004,"&gt;="&amp;$B$3,Detalle_Pagos!$B$5:$B$2004,"&lt;="&amp;$B$4))</f>
        <v/>
      </c>
      <c r="G55" s="29" t="str">
        <f>IF(A55="","",E55*IFERROR(INDEX(Trabajadores!$D$5:$D$204,MATCH(A55,Trabajadores!$B$5:$B$204,0)),0))</f>
        <v/>
      </c>
      <c r="H55" s="29" t="str">
        <f t="shared" si="2"/>
        <v/>
      </c>
      <c r="I55" s="29" t="str">
        <f t="shared" si="3"/>
        <v/>
      </c>
    </row>
    <row r="56" spans="1:9" x14ac:dyDescent="0.3">
      <c r="A56" t="str">
        <f>IF(Trabajadores!B53="","",Trabajadores!B53)</f>
        <v/>
      </c>
      <c r="B56" t="str">
        <f>IF(A56="","",COUNTIFS(Detalle_Pagos!$E$5:$E$2004,A56,Detalle_Pagos!$B$5:$B$2004,"&gt;="&amp;$B$3,Detalle_Pagos!$B$5:$B$2004,"&lt;="&amp;$B$4))</f>
        <v/>
      </c>
      <c r="C56" s="29" t="str">
        <f>IF(A56="","",SUMIFS(Detalle_Pagos!$I$5:$I$2004,Detalle_Pagos!$E$5:$E$2004,A56,Detalle_Pagos!$J$5:$J$2004,"Si",Detalle_Pagos!$B$5:$B$2004,"&gt;="&amp;$B$3,Detalle_Pagos!$B$5:$B$2004,"&lt;="&amp;$B$4))</f>
        <v/>
      </c>
      <c r="D56" s="29" t="str">
        <f>IF(A56="","",SUMIFS(Detalle_Pagos!$I$5:$I$2004,Detalle_Pagos!$E$5:$E$2004,A56,Detalle_Pagos!$J$5:$J$2004,"No",Detalle_Pagos!$B$5:$B$2004,"&gt;="&amp;$B$3,Detalle_Pagos!$B$5:$B$2004,"&lt;="&amp;$B$4))</f>
        <v/>
      </c>
      <c r="E56" t="str">
        <f>IF(A56="","",COUNTIFS(Detalle_Pagos!$E$5:$E$2004,A56,Detalle_Pagos!$J$5:$J$2004,"No",Detalle_Pagos!$B$5:$B$2004,"&gt;="&amp;$B$3,Detalle_Pagos!$B$5:$B$2004,"&lt;="&amp;$B$4))</f>
        <v/>
      </c>
      <c r="F56" t="str">
        <f>IF(A56="","",COUNTIFS(Detalle_Pagos!$E$5:$E$2004,A56,Detalle_Pagos!$J$5:$J$2004,"Si",Detalle_Pagos!$B$5:$B$2004,"&gt;="&amp;$B$3,Detalle_Pagos!$B$5:$B$2004,"&lt;="&amp;$B$4))</f>
        <v/>
      </c>
      <c r="G56" s="29" t="str">
        <f>IF(A56="","",E56*IFERROR(INDEX(Trabajadores!$D$5:$D$204,MATCH(A56,Trabajadores!$B$5:$B$204,0)),0))</f>
        <v/>
      </c>
      <c r="H56" s="29" t="str">
        <f t="shared" si="2"/>
        <v/>
      </c>
      <c r="I56" s="29" t="str">
        <f t="shared" si="3"/>
        <v/>
      </c>
    </row>
    <row r="57" spans="1:9" x14ac:dyDescent="0.3">
      <c r="A57" t="str">
        <f>IF(Trabajadores!B54="","",Trabajadores!B54)</f>
        <v/>
      </c>
      <c r="B57" t="str">
        <f>IF(A57="","",COUNTIFS(Detalle_Pagos!$E$5:$E$2004,A57,Detalle_Pagos!$B$5:$B$2004,"&gt;="&amp;$B$3,Detalle_Pagos!$B$5:$B$2004,"&lt;="&amp;$B$4))</f>
        <v/>
      </c>
      <c r="C57" s="29" t="str">
        <f>IF(A57="","",SUMIFS(Detalle_Pagos!$I$5:$I$2004,Detalle_Pagos!$E$5:$E$2004,A57,Detalle_Pagos!$J$5:$J$2004,"Si",Detalle_Pagos!$B$5:$B$2004,"&gt;="&amp;$B$3,Detalle_Pagos!$B$5:$B$2004,"&lt;="&amp;$B$4))</f>
        <v/>
      </c>
      <c r="D57" s="29" t="str">
        <f>IF(A57="","",SUMIFS(Detalle_Pagos!$I$5:$I$2004,Detalle_Pagos!$E$5:$E$2004,A57,Detalle_Pagos!$J$5:$J$2004,"No",Detalle_Pagos!$B$5:$B$2004,"&gt;="&amp;$B$3,Detalle_Pagos!$B$5:$B$2004,"&lt;="&amp;$B$4))</f>
        <v/>
      </c>
      <c r="E57" t="str">
        <f>IF(A57="","",COUNTIFS(Detalle_Pagos!$E$5:$E$2004,A57,Detalle_Pagos!$J$5:$J$2004,"No",Detalle_Pagos!$B$5:$B$2004,"&gt;="&amp;$B$3,Detalle_Pagos!$B$5:$B$2004,"&lt;="&amp;$B$4))</f>
        <v/>
      </c>
      <c r="F57" t="str">
        <f>IF(A57="","",COUNTIFS(Detalle_Pagos!$E$5:$E$2004,A57,Detalle_Pagos!$J$5:$J$2004,"Si",Detalle_Pagos!$B$5:$B$2004,"&gt;="&amp;$B$3,Detalle_Pagos!$B$5:$B$2004,"&lt;="&amp;$B$4))</f>
        <v/>
      </c>
      <c r="G57" s="29" t="str">
        <f>IF(A57="","",E57*IFERROR(INDEX(Trabajadores!$D$5:$D$204,MATCH(A57,Trabajadores!$B$5:$B$204,0)),0))</f>
        <v/>
      </c>
      <c r="H57" s="29" t="str">
        <f t="shared" si="2"/>
        <v/>
      </c>
      <c r="I57" s="29" t="str">
        <f t="shared" si="3"/>
        <v/>
      </c>
    </row>
    <row r="58" spans="1:9" x14ac:dyDescent="0.3">
      <c r="A58" t="str">
        <f>IF(Trabajadores!B55="","",Trabajadores!B55)</f>
        <v/>
      </c>
      <c r="B58" t="str">
        <f>IF(A58="","",COUNTIFS(Detalle_Pagos!$E$5:$E$2004,A58,Detalle_Pagos!$B$5:$B$2004,"&gt;="&amp;$B$3,Detalle_Pagos!$B$5:$B$2004,"&lt;="&amp;$B$4))</f>
        <v/>
      </c>
      <c r="C58" s="29" t="str">
        <f>IF(A58="","",SUMIFS(Detalle_Pagos!$I$5:$I$2004,Detalle_Pagos!$E$5:$E$2004,A58,Detalle_Pagos!$J$5:$J$2004,"Si",Detalle_Pagos!$B$5:$B$2004,"&gt;="&amp;$B$3,Detalle_Pagos!$B$5:$B$2004,"&lt;="&amp;$B$4))</f>
        <v/>
      </c>
      <c r="D58" s="29" t="str">
        <f>IF(A58="","",SUMIFS(Detalle_Pagos!$I$5:$I$2004,Detalle_Pagos!$E$5:$E$2004,A58,Detalle_Pagos!$J$5:$J$2004,"No",Detalle_Pagos!$B$5:$B$2004,"&gt;="&amp;$B$3,Detalle_Pagos!$B$5:$B$2004,"&lt;="&amp;$B$4))</f>
        <v/>
      </c>
      <c r="E58" t="str">
        <f>IF(A58="","",COUNTIFS(Detalle_Pagos!$E$5:$E$2004,A58,Detalle_Pagos!$J$5:$J$2004,"No",Detalle_Pagos!$B$5:$B$2004,"&gt;="&amp;$B$3,Detalle_Pagos!$B$5:$B$2004,"&lt;="&amp;$B$4))</f>
        <v/>
      </c>
      <c r="F58" t="str">
        <f>IF(A58="","",COUNTIFS(Detalle_Pagos!$E$5:$E$2004,A58,Detalle_Pagos!$J$5:$J$2004,"Si",Detalle_Pagos!$B$5:$B$2004,"&gt;="&amp;$B$3,Detalle_Pagos!$B$5:$B$2004,"&lt;="&amp;$B$4))</f>
        <v/>
      </c>
      <c r="G58" s="29" t="str">
        <f>IF(A58="","",E58*IFERROR(INDEX(Trabajadores!$D$5:$D$204,MATCH(A58,Trabajadores!$B$5:$B$204,0)),0))</f>
        <v/>
      </c>
      <c r="H58" s="29" t="str">
        <f t="shared" si="2"/>
        <v/>
      </c>
      <c r="I58" s="29" t="str">
        <f t="shared" si="3"/>
        <v/>
      </c>
    </row>
    <row r="59" spans="1:9" x14ac:dyDescent="0.3">
      <c r="A59" t="str">
        <f>IF(Trabajadores!B56="","",Trabajadores!B56)</f>
        <v/>
      </c>
      <c r="B59" t="str">
        <f>IF(A59="","",COUNTIFS(Detalle_Pagos!$E$5:$E$2004,A59,Detalle_Pagos!$B$5:$B$2004,"&gt;="&amp;$B$3,Detalle_Pagos!$B$5:$B$2004,"&lt;="&amp;$B$4))</f>
        <v/>
      </c>
      <c r="C59" s="29" t="str">
        <f>IF(A59="","",SUMIFS(Detalle_Pagos!$I$5:$I$2004,Detalle_Pagos!$E$5:$E$2004,A59,Detalle_Pagos!$J$5:$J$2004,"Si",Detalle_Pagos!$B$5:$B$2004,"&gt;="&amp;$B$3,Detalle_Pagos!$B$5:$B$2004,"&lt;="&amp;$B$4))</f>
        <v/>
      </c>
      <c r="D59" s="29" t="str">
        <f>IF(A59="","",SUMIFS(Detalle_Pagos!$I$5:$I$2004,Detalle_Pagos!$E$5:$E$2004,A59,Detalle_Pagos!$J$5:$J$2004,"No",Detalle_Pagos!$B$5:$B$2004,"&gt;="&amp;$B$3,Detalle_Pagos!$B$5:$B$2004,"&lt;="&amp;$B$4))</f>
        <v/>
      </c>
      <c r="E59" t="str">
        <f>IF(A59="","",COUNTIFS(Detalle_Pagos!$E$5:$E$2004,A59,Detalle_Pagos!$J$5:$J$2004,"No",Detalle_Pagos!$B$5:$B$2004,"&gt;="&amp;$B$3,Detalle_Pagos!$B$5:$B$2004,"&lt;="&amp;$B$4))</f>
        <v/>
      </c>
      <c r="F59" t="str">
        <f>IF(A59="","",COUNTIFS(Detalle_Pagos!$E$5:$E$2004,A59,Detalle_Pagos!$J$5:$J$2004,"Si",Detalle_Pagos!$B$5:$B$2004,"&gt;="&amp;$B$3,Detalle_Pagos!$B$5:$B$2004,"&lt;="&amp;$B$4))</f>
        <v/>
      </c>
      <c r="G59" s="29" t="str">
        <f>IF(A59="","",E59*IFERROR(INDEX(Trabajadores!$D$5:$D$204,MATCH(A59,Trabajadores!$B$5:$B$204,0)),0))</f>
        <v/>
      </c>
      <c r="H59" s="29" t="str">
        <f t="shared" si="2"/>
        <v/>
      </c>
      <c r="I59" s="29" t="str">
        <f t="shared" si="3"/>
        <v/>
      </c>
    </row>
    <row r="60" spans="1:9" x14ac:dyDescent="0.3">
      <c r="A60" t="str">
        <f>IF(Trabajadores!B57="","",Trabajadores!B57)</f>
        <v/>
      </c>
      <c r="B60" t="str">
        <f>IF(A60="","",COUNTIFS(Detalle_Pagos!$E$5:$E$2004,A60,Detalle_Pagos!$B$5:$B$2004,"&gt;="&amp;$B$3,Detalle_Pagos!$B$5:$B$2004,"&lt;="&amp;$B$4))</f>
        <v/>
      </c>
      <c r="C60" s="29" t="str">
        <f>IF(A60="","",SUMIFS(Detalle_Pagos!$I$5:$I$2004,Detalle_Pagos!$E$5:$E$2004,A60,Detalle_Pagos!$J$5:$J$2004,"Si",Detalle_Pagos!$B$5:$B$2004,"&gt;="&amp;$B$3,Detalle_Pagos!$B$5:$B$2004,"&lt;="&amp;$B$4))</f>
        <v/>
      </c>
      <c r="D60" s="29" t="str">
        <f>IF(A60="","",SUMIFS(Detalle_Pagos!$I$5:$I$2004,Detalle_Pagos!$E$5:$E$2004,A60,Detalle_Pagos!$J$5:$J$2004,"No",Detalle_Pagos!$B$5:$B$2004,"&gt;="&amp;$B$3,Detalle_Pagos!$B$5:$B$2004,"&lt;="&amp;$B$4))</f>
        <v/>
      </c>
      <c r="E60" t="str">
        <f>IF(A60="","",COUNTIFS(Detalle_Pagos!$E$5:$E$2004,A60,Detalle_Pagos!$J$5:$J$2004,"No",Detalle_Pagos!$B$5:$B$2004,"&gt;="&amp;$B$3,Detalle_Pagos!$B$5:$B$2004,"&lt;="&amp;$B$4))</f>
        <v/>
      </c>
      <c r="F60" t="str">
        <f>IF(A60="","",COUNTIFS(Detalle_Pagos!$E$5:$E$2004,A60,Detalle_Pagos!$J$5:$J$2004,"Si",Detalle_Pagos!$B$5:$B$2004,"&gt;="&amp;$B$3,Detalle_Pagos!$B$5:$B$2004,"&lt;="&amp;$B$4))</f>
        <v/>
      </c>
      <c r="G60" s="29" t="str">
        <f>IF(A60="","",E60*IFERROR(INDEX(Trabajadores!$D$5:$D$204,MATCH(A60,Trabajadores!$B$5:$B$204,0)),0))</f>
        <v/>
      </c>
      <c r="H60" s="29" t="str">
        <f t="shared" si="2"/>
        <v/>
      </c>
      <c r="I60" s="29" t="str">
        <f t="shared" si="3"/>
        <v/>
      </c>
    </row>
    <row r="61" spans="1:9" x14ac:dyDescent="0.3">
      <c r="A61" t="str">
        <f>IF(Trabajadores!B58="","",Trabajadores!B58)</f>
        <v/>
      </c>
      <c r="B61" t="str">
        <f>IF(A61="","",COUNTIFS(Detalle_Pagos!$E$5:$E$2004,A61,Detalle_Pagos!$B$5:$B$2004,"&gt;="&amp;$B$3,Detalle_Pagos!$B$5:$B$2004,"&lt;="&amp;$B$4))</f>
        <v/>
      </c>
      <c r="C61" s="29" t="str">
        <f>IF(A61="","",SUMIFS(Detalle_Pagos!$I$5:$I$2004,Detalle_Pagos!$E$5:$E$2004,A61,Detalle_Pagos!$J$5:$J$2004,"Si",Detalle_Pagos!$B$5:$B$2004,"&gt;="&amp;$B$3,Detalle_Pagos!$B$5:$B$2004,"&lt;="&amp;$B$4))</f>
        <v/>
      </c>
      <c r="D61" s="29" t="str">
        <f>IF(A61="","",SUMIFS(Detalle_Pagos!$I$5:$I$2004,Detalle_Pagos!$E$5:$E$2004,A61,Detalle_Pagos!$J$5:$J$2004,"No",Detalle_Pagos!$B$5:$B$2004,"&gt;="&amp;$B$3,Detalle_Pagos!$B$5:$B$2004,"&lt;="&amp;$B$4))</f>
        <v/>
      </c>
      <c r="E61" t="str">
        <f>IF(A61="","",COUNTIFS(Detalle_Pagos!$E$5:$E$2004,A61,Detalle_Pagos!$J$5:$J$2004,"No",Detalle_Pagos!$B$5:$B$2004,"&gt;="&amp;$B$3,Detalle_Pagos!$B$5:$B$2004,"&lt;="&amp;$B$4))</f>
        <v/>
      </c>
      <c r="F61" t="str">
        <f>IF(A61="","",COUNTIFS(Detalle_Pagos!$E$5:$E$2004,A61,Detalle_Pagos!$J$5:$J$2004,"Si",Detalle_Pagos!$B$5:$B$2004,"&gt;="&amp;$B$3,Detalle_Pagos!$B$5:$B$2004,"&lt;="&amp;$B$4))</f>
        <v/>
      </c>
      <c r="G61" s="29" t="str">
        <f>IF(A61="","",E61*IFERROR(INDEX(Trabajadores!$D$5:$D$204,MATCH(A61,Trabajadores!$B$5:$B$204,0)),0))</f>
        <v/>
      </c>
      <c r="H61" s="29" t="str">
        <f t="shared" si="2"/>
        <v/>
      </c>
      <c r="I61" s="29" t="str">
        <f t="shared" si="3"/>
        <v/>
      </c>
    </row>
    <row r="62" spans="1:9" x14ac:dyDescent="0.3">
      <c r="A62" t="str">
        <f>IF(Trabajadores!B59="","",Trabajadores!B59)</f>
        <v/>
      </c>
      <c r="B62" t="str">
        <f>IF(A62="","",COUNTIFS(Detalle_Pagos!$E$5:$E$2004,A62,Detalle_Pagos!$B$5:$B$2004,"&gt;="&amp;$B$3,Detalle_Pagos!$B$5:$B$2004,"&lt;="&amp;$B$4))</f>
        <v/>
      </c>
      <c r="C62" s="29" t="str">
        <f>IF(A62="","",SUMIFS(Detalle_Pagos!$I$5:$I$2004,Detalle_Pagos!$E$5:$E$2004,A62,Detalle_Pagos!$J$5:$J$2004,"Si",Detalle_Pagos!$B$5:$B$2004,"&gt;="&amp;$B$3,Detalle_Pagos!$B$5:$B$2004,"&lt;="&amp;$B$4))</f>
        <v/>
      </c>
      <c r="D62" s="29" t="str">
        <f>IF(A62="","",SUMIFS(Detalle_Pagos!$I$5:$I$2004,Detalle_Pagos!$E$5:$E$2004,A62,Detalle_Pagos!$J$5:$J$2004,"No",Detalle_Pagos!$B$5:$B$2004,"&gt;="&amp;$B$3,Detalle_Pagos!$B$5:$B$2004,"&lt;="&amp;$B$4))</f>
        <v/>
      </c>
      <c r="E62" t="str">
        <f>IF(A62="","",COUNTIFS(Detalle_Pagos!$E$5:$E$2004,A62,Detalle_Pagos!$J$5:$J$2004,"No",Detalle_Pagos!$B$5:$B$2004,"&gt;="&amp;$B$3,Detalle_Pagos!$B$5:$B$2004,"&lt;="&amp;$B$4))</f>
        <v/>
      </c>
      <c r="F62" t="str">
        <f>IF(A62="","",COUNTIFS(Detalle_Pagos!$E$5:$E$2004,A62,Detalle_Pagos!$J$5:$J$2004,"Si",Detalle_Pagos!$B$5:$B$2004,"&gt;="&amp;$B$3,Detalle_Pagos!$B$5:$B$2004,"&lt;="&amp;$B$4))</f>
        <v/>
      </c>
      <c r="G62" s="29" t="str">
        <f>IF(A62="","",E62*IFERROR(INDEX(Trabajadores!$D$5:$D$204,MATCH(A62,Trabajadores!$B$5:$B$204,0)),0))</f>
        <v/>
      </c>
      <c r="H62" s="29" t="str">
        <f t="shared" si="2"/>
        <v/>
      </c>
      <c r="I62" s="29" t="str">
        <f t="shared" si="3"/>
        <v/>
      </c>
    </row>
    <row r="63" spans="1:9" x14ac:dyDescent="0.3">
      <c r="A63" t="str">
        <f>IF(Trabajadores!B60="","",Trabajadores!B60)</f>
        <v/>
      </c>
      <c r="B63" t="str">
        <f>IF(A63="","",COUNTIFS(Detalle_Pagos!$E$5:$E$2004,A63,Detalle_Pagos!$B$5:$B$2004,"&gt;="&amp;$B$3,Detalle_Pagos!$B$5:$B$2004,"&lt;="&amp;$B$4))</f>
        <v/>
      </c>
      <c r="C63" s="29" t="str">
        <f>IF(A63="","",SUMIFS(Detalle_Pagos!$I$5:$I$2004,Detalle_Pagos!$E$5:$E$2004,A63,Detalle_Pagos!$J$5:$J$2004,"Si",Detalle_Pagos!$B$5:$B$2004,"&gt;="&amp;$B$3,Detalle_Pagos!$B$5:$B$2004,"&lt;="&amp;$B$4))</f>
        <v/>
      </c>
      <c r="D63" s="29" t="str">
        <f>IF(A63="","",SUMIFS(Detalle_Pagos!$I$5:$I$2004,Detalle_Pagos!$E$5:$E$2004,A63,Detalle_Pagos!$J$5:$J$2004,"No",Detalle_Pagos!$B$5:$B$2004,"&gt;="&amp;$B$3,Detalle_Pagos!$B$5:$B$2004,"&lt;="&amp;$B$4))</f>
        <v/>
      </c>
      <c r="E63" t="str">
        <f>IF(A63="","",COUNTIFS(Detalle_Pagos!$E$5:$E$2004,A63,Detalle_Pagos!$J$5:$J$2004,"No",Detalle_Pagos!$B$5:$B$2004,"&gt;="&amp;$B$3,Detalle_Pagos!$B$5:$B$2004,"&lt;="&amp;$B$4))</f>
        <v/>
      </c>
      <c r="F63" t="str">
        <f>IF(A63="","",COUNTIFS(Detalle_Pagos!$E$5:$E$2004,A63,Detalle_Pagos!$J$5:$J$2004,"Si",Detalle_Pagos!$B$5:$B$2004,"&gt;="&amp;$B$3,Detalle_Pagos!$B$5:$B$2004,"&lt;="&amp;$B$4))</f>
        <v/>
      </c>
      <c r="G63" s="29" t="str">
        <f>IF(A63="","",E63*IFERROR(INDEX(Trabajadores!$D$5:$D$204,MATCH(A63,Trabajadores!$B$5:$B$204,0)),0))</f>
        <v/>
      </c>
      <c r="H63" s="29" t="str">
        <f t="shared" si="2"/>
        <v/>
      </c>
      <c r="I63" s="29" t="str">
        <f t="shared" si="3"/>
        <v/>
      </c>
    </row>
    <row r="64" spans="1:9" x14ac:dyDescent="0.3">
      <c r="A64" t="str">
        <f>IF(Trabajadores!B61="","",Trabajadores!B61)</f>
        <v/>
      </c>
      <c r="B64" t="str">
        <f>IF(A64="","",COUNTIFS(Detalle_Pagos!$E$5:$E$2004,A64,Detalle_Pagos!$B$5:$B$2004,"&gt;="&amp;$B$3,Detalle_Pagos!$B$5:$B$2004,"&lt;="&amp;$B$4))</f>
        <v/>
      </c>
      <c r="C64" s="29" t="str">
        <f>IF(A64="","",SUMIFS(Detalle_Pagos!$I$5:$I$2004,Detalle_Pagos!$E$5:$E$2004,A64,Detalle_Pagos!$J$5:$J$2004,"Si",Detalle_Pagos!$B$5:$B$2004,"&gt;="&amp;$B$3,Detalle_Pagos!$B$5:$B$2004,"&lt;="&amp;$B$4))</f>
        <v/>
      </c>
      <c r="D64" s="29" t="str">
        <f>IF(A64="","",SUMIFS(Detalle_Pagos!$I$5:$I$2004,Detalle_Pagos!$E$5:$E$2004,A64,Detalle_Pagos!$J$5:$J$2004,"No",Detalle_Pagos!$B$5:$B$2004,"&gt;="&amp;$B$3,Detalle_Pagos!$B$5:$B$2004,"&lt;="&amp;$B$4))</f>
        <v/>
      </c>
      <c r="E64" t="str">
        <f>IF(A64="","",COUNTIFS(Detalle_Pagos!$E$5:$E$2004,A64,Detalle_Pagos!$J$5:$J$2004,"No",Detalle_Pagos!$B$5:$B$2004,"&gt;="&amp;$B$3,Detalle_Pagos!$B$5:$B$2004,"&lt;="&amp;$B$4))</f>
        <v/>
      </c>
      <c r="F64" t="str">
        <f>IF(A64="","",COUNTIFS(Detalle_Pagos!$E$5:$E$2004,A64,Detalle_Pagos!$J$5:$J$2004,"Si",Detalle_Pagos!$B$5:$B$2004,"&gt;="&amp;$B$3,Detalle_Pagos!$B$5:$B$2004,"&lt;="&amp;$B$4))</f>
        <v/>
      </c>
      <c r="G64" s="29" t="str">
        <f>IF(A64="","",E64*IFERROR(INDEX(Trabajadores!$D$5:$D$204,MATCH(A64,Trabajadores!$B$5:$B$204,0)),0))</f>
        <v/>
      </c>
      <c r="H64" s="29" t="str">
        <f t="shared" si="2"/>
        <v/>
      </c>
      <c r="I64" s="29" t="str">
        <f t="shared" si="3"/>
        <v/>
      </c>
    </row>
    <row r="65" spans="1:9" x14ac:dyDescent="0.3">
      <c r="A65" t="str">
        <f>IF(Trabajadores!B62="","",Trabajadores!B62)</f>
        <v/>
      </c>
      <c r="B65" t="str">
        <f>IF(A65="","",COUNTIFS(Detalle_Pagos!$E$5:$E$2004,A65,Detalle_Pagos!$B$5:$B$2004,"&gt;="&amp;$B$3,Detalle_Pagos!$B$5:$B$2004,"&lt;="&amp;$B$4))</f>
        <v/>
      </c>
      <c r="C65" s="29" t="str">
        <f>IF(A65="","",SUMIFS(Detalle_Pagos!$I$5:$I$2004,Detalle_Pagos!$E$5:$E$2004,A65,Detalle_Pagos!$J$5:$J$2004,"Si",Detalle_Pagos!$B$5:$B$2004,"&gt;="&amp;$B$3,Detalle_Pagos!$B$5:$B$2004,"&lt;="&amp;$B$4))</f>
        <v/>
      </c>
      <c r="D65" s="29" t="str">
        <f>IF(A65="","",SUMIFS(Detalle_Pagos!$I$5:$I$2004,Detalle_Pagos!$E$5:$E$2004,A65,Detalle_Pagos!$J$5:$J$2004,"No",Detalle_Pagos!$B$5:$B$2004,"&gt;="&amp;$B$3,Detalle_Pagos!$B$5:$B$2004,"&lt;="&amp;$B$4))</f>
        <v/>
      </c>
      <c r="E65" t="str">
        <f>IF(A65="","",COUNTIFS(Detalle_Pagos!$E$5:$E$2004,A65,Detalle_Pagos!$J$5:$J$2004,"No",Detalle_Pagos!$B$5:$B$2004,"&gt;="&amp;$B$3,Detalle_Pagos!$B$5:$B$2004,"&lt;="&amp;$B$4))</f>
        <v/>
      </c>
      <c r="F65" t="str">
        <f>IF(A65="","",COUNTIFS(Detalle_Pagos!$E$5:$E$2004,A65,Detalle_Pagos!$J$5:$J$2004,"Si",Detalle_Pagos!$B$5:$B$2004,"&gt;="&amp;$B$3,Detalle_Pagos!$B$5:$B$2004,"&lt;="&amp;$B$4))</f>
        <v/>
      </c>
      <c r="G65" s="29" t="str">
        <f>IF(A65="","",E65*IFERROR(INDEX(Trabajadores!$D$5:$D$204,MATCH(A65,Trabajadores!$B$5:$B$204,0)),0))</f>
        <v/>
      </c>
      <c r="H65" s="29" t="str">
        <f t="shared" si="2"/>
        <v/>
      </c>
      <c r="I65" s="29" t="str">
        <f t="shared" si="3"/>
        <v/>
      </c>
    </row>
    <row r="66" spans="1:9" x14ac:dyDescent="0.3">
      <c r="A66" t="str">
        <f>IF(Trabajadores!B63="","",Trabajadores!B63)</f>
        <v/>
      </c>
      <c r="B66" t="str">
        <f>IF(A66="","",COUNTIFS(Detalle_Pagos!$E$5:$E$2004,A66,Detalle_Pagos!$B$5:$B$2004,"&gt;="&amp;$B$3,Detalle_Pagos!$B$5:$B$2004,"&lt;="&amp;$B$4))</f>
        <v/>
      </c>
      <c r="C66" s="29" t="str">
        <f>IF(A66="","",SUMIFS(Detalle_Pagos!$I$5:$I$2004,Detalle_Pagos!$E$5:$E$2004,A66,Detalle_Pagos!$J$5:$J$2004,"Si",Detalle_Pagos!$B$5:$B$2004,"&gt;="&amp;$B$3,Detalle_Pagos!$B$5:$B$2004,"&lt;="&amp;$B$4))</f>
        <v/>
      </c>
      <c r="D66" s="29" t="str">
        <f>IF(A66="","",SUMIFS(Detalle_Pagos!$I$5:$I$2004,Detalle_Pagos!$E$5:$E$2004,A66,Detalle_Pagos!$J$5:$J$2004,"No",Detalle_Pagos!$B$5:$B$2004,"&gt;="&amp;$B$3,Detalle_Pagos!$B$5:$B$2004,"&lt;="&amp;$B$4))</f>
        <v/>
      </c>
      <c r="E66" t="str">
        <f>IF(A66="","",COUNTIFS(Detalle_Pagos!$E$5:$E$2004,A66,Detalle_Pagos!$J$5:$J$2004,"No",Detalle_Pagos!$B$5:$B$2004,"&gt;="&amp;$B$3,Detalle_Pagos!$B$5:$B$2004,"&lt;="&amp;$B$4))</f>
        <v/>
      </c>
      <c r="F66" t="str">
        <f>IF(A66="","",COUNTIFS(Detalle_Pagos!$E$5:$E$2004,A66,Detalle_Pagos!$J$5:$J$2004,"Si",Detalle_Pagos!$B$5:$B$2004,"&gt;="&amp;$B$3,Detalle_Pagos!$B$5:$B$2004,"&lt;="&amp;$B$4))</f>
        <v/>
      </c>
      <c r="G66" s="29" t="str">
        <f>IF(A66="","",E66*IFERROR(INDEX(Trabajadores!$D$5:$D$204,MATCH(A66,Trabajadores!$B$5:$B$204,0)),0))</f>
        <v/>
      </c>
      <c r="H66" s="29" t="str">
        <f t="shared" si="2"/>
        <v/>
      </c>
      <c r="I66" s="29" t="str">
        <f t="shared" si="3"/>
        <v/>
      </c>
    </row>
    <row r="67" spans="1:9" x14ac:dyDescent="0.3">
      <c r="A67" t="str">
        <f>IF(Trabajadores!B64="","",Trabajadores!B64)</f>
        <v/>
      </c>
      <c r="B67" t="str">
        <f>IF(A67="","",COUNTIFS(Detalle_Pagos!$E$5:$E$2004,A67,Detalle_Pagos!$B$5:$B$2004,"&gt;="&amp;$B$3,Detalle_Pagos!$B$5:$B$2004,"&lt;="&amp;$B$4))</f>
        <v/>
      </c>
      <c r="C67" s="29" t="str">
        <f>IF(A67="","",SUMIFS(Detalle_Pagos!$I$5:$I$2004,Detalle_Pagos!$E$5:$E$2004,A67,Detalle_Pagos!$J$5:$J$2004,"Si",Detalle_Pagos!$B$5:$B$2004,"&gt;="&amp;$B$3,Detalle_Pagos!$B$5:$B$2004,"&lt;="&amp;$B$4))</f>
        <v/>
      </c>
      <c r="D67" s="29" t="str">
        <f>IF(A67="","",SUMIFS(Detalle_Pagos!$I$5:$I$2004,Detalle_Pagos!$E$5:$E$2004,A67,Detalle_Pagos!$J$5:$J$2004,"No",Detalle_Pagos!$B$5:$B$2004,"&gt;="&amp;$B$3,Detalle_Pagos!$B$5:$B$2004,"&lt;="&amp;$B$4))</f>
        <v/>
      </c>
      <c r="E67" t="str">
        <f>IF(A67="","",COUNTIFS(Detalle_Pagos!$E$5:$E$2004,A67,Detalle_Pagos!$J$5:$J$2004,"No",Detalle_Pagos!$B$5:$B$2004,"&gt;="&amp;$B$3,Detalle_Pagos!$B$5:$B$2004,"&lt;="&amp;$B$4))</f>
        <v/>
      </c>
      <c r="F67" t="str">
        <f>IF(A67="","",COUNTIFS(Detalle_Pagos!$E$5:$E$2004,A67,Detalle_Pagos!$J$5:$J$2004,"Si",Detalle_Pagos!$B$5:$B$2004,"&gt;="&amp;$B$3,Detalle_Pagos!$B$5:$B$2004,"&lt;="&amp;$B$4))</f>
        <v/>
      </c>
      <c r="G67" s="29" t="str">
        <f>IF(A67="","",E67*IFERROR(INDEX(Trabajadores!$D$5:$D$204,MATCH(A67,Trabajadores!$B$5:$B$204,0)),0))</f>
        <v/>
      </c>
      <c r="H67" s="29" t="str">
        <f t="shared" si="2"/>
        <v/>
      </c>
      <c r="I67" s="29" t="str">
        <f t="shared" si="3"/>
        <v/>
      </c>
    </row>
    <row r="68" spans="1:9" x14ac:dyDescent="0.3">
      <c r="A68" t="str">
        <f>IF(Trabajadores!B65="","",Trabajadores!B65)</f>
        <v/>
      </c>
      <c r="B68" t="str">
        <f>IF(A68="","",COUNTIFS(Detalle_Pagos!$E$5:$E$2004,A68,Detalle_Pagos!$B$5:$B$2004,"&gt;="&amp;$B$3,Detalle_Pagos!$B$5:$B$2004,"&lt;="&amp;$B$4))</f>
        <v/>
      </c>
      <c r="C68" s="29" t="str">
        <f>IF(A68="","",SUMIFS(Detalle_Pagos!$I$5:$I$2004,Detalle_Pagos!$E$5:$E$2004,A68,Detalle_Pagos!$J$5:$J$2004,"Si",Detalle_Pagos!$B$5:$B$2004,"&gt;="&amp;$B$3,Detalle_Pagos!$B$5:$B$2004,"&lt;="&amp;$B$4))</f>
        <v/>
      </c>
      <c r="D68" s="29" t="str">
        <f>IF(A68="","",SUMIFS(Detalle_Pagos!$I$5:$I$2004,Detalle_Pagos!$E$5:$E$2004,A68,Detalle_Pagos!$J$5:$J$2004,"No",Detalle_Pagos!$B$5:$B$2004,"&gt;="&amp;$B$3,Detalle_Pagos!$B$5:$B$2004,"&lt;="&amp;$B$4))</f>
        <v/>
      </c>
      <c r="E68" t="str">
        <f>IF(A68="","",COUNTIFS(Detalle_Pagos!$E$5:$E$2004,A68,Detalle_Pagos!$J$5:$J$2004,"No",Detalle_Pagos!$B$5:$B$2004,"&gt;="&amp;$B$3,Detalle_Pagos!$B$5:$B$2004,"&lt;="&amp;$B$4))</f>
        <v/>
      </c>
      <c r="F68" t="str">
        <f>IF(A68="","",COUNTIFS(Detalle_Pagos!$E$5:$E$2004,A68,Detalle_Pagos!$J$5:$J$2004,"Si",Detalle_Pagos!$B$5:$B$2004,"&gt;="&amp;$B$3,Detalle_Pagos!$B$5:$B$2004,"&lt;="&amp;$B$4))</f>
        <v/>
      </c>
      <c r="G68" s="29" t="str">
        <f>IF(A68="","",E68*IFERROR(INDEX(Trabajadores!$D$5:$D$204,MATCH(A68,Trabajadores!$B$5:$B$204,0)),0))</f>
        <v/>
      </c>
      <c r="H68" s="29" t="str">
        <f t="shared" si="2"/>
        <v/>
      </c>
      <c r="I68" s="29" t="str">
        <f t="shared" si="3"/>
        <v/>
      </c>
    </row>
    <row r="69" spans="1:9" x14ac:dyDescent="0.3">
      <c r="A69" t="str">
        <f>IF(Trabajadores!B66="","",Trabajadores!B66)</f>
        <v/>
      </c>
      <c r="B69" t="str">
        <f>IF(A69="","",COUNTIFS(Detalle_Pagos!$E$5:$E$2004,A69,Detalle_Pagos!$B$5:$B$2004,"&gt;="&amp;$B$3,Detalle_Pagos!$B$5:$B$2004,"&lt;="&amp;$B$4))</f>
        <v/>
      </c>
      <c r="C69" s="29" t="str">
        <f>IF(A69="","",SUMIFS(Detalle_Pagos!$I$5:$I$2004,Detalle_Pagos!$E$5:$E$2004,A69,Detalle_Pagos!$J$5:$J$2004,"Si",Detalle_Pagos!$B$5:$B$2004,"&gt;="&amp;$B$3,Detalle_Pagos!$B$5:$B$2004,"&lt;="&amp;$B$4))</f>
        <v/>
      </c>
      <c r="D69" s="29" t="str">
        <f>IF(A69="","",SUMIFS(Detalle_Pagos!$I$5:$I$2004,Detalle_Pagos!$E$5:$E$2004,A69,Detalle_Pagos!$J$5:$J$2004,"No",Detalle_Pagos!$B$5:$B$2004,"&gt;="&amp;$B$3,Detalle_Pagos!$B$5:$B$2004,"&lt;="&amp;$B$4))</f>
        <v/>
      </c>
      <c r="E69" t="str">
        <f>IF(A69="","",COUNTIFS(Detalle_Pagos!$E$5:$E$2004,A69,Detalle_Pagos!$J$5:$J$2004,"No",Detalle_Pagos!$B$5:$B$2004,"&gt;="&amp;$B$3,Detalle_Pagos!$B$5:$B$2004,"&lt;="&amp;$B$4))</f>
        <v/>
      </c>
      <c r="F69" t="str">
        <f>IF(A69="","",COUNTIFS(Detalle_Pagos!$E$5:$E$2004,A69,Detalle_Pagos!$J$5:$J$2004,"Si",Detalle_Pagos!$B$5:$B$2004,"&gt;="&amp;$B$3,Detalle_Pagos!$B$5:$B$2004,"&lt;="&amp;$B$4))</f>
        <v/>
      </c>
      <c r="G69" s="29" t="str">
        <f>IF(A69="","",E69*IFERROR(INDEX(Trabajadores!$D$5:$D$204,MATCH(A69,Trabajadores!$B$5:$B$204,0)),0))</f>
        <v/>
      </c>
      <c r="H69" s="29" t="str">
        <f t="shared" si="2"/>
        <v/>
      </c>
      <c r="I69" s="29" t="str">
        <f t="shared" si="3"/>
        <v/>
      </c>
    </row>
    <row r="70" spans="1:9" x14ac:dyDescent="0.3">
      <c r="A70" t="str">
        <f>IF(Trabajadores!B67="","",Trabajadores!B67)</f>
        <v/>
      </c>
      <c r="B70" t="str">
        <f>IF(A70="","",COUNTIFS(Detalle_Pagos!$E$5:$E$2004,A70,Detalle_Pagos!$B$5:$B$2004,"&gt;="&amp;$B$3,Detalle_Pagos!$B$5:$B$2004,"&lt;="&amp;$B$4))</f>
        <v/>
      </c>
      <c r="C70" s="29" t="str">
        <f>IF(A70="","",SUMIFS(Detalle_Pagos!$I$5:$I$2004,Detalle_Pagos!$E$5:$E$2004,A70,Detalle_Pagos!$J$5:$J$2004,"Si",Detalle_Pagos!$B$5:$B$2004,"&gt;="&amp;$B$3,Detalle_Pagos!$B$5:$B$2004,"&lt;="&amp;$B$4))</f>
        <v/>
      </c>
      <c r="D70" s="29" t="str">
        <f>IF(A70="","",SUMIFS(Detalle_Pagos!$I$5:$I$2004,Detalle_Pagos!$E$5:$E$2004,A70,Detalle_Pagos!$J$5:$J$2004,"No",Detalle_Pagos!$B$5:$B$2004,"&gt;="&amp;$B$3,Detalle_Pagos!$B$5:$B$2004,"&lt;="&amp;$B$4))</f>
        <v/>
      </c>
      <c r="E70" t="str">
        <f>IF(A70="","",COUNTIFS(Detalle_Pagos!$E$5:$E$2004,A70,Detalle_Pagos!$J$5:$J$2004,"No",Detalle_Pagos!$B$5:$B$2004,"&gt;="&amp;$B$3,Detalle_Pagos!$B$5:$B$2004,"&lt;="&amp;$B$4))</f>
        <v/>
      </c>
      <c r="F70" t="str">
        <f>IF(A70="","",COUNTIFS(Detalle_Pagos!$E$5:$E$2004,A70,Detalle_Pagos!$J$5:$J$2004,"Si",Detalle_Pagos!$B$5:$B$2004,"&gt;="&amp;$B$3,Detalle_Pagos!$B$5:$B$2004,"&lt;="&amp;$B$4))</f>
        <v/>
      </c>
      <c r="G70" s="29" t="str">
        <f>IF(A70="","",E70*IFERROR(INDEX(Trabajadores!$D$5:$D$204,MATCH(A70,Trabajadores!$B$5:$B$204,0)),0))</f>
        <v/>
      </c>
      <c r="H70" s="29" t="str">
        <f t="shared" si="2"/>
        <v/>
      </c>
      <c r="I70" s="29" t="str">
        <f t="shared" si="3"/>
        <v/>
      </c>
    </row>
    <row r="71" spans="1:9" x14ac:dyDescent="0.3">
      <c r="A71" t="str">
        <f>IF(Trabajadores!B68="","",Trabajadores!B68)</f>
        <v/>
      </c>
      <c r="B71" t="str">
        <f>IF(A71="","",COUNTIFS(Detalle_Pagos!$E$5:$E$2004,A71,Detalle_Pagos!$B$5:$B$2004,"&gt;="&amp;$B$3,Detalle_Pagos!$B$5:$B$2004,"&lt;="&amp;$B$4))</f>
        <v/>
      </c>
      <c r="C71" s="29" t="str">
        <f>IF(A71="","",SUMIFS(Detalle_Pagos!$I$5:$I$2004,Detalle_Pagos!$E$5:$E$2004,A71,Detalle_Pagos!$J$5:$J$2004,"Si",Detalle_Pagos!$B$5:$B$2004,"&gt;="&amp;$B$3,Detalle_Pagos!$B$5:$B$2004,"&lt;="&amp;$B$4))</f>
        <v/>
      </c>
      <c r="D71" s="29" t="str">
        <f>IF(A71="","",SUMIFS(Detalle_Pagos!$I$5:$I$2004,Detalle_Pagos!$E$5:$E$2004,A71,Detalle_Pagos!$J$5:$J$2004,"No",Detalle_Pagos!$B$5:$B$2004,"&gt;="&amp;$B$3,Detalle_Pagos!$B$5:$B$2004,"&lt;="&amp;$B$4))</f>
        <v/>
      </c>
      <c r="E71" t="str">
        <f>IF(A71="","",COUNTIFS(Detalle_Pagos!$E$5:$E$2004,A71,Detalle_Pagos!$J$5:$J$2004,"No",Detalle_Pagos!$B$5:$B$2004,"&gt;="&amp;$B$3,Detalle_Pagos!$B$5:$B$2004,"&lt;="&amp;$B$4))</f>
        <v/>
      </c>
      <c r="F71" t="str">
        <f>IF(A71="","",COUNTIFS(Detalle_Pagos!$E$5:$E$2004,A71,Detalle_Pagos!$J$5:$J$2004,"Si",Detalle_Pagos!$B$5:$B$2004,"&gt;="&amp;$B$3,Detalle_Pagos!$B$5:$B$2004,"&lt;="&amp;$B$4))</f>
        <v/>
      </c>
      <c r="G71" s="29" t="str">
        <f>IF(A71="","",E71*IFERROR(INDEX(Trabajadores!$D$5:$D$204,MATCH(A71,Trabajadores!$B$5:$B$204,0)),0))</f>
        <v/>
      </c>
      <c r="H71" s="29" t="str">
        <f t="shared" si="2"/>
        <v/>
      </c>
      <c r="I71" s="29" t="str">
        <f t="shared" si="3"/>
        <v/>
      </c>
    </row>
    <row r="72" spans="1:9" x14ac:dyDescent="0.3">
      <c r="A72" t="str">
        <f>IF(Trabajadores!B69="","",Trabajadores!B69)</f>
        <v/>
      </c>
      <c r="B72" t="str">
        <f>IF(A72="","",COUNTIFS(Detalle_Pagos!$E$5:$E$2004,A72,Detalle_Pagos!$B$5:$B$2004,"&gt;="&amp;$B$3,Detalle_Pagos!$B$5:$B$2004,"&lt;="&amp;$B$4))</f>
        <v/>
      </c>
      <c r="C72" s="29" t="str">
        <f>IF(A72="","",SUMIFS(Detalle_Pagos!$I$5:$I$2004,Detalle_Pagos!$E$5:$E$2004,A72,Detalle_Pagos!$J$5:$J$2004,"Si",Detalle_Pagos!$B$5:$B$2004,"&gt;="&amp;$B$3,Detalle_Pagos!$B$5:$B$2004,"&lt;="&amp;$B$4))</f>
        <v/>
      </c>
      <c r="D72" s="29" t="str">
        <f>IF(A72="","",SUMIFS(Detalle_Pagos!$I$5:$I$2004,Detalle_Pagos!$E$5:$E$2004,A72,Detalle_Pagos!$J$5:$J$2004,"No",Detalle_Pagos!$B$5:$B$2004,"&gt;="&amp;$B$3,Detalle_Pagos!$B$5:$B$2004,"&lt;="&amp;$B$4))</f>
        <v/>
      </c>
      <c r="E72" t="str">
        <f>IF(A72="","",COUNTIFS(Detalle_Pagos!$E$5:$E$2004,A72,Detalle_Pagos!$J$5:$J$2004,"No",Detalle_Pagos!$B$5:$B$2004,"&gt;="&amp;$B$3,Detalle_Pagos!$B$5:$B$2004,"&lt;="&amp;$B$4))</f>
        <v/>
      </c>
      <c r="F72" t="str">
        <f>IF(A72="","",COUNTIFS(Detalle_Pagos!$E$5:$E$2004,A72,Detalle_Pagos!$J$5:$J$2004,"Si",Detalle_Pagos!$B$5:$B$2004,"&gt;="&amp;$B$3,Detalle_Pagos!$B$5:$B$2004,"&lt;="&amp;$B$4))</f>
        <v/>
      </c>
      <c r="G72" s="29" t="str">
        <f>IF(A72="","",E72*IFERROR(INDEX(Trabajadores!$D$5:$D$204,MATCH(A72,Trabajadores!$B$5:$B$204,0)),0))</f>
        <v/>
      </c>
      <c r="H72" s="29" t="str">
        <f t="shared" ref="H72:H103" si="4">IF(A72="","",D72+G72)</f>
        <v/>
      </c>
      <c r="I72" s="29" t="str">
        <f t="shared" ref="I72:I103" si="5">IF(A72="","",C72+D72)</f>
        <v/>
      </c>
    </row>
    <row r="73" spans="1:9" x14ac:dyDescent="0.3">
      <c r="A73" t="str">
        <f>IF(Trabajadores!B70="","",Trabajadores!B70)</f>
        <v/>
      </c>
      <c r="B73" t="str">
        <f>IF(A73="","",COUNTIFS(Detalle_Pagos!$E$5:$E$2004,A73,Detalle_Pagos!$B$5:$B$2004,"&gt;="&amp;$B$3,Detalle_Pagos!$B$5:$B$2004,"&lt;="&amp;$B$4))</f>
        <v/>
      </c>
      <c r="C73" s="29" t="str">
        <f>IF(A73="","",SUMIFS(Detalle_Pagos!$I$5:$I$2004,Detalle_Pagos!$E$5:$E$2004,A73,Detalle_Pagos!$J$5:$J$2004,"Si",Detalle_Pagos!$B$5:$B$2004,"&gt;="&amp;$B$3,Detalle_Pagos!$B$5:$B$2004,"&lt;="&amp;$B$4))</f>
        <v/>
      </c>
      <c r="D73" s="29" t="str">
        <f>IF(A73="","",SUMIFS(Detalle_Pagos!$I$5:$I$2004,Detalle_Pagos!$E$5:$E$2004,A73,Detalle_Pagos!$J$5:$J$2004,"No",Detalle_Pagos!$B$5:$B$2004,"&gt;="&amp;$B$3,Detalle_Pagos!$B$5:$B$2004,"&lt;="&amp;$B$4))</f>
        <v/>
      </c>
      <c r="E73" t="str">
        <f>IF(A73="","",COUNTIFS(Detalle_Pagos!$E$5:$E$2004,A73,Detalle_Pagos!$J$5:$J$2004,"No",Detalle_Pagos!$B$5:$B$2004,"&gt;="&amp;$B$3,Detalle_Pagos!$B$5:$B$2004,"&lt;="&amp;$B$4))</f>
        <v/>
      </c>
      <c r="F73" t="str">
        <f>IF(A73="","",COUNTIFS(Detalle_Pagos!$E$5:$E$2004,A73,Detalle_Pagos!$J$5:$J$2004,"Si",Detalle_Pagos!$B$5:$B$2004,"&gt;="&amp;$B$3,Detalle_Pagos!$B$5:$B$2004,"&lt;="&amp;$B$4))</f>
        <v/>
      </c>
      <c r="G73" s="29" t="str">
        <f>IF(A73="","",E73*IFERROR(INDEX(Trabajadores!$D$5:$D$204,MATCH(A73,Trabajadores!$B$5:$B$204,0)),0))</f>
        <v/>
      </c>
      <c r="H73" s="29" t="str">
        <f t="shared" si="4"/>
        <v/>
      </c>
      <c r="I73" s="29" t="str">
        <f t="shared" si="5"/>
        <v/>
      </c>
    </row>
    <row r="74" spans="1:9" x14ac:dyDescent="0.3">
      <c r="A74" t="str">
        <f>IF(Trabajadores!B71="","",Trabajadores!B71)</f>
        <v/>
      </c>
      <c r="B74" t="str">
        <f>IF(A74="","",COUNTIFS(Detalle_Pagos!$E$5:$E$2004,A74,Detalle_Pagos!$B$5:$B$2004,"&gt;="&amp;$B$3,Detalle_Pagos!$B$5:$B$2004,"&lt;="&amp;$B$4))</f>
        <v/>
      </c>
      <c r="C74" s="29" t="str">
        <f>IF(A74="","",SUMIFS(Detalle_Pagos!$I$5:$I$2004,Detalle_Pagos!$E$5:$E$2004,A74,Detalle_Pagos!$J$5:$J$2004,"Si",Detalle_Pagos!$B$5:$B$2004,"&gt;="&amp;$B$3,Detalle_Pagos!$B$5:$B$2004,"&lt;="&amp;$B$4))</f>
        <v/>
      </c>
      <c r="D74" s="29" t="str">
        <f>IF(A74="","",SUMIFS(Detalle_Pagos!$I$5:$I$2004,Detalle_Pagos!$E$5:$E$2004,A74,Detalle_Pagos!$J$5:$J$2004,"No",Detalle_Pagos!$B$5:$B$2004,"&gt;="&amp;$B$3,Detalle_Pagos!$B$5:$B$2004,"&lt;="&amp;$B$4))</f>
        <v/>
      </c>
      <c r="E74" t="str">
        <f>IF(A74="","",COUNTIFS(Detalle_Pagos!$E$5:$E$2004,A74,Detalle_Pagos!$J$5:$J$2004,"No",Detalle_Pagos!$B$5:$B$2004,"&gt;="&amp;$B$3,Detalle_Pagos!$B$5:$B$2004,"&lt;="&amp;$B$4))</f>
        <v/>
      </c>
      <c r="F74" t="str">
        <f>IF(A74="","",COUNTIFS(Detalle_Pagos!$E$5:$E$2004,A74,Detalle_Pagos!$J$5:$J$2004,"Si",Detalle_Pagos!$B$5:$B$2004,"&gt;="&amp;$B$3,Detalle_Pagos!$B$5:$B$2004,"&lt;="&amp;$B$4))</f>
        <v/>
      </c>
      <c r="G74" s="29" t="str">
        <f>IF(A74="","",E74*IFERROR(INDEX(Trabajadores!$D$5:$D$204,MATCH(A74,Trabajadores!$B$5:$B$204,0)),0))</f>
        <v/>
      </c>
      <c r="H74" s="29" t="str">
        <f t="shared" si="4"/>
        <v/>
      </c>
      <c r="I74" s="29" t="str">
        <f t="shared" si="5"/>
        <v/>
      </c>
    </row>
    <row r="75" spans="1:9" x14ac:dyDescent="0.3">
      <c r="A75" t="str">
        <f>IF(Trabajadores!B72="","",Trabajadores!B72)</f>
        <v/>
      </c>
      <c r="B75" t="str">
        <f>IF(A75="","",COUNTIFS(Detalle_Pagos!$E$5:$E$2004,A75,Detalle_Pagos!$B$5:$B$2004,"&gt;="&amp;$B$3,Detalle_Pagos!$B$5:$B$2004,"&lt;="&amp;$B$4))</f>
        <v/>
      </c>
      <c r="C75" s="29" t="str">
        <f>IF(A75="","",SUMIFS(Detalle_Pagos!$I$5:$I$2004,Detalle_Pagos!$E$5:$E$2004,A75,Detalle_Pagos!$J$5:$J$2004,"Si",Detalle_Pagos!$B$5:$B$2004,"&gt;="&amp;$B$3,Detalle_Pagos!$B$5:$B$2004,"&lt;="&amp;$B$4))</f>
        <v/>
      </c>
      <c r="D75" s="29" t="str">
        <f>IF(A75="","",SUMIFS(Detalle_Pagos!$I$5:$I$2004,Detalle_Pagos!$E$5:$E$2004,A75,Detalle_Pagos!$J$5:$J$2004,"No",Detalle_Pagos!$B$5:$B$2004,"&gt;="&amp;$B$3,Detalle_Pagos!$B$5:$B$2004,"&lt;="&amp;$B$4))</f>
        <v/>
      </c>
      <c r="E75" t="str">
        <f>IF(A75="","",COUNTIFS(Detalle_Pagos!$E$5:$E$2004,A75,Detalle_Pagos!$J$5:$J$2004,"No",Detalle_Pagos!$B$5:$B$2004,"&gt;="&amp;$B$3,Detalle_Pagos!$B$5:$B$2004,"&lt;="&amp;$B$4))</f>
        <v/>
      </c>
      <c r="F75" t="str">
        <f>IF(A75="","",COUNTIFS(Detalle_Pagos!$E$5:$E$2004,A75,Detalle_Pagos!$J$5:$J$2004,"Si",Detalle_Pagos!$B$5:$B$2004,"&gt;="&amp;$B$3,Detalle_Pagos!$B$5:$B$2004,"&lt;="&amp;$B$4))</f>
        <v/>
      </c>
      <c r="G75" s="29" t="str">
        <f>IF(A75="","",E75*IFERROR(INDEX(Trabajadores!$D$5:$D$204,MATCH(A75,Trabajadores!$B$5:$B$204,0)),0))</f>
        <v/>
      </c>
      <c r="H75" s="29" t="str">
        <f t="shared" si="4"/>
        <v/>
      </c>
      <c r="I75" s="29" t="str">
        <f t="shared" si="5"/>
        <v/>
      </c>
    </row>
    <row r="76" spans="1:9" x14ac:dyDescent="0.3">
      <c r="A76" t="str">
        <f>IF(Trabajadores!B73="","",Trabajadores!B73)</f>
        <v/>
      </c>
      <c r="B76" t="str">
        <f>IF(A76="","",COUNTIFS(Detalle_Pagos!$E$5:$E$2004,A76,Detalle_Pagos!$B$5:$B$2004,"&gt;="&amp;$B$3,Detalle_Pagos!$B$5:$B$2004,"&lt;="&amp;$B$4))</f>
        <v/>
      </c>
      <c r="C76" s="29" t="str">
        <f>IF(A76="","",SUMIFS(Detalle_Pagos!$I$5:$I$2004,Detalle_Pagos!$E$5:$E$2004,A76,Detalle_Pagos!$J$5:$J$2004,"Si",Detalle_Pagos!$B$5:$B$2004,"&gt;="&amp;$B$3,Detalle_Pagos!$B$5:$B$2004,"&lt;="&amp;$B$4))</f>
        <v/>
      </c>
      <c r="D76" s="29" t="str">
        <f>IF(A76="","",SUMIFS(Detalle_Pagos!$I$5:$I$2004,Detalle_Pagos!$E$5:$E$2004,A76,Detalle_Pagos!$J$5:$J$2004,"No",Detalle_Pagos!$B$5:$B$2004,"&gt;="&amp;$B$3,Detalle_Pagos!$B$5:$B$2004,"&lt;="&amp;$B$4))</f>
        <v/>
      </c>
      <c r="E76" t="str">
        <f>IF(A76="","",COUNTIFS(Detalle_Pagos!$E$5:$E$2004,A76,Detalle_Pagos!$J$5:$J$2004,"No",Detalle_Pagos!$B$5:$B$2004,"&gt;="&amp;$B$3,Detalle_Pagos!$B$5:$B$2004,"&lt;="&amp;$B$4))</f>
        <v/>
      </c>
      <c r="F76" t="str">
        <f>IF(A76="","",COUNTIFS(Detalle_Pagos!$E$5:$E$2004,A76,Detalle_Pagos!$J$5:$J$2004,"Si",Detalle_Pagos!$B$5:$B$2004,"&gt;="&amp;$B$3,Detalle_Pagos!$B$5:$B$2004,"&lt;="&amp;$B$4))</f>
        <v/>
      </c>
      <c r="G76" s="29" t="str">
        <f>IF(A76="","",E76*IFERROR(INDEX(Trabajadores!$D$5:$D$204,MATCH(A76,Trabajadores!$B$5:$B$204,0)),0))</f>
        <v/>
      </c>
      <c r="H76" s="29" t="str">
        <f t="shared" si="4"/>
        <v/>
      </c>
      <c r="I76" s="29" t="str">
        <f t="shared" si="5"/>
        <v/>
      </c>
    </row>
    <row r="77" spans="1:9" x14ac:dyDescent="0.3">
      <c r="A77" t="str">
        <f>IF(Trabajadores!B74="","",Trabajadores!B74)</f>
        <v/>
      </c>
      <c r="B77" t="str">
        <f>IF(A77="","",COUNTIFS(Detalle_Pagos!$E$5:$E$2004,A77,Detalle_Pagos!$B$5:$B$2004,"&gt;="&amp;$B$3,Detalle_Pagos!$B$5:$B$2004,"&lt;="&amp;$B$4))</f>
        <v/>
      </c>
      <c r="C77" s="29" t="str">
        <f>IF(A77="","",SUMIFS(Detalle_Pagos!$I$5:$I$2004,Detalle_Pagos!$E$5:$E$2004,A77,Detalle_Pagos!$J$5:$J$2004,"Si",Detalle_Pagos!$B$5:$B$2004,"&gt;="&amp;$B$3,Detalle_Pagos!$B$5:$B$2004,"&lt;="&amp;$B$4))</f>
        <v/>
      </c>
      <c r="D77" s="29" t="str">
        <f>IF(A77="","",SUMIFS(Detalle_Pagos!$I$5:$I$2004,Detalle_Pagos!$E$5:$E$2004,A77,Detalle_Pagos!$J$5:$J$2004,"No",Detalle_Pagos!$B$5:$B$2004,"&gt;="&amp;$B$3,Detalle_Pagos!$B$5:$B$2004,"&lt;="&amp;$B$4))</f>
        <v/>
      </c>
      <c r="E77" t="str">
        <f>IF(A77="","",COUNTIFS(Detalle_Pagos!$E$5:$E$2004,A77,Detalle_Pagos!$J$5:$J$2004,"No",Detalle_Pagos!$B$5:$B$2004,"&gt;="&amp;$B$3,Detalle_Pagos!$B$5:$B$2004,"&lt;="&amp;$B$4))</f>
        <v/>
      </c>
      <c r="F77" t="str">
        <f>IF(A77="","",COUNTIFS(Detalle_Pagos!$E$5:$E$2004,A77,Detalle_Pagos!$J$5:$J$2004,"Si",Detalle_Pagos!$B$5:$B$2004,"&gt;="&amp;$B$3,Detalle_Pagos!$B$5:$B$2004,"&lt;="&amp;$B$4))</f>
        <v/>
      </c>
      <c r="G77" s="29" t="str">
        <f>IF(A77="","",E77*IFERROR(INDEX(Trabajadores!$D$5:$D$204,MATCH(A77,Trabajadores!$B$5:$B$204,0)),0))</f>
        <v/>
      </c>
      <c r="H77" s="29" t="str">
        <f t="shared" si="4"/>
        <v/>
      </c>
      <c r="I77" s="29" t="str">
        <f t="shared" si="5"/>
        <v/>
      </c>
    </row>
    <row r="78" spans="1:9" x14ac:dyDescent="0.3">
      <c r="A78" t="str">
        <f>IF(Trabajadores!B75="","",Trabajadores!B75)</f>
        <v/>
      </c>
      <c r="B78" t="str">
        <f>IF(A78="","",COUNTIFS(Detalle_Pagos!$E$5:$E$2004,A78,Detalle_Pagos!$B$5:$B$2004,"&gt;="&amp;$B$3,Detalle_Pagos!$B$5:$B$2004,"&lt;="&amp;$B$4))</f>
        <v/>
      </c>
      <c r="C78" s="29" t="str">
        <f>IF(A78="","",SUMIFS(Detalle_Pagos!$I$5:$I$2004,Detalle_Pagos!$E$5:$E$2004,A78,Detalle_Pagos!$J$5:$J$2004,"Si",Detalle_Pagos!$B$5:$B$2004,"&gt;="&amp;$B$3,Detalle_Pagos!$B$5:$B$2004,"&lt;="&amp;$B$4))</f>
        <v/>
      </c>
      <c r="D78" s="29" t="str">
        <f>IF(A78="","",SUMIFS(Detalle_Pagos!$I$5:$I$2004,Detalle_Pagos!$E$5:$E$2004,A78,Detalle_Pagos!$J$5:$J$2004,"No",Detalle_Pagos!$B$5:$B$2004,"&gt;="&amp;$B$3,Detalle_Pagos!$B$5:$B$2004,"&lt;="&amp;$B$4))</f>
        <v/>
      </c>
      <c r="E78" t="str">
        <f>IF(A78="","",COUNTIFS(Detalle_Pagos!$E$5:$E$2004,A78,Detalle_Pagos!$J$5:$J$2004,"No",Detalle_Pagos!$B$5:$B$2004,"&gt;="&amp;$B$3,Detalle_Pagos!$B$5:$B$2004,"&lt;="&amp;$B$4))</f>
        <v/>
      </c>
      <c r="F78" t="str">
        <f>IF(A78="","",COUNTIFS(Detalle_Pagos!$E$5:$E$2004,A78,Detalle_Pagos!$J$5:$J$2004,"Si",Detalle_Pagos!$B$5:$B$2004,"&gt;="&amp;$B$3,Detalle_Pagos!$B$5:$B$2004,"&lt;="&amp;$B$4))</f>
        <v/>
      </c>
      <c r="G78" s="29" t="str">
        <f>IF(A78="","",E78*IFERROR(INDEX(Trabajadores!$D$5:$D$204,MATCH(A78,Trabajadores!$B$5:$B$204,0)),0))</f>
        <v/>
      </c>
      <c r="H78" s="29" t="str">
        <f t="shared" si="4"/>
        <v/>
      </c>
      <c r="I78" s="29" t="str">
        <f t="shared" si="5"/>
        <v/>
      </c>
    </row>
    <row r="79" spans="1:9" x14ac:dyDescent="0.3">
      <c r="A79" t="str">
        <f>IF(Trabajadores!B76="","",Trabajadores!B76)</f>
        <v/>
      </c>
      <c r="B79" t="str">
        <f>IF(A79="","",COUNTIFS(Detalle_Pagos!$E$5:$E$2004,A79,Detalle_Pagos!$B$5:$B$2004,"&gt;="&amp;$B$3,Detalle_Pagos!$B$5:$B$2004,"&lt;="&amp;$B$4))</f>
        <v/>
      </c>
      <c r="C79" s="29" t="str">
        <f>IF(A79="","",SUMIFS(Detalle_Pagos!$I$5:$I$2004,Detalle_Pagos!$E$5:$E$2004,A79,Detalle_Pagos!$J$5:$J$2004,"Si",Detalle_Pagos!$B$5:$B$2004,"&gt;="&amp;$B$3,Detalle_Pagos!$B$5:$B$2004,"&lt;="&amp;$B$4))</f>
        <v/>
      </c>
      <c r="D79" s="29" t="str">
        <f>IF(A79="","",SUMIFS(Detalle_Pagos!$I$5:$I$2004,Detalle_Pagos!$E$5:$E$2004,A79,Detalle_Pagos!$J$5:$J$2004,"No",Detalle_Pagos!$B$5:$B$2004,"&gt;="&amp;$B$3,Detalle_Pagos!$B$5:$B$2004,"&lt;="&amp;$B$4))</f>
        <v/>
      </c>
      <c r="E79" t="str">
        <f>IF(A79="","",COUNTIFS(Detalle_Pagos!$E$5:$E$2004,A79,Detalle_Pagos!$J$5:$J$2004,"No",Detalle_Pagos!$B$5:$B$2004,"&gt;="&amp;$B$3,Detalle_Pagos!$B$5:$B$2004,"&lt;="&amp;$B$4))</f>
        <v/>
      </c>
      <c r="F79" t="str">
        <f>IF(A79="","",COUNTIFS(Detalle_Pagos!$E$5:$E$2004,A79,Detalle_Pagos!$J$5:$J$2004,"Si",Detalle_Pagos!$B$5:$B$2004,"&gt;="&amp;$B$3,Detalle_Pagos!$B$5:$B$2004,"&lt;="&amp;$B$4))</f>
        <v/>
      </c>
      <c r="G79" s="29" t="str">
        <f>IF(A79="","",E79*IFERROR(INDEX(Trabajadores!$D$5:$D$204,MATCH(A79,Trabajadores!$B$5:$B$204,0)),0))</f>
        <v/>
      </c>
      <c r="H79" s="29" t="str">
        <f t="shared" si="4"/>
        <v/>
      </c>
      <c r="I79" s="29" t="str">
        <f t="shared" si="5"/>
        <v/>
      </c>
    </row>
    <row r="80" spans="1:9" x14ac:dyDescent="0.3">
      <c r="A80" t="str">
        <f>IF(Trabajadores!B77="","",Trabajadores!B77)</f>
        <v/>
      </c>
      <c r="B80" t="str">
        <f>IF(A80="","",COUNTIFS(Detalle_Pagos!$E$5:$E$2004,A80,Detalle_Pagos!$B$5:$B$2004,"&gt;="&amp;$B$3,Detalle_Pagos!$B$5:$B$2004,"&lt;="&amp;$B$4))</f>
        <v/>
      </c>
      <c r="C80" s="29" t="str">
        <f>IF(A80="","",SUMIFS(Detalle_Pagos!$I$5:$I$2004,Detalle_Pagos!$E$5:$E$2004,A80,Detalle_Pagos!$J$5:$J$2004,"Si",Detalle_Pagos!$B$5:$B$2004,"&gt;="&amp;$B$3,Detalle_Pagos!$B$5:$B$2004,"&lt;="&amp;$B$4))</f>
        <v/>
      </c>
      <c r="D80" s="29" t="str">
        <f>IF(A80="","",SUMIFS(Detalle_Pagos!$I$5:$I$2004,Detalle_Pagos!$E$5:$E$2004,A80,Detalle_Pagos!$J$5:$J$2004,"No",Detalle_Pagos!$B$5:$B$2004,"&gt;="&amp;$B$3,Detalle_Pagos!$B$5:$B$2004,"&lt;="&amp;$B$4))</f>
        <v/>
      </c>
      <c r="E80" t="str">
        <f>IF(A80="","",COUNTIFS(Detalle_Pagos!$E$5:$E$2004,A80,Detalle_Pagos!$J$5:$J$2004,"No",Detalle_Pagos!$B$5:$B$2004,"&gt;="&amp;$B$3,Detalle_Pagos!$B$5:$B$2004,"&lt;="&amp;$B$4))</f>
        <v/>
      </c>
      <c r="F80" t="str">
        <f>IF(A80="","",COUNTIFS(Detalle_Pagos!$E$5:$E$2004,A80,Detalle_Pagos!$J$5:$J$2004,"Si",Detalle_Pagos!$B$5:$B$2004,"&gt;="&amp;$B$3,Detalle_Pagos!$B$5:$B$2004,"&lt;="&amp;$B$4))</f>
        <v/>
      </c>
      <c r="G80" s="29" t="str">
        <f>IF(A80="","",E80*IFERROR(INDEX(Trabajadores!$D$5:$D$204,MATCH(A80,Trabajadores!$B$5:$B$204,0)),0))</f>
        <v/>
      </c>
      <c r="H80" s="29" t="str">
        <f t="shared" si="4"/>
        <v/>
      </c>
      <c r="I80" s="29" t="str">
        <f t="shared" si="5"/>
        <v/>
      </c>
    </row>
    <row r="81" spans="1:9" x14ac:dyDescent="0.3">
      <c r="A81" t="str">
        <f>IF(Trabajadores!B78="","",Trabajadores!B78)</f>
        <v/>
      </c>
      <c r="B81" t="str">
        <f>IF(A81="","",COUNTIFS(Detalle_Pagos!$E$5:$E$2004,A81,Detalle_Pagos!$B$5:$B$2004,"&gt;="&amp;$B$3,Detalle_Pagos!$B$5:$B$2004,"&lt;="&amp;$B$4))</f>
        <v/>
      </c>
      <c r="C81" s="29" t="str">
        <f>IF(A81="","",SUMIFS(Detalle_Pagos!$I$5:$I$2004,Detalle_Pagos!$E$5:$E$2004,A81,Detalle_Pagos!$J$5:$J$2004,"Si",Detalle_Pagos!$B$5:$B$2004,"&gt;="&amp;$B$3,Detalle_Pagos!$B$5:$B$2004,"&lt;="&amp;$B$4))</f>
        <v/>
      </c>
      <c r="D81" s="29" t="str">
        <f>IF(A81="","",SUMIFS(Detalle_Pagos!$I$5:$I$2004,Detalle_Pagos!$E$5:$E$2004,A81,Detalle_Pagos!$J$5:$J$2004,"No",Detalle_Pagos!$B$5:$B$2004,"&gt;="&amp;$B$3,Detalle_Pagos!$B$5:$B$2004,"&lt;="&amp;$B$4))</f>
        <v/>
      </c>
      <c r="E81" t="str">
        <f>IF(A81="","",COUNTIFS(Detalle_Pagos!$E$5:$E$2004,A81,Detalle_Pagos!$J$5:$J$2004,"No",Detalle_Pagos!$B$5:$B$2004,"&gt;="&amp;$B$3,Detalle_Pagos!$B$5:$B$2004,"&lt;="&amp;$B$4))</f>
        <v/>
      </c>
      <c r="F81" t="str">
        <f>IF(A81="","",COUNTIFS(Detalle_Pagos!$E$5:$E$2004,A81,Detalle_Pagos!$J$5:$J$2004,"Si",Detalle_Pagos!$B$5:$B$2004,"&gt;="&amp;$B$3,Detalle_Pagos!$B$5:$B$2004,"&lt;="&amp;$B$4))</f>
        <v/>
      </c>
      <c r="G81" s="29" t="str">
        <f>IF(A81="","",E81*IFERROR(INDEX(Trabajadores!$D$5:$D$204,MATCH(A81,Trabajadores!$B$5:$B$204,0)),0))</f>
        <v/>
      </c>
      <c r="H81" s="29" t="str">
        <f t="shared" si="4"/>
        <v/>
      </c>
      <c r="I81" s="29" t="str">
        <f t="shared" si="5"/>
        <v/>
      </c>
    </row>
    <row r="82" spans="1:9" x14ac:dyDescent="0.3">
      <c r="A82" t="str">
        <f>IF(Trabajadores!B79="","",Trabajadores!B79)</f>
        <v/>
      </c>
      <c r="B82" t="str">
        <f>IF(A82="","",COUNTIFS(Detalle_Pagos!$E$5:$E$2004,A82,Detalle_Pagos!$B$5:$B$2004,"&gt;="&amp;$B$3,Detalle_Pagos!$B$5:$B$2004,"&lt;="&amp;$B$4))</f>
        <v/>
      </c>
      <c r="C82" s="29" t="str">
        <f>IF(A82="","",SUMIFS(Detalle_Pagos!$I$5:$I$2004,Detalle_Pagos!$E$5:$E$2004,A82,Detalle_Pagos!$J$5:$J$2004,"Si",Detalle_Pagos!$B$5:$B$2004,"&gt;="&amp;$B$3,Detalle_Pagos!$B$5:$B$2004,"&lt;="&amp;$B$4))</f>
        <v/>
      </c>
      <c r="D82" s="29" t="str">
        <f>IF(A82="","",SUMIFS(Detalle_Pagos!$I$5:$I$2004,Detalle_Pagos!$E$5:$E$2004,A82,Detalle_Pagos!$J$5:$J$2004,"No",Detalle_Pagos!$B$5:$B$2004,"&gt;="&amp;$B$3,Detalle_Pagos!$B$5:$B$2004,"&lt;="&amp;$B$4))</f>
        <v/>
      </c>
      <c r="E82" t="str">
        <f>IF(A82="","",COUNTIFS(Detalle_Pagos!$E$5:$E$2004,A82,Detalle_Pagos!$J$5:$J$2004,"No",Detalle_Pagos!$B$5:$B$2004,"&gt;="&amp;$B$3,Detalle_Pagos!$B$5:$B$2004,"&lt;="&amp;$B$4))</f>
        <v/>
      </c>
      <c r="F82" t="str">
        <f>IF(A82="","",COUNTIFS(Detalle_Pagos!$E$5:$E$2004,A82,Detalle_Pagos!$J$5:$J$2004,"Si",Detalle_Pagos!$B$5:$B$2004,"&gt;="&amp;$B$3,Detalle_Pagos!$B$5:$B$2004,"&lt;="&amp;$B$4))</f>
        <v/>
      </c>
      <c r="G82" s="29" t="str">
        <f>IF(A82="","",E82*IFERROR(INDEX(Trabajadores!$D$5:$D$204,MATCH(A82,Trabajadores!$B$5:$B$204,0)),0))</f>
        <v/>
      </c>
      <c r="H82" s="29" t="str">
        <f t="shared" si="4"/>
        <v/>
      </c>
      <c r="I82" s="29" t="str">
        <f t="shared" si="5"/>
        <v/>
      </c>
    </row>
    <row r="83" spans="1:9" x14ac:dyDescent="0.3">
      <c r="A83" t="str">
        <f>IF(Trabajadores!B80="","",Trabajadores!B80)</f>
        <v/>
      </c>
      <c r="B83" t="str">
        <f>IF(A83="","",COUNTIFS(Detalle_Pagos!$E$5:$E$2004,A83,Detalle_Pagos!$B$5:$B$2004,"&gt;="&amp;$B$3,Detalle_Pagos!$B$5:$B$2004,"&lt;="&amp;$B$4))</f>
        <v/>
      </c>
      <c r="C83" s="29" t="str">
        <f>IF(A83="","",SUMIFS(Detalle_Pagos!$I$5:$I$2004,Detalle_Pagos!$E$5:$E$2004,A83,Detalle_Pagos!$J$5:$J$2004,"Si",Detalle_Pagos!$B$5:$B$2004,"&gt;="&amp;$B$3,Detalle_Pagos!$B$5:$B$2004,"&lt;="&amp;$B$4))</f>
        <v/>
      </c>
      <c r="D83" s="29" t="str">
        <f>IF(A83="","",SUMIFS(Detalle_Pagos!$I$5:$I$2004,Detalle_Pagos!$E$5:$E$2004,A83,Detalle_Pagos!$J$5:$J$2004,"No",Detalle_Pagos!$B$5:$B$2004,"&gt;="&amp;$B$3,Detalle_Pagos!$B$5:$B$2004,"&lt;="&amp;$B$4))</f>
        <v/>
      </c>
      <c r="E83" t="str">
        <f>IF(A83="","",COUNTIFS(Detalle_Pagos!$E$5:$E$2004,A83,Detalle_Pagos!$J$5:$J$2004,"No",Detalle_Pagos!$B$5:$B$2004,"&gt;="&amp;$B$3,Detalle_Pagos!$B$5:$B$2004,"&lt;="&amp;$B$4))</f>
        <v/>
      </c>
      <c r="F83" t="str">
        <f>IF(A83="","",COUNTIFS(Detalle_Pagos!$E$5:$E$2004,A83,Detalle_Pagos!$J$5:$J$2004,"Si",Detalle_Pagos!$B$5:$B$2004,"&gt;="&amp;$B$3,Detalle_Pagos!$B$5:$B$2004,"&lt;="&amp;$B$4))</f>
        <v/>
      </c>
      <c r="G83" s="29" t="str">
        <f>IF(A83="","",E83*IFERROR(INDEX(Trabajadores!$D$5:$D$204,MATCH(A83,Trabajadores!$B$5:$B$204,0)),0))</f>
        <v/>
      </c>
      <c r="H83" s="29" t="str">
        <f t="shared" si="4"/>
        <v/>
      </c>
      <c r="I83" s="29" t="str">
        <f t="shared" si="5"/>
        <v/>
      </c>
    </row>
    <row r="84" spans="1:9" x14ac:dyDescent="0.3">
      <c r="A84" t="str">
        <f>IF(Trabajadores!B81="","",Trabajadores!B81)</f>
        <v/>
      </c>
      <c r="B84" t="str">
        <f>IF(A84="","",COUNTIFS(Detalle_Pagos!$E$5:$E$2004,A84,Detalle_Pagos!$B$5:$B$2004,"&gt;="&amp;$B$3,Detalle_Pagos!$B$5:$B$2004,"&lt;="&amp;$B$4))</f>
        <v/>
      </c>
      <c r="C84" s="29" t="str">
        <f>IF(A84="","",SUMIFS(Detalle_Pagos!$I$5:$I$2004,Detalle_Pagos!$E$5:$E$2004,A84,Detalle_Pagos!$J$5:$J$2004,"Si",Detalle_Pagos!$B$5:$B$2004,"&gt;="&amp;$B$3,Detalle_Pagos!$B$5:$B$2004,"&lt;="&amp;$B$4))</f>
        <v/>
      </c>
      <c r="D84" s="29" t="str">
        <f>IF(A84="","",SUMIFS(Detalle_Pagos!$I$5:$I$2004,Detalle_Pagos!$E$5:$E$2004,A84,Detalle_Pagos!$J$5:$J$2004,"No",Detalle_Pagos!$B$5:$B$2004,"&gt;="&amp;$B$3,Detalle_Pagos!$B$5:$B$2004,"&lt;="&amp;$B$4))</f>
        <v/>
      </c>
      <c r="E84" t="str">
        <f>IF(A84="","",COUNTIFS(Detalle_Pagos!$E$5:$E$2004,A84,Detalle_Pagos!$J$5:$J$2004,"No",Detalle_Pagos!$B$5:$B$2004,"&gt;="&amp;$B$3,Detalle_Pagos!$B$5:$B$2004,"&lt;="&amp;$B$4))</f>
        <v/>
      </c>
      <c r="F84" t="str">
        <f>IF(A84="","",COUNTIFS(Detalle_Pagos!$E$5:$E$2004,A84,Detalle_Pagos!$J$5:$J$2004,"Si",Detalle_Pagos!$B$5:$B$2004,"&gt;="&amp;$B$3,Detalle_Pagos!$B$5:$B$2004,"&lt;="&amp;$B$4))</f>
        <v/>
      </c>
      <c r="G84" s="29" t="str">
        <f>IF(A84="","",E84*IFERROR(INDEX(Trabajadores!$D$5:$D$204,MATCH(A84,Trabajadores!$B$5:$B$204,0)),0))</f>
        <v/>
      </c>
      <c r="H84" s="29" t="str">
        <f t="shared" si="4"/>
        <v/>
      </c>
      <c r="I84" s="29" t="str">
        <f t="shared" si="5"/>
        <v/>
      </c>
    </row>
    <row r="85" spans="1:9" x14ac:dyDescent="0.3">
      <c r="A85" t="str">
        <f>IF(Trabajadores!B82="","",Trabajadores!B82)</f>
        <v/>
      </c>
      <c r="B85" t="str">
        <f>IF(A85="","",COUNTIFS(Detalle_Pagos!$E$5:$E$2004,A85,Detalle_Pagos!$B$5:$B$2004,"&gt;="&amp;$B$3,Detalle_Pagos!$B$5:$B$2004,"&lt;="&amp;$B$4))</f>
        <v/>
      </c>
      <c r="C85" s="29" t="str">
        <f>IF(A85="","",SUMIFS(Detalle_Pagos!$I$5:$I$2004,Detalle_Pagos!$E$5:$E$2004,A85,Detalle_Pagos!$J$5:$J$2004,"Si",Detalle_Pagos!$B$5:$B$2004,"&gt;="&amp;$B$3,Detalle_Pagos!$B$5:$B$2004,"&lt;="&amp;$B$4))</f>
        <v/>
      </c>
      <c r="D85" s="29" t="str">
        <f>IF(A85="","",SUMIFS(Detalle_Pagos!$I$5:$I$2004,Detalle_Pagos!$E$5:$E$2004,A85,Detalle_Pagos!$J$5:$J$2004,"No",Detalle_Pagos!$B$5:$B$2004,"&gt;="&amp;$B$3,Detalle_Pagos!$B$5:$B$2004,"&lt;="&amp;$B$4))</f>
        <v/>
      </c>
      <c r="E85" t="str">
        <f>IF(A85="","",COUNTIFS(Detalle_Pagos!$E$5:$E$2004,A85,Detalle_Pagos!$J$5:$J$2004,"No",Detalle_Pagos!$B$5:$B$2004,"&gt;="&amp;$B$3,Detalle_Pagos!$B$5:$B$2004,"&lt;="&amp;$B$4))</f>
        <v/>
      </c>
      <c r="F85" t="str">
        <f>IF(A85="","",COUNTIFS(Detalle_Pagos!$E$5:$E$2004,A85,Detalle_Pagos!$J$5:$J$2004,"Si",Detalle_Pagos!$B$5:$B$2004,"&gt;="&amp;$B$3,Detalle_Pagos!$B$5:$B$2004,"&lt;="&amp;$B$4))</f>
        <v/>
      </c>
      <c r="G85" s="29" t="str">
        <f>IF(A85="","",E85*IFERROR(INDEX(Trabajadores!$D$5:$D$204,MATCH(A85,Trabajadores!$B$5:$B$204,0)),0))</f>
        <v/>
      </c>
      <c r="H85" s="29" t="str">
        <f t="shared" si="4"/>
        <v/>
      </c>
      <c r="I85" s="29" t="str">
        <f t="shared" si="5"/>
        <v/>
      </c>
    </row>
    <row r="86" spans="1:9" x14ac:dyDescent="0.3">
      <c r="A86" t="str">
        <f>IF(Trabajadores!B83="","",Trabajadores!B83)</f>
        <v/>
      </c>
      <c r="B86" t="str">
        <f>IF(A86="","",COUNTIFS(Detalle_Pagos!$E$5:$E$2004,A86,Detalle_Pagos!$B$5:$B$2004,"&gt;="&amp;$B$3,Detalle_Pagos!$B$5:$B$2004,"&lt;="&amp;$B$4))</f>
        <v/>
      </c>
      <c r="C86" s="29" t="str">
        <f>IF(A86="","",SUMIFS(Detalle_Pagos!$I$5:$I$2004,Detalle_Pagos!$E$5:$E$2004,A86,Detalle_Pagos!$J$5:$J$2004,"Si",Detalle_Pagos!$B$5:$B$2004,"&gt;="&amp;$B$3,Detalle_Pagos!$B$5:$B$2004,"&lt;="&amp;$B$4))</f>
        <v/>
      </c>
      <c r="D86" s="29" t="str">
        <f>IF(A86="","",SUMIFS(Detalle_Pagos!$I$5:$I$2004,Detalle_Pagos!$E$5:$E$2004,A86,Detalle_Pagos!$J$5:$J$2004,"No",Detalle_Pagos!$B$5:$B$2004,"&gt;="&amp;$B$3,Detalle_Pagos!$B$5:$B$2004,"&lt;="&amp;$B$4))</f>
        <v/>
      </c>
      <c r="E86" t="str">
        <f>IF(A86="","",COUNTIFS(Detalle_Pagos!$E$5:$E$2004,A86,Detalle_Pagos!$J$5:$J$2004,"No",Detalle_Pagos!$B$5:$B$2004,"&gt;="&amp;$B$3,Detalle_Pagos!$B$5:$B$2004,"&lt;="&amp;$B$4))</f>
        <v/>
      </c>
      <c r="F86" t="str">
        <f>IF(A86="","",COUNTIFS(Detalle_Pagos!$E$5:$E$2004,A86,Detalle_Pagos!$J$5:$J$2004,"Si",Detalle_Pagos!$B$5:$B$2004,"&gt;="&amp;$B$3,Detalle_Pagos!$B$5:$B$2004,"&lt;="&amp;$B$4))</f>
        <v/>
      </c>
      <c r="G86" s="29" t="str">
        <f>IF(A86="","",E86*IFERROR(INDEX(Trabajadores!$D$5:$D$204,MATCH(A86,Trabajadores!$B$5:$B$204,0)),0))</f>
        <v/>
      </c>
      <c r="H86" s="29" t="str">
        <f t="shared" si="4"/>
        <v/>
      </c>
      <c r="I86" s="29" t="str">
        <f t="shared" si="5"/>
        <v/>
      </c>
    </row>
    <row r="87" spans="1:9" x14ac:dyDescent="0.3">
      <c r="A87" t="str">
        <f>IF(Trabajadores!B84="","",Trabajadores!B84)</f>
        <v/>
      </c>
      <c r="B87" t="str">
        <f>IF(A87="","",COUNTIFS(Detalle_Pagos!$E$5:$E$2004,A87,Detalle_Pagos!$B$5:$B$2004,"&gt;="&amp;$B$3,Detalle_Pagos!$B$5:$B$2004,"&lt;="&amp;$B$4))</f>
        <v/>
      </c>
      <c r="C87" s="29" t="str">
        <f>IF(A87="","",SUMIFS(Detalle_Pagos!$I$5:$I$2004,Detalle_Pagos!$E$5:$E$2004,A87,Detalle_Pagos!$J$5:$J$2004,"Si",Detalle_Pagos!$B$5:$B$2004,"&gt;="&amp;$B$3,Detalle_Pagos!$B$5:$B$2004,"&lt;="&amp;$B$4))</f>
        <v/>
      </c>
      <c r="D87" s="29" t="str">
        <f>IF(A87="","",SUMIFS(Detalle_Pagos!$I$5:$I$2004,Detalle_Pagos!$E$5:$E$2004,A87,Detalle_Pagos!$J$5:$J$2004,"No",Detalle_Pagos!$B$5:$B$2004,"&gt;="&amp;$B$3,Detalle_Pagos!$B$5:$B$2004,"&lt;="&amp;$B$4))</f>
        <v/>
      </c>
      <c r="E87" t="str">
        <f>IF(A87="","",COUNTIFS(Detalle_Pagos!$E$5:$E$2004,A87,Detalle_Pagos!$J$5:$J$2004,"No",Detalle_Pagos!$B$5:$B$2004,"&gt;="&amp;$B$3,Detalle_Pagos!$B$5:$B$2004,"&lt;="&amp;$B$4))</f>
        <v/>
      </c>
      <c r="F87" t="str">
        <f>IF(A87="","",COUNTIFS(Detalle_Pagos!$E$5:$E$2004,A87,Detalle_Pagos!$J$5:$J$2004,"Si",Detalle_Pagos!$B$5:$B$2004,"&gt;="&amp;$B$3,Detalle_Pagos!$B$5:$B$2004,"&lt;="&amp;$B$4))</f>
        <v/>
      </c>
      <c r="G87" s="29" t="str">
        <f>IF(A87="","",E87*IFERROR(INDEX(Trabajadores!$D$5:$D$204,MATCH(A87,Trabajadores!$B$5:$B$204,0)),0))</f>
        <v/>
      </c>
      <c r="H87" s="29" t="str">
        <f t="shared" si="4"/>
        <v/>
      </c>
      <c r="I87" s="29" t="str">
        <f t="shared" si="5"/>
        <v/>
      </c>
    </row>
    <row r="88" spans="1:9" x14ac:dyDescent="0.3">
      <c r="A88" t="str">
        <f>IF(Trabajadores!B85="","",Trabajadores!B85)</f>
        <v/>
      </c>
      <c r="B88" t="str">
        <f>IF(A88="","",COUNTIFS(Detalle_Pagos!$E$5:$E$2004,A88,Detalle_Pagos!$B$5:$B$2004,"&gt;="&amp;$B$3,Detalle_Pagos!$B$5:$B$2004,"&lt;="&amp;$B$4))</f>
        <v/>
      </c>
      <c r="C88" s="29" t="str">
        <f>IF(A88="","",SUMIFS(Detalle_Pagos!$I$5:$I$2004,Detalle_Pagos!$E$5:$E$2004,A88,Detalle_Pagos!$J$5:$J$2004,"Si",Detalle_Pagos!$B$5:$B$2004,"&gt;="&amp;$B$3,Detalle_Pagos!$B$5:$B$2004,"&lt;="&amp;$B$4))</f>
        <v/>
      </c>
      <c r="D88" s="29" t="str">
        <f>IF(A88="","",SUMIFS(Detalle_Pagos!$I$5:$I$2004,Detalle_Pagos!$E$5:$E$2004,A88,Detalle_Pagos!$J$5:$J$2004,"No",Detalle_Pagos!$B$5:$B$2004,"&gt;="&amp;$B$3,Detalle_Pagos!$B$5:$B$2004,"&lt;="&amp;$B$4))</f>
        <v/>
      </c>
      <c r="E88" t="str">
        <f>IF(A88="","",COUNTIFS(Detalle_Pagos!$E$5:$E$2004,A88,Detalle_Pagos!$J$5:$J$2004,"No",Detalle_Pagos!$B$5:$B$2004,"&gt;="&amp;$B$3,Detalle_Pagos!$B$5:$B$2004,"&lt;="&amp;$B$4))</f>
        <v/>
      </c>
      <c r="F88" t="str">
        <f>IF(A88="","",COUNTIFS(Detalle_Pagos!$E$5:$E$2004,A88,Detalle_Pagos!$J$5:$J$2004,"Si",Detalle_Pagos!$B$5:$B$2004,"&gt;="&amp;$B$3,Detalle_Pagos!$B$5:$B$2004,"&lt;="&amp;$B$4))</f>
        <v/>
      </c>
      <c r="G88" s="29" t="str">
        <f>IF(A88="","",E88*IFERROR(INDEX(Trabajadores!$D$5:$D$204,MATCH(A88,Trabajadores!$B$5:$B$204,0)),0))</f>
        <v/>
      </c>
      <c r="H88" s="29" t="str">
        <f t="shared" si="4"/>
        <v/>
      </c>
      <c r="I88" s="29" t="str">
        <f t="shared" si="5"/>
        <v/>
      </c>
    </row>
    <row r="89" spans="1:9" x14ac:dyDescent="0.3">
      <c r="A89" t="str">
        <f>IF(Trabajadores!B86="","",Trabajadores!B86)</f>
        <v/>
      </c>
      <c r="B89" t="str">
        <f>IF(A89="","",COUNTIFS(Detalle_Pagos!$E$5:$E$2004,A89,Detalle_Pagos!$B$5:$B$2004,"&gt;="&amp;$B$3,Detalle_Pagos!$B$5:$B$2004,"&lt;="&amp;$B$4))</f>
        <v/>
      </c>
      <c r="C89" s="29" t="str">
        <f>IF(A89="","",SUMIFS(Detalle_Pagos!$I$5:$I$2004,Detalle_Pagos!$E$5:$E$2004,A89,Detalle_Pagos!$J$5:$J$2004,"Si",Detalle_Pagos!$B$5:$B$2004,"&gt;="&amp;$B$3,Detalle_Pagos!$B$5:$B$2004,"&lt;="&amp;$B$4))</f>
        <v/>
      </c>
      <c r="D89" s="29" t="str">
        <f>IF(A89="","",SUMIFS(Detalle_Pagos!$I$5:$I$2004,Detalle_Pagos!$E$5:$E$2004,A89,Detalle_Pagos!$J$5:$J$2004,"No",Detalle_Pagos!$B$5:$B$2004,"&gt;="&amp;$B$3,Detalle_Pagos!$B$5:$B$2004,"&lt;="&amp;$B$4))</f>
        <v/>
      </c>
      <c r="E89" t="str">
        <f>IF(A89="","",COUNTIFS(Detalle_Pagos!$E$5:$E$2004,A89,Detalle_Pagos!$J$5:$J$2004,"No",Detalle_Pagos!$B$5:$B$2004,"&gt;="&amp;$B$3,Detalle_Pagos!$B$5:$B$2004,"&lt;="&amp;$B$4))</f>
        <v/>
      </c>
      <c r="F89" t="str">
        <f>IF(A89="","",COUNTIFS(Detalle_Pagos!$E$5:$E$2004,A89,Detalle_Pagos!$J$5:$J$2004,"Si",Detalle_Pagos!$B$5:$B$2004,"&gt;="&amp;$B$3,Detalle_Pagos!$B$5:$B$2004,"&lt;="&amp;$B$4))</f>
        <v/>
      </c>
      <c r="G89" s="29" t="str">
        <f>IF(A89="","",E89*IFERROR(INDEX(Trabajadores!$D$5:$D$204,MATCH(A89,Trabajadores!$B$5:$B$204,0)),0))</f>
        <v/>
      </c>
      <c r="H89" s="29" t="str">
        <f t="shared" si="4"/>
        <v/>
      </c>
      <c r="I89" s="29" t="str">
        <f t="shared" si="5"/>
        <v/>
      </c>
    </row>
    <row r="90" spans="1:9" x14ac:dyDescent="0.3">
      <c r="A90" t="str">
        <f>IF(Trabajadores!B87="","",Trabajadores!B87)</f>
        <v/>
      </c>
      <c r="B90" t="str">
        <f>IF(A90="","",COUNTIFS(Detalle_Pagos!$E$5:$E$2004,A90,Detalle_Pagos!$B$5:$B$2004,"&gt;="&amp;$B$3,Detalle_Pagos!$B$5:$B$2004,"&lt;="&amp;$B$4))</f>
        <v/>
      </c>
      <c r="C90" s="29" t="str">
        <f>IF(A90="","",SUMIFS(Detalle_Pagos!$I$5:$I$2004,Detalle_Pagos!$E$5:$E$2004,A90,Detalle_Pagos!$J$5:$J$2004,"Si",Detalle_Pagos!$B$5:$B$2004,"&gt;="&amp;$B$3,Detalle_Pagos!$B$5:$B$2004,"&lt;="&amp;$B$4))</f>
        <v/>
      </c>
      <c r="D90" s="29" t="str">
        <f>IF(A90="","",SUMIFS(Detalle_Pagos!$I$5:$I$2004,Detalle_Pagos!$E$5:$E$2004,A90,Detalle_Pagos!$J$5:$J$2004,"No",Detalle_Pagos!$B$5:$B$2004,"&gt;="&amp;$B$3,Detalle_Pagos!$B$5:$B$2004,"&lt;="&amp;$B$4))</f>
        <v/>
      </c>
      <c r="E90" t="str">
        <f>IF(A90="","",COUNTIFS(Detalle_Pagos!$E$5:$E$2004,A90,Detalle_Pagos!$J$5:$J$2004,"No",Detalle_Pagos!$B$5:$B$2004,"&gt;="&amp;$B$3,Detalle_Pagos!$B$5:$B$2004,"&lt;="&amp;$B$4))</f>
        <v/>
      </c>
      <c r="F90" t="str">
        <f>IF(A90="","",COUNTIFS(Detalle_Pagos!$E$5:$E$2004,A90,Detalle_Pagos!$J$5:$J$2004,"Si",Detalle_Pagos!$B$5:$B$2004,"&gt;="&amp;$B$3,Detalle_Pagos!$B$5:$B$2004,"&lt;="&amp;$B$4))</f>
        <v/>
      </c>
      <c r="G90" s="29" t="str">
        <f>IF(A90="","",E90*IFERROR(INDEX(Trabajadores!$D$5:$D$204,MATCH(A90,Trabajadores!$B$5:$B$204,0)),0))</f>
        <v/>
      </c>
      <c r="H90" s="29" t="str">
        <f t="shared" si="4"/>
        <v/>
      </c>
      <c r="I90" s="29" t="str">
        <f t="shared" si="5"/>
        <v/>
      </c>
    </row>
    <row r="91" spans="1:9" x14ac:dyDescent="0.3">
      <c r="A91" t="str">
        <f>IF(Trabajadores!B88="","",Trabajadores!B88)</f>
        <v/>
      </c>
      <c r="B91" t="str">
        <f>IF(A91="","",COUNTIFS(Detalle_Pagos!$E$5:$E$2004,A91,Detalle_Pagos!$B$5:$B$2004,"&gt;="&amp;$B$3,Detalle_Pagos!$B$5:$B$2004,"&lt;="&amp;$B$4))</f>
        <v/>
      </c>
      <c r="C91" s="29" t="str">
        <f>IF(A91="","",SUMIFS(Detalle_Pagos!$I$5:$I$2004,Detalle_Pagos!$E$5:$E$2004,A91,Detalle_Pagos!$J$5:$J$2004,"Si",Detalle_Pagos!$B$5:$B$2004,"&gt;="&amp;$B$3,Detalle_Pagos!$B$5:$B$2004,"&lt;="&amp;$B$4))</f>
        <v/>
      </c>
      <c r="D91" s="29" t="str">
        <f>IF(A91="","",SUMIFS(Detalle_Pagos!$I$5:$I$2004,Detalle_Pagos!$E$5:$E$2004,A91,Detalle_Pagos!$J$5:$J$2004,"No",Detalle_Pagos!$B$5:$B$2004,"&gt;="&amp;$B$3,Detalle_Pagos!$B$5:$B$2004,"&lt;="&amp;$B$4))</f>
        <v/>
      </c>
      <c r="E91" t="str">
        <f>IF(A91="","",COUNTIFS(Detalle_Pagos!$E$5:$E$2004,A91,Detalle_Pagos!$J$5:$J$2004,"No",Detalle_Pagos!$B$5:$B$2004,"&gt;="&amp;$B$3,Detalle_Pagos!$B$5:$B$2004,"&lt;="&amp;$B$4))</f>
        <v/>
      </c>
      <c r="F91" t="str">
        <f>IF(A91="","",COUNTIFS(Detalle_Pagos!$E$5:$E$2004,A91,Detalle_Pagos!$J$5:$J$2004,"Si",Detalle_Pagos!$B$5:$B$2004,"&gt;="&amp;$B$3,Detalle_Pagos!$B$5:$B$2004,"&lt;="&amp;$B$4))</f>
        <v/>
      </c>
      <c r="G91" s="29" t="str">
        <f>IF(A91="","",E91*IFERROR(INDEX(Trabajadores!$D$5:$D$204,MATCH(A91,Trabajadores!$B$5:$B$204,0)),0))</f>
        <v/>
      </c>
      <c r="H91" s="29" t="str">
        <f t="shared" si="4"/>
        <v/>
      </c>
      <c r="I91" s="29" t="str">
        <f t="shared" si="5"/>
        <v/>
      </c>
    </row>
    <row r="92" spans="1:9" x14ac:dyDescent="0.3">
      <c r="A92" t="str">
        <f>IF(Trabajadores!B89="","",Trabajadores!B89)</f>
        <v/>
      </c>
      <c r="B92" t="str">
        <f>IF(A92="","",COUNTIFS(Detalle_Pagos!$E$5:$E$2004,A92,Detalle_Pagos!$B$5:$B$2004,"&gt;="&amp;$B$3,Detalle_Pagos!$B$5:$B$2004,"&lt;="&amp;$B$4))</f>
        <v/>
      </c>
      <c r="C92" s="29" t="str">
        <f>IF(A92="","",SUMIFS(Detalle_Pagos!$I$5:$I$2004,Detalle_Pagos!$E$5:$E$2004,A92,Detalle_Pagos!$J$5:$J$2004,"Si",Detalle_Pagos!$B$5:$B$2004,"&gt;="&amp;$B$3,Detalle_Pagos!$B$5:$B$2004,"&lt;="&amp;$B$4))</f>
        <v/>
      </c>
      <c r="D92" s="29" t="str">
        <f>IF(A92="","",SUMIFS(Detalle_Pagos!$I$5:$I$2004,Detalle_Pagos!$E$5:$E$2004,A92,Detalle_Pagos!$J$5:$J$2004,"No",Detalle_Pagos!$B$5:$B$2004,"&gt;="&amp;$B$3,Detalle_Pagos!$B$5:$B$2004,"&lt;="&amp;$B$4))</f>
        <v/>
      </c>
      <c r="E92" t="str">
        <f>IF(A92="","",COUNTIFS(Detalle_Pagos!$E$5:$E$2004,A92,Detalle_Pagos!$J$5:$J$2004,"No",Detalle_Pagos!$B$5:$B$2004,"&gt;="&amp;$B$3,Detalle_Pagos!$B$5:$B$2004,"&lt;="&amp;$B$4))</f>
        <v/>
      </c>
      <c r="F92" t="str">
        <f>IF(A92="","",COUNTIFS(Detalle_Pagos!$E$5:$E$2004,A92,Detalle_Pagos!$J$5:$J$2004,"Si",Detalle_Pagos!$B$5:$B$2004,"&gt;="&amp;$B$3,Detalle_Pagos!$B$5:$B$2004,"&lt;="&amp;$B$4))</f>
        <v/>
      </c>
      <c r="G92" s="29" t="str">
        <f>IF(A92="","",E92*IFERROR(INDEX(Trabajadores!$D$5:$D$204,MATCH(A92,Trabajadores!$B$5:$B$204,0)),0))</f>
        <v/>
      </c>
      <c r="H92" s="29" t="str">
        <f t="shared" si="4"/>
        <v/>
      </c>
      <c r="I92" s="29" t="str">
        <f t="shared" si="5"/>
        <v/>
      </c>
    </row>
    <row r="93" spans="1:9" x14ac:dyDescent="0.3">
      <c r="A93" t="str">
        <f>IF(Trabajadores!B90="","",Trabajadores!B90)</f>
        <v/>
      </c>
      <c r="B93" t="str">
        <f>IF(A93="","",COUNTIFS(Detalle_Pagos!$E$5:$E$2004,A93,Detalle_Pagos!$B$5:$B$2004,"&gt;="&amp;$B$3,Detalle_Pagos!$B$5:$B$2004,"&lt;="&amp;$B$4))</f>
        <v/>
      </c>
      <c r="C93" s="29" t="str">
        <f>IF(A93="","",SUMIFS(Detalle_Pagos!$I$5:$I$2004,Detalle_Pagos!$E$5:$E$2004,A93,Detalle_Pagos!$J$5:$J$2004,"Si",Detalle_Pagos!$B$5:$B$2004,"&gt;="&amp;$B$3,Detalle_Pagos!$B$5:$B$2004,"&lt;="&amp;$B$4))</f>
        <v/>
      </c>
      <c r="D93" s="29" t="str">
        <f>IF(A93="","",SUMIFS(Detalle_Pagos!$I$5:$I$2004,Detalle_Pagos!$E$5:$E$2004,A93,Detalle_Pagos!$J$5:$J$2004,"No",Detalle_Pagos!$B$5:$B$2004,"&gt;="&amp;$B$3,Detalle_Pagos!$B$5:$B$2004,"&lt;="&amp;$B$4))</f>
        <v/>
      </c>
      <c r="E93" t="str">
        <f>IF(A93="","",COUNTIFS(Detalle_Pagos!$E$5:$E$2004,A93,Detalle_Pagos!$J$5:$J$2004,"No",Detalle_Pagos!$B$5:$B$2004,"&gt;="&amp;$B$3,Detalle_Pagos!$B$5:$B$2004,"&lt;="&amp;$B$4))</f>
        <v/>
      </c>
      <c r="F93" t="str">
        <f>IF(A93="","",COUNTIFS(Detalle_Pagos!$E$5:$E$2004,A93,Detalle_Pagos!$J$5:$J$2004,"Si",Detalle_Pagos!$B$5:$B$2004,"&gt;="&amp;$B$3,Detalle_Pagos!$B$5:$B$2004,"&lt;="&amp;$B$4))</f>
        <v/>
      </c>
      <c r="G93" s="29" t="str">
        <f>IF(A93="","",E93*IFERROR(INDEX(Trabajadores!$D$5:$D$204,MATCH(A93,Trabajadores!$B$5:$B$204,0)),0))</f>
        <v/>
      </c>
      <c r="H93" s="29" t="str">
        <f t="shared" si="4"/>
        <v/>
      </c>
      <c r="I93" s="29" t="str">
        <f t="shared" si="5"/>
        <v/>
      </c>
    </row>
    <row r="94" spans="1:9" x14ac:dyDescent="0.3">
      <c r="A94" t="str">
        <f>IF(Trabajadores!B91="","",Trabajadores!B91)</f>
        <v/>
      </c>
      <c r="B94" t="str">
        <f>IF(A94="","",COUNTIFS(Detalle_Pagos!$E$5:$E$2004,A94,Detalle_Pagos!$B$5:$B$2004,"&gt;="&amp;$B$3,Detalle_Pagos!$B$5:$B$2004,"&lt;="&amp;$B$4))</f>
        <v/>
      </c>
      <c r="C94" s="29" t="str">
        <f>IF(A94="","",SUMIFS(Detalle_Pagos!$I$5:$I$2004,Detalle_Pagos!$E$5:$E$2004,A94,Detalle_Pagos!$J$5:$J$2004,"Si",Detalle_Pagos!$B$5:$B$2004,"&gt;="&amp;$B$3,Detalle_Pagos!$B$5:$B$2004,"&lt;="&amp;$B$4))</f>
        <v/>
      </c>
      <c r="D94" s="29" t="str">
        <f>IF(A94="","",SUMIFS(Detalle_Pagos!$I$5:$I$2004,Detalle_Pagos!$E$5:$E$2004,A94,Detalle_Pagos!$J$5:$J$2004,"No",Detalle_Pagos!$B$5:$B$2004,"&gt;="&amp;$B$3,Detalle_Pagos!$B$5:$B$2004,"&lt;="&amp;$B$4))</f>
        <v/>
      </c>
      <c r="E94" t="str">
        <f>IF(A94="","",COUNTIFS(Detalle_Pagos!$E$5:$E$2004,A94,Detalle_Pagos!$J$5:$J$2004,"No",Detalle_Pagos!$B$5:$B$2004,"&gt;="&amp;$B$3,Detalle_Pagos!$B$5:$B$2004,"&lt;="&amp;$B$4))</f>
        <v/>
      </c>
      <c r="F94" t="str">
        <f>IF(A94="","",COUNTIFS(Detalle_Pagos!$E$5:$E$2004,A94,Detalle_Pagos!$J$5:$J$2004,"Si",Detalle_Pagos!$B$5:$B$2004,"&gt;="&amp;$B$3,Detalle_Pagos!$B$5:$B$2004,"&lt;="&amp;$B$4))</f>
        <v/>
      </c>
      <c r="G94" s="29" t="str">
        <f>IF(A94="","",E94*IFERROR(INDEX(Trabajadores!$D$5:$D$204,MATCH(A94,Trabajadores!$B$5:$B$204,0)),0))</f>
        <v/>
      </c>
      <c r="H94" s="29" t="str">
        <f t="shared" si="4"/>
        <v/>
      </c>
      <c r="I94" s="29" t="str">
        <f t="shared" si="5"/>
        <v/>
      </c>
    </row>
    <row r="95" spans="1:9" x14ac:dyDescent="0.3">
      <c r="A95" t="str">
        <f>IF(Trabajadores!B92="","",Trabajadores!B92)</f>
        <v/>
      </c>
      <c r="B95" t="str">
        <f>IF(A95="","",COUNTIFS(Detalle_Pagos!$E$5:$E$2004,A95,Detalle_Pagos!$B$5:$B$2004,"&gt;="&amp;$B$3,Detalle_Pagos!$B$5:$B$2004,"&lt;="&amp;$B$4))</f>
        <v/>
      </c>
      <c r="C95" s="29" t="str">
        <f>IF(A95="","",SUMIFS(Detalle_Pagos!$I$5:$I$2004,Detalle_Pagos!$E$5:$E$2004,A95,Detalle_Pagos!$J$5:$J$2004,"Si",Detalle_Pagos!$B$5:$B$2004,"&gt;="&amp;$B$3,Detalle_Pagos!$B$5:$B$2004,"&lt;="&amp;$B$4))</f>
        <v/>
      </c>
      <c r="D95" s="29" t="str">
        <f>IF(A95="","",SUMIFS(Detalle_Pagos!$I$5:$I$2004,Detalle_Pagos!$E$5:$E$2004,A95,Detalle_Pagos!$J$5:$J$2004,"No",Detalle_Pagos!$B$5:$B$2004,"&gt;="&amp;$B$3,Detalle_Pagos!$B$5:$B$2004,"&lt;="&amp;$B$4))</f>
        <v/>
      </c>
      <c r="E95" t="str">
        <f>IF(A95="","",COUNTIFS(Detalle_Pagos!$E$5:$E$2004,A95,Detalle_Pagos!$J$5:$J$2004,"No",Detalle_Pagos!$B$5:$B$2004,"&gt;="&amp;$B$3,Detalle_Pagos!$B$5:$B$2004,"&lt;="&amp;$B$4))</f>
        <v/>
      </c>
      <c r="F95" t="str">
        <f>IF(A95="","",COUNTIFS(Detalle_Pagos!$E$5:$E$2004,A95,Detalle_Pagos!$J$5:$J$2004,"Si",Detalle_Pagos!$B$5:$B$2004,"&gt;="&amp;$B$3,Detalle_Pagos!$B$5:$B$2004,"&lt;="&amp;$B$4))</f>
        <v/>
      </c>
      <c r="G95" s="29" t="str">
        <f>IF(A95="","",E95*IFERROR(INDEX(Trabajadores!$D$5:$D$204,MATCH(A95,Trabajadores!$B$5:$B$204,0)),0))</f>
        <v/>
      </c>
      <c r="H95" s="29" t="str">
        <f t="shared" si="4"/>
        <v/>
      </c>
      <c r="I95" s="29" t="str">
        <f t="shared" si="5"/>
        <v/>
      </c>
    </row>
    <row r="96" spans="1:9" x14ac:dyDescent="0.3">
      <c r="A96" t="str">
        <f>IF(Trabajadores!B93="","",Trabajadores!B93)</f>
        <v/>
      </c>
      <c r="B96" t="str">
        <f>IF(A96="","",COUNTIFS(Detalle_Pagos!$E$5:$E$2004,A96,Detalle_Pagos!$B$5:$B$2004,"&gt;="&amp;$B$3,Detalle_Pagos!$B$5:$B$2004,"&lt;="&amp;$B$4))</f>
        <v/>
      </c>
      <c r="C96" s="29" t="str">
        <f>IF(A96="","",SUMIFS(Detalle_Pagos!$I$5:$I$2004,Detalle_Pagos!$E$5:$E$2004,A96,Detalle_Pagos!$J$5:$J$2004,"Si",Detalle_Pagos!$B$5:$B$2004,"&gt;="&amp;$B$3,Detalle_Pagos!$B$5:$B$2004,"&lt;="&amp;$B$4))</f>
        <v/>
      </c>
      <c r="D96" s="29" t="str">
        <f>IF(A96="","",SUMIFS(Detalle_Pagos!$I$5:$I$2004,Detalle_Pagos!$E$5:$E$2004,A96,Detalle_Pagos!$J$5:$J$2004,"No",Detalle_Pagos!$B$5:$B$2004,"&gt;="&amp;$B$3,Detalle_Pagos!$B$5:$B$2004,"&lt;="&amp;$B$4))</f>
        <v/>
      </c>
      <c r="E96" t="str">
        <f>IF(A96="","",COUNTIFS(Detalle_Pagos!$E$5:$E$2004,A96,Detalle_Pagos!$J$5:$J$2004,"No",Detalle_Pagos!$B$5:$B$2004,"&gt;="&amp;$B$3,Detalle_Pagos!$B$5:$B$2004,"&lt;="&amp;$B$4))</f>
        <v/>
      </c>
      <c r="F96" t="str">
        <f>IF(A96="","",COUNTIFS(Detalle_Pagos!$E$5:$E$2004,A96,Detalle_Pagos!$J$5:$J$2004,"Si",Detalle_Pagos!$B$5:$B$2004,"&gt;="&amp;$B$3,Detalle_Pagos!$B$5:$B$2004,"&lt;="&amp;$B$4))</f>
        <v/>
      </c>
      <c r="G96" s="29" t="str">
        <f>IF(A96="","",E96*IFERROR(INDEX(Trabajadores!$D$5:$D$204,MATCH(A96,Trabajadores!$B$5:$B$204,0)),0))</f>
        <v/>
      </c>
      <c r="H96" s="29" t="str">
        <f t="shared" si="4"/>
        <v/>
      </c>
      <c r="I96" s="29" t="str">
        <f t="shared" si="5"/>
        <v/>
      </c>
    </row>
    <row r="97" spans="1:9" x14ac:dyDescent="0.3">
      <c r="A97" t="str">
        <f>IF(Trabajadores!B94="","",Trabajadores!B94)</f>
        <v/>
      </c>
      <c r="B97" t="str">
        <f>IF(A97="","",COUNTIFS(Detalle_Pagos!$E$5:$E$2004,A97,Detalle_Pagos!$B$5:$B$2004,"&gt;="&amp;$B$3,Detalle_Pagos!$B$5:$B$2004,"&lt;="&amp;$B$4))</f>
        <v/>
      </c>
      <c r="C97" s="29" t="str">
        <f>IF(A97="","",SUMIFS(Detalle_Pagos!$I$5:$I$2004,Detalle_Pagos!$E$5:$E$2004,A97,Detalle_Pagos!$J$5:$J$2004,"Si",Detalle_Pagos!$B$5:$B$2004,"&gt;="&amp;$B$3,Detalle_Pagos!$B$5:$B$2004,"&lt;="&amp;$B$4))</f>
        <v/>
      </c>
      <c r="D97" s="29" t="str">
        <f>IF(A97="","",SUMIFS(Detalle_Pagos!$I$5:$I$2004,Detalle_Pagos!$E$5:$E$2004,A97,Detalle_Pagos!$J$5:$J$2004,"No",Detalle_Pagos!$B$5:$B$2004,"&gt;="&amp;$B$3,Detalle_Pagos!$B$5:$B$2004,"&lt;="&amp;$B$4))</f>
        <v/>
      </c>
      <c r="E97" t="str">
        <f>IF(A97="","",COUNTIFS(Detalle_Pagos!$E$5:$E$2004,A97,Detalle_Pagos!$J$5:$J$2004,"No",Detalle_Pagos!$B$5:$B$2004,"&gt;="&amp;$B$3,Detalle_Pagos!$B$5:$B$2004,"&lt;="&amp;$B$4))</f>
        <v/>
      </c>
      <c r="F97" t="str">
        <f>IF(A97="","",COUNTIFS(Detalle_Pagos!$E$5:$E$2004,A97,Detalle_Pagos!$J$5:$J$2004,"Si",Detalle_Pagos!$B$5:$B$2004,"&gt;="&amp;$B$3,Detalle_Pagos!$B$5:$B$2004,"&lt;="&amp;$B$4))</f>
        <v/>
      </c>
      <c r="G97" s="29" t="str">
        <f>IF(A97="","",E97*IFERROR(INDEX(Trabajadores!$D$5:$D$204,MATCH(A97,Trabajadores!$B$5:$B$204,0)),0))</f>
        <v/>
      </c>
      <c r="H97" s="29" t="str">
        <f t="shared" si="4"/>
        <v/>
      </c>
      <c r="I97" s="29" t="str">
        <f t="shared" si="5"/>
        <v/>
      </c>
    </row>
    <row r="98" spans="1:9" x14ac:dyDescent="0.3">
      <c r="A98" t="str">
        <f>IF(Trabajadores!B95="","",Trabajadores!B95)</f>
        <v/>
      </c>
      <c r="B98" t="str">
        <f>IF(A98="","",COUNTIFS(Detalle_Pagos!$E$5:$E$2004,A98,Detalle_Pagos!$B$5:$B$2004,"&gt;="&amp;$B$3,Detalle_Pagos!$B$5:$B$2004,"&lt;="&amp;$B$4))</f>
        <v/>
      </c>
      <c r="C98" s="29" t="str">
        <f>IF(A98="","",SUMIFS(Detalle_Pagos!$I$5:$I$2004,Detalle_Pagos!$E$5:$E$2004,A98,Detalle_Pagos!$J$5:$J$2004,"Si",Detalle_Pagos!$B$5:$B$2004,"&gt;="&amp;$B$3,Detalle_Pagos!$B$5:$B$2004,"&lt;="&amp;$B$4))</f>
        <v/>
      </c>
      <c r="D98" s="29" t="str">
        <f>IF(A98="","",SUMIFS(Detalle_Pagos!$I$5:$I$2004,Detalle_Pagos!$E$5:$E$2004,A98,Detalle_Pagos!$J$5:$J$2004,"No",Detalle_Pagos!$B$5:$B$2004,"&gt;="&amp;$B$3,Detalle_Pagos!$B$5:$B$2004,"&lt;="&amp;$B$4))</f>
        <v/>
      </c>
      <c r="E98" t="str">
        <f>IF(A98="","",COUNTIFS(Detalle_Pagos!$E$5:$E$2004,A98,Detalle_Pagos!$J$5:$J$2004,"No",Detalle_Pagos!$B$5:$B$2004,"&gt;="&amp;$B$3,Detalle_Pagos!$B$5:$B$2004,"&lt;="&amp;$B$4))</f>
        <v/>
      </c>
      <c r="F98" t="str">
        <f>IF(A98="","",COUNTIFS(Detalle_Pagos!$E$5:$E$2004,A98,Detalle_Pagos!$J$5:$J$2004,"Si",Detalle_Pagos!$B$5:$B$2004,"&gt;="&amp;$B$3,Detalle_Pagos!$B$5:$B$2004,"&lt;="&amp;$B$4))</f>
        <v/>
      </c>
      <c r="G98" s="29" t="str">
        <f>IF(A98="","",E98*IFERROR(INDEX(Trabajadores!$D$5:$D$204,MATCH(A98,Trabajadores!$B$5:$B$204,0)),0))</f>
        <v/>
      </c>
      <c r="H98" s="29" t="str">
        <f t="shared" si="4"/>
        <v/>
      </c>
      <c r="I98" s="29" t="str">
        <f t="shared" si="5"/>
        <v/>
      </c>
    </row>
    <row r="99" spans="1:9" x14ac:dyDescent="0.3">
      <c r="A99" t="str">
        <f>IF(Trabajadores!B96="","",Trabajadores!B96)</f>
        <v/>
      </c>
      <c r="B99" t="str">
        <f>IF(A99="","",COUNTIFS(Detalle_Pagos!$E$5:$E$2004,A99,Detalle_Pagos!$B$5:$B$2004,"&gt;="&amp;$B$3,Detalle_Pagos!$B$5:$B$2004,"&lt;="&amp;$B$4))</f>
        <v/>
      </c>
      <c r="C99" s="29" t="str">
        <f>IF(A99="","",SUMIFS(Detalle_Pagos!$I$5:$I$2004,Detalle_Pagos!$E$5:$E$2004,A99,Detalle_Pagos!$J$5:$J$2004,"Si",Detalle_Pagos!$B$5:$B$2004,"&gt;="&amp;$B$3,Detalle_Pagos!$B$5:$B$2004,"&lt;="&amp;$B$4))</f>
        <v/>
      </c>
      <c r="D99" s="29" t="str">
        <f>IF(A99="","",SUMIFS(Detalle_Pagos!$I$5:$I$2004,Detalle_Pagos!$E$5:$E$2004,A99,Detalle_Pagos!$J$5:$J$2004,"No",Detalle_Pagos!$B$5:$B$2004,"&gt;="&amp;$B$3,Detalle_Pagos!$B$5:$B$2004,"&lt;="&amp;$B$4))</f>
        <v/>
      </c>
      <c r="E99" t="str">
        <f>IF(A99="","",COUNTIFS(Detalle_Pagos!$E$5:$E$2004,A99,Detalle_Pagos!$J$5:$J$2004,"No",Detalle_Pagos!$B$5:$B$2004,"&gt;="&amp;$B$3,Detalle_Pagos!$B$5:$B$2004,"&lt;="&amp;$B$4))</f>
        <v/>
      </c>
      <c r="F99" t="str">
        <f>IF(A99="","",COUNTIFS(Detalle_Pagos!$E$5:$E$2004,A99,Detalle_Pagos!$J$5:$J$2004,"Si",Detalle_Pagos!$B$5:$B$2004,"&gt;="&amp;$B$3,Detalle_Pagos!$B$5:$B$2004,"&lt;="&amp;$B$4))</f>
        <v/>
      </c>
      <c r="G99" s="29" t="str">
        <f>IF(A99="","",E99*IFERROR(INDEX(Trabajadores!$D$5:$D$204,MATCH(A99,Trabajadores!$B$5:$B$204,0)),0))</f>
        <v/>
      </c>
      <c r="H99" s="29" t="str">
        <f t="shared" si="4"/>
        <v/>
      </c>
      <c r="I99" s="29" t="str">
        <f t="shared" si="5"/>
        <v/>
      </c>
    </row>
    <row r="100" spans="1:9" x14ac:dyDescent="0.3">
      <c r="A100" t="str">
        <f>IF(Trabajadores!B97="","",Trabajadores!B97)</f>
        <v/>
      </c>
      <c r="B100" t="str">
        <f>IF(A100="","",COUNTIFS(Detalle_Pagos!$E$5:$E$2004,A100,Detalle_Pagos!$B$5:$B$2004,"&gt;="&amp;$B$3,Detalle_Pagos!$B$5:$B$2004,"&lt;="&amp;$B$4))</f>
        <v/>
      </c>
      <c r="C100" s="29" t="str">
        <f>IF(A100="","",SUMIFS(Detalle_Pagos!$I$5:$I$2004,Detalle_Pagos!$E$5:$E$2004,A100,Detalle_Pagos!$J$5:$J$2004,"Si",Detalle_Pagos!$B$5:$B$2004,"&gt;="&amp;$B$3,Detalle_Pagos!$B$5:$B$2004,"&lt;="&amp;$B$4))</f>
        <v/>
      </c>
      <c r="D100" s="29" t="str">
        <f>IF(A100="","",SUMIFS(Detalle_Pagos!$I$5:$I$2004,Detalle_Pagos!$E$5:$E$2004,A100,Detalle_Pagos!$J$5:$J$2004,"No",Detalle_Pagos!$B$5:$B$2004,"&gt;="&amp;$B$3,Detalle_Pagos!$B$5:$B$2004,"&lt;="&amp;$B$4))</f>
        <v/>
      </c>
      <c r="E100" t="str">
        <f>IF(A100="","",COUNTIFS(Detalle_Pagos!$E$5:$E$2004,A100,Detalle_Pagos!$J$5:$J$2004,"No",Detalle_Pagos!$B$5:$B$2004,"&gt;="&amp;$B$3,Detalle_Pagos!$B$5:$B$2004,"&lt;="&amp;$B$4))</f>
        <v/>
      </c>
      <c r="F100" t="str">
        <f>IF(A100="","",COUNTIFS(Detalle_Pagos!$E$5:$E$2004,A100,Detalle_Pagos!$J$5:$J$2004,"Si",Detalle_Pagos!$B$5:$B$2004,"&gt;="&amp;$B$3,Detalle_Pagos!$B$5:$B$2004,"&lt;="&amp;$B$4))</f>
        <v/>
      </c>
      <c r="G100" s="29" t="str">
        <f>IF(A100="","",E100*IFERROR(INDEX(Trabajadores!$D$5:$D$204,MATCH(A100,Trabajadores!$B$5:$B$204,0)),0))</f>
        <v/>
      </c>
      <c r="H100" s="29" t="str">
        <f t="shared" si="4"/>
        <v/>
      </c>
      <c r="I100" s="29" t="str">
        <f t="shared" si="5"/>
        <v/>
      </c>
    </row>
    <row r="101" spans="1:9" x14ac:dyDescent="0.3">
      <c r="A101" t="str">
        <f>IF(Trabajadores!B98="","",Trabajadores!B98)</f>
        <v/>
      </c>
      <c r="B101" t="str">
        <f>IF(A101="","",COUNTIFS(Detalle_Pagos!$E$5:$E$2004,A101,Detalle_Pagos!$B$5:$B$2004,"&gt;="&amp;$B$3,Detalle_Pagos!$B$5:$B$2004,"&lt;="&amp;$B$4))</f>
        <v/>
      </c>
      <c r="C101" s="29" t="str">
        <f>IF(A101="","",SUMIFS(Detalle_Pagos!$I$5:$I$2004,Detalle_Pagos!$E$5:$E$2004,A101,Detalle_Pagos!$J$5:$J$2004,"Si",Detalle_Pagos!$B$5:$B$2004,"&gt;="&amp;$B$3,Detalle_Pagos!$B$5:$B$2004,"&lt;="&amp;$B$4))</f>
        <v/>
      </c>
      <c r="D101" s="29" t="str">
        <f>IF(A101="","",SUMIFS(Detalle_Pagos!$I$5:$I$2004,Detalle_Pagos!$E$5:$E$2004,A101,Detalle_Pagos!$J$5:$J$2004,"No",Detalle_Pagos!$B$5:$B$2004,"&gt;="&amp;$B$3,Detalle_Pagos!$B$5:$B$2004,"&lt;="&amp;$B$4))</f>
        <v/>
      </c>
      <c r="E101" t="str">
        <f>IF(A101="","",COUNTIFS(Detalle_Pagos!$E$5:$E$2004,A101,Detalle_Pagos!$J$5:$J$2004,"No",Detalle_Pagos!$B$5:$B$2004,"&gt;="&amp;$B$3,Detalle_Pagos!$B$5:$B$2004,"&lt;="&amp;$B$4))</f>
        <v/>
      </c>
      <c r="F101" t="str">
        <f>IF(A101="","",COUNTIFS(Detalle_Pagos!$E$5:$E$2004,A101,Detalle_Pagos!$J$5:$J$2004,"Si",Detalle_Pagos!$B$5:$B$2004,"&gt;="&amp;$B$3,Detalle_Pagos!$B$5:$B$2004,"&lt;="&amp;$B$4))</f>
        <v/>
      </c>
      <c r="G101" s="29" t="str">
        <f>IF(A101="","",E101*IFERROR(INDEX(Trabajadores!$D$5:$D$204,MATCH(A101,Trabajadores!$B$5:$B$204,0)),0))</f>
        <v/>
      </c>
      <c r="H101" s="29" t="str">
        <f t="shared" si="4"/>
        <v/>
      </c>
      <c r="I101" s="29" t="str">
        <f t="shared" si="5"/>
        <v/>
      </c>
    </row>
    <row r="102" spans="1:9" x14ac:dyDescent="0.3">
      <c r="A102" t="str">
        <f>IF(Trabajadores!B99="","",Trabajadores!B99)</f>
        <v/>
      </c>
      <c r="B102" t="str">
        <f>IF(A102="","",COUNTIFS(Detalle_Pagos!$E$5:$E$2004,A102,Detalle_Pagos!$B$5:$B$2004,"&gt;="&amp;$B$3,Detalle_Pagos!$B$5:$B$2004,"&lt;="&amp;$B$4))</f>
        <v/>
      </c>
      <c r="C102" s="29" t="str">
        <f>IF(A102="","",SUMIFS(Detalle_Pagos!$I$5:$I$2004,Detalle_Pagos!$E$5:$E$2004,A102,Detalle_Pagos!$J$5:$J$2004,"Si",Detalle_Pagos!$B$5:$B$2004,"&gt;="&amp;$B$3,Detalle_Pagos!$B$5:$B$2004,"&lt;="&amp;$B$4))</f>
        <v/>
      </c>
      <c r="D102" s="29" t="str">
        <f>IF(A102="","",SUMIFS(Detalle_Pagos!$I$5:$I$2004,Detalle_Pagos!$E$5:$E$2004,A102,Detalle_Pagos!$J$5:$J$2004,"No",Detalle_Pagos!$B$5:$B$2004,"&gt;="&amp;$B$3,Detalle_Pagos!$B$5:$B$2004,"&lt;="&amp;$B$4))</f>
        <v/>
      </c>
      <c r="E102" t="str">
        <f>IF(A102="","",COUNTIFS(Detalle_Pagos!$E$5:$E$2004,A102,Detalle_Pagos!$J$5:$J$2004,"No",Detalle_Pagos!$B$5:$B$2004,"&gt;="&amp;$B$3,Detalle_Pagos!$B$5:$B$2004,"&lt;="&amp;$B$4))</f>
        <v/>
      </c>
      <c r="F102" t="str">
        <f>IF(A102="","",COUNTIFS(Detalle_Pagos!$E$5:$E$2004,A102,Detalle_Pagos!$J$5:$J$2004,"Si",Detalle_Pagos!$B$5:$B$2004,"&gt;="&amp;$B$3,Detalle_Pagos!$B$5:$B$2004,"&lt;="&amp;$B$4))</f>
        <v/>
      </c>
      <c r="G102" s="29" t="str">
        <f>IF(A102="","",E102*IFERROR(INDEX(Trabajadores!$D$5:$D$204,MATCH(A102,Trabajadores!$B$5:$B$204,0)),0))</f>
        <v/>
      </c>
      <c r="H102" s="29" t="str">
        <f t="shared" si="4"/>
        <v/>
      </c>
      <c r="I102" s="29" t="str">
        <f t="shared" si="5"/>
        <v/>
      </c>
    </row>
    <row r="103" spans="1:9" x14ac:dyDescent="0.3">
      <c r="A103" t="str">
        <f>IF(Trabajadores!B100="","",Trabajadores!B100)</f>
        <v/>
      </c>
      <c r="B103" t="str">
        <f>IF(A103="","",COUNTIFS(Detalle_Pagos!$E$5:$E$2004,A103,Detalle_Pagos!$B$5:$B$2004,"&gt;="&amp;$B$3,Detalle_Pagos!$B$5:$B$2004,"&lt;="&amp;$B$4))</f>
        <v/>
      </c>
      <c r="C103" s="29" t="str">
        <f>IF(A103="","",SUMIFS(Detalle_Pagos!$I$5:$I$2004,Detalle_Pagos!$E$5:$E$2004,A103,Detalle_Pagos!$J$5:$J$2004,"Si",Detalle_Pagos!$B$5:$B$2004,"&gt;="&amp;$B$3,Detalle_Pagos!$B$5:$B$2004,"&lt;="&amp;$B$4))</f>
        <v/>
      </c>
      <c r="D103" s="29" t="str">
        <f>IF(A103="","",SUMIFS(Detalle_Pagos!$I$5:$I$2004,Detalle_Pagos!$E$5:$E$2004,A103,Detalle_Pagos!$J$5:$J$2004,"No",Detalle_Pagos!$B$5:$B$2004,"&gt;="&amp;$B$3,Detalle_Pagos!$B$5:$B$2004,"&lt;="&amp;$B$4))</f>
        <v/>
      </c>
      <c r="E103" t="str">
        <f>IF(A103="","",COUNTIFS(Detalle_Pagos!$E$5:$E$2004,A103,Detalle_Pagos!$J$5:$J$2004,"No",Detalle_Pagos!$B$5:$B$2004,"&gt;="&amp;$B$3,Detalle_Pagos!$B$5:$B$2004,"&lt;="&amp;$B$4))</f>
        <v/>
      </c>
      <c r="F103" t="str">
        <f>IF(A103="","",COUNTIFS(Detalle_Pagos!$E$5:$E$2004,A103,Detalle_Pagos!$J$5:$J$2004,"Si",Detalle_Pagos!$B$5:$B$2004,"&gt;="&amp;$B$3,Detalle_Pagos!$B$5:$B$2004,"&lt;="&amp;$B$4))</f>
        <v/>
      </c>
      <c r="G103" s="29" t="str">
        <f>IF(A103="","",E103*IFERROR(INDEX(Trabajadores!$D$5:$D$204,MATCH(A103,Trabajadores!$B$5:$B$204,0)),0))</f>
        <v/>
      </c>
      <c r="H103" s="29" t="str">
        <f t="shared" si="4"/>
        <v/>
      </c>
      <c r="I103" s="29" t="str">
        <f t="shared" si="5"/>
        <v/>
      </c>
    </row>
    <row r="104" spans="1:9" x14ac:dyDescent="0.3">
      <c r="A104" t="str">
        <f>IF(Trabajadores!B101="","",Trabajadores!B101)</f>
        <v/>
      </c>
      <c r="B104" t="str">
        <f>IF(A104="","",COUNTIFS(Detalle_Pagos!$E$5:$E$2004,A104,Detalle_Pagos!$B$5:$B$2004,"&gt;="&amp;$B$3,Detalle_Pagos!$B$5:$B$2004,"&lt;="&amp;$B$4))</f>
        <v/>
      </c>
      <c r="C104" s="29" t="str">
        <f>IF(A104="","",SUMIFS(Detalle_Pagos!$I$5:$I$2004,Detalle_Pagos!$E$5:$E$2004,A104,Detalle_Pagos!$J$5:$J$2004,"Si",Detalle_Pagos!$B$5:$B$2004,"&gt;="&amp;$B$3,Detalle_Pagos!$B$5:$B$2004,"&lt;="&amp;$B$4))</f>
        <v/>
      </c>
      <c r="D104" s="29" t="str">
        <f>IF(A104="","",SUMIFS(Detalle_Pagos!$I$5:$I$2004,Detalle_Pagos!$E$5:$E$2004,A104,Detalle_Pagos!$J$5:$J$2004,"No",Detalle_Pagos!$B$5:$B$2004,"&gt;="&amp;$B$3,Detalle_Pagos!$B$5:$B$2004,"&lt;="&amp;$B$4))</f>
        <v/>
      </c>
      <c r="E104" t="str">
        <f>IF(A104="","",COUNTIFS(Detalle_Pagos!$E$5:$E$2004,A104,Detalle_Pagos!$J$5:$J$2004,"No",Detalle_Pagos!$B$5:$B$2004,"&gt;="&amp;$B$3,Detalle_Pagos!$B$5:$B$2004,"&lt;="&amp;$B$4))</f>
        <v/>
      </c>
      <c r="F104" t="str">
        <f>IF(A104="","",COUNTIFS(Detalle_Pagos!$E$5:$E$2004,A104,Detalle_Pagos!$J$5:$J$2004,"Si",Detalle_Pagos!$B$5:$B$2004,"&gt;="&amp;$B$3,Detalle_Pagos!$B$5:$B$2004,"&lt;="&amp;$B$4))</f>
        <v/>
      </c>
      <c r="G104" s="29" t="str">
        <f>IF(A104="","",E104*IFERROR(INDEX(Trabajadores!$D$5:$D$204,MATCH(A104,Trabajadores!$B$5:$B$204,0)),0))</f>
        <v/>
      </c>
      <c r="H104" s="29" t="str">
        <f t="shared" ref="H104:H135" si="6">IF(A104="","",D104+G104)</f>
        <v/>
      </c>
      <c r="I104" s="29" t="str">
        <f t="shared" ref="I104:I135" si="7">IF(A104="","",C104+D104)</f>
        <v/>
      </c>
    </row>
    <row r="105" spans="1:9" x14ac:dyDescent="0.3">
      <c r="A105" t="str">
        <f>IF(Trabajadores!B102="","",Trabajadores!B102)</f>
        <v/>
      </c>
      <c r="B105" t="str">
        <f>IF(A105="","",COUNTIFS(Detalle_Pagos!$E$5:$E$2004,A105,Detalle_Pagos!$B$5:$B$2004,"&gt;="&amp;$B$3,Detalle_Pagos!$B$5:$B$2004,"&lt;="&amp;$B$4))</f>
        <v/>
      </c>
      <c r="C105" s="29" t="str">
        <f>IF(A105="","",SUMIFS(Detalle_Pagos!$I$5:$I$2004,Detalle_Pagos!$E$5:$E$2004,A105,Detalle_Pagos!$J$5:$J$2004,"Si",Detalle_Pagos!$B$5:$B$2004,"&gt;="&amp;$B$3,Detalle_Pagos!$B$5:$B$2004,"&lt;="&amp;$B$4))</f>
        <v/>
      </c>
      <c r="D105" s="29" t="str">
        <f>IF(A105="","",SUMIFS(Detalle_Pagos!$I$5:$I$2004,Detalle_Pagos!$E$5:$E$2004,A105,Detalle_Pagos!$J$5:$J$2004,"No",Detalle_Pagos!$B$5:$B$2004,"&gt;="&amp;$B$3,Detalle_Pagos!$B$5:$B$2004,"&lt;="&amp;$B$4))</f>
        <v/>
      </c>
      <c r="E105" t="str">
        <f>IF(A105="","",COUNTIFS(Detalle_Pagos!$E$5:$E$2004,A105,Detalle_Pagos!$J$5:$J$2004,"No",Detalle_Pagos!$B$5:$B$2004,"&gt;="&amp;$B$3,Detalle_Pagos!$B$5:$B$2004,"&lt;="&amp;$B$4))</f>
        <v/>
      </c>
      <c r="F105" t="str">
        <f>IF(A105="","",COUNTIFS(Detalle_Pagos!$E$5:$E$2004,A105,Detalle_Pagos!$J$5:$J$2004,"Si",Detalle_Pagos!$B$5:$B$2004,"&gt;="&amp;$B$3,Detalle_Pagos!$B$5:$B$2004,"&lt;="&amp;$B$4))</f>
        <v/>
      </c>
      <c r="G105" s="29" t="str">
        <f>IF(A105="","",E105*IFERROR(INDEX(Trabajadores!$D$5:$D$204,MATCH(A105,Trabajadores!$B$5:$B$204,0)),0))</f>
        <v/>
      </c>
      <c r="H105" s="29" t="str">
        <f t="shared" si="6"/>
        <v/>
      </c>
      <c r="I105" s="29" t="str">
        <f t="shared" si="7"/>
        <v/>
      </c>
    </row>
    <row r="106" spans="1:9" x14ac:dyDescent="0.3">
      <c r="A106" t="str">
        <f>IF(Trabajadores!B103="","",Trabajadores!B103)</f>
        <v/>
      </c>
      <c r="B106" t="str">
        <f>IF(A106="","",COUNTIFS(Detalle_Pagos!$E$5:$E$2004,A106,Detalle_Pagos!$B$5:$B$2004,"&gt;="&amp;$B$3,Detalle_Pagos!$B$5:$B$2004,"&lt;="&amp;$B$4))</f>
        <v/>
      </c>
      <c r="C106" s="29" t="str">
        <f>IF(A106="","",SUMIFS(Detalle_Pagos!$I$5:$I$2004,Detalle_Pagos!$E$5:$E$2004,A106,Detalle_Pagos!$J$5:$J$2004,"Si",Detalle_Pagos!$B$5:$B$2004,"&gt;="&amp;$B$3,Detalle_Pagos!$B$5:$B$2004,"&lt;="&amp;$B$4))</f>
        <v/>
      </c>
      <c r="D106" s="29" t="str">
        <f>IF(A106="","",SUMIFS(Detalle_Pagos!$I$5:$I$2004,Detalle_Pagos!$E$5:$E$2004,A106,Detalle_Pagos!$J$5:$J$2004,"No",Detalle_Pagos!$B$5:$B$2004,"&gt;="&amp;$B$3,Detalle_Pagos!$B$5:$B$2004,"&lt;="&amp;$B$4))</f>
        <v/>
      </c>
      <c r="E106" t="str">
        <f>IF(A106="","",COUNTIFS(Detalle_Pagos!$E$5:$E$2004,A106,Detalle_Pagos!$J$5:$J$2004,"No",Detalle_Pagos!$B$5:$B$2004,"&gt;="&amp;$B$3,Detalle_Pagos!$B$5:$B$2004,"&lt;="&amp;$B$4))</f>
        <v/>
      </c>
      <c r="F106" t="str">
        <f>IF(A106="","",COUNTIFS(Detalle_Pagos!$E$5:$E$2004,A106,Detalle_Pagos!$J$5:$J$2004,"Si",Detalle_Pagos!$B$5:$B$2004,"&gt;="&amp;$B$3,Detalle_Pagos!$B$5:$B$2004,"&lt;="&amp;$B$4))</f>
        <v/>
      </c>
      <c r="G106" s="29" t="str">
        <f>IF(A106="","",E106*IFERROR(INDEX(Trabajadores!$D$5:$D$204,MATCH(A106,Trabajadores!$B$5:$B$204,0)),0))</f>
        <v/>
      </c>
      <c r="H106" s="29" t="str">
        <f t="shared" si="6"/>
        <v/>
      </c>
      <c r="I106" s="29" t="str">
        <f t="shared" si="7"/>
        <v/>
      </c>
    </row>
    <row r="107" spans="1:9" x14ac:dyDescent="0.3">
      <c r="A107" t="str">
        <f>IF(Trabajadores!B104="","",Trabajadores!B104)</f>
        <v/>
      </c>
      <c r="B107" t="str">
        <f>IF(A107="","",COUNTIFS(Detalle_Pagos!$E$5:$E$2004,A107,Detalle_Pagos!$B$5:$B$2004,"&gt;="&amp;$B$3,Detalle_Pagos!$B$5:$B$2004,"&lt;="&amp;$B$4))</f>
        <v/>
      </c>
      <c r="C107" s="29" t="str">
        <f>IF(A107="","",SUMIFS(Detalle_Pagos!$I$5:$I$2004,Detalle_Pagos!$E$5:$E$2004,A107,Detalle_Pagos!$J$5:$J$2004,"Si",Detalle_Pagos!$B$5:$B$2004,"&gt;="&amp;$B$3,Detalle_Pagos!$B$5:$B$2004,"&lt;="&amp;$B$4))</f>
        <v/>
      </c>
      <c r="D107" s="29" t="str">
        <f>IF(A107="","",SUMIFS(Detalle_Pagos!$I$5:$I$2004,Detalle_Pagos!$E$5:$E$2004,A107,Detalle_Pagos!$J$5:$J$2004,"No",Detalle_Pagos!$B$5:$B$2004,"&gt;="&amp;$B$3,Detalle_Pagos!$B$5:$B$2004,"&lt;="&amp;$B$4))</f>
        <v/>
      </c>
      <c r="E107" t="str">
        <f>IF(A107="","",COUNTIFS(Detalle_Pagos!$E$5:$E$2004,A107,Detalle_Pagos!$J$5:$J$2004,"No",Detalle_Pagos!$B$5:$B$2004,"&gt;="&amp;$B$3,Detalle_Pagos!$B$5:$B$2004,"&lt;="&amp;$B$4))</f>
        <v/>
      </c>
      <c r="F107" t="str">
        <f>IF(A107="","",COUNTIFS(Detalle_Pagos!$E$5:$E$2004,A107,Detalle_Pagos!$J$5:$J$2004,"Si",Detalle_Pagos!$B$5:$B$2004,"&gt;="&amp;$B$3,Detalle_Pagos!$B$5:$B$2004,"&lt;="&amp;$B$4))</f>
        <v/>
      </c>
      <c r="G107" s="29" t="str">
        <f>IF(A107="","",E107*IFERROR(INDEX(Trabajadores!$D$5:$D$204,MATCH(A107,Trabajadores!$B$5:$B$204,0)),0))</f>
        <v/>
      </c>
      <c r="H107" s="29" t="str">
        <f t="shared" si="6"/>
        <v/>
      </c>
      <c r="I107" s="29" t="str">
        <f t="shared" si="7"/>
        <v/>
      </c>
    </row>
    <row r="108" spans="1:9" x14ac:dyDescent="0.3">
      <c r="A108" t="str">
        <f>IF(Trabajadores!B105="","",Trabajadores!B105)</f>
        <v/>
      </c>
      <c r="B108" t="str">
        <f>IF(A108="","",COUNTIFS(Detalle_Pagos!$E$5:$E$2004,A108,Detalle_Pagos!$B$5:$B$2004,"&gt;="&amp;$B$3,Detalle_Pagos!$B$5:$B$2004,"&lt;="&amp;$B$4))</f>
        <v/>
      </c>
      <c r="C108" s="29" t="str">
        <f>IF(A108="","",SUMIFS(Detalle_Pagos!$I$5:$I$2004,Detalle_Pagos!$E$5:$E$2004,A108,Detalle_Pagos!$J$5:$J$2004,"Si",Detalle_Pagos!$B$5:$B$2004,"&gt;="&amp;$B$3,Detalle_Pagos!$B$5:$B$2004,"&lt;="&amp;$B$4))</f>
        <v/>
      </c>
      <c r="D108" s="29" t="str">
        <f>IF(A108="","",SUMIFS(Detalle_Pagos!$I$5:$I$2004,Detalle_Pagos!$E$5:$E$2004,A108,Detalle_Pagos!$J$5:$J$2004,"No",Detalle_Pagos!$B$5:$B$2004,"&gt;="&amp;$B$3,Detalle_Pagos!$B$5:$B$2004,"&lt;="&amp;$B$4))</f>
        <v/>
      </c>
      <c r="E108" t="str">
        <f>IF(A108="","",COUNTIFS(Detalle_Pagos!$E$5:$E$2004,A108,Detalle_Pagos!$J$5:$J$2004,"No",Detalle_Pagos!$B$5:$B$2004,"&gt;="&amp;$B$3,Detalle_Pagos!$B$5:$B$2004,"&lt;="&amp;$B$4))</f>
        <v/>
      </c>
      <c r="F108" t="str">
        <f>IF(A108="","",COUNTIFS(Detalle_Pagos!$E$5:$E$2004,A108,Detalle_Pagos!$J$5:$J$2004,"Si",Detalle_Pagos!$B$5:$B$2004,"&gt;="&amp;$B$3,Detalle_Pagos!$B$5:$B$2004,"&lt;="&amp;$B$4))</f>
        <v/>
      </c>
      <c r="G108" s="29" t="str">
        <f>IF(A108="","",E108*IFERROR(INDEX(Trabajadores!$D$5:$D$204,MATCH(A108,Trabajadores!$B$5:$B$204,0)),0))</f>
        <v/>
      </c>
      <c r="H108" s="29" t="str">
        <f t="shared" si="6"/>
        <v/>
      </c>
      <c r="I108" s="29" t="str">
        <f t="shared" si="7"/>
        <v/>
      </c>
    </row>
    <row r="109" spans="1:9" x14ac:dyDescent="0.3">
      <c r="A109" t="str">
        <f>IF(Trabajadores!B106="","",Trabajadores!B106)</f>
        <v/>
      </c>
      <c r="B109" t="str">
        <f>IF(A109="","",COUNTIFS(Detalle_Pagos!$E$5:$E$2004,A109,Detalle_Pagos!$B$5:$B$2004,"&gt;="&amp;$B$3,Detalle_Pagos!$B$5:$B$2004,"&lt;="&amp;$B$4))</f>
        <v/>
      </c>
      <c r="C109" s="29" t="str">
        <f>IF(A109="","",SUMIFS(Detalle_Pagos!$I$5:$I$2004,Detalle_Pagos!$E$5:$E$2004,A109,Detalle_Pagos!$J$5:$J$2004,"Si",Detalle_Pagos!$B$5:$B$2004,"&gt;="&amp;$B$3,Detalle_Pagos!$B$5:$B$2004,"&lt;="&amp;$B$4))</f>
        <v/>
      </c>
      <c r="D109" s="29" t="str">
        <f>IF(A109="","",SUMIFS(Detalle_Pagos!$I$5:$I$2004,Detalle_Pagos!$E$5:$E$2004,A109,Detalle_Pagos!$J$5:$J$2004,"No",Detalle_Pagos!$B$5:$B$2004,"&gt;="&amp;$B$3,Detalle_Pagos!$B$5:$B$2004,"&lt;="&amp;$B$4))</f>
        <v/>
      </c>
      <c r="E109" t="str">
        <f>IF(A109="","",COUNTIFS(Detalle_Pagos!$E$5:$E$2004,A109,Detalle_Pagos!$J$5:$J$2004,"No",Detalle_Pagos!$B$5:$B$2004,"&gt;="&amp;$B$3,Detalle_Pagos!$B$5:$B$2004,"&lt;="&amp;$B$4))</f>
        <v/>
      </c>
      <c r="F109" t="str">
        <f>IF(A109="","",COUNTIFS(Detalle_Pagos!$E$5:$E$2004,A109,Detalle_Pagos!$J$5:$J$2004,"Si",Detalle_Pagos!$B$5:$B$2004,"&gt;="&amp;$B$3,Detalle_Pagos!$B$5:$B$2004,"&lt;="&amp;$B$4))</f>
        <v/>
      </c>
      <c r="G109" s="29" t="str">
        <f>IF(A109="","",E109*IFERROR(INDEX(Trabajadores!$D$5:$D$204,MATCH(A109,Trabajadores!$B$5:$B$204,0)),0))</f>
        <v/>
      </c>
      <c r="H109" s="29" t="str">
        <f t="shared" si="6"/>
        <v/>
      </c>
      <c r="I109" s="29" t="str">
        <f t="shared" si="7"/>
        <v/>
      </c>
    </row>
    <row r="110" spans="1:9" x14ac:dyDescent="0.3">
      <c r="A110" t="str">
        <f>IF(Trabajadores!B107="","",Trabajadores!B107)</f>
        <v/>
      </c>
      <c r="B110" t="str">
        <f>IF(A110="","",COUNTIFS(Detalle_Pagos!$E$5:$E$2004,A110,Detalle_Pagos!$B$5:$B$2004,"&gt;="&amp;$B$3,Detalle_Pagos!$B$5:$B$2004,"&lt;="&amp;$B$4))</f>
        <v/>
      </c>
      <c r="C110" s="29" t="str">
        <f>IF(A110="","",SUMIFS(Detalle_Pagos!$I$5:$I$2004,Detalle_Pagos!$E$5:$E$2004,A110,Detalle_Pagos!$J$5:$J$2004,"Si",Detalle_Pagos!$B$5:$B$2004,"&gt;="&amp;$B$3,Detalle_Pagos!$B$5:$B$2004,"&lt;="&amp;$B$4))</f>
        <v/>
      </c>
      <c r="D110" s="29" t="str">
        <f>IF(A110="","",SUMIFS(Detalle_Pagos!$I$5:$I$2004,Detalle_Pagos!$E$5:$E$2004,A110,Detalle_Pagos!$J$5:$J$2004,"No",Detalle_Pagos!$B$5:$B$2004,"&gt;="&amp;$B$3,Detalle_Pagos!$B$5:$B$2004,"&lt;="&amp;$B$4))</f>
        <v/>
      </c>
      <c r="E110" t="str">
        <f>IF(A110="","",COUNTIFS(Detalle_Pagos!$E$5:$E$2004,A110,Detalle_Pagos!$J$5:$J$2004,"No",Detalle_Pagos!$B$5:$B$2004,"&gt;="&amp;$B$3,Detalle_Pagos!$B$5:$B$2004,"&lt;="&amp;$B$4))</f>
        <v/>
      </c>
      <c r="F110" t="str">
        <f>IF(A110="","",COUNTIFS(Detalle_Pagos!$E$5:$E$2004,A110,Detalle_Pagos!$J$5:$J$2004,"Si",Detalle_Pagos!$B$5:$B$2004,"&gt;="&amp;$B$3,Detalle_Pagos!$B$5:$B$2004,"&lt;="&amp;$B$4))</f>
        <v/>
      </c>
      <c r="G110" s="29" t="str">
        <f>IF(A110="","",E110*IFERROR(INDEX(Trabajadores!$D$5:$D$204,MATCH(A110,Trabajadores!$B$5:$B$204,0)),0))</f>
        <v/>
      </c>
      <c r="H110" s="29" t="str">
        <f t="shared" si="6"/>
        <v/>
      </c>
      <c r="I110" s="29" t="str">
        <f t="shared" si="7"/>
        <v/>
      </c>
    </row>
    <row r="111" spans="1:9" x14ac:dyDescent="0.3">
      <c r="A111" t="str">
        <f>IF(Trabajadores!B108="","",Trabajadores!B108)</f>
        <v/>
      </c>
      <c r="B111" t="str">
        <f>IF(A111="","",COUNTIFS(Detalle_Pagos!$E$5:$E$2004,A111,Detalle_Pagos!$B$5:$B$2004,"&gt;="&amp;$B$3,Detalle_Pagos!$B$5:$B$2004,"&lt;="&amp;$B$4))</f>
        <v/>
      </c>
      <c r="C111" s="29" t="str">
        <f>IF(A111="","",SUMIFS(Detalle_Pagos!$I$5:$I$2004,Detalle_Pagos!$E$5:$E$2004,A111,Detalle_Pagos!$J$5:$J$2004,"Si",Detalle_Pagos!$B$5:$B$2004,"&gt;="&amp;$B$3,Detalle_Pagos!$B$5:$B$2004,"&lt;="&amp;$B$4))</f>
        <v/>
      </c>
      <c r="D111" s="29" t="str">
        <f>IF(A111="","",SUMIFS(Detalle_Pagos!$I$5:$I$2004,Detalle_Pagos!$E$5:$E$2004,A111,Detalle_Pagos!$J$5:$J$2004,"No",Detalle_Pagos!$B$5:$B$2004,"&gt;="&amp;$B$3,Detalle_Pagos!$B$5:$B$2004,"&lt;="&amp;$B$4))</f>
        <v/>
      </c>
      <c r="E111" t="str">
        <f>IF(A111="","",COUNTIFS(Detalle_Pagos!$E$5:$E$2004,A111,Detalle_Pagos!$J$5:$J$2004,"No",Detalle_Pagos!$B$5:$B$2004,"&gt;="&amp;$B$3,Detalle_Pagos!$B$5:$B$2004,"&lt;="&amp;$B$4))</f>
        <v/>
      </c>
      <c r="F111" t="str">
        <f>IF(A111="","",COUNTIFS(Detalle_Pagos!$E$5:$E$2004,A111,Detalle_Pagos!$J$5:$J$2004,"Si",Detalle_Pagos!$B$5:$B$2004,"&gt;="&amp;$B$3,Detalle_Pagos!$B$5:$B$2004,"&lt;="&amp;$B$4))</f>
        <v/>
      </c>
      <c r="G111" s="29" t="str">
        <f>IF(A111="","",E111*IFERROR(INDEX(Trabajadores!$D$5:$D$204,MATCH(A111,Trabajadores!$B$5:$B$204,0)),0))</f>
        <v/>
      </c>
      <c r="H111" s="29" t="str">
        <f t="shared" si="6"/>
        <v/>
      </c>
      <c r="I111" s="29" t="str">
        <f t="shared" si="7"/>
        <v/>
      </c>
    </row>
    <row r="112" spans="1:9" x14ac:dyDescent="0.3">
      <c r="A112" t="str">
        <f>IF(Trabajadores!B109="","",Trabajadores!B109)</f>
        <v/>
      </c>
      <c r="B112" t="str">
        <f>IF(A112="","",COUNTIFS(Detalle_Pagos!$E$5:$E$2004,A112,Detalle_Pagos!$B$5:$B$2004,"&gt;="&amp;$B$3,Detalle_Pagos!$B$5:$B$2004,"&lt;="&amp;$B$4))</f>
        <v/>
      </c>
      <c r="C112" s="29" t="str">
        <f>IF(A112="","",SUMIFS(Detalle_Pagos!$I$5:$I$2004,Detalle_Pagos!$E$5:$E$2004,A112,Detalle_Pagos!$J$5:$J$2004,"Si",Detalle_Pagos!$B$5:$B$2004,"&gt;="&amp;$B$3,Detalle_Pagos!$B$5:$B$2004,"&lt;="&amp;$B$4))</f>
        <v/>
      </c>
      <c r="D112" s="29" t="str">
        <f>IF(A112="","",SUMIFS(Detalle_Pagos!$I$5:$I$2004,Detalle_Pagos!$E$5:$E$2004,A112,Detalle_Pagos!$J$5:$J$2004,"No",Detalle_Pagos!$B$5:$B$2004,"&gt;="&amp;$B$3,Detalle_Pagos!$B$5:$B$2004,"&lt;="&amp;$B$4))</f>
        <v/>
      </c>
      <c r="E112" t="str">
        <f>IF(A112="","",COUNTIFS(Detalle_Pagos!$E$5:$E$2004,A112,Detalle_Pagos!$J$5:$J$2004,"No",Detalle_Pagos!$B$5:$B$2004,"&gt;="&amp;$B$3,Detalle_Pagos!$B$5:$B$2004,"&lt;="&amp;$B$4))</f>
        <v/>
      </c>
      <c r="F112" t="str">
        <f>IF(A112="","",COUNTIFS(Detalle_Pagos!$E$5:$E$2004,A112,Detalle_Pagos!$J$5:$J$2004,"Si",Detalle_Pagos!$B$5:$B$2004,"&gt;="&amp;$B$3,Detalle_Pagos!$B$5:$B$2004,"&lt;="&amp;$B$4))</f>
        <v/>
      </c>
      <c r="G112" s="29" t="str">
        <f>IF(A112="","",E112*IFERROR(INDEX(Trabajadores!$D$5:$D$204,MATCH(A112,Trabajadores!$B$5:$B$204,0)),0))</f>
        <v/>
      </c>
      <c r="H112" s="29" t="str">
        <f t="shared" si="6"/>
        <v/>
      </c>
      <c r="I112" s="29" t="str">
        <f t="shared" si="7"/>
        <v/>
      </c>
    </row>
    <row r="113" spans="1:9" x14ac:dyDescent="0.3">
      <c r="A113" t="str">
        <f>IF(Trabajadores!B110="","",Trabajadores!B110)</f>
        <v/>
      </c>
      <c r="B113" t="str">
        <f>IF(A113="","",COUNTIFS(Detalle_Pagos!$E$5:$E$2004,A113,Detalle_Pagos!$B$5:$B$2004,"&gt;="&amp;$B$3,Detalle_Pagos!$B$5:$B$2004,"&lt;="&amp;$B$4))</f>
        <v/>
      </c>
      <c r="C113" s="29" t="str">
        <f>IF(A113="","",SUMIFS(Detalle_Pagos!$I$5:$I$2004,Detalle_Pagos!$E$5:$E$2004,A113,Detalle_Pagos!$J$5:$J$2004,"Si",Detalle_Pagos!$B$5:$B$2004,"&gt;="&amp;$B$3,Detalle_Pagos!$B$5:$B$2004,"&lt;="&amp;$B$4))</f>
        <v/>
      </c>
      <c r="D113" s="29" t="str">
        <f>IF(A113="","",SUMIFS(Detalle_Pagos!$I$5:$I$2004,Detalle_Pagos!$E$5:$E$2004,A113,Detalle_Pagos!$J$5:$J$2004,"No",Detalle_Pagos!$B$5:$B$2004,"&gt;="&amp;$B$3,Detalle_Pagos!$B$5:$B$2004,"&lt;="&amp;$B$4))</f>
        <v/>
      </c>
      <c r="E113" t="str">
        <f>IF(A113="","",COUNTIFS(Detalle_Pagos!$E$5:$E$2004,A113,Detalle_Pagos!$J$5:$J$2004,"No",Detalle_Pagos!$B$5:$B$2004,"&gt;="&amp;$B$3,Detalle_Pagos!$B$5:$B$2004,"&lt;="&amp;$B$4))</f>
        <v/>
      </c>
      <c r="F113" t="str">
        <f>IF(A113="","",COUNTIFS(Detalle_Pagos!$E$5:$E$2004,A113,Detalle_Pagos!$J$5:$J$2004,"Si",Detalle_Pagos!$B$5:$B$2004,"&gt;="&amp;$B$3,Detalle_Pagos!$B$5:$B$2004,"&lt;="&amp;$B$4))</f>
        <v/>
      </c>
      <c r="G113" s="29" t="str">
        <f>IF(A113="","",E113*IFERROR(INDEX(Trabajadores!$D$5:$D$204,MATCH(A113,Trabajadores!$B$5:$B$204,0)),0))</f>
        <v/>
      </c>
      <c r="H113" s="29" t="str">
        <f t="shared" si="6"/>
        <v/>
      </c>
      <c r="I113" s="29" t="str">
        <f t="shared" si="7"/>
        <v/>
      </c>
    </row>
    <row r="114" spans="1:9" x14ac:dyDescent="0.3">
      <c r="A114" t="str">
        <f>IF(Trabajadores!B111="","",Trabajadores!B111)</f>
        <v/>
      </c>
      <c r="B114" t="str">
        <f>IF(A114="","",COUNTIFS(Detalle_Pagos!$E$5:$E$2004,A114,Detalle_Pagos!$B$5:$B$2004,"&gt;="&amp;$B$3,Detalle_Pagos!$B$5:$B$2004,"&lt;="&amp;$B$4))</f>
        <v/>
      </c>
      <c r="C114" s="29" t="str">
        <f>IF(A114="","",SUMIFS(Detalle_Pagos!$I$5:$I$2004,Detalle_Pagos!$E$5:$E$2004,A114,Detalle_Pagos!$J$5:$J$2004,"Si",Detalle_Pagos!$B$5:$B$2004,"&gt;="&amp;$B$3,Detalle_Pagos!$B$5:$B$2004,"&lt;="&amp;$B$4))</f>
        <v/>
      </c>
      <c r="D114" s="29" t="str">
        <f>IF(A114="","",SUMIFS(Detalle_Pagos!$I$5:$I$2004,Detalle_Pagos!$E$5:$E$2004,A114,Detalle_Pagos!$J$5:$J$2004,"No",Detalle_Pagos!$B$5:$B$2004,"&gt;="&amp;$B$3,Detalle_Pagos!$B$5:$B$2004,"&lt;="&amp;$B$4))</f>
        <v/>
      </c>
      <c r="E114" t="str">
        <f>IF(A114="","",COUNTIFS(Detalle_Pagos!$E$5:$E$2004,A114,Detalle_Pagos!$J$5:$J$2004,"No",Detalle_Pagos!$B$5:$B$2004,"&gt;="&amp;$B$3,Detalle_Pagos!$B$5:$B$2004,"&lt;="&amp;$B$4))</f>
        <v/>
      </c>
      <c r="F114" t="str">
        <f>IF(A114="","",COUNTIFS(Detalle_Pagos!$E$5:$E$2004,A114,Detalle_Pagos!$J$5:$J$2004,"Si",Detalle_Pagos!$B$5:$B$2004,"&gt;="&amp;$B$3,Detalle_Pagos!$B$5:$B$2004,"&lt;="&amp;$B$4))</f>
        <v/>
      </c>
      <c r="G114" s="29" t="str">
        <f>IF(A114="","",E114*IFERROR(INDEX(Trabajadores!$D$5:$D$204,MATCH(A114,Trabajadores!$B$5:$B$204,0)),0))</f>
        <v/>
      </c>
      <c r="H114" s="29" t="str">
        <f t="shared" si="6"/>
        <v/>
      </c>
      <c r="I114" s="29" t="str">
        <f t="shared" si="7"/>
        <v/>
      </c>
    </row>
    <row r="115" spans="1:9" x14ac:dyDescent="0.3">
      <c r="A115" t="str">
        <f>IF(Trabajadores!B112="","",Trabajadores!B112)</f>
        <v/>
      </c>
      <c r="B115" t="str">
        <f>IF(A115="","",COUNTIFS(Detalle_Pagos!$E$5:$E$2004,A115,Detalle_Pagos!$B$5:$B$2004,"&gt;="&amp;$B$3,Detalle_Pagos!$B$5:$B$2004,"&lt;="&amp;$B$4))</f>
        <v/>
      </c>
      <c r="C115" s="29" t="str">
        <f>IF(A115="","",SUMIFS(Detalle_Pagos!$I$5:$I$2004,Detalle_Pagos!$E$5:$E$2004,A115,Detalle_Pagos!$J$5:$J$2004,"Si",Detalle_Pagos!$B$5:$B$2004,"&gt;="&amp;$B$3,Detalle_Pagos!$B$5:$B$2004,"&lt;="&amp;$B$4))</f>
        <v/>
      </c>
      <c r="D115" s="29" t="str">
        <f>IF(A115="","",SUMIFS(Detalle_Pagos!$I$5:$I$2004,Detalle_Pagos!$E$5:$E$2004,A115,Detalle_Pagos!$J$5:$J$2004,"No",Detalle_Pagos!$B$5:$B$2004,"&gt;="&amp;$B$3,Detalle_Pagos!$B$5:$B$2004,"&lt;="&amp;$B$4))</f>
        <v/>
      </c>
      <c r="E115" t="str">
        <f>IF(A115="","",COUNTIFS(Detalle_Pagos!$E$5:$E$2004,A115,Detalle_Pagos!$J$5:$J$2004,"No",Detalle_Pagos!$B$5:$B$2004,"&gt;="&amp;$B$3,Detalle_Pagos!$B$5:$B$2004,"&lt;="&amp;$B$4))</f>
        <v/>
      </c>
      <c r="F115" t="str">
        <f>IF(A115="","",COUNTIFS(Detalle_Pagos!$E$5:$E$2004,A115,Detalle_Pagos!$J$5:$J$2004,"Si",Detalle_Pagos!$B$5:$B$2004,"&gt;="&amp;$B$3,Detalle_Pagos!$B$5:$B$2004,"&lt;="&amp;$B$4))</f>
        <v/>
      </c>
      <c r="G115" s="29" t="str">
        <f>IF(A115="","",E115*IFERROR(INDEX(Trabajadores!$D$5:$D$204,MATCH(A115,Trabajadores!$B$5:$B$204,0)),0))</f>
        <v/>
      </c>
      <c r="H115" s="29" t="str">
        <f t="shared" si="6"/>
        <v/>
      </c>
      <c r="I115" s="29" t="str">
        <f t="shared" si="7"/>
        <v/>
      </c>
    </row>
    <row r="116" spans="1:9" x14ac:dyDescent="0.3">
      <c r="A116" t="str">
        <f>IF(Trabajadores!B113="","",Trabajadores!B113)</f>
        <v/>
      </c>
      <c r="B116" t="str">
        <f>IF(A116="","",COUNTIFS(Detalle_Pagos!$E$5:$E$2004,A116,Detalle_Pagos!$B$5:$B$2004,"&gt;="&amp;$B$3,Detalle_Pagos!$B$5:$B$2004,"&lt;="&amp;$B$4))</f>
        <v/>
      </c>
      <c r="C116" s="29" t="str">
        <f>IF(A116="","",SUMIFS(Detalle_Pagos!$I$5:$I$2004,Detalle_Pagos!$E$5:$E$2004,A116,Detalle_Pagos!$J$5:$J$2004,"Si",Detalle_Pagos!$B$5:$B$2004,"&gt;="&amp;$B$3,Detalle_Pagos!$B$5:$B$2004,"&lt;="&amp;$B$4))</f>
        <v/>
      </c>
      <c r="D116" s="29" t="str">
        <f>IF(A116="","",SUMIFS(Detalle_Pagos!$I$5:$I$2004,Detalle_Pagos!$E$5:$E$2004,A116,Detalle_Pagos!$J$5:$J$2004,"No",Detalle_Pagos!$B$5:$B$2004,"&gt;="&amp;$B$3,Detalle_Pagos!$B$5:$B$2004,"&lt;="&amp;$B$4))</f>
        <v/>
      </c>
      <c r="E116" t="str">
        <f>IF(A116="","",COUNTIFS(Detalle_Pagos!$E$5:$E$2004,A116,Detalle_Pagos!$J$5:$J$2004,"No",Detalle_Pagos!$B$5:$B$2004,"&gt;="&amp;$B$3,Detalle_Pagos!$B$5:$B$2004,"&lt;="&amp;$B$4))</f>
        <v/>
      </c>
      <c r="F116" t="str">
        <f>IF(A116="","",COUNTIFS(Detalle_Pagos!$E$5:$E$2004,A116,Detalle_Pagos!$J$5:$J$2004,"Si",Detalle_Pagos!$B$5:$B$2004,"&gt;="&amp;$B$3,Detalle_Pagos!$B$5:$B$2004,"&lt;="&amp;$B$4))</f>
        <v/>
      </c>
      <c r="G116" s="29" t="str">
        <f>IF(A116="","",E116*IFERROR(INDEX(Trabajadores!$D$5:$D$204,MATCH(A116,Trabajadores!$B$5:$B$204,0)),0))</f>
        <v/>
      </c>
      <c r="H116" s="29" t="str">
        <f t="shared" si="6"/>
        <v/>
      </c>
      <c r="I116" s="29" t="str">
        <f t="shared" si="7"/>
        <v/>
      </c>
    </row>
    <row r="117" spans="1:9" x14ac:dyDescent="0.3">
      <c r="A117" t="str">
        <f>IF(Trabajadores!B114="","",Trabajadores!B114)</f>
        <v/>
      </c>
      <c r="B117" t="str">
        <f>IF(A117="","",COUNTIFS(Detalle_Pagos!$E$5:$E$2004,A117,Detalle_Pagos!$B$5:$B$2004,"&gt;="&amp;$B$3,Detalle_Pagos!$B$5:$B$2004,"&lt;="&amp;$B$4))</f>
        <v/>
      </c>
      <c r="C117" s="29" t="str">
        <f>IF(A117="","",SUMIFS(Detalle_Pagos!$I$5:$I$2004,Detalle_Pagos!$E$5:$E$2004,A117,Detalle_Pagos!$J$5:$J$2004,"Si",Detalle_Pagos!$B$5:$B$2004,"&gt;="&amp;$B$3,Detalle_Pagos!$B$5:$B$2004,"&lt;="&amp;$B$4))</f>
        <v/>
      </c>
      <c r="D117" s="29" t="str">
        <f>IF(A117="","",SUMIFS(Detalle_Pagos!$I$5:$I$2004,Detalle_Pagos!$E$5:$E$2004,A117,Detalle_Pagos!$J$5:$J$2004,"No",Detalle_Pagos!$B$5:$B$2004,"&gt;="&amp;$B$3,Detalle_Pagos!$B$5:$B$2004,"&lt;="&amp;$B$4))</f>
        <v/>
      </c>
      <c r="E117" t="str">
        <f>IF(A117="","",COUNTIFS(Detalle_Pagos!$E$5:$E$2004,A117,Detalle_Pagos!$J$5:$J$2004,"No",Detalle_Pagos!$B$5:$B$2004,"&gt;="&amp;$B$3,Detalle_Pagos!$B$5:$B$2004,"&lt;="&amp;$B$4))</f>
        <v/>
      </c>
      <c r="F117" t="str">
        <f>IF(A117="","",COUNTIFS(Detalle_Pagos!$E$5:$E$2004,A117,Detalle_Pagos!$J$5:$J$2004,"Si",Detalle_Pagos!$B$5:$B$2004,"&gt;="&amp;$B$3,Detalle_Pagos!$B$5:$B$2004,"&lt;="&amp;$B$4))</f>
        <v/>
      </c>
      <c r="G117" s="29" t="str">
        <f>IF(A117="","",E117*IFERROR(INDEX(Trabajadores!$D$5:$D$204,MATCH(A117,Trabajadores!$B$5:$B$204,0)),0))</f>
        <v/>
      </c>
      <c r="H117" s="29" t="str">
        <f t="shared" si="6"/>
        <v/>
      </c>
      <c r="I117" s="29" t="str">
        <f t="shared" si="7"/>
        <v/>
      </c>
    </row>
    <row r="118" spans="1:9" x14ac:dyDescent="0.3">
      <c r="A118" t="str">
        <f>IF(Trabajadores!B115="","",Trabajadores!B115)</f>
        <v/>
      </c>
      <c r="B118" t="str">
        <f>IF(A118="","",COUNTIFS(Detalle_Pagos!$E$5:$E$2004,A118,Detalle_Pagos!$B$5:$B$2004,"&gt;="&amp;$B$3,Detalle_Pagos!$B$5:$B$2004,"&lt;="&amp;$B$4))</f>
        <v/>
      </c>
      <c r="C118" s="29" t="str">
        <f>IF(A118="","",SUMIFS(Detalle_Pagos!$I$5:$I$2004,Detalle_Pagos!$E$5:$E$2004,A118,Detalle_Pagos!$J$5:$J$2004,"Si",Detalle_Pagos!$B$5:$B$2004,"&gt;="&amp;$B$3,Detalle_Pagos!$B$5:$B$2004,"&lt;="&amp;$B$4))</f>
        <v/>
      </c>
      <c r="D118" s="29" t="str">
        <f>IF(A118="","",SUMIFS(Detalle_Pagos!$I$5:$I$2004,Detalle_Pagos!$E$5:$E$2004,A118,Detalle_Pagos!$J$5:$J$2004,"No",Detalle_Pagos!$B$5:$B$2004,"&gt;="&amp;$B$3,Detalle_Pagos!$B$5:$B$2004,"&lt;="&amp;$B$4))</f>
        <v/>
      </c>
      <c r="E118" t="str">
        <f>IF(A118="","",COUNTIFS(Detalle_Pagos!$E$5:$E$2004,A118,Detalle_Pagos!$J$5:$J$2004,"No",Detalle_Pagos!$B$5:$B$2004,"&gt;="&amp;$B$3,Detalle_Pagos!$B$5:$B$2004,"&lt;="&amp;$B$4))</f>
        <v/>
      </c>
      <c r="F118" t="str">
        <f>IF(A118="","",COUNTIFS(Detalle_Pagos!$E$5:$E$2004,A118,Detalle_Pagos!$J$5:$J$2004,"Si",Detalle_Pagos!$B$5:$B$2004,"&gt;="&amp;$B$3,Detalle_Pagos!$B$5:$B$2004,"&lt;="&amp;$B$4))</f>
        <v/>
      </c>
      <c r="G118" s="29" t="str">
        <f>IF(A118="","",E118*IFERROR(INDEX(Trabajadores!$D$5:$D$204,MATCH(A118,Trabajadores!$B$5:$B$204,0)),0))</f>
        <v/>
      </c>
      <c r="H118" s="29" t="str">
        <f t="shared" si="6"/>
        <v/>
      </c>
      <c r="I118" s="29" t="str">
        <f t="shared" si="7"/>
        <v/>
      </c>
    </row>
    <row r="119" spans="1:9" x14ac:dyDescent="0.3">
      <c r="A119" t="str">
        <f>IF(Trabajadores!B116="","",Trabajadores!B116)</f>
        <v/>
      </c>
      <c r="B119" t="str">
        <f>IF(A119="","",COUNTIFS(Detalle_Pagos!$E$5:$E$2004,A119,Detalle_Pagos!$B$5:$B$2004,"&gt;="&amp;$B$3,Detalle_Pagos!$B$5:$B$2004,"&lt;="&amp;$B$4))</f>
        <v/>
      </c>
      <c r="C119" s="29" t="str">
        <f>IF(A119="","",SUMIFS(Detalle_Pagos!$I$5:$I$2004,Detalle_Pagos!$E$5:$E$2004,A119,Detalle_Pagos!$J$5:$J$2004,"Si",Detalle_Pagos!$B$5:$B$2004,"&gt;="&amp;$B$3,Detalle_Pagos!$B$5:$B$2004,"&lt;="&amp;$B$4))</f>
        <v/>
      </c>
      <c r="D119" s="29" t="str">
        <f>IF(A119="","",SUMIFS(Detalle_Pagos!$I$5:$I$2004,Detalle_Pagos!$E$5:$E$2004,A119,Detalle_Pagos!$J$5:$J$2004,"No",Detalle_Pagos!$B$5:$B$2004,"&gt;="&amp;$B$3,Detalle_Pagos!$B$5:$B$2004,"&lt;="&amp;$B$4))</f>
        <v/>
      </c>
      <c r="E119" t="str">
        <f>IF(A119="","",COUNTIFS(Detalle_Pagos!$E$5:$E$2004,A119,Detalle_Pagos!$J$5:$J$2004,"No",Detalle_Pagos!$B$5:$B$2004,"&gt;="&amp;$B$3,Detalle_Pagos!$B$5:$B$2004,"&lt;="&amp;$B$4))</f>
        <v/>
      </c>
      <c r="F119" t="str">
        <f>IF(A119="","",COUNTIFS(Detalle_Pagos!$E$5:$E$2004,A119,Detalle_Pagos!$J$5:$J$2004,"Si",Detalle_Pagos!$B$5:$B$2004,"&gt;="&amp;$B$3,Detalle_Pagos!$B$5:$B$2004,"&lt;="&amp;$B$4))</f>
        <v/>
      </c>
      <c r="G119" s="29" t="str">
        <f>IF(A119="","",E119*IFERROR(INDEX(Trabajadores!$D$5:$D$204,MATCH(A119,Trabajadores!$B$5:$B$204,0)),0))</f>
        <v/>
      </c>
      <c r="H119" s="29" t="str">
        <f t="shared" si="6"/>
        <v/>
      </c>
      <c r="I119" s="29" t="str">
        <f t="shared" si="7"/>
        <v/>
      </c>
    </row>
    <row r="120" spans="1:9" x14ac:dyDescent="0.3">
      <c r="A120" t="str">
        <f>IF(Trabajadores!B117="","",Trabajadores!B117)</f>
        <v/>
      </c>
      <c r="B120" t="str">
        <f>IF(A120="","",COUNTIFS(Detalle_Pagos!$E$5:$E$2004,A120,Detalle_Pagos!$B$5:$B$2004,"&gt;="&amp;$B$3,Detalle_Pagos!$B$5:$B$2004,"&lt;="&amp;$B$4))</f>
        <v/>
      </c>
      <c r="C120" s="29" t="str">
        <f>IF(A120="","",SUMIFS(Detalle_Pagos!$I$5:$I$2004,Detalle_Pagos!$E$5:$E$2004,A120,Detalle_Pagos!$J$5:$J$2004,"Si",Detalle_Pagos!$B$5:$B$2004,"&gt;="&amp;$B$3,Detalle_Pagos!$B$5:$B$2004,"&lt;="&amp;$B$4))</f>
        <v/>
      </c>
      <c r="D120" s="29" t="str">
        <f>IF(A120="","",SUMIFS(Detalle_Pagos!$I$5:$I$2004,Detalle_Pagos!$E$5:$E$2004,A120,Detalle_Pagos!$J$5:$J$2004,"No",Detalle_Pagos!$B$5:$B$2004,"&gt;="&amp;$B$3,Detalle_Pagos!$B$5:$B$2004,"&lt;="&amp;$B$4))</f>
        <v/>
      </c>
      <c r="E120" t="str">
        <f>IF(A120="","",COUNTIFS(Detalle_Pagos!$E$5:$E$2004,A120,Detalle_Pagos!$J$5:$J$2004,"No",Detalle_Pagos!$B$5:$B$2004,"&gt;="&amp;$B$3,Detalle_Pagos!$B$5:$B$2004,"&lt;="&amp;$B$4))</f>
        <v/>
      </c>
      <c r="F120" t="str">
        <f>IF(A120="","",COUNTIFS(Detalle_Pagos!$E$5:$E$2004,A120,Detalle_Pagos!$J$5:$J$2004,"Si",Detalle_Pagos!$B$5:$B$2004,"&gt;="&amp;$B$3,Detalle_Pagos!$B$5:$B$2004,"&lt;="&amp;$B$4))</f>
        <v/>
      </c>
      <c r="G120" s="29" t="str">
        <f>IF(A120="","",E120*IFERROR(INDEX(Trabajadores!$D$5:$D$204,MATCH(A120,Trabajadores!$B$5:$B$204,0)),0))</f>
        <v/>
      </c>
      <c r="H120" s="29" t="str">
        <f t="shared" si="6"/>
        <v/>
      </c>
      <c r="I120" s="29" t="str">
        <f t="shared" si="7"/>
        <v/>
      </c>
    </row>
    <row r="121" spans="1:9" x14ac:dyDescent="0.3">
      <c r="A121" t="str">
        <f>IF(Trabajadores!B118="","",Trabajadores!B118)</f>
        <v/>
      </c>
      <c r="B121" t="str">
        <f>IF(A121="","",COUNTIFS(Detalle_Pagos!$E$5:$E$2004,A121,Detalle_Pagos!$B$5:$B$2004,"&gt;="&amp;$B$3,Detalle_Pagos!$B$5:$B$2004,"&lt;="&amp;$B$4))</f>
        <v/>
      </c>
      <c r="C121" s="29" t="str">
        <f>IF(A121="","",SUMIFS(Detalle_Pagos!$I$5:$I$2004,Detalle_Pagos!$E$5:$E$2004,A121,Detalle_Pagos!$J$5:$J$2004,"Si",Detalle_Pagos!$B$5:$B$2004,"&gt;="&amp;$B$3,Detalle_Pagos!$B$5:$B$2004,"&lt;="&amp;$B$4))</f>
        <v/>
      </c>
      <c r="D121" s="29" t="str">
        <f>IF(A121="","",SUMIFS(Detalle_Pagos!$I$5:$I$2004,Detalle_Pagos!$E$5:$E$2004,A121,Detalle_Pagos!$J$5:$J$2004,"No",Detalle_Pagos!$B$5:$B$2004,"&gt;="&amp;$B$3,Detalle_Pagos!$B$5:$B$2004,"&lt;="&amp;$B$4))</f>
        <v/>
      </c>
      <c r="E121" t="str">
        <f>IF(A121="","",COUNTIFS(Detalle_Pagos!$E$5:$E$2004,A121,Detalle_Pagos!$J$5:$J$2004,"No",Detalle_Pagos!$B$5:$B$2004,"&gt;="&amp;$B$3,Detalle_Pagos!$B$5:$B$2004,"&lt;="&amp;$B$4))</f>
        <v/>
      </c>
      <c r="F121" t="str">
        <f>IF(A121="","",COUNTIFS(Detalle_Pagos!$E$5:$E$2004,A121,Detalle_Pagos!$J$5:$J$2004,"Si",Detalle_Pagos!$B$5:$B$2004,"&gt;="&amp;$B$3,Detalle_Pagos!$B$5:$B$2004,"&lt;="&amp;$B$4))</f>
        <v/>
      </c>
      <c r="G121" s="29" t="str">
        <f>IF(A121="","",E121*IFERROR(INDEX(Trabajadores!$D$5:$D$204,MATCH(A121,Trabajadores!$B$5:$B$204,0)),0))</f>
        <v/>
      </c>
      <c r="H121" s="29" t="str">
        <f t="shared" si="6"/>
        <v/>
      </c>
      <c r="I121" s="29" t="str">
        <f t="shared" si="7"/>
        <v/>
      </c>
    </row>
    <row r="122" spans="1:9" x14ac:dyDescent="0.3">
      <c r="A122" t="str">
        <f>IF(Trabajadores!B119="","",Trabajadores!B119)</f>
        <v/>
      </c>
      <c r="B122" t="str">
        <f>IF(A122="","",COUNTIFS(Detalle_Pagos!$E$5:$E$2004,A122,Detalle_Pagos!$B$5:$B$2004,"&gt;="&amp;$B$3,Detalle_Pagos!$B$5:$B$2004,"&lt;="&amp;$B$4))</f>
        <v/>
      </c>
      <c r="C122" s="29" t="str">
        <f>IF(A122="","",SUMIFS(Detalle_Pagos!$I$5:$I$2004,Detalle_Pagos!$E$5:$E$2004,A122,Detalle_Pagos!$J$5:$J$2004,"Si",Detalle_Pagos!$B$5:$B$2004,"&gt;="&amp;$B$3,Detalle_Pagos!$B$5:$B$2004,"&lt;="&amp;$B$4))</f>
        <v/>
      </c>
      <c r="D122" s="29" t="str">
        <f>IF(A122="","",SUMIFS(Detalle_Pagos!$I$5:$I$2004,Detalle_Pagos!$E$5:$E$2004,A122,Detalle_Pagos!$J$5:$J$2004,"No",Detalle_Pagos!$B$5:$B$2004,"&gt;="&amp;$B$3,Detalle_Pagos!$B$5:$B$2004,"&lt;="&amp;$B$4))</f>
        <v/>
      </c>
      <c r="E122" t="str">
        <f>IF(A122="","",COUNTIFS(Detalle_Pagos!$E$5:$E$2004,A122,Detalle_Pagos!$J$5:$J$2004,"No",Detalle_Pagos!$B$5:$B$2004,"&gt;="&amp;$B$3,Detalle_Pagos!$B$5:$B$2004,"&lt;="&amp;$B$4))</f>
        <v/>
      </c>
      <c r="F122" t="str">
        <f>IF(A122="","",COUNTIFS(Detalle_Pagos!$E$5:$E$2004,A122,Detalle_Pagos!$J$5:$J$2004,"Si",Detalle_Pagos!$B$5:$B$2004,"&gt;="&amp;$B$3,Detalle_Pagos!$B$5:$B$2004,"&lt;="&amp;$B$4))</f>
        <v/>
      </c>
      <c r="G122" s="29" t="str">
        <f>IF(A122="","",E122*IFERROR(INDEX(Trabajadores!$D$5:$D$204,MATCH(A122,Trabajadores!$B$5:$B$204,0)),0))</f>
        <v/>
      </c>
      <c r="H122" s="29" t="str">
        <f t="shared" si="6"/>
        <v/>
      </c>
      <c r="I122" s="29" t="str">
        <f t="shared" si="7"/>
        <v/>
      </c>
    </row>
    <row r="123" spans="1:9" x14ac:dyDescent="0.3">
      <c r="A123" t="str">
        <f>IF(Trabajadores!B120="","",Trabajadores!B120)</f>
        <v/>
      </c>
      <c r="B123" t="str">
        <f>IF(A123="","",COUNTIFS(Detalle_Pagos!$E$5:$E$2004,A123,Detalle_Pagos!$B$5:$B$2004,"&gt;="&amp;$B$3,Detalle_Pagos!$B$5:$B$2004,"&lt;="&amp;$B$4))</f>
        <v/>
      </c>
      <c r="C123" s="29" t="str">
        <f>IF(A123="","",SUMIFS(Detalle_Pagos!$I$5:$I$2004,Detalle_Pagos!$E$5:$E$2004,A123,Detalle_Pagos!$J$5:$J$2004,"Si",Detalle_Pagos!$B$5:$B$2004,"&gt;="&amp;$B$3,Detalle_Pagos!$B$5:$B$2004,"&lt;="&amp;$B$4))</f>
        <v/>
      </c>
      <c r="D123" s="29" t="str">
        <f>IF(A123="","",SUMIFS(Detalle_Pagos!$I$5:$I$2004,Detalle_Pagos!$E$5:$E$2004,A123,Detalle_Pagos!$J$5:$J$2004,"No",Detalle_Pagos!$B$5:$B$2004,"&gt;="&amp;$B$3,Detalle_Pagos!$B$5:$B$2004,"&lt;="&amp;$B$4))</f>
        <v/>
      </c>
      <c r="E123" t="str">
        <f>IF(A123="","",COUNTIFS(Detalle_Pagos!$E$5:$E$2004,A123,Detalle_Pagos!$J$5:$J$2004,"No",Detalle_Pagos!$B$5:$B$2004,"&gt;="&amp;$B$3,Detalle_Pagos!$B$5:$B$2004,"&lt;="&amp;$B$4))</f>
        <v/>
      </c>
      <c r="F123" t="str">
        <f>IF(A123="","",COUNTIFS(Detalle_Pagos!$E$5:$E$2004,A123,Detalle_Pagos!$J$5:$J$2004,"Si",Detalle_Pagos!$B$5:$B$2004,"&gt;="&amp;$B$3,Detalle_Pagos!$B$5:$B$2004,"&lt;="&amp;$B$4))</f>
        <v/>
      </c>
      <c r="G123" s="29" t="str">
        <f>IF(A123="","",E123*IFERROR(INDEX(Trabajadores!$D$5:$D$204,MATCH(A123,Trabajadores!$B$5:$B$204,0)),0))</f>
        <v/>
      </c>
      <c r="H123" s="29" t="str">
        <f t="shared" si="6"/>
        <v/>
      </c>
      <c r="I123" s="29" t="str">
        <f t="shared" si="7"/>
        <v/>
      </c>
    </row>
    <row r="124" spans="1:9" x14ac:dyDescent="0.3">
      <c r="A124" t="str">
        <f>IF(Trabajadores!B121="","",Trabajadores!B121)</f>
        <v/>
      </c>
      <c r="B124" t="str">
        <f>IF(A124="","",COUNTIFS(Detalle_Pagos!$E$5:$E$2004,A124,Detalle_Pagos!$B$5:$B$2004,"&gt;="&amp;$B$3,Detalle_Pagos!$B$5:$B$2004,"&lt;="&amp;$B$4))</f>
        <v/>
      </c>
      <c r="C124" s="29" t="str">
        <f>IF(A124="","",SUMIFS(Detalle_Pagos!$I$5:$I$2004,Detalle_Pagos!$E$5:$E$2004,A124,Detalle_Pagos!$J$5:$J$2004,"Si",Detalle_Pagos!$B$5:$B$2004,"&gt;="&amp;$B$3,Detalle_Pagos!$B$5:$B$2004,"&lt;="&amp;$B$4))</f>
        <v/>
      </c>
      <c r="D124" s="29" t="str">
        <f>IF(A124="","",SUMIFS(Detalle_Pagos!$I$5:$I$2004,Detalle_Pagos!$E$5:$E$2004,A124,Detalle_Pagos!$J$5:$J$2004,"No",Detalle_Pagos!$B$5:$B$2004,"&gt;="&amp;$B$3,Detalle_Pagos!$B$5:$B$2004,"&lt;="&amp;$B$4))</f>
        <v/>
      </c>
      <c r="E124" t="str">
        <f>IF(A124="","",COUNTIFS(Detalle_Pagos!$E$5:$E$2004,A124,Detalle_Pagos!$J$5:$J$2004,"No",Detalle_Pagos!$B$5:$B$2004,"&gt;="&amp;$B$3,Detalle_Pagos!$B$5:$B$2004,"&lt;="&amp;$B$4))</f>
        <v/>
      </c>
      <c r="F124" t="str">
        <f>IF(A124="","",COUNTIFS(Detalle_Pagos!$E$5:$E$2004,A124,Detalle_Pagos!$J$5:$J$2004,"Si",Detalle_Pagos!$B$5:$B$2004,"&gt;="&amp;$B$3,Detalle_Pagos!$B$5:$B$2004,"&lt;="&amp;$B$4))</f>
        <v/>
      </c>
      <c r="G124" s="29" t="str">
        <f>IF(A124="","",E124*IFERROR(INDEX(Trabajadores!$D$5:$D$204,MATCH(A124,Trabajadores!$B$5:$B$204,0)),0))</f>
        <v/>
      </c>
      <c r="H124" s="29" t="str">
        <f t="shared" si="6"/>
        <v/>
      </c>
      <c r="I124" s="29" t="str">
        <f t="shared" si="7"/>
        <v/>
      </c>
    </row>
    <row r="125" spans="1:9" x14ac:dyDescent="0.3">
      <c r="A125" t="str">
        <f>IF(Trabajadores!B122="","",Trabajadores!B122)</f>
        <v/>
      </c>
      <c r="B125" t="str">
        <f>IF(A125="","",COUNTIFS(Detalle_Pagos!$E$5:$E$2004,A125,Detalle_Pagos!$B$5:$B$2004,"&gt;="&amp;$B$3,Detalle_Pagos!$B$5:$B$2004,"&lt;="&amp;$B$4))</f>
        <v/>
      </c>
      <c r="C125" s="29" t="str">
        <f>IF(A125="","",SUMIFS(Detalle_Pagos!$I$5:$I$2004,Detalle_Pagos!$E$5:$E$2004,A125,Detalle_Pagos!$J$5:$J$2004,"Si",Detalle_Pagos!$B$5:$B$2004,"&gt;="&amp;$B$3,Detalle_Pagos!$B$5:$B$2004,"&lt;="&amp;$B$4))</f>
        <v/>
      </c>
      <c r="D125" s="29" t="str">
        <f>IF(A125="","",SUMIFS(Detalle_Pagos!$I$5:$I$2004,Detalle_Pagos!$E$5:$E$2004,A125,Detalle_Pagos!$J$5:$J$2004,"No",Detalle_Pagos!$B$5:$B$2004,"&gt;="&amp;$B$3,Detalle_Pagos!$B$5:$B$2004,"&lt;="&amp;$B$4))</f>
        <v/>
      </c>
      <c r="E125" t="str">
        <f>IF(A125="","",COUNTIFS(Detalle_Pagos!$E$5:$E$2004,A125,Detalle_Pagos!$J$5:$J$2004,"No",Detalle_Pagos!$B$5:$B$2004,"&gt;="&amp;$B$3,Detalle_Pagos!$B$5:$B$2004,"&lt;="&amp;$B$4))</f>
        <v/>
      </c>
      <c r="F125" t="str">
        <f>IF(A125="","",COUNTIFS(Detalle_Pagos!$E$5:$E$2004,A125,Detalle_Pagos!$J$5:$J$2004,"Si",Detalle_Pagos!$B$5:$B$2004,"&gt;="&amp;$B$3,Detalle_Pagos!$B$5:$B$2004,"&lt;="&amp;$B$4))</f>
        <v/>
      </c>
      <c r="G125" s="29" t="str">
        <f>IF(A125="","",E125*IFERROR(INDEX(Trabajadores!$D$5:$D$204,MATCH(A125,Trabajadores!$B$5:$B$204,0)),0))</f>
        <v/>
      </c>
      <c r="H125" s="29" t="str">
        <f t="shared" si="6"/>
        <v/>
      </c>
      <c r="I125" s="29" t="str">
        <f t="shared" si="7"/>
        <v/>
      </c>
    </row>
    <row r="126" spans="1:9" x14ac:dyDescent="0.3">
      <c r="A126" t="str">
        <f>IF(Trabajadores!B123="","",Trabajadores!B123)</f>
        <v/>
      </c>
      <c r="B126" t="str">
        <f>IF(A126="","",COUNTIFS(Detalle_Pagos!$E$5:$E$2004,A126,Detalle_Pagos!$B$5:$B$2004,"&gt;="&amp;$B$3,Detalle_Pagos!$B$5:$B$2004,"&lt;="&amp;$B$4))</f>
        <v/>
      </c>
      <c r="C126" s="29" t="str">
        <f>IF(A126="","",SUMIFS(Detalle_Pagos!$I$5:$I$2004,Detalle_Pagos!$E$5:$E$2004,A126,Detalle_Pagos!$J$5:$J$2004,"Si",Detalle_Pagos!$B$5:$B$2004,"&gt;="&amp;$B$3,Detalle_Pagos!$B$5:$B$2004,"&lt;="&amp;$B$4))</f>
        <v/>
      </c>
      <c r="D126" s="29" t="str">
        <f>IF(A126="","",SUMIFS(Detalle_Pagos!$I$5:$I$2004,Detalle_Pagos!$E$5:$E$2004,A126,Detalle_Pagos!$J$5:$J$2004,"No",Detalle_Pagos!$B$5:$B$2004,"&gt;="&amp;$B$3,Detalle_Pagos!$B$5:$B$2004,"&lt;="&amp;$B$4))</f>
        <v/>
      </c>
      <c r="E126" t="str">
        <f>IF(A126="","",COUNTIFS(Detalle_Pagos!$E$5:$E$2004,A126,Detalle_Pagos!$J$5:$J$2004,"No",Detalle_Pagos!$B$5:$B$2004,"&gt;="&amp;$B$3,Detalle_Pagos!$B$5:$B$2004,"&lt;="&amp;$B$4))</f>
        <v/>
      </c>
      <c r="F126" t="str">
        <f>IF(A126="","",COUNTIFS(Detalle_Pagos!$E$5:$E$2004,A126,Detalle_Pagos!$J$5:$J$2004,"Si",Detalle_Pagos!$B$5:$B$2004,"&gt;="&amp;$B$3,Detalle_Pagos!$B$5:$B$2004,"&lt;="&amp;$B$4))</f>
        <v/>
      </c>
      <c r="G126" s="29" t="str">
        <f>IF(A126="","",E126*IFERROR(INDEX(Trabajadores!$D$5:$D$204,MATCH(A126,Trabajadores!$B$5:$B$204,0)),0))</f>
        <v/>
      </c>
      <c r="H126" s="29" t="str">
        <f t="shared" si="6"/>
        <v/>
      </c>
      <c r="I126" s="29" t="str">
        <f t="shared" si="7"/>
        <v/>
      </c>
    </row>
    <row r="127" spans="1:9" x14ac:dyDescent="0.3">
      <c r="A127" t="str">
        <f>IF(Trabajadores!B124="","",Trabajadores!B124)</f>
        <v/>
      </c>
      <c r="B127" t="str">
        <f>IF(A127="","",COUNTIFS(Detalle_Pagos!$E$5:$E$2004,A127,Detalle_Pagos!$B$5:$B$2004,"&gt;="&amp;$B$3,Detalle_Pagos!$B$5:$B$2004,"&lt;="&amp;$B$4))</f>
        <v/>
      </c>
      <c r="C127" s="29" t="str">
        <f>IF(A127="","",SUMIFS(Detalle_Pagos!$I$5:$I$2004,Detalle_Pagos!$E$5:$E$2004,A127,Detalle_Pagos!$J$5:$J$2004,"Si",Detalle_Pagos!$B$5:$B$2004,"&gt;="&amp;$B$3,Detalle_Pagos!$B$5:$B$2004,"&lt;="&amp;$B$4))</f>
        <v/>
      </c>
      <c r="D127" s="29" t="str">
        <f>IF(A127="","",SUMIFS(Detalle_Pagos!$I$5:$I$2004,Detalle_Pagos!$E$5:$E$2004,A127,Detalle_Pagos!$J$5:$J$2004,"No",Detalle_Pagos!$B$5:$B$2004,"&gt;="&amp;$B$3,Detalle_Pagos!$B$5:$B$2004,"&lt;="&amp;$B$4))</f>
        <v/>
      </c>
      <c r="E127" t="str">
        <f>IF(A127="","",COUNTIFS(Detalle_Pagos!$E$5:$E$2004,A127,Detalle_Pagos!$J$5:$J$2004,"No",Detalle_Pagos!$B$5:$B$2004,"&gt;="&amp;$B$3,Detalle_Pagos!$B$5:$B$2004,"&lt;="&amp;$B$4))</f>
        <v/>
      </c>
      <c r="F127" t="str">
        <f>IF(A127="","",COUNTIFS(Detalle_Pagos!$E$5:$E$2004,A127,Detalle_Pagos!$J$5:$J$2004,"Si",Detalle_Pagos!$B$5:$B$2004,"&gt;="&amp;$B$3,Detalle_Pagos!$B$5:$B$2004,"&lt;="&amp;$B$4))</f>
        <v/>
      </c>
      <c r="G127" s="29" t="str">
        <f>IF(A127="","",E127*IFERROR(INDEX(Trabajadores!$D$5:$D$204,MATCH(A127,Trabajadores!$B$5:$B$204,0)),0))</f>
        <v/>
      </c>
      <c r="H127" s="29" t="str">
        <f t="shared" si="6"/>
        <v/>
      </c>
      <c r="I127" s="29" t="str">
        <f t="shared" si="7"/>
        <v/>
      </c>
    </row>
    <row r="128" spans="1:9" x14ac:dyDescent="0.3">
      <c r="A128" t="str">
        <f>IF(Trabajadores!B125="","",Trabajadores!B125)</f>
        <v/>
      </c>
      <c r="B128" t="str">
        <f>IF(A128="","",COUNTIFS(Detalle_Pagos!$E$5:$E$2004,A128,Detalle_Pagos!$B$5:$B$2004,"&gt;="&amp;$B$3,Detalle_Pagos!$B$5:$B$2004,"&lt;="&amp;$B$4))</f>
        <v/>
      </c>
      <c r="C128" s="29" t="str">
        <f>IF(A128="","",SUMIFS(Detalle_Pagos!$I$5:$I$2004,Detalle_Pagos!$E$5:$E$2004,A128,Detalle_Pagos!$J$5:$J$2004,"Si",Detalle_Pagos!$B$5:$B$2004,"&gt;="&amp;$B$3,Detalle_Pagos!$B$5:$B$2004,"&lt;="&amp;$B$4))</f>
        <v/>
      </c>
      <c r="D128" s="29" t="str">
        <f>IF(A128="","",SUMIFS(Detalle_Pagos!$I$5:$I$2004,Detalle_Pagos!$E$5:$E$2004,A128,Detalle_Pagos!$J$5:$J$2004,"No",Detalle_Pagos!$B$5:$B$2004,"&gt;="&amp;$B$3,Detalle_Pagos!$B$5:$B$2004,"&lt;="&amp;$B$4))</f>
        <v/>
      </c>
      <c r="E128" t="str">
        <f>IF(A128="","",COUNTIFS(Detalle_Pagos!$E$5:$E$2004,A128,Detalle_Pagos!$J$5:$J$2004,"No",Detalle_Pagos!$B$5:$B$2004,"&gt;="&amp;$B$3,Detalle_Pagos!$B$5:$B$2004,"&lt;="&amp;$B$4))</f>
        <v/>
      </c>
      <c r="F128" t="str">
        <f>IF(A128="","",COUNTIFS(Detalle_Pagos!$E$5:$E$2004,A128,Detalle_Pagos!$J$5:$J$2004,"Si",Detalle_Pagos!$B$5:$B$2004,"&gt;="&amp;$B$3,Detalle_Pagos!$B$5:$B$2004,"&lt;="&amp;$B$4))</f>
        <v/>
      </c>
      <c r="G128" s="29" t="str">
        <f>IF(A128="","",E128*IFERROR(INDEX(Trabajadores!$D$5:$D$204,MATCH(A128,Trabajadores!$B$5:$B$204,0)),0))</f>
        <v/>
      </c>
      <c r="H128" s="29" t="str">
        <f t="shared" si="6"/>
        <v/>
      </c>
      <c r="I128" s="29" t="str">
        <f t="shared" si="7"/>
        <v/>
      </c>
    </row>
    <row r="129" spans="1:9" x14ac:dyDescent="0.3">
      <c r="A129" t="str">
        <f>IF(Trabajadores!B126="","",Trabajadores!B126)</f>
        <v/>
      </c>
      <c r="B129" t="str">
        <f>IF(A129="","",COUNTIFS(Detalle_Pagos!$E$5:$E$2004,A129,Detalle_Pagos!$B$5:$B$2004,"&gt;="&amp;$B$3,Detalle_Pagos!$B$5:$B$2004,"&lt;="&amp;$B$4))</f>
        <v/>
      </c>
      <c r="C129" s="29" t="str">
        <f>IF(A129="","",SUMIFS(Detalle_Pagos!$I$5:$I$2004,Detalle_Pagos!$E$5:$E$2004,A129,Detalle_Pagos!$J$5:$J$2004,"Si",Detalle_Pagos!$B$5:$B$2004,"&gt;="&amp;$B$3,Detalle_Pagos!$B$5:$B$2004,"&lt;="&amp;$B$4))</f>
        <v/>
      </c>
      <c r="D129" s="29" t="str">
        <f>IF(A129="","",SUMIFS(Detalle_Pagos!$I$5:$I$2004,Detalle_Pagos!$E$5:$E$2004,A129,Detalle_Pagos!$J$5:$J$2004,"No",Detalle_Pagos!$B$5:$B$2004,"&gt;="&amp;$B$3,Detalle_Pagos!$B$5:$B$2004,"&lt;="&amp;$B$4))</f>
        <v/>
      </c>
      <c r="E129" t="str">
        <f>IF(A129="","",COUNTIFS(Detalle_Pagos!$E$5:$E$2004,A129,Detalle_Pagos!$J$5:$J$2004,"No",Detalle_Pagos!$B$5:$B$2004,"&gt;="&amp;$B$3,Detalle_Pagos!$B$5:$B$2004,"&lt;="&amp;$B$4))</f>
        <v/>
      </c>
      <c r="F129" t="str">
        <f>IF(A129="","",COUNTIFS(Detalle_Pagos!$E$5:$E$2004,A129,Detalle_Pagos!$J$5:$J$2004,"Si",Detalle_Pagos!$B$5:$B$2004,"&gt;="&amp;$B$3,Detalle_Pagos!$B$5:$B$2004,"&lt;="&amp;$B$4))</f>
        <v/>
      </c>
      <c r="G129" s="29" t="str">
        <f>IF(A129="","",E129*IFERROR(INDEX(Trabajadores!$D$5:$D$204,MATCH(A129,Trabajadores!$B$5:$B$204,0)),0))</f>
        <v/>
      </c>
      <c r="H129" s="29" t="str">
        <f t="shared" si="6"/>
        <v/>
      </c>
      <c r="I129" s="29" t="str">
        <f t="shared" si="7"/>
        <v/>
      </c>
    </row>
    <row r="130" spans="1:9" x14ac:dyDescent="0.3">
      <c r="A130" t="str">
        <f>IF(Trabajadores!B127="","",Trabajadores!B127)</f>
        <v/>
      </c>
      <c r="B130" t="str">
        <f>IF(A130="","",COUNTIFS(Detalle_Pagos!$E$5:$E$2004,A130,Detalle_Pagos!$B$5:$B$2004,"&gt;="&amp;$B$3,Detalle_Pagos!$B$5:$B$2004,"&lt;="&amp;$B$4))</f>
        <v/>
      </c>
      <c r="C130" s="29" t="str">
        <f>IF(A130="","",SUMIFS(Detalle_Pagos!$I$5:$I$2004,Detalle_Pagos!$E$5:$E$2004,A130,Detalle_Pagos!$J$5:$J$2004,"Si",Detalle_Pagos!$B$5:$B$2004,"&gt;="&amp;$B$3,Detalle_Pagos!$B$5:$B$2004,"&lt;="&amp;$B$4))</f>
        <v/>
      </c>
      <c r="D130" s="29" t="str">
        <f>IF(A130="","",SUMIFS(Detalle_Pagos!$I$5:$I$2004,Detalle_Pagos!$E$5:$E$2004,A130,Detalle_Pagos!$J$5:$J$2004,"No",Detalle_Pagos!$B$5:$B$2004,"&gt;="&amp;$B$3,Detalle_Pagos!$B$5:$B$2004,"&lt;="&amp;$B$4))</f>
        <v/>
      </c>
      <c r="E130" t="str">
        <f>IF(A130="","",COUNTIFS(Detalle_Pagos!$E$5:$E$2004,A130,Detalle_Pagos!$J$5:$J$2004,"No",Detalle_Pagos!$B$5:$B$2004,"&gt;="&amp;$B$3,Detalle_Pagos!$B$5:$B$2004,"&lt;="&amp;$B$4))</f>
        <v/>
      </c>
      <c r="F130" t="str">
        <f>IF(A130="","",COUNTIFS(Detalle_Pagos!$E$5:$E$2004,A130,Detalle_Pagos!$J$5:$J$2004,"Si",Detalle_Pagos!$B$5:$B$2004,"&gt;="&amp;$B$3,Detalle_Pagos!$B$5:$B$2004,"&lt;="&amp;$B$4))</f>
        <v/>
      </c>
      <c r="G130" s="29" t="str">
        <f>IF(A130="","",E130*IFERROR(INDEX(Trabajadores!$D$5:$D$204,MATCH(A130,Trabajadores!$B$5:$B$204,0)),0))</f>
        <v/>
      </c>
      <c r="H130" s="29" t="str">
        <f t="shared" si="6"/>
        <v/>
      </c>
      <c r="I130" s="29" t="str">
        <f t="shared" si="7"/>
        <v/>
      </c>
    </row>
    <row r="131" spans="1:9" x14ac:dyDescent="0.3">
      <c r="A131" t="str">
        <f>IF(Trabajadores!B128="","",Trabajadores!B128)</f>
        <v/>
      </c>
      <c r="B131" t="str">
        <f>IF(A131="","",COUNTIFS(Detalle_Pagos!$E$5:$E$2004,A131,Detalle_Pagos!$B$5:$B$2004,"&gt;="&amp;$B$3,Detalle_Pagos!$B$5:$B$2004,"&lt;="&amp;$B$4))</f>
        <v/>
      </c>
      <c r="C131" s="29" t="str">
        <f>IF(A131="","",SUMIFS(Detalle_Pagos!$I$5:$I$2004,Detalle_Pagos!$E$5:$E$2004,A131,Detalle_Pagos!$J$5:$J$2004,"Si",Detalle_Pagos!$B$5:$B$2004,"&gt;="&amp;$B$3,Detalle_Pagos!$B$5:$B$2004,"&lt;="&amp;$B$4))</f>
        <v/>
      </c>
      <c r="D131" s="29" t="str">
        <f>IF(A131="","",SUMIFS(Detalle_Pagos!$I$5:$I$2004,Detalle_Pagos!$E$5:$E$2004,A131,Detalle_Pagos!$J$5:$J$2004,"No",Detalle_Pagos!$B$5:$B$2004,"&gt;="&amp;$B$3,Detalle_Pagos!$B$5:$B$2004,"&lt;="&amp;$B$4))</f>
        <v/>
      </c>
      <c r="E131" t="str">
        <f>IF(A131="","",COUNTIFS(Detalle_Pagos!$E$5:$E$2004,A131,Detalle_Pagos!$J$5:$J$2004,"No",Detalle_Pagos!$B$5:$B$2004,"&gt;="&amp;$B$3,Detalle_Pagos!$B$5:$B$2004,"&lt;="&amp;$B$4))</f>
        <v/>
      </c>
      <c r="F131" t="str">
        <f>IF(A131="","",COUNTIFS(Detalle_Pagos!$E$5:$E$2004,A131,Detalle_Pagos!$J$5:$J$2004,"Si",Detalle_Pagos!$B$5:$B$2004,"&gt;="&amp;$B$3,Detalle_Pagos!$B$5:$B$2004,"&lt;="&amp;$B$4))</f>
        <v/>
      </c>
      <c r="G131" s="29" t="str">
        <f>IF(A131="","",E131*IFERROR(INDEX(Trabajadores!$D$5:$D$204,MATCH(A131,Trabajadores!$B$5:$B$204,0)),0))</f>
        <v/>
      </c>
      <c r="H131" s="29" t="str">
        <f t="shared" si="6"/>
        <v/>
      </c>
      <c r="I131" s="29" t="str">
        <f t="shared" si="7"/>
        <v/>
      </c>
    </row>
    <row r="132" spans="1:9" x14ac:dyDescent="0.3">
      <c r="A132" t="str">
        <f>IF(Trabajadores!B129="","",Trabajadores!B129)</f>
        <v/>
      </c>
      <c r="B132" t="str">
        <f>IF(A132="","",COUNTIFS(Detalle_Pagos!$E$5:$E$2004,A132,Detalle_Pagos!$B$5:$B$2004,"&gt;="&amp;$B$3,Detalle_Pagos!$B$5:$B$2004,"&lt;="&amp;$B$4))</f>
        <v/>
      </c>
      <c r="C132" s="29" t="str">
        <f>IF(A132="","",SUMIFS(Detalle_Pagos!$I$5:$I$2004,Detalle_Pagos!$E$5:$E$2004,A132,Detalle_Pagos!$J$5:$J$2004,"Si",Detalle_Pagos!$B$5:$B$2004,"&gt;="&amp;$B$3,Detalle_Pagos!$B$5:$B$2004,"&lt;="&amp;$B$4))</f>
        <v/>
      </c>
      <c r="D132" s="29" t="str">
        <f>IF(A132="","",SUMIFS(Detalle_Pagos!$I$5:$I$2004,Detalle_Pagos!$E$5:$E$2004,A132,Detalle_Pagos!$J$5:$J$2004,"No",Detalle_Pagos!$B$5:$B$2004,"&gt;="&amp;$B$3,Detalle_Pagos!$B$5:$B$2004,"&lt;="&amp;$B$4))</f>
        <v/>
      </c>
      <c r="E132" t="str">
        <f>IF(A132="","",COUNTIFS(Detalle_Pagos!$E$5:$E$2004,A132,Detalle_Pagos!$J$5:$J$2004,"No",Detalle_Pagos!$B$5:$B$2004,"&gt;="&amp;$B$3,Detalle_Pagos!$B$5:$B$2004,"&lt;="&amp;$B$4))</f>
        <v/>
      </c>
      <c r="F132" t="str">
        <f>IF(A132="","",COUNTIFS(Detalle_Pagos!$E$5:$E$2004,A132,Detalle_Pagos!$J$5:$J$2004,"Si",Detalle_Pagos!$B$5:$B$2004,"&gt;="&amp;$B$3,Detalle_Pagos!$B$5:$B$2004,"&lt;="&amp;$B$4))</f>
        <v/>
      </c>
      <c r="G132" s="29" t="str">
        <f>IF(A132="","",E132*IFERROR(INDEX(Trabajadores!$D$5:$D$204,MATCH(A132,Trabajadores!$B$5:$B$204,0)),0))</f>
        <v/>
      </c>
      <c r="H132" s="29" t="str">
        <f t="shared" si="6"/>
        <v/>
      </c>
      <c r="I132" s="29" t="str">
        <f t="shared" si="7"/>
        <v/>
      </c>
    </row>
    <row r="133" spans="1:9" x14ac:dyDescent="0.3">
      <c r="A133" t="str">
        <f>IF(Trabajadores!B130="","",Trabajadores!B130)</f>
        <v/>
      </c>
      <c r="B133" t="str">
        <f>IF(A133="","",COUNTIFS(Detalle_Pagos!$E$5:$E$2004,A133,Detalle_Pagos!$B$5:$B$2004,"&gt;="&amp;$B$3,Detalle_Pagos!$B$5:$B$2004,"&lt;="&amp;$B$4))</f>
        <v/>
      </c>
      <c r="C133" s="29" t="str">
        <f>IF(A133="","",SUMIFS(Detalle_Pagos!$I$5:$I$2004,Detalle_Pagos!$E$5:$E$2004,A133,Detalle_Pagos!$J$5:$J$2004,"Si",Detalle_Pagos!$B$5:$B$2004,"&gt;="&amp;$B$3,Detalle_Pagos!$B$5:$B$2004,"&lt;="&amp;$B$4))</f>
        <v/>
      </c>
      <c r="D133" s="29" t="str">
        <f>IF(A133="","",SUMIFS(Detalle_Pagos!$I$5:$I$2004,Detalle_Pagos!$E$5:$E$2004,A133,Detalle_Pagos!$J$5:$J$2004,"No",Detalle_Pagos!$B$5:$B$2004,"&gt;="&amp;$B$3,Detalle_Pagos!$B$5:$B$2004,"&lt;="&amp;$B$4))</f>
        <v/>
      </c>
      <c r="E133" t="str">
        <f>IF(A133="","",COUNTIFS(Detalle_Pagos!$E$5:$E$2004,A133,Detalle_Pagos!$J$5:$J$2004,"No",Detalle_Pagos!$B$5:$B$2004,"&gt;="&amp;$B$3,Detalle_Pagos!$B$5:$B$2004,"&lt;="&amp;$B$4))</f>
        <v/>
      </c>
      <c r="F133" t="str">
        <f>IF(A133="","",COUNTIFS(Detalle_Pagos!$E$5:$E$2004,A133,Detalle_Pagos!$J$5:$J$2004,"Si",Detalle_Pagos!$B$5:$B$2004,"&gt;="&amp;$B$3,Detalle_Pagos!$B$5:$B$2004,"&lt;="&amp;$B$4))</f>
        <v/>
      </c>
      <c r="G133" s="29" t="str">
        <f>IF(A133="","",E133*IFERROR(INDEX(Trabajadores!$D$5:$D$204,MATCH(A133,Trabajadores!$B$5:$B$204,0)),0))</f>
        <v/>
      </c>
      <c r="H133" s="29" t="str">
        <f t="shared" si="6"/>
        <v/>
      </c>
      <c r="I133" s="29" t="str">
        <f t="shared" si="7"/>
        <v/>
      </c>
    </row>
    <row r="134" spans="1:9" x14ac:dyDescent="0.3">
      <c r="A134" t="str">
        <f>IF(Trabajadores!B131="","",Trabajadores!B131)</f>
        <v/>
      </c>
      <c r="B134" t="str">
        <f>IF(A134="","",COUNTIFS(Detalle_Pagos!$E$5:$E$2004,A134,Detalle_Pagos!$B$5:$B$2004,"&gt;="&amp;$B$3,Detalle_Pagos!$B$5:$B$2004,"&lt;="&amp;$B$4))</f>
        <v/>
      </c>
      <c r="C134" s="29" t="str">
        <f>IF(A134="","",SUMIFS(Detalle_Pagos!$I$5:$I$2004,Detalle_Pagos!$E$5:$E$2004,A134,Detalle_Pagos!$J$5:$J$2004,"Si",Detalle_Pagos!$B$5:$B$2004,"&gt;="&amp;$B$3,Detalle_Pagos!$B$5:$B$2004,"&lt;="&amp;$B$4))</f>
        <v/>
      </c>
      <c r="D134" s="29" t="str">
        <f>IF(A134="","",SUMIFS(Detalle_Pagos!$I$5:$I$2004,Detalle_Pagos!$E$5:$E$2004,A134,Detalle_Pagos!$J$5:$J$2004,"No",Detalle_Pagos!$B$5:$B$2004,"&gt;="&amp;$B$3,Detalle_Pagos!$B$5:$B$2004,"&lt;="&amp;$B$4))</f>
        <v/>
      </c>
      <c r="E134" t="str">
        <f>IF(A134="","",COUNTIFS(Detalle_Pagos!$E$5:$E$2004,A134,Detalle_Pagos!$J$5:$J$2004,"No",Detalle_Pagos!$B$5:$B$2004,"&gt;="&amp;$B$3,Detalle_Pagos!$B$5:$B$2004,"&lt;="&amp;$B$4))</f>
        <v/>
      </c>
      <c r="F134" t="str">
        <f>IF(A134="","",COUNTIFS(Detalle_Pagos!$E$5:$E$2004,A134,Detalle_Pagos!$J$5:$J$2004,"Si",Detalle_Pagos!$B$5:$B$2004,"&gt;="&amp;$B$3,Detalle_Pagos!$B$5:$B$2004,"&lt;="&amp;$B$4))</f>
        <v/>
      </c>
      <c r="G134" s="29" t="str">
        <f>IF(A134="","",E134*IFERROR(INDEX(Trabajadores!$D$5:$D$204,MATCH(A134,Trabajadores!$B$5:$B$204,0)),0))</f>
        <v/>
      </c>
      <c r="H134" s="29" t="str">
        <f t="shared" si="6"/>
        <v/>
      </c>
      <c r="I134" s="29" t="str">
        <f t="shared" si="7"/>
        <v/>
      </c>
    </row>
    <row r="135" spans="1:9" x14ac:dyDescent="0.3">
      <c r="A135" t="str">
        <f>IF(Trabajadores!B132="","",Trabajadores!B132)</f>
        <v/>
      </c>
      <c r="B135" t="str">
        <f>IF(A135="","",COUNTIFS(Detalle_Pagos!$E$5:$E$2004,A135,Detalle_Pagos!$B$5:$B$2004,"&gt;="&amp;$B$3,Detalle_Pagos!$B$5:$B$2004,"&lt;="&amp;$B$4))</f>
        <v/>
      </c>
      <c r="C135" s="29" t="str">
        <f>IF(A135="","",SUMIFS(Detalle_Pagos!$I$5:$I$2004,Detalle_Pagos!$E$5:$E$2004,A135,Detalle_Pagos!$J$5:$J$2004,"Si",Detalle_Pagos!$B$5:$B$2004,"&gt;="&amp;$B$3,Detalle_Pagos!$B$5:$B$2004,"&lt;="&amp;$B$4))</f>
        <v/>
      </c>
      <c r="D135" s="29" t="str">
        <f>IF(A135="","",SUMIFS(Detalle_Pagos!$I$5:$I$2004,Detalle_Pagos!$E$5:$E$2004,A135,Detalle_Pagos!$J$5:$J$2004,"No",Detalle_Pagos!$B$5:$B$2004,"&gt;="&amp;$B$3,Detalle_Pagos!$B$5:$B$2004,"&lt;="&amp;$B$4))</f>
        <v/>
      </c>
      <c r="E135" t="str">
        <f>IF(A135="","",COUNTIFS(Detalle_Pagos!$E$5:$E$2004,A135,Detalle_Pagos!$J$5:$J$2004,"No",Detalle_Pagos!$B$5:$B$2004,"&gt;="&amp;$B$3,Detalle_Pagos!$B$5:$B$2004,"&lt;="&amp;$B$4))</f>
        <v/>
      </c>
      <c r="F135" t="str">
        <f>IF(A135="","",COUNTIFS(Detalle_Pagos!$E$5:$E$2004,A135,Detalle_Pagos!$J$5:$J$2004,"Si",Detalle_Pagos!$B$5:$B$2004,"&gt;="&amp;$B$3,Detalle_Pagos!$B$5:$B$2004,"&lt;="&amp;$B$4))</f>
        <v/>
      </c>
      <c r="G135" s="29" t="str">
        <f>IF(A135="","",E135*IFERROR(INDEX(Trabajadores!$D$5:$D$204,MATCH(A135,Trabajadores!$B$5:$B$204,0)),0))</f>
        <v/>
      </c>
      <c r="H135" s="29" t="str">
        <f t="shared" si="6"/>
        <v/>
      </c>
      <c r="I135" s="29" t="str">
        <f t="shared" si="7"/>
        <v/>
      </c>
    </row>
    <row r="136" spans="1:9" x14ac:dyDescent="0.3">
      <c r="A136" t="str">
        <f>IF(Trabajadores!B133="","",Trabajadores!B133)</f>
        <v/>
      </c>
      <c r="B136" t="str">
        <f>IF(A136="","",COUNTIFS(Detalle_Pagos!$E$5:$E$2004,A136,Detalle_Pagos!$B$5:$B$2004,"&gt;="&amp;$B$3,Detalle_Pagos!$B$5:$B$2004,"&lt;="&amp;$B$4))</f>
        <v/>
      </c>
      <c r="C136" s="29" t="str">
        <f>IF(A136="","",SUMIFS(Detalle_Pagos!$I$5:$I$2004,Detalle_Pagos!$E$5:$E$2004,A136,Detalle_Pagos!$J$5:$J$2004,"Si",Detalle_Pagos!$B$5:$B$2004,"&gt;="&amp;$B$3,Detalle_Pagos!$B$5:$B$2004,"&lt;="&amp;$B$4))</f>
        <v/>
      </c>
      <c r="D136" s="29" t="str">
        <f>IF(A136="","",SUMIFS(Detalle_Pagos!$I$5:$I$2004,Detalle_Pagos!$E$5:$E$2004,A136,Detalle_Pagos!$J$5:$J$2004,"No",Detalle_Pagos!$B$5:$B$2004,"&gt;="&amp;$B$3,Detalle_Pagos!$B$5:$B$2004,"&lt;="&amp;$B$4))</f>
        <v/>
      </c>
      <c r="E136" t="str">
        <f>IF(A136="","",COUNTIFS(Detalle_Pagos!$E$5:$E$2004,A136,Detalle_Pagos!$J$5:$J$2004,"No",Detalle_Pagos!$B$5:$B$2004,"&gt;="&amp;$B$3,Detalle_Pagos!$B$5:$B$2004,"&lt;="&amp;$B$4))</f>
        <v/>
      </c>
      <c r="F136" t="str">
        <f>IF(A136="","",COUNTIFS(Detalle_Pagos!$E$5:$E$2004,A136,Detalle_Pagos!$J$5:$J$2004,"Si",Detalle_Pagos!$B$5:$B$2004,"&gt;="&amp;$B$3,Detalle_Pagos!$B$5:$B$2004,"&lt;="&amp;$B$4))</f>
        <v/>
      </c>
      <c r="G136" s="29" t="str">
        <f>IF(A136="","",E136*IFERROR(INDEX(Trabajadores!$D$5:$D$204,MATCH(A136,Trabajadores!$B$5:$B$204,0)),0))</f>
        <v/>
      </c>
      <c r="H136" s="29" t="str">
        <f t="shared" ref="H136:H167" si="8">IF(A136="","",D136+G136)</f>
        <v/>
      </c>
      <c r="I136" s="29" t="str">
        <f t="shared" ref="I136:I167" si="9">IF(A136="","",C136+D136)</f>
        <v/>
      </c>
    </row>
    <row r="137" spans="1:9" x14ac:dyDescent="0.3">
      <c r="A137" t="str">
        <f>IF(Trabajadores!B134="","",Trabajadores!B134)</f>
        <v/>
      </c>
      <c r="B137" t="str">
        <f>IF(A137="","",COUNTIFS(Detalle_Pagos!$E$5:$E$2004,A137,Detalle_Pagos!$B$5:$B$2004,"&gt;="&amp;$B$3,Detalle_Pagos!$B$5:$B$2004,"&lt;="&amp;$B$4))</f>
        <v/>
      </c>
      <c r="C137" s="29" t="str">
        <f>IF(A137="","",SUMIFS(Detalle_Pagos!$I$5:$I$2004,Detalle_Pagos!$E$5:$E$2004,A137,Detalle_Pagos!$J$5:$J$2004,"Si",Detalle_Pagos!$B$5:$B$2004,"&gt;="&amp;$B$3,Detalle_Pagos!$B$5:$B$2004,"&lt;="&amp;$B$4))</f>
        <v/>
      </c>
      <c r="D137" s="29" t="str">
        <f>IF(A137="","",SUMIFS(Detalle_Pagos!$I$5:$I$2004,Detalle_Pagos!$E$5:$E$2004,A137,Detalle_Pagos!$J$5:$J$2004,"No",Detalle_Pagos!$B$5:$B$2004,"&gt;="&amp;$B$3,Detalle_Pagos!$B$5:$B$2004,"&lt;="&amp;$B$4))</f>
        <v/>
      </c>
      <c r="E137" t="str">
        <f>IF(A137="","",COUNTIFS(Detalle_Pagos!$E$5:$E$2004,A137,Detalle_Pagos!$J$5:$J$2004,"No",Detalle_Pagos!$B$5:$B$2004,"&gt;="&amp;$B$3,Detalle_Pagos!$B$5:$B$2004,"&lt;="&amp;$B$4))</f>
        <v/>
      </c>
      <c r="F137" t="str">
        <f>IF(A137="","",COUNTIFS(Detalle_Pagos!$E$5:$E$2004,A137,Detalle_Pagos!$J$5:$J$2004,"Si",Detalle_Pagos!$B$5:$B$2004,"&gt;="&amp;$B$3,Detalle_Pagos!$B$5:$B$2004,"&lt;="&amp;$B$4))</f>
        <v/>
      </c>
      <c r="G137" s="29" t="str">
        <f>IF(A137="","",E137*IFERROR(INDEX(Trabajadores!$D$5:$D$204,MATCH(A137,Trabajadores!$B$5:$B$204,0)),0))</f>
        <v/>
      </c>
      <c r="H137" s="29" t="str">
        <f t="shared" si="8"/>
        <v/>
      </c>
      <c r="I137" s="29" t="str">
        <f t="shared" si="9"/>
        <v/>
      </c>
    </row>
    <row r="138" spans="1:9" x14ac:dyDescent="0.3">
      <c r="A138" t="str">
        <f>IF(Trabajadores!B135="","",Trabajadores!B135)</f>
        <v/>
      </c>
      <c r="B138" t="str">
        <f>IF(A138="","",COUNTIFS(Detalle_Pagos!$E$5:$E$2004,A138,Detalle_Pagos!$B$5:$B$2004,"&gt;="&amp;$B$3,Detalle_Pagos!$B$5:$B$2004,"&lt;="&amp;$B$4))</f>
        <v/>
      </c>
      <c r="C138" s="29" t="str">
        <f>IF(A138="","",SUMIFS(Detalle_Pagos!$I$5:$I$2004,Detalle_Pagos!$E$5:$E$2004,A138,Detalle_Pagos!$J$5:$J$2004,"Si",Detalle_Pagos!$B$5:$B$2004,"&gt;="&amp;$B$3,Detalle_Pagos!$B$5:$B$2004,"&lt;="&amp;$B$4))</f>
        <v/>
      </c>
      <c r="D138" s="29" t="str">
        <f>IF(A138="","",SUMIFS(Detalle_Pagos!$I$5:$I$2004,Detalle_Pagos!$E$5:$E$2004,A138,Detalle_Pagos!$J$5:$J$2004,"No",Detalle_Pagos!$B$5:$B$2004,"&gt;="&amp;$B$3,Detalle_Pagos!$B$5:$B$2004,"&lt;="&amp;$B$4))</f>
        <v/>
      </c>
      <c r="E138" t="str">
        <f>IF(A138="","",COUNTIFS(Detalle_Pagos!$E$5:$E$2004,A138,Detalle_Pagos!$J$5:$J$2004,"No",Detalle_Pagos!$B$5:$B$2004,"&gt;="&amp;$B$3,Detalle_Pagos!$B$5:$B$2004,"&lt;="&amp;$B$4))</f>
        <v/>
      </c>
      <c r="F138" t="str">
        <f>IF(A138="","",COUNTIFS(Detalle_Pagos!$E$5:$E$2004,A138,Detalle_Pagos!$J$5:$J$2004,"Si",Detalle_Pagos!$B$5:$B$2004,"&gt;="&amp;$B$3,Detalle_Pagos!$B$5:$B$2004,"&lt;="&amp;$B$4))</f>
        <v/>
      </c>
      <c r="G138" s="29" t="str">
        <f>IF(A138="","",E138*IFERROR(INDEX(Trabajadores!$D$5:$D$204,MATCH(A138,Trabajadores!$B$5:$B$204,0)),0))</f>
        <v/>
      </c>
      <c r="H138" s="29" t="str">
        <f t="shared" si="8"/>
        <v/>
      </c>
      <c r="I138" s="29" t="str">
        <f t="shared" si="9"/>
        <v/>
      </c>
    </row>
    <row r="139" spans="1:9" x14ac:dyDescent="0.3">
      <c r="A139" t="str">
        <f>IF(Trabajadores!B136="","",Trabajadores!B136)</f>
        <v/>
      </c>
      <c r="B139" t="str">
        <f>IF(A139="","",COUNTIFS(Detalle_Pagos!$E$5:$E$2004,A139,Detalle_Pagos!$B$5:$B$2004,"&gt;="&amp;$B$3,Detalle_Pagos!$B$5:$B$2004,"&lt;="&amp;$B$4))</f>
        <v/>
      </c>
      <c r="C139" s="29" t="str">
        <f>IF(A139="","",SUMIFS(Detalle_Pagos!$I$5:$I$2004,Detalle_Pagos!$E$5:$E$2004,A139,Detalle_Pagos!$J$5:$J$2004,"Si",Detalle_Pagos!$B$5:$B$2004,"&gt;="&amp;$B$3,Detalle_Pagos!$B$5:$B$2004,"&lt;="&amp;$B$4))</f>
        <v/>
      </c>
      <c r="D139" s="29" t="str">
        <f>IF(A139="","",SUMIFS(Detalle_Pagos!$I$5:$I$2004,Detalle_Pagos!$E$5:$E$2004,A139,Detalle_Pagos!$J$5:$J$2004,"No",Detalle_Pagos!$B$5:$B$2004,"&gt;="&amp;$B$3,Detalle_Pagos!$B$5:$B$2004,"&lt;="&amp;$B$4))</f>
        <v/>
      </c>
      <c r="E139" t="str">
        <f>IF(A139="","",COUNTIFS(Detalle_Pagos!$E$5:$E$2004,A139,Detalle_Pagos!$J$5:$J$2004,"No",Detalle_Pagos!$B$5:$B$2004,"&gt;="&amp;$B$3,Detalle_Pagos!$B$5:$B$2004,"&lt;="&amp;$B$4))</f>
        <v/>
      </c>
      <c r="F139" t="str">
        <f>IF(A139="","",COUNTIFS(Detalle_Pagos!$E$5:$E$2004,A139,Detalle_Pagos!$J$5:$J$2004,"Si",Detalle_Pagos!$B$5:$B$2004,"&gt;="&amp;$B$3,Detalle_Pagos!$B$5:$B$2004,"&lt;="&amp;$B$4))</f>
        <v/>
      </c>
      <c r="G139" s="29" t="str">
        <f>IF(A139="","",E139*IFERROR(INDEX(Trabajadores!$D$5:$D$204,MATCH(A139,Trabajadores!$B$5:$B$204,0)),0))</f>
        <v/>
      </c>
      <c r="H139" s="29" t="str">
        <f t="shared" si="8"/>
        <v/>
      </c>
      <c r="I139" s="29" t="str">
        <f t="shared" si="9"/>
        <v/>
      </c>
    </row>
    <row r="140" spans="1:9" x14ac:dyDescent="0.3">
      <c r="A140" t="str">
        <f>IF(Trabajadores!B137="","",Trabajadores!B137)</f>
        <v/>
      </c>
      <c r="B140" t="str">
        <f>IF(A140="","",COUNTIFS(Detalle_Pagos!$E$5:$E$2004,A140,Detalle_Pagos!$B$5:$B$2004,"&gt;="&amp;$B$3,Detalle_Pagos!$B$5:$B$2004,"&lt;="&amp;$B$4))</f>
        <v/>
      </c>
      <c r="C140" s="29" t="str">
        <f>IF(A140="","",SUMIFS(Detalle_Pagos!$I$5:$I$2004,Detalle_Pagos!$E$5:$E$2004,A140,Detalle_Pagos!$J$5:$J$2004,"Si",Detalle_Pagos!$B$5:$B$2004,"&gt;="&amp;$B$3,Detalle_Pagos!$B$5:$B$2004,"&lt;="&amp;$B$4))</f>
        <v/>
      </c>
      <c r="D140" s="29" t="str">
        <f>IF(A140="","",SUMIFS(Detalle_Pagos!$I$5:$I$2004,Detalle_Pagos!$E$5:$E$2004,A140,Detalle_Pagos!$J$5:$J$2004,"No",Detalle_Pagos!$B$5:$B$2004,"&gt;="&amp;$B$3,Detalle_Pagos!$B$5:$B$2004,"&lt;="&amp;$B$4))</f>
        <v/>
      </c>
      <c r="E140" t="str">
        <f>IF(A140="","",COUNTIFS(Detalle_Pagos!$E$5:$E$2004,A140,Detalle_Pagos!$J$5:$J$2004,"No",Detalle_Pagos!$B$5:$B$2004,"&gt;="&amp;$B$3,Detalle_Pagos!$B$5:$B$2004,"&lt;="&amp;$B$4))</f>
        <v/>
      </c>
      <c r="F140" t="str">
        <f>IF(A140="","",COUNTIFS(Detalle_Pagos!$E$5:$E$2004,A140,Detalle_Pagos!$J$5:$J$2004,"Si",Detalle_Pagos!$B$5:$B$2004,"&gt;="&amp;$B$3,Detalle_Pagos!$B$5:$B$2004,"&lt;="&amp;$B$4))</f>
        <v/>
      </c>
      <c r="G140" s="29" t="str">
        <f>IF(A140="","",E140*IFERROR(INDEX(Trabajadores!$D$5:$D$204,MATCH(A140,Trabajadores!$B$5:$B$204,0)),0))</f>
        <v/>
      </c>
      <c r="H140" s="29" t="str">
        <f t="shared" si="8"/>
        <v/>
      </c>
      <c r="I140" s="29" t="str">
        <f t="shared" si="9"/>
        <v/>
      </c>
    </row>
    <row r="141" spans="1:9" x14ac:dyDescent="0.3">
      <c r="A141" t="str">
        <f>IF(Trabajadores!B138="","",Trabajadores!B138)</f>
        <v/>
      </c>
      <c r="B141" t="str">
        <f>IF(A141="","",COUNTIFS(Detalle_Pagos!$E$5:$E$2004,A141,Detalle_Pagos!$B$5:$B$2004,"&gt;="&amp;$B$3,Detalle_Pagos!$B$5:$B$2004,"&lt;="&amp;$B$4))</f>
        <v/>
      </c>
      <c r="C141" s="29" t="str">
        <f>IF(A141="","",SUMIFS(Detalle_Pagos!$I$5:$I$2004,Detalle_Pagos!$E$5:$E$2004,A141,Detalle_Pagos!$J$5:$J$2004,"Si",Detalle_Pagos!$B$5:$B$2004,"&gt;="&amp;$B$3,Detalle_Pagos!$B$5:$B$2004,"&lt;="&amp;$B$4))</f>
        <v/>
      </c>
      <c r="D141" s="29" t="str">
        <f>IF(A141="","",SUMIFS(Detalle_Pagos!$I$5:$I$2004,Detalle_Pagos!$E$5:$E$2004,A141,Detalle_Pagos!$J$5:$J$2004,"No",Detalle_Pagos!$B$5:$B$2004,"&gt;="&amp;$B$3,Detalle_Pagos!$B$5:$B$2004,"&lt;="&amp;$B$4))</f>
        <v/>
      </c>
      <c r="E141" t="str">
        <f>IF(A141="","",COUNTIFS(Detalle_Pagos!$E$5:$E$2004,A141,Detalle_Pagos!$J$5:$J$2004,"No",Detalle_Pagos!$B$5:$B$2004,"&gt;="&amp;$B$3,Detalle_Pagos!$B$5:$B$2004,"&lt;="&amp;$B$4))</f>
        <v/>
      </c>
      <c r="F141" t="str">
        <f>IF(A141="","",COUNTIFS(Detalle_Pagos!$E$5:$E$2004,A141,Detalle_Pagos!$J$5:$J$2004,"Si",Detalle_Pagos!$B$5:$B$2004,"&gt;="&amp;$B$3,Detalle_Pagos!$B$5:$B$2004,"&lt;="&amp;$B$4))</f>
        <v/>
      </c>
      <c r="G141" s="29" t="str">
        <f>IF(A141="","",E141*IFERROR(INDEX(Trabajadores!$D$5:$D$204,MATCH(A141,Trabajadores!$B$5:$B$204,0)),0))</f>
        <v/>
      </c>
      <c r="H141" s="29" t="str">
        <f t="shared" si="8"/>
        <v/>
      </c>
      <c r="I141" s="29" t="str">
        <f t="shared" si="9"/>
        <v/>
      </c>
    </row>
    <row r="142" spans="1:9" x14ac:dyDescent="0.3">
      <c r="A142" t="str">
        <f>IF(Trabajadores!B139="","",Trabajadores!B139)</f>
        <v/>
      </c>
      <c r="B142" t="str">
        <f>IF(A142="","",COUNTIFS(Detalle_Pagos!$E$5:$E$2004,A142,Detalle_Pagos!$B$5:$B$2004,"&gt;="&amp;$B$3,Detalle_Pagos!$B$5:$B$2004,"&lt;="&amp;$B$4))</f>
        <v/>
      </c>
      <c r="C142" s="29" t="str">
        <f>IF(A142="","",SUMIFS(Detalle_Pagos!$I$5:$I$2004,Detalle_Pagos!$E$5:$E$2004,A142,Detalle_Pagos!$J$5:$J$2004,"Si",Detalle_Pagos!$B$5:$B$2004,"&gt;="&amp;$B$3,Detalle_Pagos!$B$5:$B$2004,"&lt;="&amp;$B$4))</f>
        <v/>
      </c>
      <c r="D142" s="29" t="str">
        <f>IF(A142="","",SUMIFS(Detalle_Pagos!$I$5:$I$2004,Detalle_Pagos!$E$5:$E$2004,A142,Detalle_Pagos!$J$5:$J$2004,"No",Detalle_Pagos!$B$5:$B$2004,"&gt;="&amp;$B$3,Detalle_Pagos!$B$5:$B$2004,"&lt;="&amp;$B$4))</f>
        <v/>
      </c>
      <c r="E142" t="str">
        <f>IF(A142="","",COUNTIFS(Detalle_Pagos!$E$5:$E$2004,A142,Detalle_Pagos!$J$5:$J$2004,"No",Detalle_Pagos!$B$5:$B$2004,"&gt;="&amp;$B$3,Detalle_Pagos!$B$5:$B$2004,"&lt;="&amp;$B$4))</f>
        <v/>
      </c>
      <c r="F142" t="str">
        <f>IF(A142="","",COUNTIFS(Detalle_Pagos!$E$5:$E$2004,A142,Detalle_Pagos!$J$5:$J$2004,"Si",Detalle_Pagos!$B$5:$B$2004,"&gt;="&amp;$B$3,Detalle_Pagos!$B$5:$B$2004,"&lt;="&amp;$B$4))</f>
        <v/>
      </c>
      <c r="G142" s="29" t="str">
        <f>IF(A142="","",E142*IFERROR(INDEX(Trabajadores!$D$5:$D$204,MATCH(A142,Trabajadores!$B$5:$B$204,0)),0))</f>
        <v/>
      </c>
      <c r="H142" s="29" t="str">
        <f t="shared" si="8"/>
        <v/>
      </c>
      <c r="I142" s="29" t="str">
        <f t="shared" si="9"/>
        <v/>
      </c>
    </row>
    <row r="143" spans="1:9" x14ac:dyDescent="0.3">
      <c r="A143" t="str">
        <f>IF(Trabajadores!B140="","",Trabajadores!B140)</f>
        <v/>
      </c>
      <c r="B143" t="str">
        <f>IF(A143="","",COUNTIFS(Detalle_Pagos!$E$5:$E$2004,A143,Detalle_Pagos!$B$5:$B$2004,"&gt;="&amp;$B$3,Detalle_Pagos!$B$5:$B$2004,"&lt;="&amp;$B$4))</f>
        <v/>
      </c>
      <c r="C143" s="29" t="str">
        <f>IF(A143="","",SUMIFS(Detalle_Pagos!$I$5:$I$2004,Detalle_Pagos!$E$5:$E$2004,A143,Detalle_Pagos!$J$5:$J$2004,"Si",Detalle_Pagos!$B$5:$B$2004,"&gt;="&amp;$B$3,Detalle_Pagos!$B$5:$B$2004,"&lt;="&amp;$B$4))</f>
        <v/>
      </c>
      <c r="D143" s="29" t="str">
        <f>IF(A143="","",SUMIFS(Detalle_Pagos!$I$5:$I$2004,Detalle_Pagos!$E$5:$E$2004,A143,Detalle_Pagos!$J$5:$J$2004,"No",Detalle_Pagos!$B$5:$B$2004,"&gt;="&amp;$B$3,Detalle_Pagos!$B$5:$B$2004,"&lt;="&amp;$B$4))</f>
        <v/>
      </c>
      <c r="E143" t="str">
        <f>IF(A143="","",COUNTIFS(Detalle_Pagos!$E$5:$E$2004,A143,Detalle_Pagos!$J$5:$J$2004,"No",Detalle_Pagos!$B$5:$B$2004,"&gt;="&amp;$B$3,Detalle_Pagos!$B$5:$B$2004,"&lt;="&amp;$B$4))</f>
        <v/>
      </c>
      <c r="F143" t="str">
        <f>IF(A143="","",COUNTIFS(Detalle_Pagos!$E$5:$E$2004,A143,Detalle_Pagos!$J$5:$J$2004,"Si",Detalle_Pagos!$B$5:$B$2004,"&gt;="&amp;$B$3,Detalle_Pagos!$B$5:$B$2004,"&lt;="&amp;$B$4))</f>
        <v/>
      </c>
      <c r="G143" s="29" t="str">
        <f>IF(A143="","",E143*IFERROR(INDEX(Trabajadores!$D$5:$D$204,MATCH(A143,Trabajadores!$B$5:$B$204,0)),0))</f>
        <v/>
      </c>
      <c r="H143" s="29" t="str">
        <f t="shared" si="8"/>
        <v/>
      </c>
      <c r="I143" s="29" t="str">
        <f t="shared" si="9"/>
        <v/>
      </c>
    </row>
    <row r="144" spans="1:9" x14ac:dyDescent="0.3">
      <c r="A144" t="str">
        <f>IF(Trabajadores!B141="","",Trabajadores!B141)</f>
        <v/>
      </c>
      <c r="B144" t="str">
        <f>IF(A144="","",COUNTIFS(Detalle_Pagos!$E$5:$E$2004,A144,Detalle_Pagos!$B$5:$B$2004,"&gt;="&amp;$B$3,Detalle_Pagos!$B$5:$B$2004,"&lt;="&amp;$B$4))</f>
        <v/>
      </c>
      <c r="C144" s="29" t="str">
        <f>IF(A144="","",SUMIFS(Detalle_Pagos!$I$5:$I$2004,Detalle_Pagos!$E$5:$E$2004,A144,Detalle_Pagos!$J$5:$J$2004,"Si",Detalle_Pagos!$B$5:$B$2004,"&gt;="&amp;$B$3,Detalle_Pagos!$B$5:$B$2004,"&lt;="&amp;$B$4))</f>
        <v/>
      </c>
      <c r="D144" s="29" t="str">
        <f>IF(A144="","",SUMIFS(Detalle_Pagos!$I$5:$I$2004,Detalle_Pagos!$E$5:$E$2004,A144,Detalle_Pagos!$J$5:$J$2004,"No",Detalle_Pagos!$B$5:$B$2004,"&gt;="&amp;$B$3,Detalle_Pagos!$B$5:$B$2004,"&lt;="&amp;$B$4))</f>
        <v/>
      </c>
      <c r="E144" t="str">
        <f>IF(A144="","",COUNTIFS(Detalle_Pagos!$E$5:$E$2004,A144,Detalle_Pagos!$J$5:$J$2004,"No",Detalle_Pagos!$B$5:$B$2004,"&gt;="&amp;$B$3,Detalle_Pagos!$B$5:$B$2004,"&lt;="&amp;$B$4))</f>
        <v/>
      </c>
      <c r="F144" t="str">
        <f>IF(A144="","",COUNTIFS(Detalle_Pagos!$E$5:$E$2004,A144,Detalle_Pagos!$J$5:$J$2004,"Si",Detalle_Pagos!$B$5:$B$2004,"&gt;="&amp;$B$3,Detalle_Pagos!$B$5:$B$2004,"&lt;="&amp;$B$4))</f>
        <v/>
      </c>
      <c r="G144" s="29" t="str">
        <f>IF(A144="","",E144*IFERROR(INDEX(Trabajadores!$D$5:$D$204,MATCH(A144,Trabajadores!$B$5:$B$204,0)),0))</f>
        <v/>
      </c>
      <c r="H144" s="29" t="str">
        <f t="shared" si="8"/>
        <v/>
      </c>
      <c r="I144" s="29" t="str">
        <f t="shared" si="9"/>
        <v/>
      </c>
    </row>
    <row r="145" spans="1:9" x14ac:dyDescent="0.3">
      <c r="A145" t="str">
        <f>IF(Trabajadores!B142="","",Trabajadores!B142)</f>
        <v/>
      </c>
      <c r="B145" t="str">
        <f>IF(A145="","",COUNTIFS(Detalle_Pagos!$E$5:$E$2004,A145,Detalle_Pagos!$B$5:$B$2004,"&gt;="&amp;$B$3,Detalle_Pagos!$B$5:$B$2004,"&lt;="&amp;$B$4))</f>
        <v/>
      </c>
      <c r="C145" s="29" t="str">
        <f>IF(A145="","",SUMIFS(Detalle_Pagos!$I$5:$I$2004,Detalle_Pagos!$E$5:$E$2004,A145,Detalle_Pagos!$J$5:$J$2004,"Si",Detalle_Pagos!$B$5:$B$2004,"&gt;="&amp;$B$3,Detalle_Pagos!$B$5:$B$2004,"&lt;="&amp;$B$4))</f>
        <v/>
      </c>
      <c r="D145" s="29" t="str">
        <f>IF(A145="","",SUMIFS(Detalle_Pagos!$I$5:$I$2004,Detalle_Pagos!$E$5:$E$2004,A145,Detalle_Pagos!$J$5:$J$2004,"No",Detalle_Pagos!$B$5:$B$2004,"&gt;="&amp;$B$3,Detalle_Pagos!$B$5:$B$2004,"&lt;="&amp;$B$4))</f>
        <v/>
      </c>
      <c r="E145" t="str">
        <f>IF(A145="","",COUNTIFS(Detalle_Pagos!$E$5:$E$2004,A145,Detalle_Pagos!$J$5:$J$2004,"No",Detalle_Pagos!$B$5:$B$2004,"&gt;="&amp;$B$3,Detalle_Pagos!$B$5:$B$2004,"&lt;="&amp;$B$4))</f>
        <v/>
      </c>
      <c r="F145" t="str">
        <f>IF(A145="","",COUNTIFS(Detalle_Pagos!$E$5:$E$2004,A145,Detalle_Pagos!$J$5:$J$2004,"Si",Detalle_Pagos!$B$5:$B$2004,"&gt;="&amp;$B$3,Detalle_Pagos!$B$5:$B$2004,"&lt;="&amp;$B$4))</f>
        <v/>
      </c>
      <c r="G145" s="29" t="str">
        <f>IF(A145="","",E145*IFERROR(INDEX(Trabajadores!$D$5:$D$204,MATCH(A145,Trabajadores!$B$5:$B$204,0)),0))</f>
        <v/>
      </c>
      <c r="H145" s="29" t="str">
        <f t="shared" si="8"/>
        <v/>
      </c>
      <c r="I145" s="29" t="str">
        <f t="shared" si="9"/>
        <v/>
      </c>
    </row>
    <row r="146" spans="1:9" x14ac:dyDescent="0.3">
      <c r="A146" t="str">
        <f>IF(Trabajadores!B143="","",Trabajadores!B143)</f>
        <v/>
      </c>
      <c r="B146" t="str">
        <f>IF(A146="","",COUNTIFS(Detalle_Pagos!$E$5:$E$2004,A146,Detalle_Pagos!$B$5:$B$2004,"&gt;="&amp;$B$3,Detalle_Pagos!$B$5:$B$2004,"&lt;="&amp;$B$4))</f>
        <v/>
      </c>
      <c r="C146" s="29" t="str">
        <f>IF(A146="","",SUMIFS(Detalle_Pagos!$I$5:$I$2004,Detalle_Pagos!$E$5:$E$2004,A146,Detalle_Pagos!$J$5:$J$2004,"Si",Detalle_Pagos!$B$5:$B$2004,"&gt;="&amp;$B$3,Detalle_Pagos!$B$5:$B$2004,"&lt;="&amp;$B$4))</f>
        <v/>
      </c>
      <c r="D146" s="29" t="str">
        <f>IF(A146="","",SUMIFS(Detalle_Pagos!$I$5:$I$2004,Detalle_Pagos!$E$5:$E$2004,A146,Detalle_Pagos!$J$5:$J$2004,"No",Detalle_Pagos!$B$5:$B$2004,"&gt;="&amp;$B$3,Detalle_Pagos!$B$5:$B$2004,"&lt;="&amp;$B$4))</f>
        <v/>
      </c>
      <c r="E146" t="str">
        <f>IF(A146="","",COUNTIFS(Detalle_Pagos!$E$5:$E$2004,A146,Detalle_Pagos!$J$5:$J$2004,"No",Detalle_Pagos!$B$5:$B$2004,"&gt;="&amp;$B$3,Detalle_Pagos!$B$5:$B$2004,"&lt;="&amp;$B$4))</f>
        <v/>
      </c>
      <c r="F146" t="str">
        <f>IF(A146="","",COUNTIFS(Detalle_Pagos!$E$5:$E$2004,A146,Detalle_Pagos!$J$5:$J$2004,"Si",Detalle_Pagos!$B$5:$B$2004,"&gt;="&amp;$B$3,Detalle_Pagos!$B$5:$B$2004,"&lt;="&amp;$B$4))</f>
        <v/>
      </c>
      <c r="G146" s="29" t="str">
        <f>IF(A146="","",E146*IFERROR(INDEX(Trabajadores!$D$5:$D$204,MATCH(A146,Trabajadores!$B$5:$B$204,0)),0))</f>
        <v/>
      </c>
      <c r="H146" s="29" t="str">
        <f t="shared" si="8"/>
        <v/>
      </c>
      <c r="I146" s="29" t="str">
        <f t="shared" si="9"/>
        <v/>
      </c>
    </row>
    <row r="147" spans="1:9" x14ac:dyDescent="0.3">
      <c r="A147" t="str">
        <f>IF(Trabajadores!B144="","",Trabajadores!B144)</f>
        <v/>
      </c>
      <c r="B147" t="str">
        <f>IF(A147="","",COUNTIFS(Detalle_Pagos!$E$5:$E$2004,A147,Detalle_Pagos!$B$5:$B$2004,"&gt;="&amp;$B$3,Detalle_Pagos!$B$5:$B$2004,"&lt;="&amp;$B$4))</f>
        <v/>
      </c>
      <c r="C147" s="29" t="str">
        <f>IF(A147="","",SUMIFS(Detalle_Pagos!$I$5:$I$2004,Detalle_Pagos!$E$5:$E$2004,A147,Detalle_Pagos!$J$5:$J$2004,"Si",Detalle_Pagos!$B$5:$B$2004,"&gt;="&amp;$B$3,Detalle_Pagos!$B$5:$B$2004,"&lt;="&amp;$B$4))</f>
        <v/>
      </c>
      <c r="D147" s="29" t="str">
        <f>IF(A147="","",SUMIFS(Detalle_Pagos!$I$5:$I$2004,Detalle_Pagos!$E$5:$E$2004,A147,Detalle_Pagos!$J$5:$J$2004,"No",Detalle_Pagos!$B$5:$B$2004,"&gt;="&amp;$B$3,Detalle_Pagos!$B$5:$B$2004,"&lt;="&amp;$B$4))</f>
        <v/>
      </c>
      <c r="E147" t="str">
        <f>IF(A147="","",COUNTIFS(Detalle_Pagos!$E$5:$E$2004,A147,Detalle_Pagos!$J$5:$J$2004,"No",Detalle_Pagos!$B$5:$B$2004,"&gt;="&amp;$B$3,Detalle_Pagos!$B$5:$B$2004,"&lt;="&amp;$B$4))</f>
        <v/>
      </c>
      <c r="F147" t="str">
        <f>IF(A147="","",COUNTIFS(Detalle_Pagos!$E$5:$E$2004,A147,Detalle_Pagos!$J$5:$J$2004,"Si",Detalle_Pagos!$B$5:$B$2004,"&gt;="&amp;$B$3,Detalle_Pagos!$B$5:$B$2004,"&lt;="&amp;$B$4))</f>
        <v/>
      </c>
      <c r="G147" s="29" t="str">
        <f>IF(A147="","",E147*IFERROR(INDEX(Trabajadores!$D$5:$D$204,MATCH(A147,Trabajadores!$B$5:$B$204,0)),0))</f>
        <v/>
      </c>
      <c r="H147" s="29" t="str">
        <f t="shared" si="8"/>
        <v/>
      </c>
      <c r="I147" s="29" t="str">
        <f t="shared" si="9"/>
        <v/>
      </c>
    </row>
    <row r="148" spans="1:9" x14ac:dyDescent="0.3">
      <c r="A148" t="str">
        <f>IF(Trabajadores!B145="","",Trabajadores!B145)</f>
        <v/>
      </c>
      <c r="B148" t="str">
        <f>IF(A148="","",COUNTIFS(Detalle_Pagos!$E$5:$E$2004,A148,Detalle_Pagos!$B$5:$B$2004,"&gt;="&amp;$B$3,Detalle_Pagos!$B$5:$B$2004,"&lt;="&amp;$B$4))</f>
        <v/>
      </c>
      <c r="C148" s="29" t="str">
        <f>IF(A148="","",SUMIFS(Detalle_Pagos!$I$5:$I$2004,Detalle_Pagos!$E$5:$E$2004,A148,Detalle_Pagos!$J$5:$J$2004,"Si",Detalle_Pagos!$B$5:$B$2004,"&gt;="&amp;$B$3,Detalle_Pagos!$B$5:$B$2004,"&lt;="&amp;$B$4))</f>
        <v/>
      </c>
      <c r="D148" s="29" t="str">
        <f>IF(A148="","",SUMIFS(Detalle_Pagos!$I$5:$I$2004,Detalle_Pagos!$E$5:$E$2004,A148,Detalle_Pagos!$J$5:$J$2004,"No",Detalle_Pagos!$B$5:$B$2004,"&gt;="&amp;$B$3,Detalle_Pagos!$B$5:$B$2004,"&lt;="&amp;$B$4))</f>
        <v/>
      </c>
      <c r="E148" t="str">
        <f>IF(A148="","",COUNTIFS(Detalle_Pagos!$E$5:$E$2004,A148,Detalle_Pagos!$J$5:$J$2004,"No",Detalle_Pagos!$B$5:$B$2004,"&gt;="&amp;$B$3,Detalle_Pagos!$B$5:$B$2004,"&lt;="&amp;$B$4))</f>
        <v/>
      </c>
      <c r="F148" t="str">
        <f>IF(A148="","",COUNTIFS(Detalle_Pagos!$E$5:$E$2004,A148,Detalle_Pagos!$J$5:$J$2004,"Si",Detalle_Pagos!$B$5:$B$2004,"&gt;="&amp;$B$3,Detalle_Pagos!$B$5:$B$2004,"&lt;="&amp;$B$4))</f>
        <v/>
      </c>
      <c r="G148" s="29" t="str">
        <f>IF(A148="","",E148*IFERROR(INDEX(Trabajadores!$D$5:$D$204,MATCH(A148,Trabajadores!$B$5:$B$204,0)),0))</f>
        <v/>
      </c>
      <c r="H148" s="29" t="str">
        <f t="shared" si="8"/>
        <v/>
      </c>
      <c r="I148" s="29" t="str">
        <f t="shared" si="9"/>
        <v/>
      </c>
    </row>
    <row r="149" spans="1:9" x14ac:dyDescent="0.3">
      <c r="A149" t="str">
        <f>IF(Trabajadores!B146="","",Trabajadores!B146)</f>
        <v/>
      </c>
      <c r="B149" t="str">
        <f>IF(A149="","",COUNTIFS(Detalle_Pagos!$E$5:$E$2004,A149,Detalle_Pagos!$B$5:$B$2004,"&gt;="&amp;$B$3,Detalle_Pagos!$B$5:$B$2004,"&lt;="&amp;$B$4))</f>
        <v/>
      </c>
      <c r="C149" s="29" t="str">
        <f>IF(A149="","",SUMIFS(Detalle_Pagos!$I$5:$I$2004,Detalle_Pagos!$E$5:$E$2004,A149,Detalle_Pagos!$J$5:$J$2004,"Si",Detalle_Pagos!$B$5:$B$2004,"&gt;="&amp;$B$3,Detalle_Pagos!$B$5:$B$2004,"&lt;="&amp;$B$4))</f>
        <v/>
      </c>
      <c r="D149" s="29" t="str">
        <f>IF(A149="","",SUMIFS(Detalle_Pagos!$I$5:$I$2004,Detalle_Pagos!$E$5:$E$2004,A149,Detalle_Pagos!$J$5:$J$2004,"No",Detalle_Pagos!$B$5:$B$2004,"&gt;="&amp;$B$3,Detalle_Pagos!$B$5:$B$2004,"&lt;="&amp;$B$4))</f>
        <v/>
      </c>
      <c r="E149" t="str">
        <f>IF(A149="","",COUNTIFS(Detalle_Pagos!$E$5:$E$2004,A149,Detalle_Pagos!$J$5:$J$2004,"No",Detalle_Pagos!$B$5:$B$2004,"&gt;="&amp;$B$3,Detalle_Pagos!$B$5:$B$2004,"&lt;="&amp;$B$4))</f>
        <v/>
      </c>
      <c r="F149" t="str">
        <f>IF(A149="","",COUNTIFS(Detalle_Pagos!$E$5:$E$2004,A149,Detalle_Pagos!$J$5:$J$2004,"Si",Detalle_Pagos!$B$5:$B$2004,"&gt;="&amp;$B$3,Detalle_Pagos!$B$5:$B$2004,"&lt;="&amp;$B$4))</f>
        <v/>
      </c>
      <c r="G149" s="29" t="str">
        <f>IF(A149="","",E149*IFERROR(INDEX(Trabajadores!$D$5:$D$204,MATCH(A149,Trabajadores!$B$5:$B$204,0)),0))</f>
        <v/>
      </c>
      <c r="H149" s="29" t="str">
        <f t="shared" si="8"/>
        <v/>
      </c>
      <c r="I149" s="29" t="str">
        <f t="shared" si="9"/>
        <v/>
      </c>
    </row>
    <row r="150" spans="1:9" x14ac:dyDescent="0.3">
      <c r="A150" t="str">
        <f>IF(Trabajadores!B147="","",Trabajadores!B147)</f>
        <v/>
      </c>
      <c r="B150" t="str">
        <f>IF(A150="","",COUNTIFS(Detalle_Pagos!$E$5:$E$2004,A150,Detalle_Pagos!$B$5:$B$2004,"&gt;="&amp;$B$3,Detalle_Pagos!$B$5:$B$2004,"&lt;="&amp;$B$4))</f>
        <v/>
      </c>
      <c r="C150" s="29" t="str">
        <f>IF(A150="","",SUMIFS(Detalle_Pagos!$I$5:$I$2004,Detalle_Pagos!$E$5:$E$2004,A150,Detalle_Pagos!$J$5:$J$2004,"Si",Detalle_Pagos!$B$5:$B$2004,"&gt;="&amp;$B$3,Detalle_Pagos!$B$5:$B$2004,"&lt;="&amp;$B$4))</f>
        <v/>
      </c>
      <c r="D150" s="29" t="str">
        <f>IF(A150="","",SUMIFS(Detalle_Pagos!$I$5:$I$2004,Detalle_Pagos!$E$5:$E$2004,A150,Detalle_Pagos!$J$5:$J$2004,"No",Detalle_Pagos!$B$5:$B$2004,"&gt;="&amp;$B$3,Detalle_Pagos!$B$5:$B$2004,"&lt;="&amp;$B$4))</f>
        <v/>
      </c>
      <c r="E150" t="str">
        <f>IF(A150="","",COUNTIFS(Detalle_Pagos!$E$5:$E$2004,A150,Detalle_Pagos!$J$5:$J$2004,"No",Detalle_Pagos!$B$5:$B$2004,"&gt;="&amp;$B$3,Detalle_Pagos!$B$5:$B$2004,"&lt;="&amp;$B$4))</f>
        <v/>
      </c>
      <c r="F150" t="str">
        <f>IF(A150="","",COUNTIFS(Detalle_Pagos!$E$5:$E$2004,A150,Detalle_Pagos!$J$5:$J$2004,"Si",Detalle_Pagos!$B$5:$B$2004,"&gt;="&amp;$B$3,Detalle_Pagos!$B$5:$B$2004,"&lt;="&amp;$B$4))</f>
        <v/>
      </c>
      <c r="G150" s="29" t="str">
        <f>IF(A150="","",E150*IFERROR(INDEX(Trabajadores!$D$5:$D$204,MATCH(A150,Trabajadores!$B$5:$B$204,0)),0))</f>
        <v/>
      </c>
      <c r="H150" s="29" t="str">
        <f t="shared" si="8"/>
        <v/>
      </c>
      <c r="I150" s="29" t="str">
        <f t="shared" si="9"/>
        <v/>
      </c>
    </row>
    <row r="151" spans="1:9" x14ac:dyDescent="0.3">
      <c r="A151" t="str">
        <f>IF(Trabajadores!B148="","",Trabajadores!B148)</f>
        <v/>
      </c>
      <c r="B151" t="str">
        <f>IF(A151="","",COUNTIFS(Detalle_Pagos!$E$5:$E$2004,A151,Detalle_Pagos!$B$5:$B$2004,"&gt;="&amp;$B$3,Detalle_Pagos!$B$5:$B$2004,"&lt;="&amp;$B$4))</f>
        <v/>
      </c>
      <c r="C151" s="29" t="str">
        <f>IF(A151="","",SUMIFS(Detalle_Pagos!$I$5:$I$2004,Detalle_Pagos!$E$5:$E$2004,A151,Detalle_Pagos!$J$5:$J$2004,"Si",Detalle_Pagos!$B$5:$B$2004,"&gt;="&amp;$B$3,Detalle_Pagos!$B$5:$B$2004,"&lt;="&amp;$B$4))</f>
        <v/>
      </c>
      <c r="D151" s="29" t="str">
        <f>IF(A151="","",SUMIFS(Detalle_Pagos!$I$5:$I$2004,Detalle_Pagos!$E$5:$E$2004,A151,Detalle_Pagos!$J$5:$J$2004,"No",Detalle_Pagos!$B$5:$B$2004,"&gt;="&amp;$B$3,Detalle_Pagos!$B$5:$B$2004,"&lt;="&amp;$B$4))</f>
        <v/>
      </c>
      <c r="E151" t="str">
        <f>IF(A151="","",COUNTIFS(Detalle_Pagos!$E$5:$E$2004,A151,Detalle_Pagos!$J$5:$J$2004,"No",Detalle_Pagos!$B$5:$B$2004,"&gt;="&amp;$B$3,Detalle_Pagos!$B$5:$B$2004,"&lt;="&amp;$B$4))</f>
        <v/>
      </c>
      <c r="F151" t="str">
        <f>IF(A151="","",COUNTIFS(Detalle_Pagos!$E$5:$E$2004,A151,Detalle_Pagos!$J$5:$J$2004,"Si",Detalle_Pagos!$B$5:$B$2004,"&gt;="&amp;$B$3,Detalle_Pagos!$B$5:$B$2004,"&lt;="&amp;$B$4))</f>
        <v/>
      </c>
      <c r="G151" s="29" t="str">
        <f>IF(A151="","",E151*IFERROR(INDEX(Trabajadores!$D$5:$D$204,MATCH(A151,Trabajadores!$B$5:$B$204,0)),0))</f>
        <v/>
      </c>
      <c r="H151" s="29" t="str">
        <f t="shared" si="8"/>
        <v/>
      </c>
      <c r="I151" s="29" t="str">
        <f t="shared" si="9"/>
        <v/>
      </c>
    </row>
    <row r="152" spans="1:9" x14ac:dyDescent="0.3">
      <c r="A152" t="str">
        <f>IF(Trabajadores!B149="","",Trabajadores!B149)</f>
        <v/>
      </c>
      <c r="B152" t="str">
        <f>IF(A152="","",COUNTIFS(Detalle_Pagos!$E$5:$E$2004,A152,Detalle_Pagos!$B$5:$B$2004,"&gt;="&amp;$B$3,Detalle_Pagos!$B$5:$B$2004,"&lt;="&amp;$B$4))</f>
        <v/>
      </c>
      <c r="C152" s="29" t="str">
        <f>IF(A152="","",SUMIFS(Detalle_Pagos!$I$5:$I$2004,Detalle_Pagos!$E$5:$E$2004,A152,Detalle_Pagos!$J$5:$J$2004,"Si",Detalle_Pagos!$B$5:$B$2004,"&gt;="&amp;$B$3,Detalle_Pagos!$B$5:$B$2004,"&lt;="&amp;$B$4))</f>
        <v/>
      </c>
      <c r="D152" s="29" t="str">
        <f>IF(A152="","",SUMIFS(Detalle_Pagos!$I$5:$I$2004,Detalle_Pagos!$E$5:$E$2004,A152,Detalle_Pagos!$J$5:$J$2004,"No",Detalle_Pagos!$B$5:$B$2004,"&gt;="&amp;$B$3,Detalle_Pagos!$B$5:$B$2004,"&lt;="&amp;$B$4))</f>
        <v/>
      </c>
      <c r="E152" t="str">
        <f>IF(A152="","",COUNTIFS(Detalle_Pagos!$E$5:$E$2004,A152,Detalle_Pagos!$J$5:$J$2004,"No",Detalle_Pagos!$B$5:$B$2004,"&gt;="&amp;$B$3,Detalle_Pagos!$B$5:$B$2004,"&lt;="&amp;$B$4))</f>
        <v/>
      </c>
      <c r="F152" t="str">
        <f>IF(A152="","",COUNTIFS(Detalle_Pagos!$E$5:$E$2004,A152,Detalle_Pagos!$J$5:$J$2004,"Si",Detalle_Pagos!$B$5:$B$2004,"&gt;="&amp;$B$3,Detalle_Pagos!$B$5:$B$2004,"&lt;="&amp;$B$4))</f>
        <v/>
      </c>
      <c r="G152" s="29" t="str">
        <f>IF(A152="","",E152*IFERROR(INDEX(Trabajadores!$D$5:$D$204,MATCH(A152,Trabajadores!$B$5:$B$204,0)),0))</f>
        <v/>
      </c>
      <c r="H152" s="29" t="str">
        <f t="shared" si="8"/>
        <v/>
      </c>
      <c r="I152" s="29" t="str">
        <f t="shared" si="9"/>
        <v/>
      </c>
    </row>
    <row r="153" spans="1:9" x14ac:dyDescent="0.3">
      <c r="A153" t="str">
        <f>IF(Trabajadores!B150="","",Trabajadores!B150)</f>
        <v/>
      </c>
      <c r="B153" t="str">
        <f>IF(A153="","",COUNTIFS(Detalle_Pagos!$E$5:$E$2004,A153,Detalle_Pagos!$B$5:$B$2004,"&gt;="&amp;$B$3,Detalle_Pagos!$B$5:$B$2004,"&lt;="&amp;$B$4))</f>
        <v/>
      </c>
      <c r="C153" s="29" t="str">
        <f>IF(A153="","",SUMIFS(Detalle_Pagos!$I$5:$I$2004,Detalle_Pagos!$E$5:$E$2004,A153,Detalle_Pagos!$J$5:$J$2004,"Si",Detalle_Pagos!$B$5:$B$2004,"&gt;="&amp;$B$3,Detalle_Pagos!$B$5:$B$2004,"&lt;="&amp;$B$4))</f>
        <v/>
      </c>
      <c r="D153" s="29" t="str">
        <f>IF(A153="","",SUMIFS(Detalle_Pagos!$I$5:$I$2004,Detalle_Pagos!$E$5:$E$2004,A153,Detalle_Pagos!$J$5:$J$2004,"No",Detalle_Pagos!$B$5:$B$2004,"&gt;="&amp;$B$3,Detalle_Pagos!$B$5:$B$2004,"&lt;="&amp;$B$4))</f>
        <v/>
      </c>
      <c r="E153" t="str">
        <f>IF(A153="","",COUNTIFS(Detalle_Pagos!$E$5:$E$2004,A153,Detalle_Pagos!$J$5:$J$2004,"No",Detalle_Pagos!$B$5:$B$2004,"&gt;="&amp;$B$3,Detalle_Pagos!$B$5:$B$2004,"&lt;="&amp;$B$4))</f>
        <v/>
      </c>
      <c r="F153" t="str">
        <f>IF(A153="","",COUNTIFS(Detalle_Pagos!$E$5:$E$2004,A153,Detalle_Pagos!$J$5:$J$2004,"Si",Detalle_Pagos!$B$5:$B$2004,"&gt;="&amp;$B$3,Detalle_Pagos!$B$5:$B$2004,"&lt;="&amp;$B$4))</f>
        <v/>
      </c>
      <c r="G153" s="29" t="str">
        <f>IF(A153="","",E153*IFERROR(INDEX(Trabajadores!$D$5:$D$204,MATCH(A153,Trabajadores!$B$5:$B$204,0)),0))</f>
        <v/>
      </c>
      <c r="H153" s="29" t="str">
        <f t="shared" si="8"/>
        <v/>
      </c>
      <c r="I153" s="29" t="str">
        <f t="shared" si="9"/>
        <v/>
      </c>
    </row>
    <row r="154" spans="1:9" x14ac:dyDescent="0.3">
      <c r="A154" t="str">
        <f>IF(Trabajadores!B151="","",Trabajadores!B151)</f>
        <v/>
      </c>
      <c r="B154" t="str">
        <f>IF(A154="","",COUNTIFS(Detalle_Pagos!$E$5:$E$2004,A154,Detalle_Pagos!$B$5:$B$2004,"&gt;="&amp;$B$3,Detalle_Pagos!$B$5:$B$2004,"&lt;="&amp;$B$4))</f>
        <v/>
      </c>
      <c r="C154" s="29" t="str">
        <f>IF(A154="","",SUMIFS(Detalle_Pagos!$I$5:$I$2004,Detalle_Pagos!$E$5:$E$2004,A154,Detalle_Pagos!$J$5:$J$2004,"Si",Detalle_Pagos!$B$5:$B$2004,"&gt;="&amp;$B$3,Detalle_Pagos!$B$5:$B$2004,"&lt;="&amp;$B$4))</f>
        <v/>
      </c>
      <c r="D154" s="29" t="str">
        <f>IF(A154="","",SUMIFS(Detalle_Pagos!$I$5:$I$2004,Detalle_Pagos!$E$5:$E$2004,A154,Detalle_Pagos!$J$5:$J$2004,"No",Detalle_Pagos!$B$5:$B$2004,"&gt;="&amp;$B$3,Detalle_Pagos!$B$5:$B$2004,"&lt;="&amp;$B$4))</f>
        <v/>
      </c>
      <c r="E154" t="str">
        <f>IF(A154="","",COUNTIFS(Detalle_Pagos!$E$5:$E$2004,A154,Detalle_Pagos!$J$5:$J$2004,"No",Detalle_Pagos!$B$5:$B$2004,"&gt;="&amp;$B$3,Detalle_Pagos!$B$5:$B$2004,"&lt;="&amp;$B$4))</f>
        <v/>
      </c>
      <c r="F154" t="str">
        <f>IF(A154="","",COUNTIFS(Detalle_Pagos!$E$5:$E$2004,A154,Detalle_Pagos!$J$5:$J$2004,"Si",Detalle_Pagos!$B$5:$B$2004,"&gt;="&amp;$B$3,Detalle_Pagos!$B$5:$B$2004,"&lt;="&amp;$B$4))</f>
        <v/>
      </c>
      <c r="G154" s="29" t="str">
        <f>IF(A154="","",E154*IFERROR(INDEX(Trabajadores!$D$5:$D$204,MATCH(A154,Trabajadores!$B$5:$B$204,0)),0))</f>
        <v/>
      </c>
      <c r="H154" s="29" t="str">
        <f t="shared" si="8"/>
        <v/>
      </c>
      <c r="I154" s="29" t="str">
        <f t="shared" si="9"/>
        <v/>
      </c>
    </row>
    <row r="155" spans="1:9" x14ac:dyDescent="0.3">
      <c r="A155" t="str">
        <f>IF(Trabajadores!B152="","",Trabajadores!B152)</f>
        <v/>
      </c>
      <c r="B155" t="str">
        <f>IF(A155="","",COUNTIFS(Detalle_Pagos!$E$5:$E$2004,A155,Detalle_Pagos!$B$5:$B$2004,"&gt;="&amp;$B$3,Detalle_Pagos!$B$5:$B$2004,"&lt;="&amp;$B$4))</f>
        <v/>
      </c>
      <c r="C155" s="29" t="str">
        <f>IF(A155="","",SUMIFS(Detalle_Pagos!$I$5:$I$2004,Detalle_Pagos!$E$5:$E$2004,A155,Detalle_Pagos!$J$5:$J$2004,"Si",Detalle_Pagos!$B$5:$B$2004,"&gt;="&amp;$B$3,Detalle_Pagos!$B$5:$B$2004,"&lt;="&amp;$B$4))</f>
        <v/>
      </c>
      <c r="D155" s="29" t="str">
        <f>IF(A155="","",SUMIFS(Detalle_Pagos!$I$5:$I$2004,Detalle_Pagos!$E$5:$E$2004,A155,Detalle_Pagos!$J$5:$J$2004,"No",Detalle_Pagos!$B$5:$B$2004,"&gt;="&amp;$B$3,Detalle_Pagos!$B$5:$B$2004,"&lt;="&amp;$B$4))</f>
        <v/>
      </c>
      <c r="E155" t="str">
        <f>IF(A155="","",COUNTIFS(Detalle_Pagos!$E$5:$E$2004,A155,Detalle_Pagos!$J$5:$J$2004,"No",Detalle_Pagos!$B$5:$B$2004,"&gt;="&amp;$B$3,Detalle_Pagos!$B$5:$B$2004,"&lt;="&amp;$B$4))</f>
        <v/>
      </c>
      <c r="F155" t="str">
        <f>IF(A155="","",COUNTIFS(Detalle_Pagos!$E$5:$E$2004,A155,Detalle_Pagos!$J$5:$J$2004,"Si",Detalle_Pagos!$B$5:$B$2004,"&gt;="&amp;$B$3,Detalle_Pagos!$B$5:$B$2004,"&lt;="&amp;$B$4))</f>
        <v/>
      </c>
      <c r="G155" s="29" t="str">
        <f>IF(A155="","",E155*IFERROR(INDEX(Trabajadores!$D$5:$D$204,MATCH(A155,Trabajadores!$B$5:$B$204,0)),0))</f>
        <v/>
      </c>
      <c r="H155" s="29" t="str">
        <f t="shared" si="8"/>
        <v/>
      </c>
      <c r="I155" s="29" t="str">
        <f t="shared" si="9"/>
        <v/>
      </c>
    </row>
    <row r="156" spans="1:9" x14ac:dyDescent="0.3">
      <c r="A156" t="str">
        <f>IF(Trabajadores!B153="","",Trabajadores!B153)</f>
        <v/>
      </c>
      <c r="B156" t="str">
        <f>IF(A156="","",COUNTIFS(Detalle_Pagos!$E$5:$E$2004,A156,Detalle_Pagos!$B$5:$B$2004,"&gt;="&amp;$B$3,Detalle_Pagos!$B$5:$B$2004,"&lt;="&amp;$B$4))</f>
        <v/>
      </c>
      <c r="C156" s="29" t="str">
        <f>IF(A156="","",SUMIFS(Detalle_Pagos!$I$5:$I$2004,Detalle_Pagos!$E$5:$E$2004,A156,Detalle_Pagos!$J$5:$J$2004,"Si",Detalle_Pagos!$B$5:$B$2004,"&gt;="&amp;$B$3,Detalle_Pagos!$B$5:$B$2004,"&lt;="&amp;$B$4))</f>
        <v/>
      </c>
      <c r="D156" s="29" t="str">
        <f>IF(A156="","",SUMIFS(Detalle_Pagos!$I$5:$I$2004,Detalle_Pagos!$E$5:$E$2004,A156,Detalle_Pagos!$J$5:$J$2004,"No",Detalle_Pagos!$B$5:$B$2004,"&gt;="&amp;$B$3,Detalle_Pagos!$B$5:$B$2004,"&lt;="&amp;$B$4))</f>
        <v/>
      </c>
      <c r="E156" t="str">
        <f>IF(A156="","",COUNTIFS(Detalle_Pagos!$E$5:$E$2004,A156,Detalle_Pagos!$J$5:$J$2004,"No",Detalle_Pagos!$B$5:$B$2004,"&gt;="&amp;$B$3,Detalle_Pagos!$B$5:$B$2004,"&lt;="&amp;$B$4))</f>
        <v/>
      </c>
      <c r="F156" t="str">
        <f>IF(A156="","",COUNTIFS(Detalle_Pagos!$E$5:$E$2004,A156,Detalle_Pagos!$J$5:$J$2004,"Si",Detalle_Pagos!$B$5:$B$2004,"&gt;="&amp;$B$3,Detalle_Pagos!$B$5:$B$2004,"&lt;="&amp;$B$4))</f>
        <v/>
      </c>
      <c r="G156" s="29" t="str">
        <f>IF(A156="","",E156*IFERROR(INDEX(Trabajadores!$D$5:$D$204,MATCH(A156,Trabajadores!$B$5:$B$204,0)),0))</f>
        <v/>
      </c>
      <c r="H156" s="29" t="str">
        <f t="shared" si="8"/>
        <v/>
      </c>
      <c r="I156" s="29" t="str">
        <f t="shared" si="9"/>
        <v/>
      </c>
    </row>
    <row r="157" spans="1:9" x14ac:dyDescent="0.3">
      <c r="A157" t="str">
        <f>IF(Trabajadores!B154="","",Trabajadores!B154)</f>
        <v/>
      </c>
      <c r="B157" t="str">
        <f>IF(A157="","",COUNTIFS(Detalle_Pagos!$E$5:$E$2004,A157,Detalle_Pagos!$B$5:$B$2004,"&gt;="&amp;$B$3,Detalle_Pagos!$B$5:$B$2004,"&lt;="&amp;$B$4))</f>
        <v/>
      </c>
      <c r="C157" s="29" t="str">
        <f>IF(A157="","",SUMIFS(Detalle_Pagos!$I$5:$I$2004,Detalle_Pagos!$E$5:$E$2004,A157,Detalle_Pagos!$J$5:$J$2004,"Si",Detalle_Pagos!$B$5:$B$2004,"&gt;="&amp;$B$3,Detalle_Pagos!$B$5:$B$2004,"&lt;="&amp;$B$4))</f>
        <v/>
      </c>
      <c r="D157" s="29" t="str">
        <f>IF(A157="","",SUMIFS(Detalle_Pagos!$I$5:$I$2004,Detalle_Pagos!$E$5:$E$2004,A157,Detalle_Pagos!$J$5:$J$2004,"No",Detalle_Pagos!$B$5:$B$2004,"&gt;="&amp;$B$3,Detalle_Pagos!$B$5:$B$2004,"&lt;="&amp;$B$4))</f>
        <v/>
      </c>
      <c r="E157" t="str">
        <f>IF(A157="","",COUNTIFS(Detalle_Pagos!$E$5:$E$2004,A157,Detalle_Pagos!$J$5:$J$2004,"No",Detalle_Pagos!$B$5:$B$2004,"&gt;="&amp;$B$3,Detalle_Pagos!$B$5:$B$2004,"&lt;="&amp;$B$4))</f>
        <v/>
      </c>
      <c r="F157" t="str">
        <f>IF(A157="","",COUNTIFS(Detalle_Pagos!$E$5:$E$2004,A157,Detalle_Pagos!$J$5:$J$2004,"Si",Detalle_Pagos!$B$5:$B$2004,"&gt;="&amp;$B$3,Detalle_Pagos!$B$5:$B$2004,"&lt;="&amp;$B$4))</f>
        <v/>
      </c>
      <c r="G157" s="29" t="str">
        <f>IF(A157="","",E157*IFERROR(INDEX(Trabajadores!$D$5:$D$204,MATCH(A157,Trabajadores!$B$5:$B$204,0)),0))</f>
        <v/>
      </c>
      <c r="H157" s="29" t="str">
        <f t="shared" si="8"/>
        <v/>
      </c>
      <c r="I157" s="29" t="str">
        <f t="shared" si="9"/>
        <v/>
      </c>
    </row>
    <row r="158" spans="1:9" x14ac:dyDescent="0.3">
      <c r="A158" t="str">
        <f>IF(Trabajadores!B155="","",Trabajadores!B155)</f>
        <v/>
      </c>
      <c r="B158" t="str">
        <f>IF(A158="","",COUNTIFS(Detalle_Pagos!$E$5:$E$2004,A158,Detalle_Pagos!$B$5:$B$2004,"&gt;="&amp;$B$3,Detalle_Pagos!$B$5:$B$2004,"&lt;="&amp;$B$4))</f>
        <v/>
      </c>
      <c r="C158" s="29" t="str">
        <f>IF(A158="","",SUMIFS(Detalle_Pagos!$I$5:$I$2004,Detalle_Pagos!$E$5:$E$2004,A158,Detalle_Pagos!$J$5:$J$2004,"Si",Detalle_Pagos!$B$5:$B$2004,"&gt;="&amp;$B$3,Detalle_Pagos!$B$5:$B$2004,"&lt;="&amp;$B$4))</f>
        <v/>
      </c>
      <c r="D158" s="29" t="str">
        <f>IF(A158="","",SUMIFS(Detalle_Pagos!$I$5:$I$2004,Detalle_Pagos!$E$5:$E$2004,A158,Detalle_Pagos!$J$5:$J$2004,"No",Detalle_Pagos!$B$5:$B$2004,"&gt;="&amp;$B$3,Detalle_Pagos!$B$5:$B$2004,"&lt;="&amp;$B$4))</f>
        <v/>
      </c>
      <c r="E158" t="str">
        <f>IF(A158="","",COUNTIFS(Detalle_Pagos!$E$5:$E$2004,A158,Detalle_Pagos!$J$5:$J$2004,"No",Detalle_Pagos!$B$5:$B$2004,"&gt;="&amp;$B$3,Detalle_Pagos!$B$5:$B$2004,"&lt;="&amp;$B$4))</f>
        <v/>
      </c>
      <c r="F158" t="str">
        <f>IF(A158="","",COUNTIFS(Detalle_Pagos!$E$5:$E$2004,A158,Detalle_Pagos!$J$5:$J$2004,"Si",Detalle_Pagos!$B$5:$B$2004,"&gt;="&amp;$B$3,Detalle_Pagos!$B$5:$B$2004,"&lt;="&amp;$B$4))</f>
        <v/>
      </c>
      <c r="G158" s="29" t="str">
        <f>IF(A158="","",E158*IFERROR(INDEX(Trabajadores!$D$5:$D$204,MATCH(A158,Trabajadores!$B$5:$B$204,0)),0))</f>
        <v/>
      </c>
      <c r="H158" s="29" t="str">
        <f t="shared" si="8"/>
        <v/>
      </c>
      <c r="I158" s="29" t="str">
        <f t="shared" si="9"/>
        <v/>
      </c>
    </row>
    <row r="159" spans="1:9" x14ac:dyDescent="0.3">
      <c r="A159" t="str">
        <f>IF(Trabajadores!B156="","",Trabajadores!B156)</f>
        <v/>
      </c>
      <c r="B159" t="str">
        <f>IF(A159="","",COUNTIFS(Detalle_Pagos!$E$5:$E$2004,A159,Detalle_Pagos!$B$5:$B$2004,"&gt;="&amp;$B$3,Detalle_Pagos!$B$5:$B$2004,"&lt;="&amp;$B$4))</f>
        <v/>
      </c>
      <c r="C159" s="29" t="str">
        <f>IF(A159="","",SUMIFS(Detalle_Pagos!$I$5:$I$2004,Detalle_Pagos!$E$5:$E$2004,A159,Detalle_Pagos!$J$5:$J$2004,"Si",Detalle_Pagos!$B$5:$B$2004,"&gt;="&amp;$B$3,Detalle_Pagos!$B$5:$B$2004,"&lt;="&amp;$B$4))</f>
        <v/>
      </c>
      <c r="D159" s="29" t="str">
        <f>IF(A159="","",SUMIFS(Detalle_Pagos!$I$5:$I$2004,Detalle_Pagos!$E$5:$E$2004,A159,Detalle_Pagos!$J$5:$J$2004,"No",Detalle_Pagos!$B$5:$B$2004,"&gt;="&amp;$B$3,Detalle_Pagos!$B$5:$B$2004,"&lt;="&amp;$B$4))</f>
        <v/>
      </c>
      <c r="E159" t="str">
        <f>IF(A159="","",COUNTIFS(Detalle_Pagos!$E$5:$E$2004,A159,Detalle_Pagos!$J$5:$J$2004,"No",Detalle_Pagos!$B$5:$B$2004,"&gt;="&amp;$B$3,Detalle_Pagos!$B$5:$B$2004,"&lt;="&amp;$B$4))</f>
        <v/>
      </c>
      <c r="F159" t="str">
        <f>IF(A159="","",COUNTIFS(Detalle_Pagos!$E$5:$E$2004,A159,Detalle_Pagos!$J$5:$J$2004,"Si",Detalle_Pagos!$B$5:$B$2004,"&gt;="&amp;$B$3,Detalle_Pagos!$B$5:$B$2004,"&lt;="&amp;$B$4))</f>
        <v/>
      </c>
      <c r="G159" s="29" t="str">
        <f>IF(A159="","",E159*IFERROR(INDEX(Trabajadores!$D$5:$D$204,MATCH(A159,Trabajadores!$B$5:$B$204,0)),0))</f>
        <v/>
      </c>
      <c r="H159" s="29" t="str">
        <f t="shared" si="8"/>
        <v/>
      </c>
      <c r="I159" s="29" t="str">
        <f t="shared" si="9"/>
        <v/>
      </c>
    </row>
    <row r="160" spans="1:9" x14ac:dyDescent="0.3">
      <c r="A160" t="str">
        <f>IF(Trabajadores!B157="","",Trabajadores!B157)</f>
        <v/>
      </c>
      <c r="B160" t="str">
        <f>IF(A160="","",COUNTIFS(Detalle_Pagos!$E$5:$E$2004,A160,Detalle_Pagos!$B$5:$B$2004,"&gt;="&amp;$B$3,Detalle_Pagos!$B$5:$B$2004,"&lt;="&amp;$B$4))</f>
        <v/>
      </c>
      <c r="C160" s="29" t="str">
        <f>IF(A160="","",SUMIFS(Detalle_Pagos!$I$5:$I$2004,Detalle_Pagos!$E$5:$E$2004,A160,Detalle_Pagos!$J$5:$J$2004,"Si",Detalle_Pagos!$B$5:$B$2004,"&gt;="&amp;$B$3,Detalle_Pagos!$B$5:$B$2004,"&lt;="&amp;$B$4))</f>
        <v/>
      </c>
      <c r="D160" s="29" t="str">
        <f>IF(A160="","",SUMIFS(Detalle_Pagos!$I$5:$I$2004,Detalle_Pagos!$E$5:$E$2004,A160,Detalle_Pagos!$J$5:$J$2004,"No",Detalle_Pagos!$B$5:$B$2004,"&gt;="&amp;$B$3,Detalle_Pagos!$B$5:$B$2004,"&lt;="&amp;$B$4))</f>
        <v/>
      </c>
      <c r="E160" t="str">
        <f>IF(A160="","",COUNTIFS(Detalle_Pagos!$E$5:$E$2004,A160,Detalle_Pagos!$J$5:$J$2004,"No",Detalle_Pagos!$B$5:$B$2004,"&gt;="&amp;$B$3,Detalle_Pagos!$B$5:$B$2004,"&lt;="&amp;$B$4))</f>
        <v/>
      </c>
      <c r="F160" t="str">
        <f>IF(A160="","",COUNTIFS(Detalle_Pagos!$E$5:$E$2004,A160,Detalle_Pagos!$J$5:$J$2004,"Si",Detalle_Pagos!$B$5:$B$2004,"&gt;="&amp;$B$3,Detalle_Pagos!$B$5:$B$2004,"&lt;="&amp;$B$4))</f>
        <v/>
      </c>
      <c r="G160" s="29" t="str">
        <f>IF(A160="","",E160*IFERROR(INDEX(Trabajadores!$D$5:$D$204,MATCH(A160,Trabajadores!$B$5:$B$204,0)),0))</f>
        <v/>
      </c>
      <c r="H160" s="29" t="str">
        <f t="shared" si="8"/>
        <v/>
      </c>
      <c r="I160" s="29" t="str">
        <f t="shared" si="9"/>
        <v/>
      </c>
    </row>
    <row r="161" spans="1:9" x14ac:dyDescent="0.3">
      <c r="A161" t="str">
        <f>IF(Trabajadores!B158="","",Trabajadores!B158)</f>
        <v/>
      </c>
      <c r="B161" t="str">
        <f>IF(A161="","",COUNTIFS(Detalle_Pagos!$E$5:$E$2004,A161,Detalle_Pagos!$B$5:$B$2004,"&gt;="&amp;$B$3,Detalle_Pagos!$B$5:$B$2004,"&lt;="&amp;$B$4))</f>
        <v/>
      </c>
      <c r="C161" s="29" t="str">
        <f>IF(A161="","",SUMIFS(Detalle_Pagos!$I$5:$I$2004,Detalle_Pagos!$E$5:$E$2004,A161,Detalle_Pagos!$J$5:$J$2004,"Si",Detalle_Pagos!$B$5:$B$2004,"&gt;="&amp;$B$3,Detalle_Pagos!$B$5:$B$2004,"&lt;="&amp;$B$4))</f>
        <v/>
      </c>
      <c r="D161" s="29" t="str">
        <f>IF(A161="","",SUMIFS(Detalle_Pagos!$I$5:$I$2004,Detalle_Pagos!$E$5:$E$2004,A161,Detalle_Pagos!$J$5:$J$2004,"No",Detalle_Pagos!$B$5:$B$2004,"&gt;="&amp;$B$3,Detalle_Pagos!$B$5:$B$2004,"&lt;="&amp;$B$4))</f>
        <v/>
      </c>
      <c r="E161" t="str">
        <f>IF(A161="","",COUNTIFS(Detalle_Pagos!$E$5:$E$2004,A161,Detalle_Pagos!$J$5:$J$2004,"No",Detalle_Pagos!$B$5:$B$2004,"&gt;="&amp;$B$3,Detalle_Pagos!$B$5:$B$2004,"&lt;="&amp;$B$4))</f>
        <v/>
      </c>
      <c r="F161" t="str">
        <f>IF(A161="","",COUNTIFS(Detalle_Pagos!$E$5:$E$2004,A161,Detalle_Pagos!$J$5:$J$2004,"Si",Detalle_Pagos!$B$5:$B$2004,"&gt;="&amp;$B$3,Detalle_Pagos!$B$5:$B$2004,"&lt;="&amp;$B$4))</f>
        <v/>
      </c>
      <c r="G161" s="29" t="str">
        <f>IF(A161="","",E161*IFERROR(INDEX(Trabajadores!$D$5:$D$204,MATCH(A161,Trabajadores!$B$5:$B$204,0)),0))</f>
        <v/>
      </c>
      <c r="H161" s="29" t="str">
        <f t="shared" si="8"/>
        <v/>
      </c>
      <c r="I161" s="29" t="str">
        <f t="shared" si="9"/>
        <v/>
      </c>
    </row>
    <row r="162" spans="1:9" x14ac:dyDescent="0.3">
      <c r="A162" t="str">
        <f>IF(Trabajadores!B159="","",Trabajadores!B159)</f>
        <v/>
      </c>
      <c r="B162" t="str">
        <f>IF(A162="","",COUNTIFS(Detalle_Pagos!$E$5:$E$2004,A162,Detalle_Pagos!$B$5:$B$2004,"&gt;="&amp;$B$3,Detalle_Pagos!$B$5:$B$2004,"&lt;="&amp;$B$4))</f>
        <v/>
      </c>
      <c r="C162" s="29" t="str">
        <f>IF(A162="","",SUMIFS(Detalle_Pagos!$I$5:$I$2004,Detalle_Pagos!$E$5:$E$2004,A162,Detalle_Pagos!$J$5:$J$2004,"Si",Detalle_Pagos!$B$5:$B$2004,"&gt;="&amp;$B$3,Detalle_Pagos!$B$5:$B$2004,"&lt;="&amp;$B$4))</f>
        <v/>
      </c>
      <c r="D162" s="29" t="str">
        <f>IF(A162="","",SUMIFS(Detalle_Pagos!$I$5:$I$2004,Detalle_Pagos!$E$5:$E$2004,A162,Detalle_Pagos!$J$5:$J$2004,"No",Detalle_Pagos!$B$5:$B$2004,"&gt;="&amp;$B$3,Detalle_Pagos!$B$5:$B$2004,"&lt;="&amp;$B$4))</f>
        <v/>
      </c>
      <c r="E162" t="str">
        <f>IF(A162="","",COUNTIFS(Detalle_Pagos!$E$5:$E$2004,A162,Detalle_Pagos!$J$5:$J$2004,"No",Detalle_Pagos!$B$5:$B$2004,"&gt;="&amp;$B$3,Detalle_Pagos!$B$5:$B$2004,"&lt;="&amp;$B$4))</f>
        <v/>
      </c>
      <c r="F162" t="str">
        <f>IF(A162="","",COUNTIFS(Detalle_Pagos!$E$5:$E$2004,A162,Detalle_Pagos!$J$5:$J$2004,"Si",Detalle_Pagos!$B$5:$B$2004,"&gt;="&amp;$B$3,Detalle_Pagos!$B$5:$B$2004,"&lt;="&amp;$B$4))</f>
        <v/>
      </c>
      <c r="G162" s="29" t="str">
        <f>IF(A162="","",E162*IFERROR(INDEX(Trabajadores!$D$5:$D$204,MATCH(A162,Trabajadores!$B$5:$B$204,0)),0))</f>
        <v/>
      </c>
      <c r="H162" s="29" t="str">
        <f t="shared" si="8"/>
        <v/>
      </c>
      <c r="I162" s="29" t="str">
        <f t="shared" si="9"/>
        <v/>
      </c>
    </row>
    <row r="163" spans="1:9" x14ac:dyDescent="0.3">
      <c r="A163" t="str">
        <f>IF(Trabajadores!B160="","",Trabajadores!B160)</f>
        <v/>
      </c>
      <c r="B163" t="str">
        <f>IF(A163="","",COUNTIFS(Detalle_Pagos!$E$5:$E$2004,A163,Detalle_Pagos!$B$5:$B$2004,"&gt;="&amp;$B$3,Detalle_Pagos!$B$5:$B$2004,"&lt;="&amp;$B$4))</f>
        <v/>
      </c>
      <c r="C163" s="29" t="str">
        <f>IF(A163="","",SUMIFS(Detalle_Pagos!$I$5:$I$2004,Detalle_Pagos!$E$5:$E$2004,A163,Detalle_Pagos!$J$5:$J$2004,"Si",Detalle_Pagos!$B$5:$B$2004,"&gt;="&amp;$B$3,Detalle_Pagos!$B$5:$B$2004,"&lt;="&amp;$B$4))</f>
        <v/>
      </c>
      <c r="D163" s="29" t="str">
        <f>IF(A163="","",SUMIFS(Detalle_Pagos!$I$5:$I$2004,Detalle_Pagos!$E$5:$E$2004,A163,Detalle_Pagos!$J$5:$J$2004,"No",Detalle_Pagos!$B$5:$B$2004,"&gt;="&amp;$B$3,Detalle_Pagos!$B$5:$B$2004,"&lt;="&amp;$B$4))</f>
        <v/>
      </c>
      <c r="E163" t="str">
        <f>IF(A163="","",COUNTIFS(Detalle_Pagos!$E$5:$E$2004,A163,Detalle_Pagos!$J$5:$J$2004,"No",Detalle_Pagos!$B$5:$B$2004,"&gt;="&amp;$B$3,Detalle_Pagos!$B$5:$B$2004,"&lt;="&amp;$B$4))</f>
        <v/>
      </c>
      <c r="F163" t="str">
        <f>IF(A163="","",COUNTIFS(Detalle_Pagos!$E$5:$E$2004,A163,Detalle_Pagos!$J$5:$J$2004,"Si",Detalle_Pagos!$B$5:$B$2004,"&gt;="&amp;$B$3,Detalle_Pagos!$B$5:$B$2004,"&lt;="&amp;$B$4))</f>
        <v/>
      </c>
      <c r="G163" s="29" t="str">
        <f>IF(A163="","",E163*IFERROR(INDEX(Trabajadores!$D$5:$D$204,MATCH(A163,Trabajadores!$B$5:$B$204,0)),0))</f>
        <v/>
      </c>
      <c r="H163" s="29" t="str">
        <f t="shared" si="8"/>
        <v/>
      </c>
      <c r="I163" s="29" t="str">
        <f t="shared" si="9"/>
        <v/>
      </c>
    </row>
    <row r="164" spans="1:9" x14ac:dyDescent="0.3">
      <c r="A164" t="str">
        <f>IF(Trabajadores!B161="","",Trabajadores!B161)</f>
        <v/>
      </c>
      <c r="B164" t="str">
        <f>IF(A164="","",COUNTIFS(Detalle_Pagos!$E$5:$E$2004,A164,Detalle_Pagos!$B$5:$B$2004,"&gt;="&amp;$B$3,Detalle_Pagos!$B$5:$B$2004,"&lt;="&amp;$B$4))</f>
        <v/>
      </c>
      <c r="C164" s="29" t="str">
        <f>IF(A164="","",SUMIFS(Detalle_Pagos!$I$5:$I$2004,Detalle_Pagos!$E$5:$E$2004,A164,Detalle_Pagos!$J$5:$J$2004,"Si",Detalle_Pagos!$B$5:$B$2004,"&gt;="&amp;$B$3,Detalle_Pagos!$B$5:$B$2004,"&lt;="&amp;$B$4))</f>
        <v/>
      </c>
      <c r="D164" s="29" t="str">
        <f>IF(A164="","",SUMIFS(Detalle_Pagos!$I$5:$I$2004,Detalle_Pagos!$E$5:$E$2004,A164,Detalle_Pagos!$J$5:$J$2004,"No",Detalle_Pagos!$B$5:$B$2004,"&gt;="&amp;$B$3,Detalle_Pagos!$B$5:$B$2004,"&lt;="&amp;$B$4))</f>
        <v/>
      </c>
      <c r="E164" t="str">
        <f>IF(A164="","",COUNTIFS(Detalle_Pagos!$E$5:$E$2004,A164,Detalle_Pagos!$J$5:$J$2004,"No",Detalle_Pagos!$B$5:$B$2004,"&gt;="&amp;$B$3,Detalle_Pagos!$B$5:$B$2004,"&lt;="&amp;$B$4))</f>
        <v/>
      </c>
      <c r="F164" t="str">
        <f>IF(A164="","",COUNTIFS(Detalle_Pagos!$E$5:$E$2004,A164,Detalle_Pagos!$J$5:$J$2004,"Si",Detalle_Pagos!$B$5:$B$2004,"&gt;="&amp;$B$3,Detalle_Pagos!$B$5:$B$2004,"&lt;="&amp;$B$4))</f>
        <v/>
      </c>
      <c r="G164" s="29" t="str">
        <f>IF(A164="","",E164*IFERROR(INDEX(Trabajadores!$D$5:$D$204,MATCH(A164,Trabajadores!$B$5:$B$204,0)),0))</f>
        <v/>
      </c>
      <c r="H164" s="29" t="str">
        <f t="shared" si="8"/>
        <v/>
      </c>
      <c r="I164" s="29" t="str">
        <f t="shared" si="9"/>
        <v/>
      </c>
    </row>
    <row r="165" spans="1:9" x14ac:dyDescent="0.3">
      <c r="A165" t="str">
        <f>IF(Trabajadores!B162="","",Trabajadores!B162)</f>
        <v/>
      </c>
      <c r="B165" t="str">
        <f>IF(A165="","",COUNTIFS(Detalle_Pagos!$E$5:$E$2004,A165,Detalle_Pagos!$B$5:$B$2004,"&gt;="&amp;$B$3,Detalle_Pagos!$B$5:$B$2004,"&lt;="&amp;$B$4))</f>
        <v/>
      </c>
      <c r="C165" s="29" t="str">
        <f>IF(A165="","",SUMIFS(Detalle_Pagos!$I$5:$I$2004,Detalle_Pagos!$E$5:$E$2004,A165,Detalle_Pagos!$J$5:$J$2004,"Si",Detalle_Pagos!$B$5:$B$2004,"&gt;="&amp;$B$3,Detalle_Pagos!$B$5:$B$2004,"&lt;="&amp;$B$4))</f>
        <v/>
      </c>
      <c r="D165" s="29" t="str">
        <f>IF(A165="","",SUMIFS(Detalle_Pagos!$I$5:$I$2004,Detalle_Pagos!$E$5:$E$2004,A165,Detalle_Pagos!$J$5:$J$2004,"No",Detalle_Pagos!$B$5:$B$2004,"&gt;="&amp;$B$3,Detalle_Pagos!$B$5:$B$2004,"&lt;="&amp;$B$4))</f>
        <v/>
      </c>
      <c r="E165" t="str">
        <f>IF(A165="","",COUNTIFS(Detalle_Pagos!$E$5:$E$2004,A165,Detalle_Pagos!$J$5:$J$2004,"No",Detalle_Pagos!$B$5:$B$2004,"&gt;="&amp;$B$3,Detalle_Pagos!$B$5:$B$2004,"&lt;="&amp;$B$4))</f>
        <v/>
      </c>
      <c r="F165" t="str">
        <f>IF(A165="","",COUNTIFS(Detalle_Pagos!$E$5:$E$2004,A165,Detalle_Pagos!$J$5:$J$2004,"Si",Detalle_Pagos!$B$5:$B$2004,"&gt;="&amp;$B$3,Detalle_Pagos!$B$5:$B$2004,"&lt;="&amp;$B$4))</f>
        <v/>
      </c>
      <c r="G165" s="29" t="str">
        <f>IF(A165="","",E165*IFERROR(INDEX(Trabajadores!$D$5:$D$204,MATCH(A165,Trabajadores!$B$5:$B$204,0)),0))</f>
        <v/>
      </c>
      <c r="H165" s="29" t="str">
        <f t="shared" si="8"/>
        <v/>
      </c>
      <c r="I165" s="29" t="str">
        <f t="shared" si="9"/>
        <v/>
      </c>
    </row>
    <row r="166" spans="1:9" x14ac:dyDescent="0.3">
      <c r="A166" t="str">
        <f>IF(Trabajadores!B163="","",Trabajadores!B163)</f>
        <v/>
      </c>
      <c r="B166" t="str">
        <f>IF(A166="","",COUNTIFS(Detalle_Pagos!$E$5:$E$2004,A166,Detalle_Pagos!$B$5:$B$2004,"&gt;="&amp;$B$3,Detalle_Pagos!$B$5:$B$2004,"&lt;="&amp;$B$4))</f>
        <v/>
      </c>
      <c r="C166" s="29" t="str">
        <f>IF(A166="","",SUMIFS(Detalle_Pagos!$I$5:$I$2004,Detalle_Pagos!$E$5:$E$2004,A166,Detalle_Pagos!$J$5:$J$2004,"Si",Detalle_Pagos!$B$5:$B$2004,"&gt;="&amp;$B$3,Detalle_Pagos!$B$5:$B$2004,"&lt;="&amp;$B$4))</f>
        <v/>
      </c>
      <c r="D166" s="29" t="str">
        <f>IF(A166="","",SUMIFS(Detalle_Pagos!$I$5:$I$2004,Detalle_Pagos!$E$5:$E$2004,A166,Detalle_Pagos!$J$5:$J$2004,"No",Detalle_Pagos!$B$5:$B$2004,"&gt;="&amp;$B$3,Detalle_Pagos!$B$5:$B$2004,"&lt;="&amp;$B$4))</f>
        <v/>
      </c>
      <c r="E166" t="str">
        <f>IF(A166="","",COUNTIFS(Detalle_Pagos!$E$5:$E$2004,A166,Detalle_Pagos!$J$5:$J$2004,"No",Detalle_Pagos!$B$5:$B$2004,"&gt;="&amp;$B$3,Detalle_Pagos!$B$5:$B$2004,"&lt;="&amp;$B$4))</f>
        <v/>
      </c>
      <c r="F166" t="str">
        <f>IF(A166="","",COUNTIFS(Detalle_Pagos!$E$5:$E$2004,A166,Detalle_Pagos!$J$5:$J$2004,"Si",Detalle_Pagos!$B$5:$B$2004,"&gt;="&amp;$B$3,Detalle_Pagos!$B$5:$B$2004,"&lt;="&amp;$B$4))</f>
        <v/>
      </c>
      <c r="G166" s="29" t="str">
        <f>IF(A166="","",E166*IFERROR(INDEX(Trabajadores!$D$5:$D$204,MATCH(A166,Trabajadores!$B$5:$B$204,0)),0))</f>
        <v/>
      </c>
      <c r="H166" s="29" t="str">
        <f t="shared" si="8"/>
        <v/>
      </c>
      <c r="I166" s="29" t="str">
        <f t="shared" si="9"/>
        <v/>
      </c>
    </row>
    <row r="167" spans="1:9" x14ac:dyDescent="0.3">
      <c r="A167" t="str">
        <f>IF(Trabajadores!B164="","",Trabajadores!B164)</f>
        <v/>
      </c>
      <c r="B167" t="str">
        <f>IF(A167="","",COUNTIFS(Detalle_Pagos!$E$5:$E$2004,A167,Detalle_Pagos!$B$5:$B$2004,"&gt;="&amp;$B$3,Detalle_Pagos!$B$5:$B$2004,"&lt;="&amp;$B$4))</f>
        <v/>
      </c>
      <c r="C167" s="29" t="str">
        <f>IF(A167="","",SUMIFS(Detalle_Pagos!$I$5:$I$2004,Detalle_Pagos!$E$5:$E$2004,A167,Detalle_Pagos!$J$5:$J$2004,"Si",Detalle_Pagos!$B$5:$B$2004,"&gt;="&amp;$B$3,Detalle_Pagos!$B$5:$B$2004,"&lt;="&amp;$B$4))</f>
        <v/>
      </c>
      <c r="D167" s="29" t="str">
        <f>IF(A167="","",SUMIFS(Detalle_Pagos!$I$5:$I$2004,Detalle_Pagos!$E$5:$E$2004,A167,Detalle_Pagos!$J$5:$J$2004,"No",Detalle_Pagos!$B$5:$B$2004,"&gt;="&amp;$B$3,Detalle_Pagos!$B$5:$B$2004,"&lt;="&amp;$B$4))</f>
        <v/>
      </c>
      <c r="E167" t="str">
        <f>IF(A167="","",COUNTIFS(Detalle_Pagos!$E$5:$E$2004,A167,Detalle_Pagos!$J$5:$J$2004,"No",Detalle_Pagos!$B$5:$B$2004,"&gt;="&amp;$B$3,Detalle_Pagos!$B$5:$B$2004,"&lt;="&amp;$B$4))</f>
        <v/>
      </c>
      <c r="F167" t="str">
        <f>IF(A167="","",COUNTIFS(Detalle_Pagos!$E$5:$E$2004,A167,Detalle_Pagos!$J$5:$J$2004,"Si",Detalle_Pagos!$B$5:$B$2004,"&gt;="&amp;$B$3,Detalle_Pagos!$B$5:$B$2004,"&lt;="&amp;$B$4))</f>
        <v/>
      </c>
      <c r="G167" s="29" t="str">
        <f>IF(A167="","",E167*IFERROR(INDEX(Trabajadores!$D$5:$D$204,MATCH(A167,Trabajadores!$B$5:$B$204,0)),0))</f>
        <v/>
      </c>
      <c r="H167" s="29" t="str">
        <f t="shared" si="8"/>
        <v/>
      </c>
      <c r="I167" s="29" t="str">
        <f t="shared" si="9"/>
        <v/>
      </c>
    </row>
    <row r="168" spans="1:9" x14ac:dyDescent="0.3">
      <c r="A168" t="str">
        <f>IF(Trabajadores!B165="","",Trabajadores!B165)</f>
        <v/>
      </c>
      <c r="B168" t="str">
        <f>IF(A168="","",COUNTIFS(Detalle_Pagos!$E$5:$E$2004,A168,Detalle_Pagos!$B$5:$B$2004,"&gt;="&amp;$B$3,Detalle_Pagos!$B$5:$B$2004,"&lt;="&amp;$B$4))</f>
        <v/>
      </c>
      <c r="C168" s="29" t="str">
        <f>IF(A168="","",SUMIFS(Detalle_Pagos!$I$5:$I$2004,Detalle_Pagos!$E$5:$E$2004,A168,Detalle_Pagos!$J$5:$J$2004,"Si",Detalle_Pagos!$B$5:$B$2004,"&gt;="&amp;$B$3,Detalle_Pagos!$B$5:$B$2004,"&lt;="&amp;$B$4))</f>
        <v/>
      </c>
      <c r="D168" s="29" t="str">
        <f>IF(A168="","",SUMIFS(Detalle_Pagos!$I$5:$I$2004,Detalle_Pagos!$E$5:$E$2004,A168,Detalle_Pagos!$J$5:$J$2004,"No",Detalle_Pagos!$B$5:$B$2004,"&gt;="&amp;$B$3,Detalle_Pagos!$B$5:$B$2004,"&lt;="&amp;$B$4))</f>
        <v/>
      </c>
      <c r="E168" t="str">
        <f>IF(A168="","",COUNTIFS(Detalle_Pagos!$E$5:$E$2004,A168,Detalle_Pagos!$J$5:$J$2004,"No",Detalle_Pagos!$B$5:$B$2004,"&gt;="&amp;$B$3,Detalle_Pagos!$B$5:$B$2004,"&lt;="&amp;$B$4))</f>
        <v/>
      </c>
      <c r="F168" t="str">
        <f>IF(A168="","",COUNTIFS(Detalle_Pagos!$E$5:$E$2004,A168,Detalle_Pagos!$J$5:$J$2004,"Si",Detalle_Pagos!$B$5:$B$2004,"&gt;="&amp;$B$3,Detalle_Pagos!$B$5:$B$2004,"&lt;="&amp;$B$4))</f>
        <v/>
      </c>
      <c r="G168" s="29" t="str">
        <f>IF(A168="","",E168*IFERROR(INDEX(Trabajadores!$D$5:$D$204,MATCH(A168,Trabajadores!$B$5:$B$204,0)),0))</f>
        <v/>
      </c>
      <c r="H168" s="29" t="str">
        <f t="shared" ref="H168:H199" si="10">IF(A168="","",D168+G168)</f>
        <v/>
      </c>
      <c r="I168" s="29" t="str">
        <f t="shared" ref="I168:I199" si="11">IF(A168="","",C168+D168)</f>
        <v/>
      </c>
    </row>
    <row r="169" spans="1:9" x14ac:dyDescent="0.3">
      <c r="A169" t="str">
        <f>IF(Trabajadores!B166="","",Trabajadores!B166)</f>
        <v/>
      </c>
      <c r="B169" t="str">
        <f>IF(A169="","",COUNTIFS(Detalle_Pagos!$E$5:$E$2004,A169,Detalle_Pagos!$B$5:$B$2004,"&gt;="&amp;$B$3,Detalle_Pagos!$B$5:$B$2004,"&lt;="&amp;$B$4))</f>
        <v/>
      </c>
      <c r="C169" s="29" t="str">
        <f>IF(A169="","",SUMIFS(Detalle_Pagos!$I$5:$I$2004,Detalle_Pagos!$E$5:$E$2004,A169,Detalle_Pagos!$J$5:$J$2004,"Si",Detalle_Pagos!$B$5:$B$2004,"&gt;="&amp;$B$3,Detalle_Pagos!$B$5:$B$2004,"&lt;="&amp;$B$4))</f>
        <v/>
      </c>
      <c r="D169" s="29" t="str">
        <f>IF(A169="","",SUMIFS(Detalle_Pagos!$I$5:$I$2004,Detalle_Pagos!$E$5:$E$2004,A169,Detalle_Pagos!$J$5:$J$2004,"No",Detalle_Pagos!$B$5:$B$2004,"&gt;="&amp;$B$3,Detalle_Pagos!$B$5:$B$2004,"&lt;="&amp;$B$4))</f>
        <v/>
      </c>
      <c r="E169" t="str">
        <f>IF(A169="","",COUNTIFS(Detalle_Pagos!$E$5:$E$2004,A169,Detalle_Pagos!$J$5:$J$2004,"No",Detalle_Pagos!$B$5:$B$2004,"&gt;="&amp;$B$3,Detalle_Pagos!$B$5:$B$2004,"&lt;="&amp;$B$4))</f>
        <v/>
      </c>
      <c r="F169" t="str">
        <f>IF(A169="","",COUNTIFS(Detalle_Pagos!$E$5:$E$2004,A169,Detalle_Pagos!$J$5:$J$2004,"Si",Detalle_Pagos!$B$5:$B$2004,"&gt;="&amp;$B$3,Detalle_Pagos!$B$5:$B$2004,"&lt;="&amp;$B$4))</f>
        <v/>
      </c>
      <c r="G169" s="29" t="str">
        <f>IF(A169="","",E169*IFERROR(INDEX(Trabajadores!$D$5:$D$204,MATCH(A169,Trabajadores!$B$5:$B$204,0)),0))</f>
        <v/>
      </c>
      <c r="H169" s="29" t="str">
        <f t="shared" si="10"/>
        <v/>
      </c>
      <c r="I169" s="29" t="str">
        <f t="shared" si="11"/>
        <v/>
      </c>
    </row>
    <row r="170" spans="1:9" x14ac:dyDescent="0.3">
      <c r="A170" t="str">
        <f>IF(Trabajadores!B167="","",Trabajadores!B167)</f>
        <v/>
      </c>
      <c r="B170" t="str">
        <f>IF(A170="","",COUNTIFS(Detalle_Pagos!$E$5:$E$2004,A170,Detalle_Pagos!$B$5:$B$2004,"&gt;="&amp;$B$3,Detalle_Pagos!$B$5:$B$2004,"&lt;="&amp;$B$4))</f>
        <v/>
      </c>
      <c r="C170" s="29" t="str">
        <f>IF(A170="","",SUMIFS(Detalle_Pagos!$I$5:$I$2004,Detalle_Pagos!$E$5:$E$2004,A170,Detalle_Pagos!$J$5:$J$2004,"Si",Detalle_Pagos!$B$5:$B$2004,"&gt;="&amp;$B$3,Detalle_Pagos!$B$5:$B$2004,"&lt;="&amp;$B$4))</f>
        <v/>
      </c>
      <c r="D170" s="29" t="str">
        <f>IF(A170="","",SUMIFS(Detalle_Pagos!$I$5:$I$2004,Detalle_Pagos!$E$5:$E$2004,A170,Detalle_Pagos!$J$5:$J$2004,"No",Detalle_Pagos!$B$5:$B$2004,"&gt;="&amp;$B$3,Detalle_Pagos!$B$5:$B$2004,"&lt;="&amp;$B$4))</f>
        <v/>
      </c>
      <c r="E170" t="str">
        <f>IF(A170="","",COUNTIFS(Detalle_Pagos!$E$5:$E$2004,A170,Detalle_Pagos!$J$5:$J$2004,"No",Detalle_Pagos!$B$5:$B$2004,"&gt;="&amp;$B$3,Detalle_Pagos!$B$5:$B$2004,"&lt;="&amp;$B$4))</f>
        <v/>
      </c>
      <c r="F170" t="str">
        <f>IF(A170="","",COUNTIFS(Detalle_Pagos!$E$5:$E$2004,A170,Detalle_Pagos!$J$5:$J$2004,"Si",Detalle_Pagos!$B$5:$B$2004,"&gt;="&amp;$B$3,Detalle_Pagos!$B$5:$B$2004,"&lt;="&amp;$B$4))</f>
        <v/>
      </c>
      <c r="G170" s="29" t="str">
        <f>IF(A170="","",E170*IFERROR(INDEX(Trabajadores!$D$5:$D$204,MATCH(A170,Trabajadores!$B$5:$B$204,0)),0))</f>
        <v/>
      </c>
      <c r="H170" s="29" t="str">
        <f t="shared" si="10"/>
        <v/>
      </c>
      <c r="I170" s="29" t="str">
        <f t="shared" si="11"/>
        <v/>
      </c>
    </row>
    <row r="171" spans="1:9" x14ac:dyDescent="0.3">
      <c r="A171" t="str">
        <f>IF(Trabajadores!B168="","",Trabajadores!B168)</f>
        <v/>
      </c>
      <c r="B171" t="str">
        <f>IF(A171="","",COUNTIFS(Detalle_Pagos!$E$5:$E$2004,A171,Detalle_Pagos!$B$5:$B$2004,"&gt;="&amp;$B$3,Detalle_Pagos!$B$5:$B$2004,"&lt;="&amp;$B$4))</f>
        <v/>
      </c>
      <c r="C171" s="29" t="str">
        <f>IF(A171="","",SUMIFS(Detalle_Pagos!$I$5:$I$2004,Detalle_Pagos!$E$5:$E$2004,A171,Detalle_Pagos!$J$5:$J$2004,"Si",Detalle_Pagos!$B$5:$B$2004,"&gt;="&amp;$B$3,Detalle_Pagos!$B$5:$B$2004,"&lt;="&amp;$B$4))</f>
        <v/>
      </c>
      <c r="D171" s="29" t="str">
        <f>IF(A171="","",SUMIFS(Detalle_Pagos!$I$5:$I$2004,Detalle_Pagos!$E$5:$E$2004,A171,Detalle_Pagos!$J$5:$J$2004,"No",Detalle_Pagos!$B$5:$B$2004,"&gt;="&amp;$B$3,Detalle_Pagos!$B$5:$B$2004,"&lt;="&amp;$B$4))</f>
        <v/>
      </c>
      <c r="E171" t="str">
        <f>IF(A171="","",COUNTIFS(Detalle_Pagos!$E$5:$E$2004,A171,Detalle_Pagos!$J$5:$J$2004,"No",Detalle_Pagos!$B$5:$B$2004,"&gt;="&amp;$B$3,Detalle_Pagos!$B$5:$B$2004,"&lt;="&amp;$B$4))</f>
        <v/>
      </c>
      <c r="F171" t="str">
        <f>IF(A171="","",COUNTIFS(Detalle_Pagos!$E$5:$E$2004,A171,Detalle_Pagos!$J$5:$J$2004,"Si",Detalle_Pagos!$B$5:$B$2004,"&gt;="&amp;$B$3,Detalle_Pagos!$B$5:$B$2004,"&lt;="&amp;$B$4))</f>
        <v/>
      </c>
      <c r="G171" s="29" t="str">
        <f>IF(A171="","",E171*IFERROR(INDEX(Trabajadores!$D$5:$D$204,MATCH(A171,Trabajadores!$B$5:$B$204,0)),0))</f>
        <v/>
      </c>
      <c r="H171" s="29" t="str">
        <f t="shared" si="10"/>
        <v/>
      </c>
      <c r="I171" s="29" t="str">
        <f t="shared" si="11"/>
        <v/>
      </c>
    </row>
    <row r="172" spans="1:9" x14ac:dyDescent="0.3">
      <c r="A172" t="str">
        <f>IF(Trabajadores!B169="","",Trabajadores!B169)</f>
        <v/>
      </c>
      <c r="B172" t="str">
        <f>IF(A172="","",COUNTIFS(Detalle_Pagos!$E$5:$E$2004,A172,Detalle_Pagos!$B$5:$B$2004,"&gt;="&amp;$B$3,Detalle_Pagos!$B$5:$B$2004,"&lt;="&amp;$B$4))</f>
        <v/>
      </c>
      <c r="C172" s="29" t="str">
        <f>IF(A172="","",SUMIFS(Detalle_Pagos!$I$5:$I$2004,Detalle_Pagos!$E$5:$E$2004,A172,Detalle_Pagos!$J$5:$J$2004,"Si",Detalle_Pagos!$B$5:$B$2004,"&gt;="&amp;$B$3,Detalle_Pagos!$B$5:$B$2004,"&lt;="&amp;$B$4))</f>
        <v/>
      </c>
      <c r="D172" s="29" t="str">
        <f>IF(A172="","",SUMIFS(Detalle_Pagos!$I$5:$I$2004,Detalle_Pagos!$E$5:$E$2004,A172,Detalle_Pagos!$J$5:$J$2004,"No",Detalle_Pagos!$B$5:$B$2004,"&gt;="&amp;$B$3,Detalle_Pagos!$B$5:$B$2004,"&lt;="&amp;$B$4))</f>
        <v/>
      </c>
      <c r="E172" t="str">
        <f>IF(A172="","",COUNTIFS(Detalle_Pagos!$E$5:$E$2004,A172,Detalle_Pagos!$J$5:$J$2004,"No",Detalle_Pagos!$B$5:$B$2004,"&gt;="&amp;$B$3,Detalle_Pagos!$B$5:$B$2004,"&lt;="&amp;$B$4))</f>
        <v/>
      </c>
      <c r="F172" t="str">
        <f>IF(A172="","",COUNTIFS(Detalle_Pagos!$E$5:$E$2004,A172,Detalle_Pagos!$J$5:$J$2004,"Si",Detalle_Pagos!$B$5:$B$2004,"&gt;="&amp;$B$3,Detalle_Pagos!$B$5:$B$2004,"&lt;="&amp;$B$4))</f>
        <v/>
      </c>
      <c r="G172" s="29" t="str">
        <f>IF(A172="","",E172*IFERROR(INDEX(Trabajadores!$D$5:$D$204,MATCH(A172,Trabajadores!$B$5:$B$204,0)),0))</f>
        <v/>
      </c>
      <c r="H172" s="29" t="str">
        <f t="shared" si="10"/>
        <v/>
      </c>
      <c r="I172" s="29" t="str">
        <f t="shared" si="11"/>
        <v/>
      </c>
    </row>
    <row r="173" spans="1:9" x14ac:dyDescent="0.3">
      <c r="A173" t="str">
        <f>IF(Trabajadores!B170="","",Trabajadores!B170)</f>
        <v/>
      </c>
      <c r="B173" t="str">
        <f>IF(A173="","",COUNTIFS(Detalle_Pagos!$E$5:$E$2004,A173,Detalle_Pagos!$B$5:$B$2004,"&gt;="&amp;$B$3,Detalle_Pagos!$B$5:$B$2004,"&lt;="&amp;$B$4))</f>
        <v/>
      </c>
      <c r="C173" s="29" t="str">
        <f>IF(A173="","",SUMIFS(Detalle_Pagos!$I$5:$I$2004,Detalle_Pagos!$E$5:$E$2004,A173,Detalle_Pagos!$J$5:$J$2004,"Si",Detalle_Pagos!$B$5:$B$2004,"&gt;="&amp;$B$3,Detalle_Pagos!$B$5:$B$2004,"&lt;="&amp;$B$4))</f>
        <v/>
      </c>
      <c r="D173" s="29" t="str">
        <f>IF(A173="","",SUMIFS(Detalle_Pagos!$I$5:$I$2004,Detalle_Pagos!$E$5:$E$2004,A173,Detalle_Pagos!$J$5:$J$2004,"No",Detalle_Pagos!$B$5:$B$2004,"&gt;="&amp;$B$3,Detalle_Pagos!$B$5:$B$2004,"&lt;="&amp;$B$4))</f>
        <v/>
      </c>
      <c r="E173" t="str">
        <f>IF(A173="","",COUNTIFS(Detalle_Pagos!$E$5:$E$2004,A173,Detalle_Pagos!$J$5:$J$2004,"No",Detalle_Pagos!$B$5:$B$2004,"&gt;="&amp;$B$3,Detalle_Pagos!$B$5:$B$2004,"&lt;="&amp;$B$4))</f>
        <v/>
      </c>
      <c r="F173" t="str">
        <f>IF(A173="","",COUNTIFS(Detalle_Pagos!$E$5:$E$2004,A173,Detalle_Pagos!$J$5:$J$2004,"Si",Detalle_Pagos!$B$5:$B$2004,"&gt;="&amp;$B$3,Detalle_Pagos!$B$5:$B$2004,"&lt;="&amp;$B$4))</f>
        <v/>
      </c>
      <c r="G173" s="29" t="str">
        <f>IF(A173="","",E173*IFERROR(INDEX(Trabajadores!$D$5:$D$204,MATCH(A173,Trabajadores!$B$5:$B$204,0)),0))</f>
        <v/>
      </c>
      <c r="H173" s="29" t="str">
        <f t="shared" si="10"/>
        <v/>
      </c>
      <c r="I173" s="29" t="str">
        <f t="shared" si="11"/>
        <v/>
      </c>
    </row>
    <row r="174" spans="1:9" x14ac:dyDescent="0.3">
      <c r="A174" t="str">
        <f>IF(Trabajadores!B171="","",Trabajadores!B171)</f>
        <v/>
      </c>
      <c r="B174" t="str">
        <f>IF(A174="","",COUNTIFS(Detalle_Pagos!$E$5:$E$2004,A174,Detalle_Pagos!$B$5:$B$2004,"&gt;="&amp;$B$3,Detalle_Pagos!$B$5:$B$2004,"&lt;="&amp;$B$4))</f>
        <v/>
      </c>
      <c r="C174" s="29" t="str">
        <f>IF(A174="","",SUMIFS(Detalle_Pagos!$I$5:$I$2004,Detalle_Pagos!$E$5:$E$2004,A174,Detalle_Pagos!$J$5:$J$2004,"Si",Detalle_Pagos!$B$5:$B$2004,"&gt;="&amp;$B$3,Detalle_Pagos!$B$5:$B$2004,"&lt;="&amp;$B$4))</f>
        <v/>
      </c>
      <c r="D174" s="29" t="str">
        <f>IF(A174="","",SUMIFS(Detalle_Pagos!$I$5:$I$2004,Detalle_Pagos!$E$5:$E$2004,A174,Detalle_Pagos!$J$5:$J$2004,"No",Detalle_Pagos!$B$5:$B$2004,"&gt;="&amp;$B$3,Detalle_Pagos!$B$5:$B$2004,"&lt;="&amp;$B$4))</f>
        <v/>
      </c>
      <c r="E174" t="str">
        <f>IF(A174="","",COUNTIFS(Detalle_Pagos!$E$5:$E$2004,A174,Detalle_Pagos!$J$5:$J$2004,"No",Detalle_Pagos!$B$5:$B$2004,"&gt;="&amp;$B$3,Detalle_Pagos!$B$5:$B$2004,"&lt;="&amp;$B$4))</f>
        <v/>
      </c>
      <c r="F174" t="str">
        <f>IF(A174="","",COUNTIFS(Detalle_Pagos!$E$5:$E$2004,A174,Detalle_Pagos!$J$5:$J$2004,"Si",Detalle_Pagos!$B$5:$B$2004,"&gt;="&amp;$B$3,Detalle_Pagos!$B$5:$B$2004,"&lt;="&amp;$B$4))</f>
        <v/>
      </c>
      <c r="G174" s="29" t="str">
        <f>IF(A174="","",E174*IFERROR(INDEX(Trabajadores!$D$5:$D$204,MATCH(A174,Trabajadores!$B$5:$B$204,0)),0))</f>
        <v/>
      </c>
      <c r="H174" s="29" t="str">
        <f t="shared" si="10"/>
        <v/>
      </c>
      <c r="I174" s="29" t="str">
        <f t="shared" si="11"/>
        <v/>
      </c>
    </row>
    <row r="175" spans="1:9" x14ac:dyDescent="0.3">
      <c r="A175" t="str">
        <f>IF(Trabajadores!B172="","",Trabajadores!B172)</f>
        <v/>
      </c>
      <c r="B175" t="str">
        <f>IF(A175="","",COUNTIFS(Detalle_Pagos!$E$5:$E$2004,A175,Detalle_Pagos!$B$5:$B$2004,"&gt;="&amp;$B$3,Detalle_Pagos!$B$5:$B$2004,"&lt;="&amp;$B$4))</f>
        <v/>
      </c>
      <c r="C175" s="29" t="str">
        <f>IF(A175="","",SUMIFS(Detalle_Pagos!$I$5:$I$2004,Detalle_Pagos!$E$5:$E$2004,A175,Detalle_Pagos!$J$5:$J$2004,"Si",Detalle_Pagos!$B$5:$B$2004,"&gt;="&amp;$B$3,Detalle_Pagos!$B$5:$B$2004,"&lt;="&amp;$B$4))</f>
        <v/>
      </c>
      <c r="D175" s="29" t="str">
        <f>IF(A175="","",SUMIFS(Detalle_Pagos!$I$5:$I$2004,Detalle_Pagos!$E$5:$E$2004,A175,Detalle_Pagos!$J$5:$J$2004,"No",Detalle_Pagos!$B$5:$B$2004,"&gt;="&amp;$B$3,Detalle_Pagos!$B$5:$B$2004,"&lt;="&amp;$B$4))</f>
        <v/>
      </c>
      <c r="E175" t="str">
        <f>IF(A175="","",COUNTIFS(Detalle_Pagos!$E$5:$E$2004,A175,Detalle_Pagos!$J$5:$J$2004,"No",Detalle_Pagos!$B$5:$B$2004,"&gt;="&amp;$B$3,Detalle_Pagos!$B$5:$B$2004,"&lt;="&amp;$B$4))</f>
        <v/>
      </c>
      <c r="F175" t="str">
        <f>IF(A175="","",COUNTIFS(Detalle_Pagos!$E$5:$E$2004,A175,Detalle_Pagos!$J$5:$J$2004,"Si",Detalle_Pagos!$B$5:$B$2004,"&gt;="&amp;$B$3,Detalle_Pagos!$B$5:$B$2004,"&lt;="&amp;$B$4))</f>
        <v/>
      </c>
      <c r="G175" s="29" t="str">
        <f>IF(A175="","",E175*IFERROR(INDEX(Trabajadores!$D$5:$D$204,MATCH(A175,Trabajadores!$B$5:$B$204,0)),0))</f>
        <v/>
      </c>
      <c r="H175" s="29" t="str">
        <f t="shared" si="10"/>
        <v/>
      </c>
      <c r="I175" s="29" t="str">
        <f t="shared" si="11"/>
        <v/>
      </c>
    </row>
    <row r="176" spans="1:9" x14ac:dyDescent="0.3">
      <c r="A176" t="str">
        <f>IF(Trabajadores!B173="","",Trabajadores!B173)</f>
        <v/>
      </c>
      <c r="B176" t="str">
        <f>IF(A176="","",COUNTIFS(Detalle_Pagos!$E$5:$E$2004,A176,Detalle_Pagos!$B$5:$B$2004,"&gt;="&amp;$B$3,Detalle_Pagos!$B$5:$B$2004,"&lt;="&amp;$B$4))</f>
        <v/>
      </c>
      <c r="C176" s="29" t="str">
        <f>IF(A176="","",SUMIFS(Detalle_Pagos!$I$5:$I$2004,Detalle_Pagos!$E$5:$E$2004,A176,Detalle_Pagos!$J$5:$J$2004,"Si",Detalle_Pagos!$B$5:$B$2004,"&gt;="&amp;$B$3,Detalle_Pagos!$B$5:$B$2004,"&lt;="&amp;$B$4))</f>
        <v/>
      </c>
      <c r="D176" s="29" t="str">
        <f>IF(A176="","",SUMIFS(Detalle_Pagos!$I$5:$I$2004,Detalle_Pagos!$E$5:$E$2004,A176,Detalle_Pagos!$J$5:$J$2004,"No",Detalle_Pagos!$B$5:$B$2004,"&gt;="&amp;$B$3,Detalle_Pagos!$B$5:$B$2004,"&lt;="&amp;$B$4))</f>
        <v/>
      </c>
      <c r="E176" t="str">
        <f>IF(A176="","",COUNTIFS(Detalle_Pagos!$E$5:$E$2004,A176,Detalle_Pagos!$J$5:$J$2004,"No",Detalle_Pagos!$B$5:$B$2004,"&gt;="&amp;$B$3,Detalle_Pagos!$B$5:$B$2004,"&lt;="&amp;$B$4))</f>
        <v/>
      </c>
      <c r="F176" t="str">
        <f>IF(A176="","",COUNTIFS(Detalle_Pagos!$E$5:$E$2004,A176,Detalle_Pagos!$J$5:$J$2004,"Si",Detalle_Pagos!$B$5:$B$2004,"&gt;="&amp;$B$3,Detalle_Pagos!$B$5:$B$2004,"&lt;="&amp;$B$4))</f>
        <v/>
      </c>
      <c r="G176" s="29" t="str">
        <f>IF(A176="","",E176*IFERROR(INDEX(Trabajadores!$D$5:$D$204,MATCH(A176,Trabajadores!$B$5:$B$204,0)),0))</f>
        <v/>
      </c>
      <c r="H176" s="29" t="str">
        <f t="shared" si="10"/>
        <v/>
      </c>
      <c r="I176" s="29" t="str">
        <f t="shared" si="11"/>
        <v/>
      </c>
    </row>
    <row r="177" spans="1:9" x14ac:dyDescent="0.3">
      <c r="A177" t="str">
        <f>IF(Trabajadores!B174="","",Trabajadores!B174)</f>
        <v/>
      </c>
      <c r="B177" t="str">
        <f>IF(A177="","",COUNTIFS(Detalle_Pagos!$E$5:$E$2004,A177,Detalle_Pagos!$B$5:$B$2004,"&gt;="&amp;$B$3,Detalle_Pagos!$B$5:$B$2004,"&lt;="&amp;$B$4))</f>
        <v/>
      </c>
      <c r="C177" s="29" t="str">
        <f>IF(A177="","",SUMIFS(Detalle_Pagos!$I$5:$I$2004,Detalle_Pagos!$E$5:$E$2004,A177,Detalle_Pagos!$J$5:$J$2004,"Si",Detalle_Pagos!$B$5:$B$2004,"&gt;="&amp;$B$3,Detalle_Pagos!$B$5:$B$2004,"&lt;="&amp;$B$4))</f>
        <v/>
      </c>
      <c r="D177" s="29" t="str">
        <f>IF(A177="","",SUMIFS(Detalle_Pagos!$I$5:$I$2004,Detalle_Pagos!$E$5:$E$2004,A177,Detalle_Pagos!$J$5:$J$2004,"No",Detalle_Pagos!$B$5:$B$2004,"&gt;="&amp;$B$3,Detalle_Pagos!$B$5:$B$2004,"&lt;="&amp;$B$4))</f>
        <v/>
      </c>
      <c r="E177" t="str">
        <f>IF(A177="","",COUNTIFS(Detalle_Pagos!$E$5:$E$2004,A177,Detalle_Pagos!$J$5:$J$2004,"No",Detalle_Pagos!$B$5:$B$2004,"&gt;="&amp;$B$3,Detalle_Pagos!$B$5:$B$2004,"&lt;="&amp;$B$4))</f>
        <v/>
      </c>
      <c r="F177" t="str">
        <f>IF(A177="","",COUNTIFS(Detalle_Pagos!$E$5:$E$2004,A177,Detalle_Pagos!$J$5:$J$2004,"Si",Detalle_Pagos!$B$5:$B$2004,"&gt;="&amp;$B$3,Detalle_Pagos!$B$5:$B$2004,"&lt;="&amp;$B$4))</f>
        <v/>
      </c>
      <c r="G177" s="29" t="str">
        <f>IF(A177="","",E177*IFERROR(INDEX(Trabajadores!$D$5:$D$204,MATCH(A177,Trabajadores!$B$5:$B$204,0)),0))</f>
        <v/>
      </c>
      <c r="H177" s="29" t="str">
        <f t="shared" si="10"/>
        <v/>
      </c>
      <c r="I177" s="29" t="str">
        <f t="shared" si="11"/>
        <v/>
      </c>
    </row>
    <row r="178" spans="1:9" x14ac:dyDescent="0.3">
      <c r="A178" t="str">
        <f>IF(Trabajadores!B175="","",Trabajadores!B175)</f>
        <v/>
      </c>
      <c r="B178" t="str">
        <f>IF(A178="","",COUNTIFS(Detalle_Pagos!$E$5:$E$2004,A178,Detalle_Pagos!$B$5:$B$2004,"&gt;="&amp;$B$3,Detalle_Pagos!$B$5:$B$2004,"&lt;="&amp;$B$4))</f>
        <v/>
      </c>
      <c r="C178" s="29" t="str">
        <f>IF(A178="","",SUMIFS(Detalle_Pagos!$I$5:$I$2004,Detalle_Pagos!$E$5:$E$2004,A178,Detalle_Pagos!$J$5:$J$2004,"Si",Detalle_Pagos!$B$5:$B$2004,"&gt;="&amp;$B$3,Detalle_Pagos!$B$5:$B$2004,"&lt;="&amp;$B$4))</f>
        <v/>
      </c>
      <c r="D178" s="29" t="str">
        <f>IF(A178="","",SUMIFS(Detalle_Pagos!$I$5:$I$2004,Detalle_Pagos!$E$5:$E$2004,A178,Detalle_Pagos!$J$5:$J$2004,"No",Detalle_Pagos!$B$5:$B$2004,"&gt;="&amp;$B$3,Detalle_Pagos!$B$5:$B$2004,"&lt;="&amp;$B$4))</f>
        <v/>
      </c>
      <c r="E178" t="str">
        <f>IF(A178="","",COUNTIFS(Detalle_Pagos!$E$5:$E$2004,A178,Detalle_Pagos!$J$5:$J$2004,"No",Detalle_Pagos!$B$5:$B$2004,"&gt;="&amp;$B$3,Detalle_Pagos!$B$5:$B$2004,"&lt;="&amp;$B$4))</f>
        <v/>
      </c>
      <c r="F178" t="str">
        <f>IF(A178="","",COUNTIFS(Detalle_Pagos!$E$5:$E$2004,A178,Detalle_Pagos!$J$5:$J$2004,"Si",Detalle_Pagos!$B$5:$B$2004,"&gt;="&amp;$B$3,Detalle_Pagos!$B$5:$B$2004,"&lt;="&amp;$B$4))</f>
        <v/>
      </c>
      <c r="G178" s="29" t="str">
        <f>IF(A178="","",E178*IFERROR(INDEX(Trabajadores!$D$5:$D$204,MATCH(A178,Trabajadores!$B$5:$B$204,0)),0))</f>
        <v/>
      </c>
      <c r="H178" s="29" t="str">
        <f t="shared" si="10"/>
        <v/>
      </c>
      <c r="I178" s="29" t="str">
        <f t="shared" si="11"/>
        <v/>
      </c>
    </row>
    <row r="179" spans="1:9" x14ac:dyDescent="0.3">
      <c r="A179" t="str">
        <f>IF(Trabajadores!B176="","",Trabajadores!B176)</f>
        <v/>
      </c>
      <c r="B179" t="str">
        <f>IF(A179="","",COUNTIFS(Detalle_Pagos!$E$5:$E$2004,A179,Detalle_Pagos!$B$5:$B$2004,"&gt;="&amp;$B$3,Detalle_Pagos!$B$5:$B$2004,"&lt;="&amp;$B$4))</f>
        <v/>
      </c>
      <c r="C179" s="29" t="str">
        <f>IF(A179="","",SUMIFS(Detalle_Pagos!$I$5:$I$2004,Detalle_Pagos!$E$5:$E$2004,A179,Detalle_Pagos!$J$5:$J$2004,"Si",Detalle_Pagos!$B$5:$B$2004,"&gt;="&amp;$B$3,Detalle_Pagos!$B$5:$B$2004,"&lt;="&amp;$B$4))</f>
        <v/>
      </c>
      <c r="D179" s="29" t="str">
        <f>IF(A179="","",SUMIFS(Detalle_Pagos!$I$5:$I$2004,Detalle_Pagos!$E$5:$E$2004,A179,Detalle_Pagos!$J$5:$J$2004,"No",Detalle_Pagos!$B$5:$B$2004,"&gt;="&amp;$B$3,Detalle_Pagos!$B$5:$B$2004,"&lt;="&amp;$B$4))</f>
        <v/>
      </c>
      <c r="E179" t="str">
        <f>IF(A179="","",COUNTIFS(Detalle_Pagos!$E$5:$E$2004,A179,Detalle_Pagos!$J$5:$J$2004,"No",Detalle_Pagos!$B$5:$B$2004,"&gt;="&amp;$B$3,Detalle_Pagos!$B$5:$B$2004,"&lt;="&amp;$B$4))</f>
        <v/>
      </c>
      <c r="F179" t="str">
        <f>IF(A179="","",COUNTIFS(Detalle_Pagos!$E$5:$E$2004,A179,Detalle_Pagos!$J$5:$J$2004,"Si",Detalle_Pagos!$B$5:$B$2004,"&gt;="&amp;$B$3,Detalle_Pagos!$B$5:$B$2004,"&lt;="&amp;$B$4))</f>
        <v/>
      </c>
      <c r="G179" s="29" t="str">
        <f>IF(A179="","",E179*IFERROR(INDEX(Trabajadores!$D$5:$D$204,MATCH(A179,Trabajadores!$B$5:$B$204,0)),0))</f>
        <v/>
      </c>
      <c r="H179" s="29" t="str">
        <f t="shared" si="10"/>
        <v/>
      </c>
      <c r="I179" s="29" t="str">
        <f t="shared" si="11"/>
        <v/>
      </c>
    </row>
    <row r="180" spans="1:9" x14ac:dyDescent="0.3">
      <c r="A180" t="str">
        <f>IF(Trabajadores!B177="","",Trabajadores!B177)</f>
        <v/>
      </c>
      <c r="B180" t="str">
        <f>IF(A180="","",COUNTIFS(Detalle_Pagos!$E$5:$E$2004,A180,Detalle_Pagos!$B$5:$B$2004,"&gt;="&amp;$B$3,Detalle_Pagos!$B$5:$B$2004,"&lt;="&amp;$B$4))</f>
        <v/>
      </c>
      <c r="C180" s="29" t="str">
        <f>IF(A180="","",SUMIFS(Detalle_Pagos!$I$5:$I$2004,Detalle_Pagos!$E$5:$E$2004,A180,Detalle_Pagos!$J$5:$J$2004,"Si",Detalle_Pagos!$B$5:$B$2004,"&gt;="&amp;$B$3,Detalle_Pagos!$B$5:$B$2004,"&lt;="&amp;$B$4))</f>
        <v/>
      </c>
      <c r="D180" s="29" t="str">
        <f>IF(A180="","",SUMIFS(Detalle_Pagos!$I$5:$I$2004,Detalle_Pagos!$E$5:$E$2004,A180,Detalle_Pagos!$J$5:$J$2004,"No",Detalle_Pagos!$B$5:$B$2004,"&gt;="&amp;$B$3,Detalle_Pagos!$B$5:$B$2004,"&lt;="&amp;$B$4))</f>
        <v/>
      </c>
      <c r="E180" t="str">
        <f>IF(A180="","",COUNTIFS(Detalle_Pagos!$E$5:$E$2004,A180,Detalle_Pagos!$J$5:$J$2004,"No",Detalle_Pagos!$B$5:$B$2004,"&gt;="&amp;$B$3,Detalle_Pagos!$B$5:$B$2004,"&lt;="&amp;$B$4))</f>
        <v/>
      </c>
      <c r="F180" t="str">
        <f>IF(A180="","",COUNTIFS(Detalle_Pagos!$E$5:$E$2004,A180,Detalle_Pagos!$J$5:$J$2004,"Si",Detalle_Pagos!$B$5:$B$2004,"&gt;="&amp;$B$3,Detalle_Pagos!$B$5:$B$2004,"&lt;="&amp;$B$4))</f>
        <v/>
      </c>
      <c r="G180" s="29" t="str">
        <f>IF(A180="","",E180*IFERROR(INDEX(Trabajadores!$D$5:$D$204,MATCH(A180,Trabajadores!$B$5:$B$204,0)),0))</f>
        <v/>
      </c>
      <c r="H180" s="29" t="str">
        <f t="shared" si="10"/>
        <v/>
      </c>
      <c r="I180" s="29" t="str">
        <f t="shared" si="11"/>
        <v/>
      </c>
    </row>
    <row r="181" spans="1:9" x14ac:dyDescent="0.3">
      <c r="A181" t="str">
        <f>IF(Trabajadores!B178="","",Trabajadores!B178)</f>
        <v/>
      </c>
      <c r="B181" t="str">
        <f>IF(A181="","",COUNTIFS(Detalle_Pagos!$E$5:$E$2004,A181,Detalle_Pagos!$B$5:$B$2004,"&gt;="&amp;$B$3,Detalle_Pagos!$B$5:$B$2004,"&lt;="&amp;$B$4))</f>
        <v/>
      </c>
      <c r="C181" s="29" t="str">
        <f>IF(A181="","",SUMIFS(Detalle_Pagos!$I$5:$I$2004,Detalle_Pagos!$E$5:$E$2004,A181,Detalle_Pagos!$J$5:$J$2004,"Si",Detalle_Pagos!$B$5:$B$2004,"&gt;="&amp;$B$3,Detalle_Pagos!$B$5:$B$2004,"&lt;="&amp;$B$4))</f>
        <v/>
      </c>
      <c r="D181" s="29" t="str">
        <f>IF(A181="","",SUMIFS(Detalle_Pagos!$I$5:$I$2004,Detalle_Pagos!$E$5:$E$2004,A181,Detalle_Pagos!$J$5:$J$2004,"No",Detalle_Pagos!$B$5:$B$2004,"&gt;="&amp;$B$3,Detalle_Pagos!$B$5:$B$2004,"&lt;="&amp;$B$4))</f>
        <v/>
      </c>
      <c r="E181" t="str">
        <f>IF(A181="","",COUNTIFS(Detalle_Pagos!$E$5:$E$2004,A181,Detalle_Pagos!$J$5:$J$2004,"No",Detalle_Pagos!$B$5:$B$2004,"&gt;="&amp;$B$3,Detalle_Pagos!$B$5:$B$2004,"&lt;="&amp;$B$4))</f>
        <v/>
      </c>
      <c r="F181" t="str">
        <f>IF(A181="","",COUNTIFS(Detalle_Pagos!$E$5:$E$2004,A181,Detalle_Pagos!$J$5:$J$2004,"Si",Detalle_Pagos!$B$5:$B$2004,"&gt;="&amp;$B$3,Detalle_Pagos!$B$5:$B$2004,"&lt;="&amp;$B$4))</f>
        <v/>
      </c>
      <c r="G181" s="29" t="str">
        <f>IF(A181="","",E181*IFERROR(INDEX(Trabajadores!$D$5:$D$204,MATCH(A181,Trabajadores!$B$5:$B$204,0)),0))</f>
        <v/>
      </c>
      <c r="H181" s="29" t="str">
        <f t="shared" si="10"/>
        <v/>
      </c>
      <c r="I181" s="29" t="str">
        <f t="shared" si="11"/>
        <v/>
      </c>
    </row>
    <row r="182" spans="1:9" x14ac:dyDescent="0.3">
      <c r="A182" t="str">
        <f>IF(Trabajadores!B179="","",Trabajadores!B179)</f>
        <v/>
      </c>
      <c r="B182" t="str">
        <f>IF(A182="","",COUNTIFS(Detalle_Pagos!$E$5:$E$2004,A182,Detalle_Pagos!$B$5:$B$2004,"&gt;="&amp;$B$3,Detalle_Pagos!$B$5:$B$2004,"&lt;="&amp;$B$4))</f>
        <v/>
      </c>
      <c r="C182" s="29" t="str">
        <f>IF(A182="","",SUMIFS(Detalle_Pagos!$I$5:$I$2004,Detalle_Pagos!$E$5:$E$2004,A182,Detalle_Pagos!$J$5:$J$2004,"Si",Detalle_Pagos!$B$5:$B$2004,"&gt;="&amp;$B$3,Detalle_Pagos!$B$5:$B$2004,"&lt;="&amp;$B$4))</f>
        <v/>
      </c>
      <c r="D182" s="29" t="str">
        <f>IF(A182="","",SUMIFS(Detalle_Pagos!$I$5:$I$2004,Detalle_Pagos!$E$5:$E$2004,A182,Detalle_Pagos!$J$5:$J$2004,"No",Detalle_Pagos!$B$5:$B$2004,"&gt;="&amp;$B$3,Detalle_Pagos!$B$5:$B$2004,"&lt;="&amp;$B$4))</f>
        <v/>
      </c>
      <c r="E182" t="str">
        <f>IF(A182="","",COUNTIFS(Detalle_Pagos!$E$5:$E$2004,A182,Detalle_Pagos!$J$5:$J$2004,"No",Detalle_Pagos!$B$5:$B$2004,"&gt;="&amp;$B$3,Detalle_Pagos!$B$5:$B$2004,"&lt;="&amp;$B$4))</f>
        <v/>
      </c>
      <c r="F182" t="str">
        <f>IF(A182="","",COUNTIFS(Detalle_Pagos!$E$5:$E$2004,A182,Detalle_Pagos!$J$5:$J$2004,"Si",Detalle_Pagos!$B$5:$B$2004,"&gt;="&amp;$B$3,Detalle_Pagos!$B$5:$B$2004,"&lt;="&amp;$B$4))</f>
        <v/>
      </c>
      <c r="G182" s="29" t="str">
        <f>IF(A182="","",E182*IFERROR(INDEX(Trabajadores!$D$5:$D$204,MATCH(A182,Trabajadores!$B$5:$B$204,0)),0))</f>
        <v/>
      </c>
      <c r="H182" s="29" t="str">
        <f t="shared" si="10"/>
        <v/>
      </c>
      <c r="I182" s="29" t="str">
        <f t="shared" si="11"/>
        <v/>
      </c>
    </row>
    <row r="183" spans="1:9" x14ac:dyDescent="0.3">
      <c r="A183" t="str">
        <f>IF(Trabajadores!B180="","",Trabajadores!B180)</f>
        <v/>
      </c>
      <c r="B183" t="str">
        <f>IF(A183="","",COUNTIFS(Detalle_Pagos!$E$5:$E$2004,A183,Detalle_Pagos!$B$5:$B$2004,"&gt;="&amp;$B$3,Detalle_Pagos!$B$5:$B$2004,"&lt;="&amp;$B$4))</f>
        <v/>
      </c>
      <c r="C183" s="29" t="str">
        <f>IF(A183="","",SUMIFS(Detalle_Pagos!$I$5:$I$2004,Detalle_Pagos!$E$5:$E$2004,A183,Detalle_Pagos!$J$5:$J$2004,"Si",Detalle_Pagos!$B$5:$B$2004,"&gt;="&amp;$B$3,Detalle_Pagos!$B$5:$B$2004,"&lt;="&amp;$B$4))</f>
        <v/>
      </c>
      <c r="D183" s="29" t="str">
        <f>IF(A183="","",SUMIFS(Detalle_Pagos!$I$5:$I$2004,Detalle_Pagos!$E$5:$E$2004,A183,Detalle_Pagos!$J$5:$J$2004,"No",Detalle_Pagos!$B$5:$B$2004,"&gt;="&amp;$B$3,Detalle_Pagos!$B$5:$B$2004,"&lt;="&amp;$B$4))</f>
        <v/>
      </c>
      <c r="E183" t="str">
        <f>IF(A183="","",COUNTIFS(Detalle_Pagos!$E$5:$E$2004,A183,Detalle_Pagos!$J$5:$J$2004,"No",Detalle_Pagos!$B$5:$B$2004,"&gt;="&amp;$B$3,Detalle_Pagos!$B$5:$B$2004,"&lt;="&amp;$B$4))</f>
        <v/>
      </c>
      <c r="F183" t="str">
        <f>IF(A183="","",COUNTIFS(Detalle_Pagos!$E$5:$E$2004,A183,Detalle_Pagos!$J$5:$J$2004,"Si",Detalle_Pagos!$B$5:$B$2004,"&gt;="&amp;$B$3,Detalle_Pagos!$B$5:$B$2004,"&lt;="&amp;$B$4))</f>
        <v/>
      </c>
      <c r="G183" s="29" t="str">
        <f>IF(A183="","",E183*IFERROR(INDEX(Trabajadores!$D$5:$D$204,MATCH(A183,Trabajadores!$B$5:$B$204,0)),0))</f>
        <v/>
      </c>
      <c r="H183" s="29" t="str">
        <f t="shared" si="10"/>
        <v/>
      </c>
      <c r="I183" s="29" t="str">
        <f t="shared" si="11"/>
        <v/>
      </c>
    </row>
    <row r="184" spans="1:9" x14ac:dyDescent="0.3">
      <c r="A184" t="str">
        <f>IF(Trabajadores!B181="","",Trabajadores!B181)</f>
        <v/>
      </c>
      <c r="B184" t="str">
        <f>IF(A184="","",COUNTIFS(Detalle_Pagos!$E$5:$E$2004,A184,Detalle_Pagos!$B$5:$B$2004,"&gt;="&amp;$B$3,Detalle_Pagos!$B$5:$B$2004,"&lt;="&amp;$B$4))</f>
        <v/>
      </c>
      <c r="C184" s="29" t="str">
        <f>IF(A184="","",SUMIFS(Detalle_Pagos!$I$5:$I$2004,Detalle_Pagos!$E$5:$E$2004,A184,Detalle_Pagos!$J$5:$J$2004,"Si",Detalle_Pagos!$B$5:$B$2004,"&gt;="&amp;$B$3,Detalle_Pagos!$B$5:$B$2004,"&lt;="&amp;$B$4))</f>
        <v/>
      </c>
      <c r="D184" s="29" t="str">
        <f>IF(A184="","",SUMIFS(Detalle_Pagos!$I$5:$I$2004,Detalle_Pagos!$E$5:$E$2004,A184,Detalle_Pagos!$J$5:$J$2004,"No",Detalle_Pagos!$B$5:$B$2004,"&gt;="&amp;$B$3,Detalle_Pagos!$B$5:$B$2004,"&lt;="&amp;$B$4))</f>
        <v/>
      </c>
      <c r="E184" t="str">
        <f>IF(A184="","",COUNTIFS(Detalle_Pagos!$E$5:$E$2004,A184,Detalle_Pagos!$J$5:$J$2004,"No",Detalle_Pagos!$B$5:$B$2004,"&gt;="&amp;$B$3,Detalle_Pagos!$B$5:$B$2004,"&lt;="&amp;$B$4))</f>
        <v/>
      </c>
      <c r="F184" t="str">
        <f>IF(A184="","",COUNTIFS(Detalle_Pagos!$E$5:$E$2004,A184,Detalle_Pagos!$J$5:$J$2004,"Si",Detalle_Pagos!$B$5:$B$2004,"&gt;="&amp;$B$3,Detalle_Pagos!$B$5:$B$2004,"&lt;="&amp;$B$4))</f>
        <v/>
      </c>
      <c r="G184" s="29" t="str">
        <f>IF(A184="","",E184*IFERROR(INDEX(Trabajadores!$D$5:$D$204,MATCH(A184,Trabajadores!$B$5:$B$204,0)),0))</f>
        <v/>
      </c>
      <c r="H184" s="29" t="str">
        <f t="shared" si="10"/>
        <v/>
      </c>
      <c r="I184" s="29" t="str">
        <f t="shared" si="11"/>
        <v/>
      </c>
    </row>
    <row r="185" spans="1:9" x14ac:dyDescent="0.3">
      <c r="A185" t="str">
        <f>IF(Trabajadores!B182="","",Trabajadores!B182)</f>
        <v/>
      </c>
      <c r="B185" t="str">
        <f>IF(A185="","",COUNTIFS(Detalle_Pagos!$E$5:$E$2004,A185,Detalle_Pagos!$B$5:$B$2004,"&gt;="&amp;$B$3,Detalle_Pagos!$B$5:$B$2004,"&lt;="&amp;$B$4))</f>
        <v/>
      </c>
      <c r="C185" s="29" t="str">
        <f>IF(A185="","",SUMIFS(Detalle_Pagos!$I$5:$I$2004,Detalle_Pagos!$E$5:$E$2004,A185,Detalle_Pagos!$J$5:$J$2004,"Si",Detalle_Pagos!$B$5:$B$2004,"&gt;="&amp;$B$3,Detalle_Pagos!$B$5:$B$2004,"&lt;="&amp;$B$4))</f>
        <v/>
      </c>
      <c r="D185" s="29" t="str">
        <f>IF(A185="","",SUMIFS(Detalle_Pagos!$I$5:$I$2004,Detalle_Pagos!$E$5:$E$2004,A185,Detalle_Pagos!$J$5:$J$2004,"No",Detalle_Pagos!$B$5:$B$2004,"&gt;="&amp;$B$3,Detalle_Pagos!$B$5:$B$2004,"&lt;="&amp;$B$4))</f>
        <v/>
      </c>
      <c r="E185" t="str">
        <f>IF(A185="","",COUNTIFS(Detalle_Pagos!$E$5:$E$2004,A185,Detalle_Pagos!$J$5:$J$2004,"No",Detalle_Pagos!$B$5:$B$2004,"&gt;="&amp;$B$3,Detalle_Pagos!$B$5:$B$2004,"&lt;="&amp;$B$4))</f>
        <v/>
      </c>
      <c r="F185" t="str">
        <f>IF(A185="","",COUNTIFS(Detalle_Pagos!$E$5:$E$2004,A185,Detalle_Pagos!$J$5:$J$2004,"Si",Detalle_Pagos!$B$5:$B$2004,"&gt;="&amp;$B$3,Detalle_Pagos!$B$5:$B$2004,"&lt;="&amp;$B$4))</f>
        <v/>
      </c>
      <c r="G185" s="29" t="str">
        <f>IF(A185="","",E185*IFERROR(INDEX(Trabajadores!$D$5:$D$204,MATCH(A185,Trabajadores!$B$5:$B$204,0)),0))</f>
        <v/>
      </c>
      <c r="H185" s="29" t="str">
        <f t="shared" si="10"/>
        <v/>
      </c>
      <c r="I185" s="29" t="str">
        <f t="shared" si="11"/>
        <v/>
      </c>
    </row>
    <row r="186" spans="1:9" x14ac:dyDescent="0.3">
      <c r="A186" t="str">
        <f>IF(Trabajadores!B183="","",Trabajadores!B183)</f>
        <v/>
      </c>
      <c r="B186" t="str">
        <f>IF(A186="","",COUNTIFS(Detalle_Pagos!$E$5:$E$2004,A186,Detalle_Pagos!$B$5:$B$2004,"&gt;="&amp;$B$3,Detalle_Pagos!$B$5:$B$2004,"&lt;="&amp;$B$4))</f>
        <v/>
      </c>
      <c r="C186" s="29" t="str">
        <f>IF(A186="","",SUMIFS(Detalle_Pagos!$I$5:$I$2004,Detalle_Pagos!$E$5:$E$2004,A186,Detalle_Pagos!$J$5:$J$2004,"Si",Detalle_Pagos!$B$5:$B$2004,"&gt;="&amp;$B$3,Detalle_Pagos!$B$5:$B$2004,"&lt;="&amp;$B$4))</f>
        <v/>
      </c>
      <c r="D186" s="29" t="str">
        <f>IF(A186="","",SUMIFS(Detalle_Pagos!$I$5:$I$2004,Detalle_Pagos!$E$5:$E$2004,A186,Detalle_Pagos!$J$5:$J$2004,"No",Detalle_Pagos!$B$5:$B$2004,"&gt;="&amp;$B$3,Detalle_Pagos!$B$5:$B$2004,"&lt;="&amp;$B$4))</f>
        <v/>
      </c>
      <c r="E186" t="str">
        <f>IF(A186="","",COUNTIFS(Detalle_Pagos!$E$5:$E$2004,A186,Detalle_Pagos!$J$5:$J$2004,"No",Detalle_Pagos!$B$5:$B$2004,"&gt;="&amp;$B$3,Detalle_Pagos!$B$5:$B$2004,"&lt;="&amp;$B$4))</f>
        <v/>
      </c>
      <c r="F186" t="str">
        <f>IF(A186="","",COUNTIFS(Detalle_Pagos!$E$5:$E$2004,A186,Detalle_Pagos!$J$5:$J$2004,"Si",Detalle_Pagos!$B$5:$B$2004,"&gt;="&amp;$B$3,Detalle_Pagos!$B$5:$B$2004,"&lt;="&amp;$B$4))</f>
        <v/>
      </c>
      <c r="G186" s="29" t="str">
        <f>IF(A186="","",E186*IFERROR(INDEX(Trabajadores!$D$5:$D$204,MATCH(A186,Trabajadores!$B$5:$B$204,0)),0))</f>
        <v/>
      </c>
      <c r="H186" s="29" t="str">
        <f t="shared" si="10"/>
        <v/>
      </c>
      <c r="I186" s="29" t="str">
        <f t="shared" si="11"/>
        <v/>
      </c>
    </row>
    <row r="187" spans="1:9" x14ac:dyDescent="0.3">
      <c r="A187" t="str">
        <f>IF(Trabajadores!B184="","",Trabajadores!B184)</f>
        <v/>
      </c>
      <c r="B187" t="str">
        <f>IF(A187="","",COUNTIFS(Detalle_Pagos!$E$5:$E$2004,A187,Detalle_Pagos!$B$5:$B$2004,"&gt;="&amp;$B$3,Detalle_Pagos!$B$5:$B$2004,"&lt;="&amp;$B$4))</f>
        <v/>
      </c>
      <c r="C187" s="29" t="str">
        <f>IF(A187="","",SUMIFS(Detalle_Pagos!$I$5:$I$2004,Detalle_Pagos!$E$5:$E$2004,A187,Detalle_Pagos!$J$5:$J$2004,"Si",Detalle_Pagos!$B$5:$B$2004,"&gt;="&amp;$B$3,Detalle_Pagos!$B$5:$B$2004,"&lt;="&amp;$B$4))</f>
        <v/>
      </c>
      <c r="D187" s="29" t="str">
        <f>IF(A187="","",SUMIFS(Detalle_Pagos!$I$5:$I$2004,Detalle_Pagos!$E$5:$E$2004,A187,Detalle_Pagos!$J$5:$J$2004,"No",Detalle_Pagos!$B$5:$B$2004,"&gt;="&amp;$B$3,Detalle_Pagos!$B$5:$B$2004,"&lt;="&amp;$B$4))</f>
        <v/>
      </c>
      <c r="E187" t="str">
        <f>IF(A187="","",COUNTIFS(Detalle_Pagos!$E$5:$E$2004,A187,Detalle_Pagos!$J$5:$J$2004,"No",Detalle_Pagos!$B$5:$B$2004,"&gt;="&amp;$B$3,Detalle_Pagos!$B$5:$B$2004,"&lt;="&amp;$B$4))</f>
        <v/>
      </c>
      <c r="F187" t="str">
        <f>IF(A187="","",COUNTIFS(Detalle_Pagos!$E$5:$E$2004,A187,Detalle_Pagos!$J$5:$J$2004,"Si",Detalle_Pagos!$B$5:$B$2004,"&gt;="&amp;$B$3,Detalle_Pagos!$B$5:$B$2004,"&lt;="&amp;$B$4))</f>
        <v/>
      </c>
      <c r="G187" s="29" t="str">
        <f>IF(A187="","",E187*IFERROR(INDEX(Trabajadores!$D$5:$D$204,MATCH(A187,Trabajadores!$B$5:$B$204,0)),0))</f>
        <v/>
      </c>
      <c r="H187" s="29" t="str">
        <f t="shared" si="10"/>
        <v/>
      </c>
      <c r="I187" s="29" t="str">
        <f t="shared" si="11"/>
        <v/>
      </c>
    </row>
    <row r="188" spans="1:9" x14ac:dyDescent="0.3">
      <c r="A188" t="str">
        <f>IF(Trabajadores!B185="","",Trabajadores!B185)</f>
        <v/>
      </c>
      <c r="B188" t="str">
        <f>IF(A188="","",COUNTIFS(Detalle_Pagos!$E$5:$E$2004,A188,Detalle_Pagos!$B$5:$B$2004,"&gt;="&amp;$B$3,Detalle_Pagos!$B$5:$B$2004,"&lt;="&amp;$B$4))</f>
        <v/>
      </c>
      <c r="C188" s="29" t="str">
        <f>IF(A188="","",SUMIFS(Detalle_Pagos!$I$5:$I$2004,Detalle_Pagos!$E$5:$E$2004,A188,Detalle_Pagos!$J$5:$J$2004,"Si",Detalle_Pagos!$B$5:$B$2004,"&gt;="&amp;$B$3,Detalle_Pagos!$B$5:$B$2004,"&lt;="&amp;$B$4))</f>
        <v/>
      </c>
      <c r="D188" s="29" t="str">
        <f>IF(A188="","",SUMIFS(Detalle_Pagos!$I$5:$I$2004,Detalle_Pagos!$E$5:$E$2004,A188,Detalle_Pagos!$J$5:$J$2004,"No",Detalle_Pagos!$B$5:$B$2004,"&gt;="&amp;$B$3,Detalle_Pagos!$B$5:$B$2004,"&lt;="&amp;$B$4))</f>
        <v/>
      </c>
      <c r="E188" t="str">
        <f>IF(A188="","",COUNTIFS(Detalle_Pagos!$E$5:$E$2004,A188,Detalle_Pagos!$J$5:$J$2004,"No",Detalle_Pagos!$B$5:$B$2004,"&gt;="&amp;$B$3,Detalle_Pagos!$B$5:$B$2004,"&lt;="&amp;$B$4))</f>
        <v/>
      </c>
      <c r="F188" t="str">
        <f>IF(A188="","",COUNTIFS(Detalle_Pagos!$E$5:$E$2004,A188,Detalle_Pagos!$J$5:$J$2004,"Si",Detalle_Pagos!$B$5:$B$2004,"&gt;="&amp;$B$3,Detalle_Pagos!$B$5:$B$2004,"&lt;="&amp;$B$4))</f>
        <v/>
      </c>
      <c r="G188" s="29" t="str">
        <f>IF(A188="","",E188*IFERROR(INDEX(Trabajadores!$D$5:$D$204,MATCH(A188,Trabajadores!$B$5:$B$204,0)),0))</f>
        <v/>
      </c>
      <c r="H188" s="29" t="str">
        <f t="shared" si="10"/>
        <v/>
      </c>
      <c r="I188" s="29" t="str">
        <f t="shared" si="11"/>
        <v/>
      </c>
    </row>
    <row r="189" spans="1:9" x14ac:dyDescent="0.3">
      <c r="A189" t="str">
        <f>IF(Trabajadores!B186="","",Trabajadores!B186)</f>
        <v/>
      </c>
      <c r="B189" t="str">
        <f>IF(A189="","",COUNTIFS(Detalle_Pagos!$E$5:$E$2004,A189,Detalle_Pagos!$B$5:$B$2004,"&gt;="&amp;$B$3,Detalle_Pagos!$B$5:$B$2004,"&lt;="&amp;$B$4))</f>
        <v/>
      </c>
      <c r="C189" s="29" t="str">
        <f>IF(A189="","",SUMIFS(Detalle_Pagos!$I$5:$I$2004,Detalle_Pagos!$E$5:$E$2004,A189,Detalle_Pagos!$J$5:$J$2004,"Si",Detalle_Pagos!$B$5:$B$2004,"&gt;="&amp;$B$3,Detalle_Pagos!$B$5:$B$2004,"&lt;="&amp;$B$4))</f>
        <v/>
      </c>
      <c r="D189" s="29" t="str">
        <f>IF(A189="","",SUMIFS(Detalle_Pagos!$I$5:$I$2004,Detalle_Pagos!$E$5:$E$2004,A189,Detalle_Pagos!$J$5:$J$2004,"No",Detalle_Pagos!$B$5:$B$2004,"&gt;="&amp;$B$3,Detalle_Pagos!$B$5:$B$2004,"&lt;="&amp;$B$4))</f>
        <v/>
      </c>
      <c r="E189" t="str">
        <f>IF(A189="","",COUNTIFS(Detalle_Pagos!$E$5:$E$2004,A189,Detalle_Pagos!$J$5:$J$2004,"No",Detalle_Pagos!$B$5:$B$2004,"&gt;="&amp;$B$3,Detalle_Pagos!$B$5:$B$2004,"&lt;="&amp;$B$4))</f>
        <v/>
      </c>
      <c r="F189" t="str">
        <f>IF(A189="","",COUNTIFS(Detalle_Pagos!$E$5:$E$2004,A189,Detalle_Pagos!$J$5:$J$2004,"Si",Detalle_Pagos!$B$5:$B$2004,"&gt;="&amp;$B$3,Detalle_Pagos!$B$5:$B$2004,"&lt;="&amp;$B$4))</f>
        <v/>
      </c>
      <c r="G189" s="29" t="str">
        <f>IF(A189="","",E189*IFERROR(INDEX(Trabajadores!$D$5:$D$204,MATCH(A189,Trabajadores!$B$5:$B$204,0)),0))</f>
        <v/>
      </c>
      <c r="H189" s="29" t="str">
        <f t="shared" si="10"/>
        <v/>
      </c>
      <c r="I189" s="29" t="str">
        <f t="shared" si="11"/>
        <v/>
      </c>
    </row>
    <row r="190" spans="1:9" x14ac:dyDescent="0.3">
      <c r="A190" t="str">
        <f>IF(Trabajadores!B187="","",Trabajadores!B187)</f>
        <v/>
      </c>
      <c r="B190" t="str">
        <f>IF(A190="","",COUNTIFS(Detalle_Pagos!$E$5:$E$2004,A190,Detalle_Pagos!$B$5:$B$2004,"&gt;="&amp;$B$3,Detalle_Pagos!$B$5:$B$2004,"&lt;="&amp;$B$4))</f>
        <v/>
      </c>
      <c r="C190" s="29" t="str">
        <f>IF(A190="","",SUMIFS(Detalle_Pagos!$I$5:$I$2004,Detalle_Pagos!$E$5:$E$2004,A190,Detalle_Pagos!$J$5:$J$2004,"Si",Detalle_Pagos!$B$5:$B$2004,"&gt;="&amp;$B$3,Detalle_Pagos!$B$5:$B$2004,"&lt;="&amp;$B$4))</f>
        <v/>
      </c>
      <c r="D190" s="29" t="str">
        <f>IF(A190="","",SUMIFS(Detalle_Pagos!$I$5:$I$2004,Detalle_Pagos!$E$5:$E$2004,A190,Detalle_Pagos!$J$5:$J$2004,"No",Detalle_Pagos!$B$5:$B$2004,"&gt;="&amp;$B$3,Detalle_Pagos!$B$5:$B$2004,"&lt;="&amp;$B$4))</f>
        <v/>
      </c>
      <c r="E190" t="str">
        <f>IF(A190="","",COUNTIFS(Detalle_Pagos!$E$5:$E$2004,A190,Detalle_Pagos!$J$5:$J$2004,"No",Detalle_Pagos!$B$5:$B$2004,"&gt;="&amp;$B$3,Detalle_Pagos!$B$5:$B$2004,"&lt;="&amp;$B$4))</f>
        <v/>
      </c>
      <c r="F190" t="str">
        <f>IF(A190="","",COUNTIFS(Detalle_Pagos!$E$5:$E$2004,A190,Detalle_Pagos!$J$5:$J$2004,"Si",Detalle_Pagos!$B$5:$B$2004,"&gt;="&amp;$B$3,Detalle_Pagos!$B$5:$B$2004,"&lt;="&amp;$B$4))</f>
        <v/>
      </c>
      <c r="G190" s="29" t="str">
        <f>IF(A190="","",E190*IFERROR(INDEX(Trabajadores!$D$5:$D$204,MATCH(A190,Trabajadores!$B$5:$B$204,0)),0))</f>
        <v/>
      </c>
      <c r="H190" s="29" t="str">
        <f t="shared" si="10"/>
        <v/>
      </c>
      <c r="I190" s="29" t="str">
        <f t="shared" si="11"/>
        <v/>
      </c>
    </row>
    <row r="191" spans="1:9" x14ac:dyDescent="0.3">
      <c r="A191" t="str">
        <f>IF(Trabajadores!B188="","",Trabajadores!B188)</f>
        <v/>
      </c>
      <c r="B191" t="str">
        <f>IF(A191="","",COUNTIFS(Detalle_Pagos!$E$5:$E$2004,A191,Detalle_Pagos!$B$5:$B$2004,"&gt;="&amp;$B$3,Detalle_Pagos!$B$5:$B$2004,"&lt;="&amp;$B$4))</f>
        <v/>
      </c>
      <c r="C191" s="29" t="str">
        <f>IF(A191="","",SUMIFS(Detalle_Pagos!$I$5:$I$2004,Detalle_Pagos!$E$5:$E$2004,A191,Detalle_Pagos!$J$5:$J$2004,"Si",Detalle_Pagos!$B$5:$B$2004,"&gt;="&amp;$B$3,Detalle_Pagos!$B$5:$B$2004,"&lt;="&amp;$B$4))</f>
        <v/>
      </c>
      <c r="D191" s="29" t="str">
        <f>IF(A191="","",SUMIFS(Detalle_Pagos!$I$5:$I$2004,Detalle_Pagos!$E$5:$E$2004,A191,Detalle_Pagos!$J$5:$J$2004,"No",Detalle_Pagos!$B$5:$B$2004,"&gt;="&amp;$B$3,Detalle_Pagos!$B$5:$B$2004,"&lt;="&amp;$B$4))</f>
        <v/>
      </c>
      <c r="E191" t="str">
        <f>IF(A191="","",COUNTIFS(Detalle_Pagos!$E$5:$E$2004,A191,Detalle_Pagos!$J$5:$J$2004,"No",Detalle_Pagos!$B$5:$B$2004,"&gt;="&amp;$B$3,Detalle_Pagos!$B$5:$B$2004,"&lt;="&amp;$B$4))</f>
        <v/>
      </c>
      <c r="F191" t="str">
        <f>IF(A191="","",COUNTIFS(Detalle_Pagos!$E$5:$E$2004,A191,Detalle_Pagos!$J$5:$J$2004,"Si",Detalle_Pagos!$B$5:$B$2004,"&gt;="&amp;$B$3,Detalle_Pagos!$B$5:$B$2004,"&lt;="&amp;$B$4))</f>
        <v/>
      </c>
      <c r="G191" s="29" t="str">
        <f>IF(A191="","",E191*IFERROR(INDEX(Trabajadores!$D$5:$D$204,MATCH(A191,Trabajadores!$B$5:$B$204,0)),0))</f>
        <v/>
      </c>
      <c r="H191" s="29" t="str">
        <f t="shared" si="10"/>
        <v/>
      </c>
      <c r="I191" s="29" t="str">
        <f t="shared" si="11"/>
        <v/>
      </c>
    </row>
    <row r="192" spans="1:9" x14ac:dyDescent="0.3">
      <c r="A192" t="str">
        <f>IF(Trabajadores!B189="","",Trabajadores!B189)</f>
        <v/>
      </c>
      <c r="B192" t="str">
        <f>IF(A192="","",COUNTIFS(Detalle_Pagos!$E$5:$E$2004,A192,Detalle_Pagos!$B$5:$B$2004,"&gt;="&amp;$B$3,Detalle_Pagos!$B$5:$B$2004,"&lt;="&amp;$B$4))</f>
        <v/>
      </c>
      <c r="C192" s="29" t="str">
        <f>IF(A192="","",SUMIFS(Detalle_Pagos!$I$5:$I$2004,Detalle_Pagos!$E$5:$E$2004,A192,Detalle_Pagos!$J$5:$J$2004,"Si",Detalle_Pagos!$B$5:$B$2004,"&gt;="&amp;$B$3,Detalle_Pagos!$B$5:$B$2004,"&lt;="&amp;$B$4))</f>
        <v/>
      </c>
      <c r="D192" s="29" t="str">
        <f>IF(A192="","",SUMIFS(Detalle_Pagos!$I$5:$I$2004,Detalle_Pagos!$E$5:$E$2004,A192,Detalle_Pagos!$J$5:$J$2004,"No",Detalle_Pagos!$B$5:$B$2004,"&gt;="&amp;$B$3,Detalle_Pagos!$B$5:$B$2004,"&lt;="&amp;$B$4))</f>
        <v/>
      </c>
      <c r="E192" t="str">
        <f>IF(A192="","",COUNTIFS(Detalle_Pagos!$E$5:$E$2004,A192,Detalle_Pagos!$J$5:$J$2004,"No",Detalle_Pagos!$B$5:$B$2004,"&gt;="&amp;$B$3,Detalle_Pagos!$B$5:$B$2004,"&lt;="&amp;$B$4))</f>
        <v/>
      </c>
      <c r="F192" t="str">
        <f>IF(A192="","",COUNTIFS(Detalle_Pagos!$E$5:$E$2004,A192,Detalle_Pagos!$J$5:$J$2004,"Si",Detalle_Pagos!$B$5:$B$2004,"&gt;="&amp;$B$3,Detalle_Pagos!$B$5:$B$2004,"&lt;="&amp;$B$4))</f>
        <v/>
      </c>
      <c r="G192" s="29" t="str">
        <f>IF(A192="","",E192*IFERROR(INDEX(Trabajadores!$D$5:$D$204,MATCH(A192,Trabajadores!$B$5:$B$204,0)),0))</f>
        <v/>
      </c>
      <c r="H192" s="29" t="str">
        <f t="shared" si="10"/>
        <v/>
      </c>
      <c r="I192" s="29" t="str">
        <f t="shared" si="11"/>
        <v/>
      </c>
    </row>
    <row r="193" spans="1:9" x14ac:dyDescent="0.3">
      <c r="A193" t="str">
        <f>IF(Trabajadores!B190="","",Trabajadores!B190)</f>
        <v/>
      </c>
      <c r="B193" t="str">
        <f>IF(A193="","",COUNTIFS(Detalle_Pagos!$E$5:$E$2004,A193,Detalle_Pagos!$B$5:$B$2004,"&gt;="&amp;$B$3,Detalle_Pagos!$B$5:$B$2004,"&lt;="&amp;$B$4))</f>
        <v/>
      </c>
      <c r="C193" s="29" t="str">
        <f>IF(A193="","",SUMIFS(Detalle_Pagos!$I$5:$I$2004,Detalle_Pagos!$E$5:$E$2004,A193,Detalle_Pagos!$J$5:$J$2004,"Si",Detalle_Pagos!$B$5:$B$2004,"&gt;="&amp;$B$3,Detalle_Pagos!$B$5:$B$2004,"&lt;="&amp;$B$4))</f>
        <v/>
      </c>
      <c r="D193" s="29" t="str">
        <f>IF(A193="","",SUMIFS(Detalle_Pagos!$I$5:$I$2004,Detalle_Pagos!$E$5:$E$2004,A193,Detalle_Pagos!$J$5:$J$2004,"No",Detalle_Pagos!$B$5:$B$2004,"&gt;="&amp;$B$3,Detalle_Pagos!$B$5:$B$2004,"&lt;="&amp;$B$4))</f>
        <v/>
      </c>
      <c r="E193" t="str">
        <f>IF(A193="","",COUNTIFS(Detalle_Pagos!$E$5:$E$2004,A193,Detalle_Pagos!$J$5:$J$2004,"No",Detalle_Pagos!$B$5:$B$2004,"&gt;="&amp;$B$3,Detalle_Pagos!$B$5:$B$2004,"&lt;="&amp;$B$4))</f>
        <v/>
      </c>
      <c r="F193" t="str">
        <f>IF(A193="","",COUNTIFS(Detalle_Pagos!$E$5:$E$2004,A193,Detalle_Pagos!$J$5:$J$2004,"Si",Detalle_Pagos!$B$5:$B$2004,"&gt;="&amp;$B$3,Detalle_Pagos!$B$5:$B$2004,"&lt;="&amp;$B$4))</f>
        <v/>
      </c>
      <c r="G193" s="29" t="str">
        <f>IF(A193="","",E193*IFERROR(INDEX(Trabajadores!$D$5:$D$204,MATCH(A193,Trabajadores!$B$5:$B$204,0)),0))</f>
        <v/>
      </c>
      <c r="H193" s="29" t="str">
        <f t="shared" si="10"/>
        <v/>
      </c>
      <c r="I193" s="29" t="str">
        <f t="shared" si="11"/>
        <v/>
      </c>
    </row>
    <row r="194" spans="1:9" x14ac:dyDescent="0.3">
      <c r="A194" t="str">
        <f>IF(Trabajadores!B191="","",Trabajadores!B191)</f>
        <v/>
      </c>
      <c r="B194" t="str">
        <f>IF(A194="","",COUNTIFS(Detalle_Pagos!$E$5:$E$2004,A194,Detalle_Pagos!$B$5:$B$2004,"&gt;="&amp;$B$3,Detalle_Pagos!$B$5:$B$2004,"&lt;="&amp;$B$4))</f>
        <v/>
      </c>
      <c r="C194" s="29" t="str">
        <f>IF(A194="","",SUMIFS(Detalle_Pagos!$I$5:$I$2004,Detalle_Pagos!$E$5:$E$2004,A194,Detalle_Pagos!$J$5:$J$2004,"Si",Detalle_Pagos!$B$5:$B$2004,"&gt;="&amp;$B$3,Detalle_Pagos!$B$5:$B$2004,"&lt;="&amp;$B$4))</f>
        <v/>
      </c>
      <c r="D194" s="29" t="str">
        <f>IF(A194="","",SUMIFS(Detalle_Pagos!$I$5:$I$2004,Detalle_Pagos!$E$5:$E$2004,A194,Detalle_Pagos!$J$5:$J$2004,"No",Detalle_Pagos!$B$5:$B$2004,"&gt;="&amp;$B$3,Detalle_Pagos!$B$5:$B$2004,"&lt;="&amp;$B$4))</f>
        <v/>
      </c>
      <c r="E194" t="str">
        <f>IF(A194="","",COUNTIFS(Detalle_Pagos!$E$5:$E$2004,A194,Detalle_Pagos!$J$5:$J$2004,"No",Detalle_Pagos!$B$5:$B$2004,"&gt;="&amp;$B$3,Detalle_Pagos!$B$5:$B$2004,"&lt;="&amp;$B$4))</f>
        <v/>
      </c>
      <c r="F194" t="str">
        <f>IF(A194="","",COUNTIFS(Detalle_Pagos!$E$5:$E$2004,A194,Detalle_Pagos!$J$5:$J$2004,"Si",Detalle_Pagos!$B$5:$B$2004,"&gt;="&amp;$B$3,Detalle_Pagos!$B$5:$B$2004,"&lt;="&amp;$B$4))</f>
        <v/>
      </c>
      <c r="G194" s="29" t="str">
        <f>IF(A194="","",E194*IFERROR(INDEX(Trabajadores!$D$5:$D$204,MATCH(A194,Trabajadores!$B$5:$B$204,0)),0))</f>
        <v/>
      </c>
      <c r="H194" s="29" t="str">
        <f t="shared" si="10"/>
        <v/>
      </c>
      <c r="I194" s="29" t="str">
        <f t="shared" si="11"/>
        <v/>
      </c>
    </row>
    <row r="195" spans="1:9" x14ac:dyDescent="0.3">
      <c r="A195" t="str">
        <f>IF(Trabajadores!B192="","",Trabajadores!B192)</f>
        <v/>
      </c>
      <c r="B195" t="str">
        <f>IF(A195="","",COUNTIFS(Detalle_Pagos!$E$5:$E$2004,A195,Detalle_Pagos!$B$5:$B$2004,"&gt;="&amp;$B$3,Detalle_Pagos!$B$5:$B$2004,"&lt;="&amp;$B$4))</f>
        <v/>
      </c>
      <c r="C195" s="29" t="str">
        <f>IF(A195="","",SUMIFS(Detalle_Pagos!$I$5:$I$2004,Detalle_Pagos!$E$5:$E$2004,A195,Detalle_Pagos!$J$5:$J$2004,"Si",Detalle_Pagos!$B$5:$B$2004,"&gt;="&amp;$B$3,Detalle_Pagos!$B$5:$B$2004,"&lt;="&amp;$B$4))</f>
        <v/>
      </c>
      <c r="D195" s="29" t="str">
        <f>IF(A195="","",SUMIFS(Detalle_Pagos!$I$5:$I$2004,Detalle_Pagos!$E$5:$E$2004,A195,Detalle_Pagos!$J$5:$J$2004,"No",Detalle_Pagos!$B$5:$B$2004,"&gt;="&amp;$B$3,Detalle_Pagos!$B$5:$B$2004,"&lt;="&amp;$B$4))</f>
        <v/>
      </c>
      <c r="E195" t="str">
        <f>IF(A195="","",COUNTIFS(Detalle_Pagos!$E$5:$E$2004,A195,Detalle_Pagos!$J$5:$J$2004,"No",Detalle_Pagos!$B$5:$B$2004,"&gt;="&amp;$B$3,Detalle_Pagos!$B$5:$B$2004,"&lt;="&amp;$B$4))</f>
        <v/>
      </c>
      <c r="F195" t="str">
        <f>IF(A195="","",COUNTIFS(Detalle_Pagos!$E$5:$E$2004,A195,Detalle_Pagos!$J$5:$J$2004,"Si",Detalle_Pagos!$B$5:$B$2004,"&gt;="&amp;$B$3,Detalle_Pagos!$B$5:$B$2004,"&lt;="&amp;$B$4))</f>
        <v/>
      </c>
      <c r="G195" s="29" t="str">
        <f>IF(A195="","",E195*IFERROR(INDEX(Trabajadores!$D$5:$D$204,MATCH(A195,Trabajadores!$B$5:$B$204,0)),0))</f>
        <v/>
      </c>
      <c r="H195" s="29" t="str">
        <f t="shared" si="10"/>
        <v/>
      </c>
      <c r="I195" s="29" t="str">
        <f t="shared" si="11"/>
        <v/>
      </c>
    </row>
    <row r="196" spans="1:9" x14ac:dyDescent="0.3">
      <c r="A196" t="str">
        <f>IF(Trabajadores!B193="","",Trabajadores!B193)</f>
        <v/>
      </c>
      <c r="B196" t="str">
        <f>IF(A196="","",COUNTIFS(Detalle_Pagos!$E$5:$E$2004,A196,Detalle_Pagos!$B$5:$B$2004,"&gt;="&amp;$B$3,Detalle_Pagos!$B$5:$B$2004,"&lt;="&amp;$B$4))</f>
        <v/>
      </c>
      <c r="C196" s="29" t="str">
        <f>IF(A196="","",SUMIFS(Detalle_Pagos!$I$5:$I$2004,Detalle_Pagos!$E$5:$E$2004,A196,Detalle_Pagos!$J$5:$J$2004,"Si",Detalle_Pagos!$B$5:$B$2004,"&gt;="&amp;$B$3,Detalle_Pagos!$B$5:$B$2004,"&lt;="&amp;$B$4))</f>
        <v/>
      </c>
      <c r="D196" s="29" t="str">
        <f>IF(A196="","",SUMIFS(Detalle_Pagos!$I$5:$I$2004,Detalle_Pagos!$E$5:$E$2004,A196,Detalle_Pagos!$J$5:$J$2004,"No",Detalle_Pagos!$B$5:$B$2004,"&gt;="&amp;$B$3,Detalle_Pagos!$B$5:$B$2004,"&lt;="&amp;$B$4))</f>
        <v/>
      </c>
      <c r="E196" t="str">
        <f>IF(A196="","",COUNTIFS(Detalle_Pagos!$E$5:$E$2004,A196,Detalle_Pagos!$J$5:$J$2004,"No",Detalle_Pagos!$B$5:$B$2004,"&gt;="&amp;$B$3,Detalle_Pagos!$B$5:$B$2004,"&lt;="&amp;$B$4))</f>
        <v/>
      </c>
      <c r="F196" t="str">
        <f>IF(A196="","",COUNTIFS(Detalle_Pagos!$E$5:$E$2004,A196,Detalle_Pagos!$J$5:$J$2004,"Si",Detalle_Pagos!$B$5:$B$2004,"&gt;="&amp;$B$3,Detalle_Pagos!$B$5:$B$2004,"&lt;="&amp;$B$4))</f>
        <v/>
      </c>
      <c r="G196" s="29" t="str">
        <f>IF(A196="","",E196*IFERROR(INDEX(Trabajadores!$D$5:$D$204,MATCH(A196,Trabajadores!$B$5:$B$204,0)),0))</f>
        <v/>
      </c>
      <c r="H196" s="29" t="str">
        <f t="shared" si="10"/>
        <v/>
      </c>
      <c r="I196" s="29" t="str">
        <f t="shared" si="11"/>
        <v/>
      </c>
    </row>
    <row r="197" spans="1:9" x14ac:dyDescent="0.3">
      <c r="A197" t="str">
        <f>IF(Trabajadores!B194="","",Trabajadores!B194)</f>
        <v/>
      </c>
      <c r="B197" t="str">
        <f>IF(A197="","",COUNTIFS(Detalle_Pagos!$E$5:$E$2004,A197,Detalle_Pagos!$B$5:$B$2004,"&gt;="&amp;$B$3,Detalle_Pagos!$B$5:$B$2004,"&lt;="&amp;$B$4))</f>
        <v/>
      </c>
      <c r="C197" s="29" t="str">
        <f>IF(A197="","",SUMIFS(Detalle_Pagos!$I$5:$I$2004,Detalle_Pagos!$E$5:$E$2004,A197,Detalle_Pagos!$J$5:$J$2004,"Si",Detalle_Pagos!$B$5:$B$2004,"&gt;="&amp;$B$3,Detalle_Pagos!$B$5:$B$2004,"&lt;="&amp;$B$4))</f>
        <v/>
      </c>
      <c r="D197" s="29" t="str">
        <f>IF(A197="","",SUMIFS(Detalle_Pagos!$I$5:$I$2004,Detalle_Pagos!$E$5:$E$2004,A197,Detalle_Pagos!$J$5:$J$2004,"No",Detalle_Pagos!$B$5:$B$2004,"&gt;="&amp;$B$3,Detalle_Pagos!$B$5:$B$2004,"&lt;="&amp;$B$4))</f>
        <v/>
      </c>
      <c r="E197" t="str">
        <f>IF(A197="","",COUNTIFS(Detalle_Pagos!$E$5:$E$2004,A197,Detalle_Pagos!$J$5:$J$2004,"No",Detalle_Pagos!$B$5:$B$2004,"&gt;="&amp;$B$3,Detalle_Pagos!$B$5:$B$2004,"&lt;="&amp;$B$4))</f>
        <v/>
      </c>
      <c r="F197" t="str">
        <f>IF(A197="","",COUNTIFS(Detalle_Pagos!$E$5:$E$2004,A197,Detalle_Pagos!$J$5:$J$2004,"Si",Detalle_Pagos!$B$5:$B$2004,"&gt;="&amp;$B$3,Detalle_Pagos!$B$5:$B$2004,"&lt;="&amp;$B$4))</f>
        <v/>
      </c>
      <c r="G197" s="29" t="str">
        <f>IF(A197="","",E197*IFERROR(INDEX(Trabajadores!$D$5:$D$204,MATCH(A197,Trabajadores!$B$5:$B$204,0)),0))</f>
        <v/>
      </c>
      <c r="H197" s="29" t="str">
        <f t="shared" si="10"/>
        <v/>
      </c>
      <c r="I197" s="29" t="str">
        <f t="shared" si="11"/>
        <v/>
      </c>
    </row>
    <row r="198" spans="1:9" x14ac:dyDescent="0.3">
      <c r="A198" t="str">
        <f>IF(Trabajadores!B195="","",Trabajadores!B195)</f>
        <v/>
      </c>
      <c r="B198" t="str">
        <f>IF(A198="","",COUNTIFS(Detalle_Pagos!$E$5:$E$2004,A198,Detalle_Pagos!$B$5:$B$2004,"&gt;="&amp;$B$3,Detalle_Pagos!$B$5:$B$2004,"&lt;="&amp;$B$4))</f>
        <v/>
      </c>
      <c r="C198" s="29" t="str">
        <f>IF(A198="","",SUMIFS(Detalle_Pagos!$I$5:$I$2004,Detalle_Pagos!$E$5:$E$2004,A198,Detalle_Pagos!$J$5:$J$2004,"Si",Detalle_Pagos!$B$5:$B$2004,"&gt;="&amp;$B$3,Detalle_Pagos!$B$5:$B$2004,"&lt;="&amp;$B$4))</f>
        <v/>
      </c>
      <c r="D198" s="29" t="str">
        <f>IF(A198="","",SUMIFS(Detalle_Pagos!$I$5:$I$2004,Detalle_Pagos!$E$5:$E$2004,A198,Detalle_Pagos!$J$5:$J$2004,"No",Detalle_Pagos!$B$5:$B$2004,"&gt;="&amp;$B$3,Detalle_Pagos!$B$5:$B$2004,"&lt;="&amp;$B$4))</f>
        <v/>
      </c>
      <c r="E198" t="str">
        <f>IF(A198="","",COUNTIFS(Detalle_Pagos!$E$5:$E$2004,A198,Detalle_Pagos!$J$5:$J$2004,"No",Detalle_Pagos!$B$5:$B$2004,"&gt;="&amp;$B$3,Detalle_Pagos!$B$5:$B$2004,"&lt;="&amp;$B$4))</f>
        <v/>
      </c>
      <c r="F198" t="str">
        <f>IF(A198="","",COUNTIFS(Detalle_Pagos!$E$5:$E$2004,A198,Detalle_Pagos!$J$5:$J$2004,"Si",Detalle_Pagos!$B$5:$B$2004,"&gt;="&amp;$B$3,Detalle_Pagos!$B$5:$B$2004,"&lt;="&amp;$B$4))</f>
        <v/>
      </c>
      <c r="G198" s="29" t="str">
        <f>IF(A198="","",E198*IFERROR(INDEX(Trabajadores!$D$5:$D$204,MATCH(A198,Trabajadores!$B$5:$B$204,0)),0))</f>
        <v/>
      </c>
      <c r="H198" s="29" t="str">
        <f t="shared" si="10"/>
        <v/>
      </c>
      <c r="I198" s="29" t="str">
        <f t="shared" si="11"/>
        <v/>
      </c>
    </row>
    <row r="199" spans="1:9" x14ac:dyDescent="0.3">
      <c r="A199" t="str">
        <f>IF(Trabajadores!B196="","",Trabajadores!B196)</f>
        <v/>
      </c>
      <c r="B199" t="str">
        <f>IF(A199="","",COUNTIFS(Detalle_Pagos!$E$5:$E$2004,A199,Detalle_Pagos!$B$5:$B$2004,"&gt;="&amp;$B$3,Detalle_Pagos!$B$5:$B$2004,"&lt;="&amp;$B$4))</f>
        <v/>
      </c>
      <c r="C199" s="29" t="str">
        <f>IF(A199="","",SUMIFS(Detalle_Pagos!$I$5:$I$2004,Detalle_Pagos!$E$5:$E$2004,A199,Detalle_Pagos!$J$5:$J$2004,"Si",Detalle_Pagos!$B$5:$B$2004,"&gt;="&amp;$B$3,Detalle_Pagos!$B$5:$B$2004,"&lt;="&amp;$B$4))</f>
        <v/>
      </c>
      <c r="D199" s="29" t="str">
        <f>IF(A199="","",SUMIFS(Detalle_Pagos!$I$5:$I$2004,Detalle_Pagos!$E$5:$E$2004,A199,Detalle_Pagos!$J$5:$J$2004,"No",Detalle_Pagos!$B$5:$B$2004,"&gt;="&amp;$B$3,Detalle_Pagos!$B$5:$B$2004,"&lt;="&amp;$B$4))</f>
        <v/>
      </c>
      <c r="E199" t="str">
        <f>IF(A199="","",COUNTIFS(Detalle_Pagos!$E$5:$E$2004,A199,Detalle_Pagos!$J$5:$J$2004,"No",Detalle_Pagos!$B$5:$B$2004,"&gt;="&amp;$B$3,Detalle_Pagos!$B$5:$B$2004,"&lt;="&amp;$B$4))</f>
        <v/>
      </c>
      <c r="F199" t="str">
        <f>IF(A199="","",COUNTIFS(Detalle_Pagos!$E$5:$E$2004,A199,Detalle_Pagos!$J$5:$J$2004,"Si",Detalle_Pagos!$B$5:$B$2004,"&gt;="&amp;$B$3,Detalle_Pagos!$B$5:$B$2004,"&lt;="&amp;$B$4))</f>
        <v/>
      </c>
      <c r="G199" s="29" t="str">
        <f>IF(A199="","",E199*IFERROR(INDEX(Trabajadores!$D$5:$D$204,MATCH(A199,Trabajadores!$B$5:$B$204,0)),0))</f>
        <v/>
      </c>
      <c r="H199" s="29" t="str">
        <f t="shared" si="10"/>
        <v/>
      </c>
      <c r="I199" s="29" t="str">
        <f t="shared" si="11"/>
        <v/>
      </c>
    </row>
    <row r="200" spans="1:9" x14ac:dyDescent="0.3">
      <c r="A200" t="str">
        <f>IF(Trabajadores!B197="","",Trabajadores!B197)</f>
        <v/>
      </c>
      <c r="B200" t="str">
        <f>IF(A200="","",COUNTIFS(Detalle_Pagos!$E$5:$E$2004,A200,Detalle_Pagos!$B$5:$B$2004,"&gt;="&amp;$B$3,Detalle_Pagos!$B$5:$B$2004,"&lt;="&amp;$B$4))</f>
        <v/>
      </c>
      <c r="C200" s="29" t="str">
        <f>IF(A200="","",SUMIFS(Detalle_Pagos!$I$5:$I$2004,Detalle_Pagos!$E$5:$E$2004,A200,Detalle_Pagos!$J$5:$J$2004,"Si",Detalle_Pagos!$B$5:$B$2004,"&gt;="&amp;$B$3,Detalle_Pagos!$B$5:$B$2004,"&lt;="&amp;$B$4))</f>
        <v/>
      </c>
      <c r="D200" s="29" t="str">
        <f>IF(A200="","",SUMIFS(Detalle_Pagos!$I$5:$I$2004,Detalle_Pagos!$E$5:$E$2004,A200,Detalle_Pagos!$J$5:$J$2004,"No",Detalle_Pagos!$B$5:$B$2004,"&gt;="&amp;$B$3,Detalle_Pagos!$B$5:$B$2004,"&lt;="&amp;$B$4))</f>
        <v/>
      </c>
      <c r="E200" t="str">
        <f>IF(A200="","",COUNTIFS(Detalle_Pagos!$E$5:$E$2004,A200,Detalle_Pagos!$J$5:$J$2004,"No",Detalle_Pagos!$B$5:$B$2004,"&gt;="&amp;$B$3,Detalle_Pagos!$B$5:$B$2004,"&lt;="&amp;$B$4))</f>
        <v/>
      </c>
      <c r="F200" t="str">
        <f>IF(A200="","",COUNTIFS(Detalle_Pagos!$E$5:$E$2004,A200,Detalle_Pagos!$J$5:$J$2004,"Si",Detalle_Pagos!$B$5:$B$2004,"&gt;="&amp;$B$3,Detalle_Pagos!$B$5:$B$2004,"&lt;="&amp;$B$4))</f>
        <v/>
      </c>
      <c r="G200" s="29" t="str">
        <f>IF(A200="","",E200*IFERROR(INDEX(Trabajadores!$D$5:$D$204,MATCH(A200,Trabajadores!$B$5:$B$204,0)),0))</f>
        <v/>
      </c>
      <c r="H200" s="29" t="str">
        <f t="shared" ref="H200:H231" si="12">IF(A200="","",D200+G200)</f>
        <v/>
      </c>
      <c r="I200" s="29" t="str">
        <f t="shared" ref="I200:I207" si="13">IF(A200="","",C200+D200)</f>
        <v/>
      </c>
    </row>
    <row r="201" spans="1:9" x14ac:dyDescent="0.3">
      <c r="A201" t="str">
        <f>IF(Trabajadores!B198="","",Trabajadores!B198)</f>
        <v/>
      </c>
      <c r="B201" t="str">
        <f>IF(A201="","",COUNTIFS(Detalle_Pagos!$E$5:$E$2004,A201,Detalle_Pagos!$B$5:$B$2004,"&gt;="&amp;$B$3,Detalle_Pagos!$B$5:$B$2004,"&lt;="&amp;$B$4))</f>
        <v/>
      </c>
      <c r="C201" s="29" t="str">
        <f>IF(A201="","",SUMIFS(Detalle_Pagos!$I$5:$I$2004,Detalle_Pagos!$E$5:$E$2004,A201,Detalle_Pagos!$J$5:$J$2004,"Si",Detalle_Pagos!$B$5:$B$2004,"&gt;="&amp;$B$3,Detalle_Pagos!$B$5:$B$2004,"&lt;="&amp;$B$4))</f>
        <v/>
      </c>
      <c r="D201" s="29" t="str">
        <f>IF(A201="","",SUMIFS(Detalle_Pagos!$I$5:$I$2004,Detalle_Pagos!$E$5:$E$2004,A201,Detalle_Pagos!$J$5:$J$2004,"No",Detalle_Pagos!$B$5:$B$2004,"&gt;="&amp;$B$3,Detalle_Pagos!$B$5:$B$2004,"&lt;="&amp;$B$4))</f>
        <v/>
      </c>
      <c r="E201" t="str">
        <f>IF(A201="","",COUNTIFS(Detalle_Pagos!$E$5:$E$2004,A201,Detalle_Pagos!$J$5:$J$2004,"No",Detalle_Pagos!$B$5:$B$2004,"&gt;="&amp;$B$3,Detalle_Pagos!$B$5:$B$2004,"&lt;="&amp;$B$4))</f>
        <v/>
      </c>
      <c r="F201" t="str">
        <f>IF(A201="","",COUNTIFS(Detalle_Pagos!$E$5:$E$2004,A201,Detalle_Pagos!$J$5:$J$2004,"Si",Detalle_Pagos!$B$5:$B$2004,"&gt;="&amp;$B$3,Detalle_Pagos!$B$5:$B$2004,"&lt;="&amp;$B$4))</f>
        <v/>
      </c>
      <c r="G201" s="29" t="str">
        <f>IF(A201="","",E201*IFERROR(INDEX(Trabajadores!$D$5:$D$204,MATCH(A201,Trabajadores!$B$5:$B$204,0)),0))</f>
        <v/>
      </c>
      <c r="H201" s="29" t="str">
        <f t="shared" si="12"/>
        <v/>
      </c>
      <c r="I201" s="29" t="str">
        <f t="shared" si="13"/>
        <v/>
      </c>
    </row>
    <row r="202" spans="1:9" x14ac:dyDescent="0.3">
      <c r="A202" t="str">
        <f>IF(Trabajadores!B199="","",Trabajadores!B199)</f>
        <v/>
      </c>
      <c r="B202" t="str">
        <f>IF(A202="","",COUNTIFS(Detalle_Pagos!$E$5:$E$2004,A202,Detalle_Pagos!$B$5:$B$2004,"&gt;="&amp;$B$3,Detalle_Pagos!$B$5:$B$2004,"&lt;="&amp;$B$4))</f>
        <v/>
      </c>
      <c r="C202" s="29" t="str">
        <f>IF(A202="","",SUMIFS(Detalle_Pagos!$I$5:$I$2004,Detalle_Pagos!$E$5:$E$2004,A202,Detalle_Pagos!$J$5:$J$2004,"Si",Detalle_Pagos!$B$5:$B$2004,"&gt;="&amp;$B$3,Detalle_Pagos!$B$5:$B$2004,"&lt;="&amp;$B$4))</f>
        <v/>
      </c>
      <c r="D202" s="29" t="str">
        <f>IF(A202="","",SUMIFS(Detalle_Pagos!$I$5:$I$2004,Detalle_Pagos!$E$5:$E$2004,A202,Detalle_Pagos!$J$5:$J$2004,"No",Detalle_Pagos!$B$5:$B$2004,"&gt;="&amp;$B$3,Detalle_Pagos!$B$5:$B$2004,"&lt;="&amp;$B$4))</f>
        <v/>
      </c>
      <c r="E202" t="str">
        <f>IF(A202="","",COUNTIFS(Detalle_Pagos!$E$5:$E$2004,A202,Detalle_Pagos!$J$5:$J$2004,"No",Detalle_Pagos!$B$5:$B$2004,"&gt;="&amp;$B$3,Detalle_Pagos!$B$5:$B$2004,"&lt;="&amp;$B$4))</f>
        <v/>
      </c>
      <c r="F202" t="str">
        <f>IF(A202="","",COUNTIFS(Detalle_Pagos!$E$5:$E$2004,A202,Detalle_Pagos!$J$5:$J$2004,"Si",Detalle_Pagos!$B$5:$B$2004,"&gt;="&amp;$B$3,Detalle_Pagos!$B$5:$B$2004,"&lt;="&amp;$B$4))</f>
        <v/>
      </c>
      <c r="G202" s="29" t="str">
        <f>IF(A202="","",E202*IFERROR(INDEX(Trabajadores!$D$5:$D$204,MATCH(A202,Trabajadores!$B$5:$B$204,0)),0))</f>
        <v/>
      </c>
      <c r="H202" s="29" t="str">
        <f t="shared" si="12"/>
        <v/>
      </c>
      <c r="I202" s="29" t="str">
        <f t="shared" si="13"/>
        <v/>
      </c>
    </row>
    <row r="203" spans="1:9" x14ac:dyDescent="0.3">
      <c r="A203" t="str">
        <f>IF(Trabajadores!B200="","",Trabajadores!B200)</f>
        <v/>
      </c>
      <c r="B203" t="str">
        <f>IF(A203="","",COUNTIFS(Detalle_Pagos!$E$5:$E$2004,A203,Detalle_Pagos!$B$5:$B$2004,"&gt;="&amp;$B$3,Detalle_Pagos!$B$5:$B$2004,"&lt;="&amp;$B$4))</f>
        <v/>
      </c>
      <c r="C203" s="29" t="str">
        <f>IF(A203="","",SUMIFS(Detalle_Pagos!$I$5:$I$2004,Detalle_Pagos!$E$5:$E$2004,A203,Detalle_Pagos!$J$5:$J$2004,"Si",Detalle_Pagos!$B$5:$B$2004,"&gt;="&amp;$B$3,Detalle_Pagos!$B$5:$B$2004,"&lt;="&amp;$B$4))</f>
        <v/>
      </c>
      <c r="D203" s="29" t="str">
        <f>IF(A203="","",SUMIFS(Detalle_Pagos!$I$5:$I$2004,Detalle_Pagos!$E$5:$E$2004,A203,Detalle_Pagos!$J$5:$J$2004,"No",Detalle_Pagos!$B$5:$B$2004,"&gt;="&amp;$B$3,Detalle_Pagos!$B$5:$B$2004,"&lt;="&amp;$B$4))</f>
        <v/>
      </c>
      <c r="E203" t="str">
        <f>IF(A203="","",COUNTIFS(Detalle_Pagos!$E$5:$E$2004,A203,Detalle_Pagos!$J$5:$J$2004,"No",Detalle_Pagos!$B$5:$B$2004,"&gt;="&amp;$B$3,Detalle_Pagos!$B$5:$B$2004,"&lt;="&amp;$B$4))</f>
        <v/>
      </c>
      <c r="F203" t="str">
        <f>IF(A203="","",COUNTIFS(Detalle_Pagos!$E$5:$E$2004,A203,Detalle_Pagos!$J$5:$J$2004,"Si",Detalle_Pagos!$B$5:$B$2004,"&gt;="&amp;$B$3,Detalle_Pagos!$B$5:$B$2004,"&lt;="&amp;$B$4))</f>
        <v/>
      </c>
      <c r="G203" s="29" t="str">
        <f>IF(A203="","",E203*IFERROR(INDEX(Trabajadores!$D$5:$D$204,MATCH(A203,Trabajadores!$B$5:$B$204,0)),0))</f>
        <v/>
      </c>
      <c r="H203" s="29" t="str">
        <f t="shared" si="12"/>
        <v/>
      </c>
      <c r="I203" s="29" t="str">
        <f t="shared" si="13"/>
        <v/>
      </c>
    </row>
    <row r="204" spans="1:9" x14ac:dyDescent="0.3">
      <c r="A204" t="str">
        <f>IF(Trabajadores!B201="","",Trabajadores!B201)</f>
        <v/>
      </c>
      <c r="B204" t="str">
        <f>IF(A204="","",COUNTIFS(Detalle_Pagos!$E$5:$E$2004,A204,Detalle_Pagos!$B$5:$B$2004,"&gt;="&amp;$B$3,Detalle_Pagos!$B$5:$B$2004,"&lt;="&amp;$B$4))</f>
        <v/>
      </c>
      <c r="C204" s="29" t="str">
        <f>IF(A204="","",SUMIFS(Detalle_Pagos!$I$5:$I$2004,Detalle_Pagos!$E$5:$E$2004,A204,Detalle_Pagos!$J$5:$J$2004,"Si",Detalle_Pagos!$B$5:$B$2004,"&gt;="&amp;$B$3,Detalle_Pagos!$B$5:$B$2004,"&lt;="&amp;$B$4))</f>
        <v/>
      </c>
      <c r="D204" s="29" t="str">
        <f>IF(A204="","",SUMIFS(Detalle_Pagos!$I$5:$I$2004,Detalle_Pagos!$E$5:$E$2004,A204,Detalle_Pagos!$J$5:$J$2004,"No",Detalle_Pagos!$B$5:$B$2004,"&gt;="&amp;$B$3,Detalle_Pagos!$B$5:$B$2004,"&lt;="&amp;$B$4))</f>
        <v/>
      </c>
      <c r="E204" t="str">
        <f>IF(A204="","",COUNTIFS(Detalle_Pagos!$E$5:$E$2004,A204,Detalle_Pagos!$J$5:$J$2004,"No",Detalle_Pagos!$B$5:$B$2004,"&gt;="&amp;$B$3,Detalle_Pagos!$B$5:$B$2004,"&lt;="&amp;$B$4))</f>
        <v/>
      </c>
      <c r="F204" t="str">
        <f>IF(A204="","",COUNTIFS(Detalle_Pagos!$E$5:$E$2004,A204,Detalle_Pagos!$J$5:$J$2004,"Si",Detalle_Pagos!$B$5:$B$2004,"&gt;="&amp;$B$3,Detalle_Pagos!$B$5:$B$2004,"&lt;="&amp;$B$4))</f>
        <v/>
      </c>
      <c r="G204" s="29" t="str">
        <f>IF(A204="","",E204*IFERROR(INDEX(Trabajadores!$D$5:$D$204,MATCH(A204,Trabajadores!$B$5:$B$204,0)),0))</f>
        <v/>
      </c>
      <c r="H204" s="29" t="str">
        <f t="shared" si="12"/>
        <v/>
      </c>
      <c r="I204" s="29" t="str">
        <f t="shared" si="13"/>
        <v/>
      </c>
    </row>
    <row r="205" spans="1:9" x14ac:dyDescent="0.3">
      <c r="A205" t="str">
        <f>IF(Trabajadores!B202="","",Trabajadores!B202)</f>
        <v/>
      </c>
      <c r="B205" t="str">
        <f>IF(A205="","",COUNTIFS(Detalle_Pagos!$E$5:$E$2004,A205,Detalle_Pagos!$B$5:$B$2004,"&gt;="&amp;$B$3,Detalle_Pagos!$B$5:$B$2004,"&lt;="&amp;$B$4))</f>
        <v/>
      </c>
      <c r="C205" s="29" t="str">
        <f>IF(A205="","",SUMIFS(Detalle_Pagos!$I$5:$I$2004,Detalle_Pagos!$E$5:$E$2004,A205,Detalle_Pagos!$J$5:$J$2004,"Si",Detalle_Pagos!$B$5:$B$2004,"&gt;="&amp;$B$3,Detalle_Pagos!$B$5:$B$2004,"&lt;="&amp;$B$4))</f>
        <v/>
      </c>
      <c r="D205" s="29" t="str">
        <f>IF(A205="","",SUMIFS(Detalle_Pagos!$I$5:$I$2004,Detalle_Pagos!$E$5:$E$2004,A205,Detalle_Pagos!$J$5:$J$2004,"No",Detalle_Pagos!$B$5:$B$2004,"&gt;="&amp;$B$3,Detalle_Pagos!$B$5:$B$2004,"&lt;="&amp;$B$4))</f>
        <v/>
      </c>
      <c r="E205" t="str">
        <f>IF(A205="","",COUNTIFS(Detalle_Pagos!$E$5:$E$2004,A205,Detalle_Pagos!$J$5:$J$2004,"No",Detalle_Pagos!$B$5:$B$2004,"&gt;="&amp;$B$3,Detalle_Pagos!$B$5:$B$2004,"&lt;="&amp;$B$4))</f>
        <v/>
      </c>
      <c r="F205" t="str">
        <f>IF(A205="","",COUNTIFS(Detalle_Pagos!$E$5:$E$2004,A205,Detalle_Pagos!$J$5:$J$2004,"Si",Detalle_Pagos!$B$5:$B$2004,"&gt;="&amp;$B$3,Detalle_Pagos!$B$5:$B$2004,"&lt;="&amp;$B$4))</f>
        <v/>
      </c>
      <c r="G205" s="29" t="str">
        <f>IF(A205="","",E205*IFERROR(INDEX(Trabajadores!$D$5:$D$204,MATCH(A205,Trabajadores!$B$5:$B$204,0)),0))</f>
        <v/>
      </c>
      <c r="H205" s="29" t="str">
        <f t="shared" si="12"/>
        <v/>
      </c>
      <c r="I205" s="29" t="str">
        <f t="shared" si="13"/>
        <v/>
      </c>
    </row>
    <row r="206" spans="1:9" x14ac:dyDescent="0.3">
      <c r="A206" t="str">
        <f>IF(Trabajadores!B203="","",Trabajadores!B203)</f>
        <v/>
      </c>
      <c r="B206" t="str">
        <f>IF(A206="","",COUNTIFS(Detalle_Pagos!$E$5:$E$2004,A206,Detalle_Pagos!$B$5:$B$2004,"&gt;="&amp;$B$3,Detalle_Pagos!$B$5:$B$2004,"&lt;="&amp;$B$4))</f>
        <v/>
      </c>
      <c r="C206" s="29" t="str">
        <f>IF(A206="","",SUMIFS(Detalle_Pagos!$I$5:$I$2004,Detalle_Pagos!$E$5:$E$2004,A206,Detalle_Pagos!$J$5:$J$2004,"Si",Detalle_Pagos!$B$5:$B$2004,"&gt;="&amp;$B$3,Detalle_Pagos!$B$5:$B$2004,"&lt;="&amp;$B$4))</f>
        <v/>
      </c>
      <c r="D206" s="29" t="str">
        <f>IF(A206="","",SUMIFS(Detalle_Pagos!$I$5:$I$2004,Detalle_Pagos!$E$5:$E$2004,A206,Detalle_Pagos!$J$5:$J$2004,"No",Detalle_Pagos!$B$5:$B$2004,"&gt;="&amp;$B$3,Detalle_Pagos!$B$5:$B$2004,"&lt;="&amp;$B$4))</f>
        <v/>
      </c>
      <c r="E206" t="str">
        <f>IF(A206="","",COUNTIFS(Detalle_Pagos!$E$5:$E$2004,A206,Detalle_Pagos!$J$5:$J$2004,"No",Detalle_Pagos!$B$5:$B$2004,"&gt;="&amp;$B$3,Detalle_Pagos!$B$5:$B$2004,"&lt;="&amp;$B$4))</f>
        <v/>
      </c>
      <c r="F206" t="str">
        <f>IF(A206="","",COUNTIFS(Detalle_Pagos!$E$5:$E$2004,A206,Detalle_Pagos!$J$5:$J$2004,"Si",Detalle_Pagos!$B$5:$B$2004,"&gt;="&amp;$B$3,Detalle_Pagos!$B$5:$B$2004,"&lt;="&amp;$B$4))</f>
        <v/>
      </c>
      <c r="G206" s="29" t="str">
        <f>IF(A206="","",E206*IFERROR(INDEX(Trabajadores!$D$5:$D$204,MATCH(A206,Trabajadores!$B$5:$B$204,0)),0))</f>
        <v/>
      </c>
      <c r="H206" s="29" t="str">
        <f t="shared" si="12"/>
        <v/>
      </c>
      <c r="I206" s="29" t="str">
        <f t="shared" si="13"/>
        <v/>
      </c>
    </row>
    <row r="207" spans="1:9" x14ac:dyDescent="0.3">
      <c r="A207" t="str">
        <f>IF(Trabajadores!B204="","",Trabajadores!B204)</f>
        <v/>
      </c>
      <c r="B207" t="str">
        <f>IF(A207="","",COUNTIFS(Detalle_Pagos!$E$5:$E$2004,A207,Detalle_Pagos!$B$5:$B$2004,"&gt;="&amp;$B$3,Detalle_Pagos!$B$5:$B$2004,"&lt;="&amp;$B$4))</f>
        <v/>
      </c>
      <c r="C207" s="29" t="str">
        <f>IF(A207="","",SUMIFS(Detalle_Pagos!$I$5:$I$2004,Detalle_Pagos!$E$5:$E$2004,A207,Detalle_Pagos!$J$5:$J$2004,"Si",Detalle_Pagos!$B$5:$B$2004,"&gt;="&amp;$B$3,Detalle_Pagos!$B$5:$B$2004,"&lt;="&amp;$B$4))</f>
        <v/>
      </c>
      <c r="D207" s="29" t="str">
        <f>IF(A207="","",SUMIFS(Detalle_Pagos!$I$5:$I$2004,Detalle_Pagos!$E$5:$E$2004,A207,Detalle_Pagos!$J$5:$J$2004,"No",Detalle_Pagos!$B$5:$B$2004,"&gt;="&amp;$B$3,Detalle_Pagos!$B$5:$B$2004,"&lt;="&amp;$B$4))</f>
        <v/>
      </c>
      <c r="E207" t="str">
        <f>IF(A207="","",COUNTIFS(Detalle_Pagos!$E$5:$E$2004,A207,Detalle_Pagos!$J$5:$J$2004,"No",Detalle_Pagos!$B$5:$B$2004,"&gt;="&amp;$B$3,Detalle_Pagos!$B$5:$B$2004,"&lt;="&amp;$B$4))</f>
        <v/>
      </c>
      <c r="F207" t="str">
        <f>IF(A207="","",COUNTIFS(Detalle_Pagos!$E$5:$E$2004,A207,Detalle_Pagos!$J$5:$J$2004,"Si",Detalle_Pagos!$B$5:$B$2004,"&gt;="&amp;$B$3,Detalle_Pagos!$B$5:$B$2004,"&lt;="&amp;$B$4))</f>
        <v/>
      </c>
      <c r="G207" s="29" t="str">
        <f>IF(A207="","",E207*IFERROR(INDEX(Trabajadores!$D$5:$D$204,MATCH(A207,Trabajadores!$B$5:$B$204,0)),0))</f>
        <v/>
      </c>
      <c r="H207" s="29" t="str">
        <f t="shared" si="12"/>
        <v/>
      </c>
      <c r="I207" s="29" t="str">
        <f t="shared" si="13"/>
        <v/>
      </c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5"/>
  <sheetViews>
    <sheetView showGridLines="0" workbookViewId="0"/>
  </sheetViews>
  <sheetFormatPr baseColWidth="10" defaultColWidth="8.796875" defaultRowHeight="15.6" x14ac:dyDescent="0.3"/>
  <cols>
    <col min="1" max="1" width="22" customWidth="1"/>
    <col min="2" max="2" width="24" customWidth="1"/>
    <col min="3" max="4" width="18" customWidth="1"/>
    <col min="5" max="5" width="24" customWidth="1"/>
    <col min="8" max="8" width="8" customWidth="1"/>
  </cols>
  <sheetData>
    <row r="1" spans="1:5" x14ac:dyDescent="0.3">
      <c r="A1" s="45" t="s">
        <v>92</v>
      </c>
      <c r="B1" s="44"/>
      <c r="C1" s="44"/>
      <c r="D1" s="44"/>
      <c r="E1" s="44"/>
    </row>
    <row r="2" spans="1:5" x14ac:dyDescent="0.3">
      <c r="A2" s="33"/>
      <c r="B2" s="33"/>
      <c r="C2" s="33"/>
      <c r="D2" s="33"/>
      <c r="E2" s="33"/>
    </row>
    <row r="3" spans="1:5" x14ac:dyDescent="0.3">
      <c r="A3" s="34" t="s">
        <v>93</v>
      </c>
      <c r="B3" s="33">
        <v>41</v>
      </c>
      <c r="C3" s="33"/>
      <c r="D3" s="33"/>
      <c r="E3" s="33"/>
    </row>
    <row r="4" spans="1:5" x14ac:dyDescent="0.3">
      <c r="A4" s="34" t="s">
        <v>94</v>
      </c>
      <c r="B4" s="35">
        <f>IFERROR(INDEX(Maniobras!$B$5:$B$504,MATCH($B$3,Maniobras!$A$5:$A$504,0)),"")</f>
        <v>46147</v>
      </c>
      <c r="C4" s="33"/>
      <c r="D4" s="33"/>
      <c r="E4" s="33"/>
    </row>
    <row r="5" spans="1:5" x14ac:dyDescent="0.3">
      <c r="A5" s="34" t="s">
        <v>95</v>
      </c>
      <c r="B5" s="33" t="str">
        <f>IFERROR(INDEX(Maniobras!$C$5:$C$504,MATCH($B$3,Maniobras!$A$5:$A$504,0)),"")</f>
        <v>5:30-6:30</v>
      </c>
      <c r="C5" s="33"/>
      <c r="D5" s="33"/>
      <c r="E5" s="33"/>
    </row>
    <row r="6" spans="1:5" x14ac:dyDescent="0.3">
      <c r="A6" s="33"/>
      <c r="B6" s="33"/>
      <c r="C6" s="33"/>
      <c r="D6" s="33"/>
      <c r="E6" s="33"/>
    </row>
    <row r="7" spans="1:5" x14ac:dyDescent="0.3">
      <c r="A7" s="34" t="s">
        <v>96</v>
      </c>
      <c r="B7" s="33" t="str">
        <f>IFERROR(INDEX(Maniobras!$D$5:$D$504,MATCH($B$3,Maniobras!$A$5:$A$504,0)),"")</f>
        <v>SORGO</v>
      </c>
      <c r="C7" s="33"/>
      <c r="D7" s="33"/>
      <c r="E7" s="33"/>
    </row>
    <row r="8" spans="1:5" x14ac:dyDescent="0.3">
      <c r="A8" s="34" t="s">
        <v>97</v>
      </c>
      <c r="B8" s="33">
        <f>IFERROR(INDEX(Maniobras!$F$5:$F$504,MATCH($B$3,Maniobras!$A$5:$A$504,0)),"")</f>
        <v>19.5</v>
      </c>
      <c r="C8" s="33"/>
      <c r="D8" s="33"/>
      <c r="E8" s="33"/>
    </row>
    <row r="9" spans="1:5" x14ac:dyDescent="0.3">
      <c r="A9" s="33"/>
      <c r="B9" s="33"/>
      <c r="C9" s="33"/>
      <c r="D9" s="33"/>
      <c r="E9" s="33"/>
    </row>
    <row r="10" spans="1:5" x14ac:dyDescent="0.3">
      <c r="A10" s="33"/>
      <c r="B10" s="33"/>
      <c r="C10" s="33"/>
      <c r="D10" s="33"/>
      <c r="E10" s="33"/>
    </row>
    <row r="11" spans="1:5" x14ac:dyDescent="0.3">
      <c r="A11" s="43" t="s">
        <v>98</v>
      </c>
      <c r="B11" s="44"/>
      <c r="C11" s="44"/>
      <c r="D11" s="44"/>
      <c r="E11" s="44"/>
    </row>
    <row r="12" spans="1:5" x14ac:dyDescent="0.3">
      <c r="A12" s="33"/>
      <c r="B12" s="33"/>
      <c r="C12" s="33"/>
      <c r="D12" s="33"/>
      <c r="E12" s="33"/>
    </row>
    <row r="13" spans="1:5" x14ac:dyDescent="0.3">
      <c r="A13" s="34" t="s">
        <v>99</v>
      </c>
      <c r="B13" s="36">
        <f>IFERROR(INDEX(Maniobras!$G$5:$G$504,MATCH($B$3,Maniobras!$A$5:$A$504,0)),"")</f>
        <v>60</v>
      </c>
      <c r="C13" s="33"/>
      <c r="D13" s="33"/>
      <c r="E13" s="33"/>
    </row>
    <row r="14" spans="1:5" x14ac:dyDescent="0.3">
      <c r="A14" s="34" t="s">
        <v>100</v>
      </c>
      <c r="B14" s="36">
        <f>IFERROR(INDEX(Maniobras!$I$5:$I$504,MATCH($B$3,Maniobras!$A$5:$A$504,0)),"")</f>
        <v>1070</v>
      </c>
      <c r="C14" s="33"/>
      <c r="D14" s="33"/>
      <c r="E14" s="33"/>
    </row>
    <row r="15" spans="1:5" x14ac:dyDescent="0.3">
      <c r="A15" s="34" t="s">
        <v>101</v>
      </c>
      <c r="B15" s="33">
        <f>IFERROR(INDEX(Maniobras!$J$5:$J$504,MATCH($B$3,Maniobras!$A$5:$A$504,0)),"")</f>
        <v>7</v>
      </c>
      <c r="C15" s="33"/>
      <c r="D15" s="33"/>
      <c r="E15" s="33"/>
    </row>
    <row r="16" spans="1:5" x14ac:dyDescent="0.3">
      <c r="A16" s="34" t="s">
        <v>54</v>
      </c>
      <c r="B16" s="36">
        <f>IFERROR(INDEX(Maniobras!$K$5:$K$504,MATCH($B$3,Maniobras!$A$5:$A$504,0)),"")</f>
        <v>152.85714285714286</v>
      </c>
      <c r="C16" s="33"/>
      <c r="D16" s="33"/>
      <c r="E16" s="33"/>
    </row>
    <row r="17" spans="1:5" x14ac:dyDescent="0.3">
      <c r="A17" s="33"/>
      <c r="B17" s="33"/>
      <c r="C17" s="33"/>
      <c r="D17" s="33"/>
      <c r="E17" s="33"/>
    </row>
    <row r="18" spans="1:5" x14ac:dyDescent="0.3">
      <c r="A18" s="33"/>
      <c r="B18" s="33"/>
      <c r="C18" s="33"/>
      <c r="D18" s="33"/>
      <c r="E18" s="33"/>
    </row>
    <row r="19" spans="1:5" x14ac:dyDescent="0.3">
      <c r="A19" s="43" t="s">
        <v>102</v>
      </c>
      <c r="B19" s="44"/>
      <c r="C19" s="44"/>
      <c r="D19" s="44"/>
      <c r="E19" s="44"/>
    </row>
    <row r="20" spans="1:5" x14ac:dyDescent="0.3">
      <c r="A20" s="37" t="s">
        <v>103</v>
      </c>
      <c r="B20" s="37" t="s">
        <v>104</v>
      </c>
      <c r="C20" s="37" t="s">
        <v>105</v>
      </c>
      <c r="D20" s="37" t="s">
        <v>106</v>
      </c>
      <c r="E20" s="37" t="s">
        <v>107</v>
      </c>
    </row>
    <row r="21" spans="1:5" ht="30" customHeight="1" x14ac:dyDescent="0.3">
      <c r="A21" s="38">
        <f>IF(B21="","",ROWS($A$21:A21))</f>
        <v>1</v>
      </c>
      <c r="B21" s="38" t="str">
        <f>IFERROR(INDEX(Detalle_Pagos!$E$5:$E$2004,MATCH(ROWS($A$21:A21),Detalle_Pagos!$M$5:$M$2004,0)),"")</f>
        <v>Carlos Salas</v>
      </c>
      <c r="C21" s="39">
        <f>IF(B21="","",IFERROR(INDEX(Detalle_Pagos!$I$5:$I$2004,MATCH(ROWS($A$21:A21),Detalle_Pagos!$M$5:$M$2004,0)),""))</f>
        <v>150</v>
      </c>
      <c r="D21" s="40" t="str">
        <f>IF(B21="","",IF(IFERROR(INDEX(Detalle_Pagos!$K$5:$K$2004,MATCH(ROWS($A$21:A21),Detalle_Pagos!$M$5:$M$2004,0)),"")=0,"",IFERROR(INDEX(Detalle_Pagos!$K$5:$K$2004,MATCH(ROWS($A$21:A21),Detalle_Pagos!$M$5:$M$2004,0)),"")))</f>
        <v/>
      </c>
      <c r="E21" s="38"/>
    </row>
    <row r="22" spans="1:5" ht="30" customHeight="1" x14ac:dyDescent="0.3">
      <c r="A22" s="38">
        <f>IF(B22="","",ROWS($A$21:A22))</f>
        <v>2</v>
      </c>
      <c r="B22" s="38" t="str">
        <f>IFERROR(INDEX(Detalle_Pagos!$E$5:$E$2004,MATCH(ROWS($A$21:A22),Detalle_Pagos!$M$5:$M$2004,0)),"")</f>
        <v>Juan</v>
      </c>
      <c r="C22" s="39">
        <f>IF(B22="","",IFERROR(INDEX(Detalle_Pagos!$I$5:$I$2004,MATCH(ROWS($A$21:A22),Detalle_Pagos!$M$5:$M$2004,0)),""))</f>
        <v>150</v>
      </c>
      <c r="D22" s="40" t="str">
        <f>IF(B22="","",IF(IFERROR(INDEX(Detalle_Pagos!$K$5:$K$2004,MATCH(ROWS($A$21:A22),Detalle_Pagos!$M$5:$M$2004,0)),"")=0,"",IFERROR(INDEX(Detalle_Pagos!$K$5:$K$2004,MATCH(ROWS($A$21:A22),Detalle_Pagos!$M$5:$M$2004,0)),"")))</f>
        <v/>
      </c>
      <c r="E22" s="38"/>
    </row>
    <row r="23" spans="1:5" ht="30" customHeight="1" x14ac:dyDescent="0.3">
      <c r="A23" s="38">
        <f>IF(B23="","",ROWS($A$21:A23))</f>
        <v>3</v>
      </c>
      <c r="B23" s="38" t="str">
        <f>IFERROR(INDEX(Detalle_Pagos!$E$5:$E$2004,MATCH(ROWS($A$21:A23),Detalle_Pagos!$M$5:$M$2004,0)),"")</f>
        <v>Uriel</v>
      </c>
      <c r="C23" s="39">
        <f>IF(B23="","",IFERROR(INDEX(Detalle_Pagos!$I$5:$I$2004,MATCH(ROWS($A$21:A23),Detalle_Pagos!$M$5:$M$2004,0)),""))</f>
        <v>150</v>
      </c>
      <c r="D23" s="40" t="str">
        <f>IF(B23="","",IF(IFERROR(INDEX(Detalle_Pagos!$K$5:$K$2004,MATCH(ROWS($A$21:A23),Detalle_Pagos!$M$5:$M$2004,0)),"")=0,"",IFERROR(INDEX(Detalle_Pagos!$K$5:$K$2004,MATCH(ROWS($A$21:A23),Detalle_Pagos!$M$5:$M$2004,0)),"")))</f>
        <v/>
      </c>
      <c r="E23" s="38"/>
    </row>
    <row r="24" spans="1:5" ht="30" customHeight="1" x14ac:dyDescent="0.3">
      <c r="A24" s="38">
        <f>IF(B24="","",ROWS($A$21:A24))</f>
        <v>4</v>
      </c>
      <c r="B24" s="38" t="str">
        <f>IFERROR(INDEX(Detalle_Pagos!$E$5:$E$2004,MATCH(ROWS($A$21:A24),Detalle_Pagos!$M$5:$M$2004,0)),"")</f>
        <v>Eliseo</v>
      </c>
      <c r="C24" s="39">
        <f>IF(B24="","",IFERROR(INDEX(Detalle_Pagos!$I$5:$I$2004,MATCH(ROWS($A$21:A24),Detalle_Pagos!$M$5:$M$2004,0)),""))</f>
        <v>150</v>
      </c>
      <c r="D24" s="40" t="str">
        <f>IF(B24="","",IF(IFERROR(INDEX(Detalle_Pagos!$K$5:$K$2004,MATCH(ROWS($A$21:A24),Detalle_Pagos!$M$5:$M$2004,0)),"")=0,"",IFERROR(INDEX(Detalle_Pagos!$K$5:$K$2004,MATCH(ROWS($A$21:A24),Detalle_Pagos!$M$5:$M$2004,0)),"")))</f>
        <v/>
      </c>
      <c r="E24" s="38"/>
    </row>
    <row r="25" spans="1:5" ht="30" customHeight="1" x14ac:dyDescent="0.3">
      <c r="A25" s="38">
        <f>IF(B25="","",ROWS($A$21:A25))</f>
        <v>5</v>
      </c>
      <c r="B25" s="38" t="str">
        <f>IFERROR(INDEX(Detalle_Pagos!$E$5:$E$2004,MATCH(ROWS($A$21:A25),Detalle_Pagos!$M$5:$M$2004,0)),"")</f>
        <v>Marcos</v>
      </c>
      <c r="C25" s="39">
        <f>IF(B25="","",IFERROR(INDEX(Detalle_Pagos!$I$5:$I$2004,MATCH(ROWS($A$21:A25),Detalle_Pagos!$M$5:$M$2004,0)),""))</f>
        <v>150</v>
      </c>
      <c r="D25" s="40" t="str">
        <f>IF(B25="","",IF(IFERROR(INDEX(Detalle_Pagos!$K$5:$K$2004,MATCH(ROWS($A$21:A25),Detalle_Pagos!$M$5:$M$2004,0)),"")=0,"",IFERROR(INDEX(Detalle_Pagos!$K$5:$K$2004,MATCH(ROWS($A$21:A25),Detalle_Pagos!$M$5:$M$2004,0)),"")))</f>
        <v/>
      </c>
      <c r="E25" s="38"/>
    </row>
    <row r="26" spans="1:5" ht="30" customHeight="1" x14ac:dyDescent="0.3">
      <c r="A26" s="38">
        <f>IF(B26="","",ROWS($A$21:A26))</f>
        <v>6</v>
      </c>
      <c r="B26" s="38" t="str">
        <f>IFERROR(INDEX(Detalle_Pagos!$E$5:$E$2004,MATCH(ROWS($A$21:A26),Detalle_Pagos!$M$5:$M$2004,0)),"")</f>
        <v>Fabián</v>
      </c>
      <c r="C26" s="39">
        <f>IF(B26="","",IFERROR(INDEX(Detalle_Pagos!$I$5:$I$2004,MATCH(ROWS($A$21:A26),Detalle_Pagos!$M$5:$M$2004,0)),""))</f>
        <v>150</v>
      </c>
      <c r="D26" s="40" t="str">
        <f>IF(B26="","",IF(IFERROR(INDEX(Detalle_Pagos!$K$5:$K$2004,MATCH(ROWS($A$21:A26),Detalle_Pagos!$M$5:$M$2004,0)),"")=0,"",IFERROR(INDEX(Detalle_Pagos!$K$5:$K$2004,MATCH(ROWS($A$21:A26),Detalle_Pagos!$M$5:$M$2004,0)),"")))</f>
        <v/>
      </c>
      <c r="E26" s="38"/>
    </row>
    <row r="27" spans="1:5" ht="30" customHeight="1" x14ac:dyDescent="0.3">
      <c r="A27" s="38">
        <f>IF(B27="","",ROWS($A$21:A27))</f>
        <v>7</v>
      </c>
      <c r="B27" s="38" t="str">
        <f>IFERROR(INDEX(Detalle_Pagos!$E$5:$E$2004,MATCH(ROWS($A$21:A27),Detalle_Pagos!$M$5:$M$2004,0)),"")</f>
        <v>Ramses</v>
      </c>
      <c r="C27" s="39">
        <f>IF(B27="","",IFERROR(INDEX(Detalle_Pagos!$I$5:$I$2004,MATCH(ROWS($A$21:A27),Detalle_Pagos!$M$5:$M$2004,0)),""))</f>
        <v>150</v>
      </c>
      <c r="D27" s="40" t="str">
        <f>IF(B27="","",IF(IFERROR(INDEX(Detalle_Pagos!$K$5:$K$2004,MATCH(ROWS($A$21:A27),Detalle_Pagos!$M$5:$M$2004,0)),"")=0,"",IFERROR(INDEX(Detalle_Pagos!$K$5:$K$2004,MATCH(ROWS($A$21:A27),Detalle_Pagos!$M$5:$M$2004,0)),"")))</f>
        <v/>
      </c>
      <c r="E27" s="38"/>
    </row>
    <row r="28" spans="1:5" ht="30" customHeight="1" x14ac:dyDescent="0.3">
      <c r="A28" s="38" t="str">
        <f>IF(B28="","",ROWS($A$21:A28))</f>
        <v/>
      </c>
      <c r="B28" s="38" t="str">
        <f>IFERROR(INDEX(Detalle_Pagos!$E$5:$E$2004,MATCH(ROWS($A$21:A28),Detalle_Pagos!$M$5:$M$2004,0)),"")</f>
        <v/>
      </c>
      <c r="C28" s="39" t="str">
        <f>IF(B28="","",IFERROR(INDEX(Detalle_Pagos!$I$5:$I$2004,MATCH(ROWS($A$21:A28),Detalle_Pagos!$M$5:$M$2004,0)),""))</f>
        <v/>
      </c>
      <c r="D28" s="40" t="str">
        <f>IF(B28="","",IF(IFERROR(INDEX(Detalle_Pagos!$K$5:$K$2004,MATCH(ROWS($A$21:A28),Detalle_Pagos!$M$5:$M$2004,0)),"")=0,"",IFERROR(INDEX(Detalle_Pagos!$K$5:$K$2004,MATCH(ROWS($A$21:A28),Detalle_Pagos!$M$5:$M$2004,0)),"")))</f>
        <v/>
      </c>
      <c r="E28" s="38"/>
    </row>
    <row r="29" spans="1:5" ht="30" customHeight="1" x14ac:dyDescent="0.3">
      <c r="A29" s="38" t="str">
        <f>IF(B29="","",ROWS($A$21:A29))</f>
        <v/>
      </c>
      <c r="B29" s="38" t="str">
        <f>IFERROR(INDEX(Detalle_Pagos!$E$5:$E$2004,MATCH(ROWS($A$21:A29),Detalle_Pagos!$M$5:$M$2004,0)),"")</f>
        <v/>
      </c>
      <c r="C29" s="39" t="str">
        <f>IF(B29="","",IFERROR(INDEX(Detalle_Pagos!$I$5:$I$2004,MATCH(ROWS($A$21:A29),Detalle_Pagos!$M$5:$M$2004,0)),""))</f>
        <v/>
      </c>
      <c r="D29" s="40" t="str">
        <f>IF(B29="","",IF(IFERROR(INDEX(Detalle_Pagos!$K$5:$K$2004,MATCH(ROWS($A$21:A29),Detalle_Pagos!$M$5:$M$2004,0)),"")=0,"",IFERROR(INDEX(Detalle_Pagos!$K$5:$K$2004,MATCH(ROWS($A$21:A29),Detalle_Pagos!$M$5:$M$2004,0)),"")))</f>
        <v/>
      </c>
      <c r="E29" s="38"/>
    </row>
    <row r="30" spans="1:5" ht="30" customHeight="1" x14ac:dyDescent="0.3">
      <c r="A30" s="38" t="str">
        <f>IF(B30="","",ROWS($A$21:A30))</f>
        <v/>
      </c>
      <c r="B30" s="38" t="str">
        <f>IFERROR(INDEX(Detalle_Pagos!$E$5:$E$2004,MATCH(ROWS($A$21:A30),Detalle_Pagos!$M$5:$M$2004,0)),"")</f>
        <v/>
      </c>
      <c r="C30" s="39" t="str">
        <f>IF(B30="","",IFERROR(INDEX(Detalle_Pagos!$I$5:$I$2004,MATCH(ROWS($A$21:A30),Detalle_Pagos!$M$5:$M$2004,0)),""))</f>
        <v/>
      </c>
      <c r="D30" s="40" t="str">
        <f>IF(B30="","",IF(IFERROR(INDEX(Detalle_Pagos!$K$5:$K$2004,MATCH(ROWS($A$21:A30),Detalle_Pagos!$M$5:$M$2004,0)),"")=0,"",IFERROR(INDEX(Detalle_Pagos!$K$5:$K$2004,MATCH(ROWS($A$21:A30),Detalle_Pagos!$M$5:$M$2004,0)),"")))</f>
        <v/>
      </c>
      <c r="E30" s="38"/>
    </row>
    <row r="31" spans="1:5" ht="30" customHeight="1" x14ac:dyDescent="0.3">
      <c r="A31" s="38" t="str">
        <f>IF(B31="","",ROWS($A$21:A31))</f>
        <v/>
      </c>
      <c r="B31" s="38" t="str">
        <f>IFERROR(INDEX(Detalle_Pagos!$E$5:$E$2004,MATCH(ROWS($A$21:A31),Detalle_Pagos!$M$5:$M$2004,0)),"")</f>
        <v/>
      </c>
      <c r="C31" s="39" t="str">
        <f>IF(B31="","",IFERROR(INDEX(Detalle_Pagos!$I$5:$I$2004,MATCH(ROWS($A$21:A31),Detalle_Pagos!$M$5:$M$2004,0)),""))</f>
        <v/>
      </c>
      <c r="D31" s="40" t="str">
        <f>IF(B31="","",IF(IFERROR(INDEX(Detalle_Pagos!$K$5:$K$2004,MATCH(ROWS($A$21:A31),Detalle_Pagos!$M$5:$M$2004,0)),"")=0,"",IFERROR(INDEX(Detalle_Pagos!$K$5:$K$2004,MATCH(ROWS($A$21:A31),Detalle_Pagos!$M$5:$M$2004,0)),"")))</f>
        <v/>
      </c>
      <c r="E31" s="38"/>
    </row>
    <row r="32" spans="1:5" ht="30" customHeight="1" x14ac:dyDescent="0.3">
      <c r="A32" s="38" t="str">
        <f>IF(B32="","",ROWS($A$21:A32))</f>
        <v/>
      </c>
      <c r="B32" s="38" t="str">
        <f>IFERROR(INDEX(Detalle_Pagos!$E$5:$E$2004,MATCH(ROWS($A$21:A32),Detalle_Pagos!$M$5:$M$2004,0)),"")</f>
        <v/>
      </c>
      <c r="C32" s="39" t="str">
        <f>IF(B32="","",IFERROR(INDEX(Detalle_Pagos!$I$5:$I$2004,MATCH(ROWS($A$21:A32),Detalle_Pagos!$M$5:$M$2004,0)),""))</f>
        <v/>
      </c>
      <c r="D32" s="40" t="str">
        <f>IF(B32="","",IF(IFERROR(INDEX(Detalle_Pagos!$K$5:$K$2004,MATCH(ROWS($A$21:A32),Detalle_Pagos!$M$5:$M$2004,0)),"")=0,"",IFERROR(INDEX(Detalle_Pagos!$K$5:$K$2004,MATCH(ROWS($A$21:A32),Detalle_Pagos!$M$5:$M$2004,0)),"")))</f>
        <v/>
      </c>
      <c r="E32" s="38"/>
    </row>
    <row r="33" spans="1:5" ht="30" customHeight="1" x14ac:dyDescent="0.3">
      <c r="A33" s="38" t="str">
        <f>IF(B33="","",ROWS($A$21:A33))</f>
        <v/>
      </c>
      <c r="B33" s="38" t="str">
        <f>IFERROR(INDEX(Detalle_Pagos!$E$5:$E$2004,MATCH(ROWS($A$21:A33),Detalle_Pagos!$M$5:$M$2004,0)),"")</f>
        <v/>
      </c>
      <c r="C33" s="39" t="str">
        <f>IF(B33="","",IFERROR(INDEX(Detalle_Pagos!$I$5:$I$2004,MATCH(ROWS($A$21:A33),Detalle_Pagos!$M$5:$M$2004,0)),""))</f>
        <v/>
      </c>
      <c r="D33" s="40" t="str">
        <f>IF(B33="","",IF(IFERROR(INDEX(Detalle_Pagos!$K$5:$K$2004,MATCH(ROWS($A$21:A33),Detalle_Pagos!$M$5:$M$2004,0)),"")=0,"",IFERROR(INDEX(Detalle_Pagos!$K$5:$K$2004,MATCH(ROWS($A$21:A33),Detalle_Pagos!$M$5:$M$2004,0)),"")))</f>
        <v/>
      </c>
      <c r="E33" s="38"/>
    </row>
    <row r="34" spans="1:5" ht="30" customHeight="1" x14ac:dyDescent="0.3">
      <c r="A34" s="38" t="str">
        <f>IF(B34="","",ROWS($A$21:A34))</f>
        <v/>
      </c>
      <c r="B34" s="38" t="str">
        <f>IFERROR(INDEX(Detalle_Pagos!$E$5:$E$2004,MATCH(ROWS($A$21:A34),Detalle_Pagos!$M$5:$M$2004,0)),"")</f>
        <v/>
      </c>
      <c r="C34" s="39" t="str">
        <f>IF(B34="","",IFERROR(INDEX(Detalle_Pagos!$I$5:$I$2004,MATCH(ROWS($A$21:A34),Detalle_Pagos!$M$5:$M$2004,0)),""))</f>
        <v/>
      </c>
      <c r="D34" s="40" t="str">
        <f>IF(B34="","",IF(IFERROR(INDEX(Detalle_Pagos!$K$5:$K$2004,MATCH(ROWS($A$21:A34),Detalle_Pagos!$M$5:$M$2004,0)),"")=0,"",IFERROR(INDEX(Detalle_Pagos!$K$5:$K$2004,MATCH(ROWS($A$21:A34),Detalle_Pagos!$M$5:$M$2004,0)),"")))</f>
        <v/>
      </c>
      <c r="E34" s="38"/>
    </row>
    <row r="35" spans="1:5" ht="30" customHeight="1" x14ac:dyDescent="0.3">
      <c r="A35" s="38" t="str">
        <f>IF(B35="","",ROWS($A$21:A35))</f>
        <v/>
      </c>
      <c r="B35" s="38" t="str">
        <f>IFERROR(INDEX(Detalle_Pagos!$E$5:$E$2004,MATCH(ROWS($A$21:A35),Detalle_Pagos!$M$5:$M$2004,0)),"")</f>
        <v/>
      </c>
      <c r="C35" s="39" t="str">
        <f>IF(B35="","",IFERROR(INDEX(Detalle_Pagos!$I$5:$I$2004,MATCH(ROWS($A$21:A35),Detalle_Pagos!$M$5:$M$2004,0)),""))</f>
        <v/>
      </c>
      <c r="D35" s="40" t="str">
        <f>IF(B35="","",IF(IFERROR(INDEX(Detalle_Pagos!$K$5:$K$2004,MATCH(ROWS($A$21:A35),Detalle_Pagos!$M$5:$M$2004,0)),"")=0,"",IFERROR(INDEX(Detalle_Pagos!$K$5:$K$2004,MATCH(ROWS($A$21:A35),Detalle_Pagos!$M$5:$M$2004,0)),"")))</f>
        <v/>
      </c>
      <c r="E35" s="38"/>
    </row>
  </sheetData>
  <mergeCells count="3">
    <mergeCell ref="A11:E11"/>
    <mergeCell ref="A1:E1"/>
    <mergeCell ref="A19:E19"/>
  </mergeCells>
  <pageMargins left="0.75" right="0.75" top="1" bottom="1" header="0.5" footer="0.5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700-000000000000}">
          <x14:formula1>
            <xm:f>Maniobras!$A$5:$A$504</xm:f>
          </x14:formula1>
          <xm:sqref>B3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E57"/>
  <sheetViews>
    <sheetView tabSelected="1" topLeftCell="A25" workbookViewId="0">
      <selection activeCell="C21" sqref="A6:E21"/>
    </sheetView>
  </sheetViews>
  <sheetFormatPr baseColWidth="10" defaultRowHeight="15.6" x14ac:dyDescent="0.3"/>
  <cols>
    <col min="1" max="1" width="25" bestFit="1" customWidth="1"/>
    <col min="2" max="2" width="11.69921875" bestFit="1" customWidth="1"/>
    <col min="3" max="3" width="22.296875" bestFit="1" customWidth="1"/>
    <col min="4" max="4" width="20.19921875" customWidth="1"/>
    <col min="5" max="5" width="19.19921875" customWidth="1"/>
  </cols>
  <sheetData>
    <row r="1" spans="1:5" ht="18" customHeight="1" x14ac:dyDescent="0.3">
      <c r="A1" s="46" t="s">
        <v>92</v>
      </c>
      <c r="B1" s="42"/>
      <c r="C1" s="42"/>
      <c r="D1" s="42"/>
      <c r="E1" s="42"/>
    </row>
    <row r="2" spans="1:5" x14ac:dyDescent="0.3">
      <c r="A2" s="1"/>
      <c r="B2" s="1"/>
      <c r="C2" s="1"/>
      <c r="D2" s="1"/>
      <c r="E2" s="1"/>
    </row>
    <row r="3" spans="1:5" ht="18" customHeight="1" x14ac:dyDescent="0.3">
      <c r="A3" s="2" t="s">
        <v>108</v>
      </c>
      <c r="B3" s="3">
        <v>41</v>
      </c>
      <c r="C3" s="1"/>
      <c r="D3" s="1"/>
      <c r="E3" s="1"/>
    </row>
    <row r="4" spans="1:5" x14ac:dyDescent="0.3">
      <c r="A4" s="2" t="s">
        <v>109</v>
      </c>
      <c r="B4" s="4">
        <v>46147</v>
      </c>
      <c r="C4" s="1"/>
      <c r="D4" s="1"/>
      <c r="E4" s="1"/>
    </row>
    <row r="5" spans="1:5" x14ac:dyDescent="0.3">
      <c r="A5" s="2" t="s">
        <v>110</v>
      </c>
      <c r="B5" s="5" t="s">
        <v>59</v>
      </c>
      <c r="C5" s="6"/>
      <c r="D5" s="1"/>
      <c r="E5" s="1"/>
    </row>
    <row r="6" spans="1:5" x14ac:dyDescent="0.3">
      <c r="A6" s="2"/>
      <c r="B6" s="5"/>
      <c r="C6" s="6"/>
      <c r="D6" s="1"/>
      <c r="E6" s="1"/>
    </row>
    <row r="7" spans="1:5" ht="18" customHeight="1" x14ac:dyDescent="0.3">
      <c r="A7" s="2" t="s">
        <v>96</v>
      </c>
      <c r="B7" s="7" t="s">
        <v>111</v>
      </c>
      <c r="C7" s="1"/>
      <c r="D7" s="1"/>
      <c r="E7" s="1"/>
    </row>
    <row r="8" spans="1:5" ht="18" customHeight="1" x14ac:dyDescent="0.3">
      <c r="A8" s="2" t="s">
        <v>112</v>
      </c>
      <c r="B8" s="8">
        <v>19.5</v>
      </c>
      <c r="C8" s="1"/>
      <c r="D8" s="1"/>
      <c r="E8" s="1"/>
    </row>
    <row r="9" spans="1:5" x14ac:dyDescent="0.3">
      <c r="A9" s="2"/>
      <c r="B9" s="1"/>
      <c r="C9" s="1"/>
      <c r="D9" s="1"/>
      <c r="E9" s="1"/>
    </row>
    <row r="10" spans="1:5" x14ac:dyDescent="0.3">
      <c r="A10" s="2"/>
      <c r="B10" s="1"/>
      <c r="C10" s="1"/>
      <c r="D10" s="1"/>
      <c r="E10" s="1"/>
    </row>
    <row r="11" spans="1:5" ht="18" customHeight="1" x14ac:dyDescent="0.3">
      <c r="A11" s="49" t="s">
        <v>98</v>
      </c>
      <c r="B11" s="42"/>
      <c r="C11" s="42"/>
      <c r="D11" s="42"/>
      <c r="E11" s="42"/>
    </row>
    <row r="12" spans="1:5" x14ac:dyDescent="0.3">
      <c r="A12" s="9"/>
      <c r="B12" s="9"/>
      <c r="C12" s="9"/>
      <c r="D12" s="9"/>
      <c r="E12" s="9"/>
    </row>
    <row r="13" spans="1:5" x14ac:dyDescent="0.3">
      <c r="A13" s="10"/>
      <c r="B13" s="11">
        <v>60</v>
      </c>
      <c r="C13" s="9"/>
      <c r="D13" s="9"/>
      <c r="E13" s="9"/>
    </row>
    <row r="14" spans="1:5" x14ac:dyDescent="0.3">
      <c r="A14" s="10" t="s">
        <v>100</v>
      </c>
      <c r="B14" s="11">
        <f>B13*B8-100</f>
        <v>1070</v>
      </c>
      <c r="C14" s="12"/>
      <c r="D14" s="9"/>
      <c r="E14" s="9"/>
    </row>
    <row r="15" spans="1:5" x14ac:dyDescent="0.3">
      <c r="A15" s="10" t="s">
        <v>101</v>
      </c>
      <c r="B15" s="10">
        <v>7</v>
      </c>
      <c r="D15" s="9"/>
      <c r="E15" s="9"/>
    </row>
    <row r="16" spans="1:5" x14ac:dyDescent="0.3">
      <c r="A16" s="10" t="s">
        <v>113</v>
      </c>
      <c r="B16" s="11">
        <f>B14/B15</f>
        <v>152.85714285714286</v>
      </c>
      <c r="C16" s="9"/>
      <c r="D16" s="9"/>
      <c r="E16" s="9"/>
    </row>
    <row r="17" spans="1:5" x14ac:dyDescent="0.3">
      <c r="A17" s="10"/>
      <c r="B17" s="13"/>
      <c r="C17" s="9"/>
      <c r="D17" s="9"/>
      <c r="E17" s="9"/>
    </row>
    <row r="18" spans="1:5" x14ac:dyDescent="0.3">
      <c r="A18" s="10"/>
      <c r="B18" s="9"/>
      <c r="C18" s="9"/>
      <c r="D18" s="9"/>
      <c r="E18" s="9"/>
    </row>
    <row r="19" spans="1:5" ht="19.05" customHeight="1" thickBot="1" x14ac:dyDescent="0.35">
      <c r="A19" s="47" t="s">
        <v>102</v>
      </c>
      <c r="B19" s="48"/>
      <c r="C19" s="48"/>
      <c r="D19" s="48"/>
      <c r="E19" s="48"/>
    </row>
    <row r="20" spans="1:5" ht="18" customHeight="1" thickTop="1" thickBot="1" x14ac:dyDescent="0.35">
      <c r="A20" s="14" t="s">
        <v>103</v>
      </c>
      <c r="B20" s="15" t="s">
        <v>104</v>
      </c>
      <c r="C20" s="16" t="s">
        <v>114</v>
      </c>
      <c r="D20" s="15" t="s">
        <v>106</v>
      </c>
      <c r="E20" s="15" t="s">
        <v>107</v>
      </c>
    </row>
    <row r="21" spans="1:5" ht="42" customHeight="1" thickTop="1" thickBot="1" x14ac:dyDescent="0.35">
      <c r="A21" s="17">
        <v>1</v>
      </c>
      <c r="B21" s="18" t="s">
        <v>31</v>
      </c>
      <c r="C21" s="19">
        <v>150</v>
      </c>
      <c r="D21" s="20"/>
      <c r="E21" s="20"/>
    </row>
    <row r="22" spans="1:5" ht="42" customHeight="1" thickTop="1" thickBot="1" x14ac:dyDescent="0.35">
      <c r="A22" s="17">
        <v>2</v>
      </c>
      <c r="B22" s="18" t="s">
        <v>32</v>
      </c>
      <c r="C22" s="19">
        <v>150</v>
      </c>
      <c r="D22" s="20"/>
      <c r="E22" s="20"/>
    </row>
    <row r="23" spans="1:5" ht="42" customHeight="1" thickTop="1" thickBot="1" x14ac:dyDescent="0.35">
      <c r="A23" s="17">
        <v>3</v>
      </c>
      <c r="B23" s="18" t="s">
        <v>33</v>
      </c>
      <c r="C23" s="19">
        <v>150</v>
      </c>
      <c r="D23" s="20"/>
      <c r="E23" s="20"/>
    </row>
    <row r="24" spans="1:5" ht="42" customHeight="1" thickTop="1" thickBot="1" x14ac:dyDescent="0.35">
      <c r="A24" s="17">
        <v>4</v>
      </c>
      <c r="B24" s="18" t="s">
        <v>34</v>
      </c>
      <c r="C24" s="19">
        <v>150</v>
      </c>
      <c r="D24" s="20"/>
      <c r="E24" s="20"/>
    </row>
    <row r="25" spans="1:5" ht="42" customHeight="1" thickTop="1" thickBot="1" x14ac:dyDescent="0.35">
      <c r="A25" s="17">
        <v>5</v>
      </c>
      <c r="B25" s="21" t="s">
        <v>35</v>
      </c>
      <c r="C25" s="19">
        <v>150</v>
      </c>
      <c r="D25" s="20"/>
      <c r="E25" s="20"/>
    </row>
    <row r="26" spans="1:5" ht="42" customHeight="1" thickTop="1" thickBot="1" x14ac:dyDescent="0.35">
      <c r="A26" s="22">
        <v>6</v>
      </c>
      <c r="B26" s="23" t="s">
        <v>36</v>
      </c>
      <c r="C26" s="19">
        <v>150</v>
      </c>
      <c r="D26" s="20"/>
      <c r="E26" s="20"/>
    </row>
    <row r="27" spans="1:5" ht="42" customHeight="1" thickTop="1" thickBot="1" x14ac:dyDescent="0.35">
      <c r="A27" s="22">
        <v>7</v>
      </c>
      <c r="B27" s="23" t="s">
        <v>37</v>
      </c>
      <c r="C27" s="19">
        <v>150</v>
      </c>
      <c r="D27" s="20"/>
      <c r="E27" s="20"/>
    </row>
    <row r="28" spans="1:5" ht="16.95" customHeight="1" thickTop="1" x14ac:dyDescent="0.3"/>
    <row r="30" spans="1:5" ht="18" customHeight="1" x14ac:dyDescent="0.3">
      <c r="A30" s="46" t="s">
        <v>92</v>
      </c>
      <c r="B30" s="42"/>
      <c r="C30" s="42"/>
      <c r="D30" s="42"/>
      <c r="E30" s="42"/>
    </row>
    <row r="31" spans="1:5" x14ac:dyDescent="0.3">
      <c r="A31" s="1"/>
      <c r="B31" s="1"/>
      <c r="C31" s="1"/>
      <c r="D31" s="1"/>
      <c r="E31" s="1"/>
    </row>
    <row r="32" spans="1:5" ht="18" customHeight="1" x14ac:dyDescent="0.3">
      <c r="A32" s="2" t="s">
        <v>108</v>
      </c>
      <c r="B32" s="3">
        <v>42</v>
      </c>
      <c r="C32" s="1"/>
      <c r="D32" s="1"/>
      <c r="E32" s="1"/>
    </row>
    <row r="33" spans="1:5" x14ac:dyDescent="0.3">
      <c r="A33" s="2" t="s">
        <v>109</v>
      </c>
      <c r="B33" s="4">
        <v>46148</v>
      </c>
      <c r="C33" s="1"/>
      <c r="D33" s="1"/>
      <c r="E33" s="1"/>
    </row>
    <row r="34" spans="1:5" x14ac:dyDescent="0.3">
      <c r="A34" s="2" t="s">
        <v>110</v>
      </c>
      <c r="B34" s="5" t="s">
        <v>60</v>
      </c>
      <c r="C34" s="6"/>
      <c r="D34" s="1"/>
      <c r="E34" s="1"/>
    </row>
    <row r="35" spans="1:5" x14ac:dyDescent="0.3">
      <c r="A35" s="2"/>
      <c r="B35" s="5"/>
      <c r="C35" s="6"/>
      <c r="D35" s="1"/>
      <c r="E35" s="1"/>
    </row>
    <row r="36" spans="1:5" ht="18" customHeight="1" x14ac:dyDescent="0.3">
      <c r="A36" s="2" t="s">
        <v>96</v>
      </c>
      <c r="B36" s="7" t="s">
        <v>5</v>
      </c>
      <c r="C36" s="1"/>
      <c r="D36" s="1"/>
      <c r="E36" s="1"/>
    </row>
    <row r="37" spans="1:5" ht="18" customHeight="1" x14ac:dyDescent="0.3">
      <c r="A37" s="2" t="s">
        <v>112</v>
      </c>
      <c r="B37" s="8">
        <v>37</v>
      </c>
      <c r="C37" s="1"/>
      <c r="D37" s="1"/>
      <c r="E37" s="1"/>
    </row>
    <row r="38" spans="1:5" x14ac:dyDescent="0.3">
      <c r="A38" s="2"/>
      <c r="B38" s="1"/>
      <c r="C38" s="1"/>
      <c r="D38" s="1"/>
      <c r="E38" s="1"/>
    </row>
    <row r="39" spans="1:5" x14ac:dyDescent="0.3">
      <c r="A39" s="2"/>
      <c r="B39" s="1"/>
      <c r="C39" s="1"/>
      <c r="D39" s="1"/>
      <c r="E39" s="1"/>
    </row>
    <row r="40" spans="1:5" ht="18" hidden="1" customHeight="1" x14ac:dyDescent="0.3">
      <c r="A40" s="49" t="s">
        <v>98</v>
      </c>
      <c r="B40" s="42"/>
      <c r="C40" s="42"/>
      <c r="D40" s="42"/>
      <c r="E40" s="42"/>
    </row>
    <row r="41" spans="1:5" hidden="1" x14ac:dyDescent="0.3">
      <c r="A41" s="9"/>
      <c r="B41" s="9"/>
      <c r="C41" s="9"/>
      <c r="D41" s="9"/>
      <c r="E41" s="9"/>
    </row>
    <row r="42" spans="1:5" hidden="1" x14ac:dyDescent="0.3">
      <c r="A42" s="10"/>
      <c r="B42" s="11">
        <v>60</v>
      </c>
      <c r="C42" s="9"/>
      <c r="D42" s="9"/>
      <c r="E42" s="9"/>
    </row>
    <row r="43" spans="1:5" hidden="1" x14ac:dyDescent="0.3">
      <c r="A43" s="10" t="s">
        <v>100</v>
      </c>
      <c r="B43" s="11">
        <f>B42*B37-100</f>
        <v>2120</v>
      </c>
      <c r="C43" s="12"/>
      <c r="D43" s="9"/>
      <c r="E43" s="9"/>
    </row>
    <row r="44" spans="1:5" hidden="1" x14ac:dyDescent="0.3">
      <c r="A44" s="10" t="s">
        <v>101</v>
      </c>
      <c r="B44" s="10">
        <v>7</v>
      </c>
      <c r="D44" s="9"/>
      <c r="E44" s="9"/>
    </row>
    <row r="45" spans="1:5" hidden="1" x14ac:dyDescent="0.3">
      <c r="A45" s="10" t="s">
        <v>113</v>
      </c>
      <c r="B45" s="11">
        <f>B43/B44</f>
        <v>302.85714285714283</v>
      </c>
      <c r="C45" s="9"/>
      <c r="D45" s="9"/>
      <c r="E45" s="9"/>
    </row>
    <row r="46" spans="1:5" x14ac:dyDescent="0.3">
      <c r="A46" s="10"/>
      <c r="B46" s="13"/>
      <c r="C46" s="9"/>
      <c r="D46" s="9"/>
      <c r="E46" s="9"/>
    </row>
    <row r="47" spans="1:5" x14ac:dyDescent="0.3">
      <c r="A47" s="10"/>
      <c r="B47" s="9"/>
      <c r="C47" s="9"/>
      <c r="D47" s="9"/>
      <c r="E47" s="9"/>
    </row>
    <row r="48" spans="1:5" ht="19.05" customHeight="1" thickBot="1" x14ac:dyDescent="0.35">
      <c r="A48" s="47" t="s">
        <v>102</v>
      </c>
      <c r="B48" s="48"/>
      <c r="C48" s="48"/>
      <c r="D48" s="48"/>
      <c r="E48" s="48"/>
    </row>
    <row r="49" spans="1:5" ht="18" customHeight="1" thickTop="1" thickBot="1" x14ac:dyDescent="0.35">
      <c r="A49" s="14" t="s">
        <v>103</v>
      </c>
      <c r="B49" s="15" t="s">
        <v>104</v>
      </c>
      <c r="C49" s="16" t="s">
        <v>114</v>
      </c>
      <c r="D49" s="15" t="s">
        <v>106</v>
      </c>
      <c r="E49" s="15" t="s">
        <v>107</v>
      </c>
    </row>
    <row r="50" spans="1:5" ht="31.95" customHeight="1" thickTop="1" thickBot="1" x14ac:dyDescent="0.35">
      <c r="A50" s="17">
        <v>1</v>
      </c>
      <c r="B50" s="18" t="s">
        <v>115</v>
      </c>
      <c r="C50" s="19">
        <v>300</v>
      </c>
      <c r="D50" s="20"/>
      <c r="E50" s="20"/>
    </row>
    <row r="51" spans="1:5" ht="31.95" customHeight="1" thickTop="1" thickBot="1" x14ac:dyDescent="0.35">
      <c r="A51" s="17">
        <v>2</v>
      </c>
      <c r="B51" s="18" t="s">
        <v>116</v>
      </c>
      <c r="C51" s="19">
        <v>300</v>
      </c>
      <c r="D51" s="20"/>
      <c r="E51" s="20"/>
    </row>
    <row r="52" spans="1:5" ht="31.95" customHeight="1" thickTop="1" thickBot="1" x14ac:dyDescent="0.35">
      <c r="A52" s="17">
        <v>3</v>
      </c>
      <c r="B52" s="18" t="s">
        <v>117</v>
      </c>
      <c r="C52" s="19">
        <v>300</v>
      </c>
      <c r="D52" s="20"/>
      <c r="E52" s="20"/>
    </row>
    <row r="53" spans="1:5" ht="31.95" customHeight="1" thickTop="1" thickBot="1" x14ac:dyDescent="0.35">
      <c r="A53" s="17">
        <v>4</v>
      </c>
      <c r="B53" s="18" t="s">
        <v>118</v>
      </c>
      <c r="C53" s="19">
        <v>300</v>
      </c>
      <c r="D53" s="20"/>
      <c r="E53" s="20"/>
    </row>
    <row r="54" spans="1:5" ht="31.95" customHeight="1" thickTop="1" thickBot="1" x14ac:dyDescent="0.35">
      <c r="A54" s="17">
        <v>5</v>
      </c>
      <c r="B54" s="21" t="s">
        <v>119</v>
      </c>
      <c r="C54" s="19">
        <v>300</v>
      </c>
      <c r="D54" s="20"/>
      <c r="E54" s="20"/>
    </row>
    <row r="55" spans="1:5" ht="31.95" customHeight="1" thickTop="1" thickBot="1" x14ac:dyDescent="0.35">
      <c r="A55" s="22">
        <v>6</v>
      </c>
      <c r="B55" s="23" t="s">
        <v>120</v>
      </c>
      <c r="C55" s="19">
        <v>300</v>
      </c>
      <c r="D55" s="20"/>
      <c r="E55" s="20"/>
    </row>
    <row r="56" spans="1:5" ht="31.95" customHeight="1" thickTop="1" thickBot="1" x14ac:dyDescent="0.35">
      <c r="A56" s="22">
        <v>7</v>
      </c>
      <c r="B56" s="23" t="s">
        <v>121</v>
      </c>
      <c r="C56" s="19">
        <v>300</v>
      </c>
      <c r="D56" s="20"/>
      <c r="E56" s="20"/>
    </row>
    <row r="57" spans="1:5" ht="16.95" customHeight="1" thickTop="1" x14ac:dyDescent="0.3"/>
  </sheetData>
  <mergeCells count="6">
    <mergeCell ref="A30:E30"/>
    <mergeCell ref="A48:E48"/>
    <mergeCell ref="A19:E19"/>
    <mergeCell ref="A11:E11"/>
    <mergeCell ref="A1:E1"/>
    <mergeCell ref="A40:E40"/>
  </mergeCells>
  <pageMargins left="0.7" right="0.7" top="0.75" bottom="0.75" header="0.3" footer="0.3"/>
  <pageSetup scale="6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</vt:i4>
      </vt:variant>
    </vt:vector>
  </HeadingPairs>
  <TitlesOfParts>
    <vt:vector size="10" baseType="lpstr">
      <vt:lpstr>Inicio</vt:lpstr>
      <vt:lpstr>Criterios</vt:lpstr>
      <vt:lpstr>Trabajadores</vt:lpstr>
      <vt:lpstr>Maniobras</vt:lpstr>
      <vt:lpstr>Detalle_Pagos</vt:lpstr>
      <vt:lpstr>Pendientes</vt:lpstr>
      <vt:lpstr>Resumen</vt:lpstr>
      <vt:lpstr>Ficha</vt:lpstr>
      <vt:lpstr>EJEMPLO</vt:lpstr>
      <vt:lpstr>Ficha!Área_de_impresión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Aragón</dc:creator>
  <cp:lastModifiedBy>Alfredo Ramos Olivan</cp:lastModifiedBy>
  <dcterms:created xsi:type="dcterms:W3CDTF">2026-05-15T00:27:12Z</dcterms:created>
  <dcterms:modified xsi:type="dcterms:W3CDTF">2026-05-18T17:58:09Z</dcterms:modified>
</cp:coreProperties>
</file>