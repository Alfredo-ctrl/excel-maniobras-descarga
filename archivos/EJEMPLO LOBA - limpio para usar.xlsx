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0" yWindow="4500" windowWidth="24840" windowHeight="12020" tabRatio="600" firstSheet="0" activeTab="1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Trabajadores" sheetId="3" state="visible" r:id="rId3"/>
    <sheet xmlns:r="http://schemas.openxmlformats.org/officeDocument/2006/relationships" name="Maniobras" sheetId="4" state="visible" r:id="rId4"/>
    <sheet xmlns:r="http://schemas.openxmlformats.org/officeDocument/2006/relationships" name="Detalle_Pagos" sheetId="5" state="visible" r:id="rId5"/>
    <sheet xmlns:r="http://schemas.openxmlformats.org/officeDocument/2006/relationships" name="Pendientes" sheetId="6" state="visible" r:id="rId6"/>
    <sheet xmlns:r="http://schemas.openxmlformats.org/officeDocument/2006/relationships" name="Resumen" sheetId="7" state="visible" r:id="rId7"/>
    <sheet xmlns:r="http://schemas.openxmlformats.org/officeDocument/2006/relationships" name="Ficha" sheetId="8" state="visible" r:id="rId8"/>
    <sheet xmlns:r="http://schemas.openxmlformats.org/officeDocument/2006/relationships" name="EJEMPLO" sheetId="9" state="visible" r:id="rId9"/>
  </sheets>
  <definedNames>
    <definedName name="_xlnm._FilterDatabase" localSheetId="1" hidden="1">'Criterios'!$A$3:$D$83</definedName>
    <definedName name="_xlnm._FilterDatabase" localSheetId="2" hidden="1">'Trabajadores'!$A$4:$E$204</definedName>
    <definedName name="_xlnm._FilterDatabase" localSheetId="3" hidden="1">'Maniobras'!$A$4:$O$504</definedName>
    <definedName name="_xlnm._FilterDatabase" localSheetId="4" hidden="1">'Detalle_Pagos'!$A$4:$L$2004</definedName>
    <definedName name="_xlnm._FilterDatabase" localSheetId="5" hidden="1">'Pendientes'!$A$7:$H$207</definedName>
    <definedName name="_xlnm._FilterDatabase" localSheetId="6" hidden="1">'Resumen'!$A$7:$I$207</definedName>
    <definedName name="_xlnm.Print_Area" localSheetId="7">'Ficha'!$A$1:$E$35</definedName>
  </definedNames>
  <calcPr calcId="18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[$-F400]h:mm:ss\ AM/PM"/>
    <numFmt numFmtId="165" formatCode="0.0"/>
    <numFmt numFmtId="166" formatCode="_-&quot;$&quot;* #,##0_-;\-&quot;$&quot;* #,##0_-;_-&quot;$&quot;* &quot;-&quot;??_-;_-@_-"/>
    <numFmt numFmtId="167" formatCode="_-&quot;$&quot;* #,##0.00_-;\-&quot;$&quot;* #,##0.00_-;_-&quot;$&quot;* &quot;-&quot;??_-;_-@_-"/>
    <numFmt numFmtId="168" formatCode="$#,##0.00"/>
    <numFmt numFmtId="169" formatCode="yyyy-mm-dd"/>
  </numFmts>
  <fonts count="13"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  <font>
      <name val="Arial"/>
      <family val="2"/>
      <b val="1"/>
      <color rgb="FF0B3040"/>
      <sz val="14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b val="1"/>
      <color theme="1"/>
      <sz val="14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b val="1"/>
      <color rgb="00FFFFFF"/>
      <sz val="14"/>
    </font>
    <font>
      <b val="1"/>
      <color rgb="00FFFFFF"/>
    </font>
    <font>
      <b val="1"/>
      <color rgb="001F4E78"/>
    </font>
    <font>
      <i val="1"/>
      <color rgb="00666666"/>
    </font>
    <font>
      <b val="1"/>
    </font>
  </fonts>
  <fills count="7">
    <fill>
      <patternFill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EF5FF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4" fontId="3" fillId="0" borderId="0" pivotButton="0" quotePrefix="0" xfId="0"/>
    <xf numFmtId="164" fontId="3" fillId="0" borderId="0" applyAlignment="1" pivotButton="0" quotePrefix="0" xfId="0">
      <alignment horizontal="right"/>
    </xf>
    <xf numFmtId="164" fontId="3" fillId="0" borderId="0" pivotButton="0" quotePrefix="0" xfId="0"/>
    <xf numFmtId="0" fontId="2" fillId="0" borderId="0" applyAlignment="1" pivotButton="0" quotePrefix="0" xfId="0">
      <alignment horizontal="center"/>
    </xf>
    <xf numFmtId="165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6" fontId="7" fillId="0" borderId="0" pivotButton="0" quotePrefix="0" xfId="0"/>
    <xf numFmtId="0" fontId="2" fillId="0" borderId="1" applyAlignment="1" pivotButton="0" quotePrefix="0" xfId="0">
      <alignment horizont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166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166" fontId="4" fillId="0" borderId="5" pivotButton="0" quotePrefix="0" xfId="0"/>
    <xf numFmtId="14" fontId="3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/>
    </xf>
    <xf numFmtId="0" fontId="10" fillId="0" borderId="9" pivotButton="0" quotePrefix="0" xfId="0"/>
    <xf numFmtId="0" fontId="0" fillId="0" borderId="9" applyAlignment="1" pivotButton="0" quotePrefix="0" xfId="0">
      <alignment wrapText="1"/>
    </xf>
    <xf numFmtId="0" fontId="9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168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68" fontId="0" fillId="6" borderId="0" applyAlignment="1" pivotButton="0" quotePrefix="0" xfId="0">
      <alignment horizontal="center" vertical="center"/>
    </xf>
    <xf numFmtId="0" fontId="0" fillId="6" borderId="0" pivotButton="0" quotePrefix="0" xfId="0"/>
    <xf numFmtId="168" fontId="0" fillId="6" borderId="0" pivotButton="0" quotePrefix="0" xfId="0"/>
    <xf numFmtId="0" fontId="0" fillId="5" borderId="0" pivotButton="0" quotePrefix="0" xfId="0"/>
    <xf numFmtId="168" fontId="0" fillId="5" borderId="0" pivotButton="0" quotePrefix="0" xfId="0"/>
    <xf numFmtId="169" fontId="0" fillId="6" borderId="0" pivotButton="0" quotePrefix="0" xfId="0"/>
    <xf numFmtId="169" fontId="0" fillId="5" borderId="0" pivotButton="0" quotePrefix="0" xfId="0"/>
    <xf numFmtId="0" fontId="11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10" fillId="0" borderId="0" pivotButton="0" quotePrefix="0" xfId="0"/>
    <xf numFmtId="0" fontId="8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169" fontId="0" fillId="0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168" fontId="0" fillId="0" borderId="9" applyAlignment="1" pivotButton="0" quotePrefix="0" xfId="0">
      <alignment vertical="center" wrapText="1"/>
    </xf>
    <xf numFmtId="167" fontId="6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  <col width="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8" t="inlineStr">
        <is>
          <t>EXCEL MAESTRO - MANIOBRAS DE DESCARGA</t>
        </is>
      </c>
    </row>
    <row r="3">
      <c r="A3" s="29" t="inlineStr">
        <is>
          <t>Objetivo</t>
        </is>
      </c>
      <c r="B3" s="30" t="inlineStr">
        <is>
          <t>Registrar maniobras, trabajadores, importes manuales, pagos pendientes y pagos realizados.</t>
        </is>
      </c>
    </row>
    <row r="4">
      <c r="A4" s="29" t="inlineStr">
        <is>
          <t>Paso 1</t>
        </is>
      </c>
      <c r="B4" s="30" t="inlineStr">
        <is>
          <t>Actualiza Criterios con productos y tarifas cuando cambien.</t>
        </is>
      </c>
    </row>
    <row r="5">
      <c r="A5" s="29" t="inlineStr">
        <is>
          <t>Paso 2</t>
        </is>
      </c>
      <c r="B5" s="30" t="inlineStr">
        <is>
          <t>Actualiza Trabajadores con la lista final y extras de referencia si aplican.</t>
        </is>
      </c>
    </row>
    <row r="6">
      <c r="A6" s="29" t="inlineStr">
        <is>
          <t>Paso 3</t>
        </is>
      </c>
      <c r="B6" s="30" t="inlineStr">
        <is>
          <t>Captura cada maniobra en Maniobras y sus participantes en Detalle_Pagos.</t>
        </is>
      </c>
    </row>
    <row r="7">
      <c r="A7" s="29" t="inlineStr">
        <is>
          <t>Paso 4</t>
        </is>
      </c>
      <c r="B7" s="30" t="inlineStr">
        <is>
          <t>Marca Pagado? como Si o No por trabajador.</t>
        </is>
      </c>
    </row>
    <row r="8">
      <c r="A8" s="29" t="inlineStr">
        <is>
          <t>Paso 5</t>
        </is>
      </c>
      <c r="B8" s="30" t="inlineStr">
        <is>
          <t>Consulta Pendientes, Resumen y Ficha para imprimir/firmar.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topLeftCell="A9" zoomScale="158" workbookViewId="0">
      <selection activeCell="C21" sqref="A6:E21"/>
    </sheetView>
  </sheetViews>
  <sheetFormatPr baseColWidth="10" defaultRowHeight="16"/>
  <cols>
    <col width="22" customWidth="1" min="1" max="1"/>
    <col width="16" customWidth="1" min="2" max="2"/>
    <col width="18" customWidth="1" min="3" max="3"/>
    <col width="12" customWidth="1" min="4" max="4"/>
  </cols>
  <sheetData>
    <row r="1">
      <c r="A1" s="28" t="inlineStr">
        <is>
          <t>CRITERIOS / TARIFAS EDITABLES</t>
        </is>
      </c>
    </row>
    <row r="3">
      <c r="A3" s="31" t="inlineStr">
        <is>
          <t>Producto</t>
        </is>
      </c>
      <c r="B3" s="31" t="inlineStr">
        <is>
          <t>Dentro horario</t>
        </is>
      </c>
      <c r="C3" s="31" t="inlineStr">
        <is>
          <t>Fuera horario</t>
        </is>
      </c>
      <c r="D3" s="31" t="inlineStr">
        <is>
          <t>Activo</t>
        </is>
      </c>
    </row>
    <row r="4">
      <c r="A4" s="32" t="inlineStr">
        <is>
          <t>MAIZ</t>
        </is>
      </c>
      <c r="B4" s="33" t="n">
        <v>50</v>
      </c>
      <c r="C4" s="33" t="n">
        <v>60</v>
      </c>
      <c r="D4" s="32" t="inlineStr">
        <is>
          <t>Si</t>
        </is>
      </c>
    </row>
    <row r="5">
      <c r="A5" s="34" t="inlineStr">
        <is>
          <t>SORGO</t>
        </is>
      </c>
      <c r="B5" s="35" t="n">
        <v>50</v>
      </c>
      <c r="C5" s="35" t="n">
        <v>60</v>
      </c>
      <c r="D5" s="34" t="inlineStr">
        <is>
          <t>Si</t>
        </is>
      </c>
    </row>
    <row r="6">
      <c r="A6" s="32" t="inlineStr">
        <is>
          <t>SOYA</t>
        </is>
      </c>
      <c r="B6" s="33" t="n">
        <v>60</v>
      </c>
      <c r="C6" s="33" t="n">
        <v>70</v>
      </c>
      <c r="D6" s="32" t="inlineStr">
        <is>
          <t>Si</t>
        </is>
      </c>
    </row>
    <row r="7">
      <c r="A7" s="34" t="inlineStr">
        <is>
          <t>SALVADO</t>
        </is>
      </c>
      <c r="B7" s="35" t="n">
        <v>40</v>
      </c>
      <c r="C7" s="35" t="n">
        <v>50</v>
      </c>
      <c r="D7" s="34" t="inlineStr">
        <is>
          <t>Si</t>
        </is>
      </c>
    </row>
    <row r="8">
      <c r="A8" s="32" t="inlineStr">
        <is>
          <t>DDG</t>
        </is>
      </c>
      <c r="B8" s="33" t="n">
        <v>50</v>
      </c>
      <c r="C8" s="33" t="n">
        <v>60</v>
      </c>
      <c r="D8" s="32" t="inlineStr">
        <is>
          <t>Si</t>
        </is>
      </c>
    </row>
    <row r="9">
      <c r="A9" s="34" t="inlineStr">
        <is>
          <t>ROLADO</t>
        </is>
      </c>
      <c r="B9" s="35" t="n">
        <v>40</v>
      </c>
      <c r="C9" s="35" t="n">
        <v>50</v>
      </c>
      <c r="D9" s="34" t="inlineStr">
        <is>
          <t>Si</t>
        </is>
      </c>
    </row>
    <row r="10">
      <c r="A10" s="32" t="inlineStr">
        <is>
          <t>CALCIO</t>
        </is>
      </c>
      <c r="B10" s="33" t="n">
        <v>40</v>
      </c>
      <c r="C10" s="33" t="n">
        <v>50</v>
      </c>
      <c r="D10" s="32" t="inlineStr">
        <is>
          <t>Si</t>
        </is>
      </c>
    </row>
    <row r="11">
      <c r="A11" s="34" t="inlineStr"/>
      <c r="B11" s="35" t="inlineStr"/>
      <c r="C11" s="35" t="inlineStr"/>
      <c r="D11" s="34" t="inlineStr"/>
    </row>
    <row r="12">
      <c r="A12" s="32" t="inlineStr"/>
      <c r="B12" s="33" t="inlineStr"/>
      <c r="C12" s="33" t="inlineStr"/>
      <c r="D12" s="32" t="inlineStr"/>
    </row>
    <row r="13">
      <c r="A13" s="34" t="inlineStr"/>
      <c r="B13" s="35" t="inlineStr"/>
      <c r="C13" s="35" t="inlineStr"/>
      <c r="D13" s="34" t="inlineStr"/>
    </row>
    <row r="14">
      <c r="A14" s="32" t="inlineStr"/>
      <c r="B14" s="33" t="inlineStr"/>
      <c r="C14" s="33" t="inlineStr"/>
      <c r="D14" s="32" t="inlineStr"/>
    </row>
    <row r="15">
      <c r="A15" s="34" t="inlineStr"/>
      <c r="B15" s="35" t="inlineStr"/>
      <c r="C15" s="35" t="inlineStr"/>
      <c r="D15" s="34" t="inlineStr"/>
    </row>
    <row r="16">
      <c r="A16" s="32" t="inlineStr"/>
      <c r="B16" s="33" t="inlineStr"/>
      <c r="C16" s="33" t="inlineStr"/>
      <c r="D16" s="32" t="inlineStr"/>
    </row>
    <row r="17">
      <c r="A17" s="34" t="inlineStr"/>
      <c r="B17" s="35" t="inlineStr"/>
      <c r="C17" s="35" t="inlineStr"/>
      <c r="D17" s="34" t="inlineStr"/>
    </row>
    <row r="18">
      <c r="A18" s="32" t="inlineStr"/>
      <c r="B18" s="33" t="inlineStr"/>
      <c r="C18" s="33" t="inlineStr"/>
      <c r="D18" s="32" t="inlineStr"/>
    </row>
    <row r="19">
      <c r="A19" s="34" t="inlineStr"/>
      <c r="B19" s="35" t="inlineStr"/>
      <c r="C19" s="35" t="inlineStr"/>
      <c r="D19" s="34" t="inlineStr"/>
    </row>
    <row r="20">
      <c r="A20" s="32" t="inlineStr"/>
      <c r="B20" s="33" t="inlineStr"/>
      <c r="C20" s="33" t="inlineStr"/>
      <c r="D20" s="32" t="inlineStr"/>
    </row>
    <row r="21">
      <c r="A21" s="34" t="inlineStr"/>
      <c r="B21" s="35" t="inlineStr"/>
      <c r="C21" s="35" t="inlineStr"/>
      <c r="D21" s="34" t="inlineStr"/>
    </row>
    <row r="22">
      <c r="A22" s="32" t="inlineStr"/>
      <c r="B22" s="33" t="inlineStr"/>
      <c r="C22" s="33" t="inlineStr"/>
      <c r="D22" s="32" t="inlineStr"/>
    </row>
    <row r="23">
      <c r="A23" s="34" t="inlineStr"/>
      <c r="B23" s="35" t="inlineStr"/>
      <c r="C23" s="35" t="inlineStr"/>
      <c r="D23" s="34" t="inlineStr"/>
    </row>
    <row r="24">
      <c r="A24" s="32" t="inlineStr"/>
      <c r="B24" s="33" t="inlineStr"/>
      <c r="C24" s="33" t="inlineStr"/>
      <c r="D24" s="32" t="inlineStr"/>
    </row>
    <row r="25">
      <c r="A25" s="34" t="inlineStr"/>
      <c r="B25" s="35" t="inlineStr"/>
      <c r="C25" s="35" t="inlineStr"/>
      <c r="D25" s="34" t="inlineStr"/>
    </row>
    <row r="26">
      <c r="A26" s="32" t="inlineStr"/>
      <c r="B26" s="33" t="inlineStr"/>
      <c r="C26" s="33" t="inlineStr"/>
      <c r="D26" s="32" t="inlineStr"/>
    </row>
    <row r="27">
      <c r="A27" s="34" t="inlineStr"/>
      <c r="B27" s="35" t="inlineStr"/>
      <c r="C27" s="35" t="inlineStr"/>
      <c r="D27" s="34" t="inlineStr"/>
    </row>
    <row r="28">
      <c r="A28" s="32" t="inlineStr"/>
      <c r="B28" s="33" t="inlineStr"/>
      <c r="C28" s="33" t="inlineStr"/>
      <c r="D28" s="32" t="inlineStr"/>
    </row>
    <row r="29">
      <c r="A29" s="34" t="inlineStr"/>
      <c r="B29" s="35" t="inlineStr"/>
      <c r="C29" s="35" t="inlineStr"/>
      <c r="D29" s="34" t="inlineStr"/>
    </row>
    <row r="30">
      <c r="A30" s="32" t="inlineStr"/>
      <c r="B30" s="33" t="inlineStr"/>
      <c r="C30" s="33" t="inlineStr"/>
      <c r="D30" s="32" t="inlineStr"/>
    </row>
    <row r="31">
      <c r="A31" s="34" t="inlineStr"/>
      <c r="B31" s="35" t="inlineStr"/>
      <c r="C31" s="35" t="inlineStr"/>
      <c r="D31" s="34" t="inlineStr"/>
    </row>
    <row r="32">
      <c r="A32" s="32" t="inlineStr"/>
      <c r="B32" s="33" t="inlineStr"/>
      <c r="C32" s="33" t="inlineStr"/>
      <c r="D32" s="32" t="inlineStr"/>
    </row>
    <row r="33">
      <c r="A33" s="34" t="inlineStr"/>
      <c r="B33" s="35" t="inlineStr"/>
      <c r="C33" s="35" t="inlineStr"/>
      <c r="D33" s="34" t="inlineStr"/>
    </row>
    <row r="34">
      <c r="A34" s="32" t="inlineStr"/>
      <c r="B34" s="33" t="inlineStr"/>
      <c r="C34" s="33" t="inlineStr"/>
      <c r="D34" s="32" t="inlineStr"/>
    </row>
    <row r="35">
      <c r="A35" s="34" t="inlineStr"/>
      <c r="B35" s="35" t="inlineStr"/>
      <c r="C35" s="35" t="inlineStr"/>
      <c r="D35" s="34" t="inlineStr"/>
    </row>
    <row r="36">
      <c r="A36" s="32" t="inlineStr"/>
      <c r="B36" s="33" t="inlineStr"/>
      <c r="C36" s="33" t="inlineStr"/>
      <c r="D36" s="32" t="inlineStr"/>
    </row>
    <row r="37">
      <c r="A37" s="34" t="inlineStr"/>
      <c r="B37" s="35" t="inlineStr"/>
      <c r="C37" s="35" t="inlineStr"/>
      <c r="D37" s="34" t="inlineStr"/>
    </row>
    <row r="38">
      <c r="A38" s="32" t="inlineStr"/>
      <c r="B38" s="33" t="inlineStr"/>
      <c r="C38" s="33" t="inlineStr"/>
      <c r="D38" s="32" t="inlineStr"/>
    </row>
    <row r="39">
      <c r="A39" s="34" t="inlineStr"/>
      <c r="B39" s="35" t="inlineStr"/>
      <c r="C39" s="35" t="inlineStr"/>
      <c r="D39" s="34" t="inlineStr"/>
    </row>
    <row r="40">
      <c r="A40" s="32" t="inlineStr"/>
      <c r="B40" s="33" t="inlineStr"/>
      <c r="C40" s="33" t="inlineStr"/>
      <c r="D40" s="32" t="inlineStr"/>
    </row>
    <row r="41">
      <c r="A41" s="34" t="inlineStr"/>
      <c r="B41" s="35" t="inlineStr"/>
      <c r="C41" s="35" t="inlineStr"/>
      <c r="D41" s="34" t="inlineStr"/>
    </row>
    <row r="42">
      <c r="A42" s="32" t="inlineStr"/>
      <c r="B42" s="33" t="inlineStr"/>
      <c r="C42" s="33" t="inlineStr"/>
      <c r="D42" s="32" t="inlineStr"/>
    </row>
    <row r="43">
      <c r="A43" s="34" t="inlineStr"/>
      <c r="B43" s="35" t="inlineStr"/>
      <c r="C43" s="35" t="inlineStr"/>
      <c r="D43" s="34" t="inlineStr"/>
    </row>
    <row r="44">
      <c r="A44" s="32" t="inlineStr"/>
      <c r="B44" s="33" t="inlineStr"/>
      <c r="C44" s="33" t="inlineStr"/>
      <c r="D44" s="32" t="inlineStr"/>
    </row>
    <row r="45">
      <c r="A45" s="34" t="inlineStr"/>
      <c r="B45" s="35" t="inlineStr"/>
      <c r="C45" s="35" t="inlineStr"/>
      <c r="D45" s="34" t="inlineStr"/>
    </row>
    <row r="46">
      <c r="A46" s="32" t="inlineStr"/>
      <c r="B46" s="33" t="inlineStr"/>
      <c r="C46" s="33" t="inlineStr"/>
      <c r="D46" s="32" t="inlineStr"/>
    </row>
    <row r="47">
      <c r="A47" s="34" t="inlineStr"/>
      <c r="B47" s="35" t="inlineStr"/>
      <c r="C47" s="35" t="inlineStr"/>
      <c r="D47" s="34" t="inlineStr"/>
    </row>
    <row r="48">
      <c r="A48" s="32" t="inlineStr"/>
      <c r="B48" s="33" t="inlineStr"/>
      <c r="C48" s="33" t="inlineStr"/>
      <c r="D48" s="32" t="inlineStr"/>
    </row>
    <row r="49">
      <c r="A49" s="34" t="inlineStr"/>
      <c r="B49" s="35" t="inlineStr"/>
      <c r="C49" s="35" t="inlineStr"/>
      <c r="D49" s="34" t="inlineStr"/>
    </row>
    <row r="50">
      <c r="A50" s="32" t="inlineStr"/>
      <c r="B50" s="33" t="inlineStr"/>
      <c r="C50" s="33" t="inlineStr"/>
      <c r="D50" s="32" t="inlineStr"/>
    </row>
    <row r="51">
      <c r="A51" s="34" t="inlineStr"/>
      <c r="B51" s="35" t="inlineStr"/>
      <c r="C51" s="35" t="inlineStr"/>
      <c r="D51" s="34" t="inlineStr"/>
    </row>
    <row r="52">
      <c r="A52" s="32" t="inlineStr"/>
      <c r="B52" s="33" t="inlineStr"/>
      <c r="C52" s="33" t="inlineStr"/>
      <c r="D52" s="32" t="inlineStr"/>
    </row>
    <row r="53">
      <c r="A53" s="34" t="inlineStr"/>
      <c r="B53" s="35" t="inlineStr"/>
      <c r="C53" s="35" t="inlineStr"/>
      <c r="D53" s="34" t="inlineStr"/>
    </row>
    <row r="54">
      <c r="A54" s="32" t="inlineStr"/>
      <c r="B54" s="33" t="inlineStr"/>
      <c r="C54" s="33" t="inlineStr"/>
      <c r="D54" s="32" t="inlineStr"/>
    </row>
    <row r="55">
      <c r="A55" s="34" t="inlineStr"/>
      <c r="B55" s="35" t="inlineStr"/>
      <c r="C55" s="35" t="inlineStr"/>
      <c r="D55" s="34" t="inlineStr"/>
    </row>
    <row r="56">
      <c r="A56" s="32" t="inlineStr"/>
      <c r="B56" s="33" t="inlineStr"/>
      <c r="C56" s="33" t="inlineStr"/>
      <c r="D56" s="32" t="inlineStr"/>
    </row>
    <row r="57">
      <c r="A57" s="34" t="inlineStr"/>
      <c r="B57" s="35" t="inlineStr"/>
      <c r="C57" s="35" t="inlineStr"/>
      <c r="D57" s="34" t="inlineStr"/>
    </row>
    <row r="58">
      <c r="A58" s="32" t="inlineStr"/>
      <c r="B58" s="33" t="inlineStr"/>
      <c r="C58" s="33" t="inlineStr"/>
      <c r="D58" s="32" t="inlineStr"/>
    </row>
    <row r="59">
      <c r="A59" s="34" t="inlineStr"/>
      <c r="B59" s="35" t="inlineStr"/>
      <c r="C59" s="35" t="inlineStr"/>
      <c r="D59" s="34" t="inlineStr"/>
    </row>
    <row r="60">
      <c r="A60" s="32" t="inlineStr"/>
      <c r="B60" s="33" t="inlineStr"/>
      <c r="C60" s="33" t="inlineStr"/>
      <c r="D60" s="32" t="inlineStr"/>
    </row>
    <row r="61">
      <c r="A61" s="34" t="inlineStr"/>
      <c r="B61" s="35" t="inlineStr"/>
      <c r="C61" s="35" t="inlineStr"/>
      <c r="D61" s="34" t="inlineStr"/>
    </row>
    <row r="62">
      <c r="A62" s="32" t="inlineStr"/>
      <c r="B62" s="33" t="inlineStr"/>
      <c r="C62" s="33" t="inlineStr"/>
      <c r="D62" s="32" t="inlineStr"/>
    </row>
    <row r="63">
      <c r="A63" s="34" t="inlineStr"/>
      <c r="B63" s="35" t="inlineStr"/>
      <c r="C63" s="35" t="inlineStr"/>
      <c r="D63" s="34" t="inlineStr"/>
    </row>
    <row r="64">
      <c r="A64" s="32" t="inlineStr"/>
      <c r="B64" s="33" t="inlineStr"/>
      <c r="C64" s="33" t="inlineStr"/>
      <c r="D64" s="32" t="inlineStr"/>
    </row>
    <row r="65">
      <c r="A65" s="34" t="inlineStr"/>
      <c r="B65" s="35" t="inlineStr"/>
      <c r="C65" s="35" t="inlineStr"/>
      <c r="D65" s="34" t="inlineStr"/>
    </row>
    <row r="66">
      <c r="A66" s="32" t="inlineStr"/>
      <c r="B66" s="33" t="inlineStr"/>
      <c r="C66" s="33" t="inlineStr"/>
      <c r="D66" s="32" t="inlineStr"/>
    </row>
    <row r="67">
      <c r="A67" s="34" t="inlineStr"/>
      <c r="B67" s="35" t="inlineStr"/>
      <c r="C67" s="35" t="inlineStr"/>
      <c r="D67" s="34" t="inlineStr"/>
    </row>
    <row r="68">
      <c r="A68" s="32" t="inlineStr"/>
      <c r="B68" s="33" t="inlineStr"/>
      <c r="C68" s="33" t="inlineStr"/>
      <c r="D68" s="32" t="inlineStr"/>
    </row>
    <row r="69">
      <c r="A69" s="34" t="inlineStr"/>
      <c r="B69" s="35" t="inlineStr"/>
      <c r="C69" s="35" t="inlineStr"/>
      <c r="D69" s="34" t="inlineStr"/>
    </row>
    <row r="70">
      <c r="A70" s="32" t="inlineStr"/>
      <c r="B70" s="33" t="inlineStr"/>
      <c r="C70" s="33" t="inlineStr"/>
      <c r="D70" s="32" t="inlineStr"/>
    </row>
    <row r="71">
      <c r="A71" s="34" t="inlineStr"/>
      <c r="B71" s="35" t="inlineStr"/>
      <c r="C71" s="35" t="inlineStr"/>
      <c r="D71" s="34" t="inlineStr"/>
    </row>
    <row r="72">
      <c r="A72" s="32" t="inlineStr"/>
      <c r="B72" s="33" t="inlineStr"/>
      <c r="C72" s="33" t="inlineStr"/>
      <c r="D72" s="32" t="inlineStr"/>
    </row>
    <row r="73">
      <c r="A73" s="34" t="inlineStr"/>
      <c r="B73" s="35" t="inlineStr"/>
      <c r="C73" s="35" t="inlineStr"/>
      <c r="D73" s="34" t="inlineStr"/>
    </row>
    <row r="74">
      <c r="A74" s="32" t="inlineStr"/>
      <c r="B74" s="33" t="inlineStr"/>
      <c r="C74" s="33" t="inlineStr"/>
      <c r="D74" s="32" t="inlineStr"/>
    </row>
    <row r="75">
      <c r="A75" s="34" t="inlineStr"/>
      <c r="B75" s="35" t="inlineStr"/>
      <c r="C75" s="35" t="inlineStr"/>
      <c r="D75" s="34" t="inlineStr"/>
    </row>
    <row r="76">
      <c r="A76" s="32" t="inlineStr"/>
      <c r="B76" s="33" t="inlineStr"/>
      <c r="C76" s="33" t="inlineStr"/>
      <c r="D76" s="32" t="inlineStr"/>
    </row>
    <row r="77">
      <c r="A77" s="34" t="inlineStr"/>
      <c r="B77" s="35" t="inlineStr"/>
      <c r="C77" s="35" t="inlineStr"/>
      <c r="D77" s="34" t="inlineStr"/>
    </row>
    <row r="78">
      <c r="A78" s="32" t="inlineStr"/>
      <c r="B78" s="33" t="inlineStr"/>
      <c r="C78" s="33" t="inlineStr"/>
      <c r="D78" s="32" t="inlineStr"/>
    </row>
    <row r="79">
      <c r="A79" s="34" t="inlineStr"/>
      <c r="B79" s="35" t="inlineStr"/>
      <c r="C79" s="35" t="inlineStr"/>
      <c r="D79" s="34" t="inlineStr"/>
    </row>
    <row r="80">
      <c r="A80" s="32" t="inlineStr"/>
      <c r="B80" s="33" t="inlineStr"/>
      <c r="C80" s="33" t="inlineStr"/>
      <c r="D80" s="32" t="inlineStr"/>
    </row>
    <row r="81">
      <c r="A81" s="34" t="inlineStr"/>
      <c r="B81" s="35" t="inlineStr"/>
      <c r="C81" s="35" t="inlineStr"/>
      <c r="D81" s="34" t="inlineStr"/>
    </row>
    <row r="82">
      <c r="A82" s="32" t="inlineStr"/>
      <c r="B82" s="33" t="inlineStr"/>
      <c r="C82" s="33" t="inlineStr"/>
      <c r="D82" s="32" t="inlineStr"/>
    </row>
    <row r="83">
      <c r="A83" s="34" t="n"/>
      <c r="B83" s="35" t="n"/>
      <c r="C83" s="35" t="n"/>
      <c r="D83" s="34" t="n"/>
    </row>
  </sheetData>
  <autoFilter ref="A3:D83"/>
  <mergeCells count="1">
    <mergeCell ref="A1:D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8" customWidth="1" min="4" max="4"/>
    <col width="42" customWidth="1" min="5" max="5"/>
  </cols>
  <sheetData>
    <row r="1">
      <c r="A1" s="28" t="inlineStr">
        <is>
          <t>TRABAJADORES EDITABLES</t>
        </is>
      </c>
    </row>
    <row r="4">
      <c r="A4" s="31" t="inlineStr">
        <is>
          <t>ID</t>
        </is>
      </c>
      <c r="B4" s="31" t="inlineStr">
        <is>
          <t>Trabajador</t>
        </is>
      </c>
      <c r="C4" s="31" t="inlineStr">
        <is>
          <t>Activo</t>
        </is>
      </c>
      <c r="D4" s="31" t="inlineStr">
        <is>
          <t>Extra referencia</t>
        </is>
      </c>
      <c r="E4" s="31" t="inlineStr">
        <is>
          <t>Notas</t>
        </is>
      </c>
    </row>
    <row r="5">
      <c r="A5" s="36" t="n">
        <v>1</v>
      </c>
      <c r="B5" s="36" t="inlineStr">
        <is>
          <t>Carlos Salas</t>
        </is>
      </c>
      <c r="C5" s="36" t="inlineStr">
        <is>
          <t>Si</t>
        </is>
      </c>
      <c r="D5" s="37" t="n">
        <v>100</v>
      </c>
      <c r="E5" s="36" t="n"/>
    </row>
    <row r="6">
      <c r="A6" s="38" t="n">
        <v>2</v>
      </c>
      <c r="B6" s="38" t="inlineStr">
        <is>
          <t>Juan</t>
        </is>
      </c>
      <c r="C6" s="38" t="inlineStr">
        <is>
          <t>Si</t>
        </is>
      </c>
      <c r="D6" s="39" t="n">
        <v>0</v>
      </c>
      <c r="E6" s="38" t="n"/>
    </row>
    <row r="7">
      <c r="A7" s="36" t="n">
        <v>3</v>
      </c>
      <c r="B7" s="36" t="inlineStr">
        <is>
          <t>Uriel</t>
        </is>
      </c>
      <c r="C7" s="36" t="inlineStr">
        <is>
          <t>Si</t>
        </is>
      </c>
      <c r="D7" s="37" t="n">
        <v>0</v>
      </c>
      <c r="E7" s="36" t="n"/>
    </row>
    <row r="8">
      <c r="A8" s="38" t="n">
        <v>4</v>
      </c>
      <c r="B8" s="38" t="inlineStr">
        <is>
          <t>Eliseo</t>
        </is>
      </c>
      <c r="C8" s="38" t="inlineStr">
        <is>
          <t>Si</t>
        </is>
      </c>
      <c r="D8" s="39" t="n">
        <v>0</v>
      </c>
      <c r="E8" s="38" t="n"/>
    </row>
    <row r="9">
      <c r="A9" s="36" t="n">
        <v>5</v>
      </c>
      <c r="B9" s="36" t="inlineStr">
        <is>
          <t>Marcos</t>
        </is>
      </c>
      <c r="C9" s="36" t="inlineStr">
        <is>
          <t>Si</t>
        </is>
      </c>
      <c r="D9" s="37" t="n">
        <v>0</v>
      </c>
      <c r="E9" s="36" t="n"/>
    </row>
    <row r="10">
      <c r="A10" s="38" t="n">
        <v>6</v>
      </c>
      <c r="B10" s="38" t="inlineStr">
        <is>
          <t>Fabián</t>
        </is>
      </c>
      <c r="C10" s="38" t="inlineStr">
        <is>
          <t>Si</t>
        </is>
      </c>
      <c r="D10" s="39" t="n">
        <v>0</v>
      </c>
      <c r="E10" s="38" t="n"/>
    </row>
    <row r="11">
      <c r="A11" s="36" t="n">
        <v>7</v>
      </c>
      <c r="B11" s="36" t="inlineStr">
        <is>
          <t>Ramses</t>
        </is>
      </c>
      <c r="C11" s="36" t="inlineStr">
        <is>
          <t>Si</t>
        </is>
      </c>
      <c r="D11" s="37" t="n">
        <v>0</v>
      </c>
      <c r="E11" s="36" t="n"/>
    </row>
    <row r="12">
      <c r="A12" s="38" t="n">
        <v>8</v>
      </c>
      <c r="B12" s="38" t="inlineStr">
        <is>
          <t>Emanuel</t>
        </is>
      </c>
      <c r="C12" s="38" t="inlineStr">
        <is>
          <t>Si</t>
        </is>
      </c>
      <c r="D12" s="39" t="n">
        <v>0</v>
      </c>
      <c r="E12" s="38" t="n"/>
    </row>
    <row r="13">
      <c r="A13" s="36" t="n">
        <v>9</v>
      </c>
      <c r="B13" s="36" t="inlineStr">
        <is>
          <t>Ahmed</t>
        </is>
      </c>
      <c r="C13" s="36" t="inlineStr">
        <is>
          <t>Si</t>
        </is>
      </c>
      <c r="D13" s="37" t="n">
        <v>0</v>
      </c>
      <c r="E13" s="36" t="n"/>
    </row>
    <row r="14">
      <c r="A14" s="38" t="n">
        <v>10</v>
      </c>
      <c r="B14" s="38" t="inlineStr">
        <is>
          <t>Juan Carlos</t>
        </is>
      </c>
      <c r="C14" s="38" t="inlineStr">
        <is>
          <t>Si</t>
        </is>
      </c>
      <c r="D14" s="39" t="n">
        <v>0</v>
      </c>
      <c r="E14" s="38" t="n"/>
    </row>
    <row r="15">
      <c r="A15" s="36" t="n">
        <v>11</v>
      </c>
      <c r="B15" s="36" t="inlineStr">
        <is>
          <t>Gabriel</t>
        </is>
      </c>
      <c r="C15" s="36" t="inlineStr">
        <is>
          <t>Si</t>
        </is>
      </c>
      <c r="D15" s="37" t="n">
        <v>0</v>
      </c>
      <c r="E15" s="36" t="n"/>
    </row>
    <row r="16">
      <c r="A16" s="38" t="n">
        <v>12</v>
      </c>
      <c r="B16" s="38" t="inlineStr">
        <is>
          <t>Pavel</t>
        </is>
      </c>
      <c r="C16" s="38" t="inlineStr">
        <is>
          <t>Si</t>
        </is>
      </c>
      <c r="D16" s="39" t="n">
        <v>0</v>
      </c>
      <c r="E16" s="38" t="n"/>
    </row>
    <row r="17">
      <c r="A17" s="36" t="n">
        <v>13</v>
      </c>
      <c r="B17" s="36" t="inlineStr">
        <is>
          <t>Severiano</t>
        </is>
      </c>
      <c r="C17" s="36" t="inlineStr">
        <is>
          <t>Si</t>
        </is>
      </c>
      <c r="D17" s="37" t="n">
        <v>0</v>
      </c>
      <c r="E17" s="36" t="n"/>
    </row>
    <row r="18">
      <c r="A18" s="38" t="n"/>
      <c r="B18" s="38" t="n"/>
      <c r="C18" s="38" t="n"/>
      <c r="D18" s="39" t="n"/>
      <c r="E18" s="38" t="n"/>
    </row>
    <row r="19">
      <c r="A19" s="36" t="n"/>
      <c r="B19" s="36" t="n"/>
      <c r="C19" s="36" t="n"/>
      <c r="D19" s="37" t="n"/>
      <c r="E19" s="36" t="n"/>
    </row>
    <row r="20">
      <c r="A20" s="38" t="n"/>
      <c r="B20" s="38" t="n"/>
      <c r="C20" s="38" t="n"/>
      <c r="D20" s="39" t="n"/>
      <c r="E20" s="38" t="n"/>
    </row>
    <row r="21">
      <c r="A21" s="36" t="n"/>
      <c r="B21" s="36" t="n"/>
      <c r="C21" s="36" t="n"/>
      <c r="D21" s="37" t="n"/>
      <c r="E21" s="36" t="n"/>
    </row>
    <row r="22">
      <c r="A22" s="38" t="n"/>
      <c r="B22" s="38" t="n"/>
      <c r="C22" s="38" t="n"/>
      <c r="D22" s="39" t="n"/>
      <c r="E22" s="38" t="n"/>
    </row>
    <row r="23">
      <c r="A23" s="36" t="n"/>
      <c r="B23" s="36" t="n"/>
      <c r="C23" s="36" t="n"/>
      <c r="D23" s="37" t="n"/>
      <c r="E23" s="36" t="n"/>
    </row>
    <row r="24">
      <c r="A24" s="38" t="n"/>
      <c r="B24" s="38" t="n"/>
      <c r="C24" s="38" t="n"/>
      <c r="D24" s="39" t="n"/>
      <c r="E24" s="38" t="n"/>
    </row>
    <row r="25">
      <c r="A25" s="36" t="n"/>
      <c r="B25" s="36" t="n"/>
      <c r="C25" s="36" t="n"/>
      <c r="D25" s="37" t="n"/>
      <c r="E25" s="36" t="n"/>
    </row>
    <row r="26">
      <c r="A26" s="38" t="n"/>
      <c r="B26" s="38" t="n"/>
      <c r="C26" s="38" t="n"/>
      <c r="D26" s="39" t="n"/>
      <c r="E26" s="38" t="n"/>
    </row>
    <row r="27">
      <c r="A27" s="36" t="n"/>
      <c r="B27" s="36" t="n"/>
      <c r="C27" s="36" t="n"/>
      <c r="D27" s="37" t="n"/>
      <c r="E27" s="36" t="n"/>
    </row>
    <row r="28">
      <c r="A28" s="38" t="n"/>
      <c r="B28" s="38" t="n"/>
      <c r="C28" s="38" t="n"/>
      <c r="D28" s="39" t="n"/>
      <c r="E28" s="38" t="n"/>
    </row>
    <row r="29">
      <c r="A29" s="36" t="n"/>
      <c r="B29" s="36" t="n"/>
      <c r="C29" s="36" t="n"/>
      <c r="D29" s="37" t="n"/>
      <c r="E29" s="36" t="n"/>
    </row>
    <row r="30">
      <c r="A30" s="38" t="n"/>
      <c r="B30" s="38" t="n"/>
      <c r="C30" s="38" t="n"/>
      <c r="D30" s="39" t="n"/>
      <c r="E30" s="38" t="n"/>
    </row>
    <row r="31">
      <c r="A31" s="36" t="n"/>
      <c r="B31" s="36" t="n"/>
      <c r="C31" s="36" t="n"/>
      <c r="D31" s="37" t="n"/>
      <c r="E31" s="36" t="n"/>
    </row>
    <row r="32">
      <c r="A32" s="38" t="n"/>
      <c r="B32" s="38" t="n"/>
      <c r="C32" s="38" t="n"/>
      <c r="D32" s="39" t="n"/>
      <c r="E32" s="38" t="n"/>
    </row>
    <row r="33">
      <c r="A33" s="36" t="n"/>
      <c r="B33" s="36" t="n"/>
      <c r="C33" s="36" t="n"/>
      <c r="D33" s="37" t="n"/>
      <c r="E33" s="36" t="n"/>
    </row>
    <row r="34">
      <c r="A34" s="38" t="n"/>
      <c r="B34" s="38" t="n"/>
      <c r="C34" s="38" t="n"/>
      <c r="D34" s="39" t="n"/>
      <c r="E34" s="38" t="n"/>
    </row>
    <row r="35">
      <c r="A35" s="36" t="n"/>
      <c r="B35" s="36" t="n"/>
      <c r="C35" s="36" t="n"/>
      <c r="D35" s="37" t="n"/>
      <c r="E35" s="36" t="n"/>
    </row>
    <row r="36">
      <c r="A36" s="38" t="n"/>
      <c r="B36" s="38" t="n"/>
      <c r="C36" s="38" t="n"/>
      <c r="D36" s="39" t="n"/>
      <c r="E36" s="38" t="n"/>
    </row>
    <row r="37">
      <c r="A37" s="36" t="n"/>
      <c r="B37" s="36" t="n"/>
      <c r="C37" s="36" t="n"/>
      <c r="D37" s="37" t="n"/>
      <c r="E37" s="36" t="n"/>
    </row>
    <row r="38">
      <c r="A38" s="38" t="n"/>
      <c r="B38" s="38" t="n"/>
      <c r="C38" s="38" t="n"/>
      <c r="D38" s="39" t="n"/>
      <c r="E38" s="38" t="n"/>
    </row>
    <row r="39">
      <c r="A39" s="36" t="n"/>
      <c r="B39" s="36" t="n"/>
      <c r="C39" s="36" t="n"/>
      <c r="D39" s="37" t="n"/>
      <c r="E39" s="36" t="n"/>
    </row>
    <row r="40">
      <c r="A40" s="38" t="n"/>
      <c r="B40" s="38" t="n"/>
      <c r="C40" s="38" t="n"/>
      <c r="D40" s="39" t="n"/>
      <c r="E40" s="38" t="n"/>
    </row>
    <row r="41">
      <c r="A41" s="36" t="n"/>
      <c r="B41" s="36" t="n"/>
      <c r="C41" s="36" t="n"/>
      <c r="D41" s="37" t="n"/>
      <c r="E41" s="36" t="n"/>
    </row>
    <row r="42">
      <c r="A42" s="38" t="n"/>
      <c r="B42" s="38" t="n"/>
      <c r="C42" s="38" t="n"/>
      <c r="D42" s="39" t="n"/>
      <c r="E42" s="38" t="n"/>
    </row>
    <row r="43">
      <c r="A43" s="36" t="n"/>
      <c r="B43" s="36" t="n"/>
      <c r="C43" s="36" t="n"/>
      <c r="D43" s="37" t="n"/>
      <c r="E43" s="36" t="n"/>
    </row>
    <row r="44">
      <c r="A44" s="38" t="n"/>
      <c r="B44" s="38" t="n"/>
      <c r="C44" s="38" t="n"/>
      <c r="D44" s="39" t="n"/>
      <c r="E44" s="38" t="n"/>
    </row>
    <row r="45">
      <c r="A45" s="36" t="n"/>
      <c r="B45" s="36" t="n"/>
      <c r="C45" s="36" t="n"/>
      <c r="D45" s="37" t="n"/>
      <c r="E45" s="36" t="n"/>
    </row>
    <row r="46">
      <c r="A46" s="38" t="n"/>
      <c r="B46" s="38" t="n"/>
      <c r="C46" s="38" t="n"/>
      <c r="D46" s="39" t="n"/>
      <c r="E46" s="38" t="n"/>
    </row>
    <row r="47">
      <c r="A47" s="36" t="n"/>
      <c r="B47" s="36" t="n"/>
      <c r="C47" s="36" t="n"/>
      <c r="D47" s="37" t="n"/>
      <c r="E47" s="36" t="n"/>
    </row>
    <row r="48">
      <c r="A48" s="38" t="n"/>
      <c r="B48" s="38" t="n"/>
      <c r="C48" s="38" t="n"/>
      <c r="D48" s="39" t="n"/>
      <c r="E48" s="38" t="n"/>
    </row>
    <row r="49">
      <c r="A49" s="36" t="n"/>
      <c r="B49" s="36" t="n"/>
      <c r="C49" s="36" t="n"/>
      <c r="D49" s="37" t="n"/>
      <c r="E49" s="36" t="n"/>
    </row>
    <row r="50">
      <c r="A50" s="38" t="n"/>
      <c r="B50" s="38" t="n"/>
      <c r="C50" s="38" t="n"/>
      <c r="D50" s="39" t="n"/>
      <c r="E50" s="38" t="n"/>
    </row>
    <row r="51">
      <c r="A51" s="36" t="n"/>
      <c r="B51" s="36" t="n"/>
      <c r="C51" s="36" t="n"/>
      <c r="D51" s="37" t="n"/>
      <c r="E51" s="36" t="n"/>
    </row>
    <row r="52">
      <c r="A52" s="38" t="n"/>
      <c r="B52" s="38" t="n"/>
      <c r="C52" s="38" t="n"/>
      <c r="D52" s="39" t="n"/>
      <c r="E52" s="38" t="n"/>
    </row>
    <row r="53">
      <c r="A53" s="36" t="n"/>
      <c r="B53" s="36" t="n"/>
      <c r="C53" s="36" t="n"/>
      <c r="D53" s="37" t="n"/>
      <c r="E53" s="36" t="n"/>
    </row>
    <row r="54">
      <c r="A54" s="38" t="n"/>
      <c r="B54" s="38" t="n"/>
      <c r="C54" s="38" t="n"/>
      <c r="D54" s="39" t="n"/>
      <c r="E54" s="38" t="n"/>
    </row>
    <row r="55">
      <c r="A55" s="36" t="n"/>
      <c r="B55" s="36" t="n"/>
      <c r="C55" s="36" t="n"/>
      <c r="D55" s="37" t="n"/>
      <c r="E55" s="36" t="n"/>
    </row>
    <row r="56">
      <c r="A56" s="38" t="n"/>
      <c r="B56" s="38" t="n"/>
      <c r="C56" s="38" t="n"/>
      <c r="D56" s="39" t="n"/>
      <c r="E56" s="38" t="n"/>
    </row>
    <row r="57">
      <c r="A57" s="36" t="n"/>
      <c r="B57" s="36" t="n"/>
      <c r="C57" s="36" t="n"/>
      <c r="D57" s="37" t="n"/>
      <c r="E57" s="36" t="n"/>
    </row>
    <row r="58">
      <c r="A58" s="38" t="n"/>
      <c r="B58" s="38" t="n"/>
      <c r="C58" s="38" t="n"/>
      <c r="D58" s="39" t="n"/>
      <c r="E58" s="38" t="n"/>
    </row>
    <row r="59">
      <c r="A59" s="36" t="n"/>
      <c r="B59" s="36" t="n"/>
      <c r="C59" s="36" t="n"/>
      <c r="D59" s="37" t="n"/>
      <c r="E59" s="36" t="n"/>
    </row>
    <row r="60">
      <c r="A60" s="38" t="n"/>
      <c r="B60" s="38" t="n"/>
      <c r="C60" s="38" t="n"/>
      <c r="D60" s="39" t="n"/>
      <c r="E60" s="38" t="n"/>
    </row>
    <row r="61">
      <c r="A61" s="36" t="n"/>
      <c r="B61" s="36" t="n"/>
      <c r="C61" s="36" t="n"/>
      <c r="D61" s="37" t="n"/>
      <c r="E61" s="36" t="n"/>
    </row>
    <row r="62">
      <c r="A62" s="38" t="n"/>
      <c r="B62" s="38" t="n"/>
      <c r="C62" s="38" t="n"/>
      <c r="D62" s="39" t="n"/>
      <c r="E62" s="38" t="n"/>
    </row>
    <row r="63">
      <c r="A63" s="36" t="n"/>
      <c r="B63" s="36" t="n"/>
      <c r="C63" s="36" t="n"/>
      <c r="D63" s="37" t="n"/>
      <c r="E63" s="36" t="n"/>
    </row>
    <row r="64">
      <c r="A64" s="38" t="n"/>
      <c r="B64" s="38" t="n"/>
      <c r="C64" s="38" t="n"/>
      <c r="D64" s="39" t="n"/>
      <c r="E64" s="38" t="n"/>
    </row>
    <row r="65">
      <c r="A65" s="36" t="n"/>
      <c r="B65" s="36" t="n"/>
      <c r="C65" s="36" t="n"/>
      <c r="D65" s="37" t="n"/>
      <c r="E65" s="36" t="n"/>
    </row>
    <row r="66">
      <c r="A66" s="38" t="n"/>
      <c r="B66" s="38" t="n"/>
      <c r="C66" s="38" t="n"/>
      <c r="D66" s="39" t="n"/>
      <c r="E66" s="38" t="n"/>
    </row>
    <row r="67">
      <c r="A67" s="36" t="n"/>
      <c r="B67" s="36" t="n"/>
      <c r="C67" s="36" t="n"/>
      <c r="D67" s="37" t="n"/>
      <c r="E67" s="36" t="n"/>
    </row>
    <row r="68">
      <c r="A68" s="38" t="n"/>
      <c r="B68" s="38" t="n"/>
      <c r="C68" s="38" t="n"/>
      <c r="D68" s="39" t="n"/>
      <c r="E68" s="38" t="n"/>
    </row>
    <row r="69">
      <c r="A69" s="36" t="n"/>
      <c r="B69" s="36" t="n"/>
      <c r="C69" s="36" t="n"/>
      <c r="D69" s="37" t="n"/>
      <c r="E69" s="36" t="n"/>
    </row>
    <row r="70">
      <c r="A70" s="38" t="n"/>
      <c r="B70" s="38" t="n"/>
      <c r="C70" s="38" t="n"/>
      <c r="D70" s="39" t="n"/>
      <c r="E70" s="38" t="n"/>
    </row>
    <row r="71">
      <c r="A71" s="36" t="n"/>
      <c r="B71" s="36" t="n"/>
      <c r="C71" s="36" t="n"/>
      <c r="D71" s="37" t="n"/>
      <c r="E71" s="36" t="n"/>
    </row>
    <row r="72">
      <c r="A72" s="38" t="n"/>
      <c r="B72" s="38" t="n"/>
      <c r="C72" s="38" t="n"/>
      <c r="D72" s="39" t="n"/>
      <c r="E72" s="38" t="n"/>
    </row>
    <row r="73">
      <c r="A73" s="36" t="n"/>
      <c r="B73" s="36" t="n"/>
      <c r="C73" s="36" t="n"/>
      <c r="D73" s="37" t="n"/>
      <c r="E73" s="36" t="n"/>
    </row>
    <row r="74">
      <c r="A74" s="38" t="n"/>
      <c r="B74" s="38" t="n"/>
      <c r="C74" s="38" t="n"/>
      <c r="D74" s="39" t="n"/>
      <c r="E74" s="38" t="n"/>
    </row>
    <row r="75">
      <c r="A75" s="36" t="n"/>
      <c r="B75" s="36" t="n"/>
      <c r="C75" s="36" t="n"/>
      <c r="D75" s="37" t="n"/>
      <c r="E75" s="36" t="n"/>
    </row>
    <row r="76">
      <c r="A76" s="38" t="n"/>
      <c r="B76" s="38" t="n"/>
      <c r="C76" s="38" t="n"/>
      <c r="D76" s="39" t="n"/>
      <c r="E76" s="38" t="n"/>
    </row>
    <row r="77">
      <c r="A77" s="36" t="n"/>
      <c r="B77" s="36" t="n"/>
      <c r="C77" s="36" t="n"/>
      <c r="D77" s="37" t="n"/>
      <c r="E77" s="36" t="n"/>
    </row>
    <row r="78">
      <c r="A78" s="38" t="n"/>
      <c r="B78" s="38" t="n"/>
      <c r="C78" s="38" t="n"/>
      <c r="D78" s="39" t="n"/>
      <c r="E78" s="38" t="n"/>
    </row>
    <row r="79">
      <c r="A79" s="36" t="n"/>
      <c r="B79" s="36" t="n"/>
      <c r="C79" s="36" t="n"/>
      <c r="D79" s="37" t="n"/>
      <c r="E79" s="36" t="n"/>
    </row>
    <row r="80">
      <c r="A80" s="38" t="n"/>
      <c r="B80" s="38" t="n"/>
      <c r="C80" s="38" t="n"/>
      <c r="D80" s="39" t="n"/>
      <c r="E80" s="38" t="n"/>
    </row>
    <row r="81">
      <c r="A81" s="36" t="n"/>
      <c r="B81" s="36" t="n"/>
      <c r="C81" s="36" t="n"/>
      <c r="D81" s="37" t="n"/>
      <c r="E81" s="36" t="n"/>
    </row>
    <row r="82">
      <c r="A82" s="38" t="n"/>
      <c r="B82" s="38" t="n"/>
      <c r="C82" s="38" t="n"/>
      <c r="D82" s="39" t="n"/>
      <c r="E82" s="38" t="n"/>
    </row>
    <row r="83">
      <c r="A83" s="36" t="n"/>
      <c r="B83" s="36" t="n"/>
      <c r="C83" s="36" t="n"/>
      <c r="D83" s="37" t="n"/>
      <c r="E83" s="36" t="n"/>
    </row>
    <row r="84">
      <c r="A84" s="38" t="n"/>
      <c r="B84" s="38" t="n"/>
      <c r="C84" s="38" t="n"/>
      <c r="D84" s="39" t="n"/>
      <c r="E84" s="38" t="n"/>
    </row>
    <row r="85">
      <c r="A85" s="36" t="n"/>
      <c r="B85" s="36" t="n"/>
      <c r="C85" s="36" t="n"/>
      <c r="D85" s="37" t="n"/>
      <c r="E85" s="36" t="n"/>
    </row>
    <row r="86">
      <c r="A86" s="38" t="n"/>
      <c r="B86" s="38" t="n"/>
      <c r="C86" s="38" t="n"/>
      <c r="D86" s="39" t="n"/>
      <c r="E86" s="38" t="n"/>
    </row>
    <row r="87">
      <c r="A87" s="36" t="n"/>
      <c r="B87" s="36" t="n"/>
      <c r="C87" s="36" t="n"/>
      <c r="D87" s="37" t="n"/>
      <c r="E87" s="36" t="n"/>
    </row>
    <row r="88">
      <c r="A88" s="38" t="n"/>
      <c r="B88" s="38" t="n"/>
      <c r="C88" s="38" t="n"/>
      <c r="D88" s="39" t="n"/>
      <c r="E88" s="38" t="n"/>
    </row>
    <row r="89">
      <c r="A89" s="36" t="n"/>
      <c r="B89" s="36" t="n"/>
      <c r="C89" s="36" t="n"/>
      <c r="D89" s="37" t="n"/>
      <c r="E89" s="36" t="n"/>
    </row>
    <row r="90">
      <c r="A90" s="38" t="n"/>
      <c r="B90" s="38" t="n"/>
      <c r="C90" s="38" t="n"/>
      <c r="D90" s="39" t="n"/>
      <c r="E90" s="38" t="n"/>
    </row>
    <row r="91">
      <c r="A91" s="36" t="n"/>
      <c r="B91" s="36" t="n"/>
      <c r="C91" s="36" t="n"/>
      <c r="D91" s="37" t="n"/>
      <c r="E91" s="36" t="n"/>
    </row>
    <row r="92">
      <c r="A92" s="38" t="n"/>
      <c r="B92" s="38" t="n"/>
      <c r="C92" s="38" t="n"/>
      <c r="D92" s="39" t="n"/>
      <c r="E92" s="38" t="n"/>
    </row>
    <row r="93">
      <c r="A93" s="36" t="n"/>
      <c r="B93" s="36" t="n"/>
      <c r="C93" s="36" t="n"/>
      <c r="D93" s="37" t="n"/>
      <c r="E93" s="36" t="n"/>
    </row>
    <row r="94">
      <c r="A94" s="38" t="n"/>
      <c r="B94" s="38" t="n"/>
      <c r="C94" s="38" t="n"/>
      <c r="D94" s="39" t="n"/>
      <c r="E94" s="38" t="n"/>
    </row>
    <row r="95">
      <c r="A95" s="36" t="n"/>
      <c r="B95" s="36" t="n"/>
      <c r="C95" s="36" t="n"/>
      <c r="D95" s="37" t="n"/>
      <c r="E95" s="36" t="n"/>
    </row>
    <row r="96">
      <c r="A96" s="38" t="n"/>
      <c r="B96" s="38" t="n"/>
      <c r="C96" s="38" t="n"/>
      <c r="D96" s="39" t="n"/>
      <c r="E96" s="38" t="n"/>
    </row>
    <row r="97">
      <c r="A97" s="36" t="n"/>
      <c r="B97" s="36" t="n"/>
      <c r="C97" s="36" t="n"/>
      <c r="D97" s="37" t="n"/>
      <c r="E97" s="36" t="n"/>
    </row>
    <row r="98">
      <c r="A98" s="38" t="n"/>
      <c r="B98" s="38" t="n"/>
      <c r="C98" s="38" t="n"/>
      <c r="D98" s="39" t="n"/>
      <c r="E98" s="38" t="n"/>
    </row>
    <row r="99">
      <c r="A99" s="36" t="n"/>
      <c r="B99" s="36" t="n"/>
      <c r="C99" s="36" t="n"/>
      <c r="D99" s="37" t="n"/>
      <c r="E99" s="36" t="n"/>
    </row>
    <row r="100">
      <c r="A100" s="38" t="n"/>
      <c r="B100" s="38" t="n"/>
      <c r="C100" s="38" t="n"/>
      <c r="D100" s="39" t="n"/>
      <c r="E100" s="38" t="n"/>
    </row>
    <row r="101">
      <c r="A101" s="36" t="n"/>
      <c r="B101" s="36" t="n"/>
      <c r="C101" s="36" t="n"/>
      <c r="D101" s="37" t="n"/>
      <c r="E101" s="36" t="n"/>
    </row>
    <row r="102">
      <c r="A102" s="38" t="n"/>
      <c r="B102" s="38" t="n"/>
      <c r="C102" s="38" t="n"/>
      <c r="D102" s="39" t="n"/>
      <c r="E102" s="38" t="n"/>
    </row>
    <row r="103">
      <c r="A103" s="36" t="n"/>
      <c r="B103" s="36" t="n"/>
      <c r="C103" s="36" t="n"/>
      <c r="D103" s="37" t="n"/>
      <c r="E103" s="36" t="n"/>
    </row>
    <row r="104">
      <c r="A104" s="38" t="n"/>
      <c r="B104" s="38" t="n"/>
      <c r="C104" s="38" t="n"/>
      <c r="D104" s="39" t="n"/>
      <c r="E104" s="38" t="n"/>
    </row>
    <row r="105">
      <c r="A105" s="36" t="n"/>
      <c r="B105" s="36" t="n"/>
      <c r="C105" s="36" t="n"/>
      <c r="D105" s="37" t="n"/>
      <c r="E105" s="36" t="n"/>
    </row>
    <row r="106">
      <c r="A106" s="38" t="n"/>
      <c r="B106" s="38" t="n"/>
      <c r="C106" s="38" t="n"/>
      <c r="D106" s="39" t="n"/>
      <c r="E106" s="38" t="n"/>
    </row>
    <row r="107">
      <c r="A107" s="36" t="n"/>
      <c r="B107" s="36" t="n"/>
      <c r="C107" s="36" t="n"/>
      <c r="D107" s="37" t="n"/>
      <c r="E107" s="36" t="n"/>
    </row>
    <row r="108">
      <c r="A108" s="38" t="n"/>
      <c r="B108" s="38" t="n"/>
      <c r="C108" s="38" t="n"/>
      <c r="D108" s="39" t="n"/>
      <c r="E108" s="38" t="n"/>
    </row>
    <row r="109">
      <c r="A109" s="36" t="n"/>
      <c r="B109" s="36" t="n"/>
      <c r="C109" s="36" t="n"/>
      <c r="D109" s="37" t="n"/>
      <c r="E109" s="36" t="n"/>
    </row>
    <row r="110">
      <c r="A110" s="38" t="n"/>
      <c r="B110" s="38" t="n"/>
      <c r="C110" s="38" t="n"/>
      <c r="D110" s="39" t="n"/>
      <c r="E110" s="38" t="n"/>
    </row>
    <row r="111">
      <c r="A111" s="36" t="n"/>
      <c r="B111" s="36" t="n"/>
      <c r="C111" s="36" t="n"/>
      <c r="D111" s="37" t="n"/>
      <c r="E111" s="36" t="n"/>
    </row>
    <row r="112">
      <c r="A112" s="38" t="n"/>
      <c r="B112" s="38" t="n"/>
      <c r="C112" s="38" t="n"/>
      <c r="D112" s="39" t="n"/>
      <c r="E112" s="38" t="n"/>
    </row>
    <row r="113">
      <c r="A113" s="36" t="n"/>
      <c r="B113" s="36" t="n"/>
      <c r="C113" s="36" t="n"/>
      <c r="D113" s="37" t="n"/>
      <c r="E113" s="36" t="n"/>
    </row>
    <row r="114">
      <c r="A114" s="38" t="n"/>
      <c r="B114" s="38" t="n"/>
      <c r="C114" s="38" t="n"/>
      <c r="D114" s="39" t="n"/>
      <c r="E114" s="38" t="n"/>
    </row>
    <row r="115">
      <c r="A115" s="36" t="n"/>
      <c r="B115" s="36" t="n"/>
      <c r="C115" s="36" t="n"/>
      <c r="D115" s="37" t="n"/>
      <c r="E115" s="36" t="n"/>
    </row>
    <row r="116">
      <c r="A116" s="38" t="n"/>
      <c r="B116" s="38" t="n"/>
      <c r="C116" s="38" t="n"/>
      <c r="D116" s="39" t="n"/>
      <c r="E116" s="38" t="n"/>
    </row>
    <row r="117">
      <c r="A117" s="36" t="n"/>
      <c r="B117" s="36" t="n"/>
      <c r="C117" s="36" t="n"/>
      <c r="D117" s="37" t="n"/>
      <c r="E117" s="36" t="n"/>
    </row>
    <row r="118">
      <c r="A118" s="38" t="n"/>
      <c r="B118" s="38" t="n"/>
      <c r="C118" s="38" t="n"/>
      <c r="D118" s="39" t="n"/>
      <c r="E118" s="38" t="n"/>
    </row>
    <row r="119">
      <c r="A119" s="36" t="n"/>
      <c r="B119" s="36" t="n"/>
      <c r="C119" s="36" t="n"/>
      <c r="D119" s="37" t="n"/>
      <c r="E119" s="36" t="n"/>
    </row>
    <row r="120">
      <c r="A120" s="38" t="n"/>
      <c r="B120" s="38" t="n"/>
      <c r="C120" s="38" t="n"/>
      <c r="D120" s="39" t="n"/>
      <c r="E120" s="38" t="n"/>
    </row>
    <row r="121">
      <c r="A121" s="36" t="n"/>
      <c r="B121" s="36" t="n"/>
      <c r="C121" s="36" t="n"/>
      <c r="D121" s="37" t="n"/>
      <c r="E121" s="36" t="n"/>
    </row>
    <row r="122">
      <c r="A122" s="38" t="n"/>
      <c r="B122" s="38" t="n"/>
      <c r="C122" s="38" t="n"/>
      <c r="D122" s="39" t="n"/>
      <c r="E122" s="38" t="n"/>
    </row>
    <row r="123">
      <c r="A123" s="36" t="n"/>
      <c r="B123" s="36" t="n"/>
      <c r="C123" s="36" t="n"/>
      <c r="D123" s="37" t="n"/>
      <c r="E123" s="36" t="n"/>
    </row>
    <row r="124">
      <c r="A124" s="38" t="n"/>
      <c r="B124" s="38" t="n"/>
      <c r="C124" s="38" t="n"/>
      <c r="D124" s="39" t="n"/>
      <c r="E124" s="38" t="n"/>
    </row>
    <row r="125">
      <c r="A125" s="36" t="n"/>
      <c r="B125" s="36" t="n"/>
      <c r="C125" s="36" t="n"/>
      <c r="D125" s="37" t="n"/>
      <c r="E125" s="36" t="n"/>
    </row>
    <row r="126">
      <c r="A126" s="38" t="n"/>
      <c r="B126" s="38" t="n"/>
      <c r="C126" s="38" t="n"/>
      <c r="D126" s="39" t="n"/>
      <c r="E126" s="38" t="n"/>
    </row>
    <row r="127">
      <c r="A127" s="36" t="n"/>
      <c r="B127" s="36" t="n"/>
      <c r="C127" s="36" t="n"/>
      <c r="D127" s="37" t="n"/>
      <c r="E127" s="36" t="n"/>
    </row>
    <row r="128">
      <c r="A128" s="38" t="n"/>
      <c r="B128" s="38" t="n"/>
      <c r="C128" s="38" t="n"/>
      <c r="D128" s="39" t="n"/>
      <c r="E128" s="38" t="n"/>
    </row>
    <row r="129">
      <c r="A129" s="36" t="n"/>
      <c r="B129" s="36" t="n"/>
      <c r="C129" s="36" t="n"/>
      <c r="D129" s="37" t="n"/>
      <c r="E129" s="36" t="n"/>
    </row>
    <row r="130">
      <c r="A130" s="38" t="n"/>
      <c r="B130" s="38" t="n"/>
      <c r="C130" s="38" t="n"/>
      <c r="D130" s="39" t="n"/>
      <c r="E130" s="38" t="n"/>
    </row>
    <row r="131">
      <c r="A131" s="36" t="n"/>
      <c r="B131" s="36" t="n"/>
      <c r="C131" s="36" t="n"/>
      <c r="D131" s="37" t="n"/>
      <c r="E131" s="36" t="n"/>
    </row>
    <row r="132">
      <c r="A132" s="38" t="n"/>
      <c r="B132" s="38" t="n"/>
      <c r="C132" s="38" t="n"/>
      <c r="D132" s="39" t="n"/>
      <c r="E132" s="38" t="n"/>
    </row>
    <row r="133">
      <c r="A133" s="36" t="n"/>
      <c r="B133" s="36" t="n"/>
      <c r="C133" s="36" t="n"/>
      <c r="D133" s="37" t="n"/>
      <c r="E133" s="36" t="n"/>
    </row>
    <row r="134">
      <c r="A134" s="38" t="n"/>
      <c r="B134" s="38" t="n"/>
      <c r="C134" s="38" t="n"/>
      <c r="D134" s="39" t="n"/>
      <c r="E134" s="38" t="n"/>
    </row>
    <row r="135">
      <c r="A135" s="36" t="n"/>
      <c r="B135" s="36" t="n"/>
      <c r="C135" s="36" t="n"/>
      <c r="D135" s="37" t="n"/>
      <c r="E135" s="36" t="n"/>
    </row>
    <row r="136">
      <c r="A136" s="38" t="n"/>
      <c r="B136" s="38" t="n"/>
      <c r="C136" s="38" t="n"/>
      <c r="D136" s="39" t="n"/>
      <c r="E136" s="38" t="n"/>
    </row>
    <row r="137">
      <c r="A137" s="36" t="n"/>
      <c r="B137" s="36" t="n"/>
      <c r="C137" s="36" t="n"/>
      <c r="D137" s="37" t="n"/>
      <c r="E137" s="36" t="n"/>
    </row>
    <row r="138">
      <c r="A138" s="38" t="n"/>
      <c r="B138" s="38" t="n"/>
      <c r="C138" s="38" t="n"/>
      <c r="D138" s="39" t="n"/>
      <c r="E138" s="38" t="n"/>
    </row>
    <row r="139">
      <c r="A139" s="36" t="n"/>
      <c r="B139" s="36" t="n"/>
      <c r="C139" s="36" t="n"/>
      <c r="D139" s="37" t="n"/>
      <c r="E139" s="36" t="n"/>
    </row>
    <row r="140">
      <c r="A140" s="38" t="n"/>
      <c r="B140" s="38" t="n"/>
      <c r="C140" s="38" t="n"/>
      <c r="D140" s="39" t="n"/>
      <c r="E140" s="38" t="n"/>
    </row>
    <row r="141">
      <c r="A141" s="36" t="n"/>
      <c r="B141" s="36" t="n"/>
      <c r="C141" s="36" t="n"/>
      <c r="D141" s="37" t="n"/>
      <c r="E141" s="36" t="n"/>
    </row>
    <row r="142">
      <c r="A142" s="38" t="n"/>
      <c r="B142" s="38" t="n"/>
      <c r="C142" s="38" t="n"/>
      <c r="D142" s="39" t="n"/>
      <c r="E142" s="38" t="n"/>
    </row>
    <row r="143">
      <c r="A143" s="36" t="n"/>
      <c r="B143" s="36" t="n"/>
      <c r="C143" s="36" t="n"/>
      <c r="D143" s="37" t="n"/>
      <c r="E143" s="36" t="n"/>
    </row>
    <row r="144">
      <c r="A144" s="38" t="n"/>
      <c r="B144" s="38" t="n"/>
      <c r="C144" s="38" t="n"/>
      <c r="D144" s="39" t="n"/>
      <c r="E144" s="38" t="n"/>
    </row>
    <row r="145">
      <c r="A145" s="36" t="n"/>
      <c r="B145" s="36" t="n"/>
      <c r="C145" s="36" t="n"/>
      <c r="D145" s="37" t="n"/>
      <c r="E145" s="36" t="n"/>
    </row>
    <row r="146">
      <c r="A146" s="38" t="n"/>
      <c r="B146" s="38" t="n"/>
      <c r="C146" s="38" t="n"/>
      <c r="D146" s="39" t="n"/>
      <c r="E146" s="38" t="n"/>
    </row>
    <row r="147">
      <c r="A147" s="36" t="n"/>
      <c r="B147" s="36" t="n"/>
      <c r="C147" s="36" t="n"/>
      <c r="D147" s="37" t="n"/>
      <c r="E147" s="36" t="n"/>
    </row>
    <row r="148">
      <c r="A148" s="38" t="n"/>
      <c r="B148" s="38" t="n"/>
      <c r="C148" s="38" t="n"/>
      <c r="D148" s="39" t="n"/>
      <c r="E148" s="38" t="n"/>
    </row>
    <row r="149">
      <c r="A149" s="36" t="n"/>
      <c r="B149" s="36" t="n"/>
      <c r="C149" s="36" t="n"/>
      <c r="D149" s="37" t="n"/>
      <c r="E149" s="36" t="n"/>
    </row>
    <row r="150">
      <c r="A150" s="38" t="n"/>
      <c r="B150" s="38" t="n"/>
      <c r="C150" s="38" t="n"/>
      <c r="D150" s="39" t="n"/>
      <c r="E150" s="38" t="n"/>
    </row>
    <row r="151">
      <c r="A151" s="36" t="n"/>
      <c r="B151" s="36" t="n"/>
      <c r="C151" s="36" t="n"/>
      <c r="D151" s="37" t="n"/>
      <c r="E151" s="36" t="n"/>
    </row>
    <row r="152">
      <c r="A152" s="38" t="n"/>
      <c r="B152" s="38" t="n"/>
      <c r="C152" s="38" t="n"/>
      <c r="D152" s="39" t="n"/>
      <c r="E152" s="38" t="n"/>
    </row>
    <row r="153">
      <c r="A153" s="36" t="n"/>
      <c r="B153" s="36" t="n"/>
      <c r="C153" s="36" t="n"/>
      <c r="D153" s="37" t="n"/>
      <c r="E153" s="36" t="n"/>
    </row>
    <row r="154">
      <c r="A154" s="38" t="n"/>
      <c r="B154" s="38" t="n"/>
      <c r="C154" s="38" t="n"/>
      <c r="D154" s="39" t="n"/>
      <c r="E154" s="38" t="n"/>
    </row>
    <row r="155">
      <c r="A155" s="36" t="n"/>
      <c r="B155" s="36" t="n"/>
      <c r="C155" s="36" t="n"/>
      <c r="D155" s="37" t="n"/>
      <c r="E155" s="36" t="n"/>
    </row>
    <row r="156">
      <c r="A156" s="38" t="n"/>
      <c r="B156" s="38" t="n"/>
      <c r="C156" s="38" t="n"/>
      <c r="D156" s="39" t="n"/>
      <c r="E156" s="38" t="n"/>
    </row>
    <row r="157">
      <c r="A157" s="36" t="n"/>
      <c r="B157" s="36" t="n"/>
      <c r="C157" s="36" t="n"/>
      <c r="D157" s="37" t="n"/>
      <c r="E157" s="36" t="n"/>
    </row>
    <row r="158">
      <c r="A158" s="38" t="n"/>
      <c r="B158" s="38" t="n"/>
      <c r="C158" s="38" t="n"/>
      <c r="D158" s="39" t="n"/>
      <c r="E158" s="38" t="n"/>
    </row>
    <row r="159">
      <c r="A159" s="36" t="n"/>
      <c r="B159" s="36" t="n"/>
      <c r="C159" s="36" t="n"/>
      <c r="D159" s="37" t="n"/>
      <c r="E159" s="36" t="n"/>
    </row>
    <row r="160">
      <c r="A160" s="38" t="n"/>
      <c r="B160" s="38" t="n"/>
      <c r="C160" s="38" t="n"/>
      <c r="D160" s="39" t="n"/>
      <c r="E160" s="38" t="n"/>
    </row>
    <row r="161">
      <c r="A161" s="36" t="n"/>
      <c r="B161" s="36" t="n"/>
      <c r="C161" s="36" t="n"/>
      <c r="D161" s="37" t="n"/>
      <c r="E161" s="36" t="n"/>
    </row>
    <row r="162">
      <c r="A162" s="38" t="n"/>
      <c r="B162" s="38" t="n"/>
      <c r="C162" s="38" t="n"/>
      <c r="D162" s="39" t="n"/>
      <c r="E162" s="38" t="n"/>
    </row>
    <row r="163">
      <c r="A163" s="36" t="n"/>
      <c r="B163" s="36" t="n"/>
      <c r="C163" s="36" t="n"/>
      <c r="D163" s="37" t="n"/>
      <c r="E163" s="36" t="n"/>
    </row>
    <row r="164">
      <c r="A164" s="38" t="n"/>
      <c r="B164" s="38" t="n"/>
      <c r="C164" s="38" t="n"/>
      <c r="D164" s="39" t="n"/>
      <c r="E164" s="38" t="n"/>
    </row>
    <row r="165">
      <c r="A165" s="36" t="n"/>
      <c r="B165" s="36" t="n"/>
      <c r="C165" s="36" t="n"/>
      <c r="D165" s="37" t="n"/>
      <c r="E165" s="36" t="n"/>
    </row>
    <row r="166">
      <c r="A166" s="38" t="n"/>
      <c r="B166" s="38" t="n"/>
      <c r="C166" s="38" t="n"/>
      <c r="D166" s="39" t="n"/>
      <c r="E166" s="38" t="n"/>
    </row>
    <row r="167">
      <c r="A167" s="36" t="n"/>
      <c r="B167" s="36" t="n"/>
      <c r="C167" s="36" t="n"/>
      <c r="D167" s="37" t="n"/>
      <c r="E167" s="36" t="n"/>
    </row>
    <row r="168">
      <c r="A168" s="38" t="n"/>
      <c r="B168" s="38" t="n"/>
      <c r="C168" s="38" t="n"/>
      <c r="D168" s="39" t="n"/>
      <c r="E168" s="38" t="n"/>
    </row>
    <row r="169">
      <c r="A169" s="36" t="n"/>
      <c r="B169" s="36" t="n"/>
      <c r="C169" s="36" t="n"/>
      <c r="D169" s="37" t="n"/>
      <c r="E169" s="36" t="n"/>
    </row>
    <row r="170">
      <c r="A170" s="38" t="n"/>
      <c r="B170" s="38" t="n"/>
      <c r="C170" s="38" t="n"/>
      <c r="D170" s="39" t="n"/>
      <c r="E170" s="38" t="n"/>
    </row>
    <row r="171">
      <c r="A171" s="36" t="n"/>
      <c r="B171" s="36" t="n"/>
      <c r="C171" s="36" t="n"/>
      <c r="D171" s="37" t="n"/>
      <c r="E171" s="36" t="n"/>
    </row>
    <row r="172">
      <c r="A172" s="38" t="n"/>
      <c r="B172" s="38" t="n"/>
      <c r="C172" s="38" t="n"/>
      <c r="D172" s="39" t="n"/>
      <c r="E172" s="38" t="n"/>
    </row>
    <row r="173">
      <c r="A173" s="36" t="n"/>
      <c r="B173" s="36" t="n"/>
      <c r="C173" s="36" t="n"/>
      <c r="D173" s="37" t="n"/>
      <c r="E173" s="36" t="n"/>
    </row>
    <row r="174">
      <c r="A174" s="38" t="n"/>
      <c r="B174" s="38" t="n"/>
      <c r="C174" s="38" t="n"/>
      <c r="D174" s="39" t="n"/>
      <c r="E174" s="38" t="n"/>
    </row>
    <row r="175">
      <c r="A175" s="36" t="n"/>
      <c r="B175" s="36" t="n"/>
      <c r="C175" s="36" t="n"/>
      <c r="D175" s="37" t="n"/>
      <c r="E175" s="36" t="n"/>
    </row>
    <row r="176">
      <c r="A176" s="38" t="n"/>
      <c r="B176" s="38" t="n"/>
      <c r="C176" s="38" t="n"/>
      <c r="D176" s="39" t="n"/>
      <c r="E176" s="38" t="n"/>
    </row>
    <row r="177">
      <c r="A177" s="36" t="n"/>
      <c r="B177" s="36" t="n"/>
      <c r="C177" s="36" t="n"/>
      <c r="D177" s="37" t="n"/>
      <c r="E177" s="36" t="n"/>
    </row>
    <row r="178">
      <c r="A178" s="38" t="n"/>
      <c r="B178" s="38" t="n"/>
      <c r="C178" s="38" t="n"/>
      <c r="D178" s="39" t="n"/>
      <c r="E178" s="38" t="n"/>
    </row>
    <row r="179">
      <c r="A179" s="36" t="n"/>
      <c r="B179" s="36" t="n"/>
      <c r="C179" s="36" t="n"/>
      <c r="D179" s="37" t="n"/>
      <c r="E179" s="36" t="n"/>
    </row>
    <row r="180">
      <c r="A180" s="38" t="n"/>
      <c r="B180" s="38" t="n"/>
      <c r="C180" s="38" t="n"/>
      <c r="D180" s="39" t="n"/>
      <c r="E180" s="38" t="n"/>
    </row>
    <row r="181">
      <c r="A181" s="36" t="n"/>
      <c r="B181" s="36" t="n"/>
      <c r="C181" s="36" t="n"/>
      <c r="D181" s="37" t="n"/>
      <c r="E181" s="36" t="n"/>
    </row>
    <row r="182">
      <c r="A182" s="38" t="n"/>
      <c r="B182" s="38" t="n"/>
      <c r="C182" s="38" t="n"/>
      <c r="D182" s="39" t="n"/>
      <c r="E182" s="38" t="n"/>
    </row>
    <row r="183">
      <c r="A183" s="36" t="n"/>
      <c r="B183" s="36" t="n"/>
      <c r="C183" s="36" t="n"/>
      <c r="D183" s="37" t="n"/>
      <c r="E183" s="36" t="n"/>
    </row>
    <row r="184">
      <c r="A184" s="38" t="n"/>
      <c r="B184" s="38" t="n"/>
      <c r="C184" s="38" t="n"/>
      <c r="D184" s="39" t="n"/>
      <c r="E184" s="38" t="n"/>
    </row>
    <row r="185">
      <c r="A185" s="36" t="n"/>
      <c r="B185" s="36" t="n"/>
      <c r="C185" s="36" t="n"/>
      <c r="D185" s="37" t="n"/>
      <c r="E185" s="36" t="n"/>
    </row>
    <row r="186">
      <c r="A186" s="38" t="n"/>
      <c r="B186" s="38" t="n"/>
      <c r="C186" s="38" t="n"/>
      <c r="D186" s="39" t="n"/>
      <c r="E186" s="38" t="n"/>
    </row>
    <row r="187">
      <c r="A187" s="36" t="n"/>
      <c r="B187" s="36" t="n"/>
      <c r="C187" s="36" t="n"/>
      <c r="D187" s="37" t="n"/>
      <c r="E187" s="36" t="n"/>
    </row>
    <row r="188">
      <c r="A188" s="38" t="n"/>
      <c r="B188" s="38" t="n"/>
      <c r="C188" s="38" t="n"/>
      <c r="D188" s="39" t="n"/>
      <c r="E188" s="38" t="n"/>
    </row>
    <row r="189">
      <c r="A189" s="36" t="n"/>
      <c r="B189" s="36" t="n"/>
      <c r="C189" s="36" t="n"/>
      <c r="D189" s="37" t="n"/>
      <c r="E189" s="36" t="n"/>
    </row>
    <row r="190">
      <c r="A190" s="38" t="n"/>
      <c r="B190" s="38" t="n"/>
      <c r="C190" s="38" t="n"/>
      <c r="D190" s="39" t="n"/>
      <c r="E190" s="38" t="n"/>
    </row>
    <row r="191">
      <c r="A191" s="36" t="n"/>
      <c r="B191" s="36" t="n"/>
      <c r="C191" s="36" t="n"/>
      <c r="D191" s="37" t="n"/>
      <c r="E191" s="36" t="n"/>
    </row>
    <row r="192">
      <c r="A192" s="38" t="n"/>
      <c r="B192" s="38" t="n"/>
      <c r="C192" s="38" t="n"/>
      <c r="D192" s="39" t="n"/>
      <c r="E192" s="38" t="n"/>
    </row>
    <row r="193">
      <c r="A193" s="36" t="n"/>
      <c r="B193" s="36" t="n"/>
      <c r="C193" s="36" t="n"/>
      <c r="D193" s="37" t="n"/>
      <c r="E193" s="36" t="n"/>
    </row>
    <row r="194">
      <c r="A194" s="38" t="n"/>
      <c r="B194" s="38" t="n"/>
      <c r="C194" s="38" t="n"/>
      <c r="D194" s="39" t="n"/>
      <c r="E194" s="38" t="n"/>
    </row>
    <row r="195">
      <c r="A195" s="36" t="n"/>
      <c r="B195" s="36" t="n"/>
      <c r="C195" s="36" t="n"/>
      <c r="D195" s="37" t="n"/>
      <c r="E195" s="36" t="n"/>
    </row>
    <row r="196">
      <c r="A196" s="38" t="n"/>
      <c r="B196" s="38" t="n"/>
      <c r="C196" s="38" t="n"/>
      <c r="D196" s="39" t="n"/>
      <c r="E196" s="38" t="n"/>
    </row>
    <row r="197">
      <c r="A197" s="36" t="n"/>
      <c r="B197" s="36" t="n"/>
      <c r="C197" s="36" t="n"/>
      <c r="D197" s="37" t="n"/>
      <c r="E197" s="36" t="n"/>
    </row>
    <row r="198">
      <c r="A198" s="38" t="n"/>
      <c r="B198" s="38" t="n"/>
      <c r="C198" s="38" t="n"/>
      <c r="D198" s="39" t="n"/>
      <c r="E198" s="38" t="n"/>
    </row>
    <row r="199">
      <c r="A199" s="36" t="n"/>
      <c r="B199" s="36" t="n"/>
      <c r="C199" s="36" t="n"/>
      <c r="D199" s="37" t="n"/>
      <c r="E199" s="36" t="n"/>
    </row>
    <row r="200">
      <c r="A200" s="38" t="n"/>
      <c r="B200" s="38" t="n"/>
      <c r="C200" s="38" t="n"/>
      <c r="D200" s="39" t="n"/>
      <c r="E200" s="38" t="n"/>
    </row>
    <row r="201">
      <c r="A201" s="36" t="n"/>
      <c r="B201" s="36" t="n"/>
      <c r="C201" s="36" t="n"/>
      <c r="D201" s="37" t="n"/>
      <c r="E201" s="36" t="n"/>
    </row>
    <row r="202">
      <c r="A202" s="38" t="n"/>
      <c r="B202" s="38" t="n"/>
      <c r="C202" s="38" t="n"/>
      <c r="D202" s="39" t="n"/>
      <c r="E202" s="38" t="n"/>
    </row>
    <row r="203">
      <c r="A203" s="36" t="n"/>
      <c r="B203" s="36" t="n"/>
      <c r="C203" s="36" t="n"/>
      <c r="D203" s="37" t="n"/>
      <c r="E203" s="36" t="n"/>
    </row>
    <row r="204">
      <c r="A204" s="38" t="n"/>
      <c r="B204" s="38" t="n"/>
      <c r="C204" s="38" t="n"/>
      <c r="D204" s="39" t="n"/>
      <c r="E204" s="38" t="n"/>
    </row>
  </sheetData>
  <autoFilter ref="A4:E204"/>
  <mergeCells count="1">
    <mergeCell ref="A1:E1"/>
  </mergeCells>
  <dataValidations count="1">
    <dataValidation sqref="C5:C204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8" customWidth="1" min="4" max="4"/>
    <col width="17" customWidth="1" min="5" max="5"/>
    <col width="12" customWidth="1" min="6" max="6"/>
    <col width="14" customWidth="1" min="7" max="7"/>
    <col width="13" customWidth="1" min="8" max="8"/>
    <col width="15" customWidth="1" min="9" max="9"/>
    <col width="14" customWidth="1" min="10" max="10"/>
    <col width="16" customWidth="1" min="11" max="11"/>
    <col width="15" customWidth="1" min="12" max="12"/>
    <col width="14" customWidth="1" min="13" max="13"/>
    <col width="14" customWidth="1" min="14" max="14"/>
    <col width="38" customWidth="1" min="15" max="15"/>
  </cols>
  <sheetData>
    <row r="1">
      <c r="A1" s="28" t="inlineStr">
        <is>
          <t>REGISTRO DE MANIOBRAS</t>
        </is>
      </c>
    </row>
    <row r="4">
      <c r="A4" s="31" t="inlineStr">
        <is>
          <t>No. maniobra</t>
        </is>
      </c>
      <c r="B4" s="31" t="inlineStr">
        <is>
          <t>Fecha</t>
        </is>
      </c>
      <c r="C4" s="31" t="inlineStr">
        <is>
          <t>Horario descarga</t>
        </is>
      </c>
      <c r="D4" s="31" t="inlineStr">
        <is>
          <t>Producto</t>
        </is>
      </c>
      <c r="E4" s="31" t="inlineStr">
        <is>
          <t>Tipo tarifa</t>
        </is>
      </c>
      <c r="F4" s="31" t="inlineStr">
        <is>
          <t>Toneladas</t>
        </is>
      </c>
      <c r="G4" s="31" t="inlineStr">
        <is>
          <t>Tarifa auto</t>
        </is>
      </c>
      <c r="H4" s="31" t="inlineStr">
        <is>
          <t>Ajuste total</t>
        </is>
      </c>
      <c r="I4" s="31" t="inlineStr">
        <is>
          <t>Total maniobra</t>
        </is>
      </c>
      <c r="J4" s="31" t="inlineStr">
        <is>
          <t># trabajadores</t>
        </is>
      </c>
      <c r="K4" s="31" t="inlineStr">
        <is>
          <t>Importe sugerido</t>
        </is>
      </c>
      <c r="L4" s="31" t="inlineStr">
        <is>
          <t>Total manual</t>
        </is>
      </c>
      <c r="M4" s="31" t="inlineStr">
        <is>
          <t>Pendiente</t>
        </is>
      </c>
      <c r="N4" s="31" t="inlineStr">
        <is>
          <t>Estado</t>
        </is>
      </c>
      <c r="O4" s="31" t="inlineStr">
        <is>
          <t>Observaciones</t>
        </is>
      </c>
    </row>
    <row r="5">
      <c r="A5" s="36" t="n"/>
      <c r="B5" s="40" t="n"/>
      <c r="C5" s="36" t="n"/>
      <c r="D5" s="36" t="n"/>
      <c r="E5" s="36" t="n"/>
      <c r="F5" s="36" t="n"/>
      <c r="G5" s="37">
        <f>IF(A5="","",IFERROR(INDEX(Criterios!$B$4:$C$83,MATCH(D5,Criterios!$A$4:$A$83,0),IF(E5="Dentro horario",1,2)),""))</f>
        <v/>
      </c>
      <c r="H5" s="37" t="n"/>
      <c r="I5" s="37">
        <f>IF(A5="","",IF(OR(F5="",G5=""),"",F5*G5+N(H5)))</f>
        <v/>
      </c>
      <c r="J5" s="36">
        <f>IF(A5="","",COUNTIF(Detalle_Pagos!$A$5:$A$2004,A5))</f>
        <v/>
      </c>
      <c r="K5" s="37">
        <f>IF(A5="","",IF(OR(J5=0,I5=""),"",I5/J5))</f>
        <v/>
      </c>
      <c r="L5" s="37">
        <f>IF(A5="","",SUMIF(Detalle_Pagos!$A$5:$A$2004,A5,Detalle_Pagos!$I$5:$I$2004))</f>
        <v/>
      </c>
      <c r="M5" s="37">
        <f>IF(A5="","",SUMIFS(Detalle_Pagos!$I$5:$I$2004,Detalle_Pagos!$A$5:$A$2004,A5,Detalle_Pagos!$J$5:$J$2004,"No"))</f>
        <v/>
      </c>
      <c r="N5" s="36">
        <f>IF(A5="","",IF(J5=0,"Sin detalle",IF(M5=0,"Pagada","Pendiente")))</f>
        <v/>
      </c>
      <c r="O5" s="36" t="n"/>
    </row>
    <row r="6">
      <c r="A6" s="38" t="n"/>
      <c r="B6" s="41" t="n"/>
      <c r="C6" s="38" t="n"/>
      <c r="D6" s="38" t="n"/>
      <c r="E6" s="38" t="n"/>
      <c r="F6" s="38" t="n"/>
      <c r="G6" s="39">
        <f>IF(A6="","",IFERROR(INDEX(Criterios!$B$4:$C$83,MATCH(D6,Criterios!$A$4:$A$83,0),IF(E6="Dentro horario",1,2)),""))</f>
        <v/>
      </c>
      <c r="H6" s="39" t="n"/>
      <c r="I6" s="39">
        <f>IF(A6="","",IF(OR(F6="",G6=""),"",F6*G6+N(H6)))</f>
        <v/>
      </c>
      <c r="J6" s="38">
        <f>IF(A6="","",COUNTIF(Detalle_Pagos!$A$5:$A$2004,A6))</f>
        <v/>
      </c>
      <c r="K6" s="39">
        <f>IF(A6="","",IF(OR(J6=0,I6=""),"",I6/J6))</f>
        <v/>
      </c>
      <c r="L6" s="39">
        <f>IF(A6="","",SUMIF(Detalle_Pagos!$A$5:$A$2004,A6,Detalle_Pagos!$I$5:$I$2004))</f>
        <v/>
      </c>
      <c r="M6" s="39">
        <f>IF(A6="","",SUMIFS(Detalle_Pagos!$I$5:$I$2004,Detalle_Pagos!$A$5:$A$2004,A6,Detalle_Pagos!$J$5:$J$2004,"No"))</f>
        <v/>
      </c>
      <c r="N6" s="38">
        <f>IF(A6="","",IF(J6=0,"Sin detalle",IF(M6=0,"Pagada","Pendiente")))</f>
        <v/>
      </c>
      <c r="O6" s="38" t="n"/>
    </row>
    <row r="7">
      <c r="A7" s="36" t="n"/>
      <c r="B7" s="40" t="n"/>
      <c r="C7" s="36" t="n"/>
      <c r="D7" s="36" t="n"/>
      <c r="E7" s="36" t="n"/>
      <c r="F7" s="36" t="n"/>
      <c r="G7" s="37">
        <f>IF(A7="","",IFERROR(INDEX(Criterios!$B$4:$C$83,MATCH(D7,Criterios!$A$4:$A$83,0),IF(E7="Dentro horario",1,2)),""))</f>
        <v/>
      </c>
      <c r="H7" s="37" t="n"/>
      <c r="I7" s="37">
        <f>IF(A7="","",IF(OR(F7="",G7=""),"",F7*G7+N(H7)))</f>
        <v/>
      </c>
      <c r="J7" s="36">
        <f>IF(A7="","",COUNTIF(Detalle_Pagos!$A$5:$A$2004,A7))</f>
        <v/>
      </c>
      <c r="K7" s="37">
        <f>IF(A7="","",IF(OR(J7=0,I7=""),"",I7/J7))</f>
        <v/>
      </c>
      <c r="L7" s="37">
        <f>IF(A7="","",SUMIF(Detalle_Pagos!$A$5:$A$2004,A7,Detalle_Pagos!$I$5:$I$2004))</f>
        <v/>
      </c>
      <c r="M7" s="37">
        <f>IF(A7="","",SUMIFS(Detalle_Pagos!$I$5:$I$2004,Detalle_Pagos!$A$5:$A$2004,A7,Detalle_Pagos!$J$5:$J$2004,"No"))</f>
        <v/>
      </c>
      <c r="N7" s="36">
        <f>IF(A7="","",IF(J7=0,"Sin detalle",IF(M7=0,"Pagada","Pendiente")))</f>
        <v/>
      </c>
      <c r="O7" s="36" t="n"/>
    </row>
    <row r="8">
      <c r="A8" s="38" t="n"/>
      <c r="B8" s="41" t="n"/>
      <c r="C8" s="38" t="n"/>
      <c r="D8" s="38" t="n"/>
      <c r="E8" s="38" t="n"/>
      <c r="F8" s="38" t="n"/>
      <c r="G8" s="39">
        <f>IF(A8="","",IFERROR(INDEX(Criterios!$B$4:$C$83,MATCH(D8,Criterios!$A$4:$A$83,0),IF(E8="Dentro horario",1,2)),""))</f>
        <v/>
      </c>
      <c r="H8" s="39" t="n"/>
      <c r="I8" s="39">
        <f>IF(A8="","",IF(OR(F8="",G8=""),"",F8*G8+N(H8)))</f>
        <v/>
      </c>
      <c r="J8" s="38">
        <f>IF(A8="","",COUNTIF(Detalle_Pagos!$A$5:$A$2004,A8))</f>
        <v/>
      </c>
      <c r="K8" s="39">
        <f>IF(A8="","",IF(OR(J8=0,I8=""),"",I8/J8))</f>
        <v/>
      </c>
      <c r="L8" s="39">
        <f>IF(A8="","",SUMIF(Detalle_Pagos!$A$5:$A$2004,A8,Detalle_Pagos!$I$5:$I$2004))</f>
        <v/>
      </c>
      <c r="M8" s="39">
        <f>IF(A8="","",SUMIFS(Detalle_Pagos!$I$5:$I$2004,Detalle_Pagos!$A$5:$A$2004,A8,Detalle_Pagos!$J$5:$J$2004,"No"))</f>
        <v/>
      </c>
      <c r="N8" s="38">
        <f>IF(A8="","",IF(J8=0,"Sin detalle",IF(M8=0,"Pagada","Pendiente")))</f>
        <v/>
      </c>
      <c r="O8" s="38" t="n"/>
    </row>
    <row r="9">
      <c r="A9" s="36" t="n"/>
      <c r="B9" s="40" t="n"/>
      <c r="C9" s="36" t="n"/>
      <c r="D9" s="36" t="n"/>
      <c r="E9" s="36" t="n"/>
      <c r="F9" s="36" t="n"/>
      <c r="G9" s="37">
        <f>IF(A9="","",IFERROR(INDEX(Criterios!$B$4:$C$83,MATCH(D9,Criterios!$A$4:$A$83,0),IF(E9="Dentro horario",1,2)),""))</f>
        <v/>
      </c>
      <c r="H9" s="37" t="n"/>
      <c r="I9" s="37">
        <f>IF(A9="","",IF(OR(F9="",G9=""),"",F9*G9+N(H9)))</f>
        <v/>
      </c>
      <c r="J9" s="36">
        <f>IF(A9="","",COUNTIF(Detalle_Pagos!$A$5:$A$2004,A9))</f>
        <v/>
      </c>
      <c r="K9" s="37">
        <f>IF(A9="","",IF(OR(J9=0,I9=""),"",I9/J9))</f>
        <v/>
      </c>
      <c r="L9" s="37">
        <f>IF(A9="","",SUMIF(Detalle_Pagos!$A$5:$A$2004,A9,Detalle_Pagos!$I$5:$I$2004))</f>
        <v/>
      </c>
      <c r="M9" s="37">
        <f>IF(A9="","",SUMIFS(Detalle_Pagos!$I$5:$I$2004,Detalle_Pagos!$A$5:$A$2004,A9,Detalle_Pagos!$J$5:$J$2004,"No"))</f>
        <v/>
      </c>
      <c r="N9" s="36">
        <f>IF(A9="","",IF(J9=0,"Sin detalle",IF(M9=0,"Pagada","Pendiente")))</f>
        <v/>
      </c>
      <c r="O9" s="36" t="n"/>
    </row>
    <row r="10">
      <c r="A10" s="38" t="n"/>
      <c r="B10" s="41" t="n"/>
      <c r="C10" s="38" t="n"/>
      <c r="D10" s="38" t="n"/>
      <c r="E10" s="38" t="n"/>
      <c r="F10" s="38" t="n"/>
      <c r="G10" s="39">
        <f>IF(A10="","",IFERROR(INDEX(Criterios!$B$4:$C$83,MATCH(D10,Criterios!$A$4:$A$83,0),IF(E10="Dentro horario",1,2)),""))</f>
        <v/>
      </c>
      <c r="H10" s="39" t="n"/>
      <c r="I10" s="39">
        <f>IF(A10="","",IF(OR(F10="",G10=""),"",F10*G10+N(H10)))</f>
        <v/>
      </c>
      <c r="J10" s="38">
        <f>IF(A10="","",COUNTIF(Detalle_Pagos!$A$5:$A$2004,A10))</f>
        <v/>
      </c>
      <c r="K10" s="39">
        <f>IF(A10="","",IF(OR(J10=0,I10=""),"",I10/J10))</f>
        <v/>
      </c>
      <c r="L10" s="39">
        <f>IF(A10="","",SUMIF(Detalle_Pagos!$A$5:$A$2004,A10,Detalle_Pagos!$I$5:$I$2004))</f>
        <v/>
      </c>
      <c r="M10" s="39">
        <f>IF(A10="","",SUMIFS(Detalle_Pagos!$I$5:$I$2004,Detalle_Pagos!$A$5:$A$2004,A10,Detalle_Pagos!$J$5:$J$2004,"No"))</f>
        <v/>
      </c>
      <c r="N10" s="38">
        <f>IF(A10="","",IF(J10=0,"Sin detalle",IF(M10=0,"Pagada","Pendiente")))</f>
        <v/>
      </c>
      <c r="O10" s="38" t="n"/>
    </row>
    <row r="11">
      <c r="A11" s="36" t="n"/>
      <c r="B11" s="40" t="n"/>
      <c r="C11" s="36" t="n"/>
      <c r="D11" s="36" t="n"/>
      <c r="E11" s="36" t="n"/>
      <c r="F11" s="36" t="n"/>
      <c r="G11" s="37">
        <f>IF(A11="","",IFERROR(INDEX(Criterios!$B$4:$C$83,MATCH(D11,Criterios!$A$4:$A$83,0),IF(E11="Dentro horario",1,2)),""))</f>
        <v/>
      </c>
      <c r="H11" s="37" t="n"/>
      <c r="I11" s="37">
        <f>IF(A11="","",IF(OR(F11="",G11=""),"",F11*G11+N(H11)))</f>
        <v/>
      </c>
      <c r="J11" s="36">
        <f>IF(A11="","",COUNTIF(Detalle_Pagos!$A$5:$A$2004,A11))</f>
        <v/>
      </c>
      <c r="K11" s="37">
        <f>IF(A11="","",IF(OR(J11=0,I11=""),"",I11/J11))</f>
        <v/>
      </c>
      <c r="L11" s="37">
        <f>IF(A11="","",SUMIF(Detalle_Pagos!$A$5:$A$2004,A11,Detalle_Pagos!$I$5:$I$2004))</f>
        <v/>
      </c>
      <c r="M11" s="37">
        <f>IF(A11="","",SUMIFS(Detalle_Pagos!$I$5:$I$2004,Detalle_Pagos!$A$5:$A$2004,A11,Detalle_Pagos!$J$5:$J$2004,"No"))</f>
        <v/>
      </c>
      <c r="N11" s="36">
        <f>IF(A11="","",IF(J11=0,"Sin detalle",IF(M11=0,"Pagada","Pendiente")))</f>
        <v/>
      </c>
      <c r="O11" s="36" t="n"/>
    </row>
    <row r="12">
      <c r="A12" s="38" t="n"/>
      <c r="B12" s="41" t="n"/>
      <c r="C12" s="38" t="n"/>
      <c r="D12" s="38" t="n"/>
      <c r="E12" s="38" t="n"/>
      <c r="F12" s="38" t="n"/>
      <c r="G12" s="39">
        <f>IF(A12="","",IFERROR(INDEX(Criterios!$B$4:$C$83,MATCH(D12,Criterios!$A$4:$A$83,0),IF(E12="Dentro horario",1,2)),""))</f>
        <v/>
      </c>
      <c r="H12" s="39" t="n"/>
      <c r="I12" s="39">
        <f>IF(A12="","",IF(OR(F12="",G12=""),"",F12*G12+N(H12)))</f>
        <v/>
      </c>
      <c r="J12" s="38">
        <f>IF(A12="","",COUNTIF(Detalle_Pagos!$A$5:$A$2004,A12))</f>
        <v/>
      </c>
      <c r="K12" s="39">
        <f>IF(A12="","",IF(OR(J12=0,I12=""),"",I12/J12))</f>
        <v/>
      </c>
      <c r="L12" s="39">
        <f>IF(A12="","",SUMIF(Detalle_Pagos!$A$5:$A$2004,A12,Detalle_Pagos!$I$5:$I$2004))</f>
        <v/>
      </c>
      <c r="M12" s="39">
        <f>IF(A12="","",SUMIFS(Detalle_Pagos!$I$5:$I$2004,Detalle_Pagos!$A$5:$A$2004,A12,Detalle_Pagos!$J$5:$J$2004,"No"))</f>
        <v/>
      </c>
      <c r="N12" s="38">
        <f>IF(A12="","",IF(J12=0,"Sin detalle",IF(M12=0,"Pagada","Pendiente")))</f>
        <v/>
      </c>
      <c r="O12" s="38" t="n"/>
    </row>
    <row r="13">
      <c r="A13" s="36" t="n"/>
      <c r="B13" s="40" t="n"/>
      <c r="C13" s="36" t="n"/>
      <c r="D13" s="36" t="n"/>
      <c r="E13" s="36" t="n"/>
      <c r="F13" s="36" t="n"/>
      <c r="G13" s="37">
        <f>IF(A13="","",IFERROR(INDEX(Criterios!$B$4:$C$83,MATCH(D13,Criterios!$A$4:$A$83,0),IF(E13="Dentro horario",1,2)),""))</f>
        <v/>
      </c>
      <c r="H13" s="37" t="n"/>
      <c r="I13" s="37">
        <f>IF(A13="","",IF(OR(F13="",G13=""),"",F13*G13+N(H13)))</f>
        <v/>
      </c>
      <c r="J13" s="36">
        <f>IF(A13="","",COUNTIF(Detalle_Pagos!$A$5:$A$2004,A13))</f>
        <v/>
      </c>
      <c r="K13" s="37">
        <f>IF(A13="","",IF(OR(J13=0,I13=""),"",I13/J13))</f>
        <v/>
      </c>
      <c r="L13" s="37">
        <f>IF(A13="","",SUMIF(Detalle_Pagos!$A$5:$A$2004,A13,Detalle_Pagos!$I$5:$I$2004))</f>
        <v/>
      </c>
      <c r="M13" s="37">
        <f>IF(A13="","",SUMIFS(Detalle_Pagos!$I$5:$I$2004,Detalle_Pagos!$A$5:$A$2004,A13,Detalle_Pagos!$J$5:$J$2004,"No"))</f>
        <v/>
      </c>
      <c r="N13" s="36">
        <f>IF(A13="","",IF(J13=0,"Sin detalle",IF(M13=0,"Pagada","Pendiente")))</f>
        <v/>
      </c>
      <c r="O13" s="36" t="n"/>
    </row>
    <row r="14">
      <c r="A14" s="38" t="n"/>
      <c r="B14" s="41" t="n"/>
      <c r="C14" s="38" t="n"/>
      <c r="D14" s="38" t="n"/>
      <c r="E14" s="38" t="n"/>
      <c r="F14" s="38" t="n"/>
      <c r="G14" s="39">
        <f>IF(A14="","",IFERROR(INDEX(Criterios!$B$4:$C$83,MATCH(D14,Criterios!$A$4:$A$83,0),IF(E14="Dentro horario",1,2)),""))</f>
        <v/>
      </c>
      <c r="H14" s="39" t="n"/>
      <c r="I14" s="39">
        <f>IF(A14="","",IF(OR(F14="",G14=""),"",F14*G14+N(H14)))</f>
        <v/>
      </c>
      <c r="J14" s="38">
        <f>IF(A14="","",COUNTIF(Detalle_Pagos!$A$5:$A$2004,A14))</f>
        <v/>
      </c>
      <c r="K14" s="39">
        <f>IF(A14="","",IF(OR(J14=0,I14=""),"",I14/J14))</f>
        <v/>
      </c>
      <c r="L14" s="39">
        <f>IF(A14="","",SUMIF(Detalle_Pagos!$A$5:$A$2004,A14,Detalle_Pagos!$I$5:$I$2004))</f>
        <v/>
      </c>
      <c r="M14" s="39">
        <f>IF(A14="","",SUMIFS(Detalle_Pagos!$I$5:$I$2004,Detalle_Pagos!$A$5:$A$2004,A14,Detalle_Pagos!$J$5:$J$2004,"No"))</f>
        <v/>
      </c>
      <c r="N14" s="38">
        <f>IF(A14="","",IF(J14=0,"Sin detalle",IF(M14=0,"Pagada","Pendiente")))</f>
        <v/>
      </c>
      <c r="O14" s="38" t="n"/>
    </row>
    <row r="15">
      <c r="A15" s="36" t="n"/>
      <c r="B15" s="40" t="n"/>
      <c r="C15" s="36" t="n"/>
      <c r="D15" s="36" t="n"/>
      <c r="E15" s="36" t="n"/>
      <c r="F15" s="36" t="n"/>
      <c r="G15" s="37">
        <f>IF(A15="","",IFERROR(INDEX(Criterios!$B$4:$C$83,MATCH(D15,Criterios!$A$4:$A$83,0),IF(E15="Dentro horario",1,2)),""))</f>
        <v/>
      </c>
      <c r="H15" s="37" t="n"/>
      <c r="I15" s="37">
        <f>IF(A15="","",IF(OR(F15="",G15=""),"",F15*G15+N(H15)))</f>
        <v/>
      </c>
      <c r="J15" s="36">
        <f>IF(A15="","",COUNTIF(Detalle_Pagos!$A$5:$A$2004,A15))</f>
        <v/>
      </c>
      <c r="K15" s="37">
        <f>IF(A15="","",IF(OR(J15=0,I15=""),"",I15/J15))</f>
        <v/>
      </c>
      <c r="L15" s="37">
        <f>IF(A15="","",SUMIF(Detalle_Pagos!$A$5:$A$2004,A15,Detalle_Pagos!$I$5:$I$2004))</f>
        <v/>
      </c>
      <c r="M15" s="37">
        <f>IF(A15="","",SUMIFS(Detalle_Pagos!$I$5:$I$2004,Detalle_Pagos!$A$5:$A$2004,A15,Detalle_Pagos!$J$5:$J$2004,"No"))</f>
        <v/>
      </c>
      <c r="N15" s="36">
        <f>IF(A15="","",IF(J15=0,"Sin detalle",IF(M15=0,"Pagada","Pendiente")))</f>
        <v/>
      </c>
      <c r="O15" s="36" t="n"/>
    </row>
    <row r="16">
      <c r="A16" s="38" t="n"/>
      <c r="B16" s="41" t="n"/>
      <c r="C16" s="38" t="n"/>
      <c r="D16" s="38" t="n"/>
      <c r="E16" s="38" t="n"/>
      <c r="F16" s="38" t="n"/>
      <c r="G16" s="39">
        <f>IF(A16="","",IFERROR(INDEX(Criterios!$B$4:$C$83,MATCH(D16,Criterios!$A$4:$A$83,0),IF(E16="Dentro horario",1,2)),""))</f>
        <v/>
      </c>
      <c r="H16" s="39" t="n"/>
      <c r="I16" s="39">
        <f>IF(A16="","",IF(OR(F16="",G16=""),"",F16*G16+N(H16)))</f>
        <v/>
      </c>
      <c r="J16" s="38">
        <f>IF(A16="","",COUNTIF(Detalle_Pagos!$A$5:$A$2004,A16))</f>
        <v/>
      </c>
      <c r="K16" s="39">
        <f>IF(A16="","",IF(OR(J16=0,I16=""),"",I16/J16))</f>
        <v/>
      </c>
      <c r="L16" s="39">
        <f>IF(A16="","",SUMIF(Detalle_Pagos!$A$5:$A$2004,A16,Detalle_Pagos!$I$5:$I$2004))</f>
        <v/>
      </c>
      <c r="M16" s="39">
        <f>IF(A16="","",SUMIFS(Detalle_Pagos!$I$5:$I$2004,Detalle_Pagos!$A$5:$A$2004,A16,Detalle_Pagos!$J$5:$J$2004,"No"))</f>
        <v/>
      </c>
      <c r="N16" s="38">
        <f>IF(A16="","",IF(J16=0,"Sin detalle",IF(M16=0,"Pagada","Pendiente")))</f>
        <v/>
      </c>
      <c r="O16" s="38" t="n"/>
    </row>
    <row r="17">
      <c r="A17" s="36" t="n"/>
      <c r="B17" s="40" t="n"/>
      <c r="C17" s="36" t="n"/>
      <c r="D17" s="36" t="n"/>
      <c r="E17" s="36" t="n"/>
      <c r="F17" s="36" t="n"/>
      <c r="G17" s="37">
        <f>IF(A17="","",IFERROR(INDEX(Criterios!$B$4:$C$83,MATCH(D17,Criterios!$A$4:$A$83,0),IF(E17="Dentro horario",1,2)),""))</f>
        <v/>
      </c>
      <c r="H17" s="37" t="n"/>
      <c r="I17" s="37">
        <f>IF(A17="","",IF(OR(F17="",G17=""),"",F17*G17+N(H17)))</f>
        <v/>
      </c>
      <c r="J17" s="36">
        <f>IF(A17="","",COUNTIF(Detalle_Pagos!$A$5:$A$2004,A17))</f>
        <v/>
      </c>
      <c r="K17" s="37">
        <f>IF(A17="","",IF(OR(J17=0,I17=""),"",I17/J17))</f>
        <v/>
      </c>
      <c r="L17" s="37">
        <f>IF(A17="","",SUMIF(Detalle_Pagos!$A$5:$A$2004,A17,Detalle_Pagos!$I$5:$I$2004))</f>
        <v/>
      </c>
      <c r="M17" s="37">
        <f>IF(A17="","",SUMIFS(Detalle_Pagos!$I$5:$I$2004,Detalle_Pagos!$A$5:$A$2004,A17,Detalle_Pagos!$J$5:$J$2004,"No"))</f>
        <v/>
      </c>
      <c r="N17" s="36">
        <f>IF(A17="","",IF(J17=0,"Sin detalle",IF(M17=0,"Pagada","Pendiente")))</f>
        <v/>
      </c>
      <c r="O17" s="36" t="n"/>
    </row>
    <row r="18">
      <c r="A18" s="38" t="n"/>
      <c r="B18" s="41" t="n"/>
      <c r="C18" s="38" t="n"/>
      <c r="D18" s="38" t="n"/>
      <c r="E18" s="38" t="n"/>
      <c r="F18" s="38" t="n"/>
      <c r="G18" s="39">
        <f>IF(A18="","",IFERROR(INDEX(Criterios!$B$4:$C$83,MATCH(D18,Criterios!$A$4:$A$83,0),IF(E18="Dentro horario",1,2)),""))</f>
        <v/>
      </c>
      <c r="H18" s="39" t="n"/>
      <c r="I18" s="39">
        <f>IF(A18="","",IF(OR(F18="",G18=""),"",F18*G18+N(H18)))</f>
        <v/>
      </c>
      <c r="J18" s="38">
        <f>IF(A18="","",COUNTIF(Detalle_Pagos!$A$5:$A$2004,A18))</f>
        <v/>
      </c>
      <c r="K18" s="39">
        <f>IF(A18="","",IF(OR(J18=0,I18=""),"",I18/J18))</f>
        <v/>
      </c>
      <c r="L18" s="39">
        <f>IF(A18="","",SUMIF(Detalle_Pagos!$A$5:$A$2004,A18,Detalle_Pagos!$I$5:$I$2004))</f>
        <v/>
      </c>
      <c r="M18" s="39">
        <f>IF(A18="","",SUMIFS(Detalle_Pagos!$I$5:$I$2004,Detalle_Pagos!$A$5:$A$2004,A18,Detalle_Pagos!$J$5:$J$2004,"No"))</f>
        <v/>
      </c>
      <c r="N18" s="38">
        <f>IF(A18="","",IF(J18=0,"Sin detalle",IF(M18=0,"Pagada","Pendiente")))</f>
        <v/>
      </c>
      <c r="O18" s="38" t="n"/>
    </row>
    <row r="19">
      <c r="A19" s="36" t="n"/>
      <c r="B19" s="40" t="n"/>
      <c r="C19" s="36" t="n"/>
      <c r="D19" s="36" t="n"/>
      <c r="E19" s="36" t="n"/>
      <c r="F19" s="36" t="n"/>
      <c r="G19" s="37">
        <f>IF(A19="","",IFERROR(INDEX(Criterios!$B$4:$C$83,MATCH(D19,Criterios!$A$4:$A$83,0),IF(E19="Dentro horario",1,2)),""))</f>
        <v/>
      </c>
      <c r="H19" s="37" t="n"/>
      <c r="I19" s="37">
        <f>IF(A19="","",IF(OR(F19="",G19=""),"",F19*G19+N(H19)))</f>
        <v/>
      </c>
      <c r="J19" s="36">
        <f>IF(A19="","",COUNTIF(Detalle_Pagos!$A$5:$A$2004,A19))</f>
        <v/>
      </c>
      <c r="K19" s="37">
        <f>IF(A19="","",IF(OR(J19=0,I19=""),"",I19/J19))</f>
        <v/>
      </c>
      <c r="L19" s="37">
        <f>IF(A19="","",SUMIF(Detalle_Pagos!$A$5:$A$2004,A19,Detalle_Pagos!$I$5:$I$2004))</f>
        <v/>
      </c>
      <c r="M19" s="37">
        <f>IF(A19="","",SUMIFS(Detalle_Pagos!$I$5:$I$2004,Detalle_Pagos!$A$5:$A$2004,A19,Detalle_Pagos!$J$5:$J$2004,"No"))</f>
        <v/>
      </c>
      <c r="N19" s="36">
        <f>IF(A19="","",IF(J19=0,"Sin detalle",IF(M19=0,"Pagada","Pendiente")))</f>
        <v/>
      </c>
      <c r="O19" s="36" t="n"/>
    </row>
    <row r="20">
      <c r="A20" s="38" t="n"/>
      <c r="B20" s="41" t="n"/>
      <c r="C20" s="38" t="n"/>
      <c r="D20" s="38" t="n"/>
      <c r="E20" s="38" t="n"/>
      <c r="F20" s="38" t="n"/>
      <c r="G20" s="39">
        <f>IF(A20="","",IFERROR(INDEX(Criterios!$B$4:$C$83,MATCH(D20,Criterios!$A$4:$A$83,0),IF(E20="Dentro horario",1,2)),""))</f>
        <v/>
      </c>
      <c r="H20" s="39" t="n"/>
      <c r="I20" s="39">
        <f>IF(A20="","",IF(OR(F20="",G20=""),"",F20*G20+N(H20)))</f>
        <v/>
      </c>
      <c r="J20" s="38">
        <f>IF(A20="","",COUNTIF(Detalle_Pagos!$A$5:$A$2004,A20))</f>
        <v/>
      </c>
      <c r="K20" s="39">
        <f>IF(A20="","",IF(OR(J20=0,I20=""),"",I20/J20))</f>
        <v/>
      </c>
      <c r="L20" s="39">
        <f>IF(A20="","",SUMIF(Detalle_Pagos!$A$5:$A$2004,A20,Detalle_Pagos!$I$5:$I$2004))</f>
        <v/>
      </c>
      <c r="M20" s="39">
        <f>IF(A20="","",SUMIFS(Detalle_Pagos!$I$5:$I$2004,Detalle_Pagos!$A$5:$A$2004,A20,Detalle_Pagos!$J$5:$J$2004,"No"))</f>
        <v/>
      </c>
      <c r="N20" s="38">
        <f>IF(A20="","",IF(J20=0,"Sin detalle",IF(M20=0,"Pagada","Pendiente")))</f>
        <v/>
      </c>
      <c r="O20" s="38" t="n"/>
    </row>
    <row r="21">
      <c r="A21" s="36" t="n"/>
      <c r="B21" s="40" t="n"/>
      <c r="C21" s="36" t="n"/>
      <c r="D21" s="36" t="n"/>
      <c r="E21" s="36" t="n"/>
      <c r="F21" s="36" t="n"/>
      <c r="G21" s="37">
        <f>IF(A21="","",IFERROR(INDEX(Criterios!$B$4:$C$83,MATCH(D21,Criterios!$A$4:$A$83,0),IF(E21="Dentro horario",1,2)),""))</f>
        <v/>
      </c>
      <c r="H21" s="37" t="n"/>
      <c r="I21" s="37">
        <f>IF(A21="","",IF(OR(F21="",G21=""),"",F21*G21+N(H21)))</f>
        <v/>
      </c>
      <c r="J21" s="36">
        <f>IF(A21="","",COUNTIF(Detalle_Pagos!$A$5:$A$2004,A21))</f>
        <v/>
      </c>
      <c r="K21" s="37">
        <f>IF(A21="","",IF(OR(J21=0,I21=""),"",I21/J21))</f>
        <v/>
      </c>
      <c r="L21" s="37">
        <f>IF(A21="","",SUMIF(Detalle_Pagos!$A$5:$A$2004,A21,Detalle_Pagos!$I$5:$I$2004))</f>
        <v/>
      </c>
      <c r="M21" s="37">
        <f>IF(A21="","",SUMIFS(Detalle_Pagos!$I$5:$I$2004,Detalle_Pagos!$A$5:$A$2004,A21,Detalle_Pagos!$J$5:$J$2004,"No"))</f>
        <v/>
      </c>
      <c r="N21" s="36">
        <f>IF(A21="","",IF(J21=0,"Sin detalle",IF(M21=0,"Pagada","Pendiente")))</f>
        <v/>
      </c>
      <c r="O21" s="36" t="n"/>
    </row>
    <row r="22">
      <c r="A22" s="38" t="n"/>
      <c r="B22" s="41" t="n"/>
      <c r="C22" s="38" t="n"/>
      <c r="D22" s="38" t="n"/>
      <c r="E22" s="38" t="n"/>
      <c r="F22" s="38" t="n"/>
      <c r="G22" s="39">
        <f>IF(A22="","",IFERROR(INDEX(Criterios!$B$4:$C$83,MATCH(D22,Criterios!$A$4:$A$83,0),IF(E22="Dentro horario",1,2)),""))</f>
        <v/>
      </c>
      <c r="H22" s="39" t="n"/>
      <c r="I22" s="39">
        <f>IF(A22="","",IF(OR(F22="",G22=""),"",F22*G22+N(H22)))</f>
        <v/>
      </c>
      <c r="J22" s="38">
        <f>IF(A22="","",COUNTIF(Detalle_Pagos!$A$5:$A$2004,A22))</f>
        <v/>
      </c>
      <c r="K22" s="39">
        <f>IF(A22="","",IF(OR(J22=0,I22=""),"",I22/J22))</f>
        <v/>
      </c>
      <c r="L22" s="39">
        <f>IF(A22="","",SUMIF(Detalle_Pagos!$A$5:$A$2004,A22,Detalle_Pagos!$I$5:$I$2004))</f>
        <v/>
      </c>
      <c r="M22" s="39">
        <f>IF(A22="","",SUMIFS(Detalle_Pagos!$I$5:$I$2004,Detalle_Pagos!$A$5:$A$2004,A22,Detalle_Pagos!$J$5:$J$2004,"No"))</f>
        <v/>
      </c>
      <c r="N22" s="38">
        <f>IF(A22="","",IF(J22=0,"Sin detalle",IF(M22=0,"Pagada","Pendiente")))</f>
        <v/>
      </c>
      <c r="O22" s="38" t="n"/>
    </row>
    <row r="23">
      <c r="A23" s="36" t="n"/>
      <c r="B23" s="40" t="n"/>
      <c r="C23" s="36" t="n"/>
      <c r="D23" s="36" t="n"/>
      <c r="E23" s="36" t="n"/>
      <c r="F23" s="36" t="n"/>
      <c r="G23" s="37">
        <f>IF(A23="","",IFERROR(INDEX(Criterios!$B$4:$C$83,MATCH(D23,Criterios!$A$4:$A$83,0),IF(E23="Dentro horario",1,2)),""))</f>
        <v/>
      </c>
      <c r="H23" s="37" t="n"/>
      <c r="I23" s="37">
        <f>IF(A23="","",IF(OR(F23="",G23=""),"",F23*G23+N(H23)))</f>
        <v/>
      </c>
      <c r="J23" s="36">
        <f>IF(A23="","",COUNTIF(Detalle_Pagos!$A$5:$A$2004,A23))</f>
        <v/>
      </c>
      <c r="K23" s="37">
        <f>IF(A23="","",IF(OR(J23=0,I23=""),"",I23/J23))</f>
        <v/>
      </c>
      <c r="L23" s="37">
        <f>IF(A23="","",SUMIF(Detalle_Pagos!$A$5:$A$2004,A23,Detalle_Pagos!$I$5:$I$2004))</f>
        <v/>
      </c>
      <c r="M23" s="37">
        <f>IF(A23="","",SUMIFS(Detalle_Pagos!$I$5:$I$2004,Detalle_Pagos!$A$5:$A$2004,A23,Detalle_Pagos!$J$5:$J$2004,"No"))</f>
        <v/>
      </c>
      <c r="N23" s="36">
        <f>IF(A23="","",IF(J23=0,"Sin detalle",IF(M23=0,"Pagada","Pendiente")))</f>
        <v/>
      </c>
      <c r="O23" s="36" t="n"/>
    </row>
    <row r="24">
      <c r="A24" s="38" t="n"/>
      <c r="B24" s="41" t="n"/>
      <c r="C24" s="38" t="n"/>
      <c r="D24" s="38" t="n"/>
      <c r="E24" s="38" t="n"/>
      <c r="F24" s="38" t="n"/>
      <c r="G24" s="39">
        <f>IF(A24="","",IFERROR(INDEX(Criterios!$B$4:$C$83,MATCH(D24,Criterios!$A$4:$A$83,0),IF(E24="Dentro horario",1,2)),""))</f>
        <v/>
      </c>
      <c r="H24" s="39" t="n"/>
      <c r="I24" s="39">
        <f>IF(A24="","",IF(OR(F24="",G24=""),"",F24*G24+N(H24)))</f>
        <v/>
      </c>
      <c r="J24" s="38">
        <f>IF(A24="","",COUNTIF(Detalle_Pagos!$A$5:$A$2004,A24))</f>
        <v/>
      </c>
      <c r="K24" s="39">
        <f>IF(A24="","",IF(OR(J24=0,I24=""),"",I24/J24))</f>
        <v/>
      </c>
      <c r="L24" s="39">
        <f>IF(A24="","",SUMIF(Detalle_Pagos!$A$5:$A$2004,A24,Detalle_Pagos!$I$5:$I$2004))</f>
        <v/>
      </c>
      <c r="M24" s="39">
        <f>IF(A24="","",SUMIFS(Detalle_Pagos!$I$5:$I$2004,Detalle_Pagos!$A$5:$A$2004,A24,Detalle_Pagos!$J$5:$J$2004,"No"))</f>
        <v/>
      </c>
      <c r="N24" s="38">
        <f>IF(A24="","",IF(J24=0,"Sin detalle",IF(M24=0,"Pagada","Pendiente")))</f>
        <v/>
      </c>
      <c r="O24" s="38" t="n"/>
    </row>
    <row r="25">
      <c r="A25" s="36" t="n"/>
      <c r="B25" s="40" t="n"/>
      <c r="C25" s="36" t="n"/>
      <c r="D25" s="36" t="n"/>
      <c r="E25" s="36" t="n"/>
      <c r="F25" s="36" t="n"/>
      <c r="G25" s="37">
        <f>IF(A25="","",IFERROR(INDEX(Criterios!$B$4:$C$83,MATCH(D25,Criterios!$A$4:$A$83,0),IF(E25="Dentro horario",1,2)),""))</f>
        <v/>
      </c>
      <c r="H25" s="37" t="n"/>
      <c r="I25" s="37">
        <f>IF(A25="","",IF(OR(F25="",G25=""),"",F25*G25+N(H25)))</f>
        <v/>
      </c>
      <c r="J25" s="36">
        <f>IF(A25="","",COUNTIF(Detalle_Pagos!$A$5:$A$2004,A25))</f>
        <v/>
      </c>
      <c r="K25" s="37">
        <f>IF(A25="","",IF(OR(J25=0,I25=""),"",I25/J25))</f>
        <v/>
      </c>
      <c r="L25" s="37">
        <f>IF(A25="","",SUMIF(Detalle_Pagos!$A$5:$A$2004,A25,Detalle_Pagos!$I$5:$I$2004))</f>
        <v/>
      </c>
      <c r="M25" s="37">
        <f>IF(A25="","",SUMIFS(Detalle_Pagos!$I$5:$I$2004,Detalle_Pagos!$A$5:$A$2004,A25,Detalle_Pagos!$J$5:$J$2004,"No"))</f>
        <v/>
      </c>
      <c r="N25" s="36">
        <f>IF(A25="","",IF(J25=0,"Sin detalle",IF(M25=0,"Pagada","Pendiente")))</f>
        <v/>
      </c>
      <c r="O25" s="36" t="n"/>
    </row>
    <row r="26">
      <c r="A26" s="38" t="n"/>
      <c r="B26" s="41" t="n"/>
      <c r="C26" s="38" t="n"/>
      <c r="D26" s="38" t="n"/>
      <c r="E26" s="38" t="n"/>
      <c r="F26" s="38" t="n"/>
      <c r="G26" s="39">
        <f>IF(A26="","",IFERROR(INDEX(Criterios!$B$4:$C$83,MATCH(D26,Criterios!$A$4:$A$83,0),IF(E26="Dentro horario",1,2)),""))</f>
        <v/>
      </c>
      <c r="H26" s="39" t="n"/>
      <c r="I26" s="39">
        <f>IF(A26="","",IF(OR(F26="",G26=""),"",F26*G26+N(H26)))</f>
        <v/>
      </c>
      <c r="J26" s="38">
        <f>IF(A26="","",COUNTIF(Detalle_Pagos!$A$5:$A$2004,A26))</f>
        <v/>
      </c>
      <c r="K26" s="39">
        <f>IF(A26="","",IF(OR(J26=0,I26=""),"",I26/J26))</f>
        <v/>
      </c>
      <c r="L26" s="39">
        <f>IF(A26="","",SUMIF(Detalle_Pagos!$A$5:$A$2004,A26,Detalle_Pagos!$I$5:$I$2004))</f>
        <v/>
      </c>
      <c r="M26" s="39">
        <f>IF(A26="","",SUMIFS(Detalle_Pagos!$I$5:$I$2004,Detalle_Pagos!$A$5:$A$2004,A26,Detalle_Pagos!$J$5:$J$2004,"No"))</f>
        <v/>
      </c>
      <c r="N26" s="38">
        <f>IF(A26="","",IF(J26=0,"Sin detalle",IF(M26=0,"Pagada","Pendiente")))</f>
        <v/>
      </c>
      <c r="O26" s="38" t="n"/>
    </row>
    <row r="27">
      <c r="A27" s="36" t="n"/>
      <c r="B27" s="40" t="n"/>
      <c r="C27" s="36" t="n"/>
      <c r="D27" s="36" t="n"/>
      <c r="E27" s="36" t="n"/>
      <c r="F27" s="36" t="n"/>
      <c r="G27" s="37">
        <f>IF(A27="","",IFERROR(INDEX(Criterios!$B$4:$C$83,MATCH(D27,Criterios!$A$4:$A$83,0),IF(E27="Dentro horario",1,2)),""))</f>
        <v/>
      </c>
      <c r="H27" s="37" t="n"/>
      <c r="I27" s="37">
        <f>IF(A27="","",IF(OR(F27="",G27=""),"",F27*G27+N(H27)))</f>
        <v/>
      </c>
      <c r="J27" s="36">
        <f>IF(A27="","",COUNTIF(Detalle_Pagos!$A$5:$A$2004,A27))</f>
        <v/>
      </c>
      <c r="K27" s="37">
        <f>IF(A27="","",IF(OR(J27=0,I27=""),"",I27/J27))</f>
        <v/>
      </c>
      <c r="L27" s="37">
        <f>IF(A27="","",SUMIF(Detalle_Pagos!$A$5:$A$2004,A27,Detalle_Pagos!$I$5:$I$2004))</f>
        <v/>
      </c>
      <c r="M27" s="37">
        <f>IF(A27="","",SUMIFS(Detalle_Pagos!$I$5:$I$2004,Detalle_Pagos!$A$5:$A$2004,A27,Detalle_Pagos!$J$5:$J$2004,"No"))</f>
        <v/>
      </c>
      <c r="N27" s="36">
        <f>IF(A27="","",IF(J27=0,"Sin detalle",IF(M27=0,"Pagada","Pendiente")))</f>
        <v/>
      </c>
      <c r="O27" s="36" t="n"/>
    </row>
    <row r="28">
      <c r="A28" s="38" t="n"/>
      <c r="B28" s="41" t="n"/>
      <c r="C28" s="38" t="n"/>
      <c r="D28" s="38" t="n"/>
      <c r="E28" s="38" t="n"/>
      <c r="F28" s="38" t="n"/>
      <c r="G28" s="39">
        <f>IF(A28="","",IFERROR(INDEX(Criterios!$B$4:$C$83,MATCH(D28,Criterios!$A$4:$A$83,0),IF(E28="Dentro horario",1,2)),""))</f>
        <v/>
      </c>
      <c r="H28" s="39" t="n"/>
      <c r="I28" s="39">
        <f>IF(A28="","",IF(OR(F28="",G28=""),"",F28*G28+N(H28)))</f>
        <v/>
      </c>
      <c r="J28" s="38">
        <f>IF(A28="","",COUNTIF(Detalle_Pagos!$A$5:$A$2004,A28))</f>
        <v/>
      </c>
      <c r="K28" s="39">
        <f>IF(A28="","",IF(OR(J28=0,I28=""),"",I28/J28))</f>
        <v/>
      </c>
      <c r="L28" s="39">
        <f>IF(A28="","",SUMIF(Detalle_Pagos!$A$5:$A$2004,A28,Detalle_Pagos!$I$5:$I$2004))</f>
        <v/>
      </c>
      <c r="M28" s="39">
        <f>IF(A28="","",SUMIFS(Detalle_Pagos!$I$5:$I$2004,Detalle_Pagos!$A$5:$A$2004,A28,Detalle_Pagos!$J$5:$J$2004,"No"))</f>
        <v/>
      </c>
      <c r="N28" s="38">
        <f>IF(A28="","",IF(J28=0,"Sin detalle",IF(M28=0,"Pagada","Pendiente")))</f>
        <v/>
      </c>
      <c r="O28" s="38" t="n"/>
    </row>
    <row r="29">
      <c r="A29" s="36" t="n"/>
      <c r="B29" s="40" t="n"/>
      <c r="C29" s="36" t="n"/>
      <c r="D29" s="36" t="n"/>
      <c r="E29" s="36" t="n"/>
      <c r="F29" s="36" t="n"/>
      <c r="G29" s="37">
        <f>IF(A29="","",IFERROR(INDEX(Criterios!$B$4:$C$83,MATCH(D29,Criterios!$A$4:$A$83,0),IF(E29="Dentro horario",1,2)),""))</f>
        <v/>
      </c>
      <c r="H29" s="37" t="n"/>
      <c r="I29" s="37">
        <f>IF(A29="","",IF(OR(F29="",G29=""),"",F29*G29+N(H29)))</f>
        <v/>
      </c>
      <c r="J29" s="36">
        <f>IF(A29="","",COUNTIF(Detalle_Pagos!$A$5:$A$2004,A29))</f>
        <v/>
      </c>
      <c r="K29" s="37">
        <f>IF(A29="","",IF(OR(J29=0,I29=""),"",I29/J29))</f>
        <v/>
      </c>
      <c r="L29" s="37">
        <f>IF(A29="","",SUMIF(Detalle_Pagos!$A$5:$A$2004,A29,Detalle_Pagos!$I$5:$I$2004))</f>
        <v/>
      </c>
      <c r="M29" s="37">
        <f>IF(A29="","",SUMIFS(Detalle_Pagos!$I$5:$I$2004,Detalle_Pagos!$A$5:$A$2004,A29,Detalle_Pagos!$J$5:$J$2004,"No"))</f>
        <v/>
      </c>
      <c r="N29" s="36">
        <f>IF(A29="","",IF(J29=0,"Sin detalle",IF(M29=0,"Pagada","Pendiente")))</f>
        <v/>
      </c>
      <c r="O29" s="36" t="n"/>
    </row>
    <row r="30">
      <c r="A30" s="38" t="n"/>
      <c r="B30" s="41" t="n"/>
      <c r="C30" s="38" t="n"/>
      <c r="D30" s="38" t="n"/>
      <c r="E30" s="38" t="n"/>
      <c r="F30" s="38" t="n"/>
      <c r="G30" s="39">
        <f>IF(A30="","",IFERROR(INDEX(Criterios!$B$4:$C$83,MATCH(D30,Criterios!$A$4:$A$83,0),IF(E30="Dentro horario",1,2)),""))</f>
        <v/>
      </c>
      <c r="H30" s="39" t="n"/>
      <c r="I30" s="39">
        <f>IF(A30="","",IF(OR(F30="",G30=""),"",F30*G30+N(H30)))</f>
        <v/>
      </c>
      <c r="J30" s="38">
        <f>IF(A30="","",COUNTIF(Detalle_Pagos!$A$5:$A$2004,A30))</f>
        <v/>
      </c>
      <c r="K30" s="39">
        <f>IF(A30="","",IF(OR(J30=0,I30=""),"",I30/J30))</f>
        <v/>
      </c>
      <c r="L30" s="39">
        <f>IF(A30="","",SUMIF(Detalle_Pagos!$A$5:$A$2004,A30,Detalle_Pagos!$I$5:$I$2004))</f>
        <v/>
      </c>
      <c r="M30" s="39">
        <f>IF(A30="","",SUMIFS(Detalle_Pagos!$I$5:$I$2004,Detalle_Pagos!$A$5:$A$2004,A30,Detalle_Pagos!$J$5:$J$2004,"No"))</f>
        <v/>
      </c>
      <c r="N30" s="38">
        <f>IF(A30="","",IF(J30=0,"Sin detalle",IF(M30=0,"Pagada","Pendiente")))</f>
        <v/>
      </c>
      <c r="O30" s="38" t="n"/>
    </row>
    <row r="31">
      <c r="A31" s="36" t="n"/>
      <c r="B31" s="40" t="n"/>
      <c r="C31" s="36" t="n"/>
      <c r="D31" s="36" t="n"/>
      <c r="E31" s="36" t="n"/>
      <c r="F31" s="36" t="n"/>
      <c r="G31" s="37">
        <f>IF(A31="","",IFERROR(INDEX(Criterios!$B$4:$C$83,MATCH(D31,Criterios!$A$4:$A$83,0),IF(E31="Dentro horario",1,2)),""))</f>
        <v/>
      </c>
      <c r="H31" s="37" t="n"/>
      <c r="I31" s="37">
        <f>IF(A31="","",IF(OR(F31="",G31=""),"",F31*G31+N(H31)))</f>
        <v/>
      </c>
      <c r="J31" s="36">
        <f>IF(A31="","",COUNTIF(Detalle_Pagos!$A$5:$A$2004,A31))</f>
        <v/>
      </c>
      <c r="K31" s="37">
        <f>IF(A31="","",IF(OR(J31=0,I31=""),"",I31/J31))</f>
        <v/>
      </c>
      <c r="L31" s="37">
        <f>IF(A31="","",SUMIF(Detalle_Pagos!$A$5:$A$2004,A31,Detalle_Pagos!$I$5:$I$2004))</f>
        <v/>
      </c>
      <c r="M31" s="37">
        <f>IF(A31="","",SUMIFS(Detalle_Pagos!$I$5:$I$2004,Detalle_Pagos!$A$5:$A$2004,A31,Detalle_Pagos!$J$5:$J$2004,"No"))</f>
        <v/>
      </c>
      <c r="N31" s="36">
        <f>IF(A31="","",IF(J31=0,"Sin detalle",IF(M31=0,"Pagada","Pendiente")))</f>
        <v/>
      </c>
      <c r="O31" s="36" t="n"/>
    </row>
    <row r="32">
      <c r="A32" s="38" t="n"/>
      <c r="B32" s="41" t="n"/>
      <c r="C32" s="38" t="n"/>
      <c r="D32" s="38" t="n"/>
      <c r="E32" s="38" t="n"/>
      <c r="F32" s="38" t="n"/>
      <c r="G32" s="39">
        <f>IF(A32="","",IFERROR(INDEX(Criterios!$B$4:$C$83,MATCH(D32,Criterios!$A$4:$A$83,0),IF(E32="Dentro horario",1,2)),""))</f>
        <v/>
      </c>
      <c r="H32" s="39" t="n"/>
      <c r="I32" s="39">
        <f>IF(A32="","",IF(OR(F32="",G32=""),"",F32*G32+N(H32)))</f>
        <v/>
      </c>
      <c r="J32" s="38">
        <f>IF(A32="","",COUNTIF(Detalle_Pagos!$A$5:$A$2004,A32))</f>
        <v/>
      </c>
      <c r="K32" s="39">
        <f>IF(A32="","",IF(OR(J32=0,I32=""),"",I32/J32))</f>
        <v/>
      </c>
      <c r="L32" s="39">
        <f>IF(A32="","",SUMIF(Detalle_Pagos!$A$5:$A$2004,A32,Detalle_Pagos!$I$5:$I$2004))</f>
        <v/>
      </c>
      <c r="M32" s="39">
        <f>IF(A32="","",SUMIFS(Detalle_Pagos!$I$5:$I$2004,Detalle_Pagos!$A$5:$A$2004,A32,Detalle_Pagos!$J$5:$J$2004,"No"))</f>
        <v/>
      </c>
      <c r="N32" s="38">
        <f>IF(A32="","",IF(J32=0,"Sin detalle",IF(M32=0,"Pagada","Pendiente")))</f>
        <v/>
      </c>
      <c r="O32" s="38" t="n"/>
    </row>
    <row r="33">
      <c r="A33" s="36" t="n"/>
      <c r="B33" s="40" t="n"/>
      <c r="C33" s="36" t="n"/>
      <c r="D33" s="36" t="n"/>
      <c r="E33" s="36" t="n"/>
      <c r="F33" s="36" t="n"/>
      <c r="G33" s="37">
        <f>IF(A33="","",IFERROR(INDEX(Criterios!$B$4:$C$83,MATCH(D33,Criterios!$A$4:$A$83,0),IF(E33="Dentro horario",1,2)),""))</f>
        <v/>
      </c>
      <c r="H33" s="37" t="n"/>
      <c r="I33" s="37">
        <f>IF(A33="","",IF(OR(F33="",G33=""),"",F33*G33+N(H33)))</f>
        <v/>
      </c>
      <c r="J33" s="36">
        <f>IF(A33="","",COUNTIF(Detalle_Pagos!$A$5:$A$2004,A33))</f>
        <v/>
      </c>
      <c r="K33" s="37">
        <f>IF(A33="","",IF(OR(J33=0,I33=""),"",I33/J33))</f>
        <v/>
      </c>
      <c r="L33" s="37">
        <f>IF(A33="","",SUMIF(Detalle_Pagos!$A$5:$A$2004,A33,Detalle_Pagos!$I$5:$I$2004))</f>
        <v/>
      </c>
      <c r="M33" s="37">
        <f>IF(A33="","",SUMIFS(Detalle_Pagos!$I$5:$I$2004,Detalle_Pagos!$A$5:$A$2004,A33,Detalle_Pagos!$J$5:$J$2004,"No"))</f>
        <v/>
      </c>
      <c r="N33" s="36">
        <f>IF(A33="","",IF(J33=0,"Sin detalle",IF(M33=0,"Pagada","Pendiente")))</f>
        <v/>
      </c>
      <c r="O33" s="36" t="n"/>
    </row>
    <row r="34">
      <c r="A34" s="38" t="n"/>
      <c r="B34" s="41" t="n"/>
      <c r="C34" s="38" t="n"/>
      <c r="D34" s="38" t="n"/>
      <c r="E34" s="38" t="n"/>
      <c r="F34" s="38" t="n"/>
      <c r="G34" s="39">
        <f>IF(A34="","",IFERROR(INDEX(Criterios!$B$4:$C$83,MATCH(D34,Criterios!$A$4:$A$83,0),IF(E34="Dentro horario",1,2)),""))</f>
        <v/>
      </c>
      <c r="H34" s="39" t="n"/>
      <c r="I34" s="39">
        <f>IF(A34="","",IF(OR(F34="",G34=""),"",F34*G34+N(H34)))</f>
        <v/>
      </c>
      <c r="J34" s="38">
        <f>IF(A34="","",COUNTIF(Detalle_Pagos!$A$5:$A$2004,A34))</f>
        <v/>
      </c>
      <c r="K34" s="39">
        <f>IF(A34="","",IF(OR(J34=0,I34=""),"",I34/J34))</f>
        <v/>
      </c>
      <c r="L34" s="39">
        <f>IF(A34="","",SUMIF(Detalle_Pagos!$A$5:$A$2004,A34,Detalle_Pagos!$I$5:$I$2004))</f>
        <v/>
      </c>
      <c r="M34" s="39">
        <f>IF(A34="","",SUMIFS(Detalle_Pagos!$I$5:$I$2004,Detalle_Pagos!$A$5:$A$2004,A34,Detalle_Pagos!$J$5:$J$2004,"No"))</f>
        <v/>
      </c>
      <c r="N34" s="38">
        <f>IF(A34="","",IF(J34=0,"Sin detalle",IF(M34=0,"Pagada","Pendiente")))</f>
        <v/>
      </c>
      <c r="O34" s="38" t="n"/>
    </row>
    <row r="35">
      <c r="A35" s="36" t="n"/>
      <c r="B35" s="40" t="n"/>
      <c r="C35" s="36" t="n"/>
      <c r="D35" s="36" t="n"/>
      <c r="E35" s="36" t="n"/>
      <c r="F35" s="36" t="n"/>
      <c r="G35" s="37">
        <f>IF(A35="","",IFERROR(INDEX(Criterios!$B$4:$C$83,MATCH(D35,Criterios!$A$4:$A$83,0),IF(E35="Dentro horario",1,2)),""))</f>
        <v/>
      </c>
      <c r="H35" s="37" t="n"/>
      <c r="I35" s="37">
        <f>IF(A35="","",IF(OR(F35="",G35=""),"",F35*G35+N(H35)))</f>
        <v/>
      </c>
      <c r="J35" s="36">
        <f>IF(A35="","",COUNTIF(Detalle_Pagos!$A$5:$A$2004,A35))</f>
        <v/>
      </c>
      <c r="K35" s="37">
        <f>IF(A35="","",IF(OR(J35=0,I35=""),"",I35/J35))</f>
        <v/>
      </c>
      <c r="L35" s="37">
        <f>IF(A35="","",SUMIF(Detalle_Pagos!$A$5:$A$2004,A35,Detalle_Pagos!$I$5:$I$2004))</f>
        <v/>
      </c>
      <c r="M35" s="37">
        <f>IF(A35="","",SUMIFS(Detalle_Pagos!$I$5:$I$2004,Detalle_Pagos!$A$5:$A$2004,A35,Detalle_Pagos!$J$5:$J$2004,"No"))</f>
        <v/>
      </c>
      <c r="N35" s="36">
        <f>IF(A35="","",IF(J35=0,"Sin detalle",IF(M35=0,"Pagada","Pendiente")))</f>
        <v/>
      </c>
      <c r="O35" s="36" t="n"/>
    </row>
    <row r="36">
      <c r="A36" s="38" t="n"/>
      <c r="B36" s="41" t="n"/>
      <c r="C36" s="38" t="n"/>
      <c r="D36" s="38" t="n"/>
      <c r="E36" s="38" t="n"/>
      <c r="F36" s="38" t="n"/>
      <c r="G36" s="39">
        <f>IF(A36="","",IFERROR(INDEX(Criterios!$B$4:$C$83,MATCH(D36,Criterios!$A$4:$A$83,0),IF(E36="Dentro horario",1,2)),""))</f>
        <v/>
      </c>
      <c r="H36" s="39" t="n"/>
      <c r="I36" s="39">
        <f>IF(A36="","",IF(OR(F36="",G36=""),"",F36*G36+N(H36)))</f>
        <v/>
      </c>
      <c r="J36" s="38">
        <f>IF(A36="","",COUNTIF(Detalle_Pagos!$A$5:$A$2004,A36))</f>
        <v/>
      </c>
      <c r="K36" s="39">
        <f>IF(A36="","",IF(OR(J36=0,I36=""),"",I36/J36))</f>
        <v/>
      </c>
      <c r="L36" s="39">
        <f>IF(A36="","",SUMIF(Detalle_Pagos!$A$5:$A$2004,A36,Detalle_Pagos!$I$5:$I$2004))</f>
        <v/>
      </c>
      <c r="M36" s="39">
        <f>IF(A36="","",SUMIFS(Detalle_Pagos!$I$5:$I$2004,Detalle_Pagos!$A$5:$A$2004,A36,Detalle_Pagos!$J$5:$J$2004,"No"))</f>
        <v/>
      </c>
      <c r="N36" s="38">
        <f>IF(A36="","",IF(J36=0,"Sin detalle",IF(M36=0,"Pagada","Pendiente")))</f>
        <v/>
      </c>
      <c r="O36" s="38" t="n"/>
    </row>
    <row r="37">
      <c r="A37" s="36" t="n"/>
      <c r="B37" s="40" t="n"/>
      <c r="C37" s="36" t="n"/>
      <c r="D37" s="36" t="n"/>
      <c r="E37" s="36" t="n"/>
      <c r="F37" s="36" t="n"/>
      <c r="G37" s="37">
        <f>IF(A37="","",IFERROR(INDEX(Criterios!$B$4:$C$83,MATCH(D37,Criterios!$A$4:$A$83,0),IF(E37="Dentro horario",1,2)),""))</f>
        <v/>
      </c>
      <c r="H37" s="37" t="n"/>
      <c r="I37" s="37">
        <f>IF(A37="","",IF(OR(F37="",G37=""),"",F37*G37+N(H37)))</f>
        <v/>
      </c>
      <c r="J37" s="36">
        <f>IF(A37="","",COUNTIF(Detalle_Pagos!$A$5:$A$2004,A37))</f>
        <v/>
      </c>
      <c r="K37" s="37">
        <f>IF(A37="","",IF(OR(J37=0,I37=""),"",I37/J37))</f>
        <v/>
      </c>
      <c r="L37" s="37">
        <f>IF(A37="","",SUMIF(Detalle_Pagos!$A$5:$A$2004,A37,Detalle_Pagos!$I$5:$I$2004))</f>
        <v/>
      </c>
      <c r="M37" s="37">
        <f>IF(A37="","",SUMIFS(Detalle_Pagos!$I$5:$I$2004,Detalle_Pagos!$A$5:$A$2004,A37,Detalle_Pagos!$J$5:$J$2004,"No"))</f>
        <v/>
      </c>
      <c r="N37" s="36">
        <f>IF(A37="","",IF(J37=0,"Sin detalle",IF(M37=0,"Pagada","Pendiente")))</f>
        <v/>
      </c>
      <c r="O37" s="36" t="n"/>
    </row>
    <row r="38">
      <c r="A38" s="38" t="n"/>
      <c r="B38" s="41" t="n"/>
      <c r="C38" s="38" t="n"/>
      <c r="D38" s="38" t="n"/>
      <c r="E38" s="38" t="n"/>
      <c r="F38" s="38" t="n"/>
      <c r="G38" s="39">
        <f>IF(A38="","",IFERROR(INDEX(Criterios!$B$4:$C$83,MATCH(D38,Criterios!$A$4:$A$83,0),IF(E38="Dentro horario",1,2)),""))</f>
        <v/>
      </c>
      <c r="H38" s="39" t="n"/>
      <c r="I38" s="39">
        <f>IF(A38="","",IF(OR(F38="",G38=""),"",F38*G38+N(H38)))</f>
        <v/>
      </c>
      <c r="J38" s="38">
        <f>IF(A38="","",COUNTIF(Detalle_Pagos!$A$5:$A$2004,A38))</f>
        <v/>
      </c>
      <c r="K38" s="39">
        <f>IF(A38="","",IF(OR(J38=0,I38=""),"",I38/J38))</f>
        <v/>
      </c>
      <c r="L38" s="39">
        <f>IF(A38="","",SUMIF(Detalle_Pagos!$A$5:$A$2004,A38,Detalle_Pagos!$I$5:$I$2004))</f>
        <v/>
      </c>
      <c r="M38" s="39">
        <f>IF(A38="","",SUMIFS(Detalle_Pagos!$I$5:$I$2004,Detalle_Pagos!$A$5:$A$2004,A38,Detalle_Pagos!$J$5:$J$2004,"No"))</f>
        <v/>
      </c>
      <c r="N38" s="38">
        <f>IF(A38="","",IF(J38=0,"Sin detalle",IF(M38=0,"Pagada","Pendiente")))</f>
        <v/>
      </c>
      <c r="O38" s="38" t="n"/>
    </row>
    <row r="39">
      <c r="A39" s="36" t="n"/>
      <c r="B39" s="40" t="n"/>
      <c r="C39" s="36" t="n"/>
      <c r="D39" s="36" t="n"/>
      <c r="E39" s="36" t="n"/>
      <c r="F39" s="36" t="n"/>
      <c r="G39" s="37">
        <f>IF(A39="","",IFERROR(INDEX(Criterios!$B$4:$C$83,MATCH(D39,Criterios!$A$4:$A$83,0),IF(E39="Dentro horario",1,2)),""))</f>
        <v/>
      </c>
      <c r="H39" s="37" t="n"/>
      <c r="I39" s="37">
        <f>IF(A39="","",IF(OR(F39="",G39=""),"",F39*G39+N(H39)))</f>
        <v/>
      </c>
      <c r="J39" s="36">
        <f>IF(A39="","",COUNTIF(Detalle_Pagos!$A$5:$A$2004,A39))</f>
        <v/>
      </c>
      <c r="K39" s="37">
        <f>IF(A39="","",IF(OR(J39=0,I39=""),"",I39/J39))</f>
        <v/>
      </c>
      <c r="L39" s="37">
        <f>IF(A39="","",SUMIF(Detalle_Pagos!$A$5:$A$2004,A39,Detalle_Pagos!$I$5:$I$2004))</f>
        <v/>
      </c>
      <c r="M39" s="37">
        <f>IF(A39="","",SUMIFS(Detalle_Pagos!$I$5:$I$2004,Detalle_Pagos!$A$5:$A$2004,A39,Detalle_Pagos!$J$5:$J$2004,"No"))</f>
        <v/>
      </c>
      <c r="N39" s="36">
        <f>IF(A39="","",IF(J39=0,"Sin detalle",IF(M39=0,"Pagada","Pendiente")))</f>
        <v/>
      </c>
      <c r="O39" s="36" t="n"/>
    </row>
    <row r="40">
      <c r="A40" s="38" t="n"/>
      <c r="B40" s="41" t="n"/>
      <c r="C40" s="38" t="n"/>
      <c r="D40" s="38" t="n"/>
      <c r="E40" s="38" t="n"/>
      <c r="F40" s="38" t="n"/>
      <c r="G40" s="39">
        <f>IF(A40="","",IFERROR(INDEX(Criterios!$B$4:$C$83,MATCH(D40,Criterios!$A$4:$A$83,0),IF(E40="Dentro horario",1,2)),""))</f>
        <v/>
      </c>
      <c r="H40" s="39" t="n"/>
      <c r="I40" s="39">
        <f>IF(A40="","",IF(OR(F40="",G40=""),"",F40*G40+N(H40)))</f>
        <v/>
      </c>
      <c r="J40" s="38">
        <f>IF(A40="","",COUNTIF(Detalle_Pagos!$A$5:$A$2004,A40))</f>
        <v/>
      </c>
      <c r="K40" s="39">
        <f>IF(A40="","",IF(OR(J40=0,I40=""),"",I40/J40))</f>
        <v/>
      </c>
      <c r="L40" s="39">
        <f>IF(A40="","",SUMIF(Detalle_Pagos!$A$5:$A$2004,A40,Detalle_Pagos!$I$5:$I$2004))</f>
        <v/>
      </c>
      <c r="M40" s="39">
        <f>IF(A40="","",SUMIFS(Detalle_Pagos!$I$5:$I$2004,Detalle_Pagos!$A$5:$A$2004,A40,Detalle_Pagos!$J$5:$J$2004,"No"))</f>
        <v/>
      </c>
      <c r="N40" s="38">
        <f>IF(A40="","",IF(J40=0,"Sin detalle",IF(M40=0,"Pagada","Pendiente")))</f>
        <v/>
      </c>
      <c r="O40" s="38" t="n"/>
    </row>
    <row r="41">
      <c r="A41" s="36" t="n"/>
      <c r="B41" s="40" t="n"/>
      <c r="C41" s="36" t="n"/>
      <c r="D41" s="36" t="n"/>
      <c r="E41" s="36" t="n"/>
      <c r="F41" s="36" t="n"/>
      <c r="G41" s="37">
        <f>IF(A41="","",IFERROR(INDEX(Criterios!$B$4:$C$83,MATCH(D41,Criterios!$A$4:$A$83,0),IF(E41="Dentro horario",1,2)),""))</f>
        <v/>
      </c>
      <c r="H41" s="37" t="n"/>
      <c r="I41" s="37">
        <f>IF(A41="","",IF(OR(F41="",G41=""),"",F41*G41+N(H41)))</f>
        <v/>
      </c>
      <c r="J41" s="36">
        <f>IF(A41="","",COUNTIF(Detalle_Pagos!$A$5:$A$2004,A41))</f>
        <v/>
      </c>
      <c r="K41" s="37">
        <f>IF(A41="","",IF(OR(J41=0,I41=""),"",I41/J41))</f>
        <v/>
      </c>
      <c r="L41" s="37">
        <f>IF(A41="","",SUMIF(Detalle_Pagos!$A$5:$A$2004,A41,Detalle_Pagos!$I$5:$I$2004))</f>
        <v/>
      </c>
      <c r="M41" s="37">
        <f>IF(A41="","",SUMIFS(Detalle_Pagos!$I$5:$I$2004,Detalle_Pagos!$A$5:$A$2004,A41,Detalle_Pagos!$J$5:$J$2004,"No"))</f>
        <v/>
      </c>
      <c r="N41" s="36">
        <f>IF(A41="","",IF(J41=0,"Sin detalle",IF(M41=0,"Pagada","Pendiente")))</f>
        <v/>
      </c>
      <c r="O41" s="36" t="n"/>
    </row>
    <row r="42">
      <c r="A42" s="38" t="n"/>
      <c r="B42" s="41" t="n"/>
      <c r="C42" s="38" t="n"/>
      <c r="D42" s="38" t="n"/>
      <c r="E42" s="38" t="n"/>
      <c r="F42" s="38" t="n"/>
      <c r="G42" s="39">
        <f>IF(A42="","",IFERROR(INDEX(Criterios!$B$4:$C$83,MATCH(D42,Criterios!$A$4:$A$83,0),IF(E42="Dentro horario",1,2)),""))</f>
        <v/>
      </c>
      <c r="H42" s="39" t="n"/>
      <c r="I42" s="39">
        <f>IF(A42="","",IF(OR(F42="",G42=""),"",F42*G42+N(H42)))</f>
        <v/>
      </c>
      <c r="J42" s="38">
        <f>IF(A42="","",COUNTIF(Detalle_Pagos!$A$5:$A$2004,A42))</f>
        <v/>
      </c>
      <c r="K42" s="39">
        <f>IF(A42="","",IF(OR(J42=0,I42=""),"",I42/J42))</f>
        <v/>
      </c>
      <c r="L42" s="39">
        <f>IF(A42="","",SUMIF(Detalle_Pagos!$A$5:$A$2004,A42,Detalle_Pagos!$I$5:$I$2004))</f>
        <v/>
      </c>
      <c r="M42" s="39">
        <f>IF(A42="","",SUMIFS(Detalle_Pagos!$I$5:$I$2004,Detalle_Pagos!$A$5:$A$2004,A42,Detalle_Pagos!$J$5:$J$2004,"No"))</f>
        <v/>
      </c>
      <c r="N42" s="38">
        <f>IF(A42="","",IF(J42=0,"Sin detalle",IF(M42=0,"Pagada","Pendiente")))</f>
        <v/>
      </c>
      <c r="O42" s="38" t="n"/>
    </row>
    <row r="43">
      <c r="A43" s="36" t="n"/>
      <c r="B43" s="40" t="n"/>
      <c r="C43" s="36" t="n"/>
      <c r="D43" s="36" t="n"/>
      <c r="E43" s="36" t="n"/>
      <c r="F43" s="36" t="n"/>
      <c r="G43" s="37">
        <f>IF(A43="","",IFERROR(INDEX(Criterios!$B$4:$C$83,MATCH(D43,Criterios!$A$4:$A$83,0),IF(E43="Dentro horario",1,2)),""))</f>
        <v/>
      </c>
      <c r="H43" s="37" t="n"/>
      <c r="I43" s="37">
        <f>IF(A43="","",IF(OR(F43="",G43=""),"",F43*G43+N(H43)))</f>
        <v/>
      </c>
      <c r="J43" s="36">
        <f>IF(A43="","",COUNTIF(Detalle_Pagos!$A$5:$A$2004,A43))</f>
        <v/>
      </c>
      <c r="K43" s="37">
        <f>IF(A43="","",IF(OR(J43=0,I43=""),"",I43/J43))</f>
        <v/>
      </c>
      <c r="L43" s="37">
        <f>IF(A43="","",SUMIF(Detalle_Pagos!$A$5:$A$2004,A43,Detalle_Pagos!$I$5:$I$2004))</f>
        <v/>
      </c>
      <c r="M43" s="37">
        <f>IF(A43="","",SUMIFS(Detalle_Pagos!$I$5:$I$2004,Detalle_Pagos!$A$5:$A$2004,A43,Detalle_Pagos!$J$5:$J$2004,"No"))</f>
        <v/>
      </c>
      <c r="N43" s="36">
        <f>IF(A43="","",IF(J43=0,"Sin detalle",IF(M43=0,"Pagada","Pendiente")))</f>
        <v/>
      </c>
      <c r="O43" s="36" t="n"/>
    </row>
    <row r="44">
      <c r="A44" s="38" t="n"/>
      <c r="B44" s="41" t="n"/>
      <c r="C44" s="38" t="n"/>
      <c r="D44" s="38" t="n"/>
      <c r="E44" s="38" t="n"/>
      <c r="F44" s="38" t="n"/>
      <c r="G44" s="39">
        <f>IF(A44="","",IFERROR(INDEX(Criterios!$B$4:$C$83,MATCH(D44,Criterios!$A$4:$A$83,0),IF(E44="Dentro horario",1,2)),""))</f>
        <v/>
      </c>
      <c r="H44" s="39" t="n"/>
      <c r="I44" s="39">
        <f>IF(A44="","",IF(OR(F44="",G44=""),"",F44*G44+N(H44)))</f>
        <v/>
      </c>
      <c r="J44" s="38">
        <f>IF(A44="","",COUNTIF(Detalle_Pagos!$A$5:$A$2004,A44))</f>
        <v/>
      </c>
      <c r="K44" s="39">
        <f>IF(A44="","",IF(OR(J44=0,I44=""),"",I44/J44))</f>
        <v/>
      </c>
      <c r="L44" s="39">
        <f>IF(A44="","",SUMIF(Detalle_Pagos!$A$5:$A$2004,A44,Detalle_Pagos!$I$5:$I$2004))</f>
        <v/>
      </c>
      <c r="M44" s="39">
        <f>IF(A44="","",SUMIFS(Detalle_Pagos!$I$5:$I$2004,Detalle_Pagos!$A$5:$A$2004,A44,Detalle_Pagos!$J$5:$J$2004,"No"))</f>
        <v/>
      </c>
      <c r="N44" s="38">
        <f>IF(A44="","",IF(J44=0,"Sin detalle",IF(M44=0,"Pagada","Pendiente")))</f>
        <v/>
      </c>
      <c r="O44" s="38" t="n"/>
    </row>
    <row r="45">
      <c r="A45" s="36" t="n"/>
      <c r="B45" s="40" t="n"/>
      <c r="C45" s="36" t="n"/>
      <c r="D45" s="36" t="n"/>
      <c r="E45" s="36" t="n"/>
      <c r="F45" s="36" t="n"/>
      <c r="G45" s="37">
        <f>IF(A45="","",IFERROR(INDEX(Criterios!$B$4:$C$83,MATCH(D45,Criterios!$A$4:$A$83,0),IF(E45="Dentro horario",1,2)),""))</f>
        <v/>
      </c>
      <c r="H45" s="37" t="n"/>
      <c r="I45" s="37">
        <f>IF(A45="","",IF(OR(F45="",G45=""),"",F45*G45+N(H45)))</f>
        <v/>
      </c>
      <c r="J45" s="36">
        <f>IF(A45="","",COUNTIF(Detalle_Pagos!$A$5:$A$2004,A45))</f>
        <v/>
      </c>
      <c r="K45" s="37">
        <f>IF(A45="","",IF(OR(J45=0,I45=""),"",I45/J45))</f>
        <v/>
      </c>
      <c r="L45" s="37">
        <f>IF(A45="","",SUMIF(Detalle_Pagos!$A$5:$A$2004,A45,Detalle_Pagos!$I$5:$I$2004))</f>
        <v/>
      </c>
      <c r="M45" s="37">
        <f>IF(A45="","",SUMIFS(Detalle_Pagos!$I$5:$I$2004,Detalle_Pagos!$A$5:$A$2004,A45,Detalle_Pagos!$J$5:$J$2004,"No"))</f>
        <v/>
      </c>
      <c r="N45" s="36">
        <f>IF(A45="","",IF(J45=0,"Sin detalle",IF(M45=0,"Pagada","Pendiente")))</f>
        <v/>
      </c>
      <c r="O45" s="36" t="n"/>
    </row>
    <row r="46">
      <c r="A46" s="38" t="n"/>
      <c r="B46" s="41" t="n"/>
      <c r="C46" s="38" t="n"/>
      <c r="D46" s="38" t="n"/>
      <c r="E46" s="38" t="n"/>
      <c r="F46" s="38" t="n"/>
      <c r="G46" s="39">
        <f>IF(A46="","",IFERROR(INDEX(Criterios!$B$4:$C$83,MATCH(D46,Criterios!$A$4:$A$83,0),IF(E46="Dentro horario",1,2)),""))</f>
        <v/>
      </c>
      <c r="H46" s="39" t="n"/>
      <c r="I46" s="39">
        <f>IF(A46="","",IF(OR(F46="",G46=""),"",F46*G46+N(H46)))</f>
        <v/>
      </c>
      <c r="J46" s="38">
        <f>IF(A46="","",COUNTIF(Detalle_Pagos!$A$5:$A$2004,A46))</f>
        <v/>
      </c>
      <c r="K46" s="39">
        <f>IF(A46="","",IF(OR(J46=0,I46=""),"",I46/J46))</f>
        <v/>
      </c>
      <c r="L46" s="39">
        <f>IF(A46="","",SUMIF(Detalle_Pagos!$A$5:$A$2004,A46,Detalle_Pagos!$I$5:$I$2004))</f>
        <v/>
      </c>
      <c r="M46" s="39">
        <f>IF(A46="","",SUMIFS(Detalle_Pagos!$I$5:$I$2004,Detalle_Pagos!$A$5:$A$2004,A46,Detalle_Pagos!$J$5:$J$2004,"No"))</f>
        <v/>
      </c>
      <c r="N46" s="38">
        <f>IF(A46="","",IF(J46=0,"Sin detalle",IF(M46=0,"Pagada","Pendiente")))</f>
        <v/>
      </c>
      <c r="O46" s="38" t="n"/>
    </row>
    <row r="47">
      <c r="A47" s="36" t="n"/>
      <c r="B47" s="40" t="n"/>
      <c r="C47" s="36" t="n"/>
      <c r="D47" s="36" t="n"/>
      <c r="E47" s="36" t="n"/>
      <c r="F47" s="36" t="n"/>
      <c r="G47" s="37">
        <f>IF(A47="","",IFERROR(INDEX(Criterios!$B$4:$C$83,MATCH(D47,Criterios!$A$4:$A$83,0),IF(E47="Dentro horario",1,2)),""))</f>
        <v/>
      </c>
      <c r="H47" s="37" t="n"/>
      <c r="I47" s="37">
        <f>IF(A47="","",IF(OR(F47="",G47=""),"",F47*G47+N(H47)))</f>
        <v/>
      </c>
      <c r="J47" s="36">
        <f>IF(A47="","",COUNTIF(Detalle_Pagos!$A$5:$A$2004,A47))</f>
        <v/>
      </c>
      <c r="K47" s="37">
        <f>IF(A47="","",IF(OR(J47=0,I47=""),"",I47/J47))</f>
        <v/>
      </c>
      <c r="L47" s="37">
        <f>IF(A47="","",SUMIF(Detalle_Pagos!$A$5:$A$2004,A47,Detalle_Pagos!$I$5:$I$2004))</f>
        <v/>
      </c>
      <c r="M47" s="37">
        <f>IF(A47="","",SUMIFS(Detalle_Pagos!$I$5:$I$2004,Detalle_Pagos!$A$5:$A$2004,A47,Detalle_Pagos!$J$5:$J$2004,"No"))</f>
        <v/>
      </c>
      <c r="N47" s="36">
        <f>IF(A47="","",IF(J47=0,"Sin detalle",IF(M47=0,"Pagada","Pendiente")))</f>
        <v/>
      </c>
      <c r="O47" s="36" t="n"/>
    </row>
    <row r="48">
      <c r="A48" s="38" t="n"/>
      <c r="B48" s="41" t="n"/>
      <c r="C48" s="38" t="n"/>
      <c r="D48" s="38" t="n"/>
      <c r="E48" s="38" t="n"/>
      <c r="F48" s="38" t="n"/>
      <c r="G48" s="39">
        <f>IF(A48="","",IFERROR(INDEX(Criterios!$B$4:$C$83,MATCH(D48,Criterios!$A$4:$A$83,0),IF(E48="Dentro horario",1,2)),""))</f>
        <v/>
      </c>
      <c r="H48" s="39" t="n"/>
      <c r="I48" s="39">
        <f>IF(A48="","",IF(OR(F48="",G48=""),"",F48*G48+N(H48)))</f>
        <v/>
      </c>
      <c r="J48" s="38">
        <f>IF(A48="","",COUNTIF(Detalle_Pagos!$A$5:$A$2004,A48))</f>
        <v/>
      </c>
      <c r="K48" s="39">
        <f>IF(A48="","",IF(OR(J48=0,I48=""),"",I48/J48))</f>
        <v/>
      </c>
      <c r="L48" s="39">
        <f>IF(A48="","",SUMIF(Detalle_Pagos!$A$5:$A$2004,A48,Detalle_Pagos!$I$5:$I$2004))</f>
        <v/>
      </c>
      <c r="M48" s="39">
        <f>IF(A48="","",SUMIFS(Detalle_Pagos!$I$5:$I$2004,Detalle_Pagos!$A$5:$A$2004,A48,Detalle_Pagos!$J$5:$J$2004,"No"))</f>
        <v/>
      </c>
      <c r="N48" s="38">
        <f>IF(A48="","",IF(J48=0,"Sin detalle",IF(M48=0,"Pagada","Pendiente")))</f>
        <v/>
      </c>
      <c r="O48" s="38" t="n"/>
    </row>
    <row r="49">
      <c r="A49" s="36" t="n"/>
      <c r="B49" s="40" t="n"/>
      <c r="C49" s="36" t="n"/>
      <c r="D49" s="36" t="n"/>
      <c r="E49" s="36" t="n"/>
      <c r="F49" s="36" t="n"/>
      <c r="G49" s="37">
        <f>IF(A49="","",IFERROR(INDEX(Criterios!$B$4:$C$83,MATCH(D49,Criterios!$A$4:$A$83,0),IF(E49="Dentro horario",1,2)),""))</f>
        <v/>
      </c>
      <c r="H49" s="37" t="n"/>
      <c r="I49" s="37">
        <f>IF(A49="","",IF(OR(F49="",G49=""),"",F49*G49+N(H49)))</f>
        <v/>
      </c>
      <c r="J49" s="36">
        <f>IF(A49="","",COUNTIF(Detalle_Pagos!$A$5:$A$2004,A49))</f>
        <v/>
      </c>
      <c r="K49" s="37">
        <f>IF(A49="","",IF(OR(J49=0,I49=""),"",I49/J49))</f>
        <v/>
      </c>
      <c r="L49" s="37">
        <f>IF(A49="","",SUMIF(Detalle_Pagos!$A$5:$A$2004,A49,Detalle_Pagos!$I$5:$I$2004))</f>
        <v/>
      </c>
      <c r="M49" s="37">
        <f>IF(A49="","",SUMIFS(Detalle_Pagos!$I$5:$I$2004,Detalle_Pagos!$A$5:$A$2004,A49,Detalle_Pagos!$J$5:$J$2004,"No"))</f>
        <v/>
      </c>
      <c r="N49" s="36">
        <f>IF(A49="","",IF(J49=0,"Sin detalle",IF(M49=0,"Pagada","Pendiente")))</f>
        <v/>
      </c>
      <c r="O49" s="36" t="n"/>
    </row>
    <row r="50">
      <c r="A50" s="38" t="n"/>
      <c r="B50" s="41" t="n"/>
      <c r="C50" s="38" t="n"/>
      <c r="D50" s="38" t="n"/>
      <c r="E50" s="38" t="n"/>
      <c r="F50" s="38" t="n"/>
      <c r="G50" s="39">
        <f>IF(A50="","",IFERROR(INDEX(Criterios!$B$4:$C$83,MATCH(D50,Criterios!$A$4:$A$83,0),IF(E50="Dentro horario",1,2)),""))</f>
        <v/>
      </c>
      <c r="H50" s="39" t="n"/>
      <c r="I50" s="39">
        <f>IF(A50="","",IF(OR(F50="",G50=""),"",F50*G50+N(H50)))</f>
        <v/>
      </c>
      <c r="J50" s="38">
        <f>IF(A50="","",COUNTIF(Detalle_Pagos!$A$5:$A$2004,A50))</f>
        <v/>
      </c>
      <c r="K50" s="39">
        <f>IF(A50="","",IF(OR(J50=0,I50=""),"",I50/J50))</f>
        <v/>
      </c>
      <c r="L50" s="39">
        <f>IF(A50="","",SUMIF(Detalle_Pagos!$A$5:$A$2004,A50,Detalle_Pagos!$I$5:$I$2004))</f>
        <v/>
      </c>
      <c r="M50" s="39">
        <f>IF(A50="","",SUMIFS(Detalle_Pagos!$I$5:$I$2004,Detalle_Pagos!$A$5:$A$2004,A50,Detalle_Pagos!$J$5:$J$2004,"No"))</f>
        <v/>
      </c>
      <c r="N50" s="38">
        <f>IF(A50="","",IF(J50=0,"Sin detalle",IF(M50=0,"Pagada","Pendiente")))</f>
        <v/>
      </c>
      <c r="O50" s="38" t="n"/>
    </row>
    <row r="51">
      <c r="A51" s="36" t="n"/>
      <c r="B51" s="40" t="n"/>
      <c r="C51" s="36" t="n"/>
      <c r="D51" s="36" t="n"/>
      <c r="E51" s="36" t="n"/>
      <c r="F51" s="36" t="n"/>
      <c r="G51" s="37">
        <f>IF(A51="","",IFERROR(INDEX(Criterios!$B$4:$C$83,MATCH(D51,Criterios!$A$4:$A$83,0),IF(E51="Dentro horario",1,2)),""))</f>
        <v/>
      </c>
      <c r="H51" s="37" t="n"/>
      <c r="I51" s="37">
        <f>IF(A51="","",IF(OR(F51="",G51=""),"",F51*G51+N(H51)))</f>
        <v/>
      </c>
      <c r="J51" s="36">
        <f>IF(A51="","",COUNTIF(Detalle_Pagos!$A$5:$A$2004,A51))</f>
        <v/>
      </c>
      <c r="K51" s="37">
        <f>IF(A51="","",IF(OR(J51=0,I51=""),"",I51/J51))</f>
        <v/>
      </c>
      <c r="L51" s="37">
        <f>IF(A51="","",SUMIF(Detalle_Pagos!$A$5:$A$2004,A51,Detalle_Pagos!$I$5:$I$2004))</f>
        <v/>
      </c>
      <c r="M51" s="37">
        <f>IF(A51="","",SUMIFS(Detalle_Pagos!$I$5:$I$2004,Detalle_Pagos!$A$5:$A$2004,A51,Detalle_Pagos!$J$5:$J$2004,"No"))</f>
        <v/>
      </c>
      <c r="N51" s="36">
        <f>IF(A51="","",IF(J51=0,"Sin detalle",IF(M51=0,"Pagada","Pendiente")))</f>
        <v/>
      </c>
      <c r="O51" s="36" t="n"/>
    </row>
    <row r="52">
      <c r="A52" s="38" t="n"/>
      <c r="B52" s="41" t="n"/>
      <c r="C52" s="38" t="n"/>
      <c r="D52" s="38" t="n"/>
      <c r="E52" s="38" t="n"/>
      <c r="F52" s="38" t="n"/>
      <c r="G52" s="39">
        <f>IF(A52="","",IFERROR(INDEX(Criterios!$B$4:$C$83,MATCH(D52,Criterios!$A$4:$A$83,0),IF(E52="Dentro horario",1,2)),""))</f>
        <v/>
      </c>
      <c r="H52" s="39" t="n"/>
      <c r="I52" s="39">
        <f>IF(A52="","",IF(OR(F52="",G52=""),"",F52*G52+N(H52)))</f>
        <v/>
      </c>
      <c r="J52" s="38">
        <f>IF(A52="","",COUNTIF(Detalle_Pagos!$A$5:$A$2004,A52))</f>
        <v/>
      </c>
      <c r="K52" s="39">
        <f>IF(A52="","",IF(OR(J52=0,I52=""),"",I52/J52))</f>
        <v/>
      </c>
      <c r="L52" s="39">
        <f>IF(A52="","",SUMIF(Detalle_Pagos!$A$5:$A$2004,A52,Detalle_Pagos!$I$5:$I$2004))</f>
        <v/>
      </c>
      <c r="M52" s="39">
        <f>IF(A52="","",SUMIFS(Detalle_Pagos!$I$5:$I$2004,Detalle_Pagos!$A$5:$A$2004,A52,Detalle_Pagos!$J$5:$J$2004,"No"))</f>
        <v/>
      </c>
      <c r="N52" s="38">
        <f>IF(A52="","",IF(J52=0,"Sin detalle",IF(M52=0,"Pagada","Pendiente")))</f>
        <v/>
      </c>
      <c r="O52" s="38" t="n"/>
    </row>
    <row r="53">
      <c r="A53" s="36" t="n"/>
      <c r="B53" s="40" t="n"/>
      <c r="C53" s="36" t="n"/>
      <c r="D53" s="36" t="n"/>
      <c r="E53" s="36" t="n"/>
      <c r="F53" s="36" t="n"/>
      <c r="G53" s="37">
        <f>IF(A53="","",IFERROR(INDEX(Criterios!$B$4:$C$83,MATCH(D53,Criterios!$A$4:$A$83,0),IF(E53="Dentro horario",1,2)),""))</f>
        <v/>
      </c>
      <c r="H53" s="37" t="n"/>
      <c r="I53" s="37">
        <f>IF(A53="","",IF(OR(F53="",G53=""),"",F53*G53+N(H53)))</f>
        <v/>
      </c>
      <c r="J53" s="36">
        <f>IF(A53="","",COUNTIF(Detalle_Pagos!$A$5:$A$2004,A53))</f>
        <v/>
      </c>
      <c r="K53" s="37">
        <f>IF(A53="","",IF(OR(J53=0,I53=""),"",I53/J53))</f>
        <v/>
      </c>
      <c r="L53" s="37">
        <f>IF(A53="","",SUMIF(Detalle_Pagos!$A$5:$A$2004,A53,Detalle_Pagos!$I$5:$I$2004))</f>
        <v/>
      </c>
      <c r="M53" s="37">
        <f>IF(A53="","",SUMIFS(Detalle_Pagos!$I$5:$I$2004,Detalle_Pagos!$A$5:$A$2004,A53,Detalle_Pagos!$J$5:$J$2004,"No"))</f>
        <v/>
      </c>
      <c r="N53" s="36">
        <f>IF(A53="","",IF(J53=0,"Sin detalle",IF(M53=0,"Pagada","Pendiente")))</f>
        <v/>
      </c>
      <c r="O53" s="36" t="n"/>
    </row>
    <row r="54">
      <c r="A54" s="38" t="n"/>
      <c r="B54" s="41" t="n"/>
      <c r="C54" s="38" t="n"/>
      <c r="D54" s="38" t="n"/>
      <c r="E54" s="38" t="n"/>
      <c r="F54" s="38" t="n"/>
      <c r="G54" s="39">
        <f>IF(A54="","",IFERROR(INDEX(Criterios!$B$4:$C$83,MATCH(D54,Criterios!$A$4:$A$83,0),IF(E54="Dentro horario",1,2)),""))</f>
        <v/>
      </c>
      <c r="H54" s="39" t="n"/>
      <c r="I54" s="39">
        <f>IF(A54="","",IF(OR(F54="",G54=""),"",F54*G54+N(H54)))</f>
        <v/>
      </c>
      <c r="J54" s="38">
        <f>IF(A54="","",COUNTIF(Detalle_Pagos!$A$5:$A$2004,A54))</f>
        <v/>
      </c>
      <c r="K54" s="39">
        <f>IF(A54="","",IF(OR(J54=0,I54=""),"",I54/J54))</f>
        <v/>
      </c>
      <c r="L54" s="39">
        <f>IF(A54="","",SUMIF(Detalle_Pagos!$A$5:$A$2004,A54,Detalle_Pagos!$I$5:$I$2004))</f>
        <v/>
      </c>
      <c r="M54" s="39">
        <f>IF(A54="","",SUMIFS(Detalle_Pagos!$I$5:$I$2004,Detalle_Pagos!$A$5:$A$2004,A54,Detalle_Pagos!$J$5:$J$2004,"No"))</f>
        <v/>
      </c>
      <c r="N54" s="38">
        <f>IF(A54="","",IF(J54=0,"Sin detalle",IF(M54=0,"Pagada","Pendiente")))</f>
        <v/>
      </c>
      <c r="O54" s="38" t="n"/>
    </row>
    <row r="55">
      <c r="A55" s="36" t="n"/>
      <c r="B55" s="40" t="n"/>
      <c r="C55" s="36" t="n"/>
      <c r="D55" s="36" t="n"/>
      <c r="E55" s="36" t="n"/>
      <c r="F55" s="36" t="n"/>
      <c r="G55" s="37">
        <f>IF(A55="","",IFERROR(INDEX(Criterios!$B$4:$C$83,MATCH(D55,Criterios!$A$4:$A$83,0),IF(E55="Dentro horario",1,2)),""))</f>
        <v/>
      </c>
      <c r="H55" s="37" t="n"/>
      <c r="I55" s="37">
        <f>IF(A55="","",IF(OR(F55="",G55=""),"",F55*G55+N(H55)))</f>
        <v/>
      </c>
      <c r="J55" s="36">
        <f>IF(A55="","",COUNTIF(Detalle_Pagos!$A$5:$A$2004,A55))</f>
        <v/>
      </c>
      <c r="K55" s="37">
        <f>IF(A55="","",IF(OR(J55=0,I55=""),"",I55/J55))</f>
        <v/>
      </c>
      <c r="L55" s="37">
        <f>IF(A55="","",SUMIF(Detalle_Pagos!$A$5:$A$2004,A55,Detalle_Pagos!$I$5:$I$2004))</f>
        <v/>
      </c>
      <c r="M55" s="37">
        <f>IF(A55="","",SUMIFS(Detalle_Pagos!$I$5:$I$2004,Detalle_Pagos!$A$5:$A$2004,A55,Detalle_Pagos!$J$5:$J$2004,"No"))</f>
        <v/>
      </c>
      <c r="N55" s="36">
        <f>IF(A55="","",IF(J55=0,"Sin detalle",IF(M55=0,"Pagada","Pendiente")))</f>
        <v/>
      </c>
      <c r="O55" s="36" t="n"/>
    </row>
    <row r="56">
      <c r="A56" s="38" t="n"/>
      <c r="B56" s="41" t="n"/>
      <c r="C56" s="38" t="n"/>
      <c r="D56" s="38" t="n"/>
      <c r="E56" s="38" t="n"/>
      <c r="F56" s="38" t="n"/>
      <c r="G56" s="39">
        <f>IF(A56="","",IFERROR(INDEX(Criterios!$B$4:$C$83,MATCH(D56,Criterios!$A$4:$A$83,0),IF(E56="Dentro horario",1,2)),""))</f>
        <v/>
      </c>
      <c r="H56" s="39" t="n"/>
      <c r="I56" s="39">
        <f>IF(A56="","",IF(OR(F56="",G56=""),"",F56*G56+N(H56)))</f>
        <v/>
      </c>
      <c r="J56" s="38">
        <f>IF(A56="","",COUNTIF(Detalle_Pagos!$A$5:$A$2004,A56))</f>
        <v/>
      </c>
      <c r="K56" s="39">
        <f>IF(A56="","",IF(OR(J56=0,I56=""),"",I56/J56))</f>
        <v/>
      </c>
      <c r="L56" s="39">
        <f>IF(A56="","",SUMIF(Detalle_Pagos!$A$5:$A$2004,A56,Detalle_Pagos!$I$5:$I$2004))</f>
        <v/>
      </c>
      <c r="M56" s="39">
        <f>IF(A56="","",SUMIFS(Detalle_Pagos!$I$5:$I$2004,Detalle_Pagos!$A$5:$A$2004,A56,Detalle_Pagos!$J$5:$J$2004,"No"))</f>
        <v/>
      </c>
      <c r="N56" s="38">
        <f>IF(A56="","",IF(J56=0,"Sin detalle",IF(M56=0,"Pagada","Pendiente")))</f>
        <v/>
      </c>
      <c r="O56" s="38" t="n"/>
    </row>
    <row r="57">
      <c r="A57" s="36" t="n"/>
      <c r="B57" s="40" t="n"/>
      <c r="C57" s="36" t="n"/>
      <c r="D57" s="36" t="n"/>
      <c r="E57" s="36" t="n"/>
      <c r="F57" s="36" t="n"/>
      <c r="G57" s="37">
        <f>IF(A57="","",IFERROR(INDEX(Criterios!$B$4:$C$83,MATCH(D57,Criterios!$A$4:$A$83,0),IF(E57="Dentro horario",1,2)),""))</f>
        <v/>
      </c>
      <c r="H57" s="37" t="n"/>
      <c r="I57" s="37">
        <f>IF(A57="","",IF(OR(F57="",G57=""),"",F57*G57+N(H57)))</f>
        <v/>
      </c>
      <c r="J57" s="36">
        <f>IF(A57="","",COUNTIF(Detalle_Pagos!$A$5:$A$2004,A57))</f>
        <v/>
      </c>
      <c r="K57" s="37">
        <f>IF(A57="","",IF(OR(J57=0,I57=""),"",I57/J57))</f>
        <v/>
      </c>
      <c r="L57" s="37">
        <f>IF(A57="","",SUMIF(Detalle_Pagos!$A$5:$A$2004,A57,Detalle_Pagos!$I$5:$I$2004))</f>
        <v/>
      </c>
      <c r="M57" s="37">
        <f>IF(A57="","",SUMIFS(Detalle_Pagos!$I$5:$I$2004,Detalle_Pagos!$A$5:$A$2004,A57,Detalle_Pagos!$J$5:$J$2004,"No"))</f>
        <v/>
      </c>
      <c r="N57" s="36">
        <f>IF(A57="","",IF(J57=0,"Sin detalle",IF(M57=0,"Pagada","Pendiente")))</f>
        <v/>
      </c>
      <c r="O57" s="36" t="n"/>
    </row>
    <row r="58">
      <c r="A58" s="38" t="n"/>
      <c r="B58" s="41" t="n"/>
      <c r="C58" s="38" t="n"/>
      <c r="D58" s="38" t="n"/>
      <c r="E58" s="38" t="n"/>
      <c r="F58" s="38" t="n"/>
      <c r="G58" s="39">
        <f>IF(A58="","",IFERROR(INDEX(Criterios!$B$4:$C$83,MATCH(D58,Criterios!$A$4:$A$83,0),IF(E58="Dentro horario",1,2)),""))</f>
        <v/>
      </c>
      <c r="H58" s="39" t="n"/>
      <c r="I58" s="39">
        <f>IF(A58="","",IF(OR(F58="",G58=""),"",F58*G58+N(H58)))</f>
        <v/>
      </c>
      <c r="J58" s="38">
        <f>IF(A58="","",COUNTIF(Detalle_Pagos!$A$5:$A$2004,A58))</f>
        <v/>
      </c>
      <c r="K58" s="39">
        <f>IF(A58="","",IF(OR(J58=0,I58=""),"",I58/J58))</f>
        <v/>
      </c>
      <c r="L58" s="39">
        <f>IF(A58="","",SUMIF(Detalle_Pagos!$A$5:$A$2004,A58,Detalle_Pagos!$I$5:$I$2004))</f>
        <v/>
      </c>
      <c r="M58" s="39">
        <f>IF(A58="","",SUMIFS(Detalle_Pagos!$I$5:$I$2004,Detalle_Pagos!$A$5:$A$2004,A58,Detalle_Pagos!$J$5:$J$2004,"No"))</f>
        <v/>
      </c>
      <c r="N58" s="38">
        <f>IF(A58="","",IF(J58=0,"Sin detalle",IF(M58=0,"Pagada","Pendiente")))</f>
        <v/>
      </c>
      <c r="O58" s="38" t="n"/>
    </row>
    <row r="59">
      <c r="A59" s="36" t="n"/>
      <c r="B59" s="40" t="n"/>
      <c r="C59" s="36" t="n"/>
      <c r="D59" s="36" t="n"/>
      <c r="E59" s="36" t="n"/>
      <c r="F59" s="36" t="n"/>
      <c r="G59" s="37">
        <f>IF(A59="","",IFERROR(INDEX(Criterios!$B$4:$C$83,MATCH(D59,Criterios!$A$4:$A$83,0),IF(E59="Dentro horario",1,2)),""))</f>
        <v/>
      </c>
      <c r="H59" s="37" t="n"/>
      <c r="I59" s="37">
        <f>IF(A59="","",IF(OR(F59="",G59=""),"",F59*G59+N(H59)))</f>
        <v/>
      </c>
      <c r="J59" s="36">
        <f>IF(A59="","",COUNTIF(Detalle_Pagos!$A$5:$A$2004,A59))</f>
        <v/>
      </c>
      <c r="K59" s="37">
        <f>IF(A59="","",IF(OR(J59=0,I59=""),"",I59/J59))</f>
        <v/>
      </c>
      <c r="L59" s="37">
        <f>IF(A59="","",SUMIF(Detalle_Pagos!$A$5:$A$2004,A59,Detalle_Pagos!$I$5:$I$2004))</f>
        <v/>
      </c>
      <c r="M59" s="37">
        <f>IF(A59="","",SUMIFS(Detalle_Pagos!$I$5:$I$2004,Detalle_Pagos!$A$5:$A$2004,A59,Detalle_Pagos!$J$5:$J$2004,"No"))</f>
        <v/>
      </c>
      <c r="N59" s="36">
        <f>IF(A59="","",IF(J59=0,"Sin detalle",IF(M59=0,"Pagada","Pendiente")))</f>
        <v/>
      </c>
      <c r="O59" s="36" t="n"/>
    </row>
    <row r="60">
      <c r="A60" s="38" t="n"/>
      <c r="B60" s="41" t="n"/>
      <c r="C60" s="38" t="n"/>
      <c r="D60" s="38" t="n"/>
      <c r="E60" s="38" t="n"/>
      <c r="F60" s="38" t="n"/>
      <c r="G60" s="39">
        <f>IF(A60="","",IFERROR(INDEX(Criterios!$B$4:$C$83,MATCH(D60,Criterios!$A$4:$A$83,0),IF(E60="Dentro horario",1,2)),""))</f>
        <v/>
      </c>
      <c r="H60" s="39" t="n"/>
      <c r="I60" s="39">
        <f>IF(A60="","",IF(OR(F60="",G60=""),"",F60*G60+N(H60)))</f>
        <v/>
      </c>
      <c r="J60" s="38">
        <f>IF(A60="","",COUNTIF(Detalle_Pagos!$A$5:$A$2004,A60))</f>
        <v/>
      </c>
      <c r="K60" s="39">
        <f>IF(A60="","",IF(OR(J60=0,I60=""),"",I60/J60))</f>
        <v/>
      </c>
      <c r="L60" s="39">
        <f>IF(A60="","",SUMIF(Detalle_Pagos!$A$5:$A$2004,A60,Detalle_Pagos!$I$5:$I$2004))</f>
        <v/>
      </c>
      <c r="M60" s="39">
        <f>IF(A60="","",SUMIFS(Detalle_Pagos!$I$5:$I$2004,Detalle_Pagos!$A$5:$A$2004,A60,Detalle_Pagos!$J$5:$J$2004,"No"))</f>
        <v/>
      </c>
      <c r="N60" s="38">
        <f>IF(A60="","",IF(J60=0,"Sin detalle",IF(M60=0,"Pagada","Pendiente")))</f>
        <v/>
      </c>
      <c r="O60" s="38" t="n"/>
    </row>
    <row r="61">
      <c r="A61" s="36" t="n"/>
      <c r="B61" s="40" t="n"/>
      <c r="C61" s="36" t="n"/>
      <c r="D61" s="36" t="n"/>
      <c r="E61" s="36" t="n"/>
      <c r="F61" s="36" t="n"/>
      <c r="G61" s="37">
        <f>IF(A61="","",IFERROR(INDEX(Criterios!$B$4:$C$83,MATCH(D61,Criterios!$A$4:$A$83,0),IF(E61="Dentro horario",1,2)),""))</f>
        <v/>
      </c>
      <c r="H61" s="37" t="n"/>
      <c r="I61" s="37">
        <f>IF(A61="","",IF(OR(F61="",G61=""),"",F61*G61+N(H61)))</f>
        <v/>
      </c>
      <c r="J61" s="36">
        <f>IF(A61="","",COUNTIF(Detalle_Pagos!$A$5:$A$2004,A61))</f>
        <v/>
      </c>
      <c r="K61" s="37">
        <f>IF(A61="","",IF(OR(J61=0,I61=""),"",I61/J61))</f>
        <v/>
      </c>
      <c r="L61" s="37">
        <f>IF(A61="","",SUMIF(Detalle_Pagos!$A$5:$A$2004,A61,Detalle_Pagos!$I$5:$I$2004))</f>
        <v/>
      </c>
      <c r="M61" s="37">
        <f>IF(A61="","",SUMIFS(Detalle_Pagos!$I$5:$I$2004,Detalle_Pagos!$A$5:$A$2004,A61,Detalle_Pagos!$J$5:$J$2004,"No"))</f>
        <v/>
      </c>
      <c r="N61" s="36">
        <f>IF(A61="","",IF(J61=0,"Sin detalle",IF(M61=0,"Pagada","Pendiente")))</f>
        <v/>
      </c>
      <c r="O61" s="36" t="n"/>
    </row>
    <row r="62">
      <c r="A62" s="38" t="n"/>
      <c r="B62" s="41" t="n"/>
      <c r="C62" s="38" t="n"/>
      <c r="D62" s="38" t="n"/>
      <c r="E62" s="38" t="n"/>
      <c r="F62" s="38" t="n"/>
      <c r="G62" s="39">
        <f>IF(A62="","",IFERROR(INDEX(Criterios!$B$4:$C$83,MATCH(D62,Criterios!$A$4:$A$83,0),IF(E62="Dentro horario",1,2)),""))</f>
        <v/>
      </c>
      <c r="H62" s="39" t="n"/>
      <c r="I62" s="39">
        <f>IF(A62="","",IF(OR(F62="",G62=""),"",F62*G62+N(H62)))</f>
        <v/>
      </c>
      <c r="J62" s="38">
        <f>IF(A62="","",COUNTIF(Detalle_Pagos!$A$5:$A$2004,A62))</f>
        <v/>
      </c>
      <c r="K62" s="39">
        <f>IF(A62="","",IF(OR(J62=0,I62=""),"",I62/J62))</f>
        <v/>
      </c>
      <c r="L62" s="39">
        <f>IF(A62="","",SUMIF(Detalle_Pagos!$A$5:$A$2004,A62,Detalle_Pagos!$I$5:$I$2004))</f>
        <v/>
      </c>
      <c r="M62" s="39">
        <f>IF(A62="","",SUMIFS(Detalle_Pagos!$I$5:$I$2004,Detalle_Pagos!$A$5:$A$2004,A62,Detalle_Pagos!$J$5:$J$2004,"No"))</f>
        <v/>
      </c>
      <c r="N62" s="38">
        <f>IF(A62="","",IF(J62=0,"Sin detalle",IF(M62=0,"Pagada","Pendiente")))</f>
        <v/>
      </c>
      <c r="O62" s="38" t="n"/>
    </row>
    <row r="63">
      <c r="A63" s="36" t="n"/>
      <c r="B63" s="40" t="n"/>
      <c r="C63" s="36" t="n"/>
      <c r="D63" s="36" t="n"/>
      <c r="E63" s="36" t="n"/>
      <c r="F63" s="36" t="n"/>
      <c r="G63" s="37">
        <f>IF(A63="","",IFERROR(INDEX(Criterios!$B$4:$C$83,MATCH(D63,Criterios!$A$4:$A$83,0),IF(E63="Dentro horario",1,2)),""))</f>
        <v/>
      </c>
      <c r="H63" s="37" t="n"/>
      <c r="I63" s="37">
        <f>IF(A63="","",IF(OR(F63="",G63=""),"",F63*G63+N(H63)))</f>
        <v/>
      </c>
      <c r="J63" s="36">
        <f>IF(A63="","",COUNTIF(Detalle_Pagos!$A$5:$A$2004,A63))</f>
        <v/>
      </c>
      <c r="K63" s="37">
        <f>IF(A63="","",IF(OR(J63=0,I63=""),"",I63/J63))</f>
        <v/>
      </c>
      <c r="L63" s="37">
        <f>IF(A63="","",SUMIF(Detalle_Pagos!$A$5:$A$2004,A63,Detalle_Pagos!$I$5:$I$2004))</f>
        <v/>
      </c>
      <c r="M63" s="37">
        <f>IF(A63="","",SUMIFS(Detalle_Pagos!$I$5:$I$2004,Detalle_Pagos!$A$5:$A$2004,A63,Detalle_Pagos!$J$5:$J$2004,"No"))</f>
        <v/>
      </c>
      <c r="N63" s="36">
        <f>IF(A63="","",IF(J63=0,"Sin detalle",IF(M63=0,"Pagada","Pendiente")))</f>
        <v/>
      </c>
      <c r="O63" s="36" t="n"/>
    </row>
    <row r="64">
      <c r="A64" s="38" t="n"/>
      <c r="B64" s="41" t="n"/>
      <c r="C64" s="38" t="n"/>
      <c r="D64" s="38" t="n"/>
      <c r="E64" s="38" t="n"/>
      <c r="F64" s="38" t="n"/>
      <c r="G64" s="39">
        <f>IF(A64="","",IFERROR(INDEX(Criterios!$B$4:$C$83,MATCH(D64,Criterios!$A$4:$A$83,0),IF(E64="Dentro horario",1,2)),""))</f>
        <v/>
      </c>
      <c r="H64" s="39" t="n"/>
      <c r="I64" s="39">
        <f>IF(A64="","",IF(OR(F64="",G64=""),"",F64*G64+N(H64)))</f>
        <v/>
      </c>
      <c r="J64" s="38">
        <f>IF(A64="","",COUNTIF(Detalle_Pagos!$A$5:$A$2004,A64))</f>
        <v/>
      </c>
      <c r="K64" s="39">
        <f>IF(A64="","",IF(OR(J64=0,I64=""),"",I64/J64))</f>
        <v/>
      </c>
      <c r="L64" s="39">
        <f>IF(A64="","",SUMIF(Detalle_Pagos!$A$5:$A$2004,A64,Detalle_Pagos!$I$5:$I$2004))</f>
        <v/>
      </c>
      <c r="M64" s="39">
        <f>IF(A64="","",SUMIFS(Detalle_Pagos!$I$5:$I$2004,Detalle_Pagos!$A$5:$A$2004,A64,Detalle_Pagos!$J$5:$J$2004,"No"))</f>
        <v/>
      </c>
      <c r="N64" s="38">
        <f>IF(A64="","",IF(J64=0,"Sin detalle",IF(M64=0,"Pagada","Pendiente")))</f>
        <v/>
      </c>
      <c r="O64" s="38" t="n"/>
    </row>
    <row r="65">
      <c r="A65" s="36" t="n"/>
      <c r="B65" s="40" t="n"/>
      <c r="C65" s="36" t="n"/>
      <c r="D65" s="36" t="n"/>
      <c r="E65" s="36" t="n"/>
      <c r="F65" s="36" t="n"/>
      <c r="G65" s="37">
        <f>IF(A65="","",IFERROR(INDEX(Criterios!$B$4:$C$83,MATCH(D65,Criterios!$A$4:$A$83,0),IF(E65="Dentro horario",1,2)),""))</f>
        <v/>
      </c>
      <c r="H65" s="37" t="n"/>
      <c r="I65" s="37">
        <f>IF(A65="","",IF(OR(F65="",G65=""),"",F65*G65+N(H65)))</f>
        <v/>
      </c>
      <c r="J65" s="36">
        <f>IF(A65="","",COUNTIF(Detalle_Pagos!$A$5:$A$2004,A65))</f>
        <v/>
      </c>
      <c r="K65" s="37">
        <f>IF(A65="","",IF(OR(J65=0,I65=""),"",I65/J65))</f>
        <v/>
      </c>
      <c r="L65" s="37">
        <f>IF(A65="","",SUMIF(Detalle_Pagos!$A$5:$A$2004,A65,Detalle_Pagos!$I$5:$I$2004))</f>
        <v/>
      </c>
      <c r="M65" s="37">
        <f>IF(A65="","",SUMIFS(Detalle_Pagos!$I$5:$I$2004,Detalle_Pagos!$A$5:$A$2004,A65,Detalle_Pagos!$J$5:$J$2004,"No"))</f>
        <v/>
      </c>
      <c r="N65" s="36">
        <f>IF(A65="","",IF(J65=0,"Sin detalle",IF(M65=0,"Pagada","Pendiente")))</f>
        <v/>
      </c>
      <c r="O65" s="36" t="n"/>
    </row>
    <row r="66">
      <c r="A66" s="38" t="n"/>
      <c r="B66" s="41" t="n"/>
      <c r="C66" s="38" t="n"/>
      <c r="D66" s="38" t="n"/>
      <c r="E66" s="38" t="n"/>
      <c r="F66" s="38" t="n"/>
      <c r="G66" s="39">
        <f>IF(A66="","",IFERROR(INDEX(Criterios!$B$4:$C$83,MATCH(D66,Criterios!$A$4:$A$83,0),IF(E66="Dentro horario",1,2)),""))</f>
        <v/>
      </c>
      <c r="H66" s="39" t="n"/>
      <c r="I66" s="39">
        <f>IF(A66="","",IF(OR(F66="",G66=""),"",F66*G66+N(H66)))</f>
        <v/>
      </c>
      <c r="J66" s="38">
        <f>IF(A66="","",COUNTIF(Detalle_Pagos!$A$5:$A$2004,A66))</f>
        <v/>
      </c>
      <c r="K66" s="39">
        <f>IF(A66="","",IF(OR(J66=0,I66=""),"",I66/J66))</f>
        <v/>
      </c>
      <c r="L66" s="39">
        <f>IF(A66="","",SUMIF(Detalle_Pagos!$A$5:$A$2004,A66,Detalle_Pagos!$I$5:$I$2004))</f>
        <v/>
      </c>
      <c r="M66" s="39">
        <f>IF(A66="","",SUMIFS(Detalle_Pagos!$I$5:$I$2004,Detalle_Pagos!$A$5:$A$2004,A66,Detalle_Pagos!$J$5:$J$2004,"No"))</f>
        <v/>
      </c>
      <c r="N66" s="38">
        <f>IF(A66="","",IF(J66=0,"Sin detalle",IF(M66=0,"Pagada","Pendiente")))</f>
        <v/>
      </c>
      <c r="O66" s="38" t="n"/>
    </row>
    <row r="67">
      <c r="A67" s="36" t="n"/>
      <c r="B67" s="40" t="n"/>
      <c r="C67" s="36" t="n"/>
      <c r="D67" s="36" t="n"/>
      <c r="E67" s="36" t="n"/>
      <c r="F67" s="36" t="n"/>
      <c r="G67" s="37">
        <f>IF(A67="","",IFERROR(INDEX(Criterios!$B$4:$C$83,MATCH(D67,Criterios!$A$4:$A$83,0),IF(E67="Dentro horario",1,2)),""))</f>
        <v/>
      </c>
      <c r="H67" s="37" t="n"/>
      <c r="I67" s="37">
        <f>IF(A67="","",IF(OR(F67="",G67=""),"",F67*G67+N(H67)))</f>
        <v/>
      </c>
      <c r="J67" s="36">
        <f>IF(A67="","",COUNTIF(Detalle_Pagos!$A$5:$A$2004,A67))</f>
        <v/>
      </c>
      <c r="K67" s="37">
        <f>IF(A67="","",IF(OR(J67=0,I67=""),"",I67/J67))</f>
        <v/>
      </c>
      <c r="L67" s="37">
        <f>IF(A67="","",SUMIF(Detalle_Pagos!$A$5:$A$2004,A67,Detalle_Pagos!$I$5:$I$2004))</f>
        <v/>
      </c>
      <c r="M67" s="37">
        <f>IF(A67="","",SUMIFS(Detalle_Pagos!$I$5:$I$2004,Detalle_Pagos!$A$5:$A$2004,A67,Detalle_Pagos!$J$5:$J$2004,"No"))</f>
        <v/>
      </c>
      <c r="N67" s="36">
        <f>IF(A67="","",IF(J67=0,"Sin detalle",IF(M67=0,"Pagada","Pendiente")))</f>
        <v/>
      </c>
      <c r="O67" s="36" t="n"/>
    </row>
    <row r="68">
      <c r="A68" s="38" t="n"/>
      <c r="B68" s="41" t="n"/>
      <c r="C68" s="38" t="n"/>
      <c r="D68" s="38" t="n"/>
      <c r="E68" s="38" t="n"/>
      <c r="F68" s="38" t="n"/>
      <c r="G68" s="39">
        <f>IF(A68="","",IFERROR(INDEX(Criterios!$B$4:$C$83,MATCH(D68,Criterios!$A$4:$A$83,0),IF(E68="Dentro horario",1,2)),""))</f>
        <v/>
      </c>
      <c r="H68" s="39" t="n"/>
      <c r="I68" s="39">
        <f>IF(A68="","",IF(OR(F68="",G68=""),"",F68*G68+N(H68)))</f>
        <v/>
      </c>
      <c r="J68" s="38">
        <f>IF(A68="","",COUNTIF(Detalle_Pagos!$A$5:$A$2004,A68))</f>
        <v/>
      </c>
      <c r="K68" s="39">
        <f>IF(A68="","",IF(OR(J68=0,I68=""),"",I68/J68))</f>
        <v/>
      </c>
      <c r="L68" s="39">
        <f>IF(A68="","",SUMIF(Detalle_Pagos!$A$5:$A$2004,A68,Detalle_Pagos!$I$5:$I$2004))</f>
        <v/>
      </c>
      <c r="M68" s="39">
        <f>IF(A68="","",SUMIFS(Detalle_Pagos!$I$5:$I$2004,Detalle_Pagos!$A$5:$A$2004,A68,Detalle_Pagos!$J$5:$J$2004,"No"))</f>
        <v/>
      </c>
      <c r="N68" s="38">
        <f>IF(A68="","",IF(J68=0,"Sin detalle",IF(M68=0,"Pagada","Pendiente")))</f>
        <v/>
      </c>
      <c r="O68" s="38" t="n"/>
    </row>
    <row r="69">
      <c r="A69" s="36" t="n"/>
      <c r="B69" s="40" t="n"/>
      <c r="C69" s="36" t="n"/>
      <c r="D69" s="36" t="n"/>
      <c r="E69" s="36" t="n"/>
      <c r="F69" s="36" t="n"/>
      <c r="G69" s="37">
        <f>IF(A69="","",IFERROR(INDEX(Criterios!$B$4:$C$83,MATCH(D69,Criterios!$A$4:$A$83,0),IF(E69="Dentro horario",1,2)),""))</f>
        <v/>
      </c>
      <c r="H69" s="37" t="n"/>
      <c r="I69" s="37">
        <f>IF(A69="","",IF(OR(F69="",G69=""),"",F69*G69+N(H69)))</f>
        <v/>
      </c>
      <c r="J69" s="36">
        <f>IF(A69="","",COUNTIF(Detalle_Pagos!$A$5:$A$2004,A69))</f>
        <v/>
      </c>
      <c r="K69" s="37">
        <f>IF(A69="","",IF(OR(J69=0,I69=""),"",I69/J69))</f>
        <v/>
      </c>
      <c r="L69" s="37">
        <f>IF(A69="","",SUMIF(Detalle_Pagos!$A$5:$A$2004,A69,Detalle_Pagos!$I$5:$I$2004))</f>
        <v/>
      </c>
      <c r="M69" s="37">
        <f>IF(A69="","",SUMIFS(Detalle_Pagos!$I$5:$I$2004,Detalle_Pagos!$A$5:$A$2004,A69,Detalle_Pagos!$J$5:$J$2004,"No"))</f>
        <v/>
      </c>
      <c r="N69" s="36">
        <f>IF(A69="","",IF(J69=0,"Sin detalle",IF(M69=0,"Pagada","Pendiente")))</f>
        <v/>
      </c>
      <c r="O69" s="36" t="n"/>
    </row>
    <row r="70">
      <c r="A70" s="38" t="n"/>
      <c r="B70" s="41" t="n"/>
      <c r="C70" s="38" t="n"/>
      <c r="D70" s="38" t="n"/>
      <c r="E70" s="38" t="n"/>
      <c r="F70" s="38" t="n"/>
      <c r="G70" s="39">
        <f>IF(A70="","",IFERROR(INDEX(Criterios!$B$4:$C$83,MATCH(D70,Criterios!$A$4:$A$83,0),IF(E70="Dentro horario",1,2)),""))</f>
        <v/>
      </c>
      <c r="H70" s="39" t="n"/>
      <c r="I70" s="39">
        <f>IF(A70="","",IF(OR(F70="",G70=""),"",F70*G70+N(H70)))</f>
        <v/>
      </c>
      <c r="J70" s="38">
        <f>IF(A70="","",COUNTIF(Detalle_Pagos!$A$5:$A$2004,A70))</f>
        <v/>
      </c>
      <c r="K70" s="39">
        <f>IF(A70="","",IF(OR(J70=0,I70=""),"",I70/J70))</f>
        <v/>
      </c>
      <c r="L70" s="39">
        <f>IF(A70="","",SUMIF(Detalle_Pagos!$A$5:$A$2004,A70,Detalle_Pagos!$I$5:$I$2004))</f>
        <v/>
      </c>
      <c r="M70" s="39">
        <f>IF(A70="","",SUMIFS(Detalle_Pagos!$I$5:$I$2004,Detalle_Pagos!$A$5:$A$2004,A70,Detalle_Pagos!$J$5:$J$2004,"No"))</f>
        <v/>
      </c>
      <c r="N70" s="38">
        <f>IF(A70="","",IF(J70=0,"Sin detalle",IF(M70=0,"Pagada","Pendiente")))</f>
        <v/>
      </c>
      <c r="O70" s="38" t="n"/>
    </row>
    <row r="71">
      <c r="A71" s="36" t="n"/>
      <c r="B71" s="40" t="n"/>
      <c r="C71" s="36" t="n"/>
      <c r="D71" s="36" t="n"/>
      <c r="E71" s="36" t="n"/>
      <c r="F71" s="36" t="n"/>
      <c r="G71" s="37">
        <f>IF(A71="","",IFERROR(INDEX(Criterios!$B$4:$C$83,MATCH(D71,Criterios!$A$4:$A$83,0),IF(E71="Dentro horario",1,2)),""))</f>
        <v/>
      </c>
      <c r="H71" s="37" t="n"/>
      <c r="I71" s="37">
        <f>IF(A71="","",IF(OR(F71="",G71=""),"",F71*G71+N(H71)))</f>
        <v/>
      </c>
      <c r="J71" s="36">
        <f>IF(A71="","",COUNTIF(Detalle_Pagos!$A$5:$A$2004,A71))</f>
        <v/>
      </c>
      <c r="K71" s="37">
        <f>IF(A71="","",IF(OR(J71=0,I71=""),"",I71/J71))</f>
        <v/>
      </c>
      <c r="L71" s="37">
        <f>IF(A71="","",SUMIF(Detalle_Pagos!$A$5:$A$2004,A71,Detalle_Pagos!$I$5:$I$2004))</f>
        <v/>
      </c>
      <c r="M71" s="37">
        <f>IF(A71="","",SUMIFS(Detalle_Pagos!$I$5:$I$2004,Detalle_Pagos!$A$5:$A$2004,A71,Detalle_Pagos!$J$5:$J$2004,"No"))</f>
        <v/>
      </c>
      <c r="N71" s="36">
        <f>IF(A71="","",IF(J71=0,"Sin detalle",IF(M71=0,"Pagada","Pendiente")))</f>
        <v/>
      </c>
      <c r="O71" s="36" t="n"/>
    </row>
    <row r="72">
      <c r="A72" s="38" t="n"/>
      <c r="B72" s="41" t="n"/>
      <c r="C72" s="38" t="n"/>
      <c r="D72" s="38" t="n"/>
      <c r="E72" s="38" t="n"/>
      <c r="F72" s="38" t="n"/>
      <c r="G72" s="39">
        <f>IF(A72="","",IFERROR(INDEX(Criterios!$B$4:$C$83,MATCH(D72,Criterios!$A$4:$A$83,0),IF(E72="Dentro horario",1,2)),""))</f>
        <v/>
      </c>
      <c r="H72" s="39" t="n"/>
      <c r="I72" s="39">
        <f>IF(A72="","",IF(OR(F72="",G72=""),"",F72*G72+N(H72)))</f>
        <v/>
      </c>
      <c r="J72" s="38">
        <f>IF(A72="","",COUNTIF(Detalle_Pagos!$A$5:$A$2004,A72))</f>
        <v/>
      </c>
      <c r="K72" s="39">
        <f>IF(A72="","",IF(OR(J72=0,I72=""),"",I72/J72))</f>
        <v/>
      </c>
      <c r="L72" s="39">
        <f>IF(A72="","",SUMIF(Detalle_Pagos!$A$5:$A$2004,A72,Detalle_Pagos!$I$5:$I$2004))</f>
        <v/>
      </c>
      <c r="M72" s="39">
        <f>IF(A72="","",SUMIFS(Detalle_Pagos!$I$5:$I$2004,Detalle_Pagos!$A$5:$A$2004,A72,Detalle_Pagos!$J$5:$J$2004,"No"))</f>
        <v/>
      </c>
      <c r="N72" s="38">
        <f>IF(A72="","",IF(J72=0,"Sin detalle",IF(M72=0,"Pagada","Pendiente")))</f>
        <v/>
      </c>
      <c r="O72" s="38" t="n"/>
    </row>
    <row r="73">
      <c r="A73" s="36" t="n"/>
      <c r="B73" s="40" t="n"/>
      <c r="C73" s="36" t="n"/>
      <c r="D73" s="36" t="n"/>
      <c r="E73" s="36" t="n"/>
      <c r="F73" s="36" t="n"/>
      <c r="G73" s="37">
        <f>IF(A73="","",IFERROR(INDEX(Criterios!$B$4:$C$83,MATCH(D73,Criterios!$A$4:$A$83,0),IF(E73="Dentro horario",1,2)),""))</f>
        <v/>
      </c>
      <c r="H73" s="37" t="n"/>
      <c r="I73" s="37">
        <f>IF(A73="","",IF(OR(F73="",G73=""),"",F73*G73+N(H73)))</f>
        <v/>
      </c>
      <c r="J73" s="36">
        <f>IF(A73="","",COUNTIF(Detalle_Pagos!$A$5:$A$2004,A73))</f>
        <v/>
      </c>
      <c r="K73" s="37">
        <f>IF(A73="","",IF(OR(J73=0,I73=""),"",I73/J73))</f>
        <v/>
      </c>
      <c r="L73" s="37">
        <f>IF(A73="","",SUMIF(Detalle_Pagos!$A$5:$A$2004,A73,Detalle_Pagos!$I$5:$I$2004))</f>
        <v/>
      </c>
      <c r="M73" s="37">
        <f>IF(A73="","",SUMIFS(Detalle_Pagos!$I$5:$I$2004,Detalle_Pagos!$A$5:$A$2004,A73,Detalle_Pagos!$J$5:$J$2004,"No"))</f>
        <v/>
      </c>
      <c r="N73" s="36">
        <f>IF(A73="","",IF(J73=0,"Sin detalle",IF(M73=0,"Pagada","Pendiente")))</f>
        <v/>
      </c>
      <c r="O73" s="36" t="n"/>
    </row>
    <row r="74">
      <c r="A74" s="38" t="n"/>
      <c r="B74" s="41" t="n"/>
      <c r="C74" s="38" t="n"/>
      <c r="D74" s="38" t="n"/>
      <c r="E74" s="38" t="n"/>
      <c r="F74" s="38" t="n"/>
      <c r="G74" s="39">
        <f>IF(A74="","",IFERROR(INDEX(Criterios!$B$4:$C$83,MATCH(D74,Criterios!$A$4:$A$83,0),IF(E74="Dentro horario",1,2)),""))</f>
        <v/>
      </c>
      <c r="H74" s="39" t="n"/>
      <c r="I74" s="39">
        <f>IF(A74="","",IF(OR(F74="",G74=""),"",F74*G74+N(H74)))</f>
        <v/>
      </c>
      <c r="J74" s="38">
        <f>IF(A74="","",COUNTIF(Detalle_Pagos!$A$5:$A$2004,A74))</f>
        <v/>
      </c>
      <c r="K74" s="39">
        <f>IF(A74="","",IF(OR(J74=0,I74=""),"",I74/J74))</f>
        <v/>
      </c>
      <c r="L74" s="39">
        <f>IF(A74="","",SUMIF(Detalle_Pagos!$A$5:$A$2004,A74,Detalle_Pagos!$I$5:$I$2004))</f>
        <v/>
      </c>
      <c r="M74" s="39">
        <f>IF(A74="","",SUMIFS(Detalle_Pagos!$I$5:$I$2004,Detalle_Pagos!$A$5:$A$2004,A74,Detalle_Pagos!$J$5:$J$2004,"No"))</f>
        <v/>
      </c>
      <c r="N74" s="38">
        <f>IF(A74="","",IF(J74=0,"Sin detalle",IF(M74=0,"Pagada","Pendiente")))</f>
        <v/>
      </c>
      <c r="O74" s="38" t="n"/>
    </row>
    <row r="75">
      <c r="A75" s="36" t="n"/>
      <c r="B75" s="40" t="n"/>
      <c r="C75" s="36" t="n"/>
      <c r="D75" s="36" t="n"/>
      <c r="E75" s="36" t="n"/>
      <c r="F75" s="36" t="n"/>
      <c r="G75" s="37">
        <f>IF(A75="","",IFERROR(INDEX(Criterios!$B$4:$C$83,MATCH(D75,Criterios!$A$4:$A$83,0),IF(E75="Dentro horario",1,2)),""))</f>
        <v/>
      </c>
      <c r="H75" s="37" t="n"/>
      <c r="I75" s="37">
        <f>IF(A75="","",IF(OR(F75="",G75=""),"",F75*G75+N(H75)))</f>
        <v/>
      </c>
      <c r="J75" s="36">
        <f>IF(A75="","",COUNTIF(Detalle_Pagos!$A$5:$A$2004,A75))</f>
        <v/>
      </c>
      <c r="K75" s="37">
        <f>IF(A75="","",IF(OR(J75=0,I75=""),"",I75/J75))</f>
        <v/>
      </c>
      <c r="L75" s="37">
        <f>IF(A75="","",SUMIF(Detalle_Pagos!$A$5:$A$2004,A75,Detalle_Pagos!$I$5:$I$2004))</f>
        <v/>
      </c>
      <c r="M75" s="37">
        <f>IF(A75="","",SUMIFS(Detalle_Pagos!$I$5:$I$2004,Detalle_Pagos!$A$5:$A$2004,A75,Detalle_Pagos!$J$5:$J$2004,"No"))</f>
        <v/>
      </c>
      <c r="N75" s="36">
        <f>IF(A75="","",IF(J75=0,"Sin detalle",IF(M75=0,"Pagada","Pendiente")))</f>
        <v/>
      </c>
      <c r="O75" s="36" t="n"/>
    </row>
    <row r="76">
      <c r="A76" s="38" t="n"/>
      <c r="B76" s="41" t="n"/>
      <c r="C76" s="38" t="n"/>
      <c r="D76" s="38" t="n"/>
      <c r="E76" s="38" t="n"/>
      <c r="F76" s="38" t="n"/>
      <c r="G76" s="39">
        <f>IF(A76="","",IFERROR(INDEX(Criterios!$B$4:$C$83,MATCH(D76,Criterios!$A$4:$A$83,0),IF(E76="Dentro horario",1,2)),""))</f>
        <v/>
      </c>
      <c r="H76" s="39" t="n"/>
      <c r="I76" s="39">
        <f>IF(A76="","",IF(OR(F76="",G76=""),"",F76*G76+N(H76)))</f>
        <v/>
      </c>
      <c r="J76" s="38">
        <f>IF(A76="","",COUNTIF(Detalle_Pagos!$A$5:$A$2004,A76))</f>
        <v/>
      </c>
      <c r="K76" s="39">
        <f>IF(A76="","",IF(OR(J76=0,I76=""),"",I76/J76))</f>
        <v/>
      </c>
      <c r="L76" s="39">
        <f>IF(A76="","",SUMIF(Detalle_Pagos!$A$5:$A$2004,A76,Detalle_Pagos!$I$5:$I$2004))</f>
        <v/>
      </c>
      <c r="M76" s="39">
        <f>IF(A76="","",SUMIFS(Detalle_Pagos!$I$5:$I$2004,Detalle_Pagos!$A$5:$A$2004,A76,Detalle_Pagos!$J$5:$J$2004,"No"))</f>
        <v/>
      </c>
      <c r="N76" s="38">
        <f>IF(A76="","",IF(J76=0,"Sin detalle",IF(M76=0,"Pagada","Pendiente")))</f>
        <v/>
      </c>
      <c r="O76" s="38" t="n"/>
    </row>
    <row r="77">
      <c r="A77" s="36" t="n"/>
      <c r="B77" s="40" t="n"/>
      <c r="C77" s="36" t="n"/>
      <c r="D77" s="36" t="n"/>
      <c r="E77" s="36" t="n"/>
      <c r="F77" s="36" t="n"/>
      <c r="G77" s="37">
        <f>IF(A77="","",IFERROR(INDEX(Criterios!$B$4:$C$83,MATCH(D77,Criterios!$A$4:$A$83,0),IF(E77="Dentro horario",1,2)),""))</f>
        <v/>
      </c>
      <c r="H77" s="37" t="n"/>
      <c r="I77" s="37">
        <f>IF(A77="","",IF(OR(F77="",G77=""),"",F77*G77+N(H77)))</f>
        <v/>
      </c>
      <c r="J77" s="36">
        <f>IF(A77="","",COUNTIF(Detalle_Pagos!$A$5:$A$2004,A77))</f>
        <v/>
      </c>
      <c r="K77" s="37">
        <f>IF(A77="","",IF(OR(J77=0,I77=""),"",I77/J77))</f>
        <v/>
      </c>
      <c r="L77" s="37">
        <f>IF(A77="","",SUMIF(Detalle_Pagos!$A$5:$A$2004,A77,Detalle_Pagos!$I$5:$I$2004))</f>
        <v/>
      </c>
      <c r="M77" s="37">
        <f>IF(A77="","",SUMIFS(Detalle_Pagos!$I$5:$I$2004,Detalle_Pagos!$A$5:$A$2004,A77,Detalle_Pagos!$J$5:$J$2004,"No"))</f>
        <v/>
      </c>
      <c r="N77" s="36">
        <f>IF(A77="","",IF(J77=0,"Sin detalle",IF(M77=0,"Pagada","Pendiente")))</f>
        <v/>
      </c>
      <c r="O77" s="36" t="n"/>
    </row>
    <row r="78">
      <c r="A78" s="38" t="n"/>
      <c r="B78" s="41" t="n"/>
      <c r="C78" s="38" t="n"/>
      <c r="D78" s="38" t="n"/>
      <c r="E78" s="38" t="n"/>
      <c r="F78" s="38" t="n"/>
      <c r="G78" s="39">
        <f>IF(A78="","",IFERROR(INDEX(Criterios!$B$4:$C$83,MATCH(D78,Criterios!$A$4:$A$83,0),IF(E78="Dentro horario",1,2)),""))</f>
        <v/>
      </c>
      <c r="H78" s="39" t="n"/>
      <c r="I78" s="39">
        <f>IF(A78="","",IF(OR(F78="",G78=""),"",F78*G78+N(H78)))</f>
        <v/>
      </c>
      <c r="J78" s="38">
        <f>IF(A78="","",COUNTIF(Detalle_Pagos!$A$5:$A$2004,A78))</f>
        <v/>
      </c>
      <c r="K78" s="39">
        <f>IF(A78="","",IF(OR(J78=0,I78=""),"",I78/J78))</f>
        <v/>
      </c>
      <c r="L78" s="39">
        <f>IF(A78="","",SUMIF(Detalle_Pagos!$A$5:$A$2004,A78,Detalle_Pagos!$I$5:$I$2004))</f>
        <v/>
      </c>
      <c r="M78" s="39">
        <f>IF(A78="","",SUMIFS(Detalle_Pagos!$I$5:$I$2004,Detalle_Pagos!$A$5:$A$2004,A78,Detalle_Pagos!$J$5:$J$2004,"No"))</f>
        <v/>
      </c>
      <c r="N78" s="38">
        <f>IF(A78="","",IF(J78=0,"Sin detalle",IF(M78=0,"Pagada","Pendiente")))</f>
        <v/>
      </c>
      <c r="O78" s="38" t="n"/>
    </row>
    <row r="79">
      <c r="A79" s="36" t="n"/>
      <c r="B79" s="40" t="n"/>
      <c r="C79" s="36" t="n"/>
      <c r="D79" s="36" t="n"/>
      <c r="E79" s="36" t="n"/>
      <c r="F79" s="36" t="n"/>
      <c r="G79" s="37">
        <f>IF(A79="","",IFERROR(INDEX(Criterios!$B$4:$C$83,MATCH(D79,Criterios!$A$4:$A$83,0),IF(E79="Dentro horario",1,2)),""))</f>
        <v/>
      </c>
      <c r="H79" s="37" t="n"/>
      <c r="I79" s="37">
        <f>IF(A79="","",IF(OR(F79="",G79=""),"",F79*G79+N(H79)))</f>
        <v/>
      </c>
      <c r="J79" s="36">
        <f>IF(A79="","",COUNTIF(Detalle_Pagos!$A$5:$A$2004,A79))</f>
        <v/>
      </c>
      <c r="K79" s="37">
        <f>IF(A79="","",IF(OR(J79=0,I79=""),"",I79/J79))</f>
        <v/>
      </c>
      <c r="L79" s="37">
        <f>IF(A79="","",SUMIF(Detalle_Pagos!$A$5:$A$2004,A79,Detalle_Pagos!$I$5:$I$2004))</f>
        <v/>
      </c>
      <c r="M79" s="37">
        <f>IF(A79="","",SUMIFS(Detalle_Pagos!$I$5:$I$2004,Detalle_Pagos!$A$5:$A$2004,A79,Detalle_Pagos!$J$5:$J$2004,"No"))</f>
        <v/>
      </c>
      <c r="N79" s="36">
        <f>IF(A79="","",IF(J79=0,"Sin detalle",IF(M79=0,"Pagada","Pendiente")))</f>
        <v/>
      </c>
      <c r="O79" s="36" t="n"/>
    </row>
    <row r="80">
      <c r="A80" s="38" t="n"/>
      <c r="B80" s="41" t="n"/>
      <c r="C80" s="38" t="n"/>
      <c r="D80" s="38" t="n"/>
      <c r="E80" s="38" t="n"/>
      <c r="F80" s="38" t="n"/>
      <c r="G80" s="39">
        <f>IF(A80="","",IFERROR(INDEX(Criterios!$B$4:$C$83,MATCH(D80,Criterios!$A$4:$A$83,0),IF(E80="Dentro horario",1,2)),""))</f>
        <v/>
      </c>
      <c r="H80" s="39" t="n"/>
      <c r="I80" s="39">
        <f>IF(A80="","",IF(OR(F80="",G80=""),"",F80*G80+N(H80)))</f>
        <v/>
      </c>
      <c r="J80" s="38">
        <f>IF(A80="","",COUNTIF(Detalle_Pagos!$A$5:$A$2004,A80))</f>
        <v/>
      </c>
      <c r="K80" s="39">
        <f>IF(A80="","",IF(OR(J80=0,I80=""),"",I80/J80))</f>
        <v/>
      </c>
      <c r="L80" s="39">
        <f>IF(A80="","",SUMIF(Detalle_Pagos!$A$5:$A$2004,A80,Detalle_Pagos!$I$5:$I$2004))</f>
        <v/>
      </c>
      <c r="M80" s="39">
        <f>IF(A80="","",SUMIFS(Detalle_Pagos!$I$5:$I$2004,Detalle_Pagos!$A$5:$A$2004,A80,Detalle_Pagos!$J$5:$J$2004,"No"))</f>
        <v/>
      </c>
      <c r="N80" s="38">
        <f>IF(A80="","",IF(J80=0,"Sin detalle",IF(M80=0,"Pagada","Pendiente")))</f>
        <v/>
      </c>
      <c r="O80" s="38" t="n"/>
    </row>
    <row r="81">
      <c r="A81" s="36" t="n"/>
      <c r="B81" s="40" t="n"/>
      <c r="C81" s="36" t="n"/>
      <c r="D81" s="36" t="n"/>
      <c r="E81" s="36" t="n"/>
      <c r="F81" s="36" t="n"/>
      <c r="G81" s="37">
        <f>IF(A81="","",IFERROR(INDEX(Criterios!$B$4:$C$83,MATCH(D81,Criterios!$A$4:$A$83,0),IF(E81="Dentro horario",1,2)),""))</f>
        <v/>
      </c>
      <c r="H81" s="37" t="n"/>
      <c r="I81" s="37">
        <f>IF(A81="","",IF(OR(F81="",G81=""),"",F81*G81+N(H81)))</f>
        <v/>
      </c>
      <c r="J81" s="36">
        <f>IF(A81="","",COUNTIF(Detalle_Pagos!$A$5:$A$2004,A81))</f>
        <v/>
      </c>
      <c r="K81" s="37">
        <f>IF(A81="","",IF(OR(J81=0,I81=""),"",I81/J81))</f>
        <v/>
      </c>
      <c r="L81" s="37">
        <f>IF(A81="","",SUMIF(Detalle_Pagos!$A$5:$A$2004,A81,Detalle_Pagos!$I$5:$I$2004))</f>
        <v/>
      </c>
      <c r="M81" s="37">
        <f>IF(A81="","",SUMIFS(Detalle_Pagos!$I$5:$I$2004,Detalle_Pagos!$A$5:$A$2004,A81,Detalle_Pagos!$J$5:$J$2004,"No"))</f>
        <v/>
      </c>
      <c r="N81" s="36">
        <f>IF(A81="","",IF(J81=0,"Sin detalle",IF(M81=0,"Pagada","Pendiente")))</f>
        <v/>
      </c>
      <c r="O81" s="36" t="n"/>
    </row>
    <row r="82">
      <c r="A82" s="38" t="n"/>
      <c r="B82" s="41" t="n"/>
      <c r="C82" s="38" t="n"/>
      <c r="D82" s="38" t="n"/>
      <c r="E82" s="38" t="n"/>
      <c r="F82" s="38" t="n"/>
      <c r="G82" s="39">
        <f>IF(A82="","",IFERROR(INDEX(Criterios!$B$4:$C$83,MATCH(D82,Criterios!$A$4:$A$83,0),IF(E82="Dentro horario",1,2)),""))</f>
        <v/>
      </c>
      <c r="H82" s="39" t="n"/>
      <c r="I82" s="39">
        <f>IF(A82="","",IF(OR(F82="",G82=""),"",F82*G82+N(H82)))</f>
        <v/>
      </c>
      <c r="J82" s="38">
        <f>IF(A82="","",COUNTIF(Detalle_Pagos!$A$5:$A$2004,A82))</f>
        <v/>
      </c>
      <c r="K82" s="39">
        <f>IF(A82="","",IF(OR(J82=0,I82=""),"",I82/J82))</f>
        <v/>
      </c>
      <c r="L82" s="39">
        <f>IF(A82="","",SUMIF(Detalle_Pagos!$A$5:$A$2004,A82,Detalle_Pagos!$I$5:$I$2004))</f>
        <v/>
      </c>
      <c r="M82" s="39">
        <f>IF(A82="","",SUMIFS(Detalle_Pagos!$I$5:$I$2004,Detalle_Pagos!$A$5:$A$2004,A82,Detalle_Pagos!$J$5:$J$2004,"No"))</f>
        <v/>
      </c>
      <c r="N82" s="38">
        <f>IF(A82="","",IF(J82=0,"Sin detalle",IF(M82=0,"Pagada","Pendiente")))</f>
        <v/>
      </c>
      <c r="O82" s="38" t="n"/>
    </row>
    <row r="83">
      <c r="A83" s="36" t="n"/>
      <c r="B83" s="40" t="n"/>
      <c r="C83" s="36" t="n"/>
      <c r="D83" s="36" t="n"/>
      <c r="E83" s="36" t="n"/>
      <c r="F83" s="36" t="n"/>
      <c r="G83" s="37">
        <f>IF(A83="","",IFERROR(INDEX(Criterios!$B$4:$C$83,MATCH(D83,Criterios!$A$4:$A$83,0),IF(E83="Dentro horario",1,2)),""))</f>
        <v/>
      </c>
      <c r="H83" s="37" t="n"/>
      <c r="I83" s="37">
        <f>IF(A83="","",IF(OR(F83="",G83=""),"",F83*G83+N(H83)))</f>
        <v/>
      </c>
      <c r="J83" s="36">
        <f>IF(A83="","",COUNTIF(Detalle_Pagos!$A$5:$A$2004,A83))</f>
        <v/>
      </c>
      <c r="K83" s="37">
        <f>IF(A83="","",IF(OR(J83=0,I83=""),"",I83/J83))</f>
        <v/>
      </c>
      <c r="L83" s="37">
        <f>IF(A83="","",SUMIF(Detalle_Pagos!$A$5:$A$2004,A83,Detalle_Pagos!$I$5:$I$2004))</f>
        <v/>
      </c>
      <c r="M83" s="37">
        <f>IF(A83="","",SUMIFS(Detalle_Pagos!$I$5:$I$2004,Detalle_Pagos!$A$5:$A$2004,A83,Detalle_Pagos!$J$5:$J$2004,"No"))</f>
        <v/>
      </c>
      <c r="N83" s="36">
        <f>IF(A83="","",IF(J83=0,"Sin detalle",IF(M83=0,"Pagada","Pendiente")))</f>
        <v/>
      </c>
      <c r="O83" s="36" t="n"/>
    </row>
    <row r="84">
      <c r="A84" s="38" t="n"/>
      <c r="B84" s="41" t="n"/>
      <c r="C84" s="38" t="n"/>
      <c r="D84" s="38" t="n"/>
      <c r="E84" s="38" t="n"/>
      <c r="F84" s="38" t="n"/>
      <c r="G84" s="39">
        <f>IF(A84="","",IFERROR(INDEX(Criterios!$B$4:$C$83,MATCH(D84,Criterios!$A$4:$A$83,0),IF(E84="Dentro horario",1,2)),""))</f>
        <v/>
      </c>
      <c r="H84" s="39" t="n"/>
      <c r="I84" s="39">
        <f>IF(A84="","",IF(OR(F84="",G84=""),"",F84*G84+N(H84)))</f>
        <v/>
      </c>
      <c r="J84" s="38">
        <f>IF(A84="","",COUNTIF(Detalle_Pagos!$A$5:$A$2004,A84))</f>
        <v/>
      </c>
      <c r="K84" s="39">
        <f>IF(A84="","",IF(OR(J84=0,I84=""),"",I84/J84))</f>
        <v/>
      </c>
      <c r="L84" s="39">
        <f>IF(A84="","",SUMIF(Detalle_Pagos!$A$5:$A$2004,A84,Detalle_Pagos!$I$5:$I$2004))</f>
        <v/>
      </c>
      <c r="M84" s="39">
        <f>IF(A84="","",SUMIFS(Detalle_Pagos!$I$5:$I$2004,Detalle_Pagos!$A$5:$A$2004,A84,Detalle_Pagos!$J$5:$J$2004,"No"))</f>
        <v/>
      </c>
      <c r="N84" s="38">
        <f>IF(A84="","",IF(J84=0,"Sin detalle",IF(M84=0,"Pagada","Pendiente")))</f>
        <v/>
      </c>
      <c r="O84" s="38" t="n"/>
    </row>
    <row r="85">
      <c r="A85" s="36" t="n"/>
      <c r="B85" s="40" t="n"/>
      <c r="C85" s="36" t="n"/>
      <c r="D85" s="36" t="n"/>
      <c r="E85" s="36" t="n"/>
      <c r="F85" s="36" t="n"/>
      <c r="G85" s="37">
        <f>IF(A85="","",IFERROR(INDEX(Criterios!$B$4:$C$83,MATCH(D85,Criterios!$A$4:$A$83,0),IF(E85="Dentro horario",1,2)),""))</f>
        <v/>
      </c>
      <c r="H85" s="37" t="n"/>
      <c r="I85" s="37">
        <f>IF(A85="","",IF(OR(F85="",G85=""),"",F85*G85+N(H85)))</f>
        <v/>
      </c>
      <c r="J85" s="36">
        <f>IF(A85="","",COUNTIF(Detalle_Pagos!$A$5:$A$2004,A85))</f>
        <v/>
      </c>
      <c r="K85" s="37">
        <f>IF(A85="","",IF(OR(J85=0,I85=""),"",I85/J85))</f>
        <v/>
      </c>
      <c r="L85" s="37">
        <f>IF(A85="","",SUMIF(Detalle_Pagos!$A$5:$A$2004,A85,Detalle_Pagos!$I$5:$I$2004))</f>
        <v/>
      </c>
      <c r="M85" s="37">
        <f>IF(A85="","",SUMIFS(Detalle_Pagos!$I$5:$I$2004,Detalle_Pagos!$A$5:$A$2004,A85,Detalle_Pagos!$J$5:$J$2004,"No"))</f>
        <v/>
      </c>
      <c r="N85" s="36">
        <f>IF(A85="","",IF(J85=0,"Sin detalle",IF(M85=0,"Pagada","Pendiente")))</f>
        <v/>
      </c>
      <c r="O85" s="36" t="n"/>
    </row>
    <row r="86">
      <c r="A86" s="38" t="n"/>
      <c r="B86" s="41" t="n"/>
      <c r="C86" s="38" t="n"/>
      <c r="D86" s="38" t="n"/>
      <c r="E86" s="38" t="n"/>
      <c r="F86" s="38" t="n"/>
      <c r="G86" s="39">
        <f>IF(A86="","",IFERROR(INDEX(Criterios!$B$4:$C$83,MATCH(D86,Criterios!$A$4:$A$83,0),IF(E86="Dentro horario",1,2)),""))</f>
        <v/>
      </c>
      <c r="H86" s="39" t="n"/>
      <c r="I86" s="39">
        <f>IF(A86="","",IF(OR(F86="",G86=""),"",F86*G86+N(H86)))</f>
        <v/>
      </c>
      <c r="J86" s="38">
        <f>IF(A86="","",COUNTIF(Detalle_Pagos!$A$5:$A$2004,A86))</f>
        <v/>
      </c>
      <c r="K86" s="39">
        <f>IF(A86="","",IF(OR(J86=0,I86=""),"",I86/J86))</f>
        <v/>
      </c>
      <c r="L86" s="39">
        <f>IF(A86="","",SUMIF(Detalle_Pagos!$A$5:$A$2004,A86,Detalle_Pagos!$I$5:$I$2004))</f>
        <v/>
      </c>
      <c r="M86" s="39">
        <f>IF(A86="","",SUMIFS(Detalle_Pagos!$I$5:$I$2004,Detalle_Pagos!$A$5:$A$2004,A86,Detalle_Pagos!$J$5:$J$2004,"No"))</f>
        <v/>
      </c>
      <c r="N86" s="38">
        <f>IF(A86="","",IF(J86=0,"Sin detalle",IF(M86=0,"Pagada","Pendiente")))</f>
        <v/>
      </c>
      <c r="O86" s="38" t="n"/>
    </row>
    <row r="87">
      <c r="A87" s="36" t="n"/>
      <c r="B87" s="40" t="n"/>
      <c r="C87" s="36" t="n"/>
      <c r="D87" s="36" t="n"/>
      <c r="E87" s="36" t="n"/>
      <c r="F87" s="36" t="n"/>
      <c r="G87" s="37">
        <f>IF(A87="","",IFERROR(INDEX(Criterios!$B$4:$C$83,MATCH(D87,Criterios!$A$4:$A$83,0),IF(E87="Dentro horario",1,2)),""))</f>
        <v/>
      </c>
      <c r="H87" s="37" t="n"/>
      <c r="I87" s="37">
        <f>IF(A87="","",IF(OR(F87="",G87=""),"",F87*G87+N(H87)))</f>
        <v/>
      </c>
      <c r="J87" s="36">
        <f>IF(A87="","",COUNTIF(Detalle_Pagos!$A$5:$A$2004,A87))</f>
        <v/>
      </c>
      <c r="K87" s="37">
        <f>IF(A87="","",IF(OR(J87=0,I87=""),"",I87/J87))</f>
        <v/>
      </c>
      <c r="L87" s="37">
        <f>IF(A87="","",SUMIF(Detalle_Pagos!$A$5:$A$2004,A87,Detalle_Pagos!$I$5:$I$2004))</f>
        <v/>
      </c>
      <c r="M87" s="37">
        <f>IF(A87="","",SUMIFS(Detalle_Pagos!$I$5:$I$2004,Detalle_Pagos!$A$5:$A$2004,A87,Detalle_Pagos!$J$5:$J$2004,"No"))</f>
        <v/>
      </c>
      <c r="N87" s="36">
        <f>IF(A87="","",IF(J87=0,"Sin detalle",IF(M87=0,"Pagada","Pendiente")))</f>
        <v/>
      </c>
      <c r="O87" s="36" t="n"/>
    </row>
    <row r="88">
      <c r="A88" s="38" t="n"/>
      <c r="B88" s="41" t="n"/>
      <c r="C88" s="38" t="n"/>
      <c r="D88" s="38" t="n"/>
      <c r="E88" s="38" t="n"/>
      <c r="F88" s="38" t="n"/>
      <c r="G88" s="39">
        <f>IF(A88="","",IFERROR(INDEX(Criterios!$B$4:$C$83,MATCH(D88,Criterios!$A$4:$A$83,0),IF(E88="Dentro horario",1,2)),""))</f>
        <v/>
      </c>
      <c r="H88" s="39" t="n"/>
      <c r="I88" s="39">
        <f>IF(A88="","",IF(OR(F88="",G88=""),"",F88*G88+N(H88)))</f>
        <v/>
      </c>
      <c r="J88" s="38">
        <f>IF(A88="","",COUNTIF(Detalle_Pagos!$A$5:$A$2004,A88))</f>
        <v/>
      </c>
      <c r="K88" s="39">
        <f>IF(A88="","",IF(OR(J88=0,I88=""),"",I88/J88))</f>
        <v/>
      </c>
      <c r="L88" s="39">
        <f>IF(A88="","",SUMIF(Detalle_Pagos!$A$5:$A$2004,A88,Detalle_Pagos!$I$5:$I$2004))</f>
        <v/>
      </c>
      <c r="M88" s="39">
        <f>IF(A88="","",SUMIFS(Detalle_Pagos!$I$5:$I$2004,Detalle_Pagos!$A$5:$A$2004,A88,Detalle_Pagos!$J$5:$J$2004,"No"))</f>
        <v/>
      </c>
      <c r="N88" s="38">
        <f>IF(A88="","",IF(J88=0,"Sin detalle",IF(M88=0,"Pagada","Pendiente")))</f>
        <v/>
      </c>
      <c r="O88" s="38" t="n"/>
    </row>
    <row r="89">
      <c r="A89" s="36" t="n"/>
      <c r="B89" s="40" t="n"/>
      <c r="C89" s="36" t="n"/>
      <c r="D89" s="36" t="n"/>
      <c r="E89" s="36" t="n"/>
      <c r="F89" s="36" t="n"/>
      <c r="G89" s="37">
        <f>IF(A89="","",IFERROR(INDEX(Criterios!$B$4:$C$83,MATCH(D89,Criterios!$A$4:$A$83,0),IF(E89="Dentro horario",1,2)),""))</f>
        <v/>
      </c>
      <c r="H89" s="37" t="n"/>
      <c r="I89" s="37">
        <f>IF(A89="","",IF(OR(F89="",G89=""),"",F89*G89+N(H89)))</f>
        <v/>
      </c>
      <c r="J89" s="36">
        <f>IF(A89="","",COUNTIF(Detalle_Pagos!$A$5:$A$2004,A89))</f>
        <v/>
      </c>
      <c r="K89" s="37">
        <f>IF(A89="","",IF(OR(J89=0,I89=""),"",I89/J89))</f>
        <v/>
      </c>
      <c r="L89" s="37">
        <f>IF(A89="","",SUMIF(Detalle_Pagos!$A$5:$A$2004,A89,Detalle_Pagos!$I$5:$I$2004))</f>
        <v/>
      </c>
      <c r="M89" s="37">
        <f>IF(A89="","",SUMIFS(Detalle_Pagos!$I$5:$I$2004,Detalle_Pagos!$A$5:$A$2004,A89,Detalle_Pagos!$J$5:$J$2004,"No"))</f>
        <v/>
      </c>
      <c r="N89" s="36">
        <f>IF(A89="","",IF(J89=0,"Sin detalle",IF(M89=0,"Pagada","Pendiente")))</f>
        <v/>
      </c>
      <c r="O89" s="36" t="n"/>
    </row>
    <row r="90">
      <c r="A90" s="38" t="n"/>
      <c r="B90" s="41" t="n"/>
      <c r="C90" s="38" t="n"/>
      <c r="D90" s="38" t="n"/>
      <c r="E90" s="38" t="n"/>
      <c r="F90" s="38" t="n"/>
      <c r="G90" s="39">
        <f>IF(A90="","",IFERROR(INDEX(Criterios!$B$4:$C$83,MATCH(D90,Criterios!$A$4:$A$83,0),IF(E90="Dentro horario",1,2)),""))</f>
        <v/>
      </c>
      <c r="H90" s="39" t="n"/>
      <c r="I90" s="39">
        <f>IF(A90="","",IF(OR(F90="",G90=""),"",F90*G90+N(H90)))</f>
        <v/>
      </c>
      <c r="J90" s="38">
        <f>IF(A90="","",COUNTIF(Detalle_Pagos!$A$5:$A$2004,A90))</f>
        <v/>
      </c>
      <c r="K90" s="39">
        <f>IF(A90="","",IF(OR(J90=0,I90=""),"",I90/J90))</f>
        <v/>
      </c>
      <c r="L90" s="39">
        <f>IF(A90="","",SUMIF(Detalle_Pagos!$A$5:$A$2004,A90,Detalle_Pagos!$I$5:$I$2004))</f>
        <v/>
      </c>
      <c r="M90" s="39">
        <f>IF(A90="","",SUMIFS(Detalle_Pagos!$I$5:$I$2004,Detalle_Pagos!$A$5:$A$2004,A90,Detalle_Pagos!$J$5:$J$2004,"No"))</f>
        <v/>
      </c>
      <c r="N90" s="38">
        <f>IF(A90="","",IF(J90=0,"Sin detalle",IF(M90=0,"Pagada","Pendiente")))</f>
        <v/>
      </c>
      <c r="O90" s="38" t="n"/>
    </row>
    <row r="91">
      <c r="A91" s="36" t="n"/>
      <c r="B91" s="40" t="n"/>
      <c r="C91" s="36" t="n"/>
      <c r="D91" s="36" t="n"/>
      <c r="E91" s="36" t="n"/>
      <c r="F91" s="36" t="n"/>
      <c r="G91" s="37">
        <f>IF(A91="","",IFERROR(INDEX(Criterios!$B$4:$C$83,MATCH(D91,Criterios!$A$4:$A$83,0),IF(E91="Dentro horario",1,2)),""))</f>
        <v/>
      </c>
      <c r="H91" s="37" t="n"/>
      <c r="I91" s="37">
        <f>IF(A91="","",IF(OR(F91="",G91=""),"",F91*G91+N(H91)))</f>
        <v/>
      </c>
      <c r="J91" s="36">
        <f>IF(A91="","",COUNTIF(Detalle_Pagos!$A$5:$A$2004,A91))</f>
        <v/>
      </c>
      <c r="K91" s="37">
        <f>IF(A91="","",IF(OR(J91=0,I91=""),"",I91/J91))</f>
        <v/>
      </c>
      <c r="L91" s="37">
        <f>IF(A91="","",SUMIF(Detalle_Pagos!$A$5:$A$2004,A91,Detalle_Pagos!$I$5:$I$2004))</f>
        <v/>
      </c>
      <c r="M91" s="37">
        <f>IF(A91="","",SUMIFS(Detalle_Pagos!$I$5:$I$2004,Detalle_Pagos!$A$5:$A$2004,A91,Detalle_Pagos!$J$5:$J$2004,"No"))</f>
        <v/>
      </c>
      <c r="N91" s="36">
        <f>IF(A91="","",IF(J91=0,"Sin detalle",IF(M91=0,"Pagada","Pendiente")))</f>
        <v/>
      </c>
      <c r="O91" s="36" t="n"/>
    </row>
    <row r="92">
      <c r="A92" s="38" t="n"/>
      <c r="B92" s="41" t="n"/>
      <c r="C92" s="38" t="n"/>
      <c r="D92" s="38" t="n"/>
      <c r="E92" s="38" t="n"/>
      <c r="F92" s="38" t="n"/>
      <c r="G92" s="39">
        <f>IF(A92="","",IFERROR(INDEX(Criterios!$B$4:$C$83,MATCH(D92,Criterios!$A$4:$A$83,0),IF(E92="Dentro horario",1,2)),""))</f>
        <v/>
      </c>
      <c r="H92" s="39" t="n"/>
      <c r="I92" s="39">
        <f>IF(A92="","",IF(OR(F92="",G92=""),"",F92*G92+N(H92)))</f>
        <v/>
      </c>
      <c r="J92" s="38">
        <f>IF(A92="","",COUNTIF(Detalle_Pagos!$A$5:$A$2004,A92))</f>
        <v/>
      </c>
      <c r="K92" s="39">
        <f>IF(A92="","",IF(OR(J92=0,I92=""),"",I92/J92))</f>
        <v/>
      </c>
      <c r="L92" s="39">
        <f>IF(A92="","",SUMIF(Detalle_Pagos!$A$5:$A$2004,A92,Detalle_Pagos!$I$5:$I$2004))</f>
        <v/>
      </c>
      <c r="M92" s="39">
        <f>IF(A92="","",SUMIFS(Detalle_Pagos!$I$5:$I$2004,Detalle_Pagos!$A$5:$A$2004,A92,Detalle_Pagos!$J$5:$J$2004,"No"))</f>
        <v/>
      </c>
      <c r="N92" s="38">
        <f>IF(A92="","",IF(J92=0,"Sin detalle",IF(M92=0,"Pagada","Pendiente")))</f>
        <v/>
      </c>
      <c r="O92" s="38" t="n"/>
    </row>
    <row r="93">
      <c r="A93" s="36" t="n"/>
      <c r="B93" s="40" t="n"/>
      <c r="C93" s="36" t="n"/>
      <c r="D93" s="36" t="n"/>
      <c r="E93" s="36" t="n"/>
      <c r="F93" s="36" t="n"/>
      <c r="G93" s="37">
        <f>IF(A93="","",IFERROR(INDEX(Criterios!$B$4:$C$83,MATCH(D93,Criterios!$A$4:$A$83,0),IF(E93="Dentro horario",1,2)),""))</f>
        <v/>
      </c>
      <c r="H93" s="37" t="n"/>
      <c r="I93" s="37">
        <f>IF(A93="","",IF(OR(F93="",G93=""),"",F93*G93+N(H93)))</f>
        <v/>
      </c>
      <c r="J93" s="36">
        <f>IF(A93="","",COUNTIF(Detalle_Pagos!$A$5:$A$2004,A93))</f>
        <v/>
      </c>
      <c r="K93" s="37">
        <f>IF(A93="","",IF(OR(J93=0,I93=""),"",I93/J93))</f>
        <v/>
      </c>
      <c r="L93" s="37">
        <f>IF(A93="","",SUMIF(Detalle_Pagos!$A$5:$A$2004,A93,Detalle_Pagos!$I$5:$I$2004))</f>
        <v/>
      </c>
      <c r="M93" s="37">
        <f>IF(A93="","",SUMIFS(Detalle_Pagos!$I$5:$I$2004,Detalle_Pagos!$A$5:$A$2004,A93,Detalle_Pagos!$J$5:$J$2004,"No"))</f>
        <v/>
      </c>
      <c r="N93" s="36">
        <f>IF(A93="","",IF(J93=0,"Sin detalle",IF(M93=0,"Pagada","Pendiente")))</f>
        <v/>
      </c>
      <c r="O93" s="36" t="n"/>
    </row>
    <row r="94">
      <c r="A94" s="38" t="n"/>
      <c r="B94" s="41" t="n"/>
      <c r="C94" s="38" t="n"/>
      <c r="D94" s="38" t="n"/>
      <c r="E94" s="38" t="n"/>
      <c r="F94" s="38" t="n"/>
      <c r="G94" s="39">
        <f>IF(A94="","",IFERROR(INDEX(Criterios!$B$4:$C$83,MATCH(D94,Criterios!$A$4:$A$83,0),IF(E94="Dentro horario",1,2)),""))</f>
        <v/>
      </c>
      <c r="H94" s="39" t="n"/>
      <c r="I94" s="39">
        <f>IF(A94="","",IF(OR(F94="",G94=""),"",F94*G94+N(H94)))</f>
        <v/>
      </c>
      <c r="J94" s="38">
        <f>IF(A94="","",COUNTIF(Detalle_Pagos!$A$5:$A$2004,A94))</f>
        <v/>
      </c>
      <c r="K94" s="39">
        <f>IF(A94="","",IF(OR(J94=0,I94=""),"",I94/J94))</f>
        <v/>
      </c>
      <c r="L94" s="39">
        <f>IF(A94="","",SUMIF(Detalle_Pagos!$A$5:$A$2004,A94,Detalle_Pagos!$I$5:$I$2004))</f>
        <v/>
      </c>
      <c r="M94" s="39">
        <f>IF(A94="","",SUMIFS(Detalle_Pagos!$I$5:$I$2004,Detalle_Pagos!$A$5:$A$2004,A94,Detalle_Pagos!$J$5:$J$2004,"No"))</f>
        <v/>
      </c>
      <c r="N94" s="38">
        <f>IF(A94="","",IF(J94=0,"Sin detalle",IF(M94=0,"Pagada","Pendiente")))</f>
        <v/>
      </c>
      <c r="O94" s="38" t="n"/>
    </row>
    <row r="95">
      <c r="A95" s="36" t="n"/>
      <c r="B95" s="40" t="n"/>
      <c r="C95" s="36" t="n"/>
      <c r="D95" s="36" t="n"/>
      <c r="E95" s="36" t="n"/>
      <c r="F95" s="36" t="n"/>
      <c r="G95" s="37">
        <f>IF(A95="","",IFERROR(INDEX(Criterios!$B$4:$C$83,MATCH(D95,Criterios!$A$4:$A$83,0),IF(E95="Dentro horario",1,2)),""))</f>
        <v/>
      </c>
      <c r="H95" s="37" t="n"/>
      <c r="I95" s="37">
        <f>IF(A95="","",IF(OR(F95="",G95=""),"",F95*G95+N(H95)))</f>
        <v/>
      </c>
      <c r="J95" s="36">
        <f>IF(A95="","",COUNTIF(Detalle_Pagos!$A$5:$A$2004,A95))</f>
        <v/>
      </c>
      <c r="K95" s="37">
        <f>IF(A95="","",IF(OR(J95=0,I95=""),"",I95/J95))</f>
        <v/>
      </c>
      <c r="L95" s="37">
        <f>IF(A95="","",SUMIF(Detalle_Pagos!$A$5:$A$2004,A95,Detalle_Pagos!$I$5:$I$2004))</f>
        <v/>
      </c>
      <c r="M95" s="37">
        <f>IF(A95="","",SUMIFS(Detalle_Pagos!$I$5:$I$2004,Detalle_Pagos!$A$5:$A$2004,A95,Detalle_Pagos!$J$5:$J$2004,"No"))</f>
        <v/>
      </c>
      <c r="N95" s="36">
        <f>IF(A95="","",IF(J95=0,"Sin detalle",IF(M95=0,"Pagada","Pendiente")))</f>
        <v/>
      </c>
      <c r="O95" s="36" t="n"/>
    </row>
    <row r="96">
      <c r="A96" s="38" t="n"/>
      <c r="B96" s="41" t="n"/>
      <c r="C96" s="38" t="n"/>
      <c r="D96" s="38" t="n"/>
      <c r="E96" s="38" t="n"/>
      <c r="F96" s="38" t="n"/>
      <c r="G96" s="39">
        <f>IF(A96="","",IFERROR(INDEX(Criterios!$B$4:$C$83,MATCH(D96,Criterios!$A$4:$A$83,0),IF(E96="Dentro horario",1,2)),""))</f>
        <v/>
      </c>
      <c r="H96" s="39" t="n"/>
      <c r="I96" s="39">
        <f>IF(A96="","",IF(OR(F96="",G96=""),"",F96*G96+N(H96)))</f>
        <v/>
      </c>
      <c r="J96" s="38">
        <f>IF(A96="","",COUNTIF(Detalle_Pagos!$A$5:$A$2004,A96))</f>
        <v/>
      </c>
      <c r="K96" s="39">
        <f>IF(A96="","",IF(OR(J96=0,I96=""),"",I96/J96))</f>
        <v/>
      </c>
      <c r="L96" s="39">
        <f>IF(A96="","",SUMIF(Detalle_Pagos!$A$5:$A$2004,A96,Detalle_Pagos!$I$5:$I$2004))</f>
        <v/>
      </c>
      <c r="M96" s="39">
        <f>IF(A96="","",SUMIFS(Detalle_Pagos!$I$5:$I$2004,Detalle_Pagos!$A$5:$A$2004,A96,Detalle_Pagos!$J$5:$J$2004,"No"))</f>
        <v/>
      </c>
      <c r="N96" s="38">
        <f>IF(A96="","",IF(J96=0,"Sin detalle",IF(M96=0,"Pagada","Pendiente")))</f>
        <v/>
      </c>
      <c r="O96" s="38" t="n"/>
    </row>
    <row r="97">
      <c r="A97" s="36" t="n"/>
      <c r="B97" s="40" t="n"/>
      <c r="C97" s="36" t="n"/>
      <c r="D97" s="36" t="n"/>
      <c r="E97" s="36" t="n"/>
      <c r="F97" s="36" t="n"/>
      <c r="G97" s="37">
        <f>IF(A97="","",IFERROR(INDEX(Criterios!$B$4:$C$83,MATCH(D97,Criterios!$A$4:$A$83,0),IF(E97="Dentro horario",1,2)),""))</f>
        <v/>
      </c>
      <c r="H97" s="37" t="n"/>
      <c r="I97" s="37">
        <f>IF(A97="","",IF(OR(F97="",G97=""),"",F97*G97+N(H97)))</f>
        <v/>
      </c>
      <c r="J97" s="36">
        <f>IF(A97="","",COUNTIF(Detalle_Pagos!$A$5:$A$2004,A97))</f>
        <v/>
      </c>
      <c r="K97" s="37">
        <f>IF(A97="","",IF(OR(J97=0,I97=""),"",I97/J97))</f>
        <v/>
      </c>
      <c r="L97" s="37">
        <f>IF(A97="","",SUMIF(Detalle_Pagos!$A$5:$A$2004,A97,Detalle_Pagos!$I$5:$I$2004))</f>
        <v/>
      </c>
      <c r="M97" s="37">
        <f>IF(A97="","",SUMIFS(Detalle_Pagos!$I$5:$I$2004,Detalle_Pagos!$A$5:$A$2004,A97,Detalle_Pagos!$J$5:$J$2004,"No"))</f>
        <v/>
      </c>
      <c r="N97" s="36">
        <f>IF(A97="","",IF(J97=0,"Sin detalle",IF(M97=0,"Pagada","Pendiente")))</f>
        <v/>
      </c>
      <c r="O97" s="36" t="n"/>
    </row>
    <row r="98">
      <c r="A98" s="38" t="n"/>
      <c r="B98" s="41" t="n"/>
      <c r="C98" s="38" t="n"/>
      <c r="D98" s="38" t="n"/>
      <c r="E98" s="38" t="n"/>
      <c r="F98" s="38" t="n"/>
      <c r="G98" s="39">
        <f>IF(A98="","",IFERROR(INDEX(Criterios!$B$4:$C$83,MATCH(D98,Criterios!$A$4:$A$83,0),IF(E98="Dentro horario",1,2)),""))</f>
        <v/>
      </c>
      <c r="H98" s="39" t="n"/>
      <c r="I98" s="39">
        <f>IF(A98="","",IF(OR(F98="",G98=""),"",F98*G98+N(H98)))</f>
        <v/>
      </c>
      <c r="J98" s="38">
        <f>IF(A98="","",COUNTIF(Detalle_Pagos!$A$5:$A$2004,A98))</f>
        <v/>
      </c>
      <c r="K98" s="39">
        <f>IF(A98="","",IF(OR(J98=0,I98=""),"",I98/J98))</f>
        <v/>
      </c>
      <c r="L98" s="39">
        <f>IF(A98="","",SUMIF(Detalle_Pagos!$A$5:$A$2004,A98,Detalle_Pagos!$I$5:$I$2004))</f>
        <v/>
      </c>
      <c r="M98" s="39">
        <f>IF(A98="","",SUMIFS(Detalle_Pagos!$I$5:$I$2004,Detalle_Pagos!$A$5:$A$2004,A98,Detalle_Pagos!$J$5:$J$2004,"No"))</f>
        <v/>
      </c>
      <c r="N98" s="38">
        <f>IF(A98="","",IF(J98=0,"Sin detalle",IF(M98=0,"Pagada","Pendiente")))</f>
        <v/>
      </c>
      <c r="O98" s="38" t="n"/>
    </row>
    <row r="99">
      <c r="A99" s="36" t="n"/>
      <c r="B99" s="40" t="n"/>
      <c r="C99" s="36" t="n"/>
      <c r="D99" s="36" t="n"/>
      <c r="E99" s="36" t="n"/>
      <c r="F99" s="36" t="n"/>
      <c r="G99" s="37">
        <f>IF(A99="","",IFERROR(INDEX(Criterios!$B$4:$C$83,MATCH(D99,Criterios!$A$4:$A$83,0),IF(E99="Dentro horario",1,2)),""))</f>
        <v/>
      </c>
      <c r="H99" s="37" t="n"/>
      <c r="I99" s="37">
        <f>IF(A99="","",IF(OR(F99="",G99=""),"",F99*G99+N(H99)))</f>
        <v/>
      </c>
      <c r="J99" s="36">
        <f>IF(A99="","",COUNTIF(Detalle_Pagos!$A$5:$A$2004,A99))</f>
        <v/>
      </c>
      <c r="K99" s="37">
        <f>IF(A99="","",IF(OR(J99=0,I99=""),"",I99/J99))</f>
        <v/>
      </c>
      <c r="L99" s="37">
        <f>IF(A99="","",SUMIF(Detalle_Pagos!$A$5:$A$2004,A99,Detalle_Pagos!$I$5:$I$2004))</f>
        <v/>
      </c>
      <c r="M99" s="37">
        <f>IF(A99="","",SUMIFS(Detalle_Pagos!$I$5:$I$2004,Detalle_Pagos!$A$5:$A$2004,A99,Detalle_Pagos!$J$5:$J$2004,"No"))</f>
        <v/>
      </c>
      <c r="N99" s="36">
        <f>IF(A99="","",IF(J99=0,"Sin detalle",IF(M99=0,"Pagada","Pendiente")))</f>
        <v/>
      </c>
      <c r="O99" s="36" t="n"/>
    </row>
    <row r="100">
      <c r="A100" s="38" t="n"/>
      <c r="B100" s="41" t="n"/>
      <c r="C100" s="38" t="n"/>
      <c r="D100" s="38" t="n"/>
      <c r="E100" s="38" t="n"/>
      <c r="F100" s="38" t="n"/>
      <c r="G100" s="39">
        <f>IF(A100="","",IFERROR(INDEX(Criterios!$B$4:$C$83,MATCH(D100,Criterios!$A$4:$A$83,0),IF(E100="Dentro horario",1,2)),""))</f>
        <v/>
      </c>
      <c r="H100" s="39" t="n"/>
      <c r="I100" s="39">
        <f>IF(A100="","",IF(OR(F100="",G100=""),"",F100*G100+N(H100)))</f>
        <v/>
      </c>
      <c r="J100" s="38">
        <f>IF(A100="","",COUNTIF(Detalle_Pagos!$A$5:$A$2004,A100))</f>
        <v/>
      </c>
      <c r="K100" s="39">
        <f>IF(A100="","",IF(OR(J100=0,I100=""),"",I100/J100))</f>
        <v/>
      </c>
      <c r="L100" s="39">
        <f>IF(A100="","",SUMIF(Detalle_Pagos!$A$5:$A$2004,A100,Detalle_Pagos!$I$5:$I$2004))</f>
        <v/>
      </c>
      <c r="M100" s="39">
        <f>IF(A100="","",SUMIFS(Detalle_Pagos!$I$5:$I$2004,Detalle_Pagos!$A$5:$A$2004,A100,Detalle_Pagos!$J$5:$J$2004,"No"))</f>
        <v/>
      </c>
      <c r="N100" s="38">
        <f>IF(A100="","",IF(J100=0,"Sin detalle",IF(M100=0,"Pagada","Pendiente")))</f>
        <v/>
      </c>
      <c r="O100" s="38" t="n"/>
    </row>
    <row r="101">
      <c r="A101" s="36" t="n"/>
      <c r="B101" s="40" t="n"/>
      <c r="C101" s="36" t="n"/>
      <c r="D101" s="36" t="n"/>
      <c r="E101" s="36" t="n"/>
      <c r="F101" s="36" t="n"/>
      <c r="G101" s="37">
        <f>IF(A101="","",IFERROR(INDEX(Criterios!$B$4:$C$83,MATCH(D101,Criterios!$A$4:$A$83,0),IF(E101="Dentro horario",1,2)),""))</f>
        <v/>
      </c>
      <c r="H101" s="37" t="n"/>
      <c r="I101" s="37">
        <f>IF(A101="","",IF(OR(F101="",G101=""),"",F101*G101+N(H101)))</f>
        <v/>
      </c>
      <c r="J101" s="36">
        <f>IF(A101="","",COUNTIF(Detalle_Pagos!$A$5:$A$2004,A101))</f>
        <v/>
      </c>
      <c r="K101" s="37">
        <f>IF(A101="","",IF(OR(J101=0,I101=""),"",I101/J101))</f>
        <v/>
      </c>
      <c r="L101" s="37">
        <f>IF(A101="","",SUMIF(Detalle_Pagos!$A$5:$A$2004,A101,Detalle_Pagos!$I$5:$I$2004))</f>
        <v/>
      </c>
      <c r="M101" s="37">
        <f>IF(A101="","",SUMIFS(Detalle_Pagos!$I$5:$I$2004,Detalle_Pagos!$A$5:$A$2004,A101,Detalle_Pagos!$J$5:$J$2004,"No"))</f>
        <v/>
      </c>
      <c r="N101" s="36">
        <f>IF(A101="","",IF(J101=0,"Sin detalle",IF(M101=0,"Pagada","Pendiente")))</f>
        <v/>
      </c>
      <c r="O101" s="36" t="n"/>
    </row>
    <row r="102">
      <c r="A102" s="38" t="n"/>
      <c r="B102" s="41" t="n"/>
      <c r="C102" s="38" t="n"/>
      <c r="D102" s="38" t="n"/>
      <c r="E102" s="38" t="n"/>
      <c r="F102" s="38" t="n"/>
      <c r="G102" s="39">
        <f>IF(A102="","",IFERROR(INDEX(Criterios!$B$4:$C$83,MATCH(D102,Criterios!$A$4:$A$83,0),IF(E102="Dentro horario",1,2)),""))</f>
        <v/>
      </c>
      <c r="H102" s="39" t="n"/>
      <c r="I102" s="39">
        <f>IF(A102="","",IF(OR(F102="",G102=""),"",F102*G102+N(H102)))</f>
        <v/>
      </c>
      <c r="J102" s="38">
        <f>IF(A102="","",COUNTIF(Detalle_Pagos!$A$5:$A$2004,A102))</f>
        <v/>
      </c>
      <c r="K102" s="39">
        <f>IF(A102="","",IF(OR(J102=0,I102=""),"",I102/J102))</f>
        <v/>
      </c>
      <c r="L102" s="39">
        <f>IF(A102="","",SUMIF(Detalle_Pagos!$A$5:$A$2004,A102,Detalle_Pagos!$I$5:$I$2004))</f>
        <v/>
      </c>
      <c r="M102" s="39">
        <f>IF(A102="","",SUMIFS(Detalle_Pagos!$I$5:$I$2004,Detalle_Pagos!$A$5:$A$2004,A102,Detalle_Pagos!$J$5:$J$2004,"No"))</f>
        <v/>
      </c>
      <c r="N102" s="38">
        <f>IF(A102="","",IF(J102=0,"Sin detalle",IF(M102=0,"Pagada","Pendiente")))</f>
        <v/>
      </c>
      <c r="O102" s="38" t="n"/>
    </row>
    <row r="103">
      <c r="A103" s="36" t="n"/>
      <c r="B103" s="40" t="n"/>
      <c r="C103" s="36" t="n"/>
      <c r="D103" s="36" t="n"/>
      <c r="E103" s="36" t="n"/>
      <c r="F103" s="36" t="n"/>
      <c r="G103" s="37">
        <f>IF(A103="","",IFERROR(INDEX(Criterios!$B$4:$C$83,MATCH(D103,Criterios!$A$4:$A$83,0),IF(E103="Dentro horario",1,2)),""))</f>
        <v/>
      </c>
      <c r="H103" s="37" t="n"/>
      <c r="I103" s="37">
        <f>IF(A103="","",IF(OR(F103="",G103=""),"",F103*G103+N(H103)))</f>
        <v/>
      </c>
      <c r="J103" s="36">
        <f>IF(A103="","",COUNTIF(Detalle_Pagos!$A$5:$A$2004,A103))</f>
        <v/>
      </c>
      <c r="K103" s="37">
        <f>IF(A103="","",IF(OR(J103=0,I103=""),"",I103/J103))</f>
        <v/>
      </c>
      <c r="L103" s="37">
        <f>IF(A103="","",SUMIF(Detalle_Pagos!$A$5:$A$2004,A103,Detalle_Pagos!$I$5:$I$2004))</f>
        <v/>
      </c>
      <c r="M103" s="37">
        <f>IF(A103="","",SUMIFS(Detalle_Pagos!$I$5:$I$2004,Detalle_Pagos!$A$5:$A$2004,A103,Detalle_Pagos!$J$5:$J$2004,"No"))</f>
        <v/>
      </c>
      <c r="N103" s="36">
        <f>IF(A103="","",IF(J103=0,"Sin detalle",IF(M103=0,"Pagada","Pendiente")))</f>
        <v/>
      </c>
      <c r="O103" s="36" t="n"/>
    </row>
    <row r="104">
      <c r="A104" s="38" t="n"/>
      <c r="B104" s="41" t="n"/>
      <c r="C104" s="38" t="n"/>
      <c r="D104" s="38" t="n"/>
      <c r="E104" s="38" t="n"/>
      <c r="F104" s="38" t="n"/>
      <c r="G104" s="39">
        <f>IF(A104="","",IFERROR(INDEX(Criterios!$B$4:$C$83,MATCH(D104,Criterios!$A$4:$A$83,0),IF(E104="Dentro horario",1,2)),""))</f>
        <v/>
      </c>
      <c r="H104" s="39" t="n"/>
      <c r="I104" s="39">
        <f>IF(A104="","",IF(OR(F104="",G104=""),"",F104*G104+N(H104)))</f>
        <v/>
      </c>
      <c r="J104" s="38">
        <f>IF(A104="","",COUNTIF(Detalle_Pagos!$A$5:$A$2004,A104))</f>
        <v/>
      </c>
      <c r="K104" s="39">
        <f>IF(A104="","",IF(OR(J104=0,I104=""),"",I104/J104))</f>
        <v/>
      </c>
      <c r="L104" s="39">
        <f>IF(A104="","",SUMIF(Detalle_Pagos!$A$5:$A$2004,A104,Detalle_Pagos!$I$5:$I$2004))</f>
        <v/>
      </c>
      <c r="M104" s="39">
        <f>IF(A104="","",SUMIFS(Detalle_Pagos!$I$5:$I$2004,Detalle_Pagos!$A$5:$A$2004,A104,Detalle_Pagos!$J$5:$J$2004,"No"))</f>
        <v/>
      </c>
      <c r="N104" s="38">
        <f>IF(A104="","",IF(J104=0,"Sin detalle",IF(M104=0,"Pagada","Pendiente")))</f>
        <v/>
      </c>
      <c r="O104" s="38" t="n"/>
    </row>
    <row r="105">
      <c r="A105" s="36" t="n"/>
      <c r="B105" s="40" t="n"/>
      <c r="C105" s="36" t="n"/>
      <c r="D105" s="36" t="n"/>
      <c r="E105" s="36" t="n"/>
      <c r="F105" s="36" t="n"/>
      <c r="G105" s="37">
        <f>IF(A105="","",IFERROR(INDEX(Criterios!$B$4:$C$83,MATCH(D105,Criterios!$A$4:$A$83,0),IF(E105="Dentro horario",1,2)),""))</f>
        <v/>
      </c>
      <c r="H105" s="37" t="n"/>
      <c r="I105" s="37">
        <f>IF(A105="","",IF(OR(F105="",G105=""),"",F105*G105+N(H105)))</f>
        <v/>
      </c>
      <c r="J105" s="36">
        <f>IF(A105="","",COUNTIF(Detalle_Pagos!$A$5:$A$2004,A105))</f>
        <v/>
      </c>
      <c r="K105" s="37">
        <f>IF(A105="","",IF(OR(J105=0,I105=""),"",I105/J105))</f>
        <v/>
      </c>
      <c r="L105" s="37">
        <f>IF(A105="","",SUMIF(Detalle_Pagos!$A$5:$A$2004,A105,Detalle_Pagos!$I$5:$I$2004))</f>
        <v/>
      </c>
      <c r="M105" s="37">
        <f>IF(A105="","",SUMIFS(Detalle_Pagos!$I$5:$I$2004,Detalle_Pagos!$A$5:$A$2004,A105,Detalle_Pagos!$J$5:$J$2004,"No"))</f>
        <v/>
      </c>
      <c r="N105" s="36">
        <f>IF(A105="","",IF(J105=0,"Sin detalle",IF(M105=0,"Pagada","Pendiente")))</f>
        <v/>
      </c>
      <c r="O105" s="36" t="n"/>
    </row>
    <row r="106">
      <c r="A106" s="38" t="n"/>
      <c r="B106" s="41" t="n"/>
      <c r="C106" s="38" t="n"/>
      <c r="D106" s="38" t="n"/>
      <c r="E106" s="38" t="n"/>
      <c r="F106" s="38" t="n"/>
      <c r="G106" s="39">
        <f>IF(A106="","",IFERROR(INDEX(Criterios!$B$4:$C$83,MATCH(D106,Criterios!$A$4:$A$83,0),IF(E106="Dentro horario",1,2)),""))</f>
        <v/>
      </c>
      <c r="H106" s="39" t="n"/>
      <c r="I106" s="39">
        <f>IF(A106="","",IF(OR(F106="",G106=""),"",F106*G106+N(H106)))</f>
        <v/>
      </c>
      <c r="J106" s="38">
        <f>IF(A106="","",COUNTIF(Detalle_Pagos!$A$5:$A$2004,A106))</f>
        <v/>
      </c>
      <c r="K106" s="39">
        <f>IF(A106="","",IF(OR(J106=0,I106=""),"",I106/J106))</f>
        <v/>
      </c>
      <c r="L106" s="39">
        <f>IF(A106="","",SUMIF(Detalle_Pagos!$A$5:$A$2004,A106,Detalle_Pagos!$I$5:$I$2004))</f>
        <v/>
      </c>
      <c r="M106" s="39">
        <f>IF(A106="","",SUMIFS(Detalle_Pagos!$I$5:$I$2004,Detalle_Pagos!$A$5:$A$2004,A106,Detalle_Pagos!$J$5:$J$2004,"No"))</f>
        <v/>
      </c>
      <c r="N106" s="38">
        <f>IF(A106="","",IF(J106=0,"Sin detalle",IF(M106=0,"Pagada","Pendiente")))</f>
        <v/>
      </c>
      <c r="O106" s="38" t="n"/>
    </row>
    <row r="107">
      <c r="A107" s="36" t="n"/>
      <c r="B107" s="40" t="n"/>
      <c r="C107" s="36" t="n"/>
      <c r="D107" s="36" t="n"/>
      <c r="E107" s="36" t="n"/>
      <c r="F107" s="36" t="n"/>
      <c r="G107" s="37">
        <f>IF(A107="","",IFERROR(INDEX(Criterios!$B$4:$C$83,MATCH(D107,Criterios!$A$4:$A$83,0),IF(E107="Dentro horario",1,2)),""))</f>
        <v/>
      </c>
      <c r="H107" s="37" t="n"/>
      <c r="I107" s="37">
        <f>IF(A107="","",IF(OR(F107="",G107=""),"",F107*G107+N(H107)))</f>
        <v/>
      </c>
      <c r="J107" s="36">
        <f>IF(A107="","",COUNTIF(Detalle_Pagos!$A$5:$A$2004,A107))</f>
        <v/>
      </c>
      <c r="K107" s="37">
        <f>IF(A107="","",IF(OR(J107=0,I107=""),"",I107/J107))</f>
        <v/>
      </c>
      <c r="L107" s="37">
        <f>IF(A107="","",SUMIF(Detalle_Pagos!$A$5:$A$2004,A107,Detalle_Pagos!$I$5:$I$2004))</f>
        <v/>
      </c>
      <c r="M107" s="37">
        <f>IF(A107="","",SUMIFS(Detalle_Pagos!$I$5:$I$2004,Detalle_Pagos!$A$5:$A$2004,A107,Detalle_Pagos!$J$5:$J$2004,"No"))</f>
        <v/>
      </c>
      <c r="N107" s="36">
        <f>IF(A107="","",IF(J107=0,"Sin detalle",IF(M107=0,"Pagada","Pendiente")))</f>
        <v/>
      </c>
      <c r="O107" s="36" t="n"/>
    </row>
    <row r="108">
      <c r="A108" s="38" t="n"/>
      <c r="B108" s="41" t="n"/>
      <c r="C108" s="38" t="n"/>
      <c r="D108" s="38" t="n"/>
      <c r="E108" s="38" t="n"/>
      <c r="F108" s="38" t="n"/>
      <c r="G108" s="39">
        <f>IF(A108="","",IFERROR(INDEX(Criterios!$B$4:$C$83,MATCH(D108,Criterios!$A$4:$A$83,0),IF(E108="Dentro horario",1,2)),""))</f>
        <v/>
      </c>
      <c r="H108" s="39" t="n"/>
      <c r="I108" s="39">
        <f>IF(A108="","",IF(OR(F108="",G108=""),"",F108*G108+N(H108)))</f>
        <v/>
      </c>
      <c r="J108" s="38">
        <f>IF(A108="","",COUNTIF(Detalle_Pagos!$A$5:$A$2004,A108))</f>
        <v/>
      </c>
      <c r="K108" s="39">
        <f>IF(A108="","",IF(OR(J108=0,I108=""),"",I108/J108))</f>
        <v/>
      </c>
      <c r="L108" s="39">
        <f>IF(A108="","",SUMIF(Detalle_Pagos!$A$5:$A$2004,A108,Detalle_Pagos!$I$5:$I$2004))</f>
        <v/>
      </c>
      <c r="M108" s="39">
        <f>IF(A108="","",SUMIFS(Detalle_Pagos!$I$5:$I$2004,Detalle_Pagos!$A$5:$A$2004,A108,Detalle_Pagos!$J$5:$J$2004,"No"))</f>
        <v/>
      </c>
      <c r="N108" s="38">
        <f>IF(A108="","",IF(J108=0,"Sin detalle",IF(M108=0,"Pagada","Pendiente")))</f>
        <v/>
      </c>
      <c r="O108" s="38" t="n"/>
    </row>
    <row r="109">
      <c r="A109" s="36" t="n"/>
      <c r="B109" s="40" t="n"/>
      <c r="C109" s="36" t="n"/>
      <c r="D109" s="36" t="n"/>
      <c r="E109" s="36" t="n"/>
      <c r="F109" s="36" t="n"/>
      <c r="G109" s="37">
        <f>IF(A109="","",IFERROR(INDEX(Criterios!$B$4:$C$83,MATCH(D109,Criterios!$A$4:$A$83,0),IF(E109="Dentro horario",1,2)),""))</f>
        <v/>
      </c>
      <c r="H109" s="37" t="n"/>
      <c r="I109" s="37">
        <f>IF(A109="","",IF(OR(F109="",G109=""),"",F109*G109+N(H109)))</f>
        <v/>
      </c>
      <c r="J109" s="36">
        <f>IF(A109="","",COUNTIF(Detalle_Pagos!$A$5:$A$2004,A109))</f>
        <v/>
      </c>
      <c r="K109" s="37">
        <f>IF(A109="","",IF(OR(J109=0,I109=""),"",I109/J109))</f>
        <v/>
      </c>
      <c r="L109" s="37">
        <f>IF(A109="","",SUMIF(Detalle_Pagos!$A$5:$A$2004,A109,Detalle_Pagos!$I$5:$I$2004))</f>
        <v/>
      </c>
      <c r="M109" s="37">
        <f>IF(A109="","",SUMIFS(Detalle_Pagos!$I$5:$I$2004,Detalle_Pagos!$A$5:$A$2004,A109,Detalle_Pagos!$J$5:$J$2004,"No"))</f>
        <v/>
      </c>
      <c r="N109" s="36">
        <f>IF(A109="","",IF(J109=0,"Sin detalle",IF(M109=0,"Pagada","Pendiente")))</f>
        <v/>
      </c>
      <c r="O109" s="36" t="n"/>
    </row>
    <row r="110">
      <c r="A110" s="38" t="n"/>
      <c r="B110" s="41" t="n"/>
      <c r="C110" s="38" t="n"/>
      <c r="D110" s="38" t="n"/>
      <c r="E110" s="38" t="n"/>
      <c r="F110" s="38" t="n"/>
      <c r="G110" s="39">
        <f>IF(A110="","",IFERROR(INDEX(Criterios!$B$4:$C$83,MATCH(D110,Criterios!$A$4:$A$83,0),IF(E110="Dentro horario",1,2)),""))</f>
        <v/>
      </c>
      <c r="H110" s="39" t="n"/>
      <c r="I110" s="39">
        <f>IF(A110="","",IF(OR(F110="",G110=""),"",F110*G110+N(H110)))</f>
        <v/>
      </c>
      <c r="J110" s="38">
        <f>IF(A110="","",COUNTIF(Detalle_Pagos!$A$5:$A$2004,A110))</f>
        <v/>
      </c>
      <c r="K110" s="39">
        <f>IF(A110="","",IF(OR(J110=0,I110=""),"",I110/J110))</f>
        <v/>
      </c>
      <c r="L110" s="39">
        <f>IF(A110="","",SUMIF(Detalle_Pagos!$A$5:$A$2004,A110,Detalle_Pagos!$I$5:$I$2004))</f>
        <v/>
      </c>
      <c r="M110" s="39">
        <f>IF(A110="","",SUMIFS(Detalle_Pagos!$I$5:$I$2004,Detalle_Pagos!$A$5:$A$2004,A110,Detalle_Pagos!$J$5:$J$2004,"No"))</f>
        <v/>
      </c>
      <c r="N110" s="38">
        <f>IF(A110="","",IF(J110=0,"Sin detalle",IF(M110=0,"Pagada","Pendiente")))</f>
        <v/>
      </c>
      <c r="O110" s="38" t="n"/>
    </row>
    <row r="111">
      <c r="A111" s="36" t="n"/>
      <c r="B111" s="40" t="n"/>
      <c r="C111" s="36" t="n"/>
      <c r="D111" s="36" t="n"/>
      <c r="E111" s="36" t="n"/>
      <c r="F111" s="36" t="n"/>
      <c r="G111" s="37">
        <f>IF(A111="","",IFERROR(INDEX(Criterios!$B$4:$C$83,MATCH(D111,Criterios!$A$4:$A$83,0),IF(E111="Dentro horario",1,2)),""))</f>
        <v/>
      </c>
      <c r="H111" s="37" t="n"/>
      <c r="I111" s="37">
        <f>IF(A111="","",IF(OR(F111="",G111=""),"",F111*G111+N(H111)))</f>
        <v/>
      </c>
      <c r="J111" s="36">
        <f>IF(A111="","",COUNTIF(Detalle_Pagos!$A$5:$A$2004,A111))</f>
        <v/>
      </c>
      <c r="K111" s="37">
        <f>IF(A111="","",IF(OR(J111=0,I111=""),"",I111/J111))</f>
        <v/>
      </c>
      <c r="L111" s="37">
        <f>IF(A111="","",SUMIF(Detalle_Pagos!$A$5:$A$2004,A111,Detalle_Pagos!$I$5:$I$2004))</f>
        <v/>
      </c>
      <c r="M111" s="37">
        <f>IF(A111="","",SUMIFS(Detalle_Pagos!$I$5:$I$2004,Detalle_Pagos!$A$5:$A$2004,A111,Detalle_Pagos!$J$5:$J$2004,"No"))</f>
        <v/>
      </c>
      <c r="N111" s="36">
        <f>IF(A111="","",IF(J111=0,"Sin detalle",IF(M111=0,"Pagada","Pendiente")))</f>
        <v/>
      </c>
      <c r="O111" s="36" t="n"/>
    </row>
    <row r="112">
      <c r="A112" s="38" t="n"/>
      <c r="B112" s="41" t="n"/>
      <c r="C112" s="38" t="n"/>
      <c r="D112" s="38" t="n"/>
      <c r="E112" s="38" t="n"/>
      <c r="F112" s="38" t="n"/>
      <c r="G112" s="39">
        <f>IF(A112="","",IFERROR(INDEX(Criterios!$B$4:$C$83,MATCH(D112,Criterios!$A$4:$A$83,0),IF(E112="Dentro horario",1,2)),""))</f>
        <v/>
      </c>
      <c r="H112" s="39" t="n"/>
      <c r="I112" s="39">
        <f>IF(A112="","",IF(OR(F112="",G112=""),"",F112*G112+N(H112)))</f>
        <v/>
      </c>
      <c r="J112" s="38">
        <f>IF(A112="","",COUNTIF(Detalle_Pagos!$A$5:$A$2004,A112))</f>
        <v/>
      </c>
      <c r="K112" s="39">
        <f>IF(A112="","",IF(OR(J112=0,I112=""),"",I112/J112))</f>
        <v/>
      </c>
      <c r="L112" s="39">
        <f>IF(A112="","",SUMIF(Detalle_Pagos!$A$5:$A$2004,A112,Detalle_Pagos!$I$5:$I$2004))</f>
        <v/>
      </c>
      <c r="M112" s="39">
        <f>IF(A112="","",SUMIFS(Detalle_Pagos!$I$5:$I$2004,Detalle_Pagos!$A$5:$A$2004,A112,Detalle_Pagos!$J$5:$J$2004,"No"))</f>
        <v/>
      </c>
      <c r="N112" s="38">
        <f>IF(A112="","",IF(J112=0,"Sin detalle",IF(M112=0,"Pagada","Pendiente")))</f>
        <v/>
      </c>
      <c r="O112" s="38" t="n"/>
    </row>
    <row r="113">
      <c r="A113" s="36" t="n"/>
      <c r="B113" s="40" t="n"/>
      <c r="C113" s="36" t="n"/>
      <c r="D113" s="36" t="n"/>
      <c r="E113" s="36" t="n"/>
      <c r="F113" s="36" t="n"/>
      <c r="G113" s="37">
        <f>IF(A113="","",IFERROR(INDEX(Criterios!$B$4:$C$83,MATCH(D113,Criterios!$A$4:$A$83,0),IF(E113="Dentro horario",1,2)),""))</f>
        <v/>
      </c>
      <c r="H113" s="37" t="n"/>
      <c r="I113" s="37">
        <f>IF(A113="","",IF(OR(F113="",G113=""),"",F113*G113+N(H113)))</f>
        <v/>
      </c>
      <c r="J113" s="36">
        <f>IF(A113="","",COUNTIF(Detalle_Pagos!$A$5:$A$2004,A113))</f>
        <v/>
      </c>
      <c r="K113" s="37">
        <f>IF(A113="","",IF(OR(J113=0,I113=""),"",I113/J113))</f>
        <v/>
      </c>
      <c r="L113" s="37">
        <f>IF(A113="","",SUMIF(Detalle_Pagos!$A$5:$A$2004,A113,Detalle_Pagos!$I$5:$I$2004))</f>
        <v/>
      </c>
      <c r="M113" s="37">
        <f>IF(A113="","",SUMIFS(Detalle_Pagos!$I$5:$I$2004,Detalle_Pagos!$A$5:$A$2004,A113,Detalle_Pagos!$J$5:$J$2004,"No"))</f>
        <v/>
      </c>
      <c r="N113" s="36">
        <f>IF(A113="","",IF(J113=0,"Sin detalle",IF(M113=0,"Pagada","Pendiente")))</f>
        <v/>
      </c>
      <c r="O113" s="36" t="n"/>
    </row>
    <row r="114">
      <c r="A114" s="38" t="n"/>
      <c r="B114" s="41" t="n"/>
      <c r="C114" s="38" t="n"/>
      <c r="D114" s="38" t="n"/>
      <c r="E114" s="38" t="n"/>
      <c r="F114" s="38" t="n"/>
      <c r="G114" s="39">
        <f>IF(A114="","",IFERROR(INDEX(Criterios!$B$4:$C$83,MATCH(D114,Criterios!$A$4:$A$83,0),IF(E114="Dentro horario",1,2)),""))</f>
        <v/>
      </c>
      <c r="H114" s="39" t="n"/>
      <c r="I114" s="39">
        <f>IF(A114="","",IF(OR(F114="",G114=""),"",F114*G114+N(H114)))</f>
        <v/>
      </c>
      <c r="J114" s="38">
        <f>IF(A114="","",COUNTIF(Detalle_Pagos!$A$5:$A$2004,A114))</f>
        <v/>
      </c>
      <c r="K114" s="39">
        <f>IF(A114="","",IF(OR(J114=0,I114=""),"",I114/J114))</f>
        <v/>
      </c>
      <c r="L114" s="39">
        <f>IF(A114="","",SUMIF(Detalle_Pagos!$A$5:$A$2004,A114,Detalle_Pagos!$I$5:$I$2004))</f>
        <v/>
      </c>
      <c r="M114" s="39">
        <f>IF(A114="","",SUMIFS(Detalle_Pagos!$I$5:$I$2004,Detalle_Pagos!$A$5:$A$2004,A114,Detalle_Pagos!$J$5:$J$2004,"No"))</f>
        <v/>
      </c>
      <c r="N114" s="38">
        <f>IF(A114="","",IF(J114=0,"Sin detalle",IF(M114=0,"Pagada","Pendiente")))</f>
        <v/>
      </c>
      <c r="O114" s="38" t="n"/>
    </row>
    <row r="115">
      <c r="A115" s="36" t="n"/>
      <c r="B115" s="40" t="n"/>
      <c r="C115" s="36" t="n"/>
      <c r="D115" s="36" t="n"/>
      <c r="E115" s="36" t="n"/>
      <c r="F115" s="36" t="n"/>
      <c r="G115" s="37">
        <f>IF(A115="","",IFERROR(INDEX(Criterios!$B$4:$C$83,MATCH(D115,Criterios!$A$4:$A$83,0),IF(E115="Dentro horario",1,2)),""))</f>
        <v/>
      </c>
      <c r="H115" s="37" t="n"/>
      <c r="I115" s="37">
        <f>IF(A115="","",IF(OR(F115="",G115=""),"",F115*G115+N(H115)))</f>
        <v/>
      </c>
      <c r="J115" s="36">
        <f>IF(A115="","",COUNTIF(Detalle_Pagos!$A$5:$A$2004,A115))</f>
        <v/>
      </c>
      <c r="K115" s="37">
        <f>IF(A115="","",IF(OR(J115=0,I115=""),"",I115/J115))</f>
        <v/>
      </c>
      <c r="L115" s="37">
        <f>IF(A115="","",SUMIF(Detalle_Pagos!$A$5:$A$2004,A115,Detalle_Pagos!$I$5:$I$2004))</f>
        <v/>
      </c>
      <c r="M115" s="37">
        <f>IF(A115="","",SUMIFS(Detalle_Pagos!$I$5:$I$2004,Detalle_Pagos!$A$5:$A$2004,A115,Detalle_Pagos!$J$5:$J$2004,"No"))</f>
        <v/>
      </c>
      <c r="N115" s="36">
        <f>IF(A115="","",IF(J115=0,"Sin detalle",IF(M115=0,"Pagada","Pendiente")))</f>
        <v/>
      </c>
      <c r="O115" s="36" t="n"/>
    </row>
    <row r="116">
      <c r="A116" s="38" t="n"/>
      <c r="B116" s="41" t="n"/>
      <c r="C116" s="38" t="n"/>
      <c r="D116" s="38" t="n"/>
      <c r="E116" s="38" t="n"/>
      <c r="F116" s="38" t="n"/>
      <c r="G116" s="39">
        <f>IF(A116="","",IFERROR(INDEX(Criterios!$B$4:$C$83,MATCH(D116,Criterios!$A$4:$A$83,0),IF(E116="Dentro horario",1,2)),""))</f>
        <v/>
      </c>
      <c r="H116" s="39" t="n"/>
      <c r="I116" s="39">
        <f>IF(A116="","",IF(OR(F116="",G116=""),"",F116*G116+N(H116)))</f>
        <v/>
      </c>
      <c r="J116" s="38">
        <f>IF(A116="","",COUNTIF(Detalle_Pagos!$A$5:$A$2004,A116))</f>
        <v/>
      </c>
      <c r="K116" s="39">
        <f>IF(A116="","",IF(OR(J116=0,I116=""),"",I116/J116))</f>
        <v/>
      </c>
      <c r="L116" s="39">
        <f>IF(A116="","",SUMIF(Detalle_Pagos!$A$5:$A$2004,A116,Detalle_Pagos!$I$5:$I$2004))</f>
        <v/>
      </c>
      <c r="M116" s="39">
        <f>IF(A116="","",SUMIFS(Detalle_Pagos!$I$5:$I$2004,Detalle_Pagos!$A$5:$A$2004,A116,Detalle_Pagos!$J$5:$J$2004,"No"))</f>
        <v/>
      </c>
      <c r="N116" s="38">
        <f>IF(A116="","",IF(J116=0,"Sin detalle",IF(M116=0,"Pagada","Pendiente")))</f>
        <v/>
      </c>
      <c r="O116" s="38" t="n"/>
    </row>
    <row r="117">
      <c r="A117" s="36" t="n"/>
      <c r="B117" s="40" t="n"/>
      <c r="C117" s="36" t="n"/>
      <c r="D117" s="36" t="n"/>
      <c r="E117" s="36" t="n"/>
      <c r="F117" s="36" t="n"/>
      <c r="G117" s="37">
        <f>IF(A117="","",IFERROR(INDEX(Criterios!$B$4:$C$83,MATCH(D117,Criterios!$A$4:$A$83,0),IF(E117="Dentro horario",1,2)),""))</f>
        <v/>
      </c>
      <c r="H117" s="37" t="n"/>
      <c r="I117" s="37">
        <f>IF(A117="","",IF(OR(F117="",G117=""),"",F117*G117+N(H117)))</f>
        <v/>
      </c>
      <c r="J117" s="36">
        <f>IF(A117="","",COUNTIF(Detalle_Pagos!$A$5:$A$2004,A117))</f>
        <v/>
      </c>
      <c r="K117" s="37">
        <f>IF(A117="","",IF(OR(J117=0,I117=""),"",I117/J117))</f>
        <v/>
      </c>
      <c r="L117" s="37">
        <f>IF(A117="","",SUMIF(Detalle_Pagos!$A$5:$A$2004,A117,Detalle_Pagos!$I$5:$I$2004))</f>
        <v/>
      </c>
      <c r="M117" s="37">
        <f>IF(A117="","",SUMIFS(Detalle_Pagos!$I$5:$I$2004,Detalle_Pagos!$A$5:$A$2004,A117,Detalle_Pagos!$J$5:$J$2004,"No"))</f>
        <v/>
      </c>
      <c r="N117" s="36">
        <f>IF(A117="","",IF(J117=0,"Sin detalle",IF(M117=0,"Pagada","Pendiente")))</f>
        <v/>
      </c>
      <c r="O117" s="36" t="n"/>
    </row>
    <row r="118">
      <c r="A118" s="38" t="n"/>
      <c r="B118" s="41" t="n"/>
      <c r="C118" s="38" t="n"/>
      <c r="D118" s="38" t="n"/>
      <c r="E118" s="38" t="n"/>
      <c r="F118" s="38" t="n"/>
      <c r="G118" s="39">
        <f>IF(A118="","",IFERROR(INDEX(Criterios!$B$4:$C$83,MATCH(D118,Criterios!$A$4:$A$83,0),IF(E118="Dentro horario",1,2)),""))</f>
        <v/>
      </c>
      <c r="H118" s="39" t="n"/>
      <c r="I118" s="39">
        <f>IF(A118="","",IF(OR(F118="",G118=""),"",F118*G118+N(H118)))</f>
        <v/>
      </c>
      <c r="J118" s="38">
        <f>IF(A118="","",COUNTIF(Detalle_Pagos!$A$5:$A$2004,A118))</f>
        <v/>
      </c>
      <c r="K118" s="39">
        <f>IF(A118="","",IF(OR(J118=0,I118=""),"",I118/J118))</f>
        <v/>
      </c>
      <c r="L118" s="39">
        <f>IF(A118="","",SUMIF(Detalle_Pagos!$A$5:$A$2004,A118,Detalle_Pagos!$I$5:$I$2004))</f>
        <v/>
      </c>
      <c r="M118" s="39">
        <f>IF(A118="","",SUMIFS(Detalle_Pagos!$I$5:$I$2004,Detalle_Pagos!$A$5:$A$2004,A118,Detalle_Pagos!$J$5:$J$2004,"No"))</f>
        <v/>
      </c>
      <c r="N118" s="38">
        <f>IF(A118="","",IF(J118=0,"Sin detalle",IF(M118=0,"Pagada","Pendiente")))</f>
        <v/>
      </c>
      <c r="O118" s="38" t="n"/>
    </row>
    <row r="119">
      <c r="A119" s="36" t="n"/>
      <c r="B119" s="40" t="n"/>
      <c r="C119" s="36" t="n"/>
      <c r="D119" s="36" t="n"/>
      <c r="E119" s="36" t="n"/>
      <c r="F119" s="36" t="n"/>
      <c r="G119" s="37">
        <f>IF(A119="","",IFERROR(INDEX(Criterios!$B$4:$C$83,MATCH(D119,Criterios!$A$4:$A$83,0),IF(E119="Dentro horario",1,2)),""))</f>
        <v/>
      </c>
      <c r="H119" s="37" t="n"/>
      <c r="I119" s="37">
        <f>IF(A119="","",IF(OR(F119="",G119=""),"",F119*G119+N(H119)))</f>
        <v/>
      </c>
      <c r="J119" s="36">
        <f>IF(A119="","",COUNTIF(Detalle_Pagos!$A$5:$A$2004,A119))</f>
        <v/>
      </c>
      <c r="K119" s="37">
        <f>IF(A119="","",IF(OR(J119=0,I119=""),"",I119/J119))</f>
        <v/>
      </c>
      <c r="L119" s="37">
        <f>IF(A119="","",SUMIF(Detalle_Pagos!$A$5:$A$2004,A119,Detalle_Pagos!$I$5:$I$2004))</f>
        <v/>
      </c>
      <c r="M119" s="37">
        <f>IF(A119="","",SUMIFS(Detalle_Pagos!$I$5:$I$2004,Detalle_Pagos!$A$5:$A$2004,A119,Detalle_Pagos!$J$5:$J$2004,"No"))</f>
        <v/>
      </c>
      <c r="N119" s="36">
        <f>IF(A119="","",IF(J119=0,"Sin detalle",IF(M119=0,"Pagada","Pendiente")))</f>
        <v/>
      </c>
      <c r="O119" s="36" t="n"/>
    </row>
    <row r="120">
      <c r="A120" s="38" t="n"/>
      <c r="B120" s="41" t="n"/>
      <c r="C120" s="38" t="n"/>
      <c r="D120" s="38" t="n"/>
      <c r="E120" s="38" t="n"/>
      <c r="F120" s="38" t="n"/>
      <c r="G120" s="39">
        <f>IF(A120="","",IFERROR(INDEX(Criterios!$B$4:$C$83,MATCH(D120,Criterios!$A$4:$A$83,0),IF(E120="Dentro horario",1,2)),""))</f>
        <v/>
      </c>
      <c r="H120" s="39" t="n"/>
      <c r="I120" s="39">
        <f>IF(A120="","",IF(OR(F120="",G120=""),"",F120*G120+N(H120)))</f>
        <v/>
      </c>
      <c r="J120" s="38">
        <f>IF(A120="","",COUNTIF(Detalle_Pagos!$A$5:$A$2004,A120))</f>
        <v/>
      </c>
      <c r="K120" s="39">
        <f>IF(A120="","",IF(OR(J120=0,I120=""),"",I120/J120))</f>
        <v/>
      </c>
      <c r="L120" s="39">
        <f>IF(A120="","",SUMIF(Detalle_Pagos!$A$5:$A$2004,A120,Detalle_Pagos!$I$5:$I$2004))</f>
        <v/>
      </c>
      <c r="M120" s="39">
        <f>IF(A120="","",SUMIFS(Detalle_Pagos!$I$5:$I$2004,Detalle_Pagos!$A$5:$A$2004,A120,Detalle_Pagos!$J$5:$J$2004,"No"))</f>
        <v/>
      </c>
      <c r="N120" s="38">
        <f>IF(A120="","",IF(J120=0,"Sin detalle",IF(M120=0,"Pagada","Pendiente")))</f>
        <v/>
      </c>
      <c r="O120" s="38" t="n"/>
    </row>
    <row r="121">
      <c r="A121" s="36" t="n"/>
      <c r="B121" s="40" t="n"/>
      <c r="C121" s="36" t="n"/>
      <c r="D121" s="36" t="n"/>
      <c r="E121" s="36" t="n"/>
      <c r="F121" s="36" t="n"/>
      <c r="G121" s="37">
        <f>IF(A121="","",IFERROR(INDEX(Criterios!$B$4:$C$83,MATCH(D121,Criterios!$A$4:$A$83,0),IF(E121="Dentro horario",1,2)),""))</f>
        <v/>
      </c>
      <c r="H121" s="37" t="n"/>
      <c r="I121" s="37">
        <f>IF(A121="","",IF(OR(F121="",G121=""),"",F121*G121+N(H121)))</f>
        <v/>
      </c>
      <c r="J121" s="36">
        <f>IF(A121="","",COUNTIF(Detalle_Pagos!$A$5:$A$2004,A121))</f>
        <v/>
      </c>
      <c r="K121" s="37">
        <f>IF(A121="","",IF(OR(J121=0,I121=""),"",I121/J121))</f>
        <v/>
      </c>
      <c r="L121" s="37">
        <f>IF(A121="","",SUMIF(Detalle_Pagos!$A$5:$A$2004,A121,Detalle_Pagos!$I$5:$I$2004))</f>
        <v/>
      </c>
      <c r="M121" s="37">
        <f>IF(A121="","",SUMIFS(Detalle_Pagos!$I$5:$I$2004,Detalle_Pagos!$A$5:$A$2004,A121,Detalle_Pagos!$J$5:$J$2004,"No"))</f>
        <v/>
      </c>
      <c r="N121" s="36">
        <f>IF(A121="","",IF(J121=0,"Sin detalle",IF(M121=0,"Pagada","Pendiente")))</f>
        <v/>
      </c>
      <c r="O121" s="36" t="n"/>
    </row>
    <row r="122">
      <c r="A122" s="38" t="n"/>
      <c r="B122" s="41" t="n"/>
      <c r="C122" s="38" t="n"/>
      <c r="D122" s="38" t="n"/>
      <c r="E122" s="38" t="n"/>
      <c r="F122" s="38" t="n"/>
      <c r="G122" s="39">
        <f>IF(A122="","",IFERROR(INDEX(Criterios!$B$4:$C$83,MATCH(D122,Criterios!$A$4:$A$83,0),IF(E122="Dentro horario",1,2)),""))</f>
        <v/>
      </c>
      <c r="H122" s="39" t="n"/>
      <c r="I122" s="39">
        <f>IF(A122="","",IF(OR(F122="",G122=""),"",F122*G122+N(H122)))</f>
        <v/>
      </c>
      <c r="J122" s="38">
        <f>IF(A122="","",COUNTIF(Detalle_Pagos!$A$5:$A$2004,A122))</f>
        <v/>
      </c>
      <c r="K122" s="39">
        <f>IF(A122="","",IF(OR(J122=0,I122=""),"",I122/J122))</f>
        <v/>
      </c>
      <c r="L122" s="39">
        <f>IF(A122="","",SUMIF(Detalle_Pagos!$A$5:$A$2004,A122,Detalle_Pagos!$I$5:$I$2004))</f>
        <v/>
      </c>
      <c r="M122" s="39">
        <f>IF(A122="","",SUMIFS(Detalle_Pagos!$I$5:$I$2004,Detalle_Pagos!$A$5:$A$2004,A122,Detalle_Pagos!$J$5:$J$2004,"No"))</f>
        <v/>
      </c>
      <c r="N122" s="38">
        <f>IF(A122="","",IF(J122=0,"Sin detalle",IF(M122=0,"Pagada","Pendiente")))</f>
        <v/>
      </c>
      <c r="O122" s="38" t="n"/>
    </row>
    <row r="123">
      <c r="A123" s="36" t="n"/>
      <c r="B123" s="40" t="n"/>
      <c r="C123" s="36" t="n"/>
      <c r="D123" s="36" t="n"/>
      <c r="E123" s="36" t="n"/>
      <c r="F123" s="36" t="n"/>
      <c r="G123" s="37">
        <f>IF(A123="","",IFERROR(INDEX(Criterios!$B$4:$C$83,MATCH(D123,Criterios!$A$4:$A$83,0),IF(E123="Dentro horario",1,2)),""))</f>
        <v/>
      </c>
      <c r="H123" s="37" t="n"/>
      <c r="I123" s="37">
        <f>IF(A123="","",IF(OR(F123="",G123=""),"",F123*G123+N(H123)))</f>
        <v/>
      </c>
      <c r="J123" s="36">
        <f>IF(A123="","",COUNTIF(Detalle_Pagos!$A$5:$A$2004,A123))</f>
        <v/>
      </c>
      <c r="K123" s="37">
        <f>IF(A123="","",IF(OR(J123=0,I123=""),"",I123/J123))</f>
        <v/>
      </c>
      <c r="L123" s="37">
        <f>IF(A123="","",SUMIF(Detalle_Pagos!$A$5:$A$2004,A123,Detalle_Pagos!$I$5:$I$2004))</f>
        <v/>
      </c>
      <c r="M123" s="37">
        <f>IF(A123="","",SUMIFS(Detalle_Pagos!$I$5:$I$2004,Detalle_Pagos!$A$5:$A$2004,A123,Detalle_Pagos!$J$5:$J$2004,"No"))</f>
        <v/>
      </c>
      <c r="N123" s="36">
        <f>IF(A123="","",IF(J123=0,"Sin detalle",IF(M123=0,"Pagada","Pendiente")))</f>
        <v/>
      </c>
      <c r="O123" s="36" t="n"/>
    </row>
    <row r="124">
      <c r="A124" s="38" t="n"/>
      <c r="B124" s="41" t="n"/>
      <c r="C124" s="38" t="n"/>
      <c r="D124" s="38" t="n"/>
      <c r="E124" s="38" t="n"/>
      <c r="F124" s="38" t="n"/>
      <c r="G124" s="39">
        <f>IF(A124="","",IFERROR(INDEX(Criterios!$B$4:$C$83,MATCH(D124,Criterios!$A$4:$A$83,0),IF(E124="Dentro horario",1,2)),""))</f>
        <v/>
      </c>
      <c r="H124" s="39" t="n"/>
      <c r="I124" s="39">
        <f>IF(A124="","",IF(OR(F124="",G124=""),"",F124*G124+N(H124)))</f>
        <v/>
      </c>
      <c r="J124" s="38">
        <f>IF(A124="","",COUNTIF(Detalle_Pagos!$A$5:$A$2004,A124))</f>
        <v/>
      </c>
      <c r="K124" s="39">
        <f>IF(A124="","",IF(OR(J124=0,I124=""),"",I124/J124))</f>
        <v/>
      </c>
      <c r="L124" s="39">
        <f>IF(A124="","",SUMIF(Detalle_Pagos!$A$5:$A$2004,A124,Detalle_Pagos!$I$5:$I$2004))</f>
        <v/>
      </c>
      <c r="M124" s="39">
        <f>IF(A124="","",SUMIFS(Detalle_Pagos!$I$5:$I$2004,Detalle_Pagos!$A$5:$A$2004,A124,Detalle_Pagos!$J$5:$J$2004,"No"))</f>
        <v/>
      </c>
      <c r="N124" s="38">
        <f>IF(A124="","",IF(J124=0,"Sin detalle",IF(M124=0,"Pagada","Pendiente")))</f>
        <v/>
      </c>
      <c r="O124" s="38" t="n"/>
    </row>
    <row r="125">
      <c r="A125" s="36" t="n"/>
      <c r="B125" s="40" t="n"/>
      <c r="C125" s="36" t="n"/>
      <c r="D125" s="36" t="n"/>
      <c r="E125" s="36" t="n"/>
      <c r="F125" s="36" t="n"/>
      <c r="G125" s="37">
        <f>IF(A125="","",IFERROR(INDEX(Criterios!$B$4:$C$83,MATCH(D125,Criterios!$A$4:$A$83,0),IF(E125="Dentro horario",1,2)),""))</f>
        <v/>
      </c>
      <c r="H125" s="37" t="n"/>
      <c r="I125" s="37">
        <f>IF(A125="","",IF(OR(F125="",G125=""),"",F125*G125+N(H125)))</f>
        <v/>
      </c>
      <c r="J125" s="36">
        <f>IF(A125="","",COUNTIF(Detalle_Pagos!$A$5:$A$2004,A125))</f>
        <v/>
      </c>
      <c r="K125" s="37">
        <f>IF(A125="","",IF(OR(J125=0,I125=""),"",I125/J125))</f>
        <v/>
      </c>
      <c r="L125" s="37">
        <f>IF(A125="","",SUMIF(Detalle_Pagos!$A$5:$A$2004,A125,Detalle_Pagos!$I$5:$I$2004))</f>
        <v/>
      </c>
      <c r="M125" s="37">
        <f>IF(A125="","",SUMIFS(Detalle_Pagos!$I$5:$I$2004,Detalle_Pagos!$A$5:$A$2004,A125,Detalle_Pagos!$J$5:$J$2004,"No"))</f>
        <v/>
      </c>
      <c r="N125" s="36">
        <f>IF(A125="","",IF(J125=0,"Sin detalle",IF(M125=0,"Pagada","Pendiente")))</f>
        <v/>
      </c>
      <c r="O125" s="36" t="n"/>
    </row>
    <row r="126">
      <c r="A126" s="38" t="n"/>
      <c r="B126" s="41" t="n"/>
      <c r="C126" s="38" t="n"/>
      <c r="D126" s="38" t="n"/>
      <c r="E126" s="38" t="n"/>
      <c r="F126" s="38" t="n"/>
      <c r="G126" s="39">
        <f>IF(A126="","",IFERROR(INDEX(Criterios!$B$4:$C$83,MATCH(D126,Criterios!$A$4:$A$83,0),IF(E126="Dentro horario",1,2)),""))</f>
        <v/>
      </c>
      <c r="H126" s="39" t="n"/>
      <c r="I126" s="39">
        <f>IF(A126="","",IF(OR(F126="",G126=""),"",F126*G126+N(H126)))</f>
        <v/>
      </c>
      <c r="J126" s="38">
        <f>IF(A126="","",COUNTIF(Detalle_Pagos!$A$5:$A$2004,A126))</f>
        <v/>
      </c>
      <c r="K126" s="39">
        <f>IF(A126="","",IF(OR(J126=0,I126=""),"",I126/J126))</f>
        <v/>
      </c>
      <c r="L126" s="39">
        <f>IF(A126="","",SUMIF(Detalle_Pagos!$A$5:$A$2004,A126,Detalle_Pagos!$I$5:$I$2004))</f>
        <v/>
      </c>
      <c r="M126" s="39">
        <f>IF(A126="","",SUMIFS(Detalle_Pagos!$I$5:$I$2004,Detalle_Pagos!$A$5:$A$2004,A126,Detalle_Pagos!$J$5:$J$2004,"No"))</f>
        <v/>
      </c>
      <c r="N126" s="38">
        <f>IF(A126="","",IF(J126=0,"Sin detalle",IF(M126=0,"Pagada","Pendiente")))</f>
        <v/>
      </c>
      <c r="O126" s="38" t="n"/>
    </row>
    <row r="127">
      <c r="A127" s="36" t="n"/>
      <c r="B127" s="40" t="n"/>
      <c r="C127" s="36" t="n"/>
      <c r="D127" s="36" t="n"/>
      <c r="E127" s="36" t="n"/>
      <c r="F127" s="36" t="n"/>
      <c r="G127" s="37">
        <f>IF(A127="","",IFERROR(INDEX(Criterios!$B$4:$C$83,MATCH(D127,Criterios!$A$4:$A$83,0),IF(E127="Dentro horario",1,2)),""))</f>
        <v/>
      </c>
      <c r="H127" s="37" t="n"/>
      <c r="I127" s="37">
        <f>IF(A127="","",IF(OR(F127="",G127=""),"",F127*G127+N(H127)))</f>
        <v/>
      </c>
      <c r="J127" s="36">
        <f>IF(A127="","",COUNTIF(Detalle_Pagos!$A$5:$A$2004,A127))</f>
        <v/>
      </c>
      <c r="K127" s="37">
        <f>IF(A127="","",IF(OR(J127=0,I127=""),"",I127/J127))</f>
        <v/>
      </c>
      <c r="L127" s="37">
        <f>IF(A127="","",SUMIF(Detalle_Pagos!$A$5:$A$2004,A127,Detalle_Pagos!$I$5:$I$2004))</f>
        <v/>
      </c>
      <c r="M127" s="37">
        <f>IF(A127="","",SUMIFS(Detalle_Pagos!$I$5:$I$2004,Detalle_Pagos!$A$5:$A$2004,A127,Detalle_Pagos!$J$5:$J$2004,"No"))</f>
        <v/>
      </c>
      <c r="N127" s="36">
        <f>IF(A127="","",IF(J127=0,"Sin detalle",IF(M127=0,"Pagada","Pendiente")))</f>
        <v/>
      </c>
      <c r="O127" s="36" t="n"/>
    </row>
    <row r="128">
      <c r="A128" s="38" t="n"/>
      <c r="B128" s="41" t="n"/>
      <c r="C128" s="38" t="n"/>
      <c r="D128" s="38" t="n"/>
      <c r="E128" s="38" t="n"/>
      <c r="F128" s="38" t="n"/>
      <c r="G128" s="39">
        <f>IF(A128="","",IFERROR(INDEX(Criterios!$B$4:$C$83,MATCH(D128,Criterios!$A$4:$A$83,0),IF(E128="Dentro horario",1,2)),""))</f>
        <v/>
      </c>
      <c r="H128" s="39" t="n"/>
      <c r="I128" s="39">
        <f>IF(A128="","",IF(OR(F128="",G128=""),"",F128*G128+N(H128)))</f>
        <v/>
      </c>
      <c r="J128" s="38">
        <f>IF(A128="","",COUNTIF(Detalle_Pagos!$A$5:$A$2004,A128))</f>
        <v/>
      </c>
      <c r="K128" s="39">
        <f>IF(A128="","",IF(OR(J128=0,I128=""),"",I128/J128))</f>
        <v/>
      </c>
      <c r="L128" s="39">
        <f>IF(A128="","",SUMIF(Detalle_Pagos!$A$5:$A$2004,A128,Detalle_Pagos!$I$5:$I$2004))</f>
        <v/>
      </c>
      <c r="M128" s="39">
        <f>IF(A128="","",SUMIFS(Detalle_Pagos!$I$5:$I$2004,Detalle_Pagos!$A$5:$A$2004,A128,Detalle_Pagos!$J$5:$J$2004,"No"))</f>
        <v/>
      </c>
      <c r="N128" s="38">
        <f>IF(A128="","",IF(J128=0,"Sin detalle",IF(M128=0,"Pagada","Pendiente")))</f>
        <v/>
      </c>
      <c r="O128" s="38" t="n"/>
    </row>
    <row r="129">
      <c r="A129" s="36" t="n"/>
      <c r="B129" s="40" t="n"/>
      <c r="C129" s="36" t="n"/>
      <c r="D129" s="36" t="n"/>
      <c r="E129" s="36" t="n"/>
      <c r="F129" s="36" t="n"/>
      <c r="G129" s="37">
        <f>IF(A129="","",IFERROR(INDEX(Criterios!$B$4:$C$83,MATCH(D129,Criterios!$A$4:$A$83,0),IF(E129="Dentro horario",1,2)),""))</f>
        <v/>
      </c>
      <c r="H129" s="37" t="n"/>
      <c r="I129" s="37">
        <f>IF(A129="","",IF(OR(F129="",G129=""),"",F129*G129+N(H129)))</f>
        <v/>
      </c>
      <c r="J129" s="36">
        <f>IF(A129="","",COUNTIF(Detalle_Pagos!$A$5:$A$2004,A129))</f>
        <v/>
      </c>
      <c r="K129" s="37">
        <f>IF(A129="","",IF(OR(J129=0,I129=""),"",I129/J129))</f>
        <v/>
      </c>
      <c r="L129" s="37">
        <f>IF(A129="","",SUMIF(Detalle_Pagos!$A$5:$A$2004,A129,Detalle_Pagos!$I$5:$I$2004))</f>
        <v/>
      </c>
      <c r="M129" s="37">
        <f>IF(A129="","",SUMIFS(Detalle_Pagos!$I$5:$I$2004,Detalle_Pagos!$A$5:$A$2004,A129,Detalle_Pagos!$J$5:$J$2004,"No"))</f>
        <v/>
      </c>
      <c r="N129" s="36">
        <f>IF(A129="","",IF(J129=0,"Sin detalle",IF(M129=0,"Pagada","Pendiente")))</f>
        <v/>
      </c>
      <c r="O129" s="36" t="n"/>
    </row>
    <row r="130">
      <c r="A130" s="38" t="n"/>
      <c r="B130" s="41" t="n"/>
      <c r="C130" s="38" t="n"/>
      <c r="D130" s="38" t="n"/>
      <c r="E130" s="38" t="n"/>
      <c r="F130" s="38" t="n"/>
      <c r="G130" s="39">
        <f>IF(A130="","",IFERROR(INDEX(Criterios!$B$4:$C$83,MATCH(D130,Criterios!$A$4:$A$83,0),IF(E130="Dentro horario",1,2)),""))</f>
        <v/>
      </c>
      <c r="H130" s="39" t="n"/>
      <c r="I130" s="39">
        <f>IF(A130="","",IF(OR(F130="",G130=""),"",F130*G130+N(H130)))</f>
        <v/>
      </c>
      <c r="J130" s="38">
        <f>IF(A130="","",COUNTIF(Detalle_Pagos!$A$5:$A$2004,A130))</f>
        <v/>
      </c>
      <c r="K130" s="39">
        <f>IF(A130="","",IF(OR(J130=0,I130=""),"",I130/J130))</f>
        <v/>
      </c>
      <c r="L130" s="39">
        <f>IF(A130="","",SUMIF(Detalle_Pagos!$A$5:$A$2004,A130,Detalle_Pagos!$I$5:$I$2004))</f>
        <v/>
      </c>
      <c r="M130" s="39">
        <f>IF(A130="","",SUMIFS(Detalle_Pagos!$I$5:$I$2004,Detalle_Pagos!$A$5:$A$2004,A130,Detalle_Pagos!$J$5:$J$2004,"No"))</f>
        <v/>
      </c>
      <c r="N130" s="38">
        <f>IF(A130="","",IF(J130=0,"Sin detalle",IF(M130=0,"Pagada","Pendiente")))</f>
        <v/>
      </c>
      <c r="O130" s="38" t="n"/>
    </row>
    <row r="131">
      <c r="A131" s="36" t="n"/>
      <c r="B131" s="40" t="n"/>
      <c r="C131" s="36" t="n"/>
      <c r="D131" s="36" t="n"/>
      <c r="E131" s="36" t="n"/>
      <c r="F131" s="36" t="n"/>
      <c r="G131" s="37">
        <f>IF(A131="","",IFERROR(INDEX(Criterios!$B$4:$C$83,MATCH(D131,Criterios!$A$4:$A$83,0),IF(E131="Dentro horario",1,2)),""))</f>
        <v/>
      </c>
      <c r="H131" s="37" t="n"/>
      <c r="I131" s="37">
        <f>IF(A131="","",IF(OR(F131="",G131=""),"",F131*G131+N(H131)))</f>
        <v/>
      </c>
      <c r="J131" s="36">
        <f>IF(A131="","",COUNTIF(Detalle_Pagos!$A$5:$A$2004,A131))</f>
        <v/>
      </c>
      <c r="K131" s="37">
        <f>IF(A131="","",IF(OR(J131=0,I131=""),"",I131/J131))</f>
        <v/>
      </c>
      <c r="L131" s="37">
        <f>IF(A131="","",SUMIF(Detalle_Pagos!$A$5:$A$2004,A131,Detalle_Pagos!$I$5:$I$2004))</f>
        <v/>
      </c>
      <c r="M131" s="37">
        <f>IF(A131="","",SUMIFS(Detalle_Pagos!$I$5:$I$2004,Detalle_Pagos!$A$5:$A$2004,A131,Detalle_Pagos!$J$5:$J$2004,"No"))</f>
        <v/>
      </c>
      <c r="N131" s="36">
        <f>IF(A131="","",IF(J131=0,"Sin detalle",IF(M131=0,"Pagada","Pendiente")))</f>
        <v/>
      </c>
      <c r="O131" s="36" t="n"/>
    </row>
    <row r="132">
      <c r="A132" s="38" t="n"/>
      <c r="B132" s="41" t="n"/>
      <c r="C132" s="38" t="n"/>
      <c r="D132" s="38" t="n"/>
      <c r="E132" s="38" t="n"/>
      <c r="F132" s="38" t="n"/>
      <c r="G132" s="39">
        <f>IF(A132="","",IFERROR(INDEX(Criterios!$B$4:$C$83,MATCH(D132,Criterios!$A$4:$A$83,0),IF(E132="Dentro horario",1,2)),""))</f>
        <v/>
      </c>
      <c r="H132" s="39" t="n"/>
      <c r="I132" s="39">
        <f>IF(A132="","",IF(OR(F132="",G132=""),"",F132*G132+N(H132)))</f>
        <v/>
      </c>
      <c r="J132" s="38">
        <f>IF(A132="","",COUNTIF(Detalle_Pagos!$A$5:$A$2004,A132))</f>
        <v/>
      </c>
      <c r="K132" s="39">
        <f>IF(A132="","",IF(OR(J132=0,I132=""),"",I132/J132))</f>
        <v/>
      </c>
      <c r="L132" s="39">
        <f>IF(A132="","",SUMIF(Detalle_Pagos!$A$5:$A$2004,A132,Detalle_Pagos!$I$5:$I$2004))</f>
        <v/>
      </c>
      <c r="M132" s="39">
        <f>IF(A132="","",SUMIFS(Detalle_Pagos!$I$5:$I$2004,Detalle_Pagos!$A$5:$A$2004,A132,Detalle_Pagos!$J$5:$J$2004,"No"))</f>
        <v/>
      </c>
      <c r="N132" s="38">
        <f>IF(A132="","",IF(J132=0,"Sin detalle",IF(M132=0,"Pagada","Pendiente")))</f>
        <v/>
      </c>
      <c r="O132" s="38" t="n"/>
    </row>
    <row r="133">
      <c r="A133" s="36" t="n"/>
      <c r="B133" s="40" t="n"/>
      <c r="C133" s="36" t="n"/>
      <c r="D133" s="36" t="n"/>
      <c r="E133" s="36" t="n"/>
      <c r="F133" s="36" t="n"/>
      <c r="G133" s="37">
        <f>IF(A133="","",IFERROR(INDEX(Criterios!$B$4:$C$83,MATCH(D133,Criterios!$A$4:$A$83,0),IF(E133="Dentro horario",1,2)),""))</f>
        <v/>
      </c>
      <c r="H133" s="37" t="n"/>
      <c r="I133" s="37">
        <f>IF(A133="","",IF(OR(F133="",G133=""),"",F133*G133+N(H133)))</f>
        <v/>
      </c>
      <c r="J133" s="36">
        <f>IF(A133="","",COUNTIF(Detalle_Pagos!$A$5:$A$2004,A133))</f>
        <v/>
      </c>
      <c r="K133" s="37">
        <f>IF(A133="","",IF(OR(J133=0,I133=""),"",I133/J133))</f>
        <v/>
      </c>
      <c r="L133" s="37">
        <f>IF(A133="","",SUMIF(Detalle_Pagos!$A$5:$A$2004,A133,Detalle_Pagos!$I$5:$I$2004))</f>
        <v/>
      </c>
      <c r="M133" s="37">
        <f>IF(A133="","",SUMIFS(Detalle_Pagos!$I$5:$I$2004,Detalle_Pagos!$A$5:$A$2004,A133,Detalle_Pagos!$J$5:$J$2004,"No"))</f>
        <v/>
      </c>
      <c r="N133" s="36">
        <f>IF(A133="","",IF(J133=0,"Sin detalle",IF(M133=0,"Pagada","Pendiente")))</f>
        <v/>
      </c>
      <c r="O133" s="36" t="n"/>
    </row>
    <row r="134">
      <c r="A134" s="38" t="n"/>
      <c r="B134" s="41" t="n"/>
      <c r="C134" s="38" t="n"/>
      <c r="D134" s="38" t="n"/>
      <c r="E134" s="38" t="n"/>
      <c r="F134" s="38" t="n"/>
      <c r="G134" s="39">
        <f>IF(A134="","",IFERROR(INDEX(Criterios!$B$4:$C$83,MATCH(D134,Criterios!$A$4:$A$83,0),IF(E134="Dentro horario",1,2)),""))</f>
        <v/>
      </c>
      <c r="H134" s="39" t="n"/>
      <c r="I134" s="39">
        <f>IF(A134="","",IF(OR(F134="",G134=""),"",F134*G134+N(H134)))</f>
        <v/>
      </c>
      <c r="J134" s="38">
        <f>IF(A134="","",COUNTIF(Detalle_Pagos!$A$5:$A$2004,A134))</f>
        <v/>
      </c>
      <c r="K134" s="39">
        <f>IF(A134="","",IF(OR(J134=0,I134=""),"",I134/J134))</f>
        <v/>
      </c>
      <c r="L134" s="39">
        <f>IF(A134="","",SUMIF(Detalle_Pagos!$A$5:$A$2004,A134,Detalle_Pagos!$I$5:$I$2004))</f>
        <v/>
      </c>
      <c r="M134" s="39">
        <f>IF(A134="","",SUMIFS(Detalle_Pagos!$I$5:$I$2004,Detalle_Pagos!$A$5:$A$2004,A134,Detalle_Pagos!$J$5:$J$2004,"No"))</f>
        <v/>
      </c>
      <c r="N134" s="38">
        <f>IF(A134="","",IF(J134=0,"Sin detalle",IF(M134=0,"Pagada","Pendiente")))</f>
        <v/>
      </c>
      <c r="O134" s="38" t="n"/>
    </row>
    <row r="135">
      <c r="A135" s="36" t="n"/>
      <c r="B135" s="40" t="n"/>
      <c r="C135" s="36" t="n"/>
      <c r="D135" s="36" t="n"/>
      <c r="E135" s="36" t="n"/>
      <c r="F135" s="36" t="n"/>
      <c r="G135" s="37">
        <f>IF(A135="","",IFERROR(INDEX(Criterios!$B$4:$C$83,MATCH(D135,Criterios!$A$4:$A$83,0),IF(E135="Dentro horario",1,2)),""))</f>
        <v/>
      </c>
      <c r="H135" s="37" t="n"/>
      <c r="I135" s="37">
        <f>IF(A135="","",IF(OR(F135="",G135=""),"",F135*G135+N(H135)))</f>
        <v/>
      </c>
      <c r="J135" s="36">
        <f>IF(A135="","",COUNTIF(Detalle_Pagos!$A$5:$A$2004,A135))</f>
        <v/>
      </c>
      <c r="K135" s="37">
        <f>IF(A135="","",IF(OR(J135=0,I135=""),"",I135/J135))</f>
        <v/>
      </c>
      <c r="L135" s="37">
        <f>IF(A135="","",SUMIF(Detalle_Pagos!$A$5:$A$2004,A135,Detalle_Pagos!$I$5:$I$2004))</f>
        <v/>
      </c>
      <c r="M135" s="37">
        <f>IF(A135="","",SUMIFS(Detalle_Pagos!$I$5:$I$2004,Detalle_Pagos!$A$5:$A$2004,A135,Detalle_Pagos!$J$5:$J$2004,"No"))</f>
        <v/>
      </c>
      <c r="N135" s="36">
        <f>IF(A135="","",IF(J135=0,"Sin detalle",IF(M135=0,"Pagada","Pendiente")))</f>
        <v/>
      </c>
      <c r="O135" s="36" t="n"/>
    </row>
    <row r="136">
      <c r="A136" s="38" t="n"/>
      <c r="B136" s="41" t="n"/>
      <c r="C136" s="38" t="n"/>
      <c r="D136" s="38" t="n"/>
      <c r="E136" s="38" t="n"/>
      <c r="F136" s="38" t="n"/>
      <c r="G136" s="39">
        <f>IF(A136="","",IFERROR(INDEX(Criterios!$B$4:$C$83,MATCH(D136,Criterios!$A$4:$A$83,0),IF(E136="Dentro horario",1,2)),""))</f>
        <v/>
      </c>
      <c r="H136" s="39" t="n"/>
      <c r="I136" s="39">
        <f>IF(A136="","",IF(OR(F136="",G136=""),"",F136*G136+N(H136)))</f>
        <v/>
      </c>
      <c r="J136" s="38">
        <f>IF(A136="","",COUNTIF(Detalle_Pagos!$A$5:$A$2004,A136))</f>
        <v/>
      </c>
      <c r="K136" s="39">
        <f>IF(A136="","",IF(OR(J136=0,I136=""),"",I136/J136))</f>
        <v/>
      </c>
      <c r="L136" s="39">
        <f>IF(A136="","",SUMIF(Detalle_Pagos!$A$5:$A$2004,A136,Detalle_Pagos!$I$5:$I$2004))</f>
        <v/>
      </c>
      <c r="M136" s="39">
        <f>IF(A136="","",SUMIFS(Detalle_Pagos!$I$5:$I$2004,Detalle_Pagos!$A$5:$A$2004,A136,Detalle_Pagos!$J$5:$J$2004,"No"))</f>
        <v/>
      </c>
      <c r="N136" s="38">
        <f>IF(A136="","",IF(J136=0,"Sin detalle",IF(M136=0,"Pagada","Pendiente")))</f>
        <v/>
      </c>
      <c r="O136" s="38" t="n"/>
    </row>
    <row r="137">
      <c r="A137" s="36" t="n"/>
      <c r="B137" s="40" t="n"/>
      <c r="C137" s="36" t="n"/>
      <c r="D137" s="36" t="n"/>
      <c r="E137" s="36" t="n"/>
      <c r="F137" s="36" t="n"/>
      <c r="G137" s="37">
        <f>IF(A137="","",IFERROR(INDEX(Criterios!$B$4:$C$83,MATCH(D137,Criterios!$A$4:$A$83,0),IF(E137="Dentro horario",1,2)),""))</f>
        <v/>
      </c>
      <c r="H137" s="37" t="n"/>
      <c r="I137" s="37">
        <f>IF(A137="","",IF(OR(F137="",G137=""),"",F137*G137+N(H137)))</f>
        <v/>
      </c>
      <c r="J137" s="36">
        <f>IF(A137="","",COUNTIF(Detalle_Pagos!$A$5:$A$2004,A137))</f>
        <v/>
      </c>
      <c r="K137" s="37">
        <f>IF(A137="","",IF(OR(J137=0,I137=""),"",I137/J137))</f>
        <v/>
      </c>
      <c r="L137" s="37">
        <f>IF(A137="","",SUMIF(Detalle_Pagos!$A$5:$A$2004,A137,Detalle_Pagos!$I$5:$I$2004))</f>
        <v/>
      </c>
      <c r="M137" s="37">
        <f>IF(A137="","",SUMIFS(Detalle_Pagos!$I$5:$I$2004,Detalle_Pagos!$A$5:$A$2004,A137,Detalle_Pagos!$J$5:$J$2004,"No"))</f>
        <v/>
      </c>
      <c r="N137" s="36">
        <f>IF(A137="","",IF(J137=0,"Sin detalle",IF(M137=0,"Pagada","Pendiente")))</f>
        <v/>
      </c>
      <c r="O137" s="36" t="n"/>
    </row>
    <row r="138">
      <c r="A138" s="38" t="n"/>
      <c r="B138" s="41" t="n"/>
      <c r="C138" s="38" t="n"/>
      <c r="D138" s="38" t="n"/>
      <c r="E138" s="38" t="n"/>
      <c r="F138" s="38" t="n"/>
      <c r="G138" s="39">
        <f>IF(A138="","",IFERROR(INDEX(Criterios!$B$4:$C$83,MATCH(D138,Criterios!$A$4:$A$83,0),IF(E138="Dentro horario",1,2)),""))</f>
        <v/>
      </c>
      <c r="H138" s="39" t="n"/>
      <c r="I138" s="39">
        <f>IF(A138="","",IF(OR(F138="",G138=""),"",F138*G138+N(H138)))</f>
        <v/>
      </c>
      <c r="J138" s="38">
        <f>IF(A138="","",COUNTIF(Detalle_Pagos!$A$5:$A$2004,A138))</f>
        <v/>
      </c>
      <c r="K138" s="39">
        <f>IF(A138="","",IF(OR(J138=0,I138=""),"",I138/J138))</f>
        <v/>
      </c>
      <c r="L138" s="39">
        <f>IF(A138="","",SUMIF(Detalle_Pagos!$A$5:$A$2004,A138,Detalle_Pagos!$I$5:$I$2004))</f>
        <v/>
      </c>
      <c r="M138" s="39">
        <f>IF(A138="","",SUMIFS(Detalle_Pagos!$I$5:$I$2004,Detalle_Pagos!$A$5:$A$2004,A138,Detalle_Pagos!$J$5:$J$2004,"No"))</f>
        <v/>
      </c>
      <c r="N138" s="38">
        <f>IF(A138="","",IF(J138=0,"Sin detalle",IF(M138=0,"Pagada","Pendiente")))</f>
        <v/>
      </c>
      <c r="O138" s="38" t="n"/>
    </row>
    <row r="139">
      <c r="A139" s="36" t="n"/>
      <c r="B139" s="40" t="n"/>
      <c r="C139" s="36" t="n"/>
      <c r="D139" s="36" t="n"/>
      <c r="E139" s="36" t="n"/>
      <c r="F139" s="36" t="n"/>
      <c r="G139" s="37">
        <f>IF(A139="","",IFERROR(INDEX(Criterios!$B$4:$C$83,MATCH(D139,Criterios!$A$4:$A$83,0),IF(E139="Dentro horario",1,2)),""))</f>
        <v/>
      </c>
      <c r="H139" s="37" t="n"/>
      <c r="I139" s="37">
        <f>IF(A139="","",IF(OR(F139="",G139=""),"",F139*G139+N(H139)))</f>
        <v/>
      </c>
      <c r="J139" s="36">
        <f>IF(A139="","",COUNTIF(Detalle_Pagos!$A$5:$A$2004,A139))</f>
        <v/>
      </c>
      <c r="K139" s="37">
        <f>IF(A139="","",IF(OR(J139=0,I139=""),"",I139/J139))</f>
        <v/>
      </c>
      <c r="L139" s="37">
        <f>IF(A139="","",SUMIF(Detalle_Pagos!$A$5:$A$2004,A139,Detalle_Pagos!$I$5:$I$2004))</f>
        <v/>
      </c>
      <c r="M139" s="37">
        <f>IF(A139="","",SUMIFS(Detalle_Pagos!$I$5:$I$2004,Detalle_Pagos!$A$5:$A$2004,A139,Detalle_Pagos!$J$5:$J$2004,"No"))</f>
        <v/>
      </c>
      <c r="N139" s="36">
        <f>IF(A139="","",IF(J139=0,"Sin detalle",IF(M139=0,"Pagada","Pendiente")))</f>
        <v/>
      </c>
      <c r="O139" s="36" t="n"/>
    </row>
    <row r="140">
      <c r="A140" s="38" t="n"/>
      <c r="B140" s="41" t="n"/>
      <c r="C140" s="38" t="n"/>
      <c r="D140" s="38" t="n"/>
      <c r="E140" s="38" t="n"/>
      <c r="F140" s="38" t="n"/>
      <c r="G140" s="39">
        <f>IF(A140="","",IFERROR(INDEX(Criterios!$B$4:$C$83,MATCH(D140,Criterios!$A$4:$A$83,0),IF(E140="Dentro horario",1,2)),""))</f>
        <v/>
      </c>
      <c r="H140" s="39" t="n"/>
      <c r="I140" s="39">
        <f>IF(A140="","",IF(OR(F140="",G140=""),"",F140*G140+N(H140)))</f>
        <v/>
      </c>
      <c r="J140" s="38">
        <f>IF(A140="","",COUNTIF(Detalle_Pagos!$A$5:$A$2004,A140))</f>
        <v/>
      </c>
      <c r="K140" s="39">
        <f>IF(A140="","",IF(OR(J140=0,I140=""),"",I140/J140))</f>
        <v/>
      </c>
      <c r="L140" s="39">
        <f>IF(A140="","",SUMIF(Detalle_Pagos!$A$5:$A$2004,A140,Detalle_Pagos!$I$5:$I$2004))</f>
        <v/>
      </c>
      <c r="M140" s="39">
        <f>IF(A140="","",SUMIFS(Detalle_Pagos!$I$5:$I$2004,Detalle_Pagos!$A$5:$A$2004,A140,Detalle_Pagos!$J$5:$J$2004,"No"))</f>
        <v/>
      </c>
      <c r="N140" s="38">
        <f>IF(A140="","",IF(J140=0,"Sin detalle",IF(M140=0,"Pagada","Pendiente")))</f>
        <v/>
      </c>
      <c r="O140" s="38" t="n"/>
    </row>
    <row r="141">
      <c r="A141" s="36" t="n"/>
      <c r="B141" s="40" t="n"/>
      <c r="C141" s="36" t="n"/>
      <c r="D141" s="36" t="n"/>
      <c r="E141" s="36" t="n"/>
      <c r="F141" s="36" t="n"/>
      <c r="G141" s="37">
        <f>IF(A141="","",IFERROR(INDEX(Criterios!$B$4:$C$83,MATCH(D141,Criterios!$A$4:$A$83,0),IF(E141="Dentro horario",1,2)),""))</f>
        <v/>
      </c>
      <c r="H141" s="37" t="n"/>
      <c r="I141" s="37">
        <f>IF(A141="","",IF(OR(F141="",G141=""),"",F141*G141+N(H141)))</f>
        <v/>
      </c>
      <c r="J141" s="36">
        <f>IF(A141="","",COUNTIF(Detalle_Pagos!$A$5:$A$2004,A141))</f>
        <v/>
      </c>
      <c r="K141" s="37">
        <f>IF(A141="","",IF(OR(J141=0,I141=""),"",I141/J141))</f>
        <v/>
      </c>
      <c r="L141" s="37">
        <f>IF(A141="","",SUMIF(Detalle_Pagos!$A$5:$A$2004,A141,Detalle_Pagos!$I$5:$I$2004))</f>
        <v/>
      </c>
      <c r="M141" s="37">
        <f>IF(A141="","",SUMIFS(Detalle_Pagos!$I$5:$I$2004,Detalle_Pagos!$A$5:$A$2004,A141,Detalle_Pagos!$J$5:$J$2004,"No"))</f>
        <v/>
      </c>
      <c r="N141" s="36">
        <f>IF(A141="","",IF(J141=0,"Sin detalle",IF(M141=0,"Pagada","Pendiente")))</f>
        <v/>
      </c>
      <c r="O141" s="36" t="n"/>
    </row>
    <row r="142">
      <c r="A142" s="38" t="n"/>
      <c r="B142" s="41" t="n"/>
      <c r="C142" s="38" t="n"/>
      <c r="D142" s="38" t="n"/>
      <c r="E142" s="38" t="n"/>
      <c r="F142" s="38" t="n"/>
      <c r="G142" s="39">
        <f>IF(A142="","",IFERROR(INDEX(Criterios!$B$4:$C$83,MATCH(D142,Criterios!$A$4:$A$83,0),IF(E142="Dentro horario",1,2)),""))</f>
        <v/>
      </c>
      <c r="H142" s="39" t="n"/>
      <c r="I142" s="39">
        <f>IF(A142="","",IF(OR(F142="",G142=""),"",F142*G142+N(H142)))</f>
        <v/>
      </c>
      <c r="J142" s="38">
        <f>IF(A142="","",COUNTIF(Detalle_Pagos!$A$5:$A$2004,A142))</f>
        <v/>
      </c>
      <c r="K142" s="39">
        <f>IF(A142="","",IF(OR(J142=0,I142=""),"",I142/J142))</f>
        <v/>
      </c>
      <c r="L142" s="39">
        <f>IF(A142="","",SUMIF(Detalle_Pagos!$A$5:$A$2004,A142,Detalle_Pagos!$I$5:$I$2004))</f>
        <v/>
      </c>
      <c r="M142" s="39">
        <f>IF(A142="","",SUMIFS(Detalle_Pagos!$I$5:$I$2004,Detalle_Pagos!$A$5:$A$2004,A142,Detalle_Pagos!$J$5:$J$2004,"No"))</f>
        <v/>
      </c>
      <c r="N142" s="38">
        <f>IF(A142="","",IF(J142=0,"Sin detalle",IF(M142=0,"Pagada","Pendiente")))</f>
        <v/>
      </c>
      <c r="O142" s="38" t="n"/>
    </row>
    <row r="143">
      <c r="A143" s="36" t="n"/>
      <c r="B143" s="40" t="n"/>
      <c r="C143" s="36" t="n"/>
      <c r="D143" s="36" t="n"/>
      <c r="E143" s="36" t="n"/>
      <c r="F143" s="36" t="n"/>
      <c r="G143" s="37">
        <f>IF(A143="","",IFERROR(INDEX(Criterios!$B$4:$C$83,MATCH(D143,Criterios!$A$4:$A$83,0),IF(E143="Dentro horario",1,2)),""))</f>
        <v/>
      </c>
      <c r="H143" s="37" t="n"/>
      <c r="I143" s="37">
        <f>IF(A143="","",IF(OR(F143="",G143=""),"",F143*G143+N(H143)))</f>
        <v/>
      </c>
      <c r="J143" s="36">
        <f>IF(A143="","",COUNTIF(Detalle_Pagos!$A$5:$A$2004,A143))</f>
        <v/>
      </c>
      <c r="K143" s="37">
        <f>IF(A143="","",IF(OR(J143=0,I143=""),"",I143/J143))</f>
        <v/>
      </c>
      <c r="L143" s="37">
        <f>IF(A143="","",SUMIF(Detalle_Pagos!$A$5:$A$2004,A143,Detalle_Pagos!$I$5:$I$2004))</f>
        <v/>
      </c>
      <c r="M143" s="37">
        <f>IF(A143="","",SUMIFS(Detalle_Pagos!$I$5:$I$2004,Detalle_Pagos!$A$5:$A$2004,A143,Detalle_Pagos!$J$5:$J$2004,"No"))</f>
        <v/>
      </c>
      <c r="N143" s="36">
        <f>IF(A143="","",IF(J143=0,"Sin detalle",IF(M143=0,"Pagada","Pendiente")))</f>
        <v/>
      </c>
      <c r="O143" s="36" t="n"/>
    </row>
    <row r="144">
      <c r="A144" s="38" t="n"/>
      <c r="B144" s="41" t="n"/>
      <c r="C144" s="38" t="n"/>
      <c r="D144" s="38" t="n"/>
      <c r="E144" s="38" t="n"/>
      <c r="F144" s="38" t="n"/>
      <c r="G144" s="39">
        <f>IF(A144="","",IFERROR(INDEX(Criterios!$B$4:$C$83,MATCH(D144,Criterios!$A$4:$A$83,0),IF(E144="Dentro horario",1,2)),""))</f>
        <v/>
      </c>
      <c r="H144" s="39" t="n"/>
      <c r="I144" s="39">
        <f>IF(A144="","",IF(OR(F144="",G144=""),"",F144*G144+N(H144)))</f>
        <v/>
      </c>
      <c r="J144" s="38">
        <f>IF(A144="","",COUNTIF(Detalle_Pagos!$A$5:$A$2004,A144))</f>
        <v/>
      </c>
      <c r="K144" s="39">
        <f>IF(A144="","",IF(OR(J144=0,I144=""),"",I144/J144))</f>
        <v/>
      </c>
      <c r="L144" s="39">
        <f>IF(A144="","",SUMIF(Detalle_Pagos!$A$5:$A$2004,A144,Detalle_Pagos!$I$5:$I$2004))</f>
        <v/>
      </c>
      <c r="M144" s="39">
        <f>IF(A144="","",SUMIFS(Detalle_Pagos!$I$5:$I$2004,Detalle_Pagos!$A$5:$A$2004,A144,Detalle_Pagos!$J$5:$J$2004,"No"))</f>
        <v/>
      </c>
      <c r="N144" s="38">
        <f>IF(A144="","",IF(J144=0,"Sin detalle",IF(M144=0,"Pagada","Pendiente")))</f>
        <v/>
      </c>
      <c r="O144" s="38" t="n"/>
    </row>
    <row r="145">
      <c r="A145" s="36" t="n"/>
      <c r="B145" s="40" t="n"/>
      <c r="C145" s="36" t="n"/>
      <c r="D145" s="36" t="n"/>
      <c r="E145" s="36" t="n"/>
      <c r="F145" s="36" t="n"/>
      <c r="G145" s="37">
        <f>IF(A145="","",IFERROR(INDEX(Criterios!$B$4:$C$83,MATCH(D145,Criterios!$A$4:$A$83,0),IF(E145="Dentro horario",1,2)),""))</f>
        <v/>
      </c>
      <c r="H145" s="37" t="n"/>
      <c r="I145" s="37">
        <f>IF(A145="","",IF(OR(F145="",G145=""),"",F145*G145+N(H145)))</f>
        <v/>
      </c>
      <c r="J145" s="36">
        <f>IF(A145="","",COUNTIF(Detalle_Pagos!$A$5:$A$2004,A145))</f>
        <v/>
      </c>
      <c r="K145" s="37">
        <f>IF(A145="","",IF(OR(J145=0,I145=""),"",I145/J145))</f>
        <v/>
      </c>
      <c r="L145" s="37">
        <f>IF(A145="","",SUMIF(Detalle_Pagos!$A$5:$A$2004,A145,Detalle_Pagos!$I$5:$I$2004))</f>
        <v/>
      </c>
      <c r="M145" s="37">
        <f>IF(A145="","",SUMIFS(Detalle_Pagos!$I$5:$I$2004,Detalle_Pagos!$A$5:$A$2004,A145,Detalle_Pagos!$J$5:$J$2004,"No"))</f>
        <v/>
      </c>
      <c r="N145" s="36">
        <f>IF(A145="","",IF(J145=0,"Sin detalle",IF(M145=0,"Pagada","Pendiente")))</f>
        <v/>
      </c>
      <c r="O145" s="36" t="n"/>
    </row>
    <row r="146">
      <c r="A146" s="38" t="n"/>
      <c r="B146" s="41" t="n"/>
      <c r="C146" s="38" t="n"/>
      <c r="D146" s="38" t="n"/>
      <c r="E146" s="38" t="n"/>
      <c r="F146" s="38" t="n"/>
      <c r="G146" s="39">
        <f>IF(A146="","",IFERROR(INDEX(Criterios!$B$4:$C$83,MATCH(D146,Criterios!$A$4:$A$83,0),IF(E146="Dentro horario",1,2)),""))</f>
        <v/>
      </c>
      <c r="H146" s="39" t="n"/>
      <c r="I146" s="39">
        <f>IF(A146="","",IF(OR(F146="",G146=""),"",F146*G146+N(H146)))</f>
        <v/>
      </c>
      <c r="J146" s="38">
        <f>IF(A146="","",COUNTIF(Detalle_Pagos!$A$5:$A$2004,A146))</f>
        <v/>
      </c>
      <c r="K146" s="39">
        <f>IF(A146="","",IF(OR(J146=0,I146=""),"",I146/J146))</f>
        <v/>
      </c>
      <c r="L146" s="39">
        <f>IF(A146="","",SUMIF(Detalle_Pagos!$A$5:$A$2004,A146,Detalle_Pagos!$I$5:$I$2004))</f>
        <v/>
      </c>
      <c r="M146" s="39">
        <f>IF(A146="","",SUMIFS(Detalle_Pagos!$I$5:$I$2004,Detalle_Pagos!$A$5:$A$2004,A146,Detalle_Pagos!$J$5:$J$2004,"No"))</f>
        <v/>
      </c>
      <c r="N146" s="38">
        <f>IF(A146="","",IF(J146=0,"Sin detalle",IF(M146=0,"Pagada","Pendiente")))</f>
        <v/>
      </c>
      <c r="O146" s="38" t="n"/>
    </row>
    <row r="147">
      <c r="A147" s="36" t="n"/>
      <c r="B147" s="40" t="n"/>
      <c r="C147" s="36" t="n"/>
      <c r="D147" s="36" t="n"/>
      <c r="E147" s="36" t="n"/>
      <c r="F147" s="36" t="n"/>
      <c r="G147" s="37">
        <f>IF(A147="","",IFERROR(INDEX(Criterios!$B$4:$C$83,MATCH(D147,Criterios!$A$4:$A$83,0),IF(E147="Dentro horario",1,2)),""))</f>
        <v/>
      </c>
      <c r="H147" s="37" t="n"/>
      <c r="I147" s="37">
        <f>IF(A147="","",IF(OR(F147="",G147=""),"",F147*G147+N(H147)))</f>
        <v/>
      </c>
      <c r="J147" s="36">
        <f>IF(A147="","",COUNTIF(Detalle_Pagos!$A$5:$A$2004,A147))</f>
        <v/>
      </c>
      <c r="K147" s="37">
        <f>IF(A147="","",IF(OR(J147=0,I147=""),"",I147/J147))</f>
        <v/>
      </c>
      <c r="L147" s="37">
        <f>IF(A147="","",SUMIF(Detalle_Pagos!$A$5:$A$2004,A147,Detalle_Pagos!$I$5:$I$2004))</f>
        <v/>
      </c>
      <c r="M147" s="37">
        <f>IF(A147="","",SUMIFS(Detalle_Pagos!$I$5:$I$2004,Detalle_Pagos!$A$5:$A$2004,A147,Detalle_Pagos!$J$5:$J$2004,"No"))</f>
        <v/>
      </c>
      <c r="N147" s="36">
        <f>IF(A147="","",IF(J147=0,"Sin detalle",IF(M147=0,"Pagada","Pendiente")))</f>
        <v/>
      </c>
      <c r="O147" s="36" t="n"/>
    </row>
    <row r="148">
      <c r="A148" s="38" t="n"/>
      <c r="B148" s="41" t="n"/>
      <c r="C148" s="38" t="n"/>
      <c r="D148" s="38" t="n"/>
      <c r="E148" s="38" t="n"/>
      <c r="F148" s="38" t="n"/>
      <c r="G148" s="39">
        <f>IF(A148="","",IFERROR(INDEX(Criterios!$B$4:$C$83,MATCH(D148,Criterios!$A$4:$A$83,0),IF(E148="Dentro horario",1,2)),""))</f>
        <v/>
      </c>
      <c r="H148" s="39" t="n"/>
      <c r="I148" s="39">
        <f>IF(A148="","",IF(OR(F148="",G148=""),"",F148*G148+N(H148)))</f>
        <v/>
      </c>
      <c r="J148" s="38">
        <f>IF(A148="","",COUNTIF(Detalle_Pagos!$A$5:$A$2004,A148))</f>
        <v/>
      </c>
      <c r="K148" s="39">
        <f>IF(A148="","",IF(OR(J148=0,I148=""),"",I148/J148))</f>
        <v/>
      </c>
      <c r="L148" s="39">
        <f>IF(A148="","",SUMIF(Detalle_Pagos!$A$5:$A$2004,A148,Detalle_Pagos!$I$5:$I$2004))</f>
        <v/>
      </c>
      <c r="M148" s="39">
        <f>IF(A148="","",SUMIFS(Detalle_Pagos!$I$5:$I$2004,Detalle_Pagos!$A$5:$A$2004,A148,Detalle_Pagos!$J$5:$J$2004,"No"))</f>
        <v/>
      </c>
      <c r="N148" s="38">
        <f>IF(A148="","",IF(J148=0,"Sin detalle",IF(M148=0,"Pagada","Pendiente")))</f>
        <v/>
      </c>
      <c r="O148" s="38" t="n"/>
    </row>
    <row r="149">
      <c r="A149" s="36" t="n"/>
      <c r="B149" s="40" t="n"/>
      <c r="C149" s="36" t="n"/>
      <c r="D149" s="36" t="n"/>
      <c r="E149" s="36" t="n"/>
      <c r="F149" s="36" t="n"/>
      <c r="G149" s="37">
        <f>IF(A149="","",IFERROR(INDEX(Criterios!$B$4:$C$83,MATCH(D149,Criterios!$A$4:$A$83,0),IF(E149="Dentro horario",1,2)),""))</f>
        <v/>
      </c>
      <c r="H149" s="37" t="n"/>
      <c r="I149" s="37">
        <f>IF(A149="","",IF(OR(F149="",G149=""),"",F149*G149+N(H149)))</f>
        <v/>
      </c>
      <c r="J149" s="36">
        <f>IF(A149="","",COUNTIF(Detalle_Pagos!$A$5:$A$2004,A149))</f>
        <v/>
      </c>
      <c r="K149" s="37">
        <f>IF(A149="","",IF(OR(J149=0,I149=""),"",I149/J149))</f>
        <v/>
      </c>
      <c r="L149" s="37">
        <f>IF(A149="","",SUMIF(Detalle_Pagos!$A$5:$A$2004,A149,Detalle_Pagos!$I$5:$I$2004))</f>
        <v/>
      </c>
      <c r="M149" s="37">
        <f>IF(A149="","",SUMIFS(Detalle_Pagos!$I$5:$I$2004,Detalle_Pagos!$A$5:$A$2004,A149,Detalle_Pagos!$J$5:$J$2004,"No"))</f>
        <v/>
      </c>
      <c r="N149" s="36">
        <f>IF(A149="","",IF(J149=0,"Sin detalle",IF(M149=0,"Pagada","Pendiente")))</f>
        <v/>
      </c>
      <c r="O149" s="36" t="n"/>
    </row>
    <row r="150">
      <c r="A150" s="38" t="n"/>
      <c r="B150" s="41" t="n"/>
      <c r="C150" s="38" t="n"/>
      <c r="D150" s="38" t="n"/>
      <c r="E150" s="38" t="n"/>
      <c r="F150" s="38" t="n"/>
      <c r="G150" s="39">
        <f>IF(A150="","",IFERROR(INDEX(Criterios!$B$4:$C$83,MATCH(D150,Criterios!$A$4:$A$83,0),IF(E150="Dentro horario",1,2)),""))</f>
        <v/>
      </c>
      <c r="H150" s="39" t="n"/>
      <c r="I150" s="39">
        <f>IF(A150="","",IF(OR(F150="",G150=""),"",F150*G150+N(H150)))</f>
        <v/>
      </c>
      <c r="J150" s="38">
        <f>IF(A150="","",COUNTIF(Detalle_Pagos!$A$5:$A$2004,A150))</f>
        <v/>
      </c>
      <c r="K150" s="39">
        <f>IF(A150="","",IF(OR(J150=0,I150=""),"",I150/J150))</f>
        <v/>
      </c>
      <c r="L150" s="39">
        <f>IF(A150="","",SUMIF(Detalle_Pagos!$A$5:$A$2004,A150,Detalle_Pagos!$I$5:$I$2004))</f>
        <v/>
      </c>
      <c r="M150" s="39">
        <f>IF(A150="","",SUMIFS(Detalle_Pagos!$I$5:$I$2004,Detalle_Pagos!$A$5:$A$2004,A150,Detalle_Pagos!$J$5:$J$2004,"No"))</f>
        <v/>
      </c>
      <c r="N150" s="38">
        <f>IF(A150="","",IF(J150=0,"Sin detalle",IF(M150=0,"Pagada","Pendiente")))</f>
        <v/>
      </c>
      <c r="O150" s="38" t="n"/>
    </row>
    <row r="151">
      <c r="A151" s="36" t="n"/>
      <c r="B151" s="40" t="n"/>
      <c r="C151" s="36" t="n"/>
      <c r="D151" s="36" t="n"/>
      <c r="E151" s="36" t="n"/>
      <c r="F151" s="36" t="n"/>
      <c r="G151" s="37">
        <f>IF(A151="","",IFERROR(INDEX(Criterios!$B$4:$C$83,MATCH(D151,Criterios!$A$4:$A$83,0),IF(E151="Dentro horario",1,2)),""))</f>
        <v/>
      </c>
      <c r="H151" s="37" t="n"/>
      <c r="I151" s="37">
        <f>IF(A151="","",IF(OR(F151="",G151=""),"",F151*G151+N(H151)))</f>
        <v/>
      </c>
      <c r="J151" s="36">
        <f>IF(A151="","",COUNTIF(Detalle_Pagos!$A$5:$A$2004,A151))</f>
        <v/>
      </c>
      <c r="K151" s="37">
        <f>IF(A151="","",IF(OR(J151=0,I151=""),"",I151/J151))</f>
        <v/>
      </c>
      <c r="L151" s="37">
        <f>IF(A151="","",SUMIF(Detalle_Pagos!$A$5:$A$2004,A151,Detalle_Pagos!$I$5:$I$2004))</f>
        <v/>
      </c>
      <c r="M151" s="37">
        <f>IF(A151="","",SUMIFS(Detalle_Pagos!$I$5:$I$2004,Detalle_Pagos!$A$5:$A$2004,A151,Detalle_Pagos!$J$5:$J$2004,"No"))</f>
        <v/>
      </c>
      <c r="N151" s="36">
        <f>IF(A151="","",IF(J151=0,"Sin detalle",IF(M151=0,"Pagada","Pendiente")))</f>
        <v/>
      </c>
      <c r="O151" s="36" t="n"/>
    </row>
    <row r="152">
      <c r="A152" s="38" t="n"/>
      <c r="B152" s="41" t="n"/>
      <c r="C152" s="38" t="n"/>
      <c r="D152" s="38" t="n"/>
      <c r="E152" s="38" t="n"/>
      <c r="F152" s="38" t="n"/>
      <c r="G152" s="39">
        <f>IF(A152="","",IFERROR(INDEX(Criterios!$B$4:$C$83,MATCH(D152,Criterios!$A$4:$A$83,0),IF(E152="Dentro horario",1,2)),""))</f>
        <v/>
      </c>
      <c r="H152" s="39" t="n"/>
      <c r="I152" s="39">
        <f>IF(A152="","",IF(OR(F152="",G152=""),"",F152*G152+N(H152)))</f>
        <v/>
      </c>
      <c r="J152" s="38">
        <f>IF(A152="","",COUNTIF(Detalle_Pagos!$A$5:$A$2004,A152))</f>
        <v/>
      </c>
      <c r="K152" s="39">
        <f>IF(A152="","",IF(OR(J152=0,I152=""),"",I152/J152))</f>
        <v/>
      </c>
      <c r="L152" s="39">
        <f>IF(A152="","",SUMIF(Detalle_Pagos!$A$5:$A$2004,A152,Detalle_Pagos!$I$5:$I$2004))</f>
        <v/>
      </c>
      <c r="M152" s="39">
        <f>IF(A152="","",SUMIFS(Detalle_Pagos!$I$5:$I$2004,Detalle_Pagos!$A$5:$A$2004,A152,Detalle_Pagos!$J$5:$J$2004,"No"))</f>
        <v/>
      </c>
      <c r="N152" s="38">
        <f>IF(A152="","",IF(J152=0,"Sin detalle",IF(M152=0,"Pagada","Pendiente")))</f>
        <v/>
      </c>
      <c r="O152" s="38" t="n"/>
    </row>
    <row r="153">
      <c r="A153" s="36" t="n"/>
      <c r="B153" s="40" t="n"/>
      <c r="C153" s="36" t="n"/>
      <c r="D153" s="36" t="n"/>
      <c r="E153" s="36" t="n"/>
      <c r="F153" s="36" t="n"/>
      <c r="G153" s="37">
        <f>IF(A153="","",IFERROR(INDEX(Criterios!$B$4:$C$83,MATCH(D153,Criterios!$A$4:$A$83,0),IF(E153="Dentro horario",1,2)),""))</f>
        <v/>
      </c>
      <c r="H153" s="37" t="n"/>
      <c r="I153" s="37">
        <f>IF(A153="","",IF(OR(F153="",G153=""),"",F153*G153+N(H153)))</f>
        <v/>
      </c>
      <c r="J153" s="36">
        <f>IF(A153="","",COUNTIF(Detalle_Pagos!$A$5:$A$2004,A153))</f>
        <v/>
      </c>
      <c r="K153" s="37">
        <f>IF(A153="","",IF(OR(J153=0,I153=""),"",I153/J153))</f>
        <v/>
      </c>
      <c r="L153" s="37">
        <f>IF(A153="","",SUMIF(Detalle_Pagos!$A$5:$A$2004,A153,Detalle_Pagos!$I$5:$I$2004))</f>
        <v/>
      </c>
      <c r="M153" s="37">
        <f>IF(A153="","",SUMIFS(Detalle_Pagos!$I$5:$I$2004,Detalle_Pagos!$A$5:$A$2004,A153,Detalle_Pagos!$J$5:$J$2004,"No"))</f>
        <v/>
      </c>
      <c r="N153" s="36">
        <f>IF(A153="","",IF(J153=0,"Sin detalle",IF(M153=0,"Pagada","Pendiente")))</f>
        <v/>
      </c>
      <c r="O153" s="36" t="n"/>
    </row>
    <row r="154">
      <c r="A154" s="38" t="n"/>
      <c r="B154" s="41" t="n"/>
      <c r="C154" s="38" t="n"/>
      <c r="D154" s="38" t="n"/>
      <c r="E154" s="38" t="n"/>
      <c r="F154" s="38" t="n"/>
      <c r="G154" s="39">
        <f>IF(A154="","",IFERROR(INDEX(Criterios!$B$4:$C$83,MATCH(D154,Criterios!$A$4:$A$83,0),IF(E154="Dentro horario",1,2)),""))</f>
        <v/>
      </c>
      <c r="H154" s="39" t="n"/>
      <c r="I154" s="39">
        <f>IF(A154="","",IF(OR(F154="",G154=""),"",F154*G154+N(H154)))</f>
        <v/>
      </c>
      <c r="J154" s="38">
        <f>IF(A154="","",COUNTIF(Detalle_Pagos!$A$5:$A$2004,A154))</f>
        <v/>
      </c>
      <c r="K154" s="39">
        <f>IF(A154="","",IF(OR(J154=0,I154=""),"",I154/J154))</f>
        <v/>
      </c>
      <c r="L154" s="39">
        <f>IF(A154="","",SUMIF(Detalle_Pagos!$A$5:$A$2004,A154,Detalle_Pagos!$I$5:$I$2004))</f>
        <v/>
      </c>
      <c r="M154" s="39">
        <f>IF(A154="","",SUMIFS(Detalle_Pagos!$I$5:$I$2004,Detalle_Pagos!$A$5:$A$2004,A154,Detalle_Pagos!$J$5:$J$2004,"No"))</f>
        <v/>
      </c>
      <c r="N154" s="38">
        <f>IF(A154="","",IF(J154=0,"Sin detalle",IF(M154=0,"Pagada","Pendiente")))</f>
        <v/>
      </c>
      <c r="O154" s="38" t="n"/>
    </row>
    <row r="155">
      <c r="A155" s="36" t="n"/>
      <c r="B155" s="40" t="n"/>
      <c r="C155" s="36" t="n"/>
      <c r="D155" s="36" t="n"/>
      <c r="E155" s="36" t="n"/>
      <c r="F155" s="36" t="n"/>
      <c r="G155" s="37">
        <f>IF(A155="","",IFERROR(INDEX(Criterios!$B$4:$C$83,MATCH(D155,Criterios!$A$4:$A$83,0),IF(E155="Dentro horario",1,2)),""))</f>
        <v/>
      </c>
      <c r="H155" s="37" t="n"/>
      <c r="I155" s="37">
        <f>IF(A155="","",IF(OR(F155="",G155=""),"",F155*G155+N(H155)))</f>
        <v/>
      </c>
      <c r="J155" s="36">
        <f>IF(A155="","",COUNTIF(Detalle_Pagos!$A$5:$A$2004,A155))</f>
        <v/>
      </c>
      <c r="K155" s="37">
        <f>IF(A155="","",IF(OR(J155=0,I155=""),"",I155/J155))</f>
        <v/>
      </c>
      <c r="L155" s="37">
        <f>IF(A155="","",SUMIF(Detalle_Pagos!$A$5:$A$2004,A155,Detalle_Pagos!$I$5:$I$2004))</f>
        <v/>
      </c>
      <c r="M155" s="37">
        <f>IF(A155="","",SUMIFS(Detalle_Pagos!$I$5:$I$2004,Detalle_Pagos!$A$5:$A$2004,A155,Detalle_Pagos!$J$5:$J$2004,"No"))</f>
        <v/>
      </c>
      <c r="N155" s="36">
        <f>IF(A155="","",IF(J155=0,"Sin detalle",IF(M155=0,"Pagada","Pendiente")))</f>
        <v/>
      </c>
      <c r="O155" s="36" t="n"/>
    </row>
    <row r="156">
      <c r="A156" s="38" t="n"/>
      <c r="B156" s="41" t="n"/>
      <c r="C156" s="38" t="n"/>
      <c r="D156" s="38" t="n"/>
      <c r="E156" s="38" t="n"/>
      <c r="F156" s="38" t="n"/>
      <c r="G156" s="39">
        <f>IF(A156="","",IFERROR(INDEX(Criterios!$B$4:$C$83,MATCH(D156,Criterios!$A$4:$A$83,0),IF(E156="Dentro horario",1,2)),""))</f>
        <v/>
      </c>
      <c r="H156" s="39" t="n"/>
      <c r="I156" s="39">
        <f>IF(A156="","",IF(OR(F156="",G156=""),"",F156*G156+N(H156)))</f>
        <v/>
      </c>
      <c r="J156" s="38">
        <f>IF(A156="","",COUNTIF(Detalle_Pagos!$A$5:$A$2004,A156))</f>
        <v/>
      </c>
      <c r="K156" s="39">
        <f>IF(A156="","",IF(OR(J156=0,I156=""),"",I156/J156))</f>
        <v/>
      </c>
      <c r="L156" s="39">
        <f>IF(A156="","",SUMIF(Detalle_Pagos!$A$5:$A$2004,A156,Detalle_Pagos!$I$5:$I$2004))</f>
        <v/>
      </c>
      <c r="M156" s="39">
        <f>IF(A156="","",SUMIFS(Detalle_Pagos!$I$5:$I$2004,Detalle_Pagos!$A$5:$A$2004,A156,Detalle_Pagos!$J$5:$J$2004,"No"))</f>
        <v/>
      </c>
      <c r="N156" s="38">
        <f>IF(A156="","",IF(J156=0,"Sin detalle",IF(M156=0,"Pagada","Pendiente")))</f>
        <v/>
      </c>
      <c r="O156" s="38" t="n"/>
    </row>
    <row r="157">
      <c r="A157" s="36" t="n"/>
      <c r="B157" s="40" t="n"/>
      <c r="C157" s="36" t="n"/>
      <c r="D157" s="36" t="n"/>
      <c r="E157" s="36" t="n"/>
      <c r="F157" s="36" t="n"/>
      <c r="G157" s="37">
        <f>IF(A157="","",IFERROR(INDEX(Criterios!$B$4:$C$83,MATCH(D157,Criterios!$A$4:$A$83,0),IF(E157="Dentro horario",1,2)),""))</f>
        <v/>
      </c>
      <c r="H157" s="37" t="n"/>
      <c r="I157" s="37">
        <f>IF(A157="","",IF(OR(F157="",G157=""),"",F157*G157+N(H157)))</f>
        <v/>
      </c>
      <c r="J157" s="36">
        <f>IF(A157="","",COUNTIF(Detalle_Pagos!$A$5:$A$2004,A157))</f>
        <v/>
      </c>
      <c r="K157" s="37">
        <f>IF(A157="","",IF(OR(J157=0,I157=""),"",I157/J157))</f>
        <v/>
      </c>
      <c r="L157" s="37">
        <f>IF(A157="","",SUMIF(Detalle_Pagos!$A$5:$A$2004,A157,Detalle_Pagos!$I$5:$I$2004))</f>
        <v/>
      </c>
      <c r="M157" s="37">
        <f>IF(A157="","",SUMIFS(Detalle_Pagos!$I$5:$I$2004,Detalle_Pagos!$A$5:$A$2004,A157,Detalle_Pagos!$J$5:$J$2004,"No"))</f>
        <v/>
      </c>
      <c r="N157" s="36">
        <f>IF(A157="","",IF(J157=0,"Sin detalle",IF(M157=0,"Pagada","Pendiente")))</f>
        <v/>
      </c>
      <c r="O157" s="36" t="n"/>
    </row>
    <row r="158">
      <c r="A158" s="38" t="n"/>
      <c r="B158" s="41" t="n"/>
      <c r="C158" s="38" t="n"/>
      <c r="D158" s="38" t="n"/>
      <c r="E158" s="38" t="n"/>
      <c r="F158" s="38" t="n"/>
      <c r="G158" s="39">
        <f>IF(A158="","",IFERROR(INDEX(Criterios!$B$4:$C$83,MATCH(D158,Criterios!$A$4:$A$83,0),IF(E158="Dentro horario",1,2)),""))</f>
        <v/>
      </c>
      <c r="H158" s="39" t="n"/>
      <c r="I158" s="39">
        <f>IF(A158="","",IF(OR(F158="",G158=""),"",F158*G158+N(H158)))</f>
        <v/>
      </c>
      <c r="J158" s="38">
        <f>IF(A158="","",COUNTIF(Detalle_Pagos!$A$5:$A$2004,A158))</f>
        <v/>
      </c>
      <c r="K158" s="39">
        <f>IF(A158="","",IF(OR(J158=0,I158=""),"",I158/J158))</f>
        <v/>
      </c>
      <c r="L158" s="39">
        <f>IF(A158="","",SUMIF(Detalle_Pagos!$A$5:$A$2004,A158,Detalle_Pagos!$I$5:$I$2004))</f>
        <v/>
      </c>
      <c r="M158" s="39">
        <f>IF(A158="","",SUMIFS(Detalle_Pagos!$I$5:$I$2004,Detalle_Pagos!$A$5:$A$2004,A158,Detalle_Pagos!$J$5:$J$2004,"No"))</f>
        <v/>
      </c>
      <c r="N158" s="38">
        <f>IF(A158="","",IF(J158=0,"Sin detalle",IF(M158=0,"Pagada","Pendiente")))</f>
        <v/>
      </c>
      <c r="O158" s="38" t="n"/>
    </row>
    <row r="159">
      <c r="A159" s="36" t="n"/>
      <c r="B159" s="40" t="n"/>
      <c r="C159" s="36" t="n"/>
      <c r="D159" s="36" t="n"/>
      <c r="E159" s="36" t="n"/>
      <c r="F159" s="36" t="n"/>
      <c r="G159" s="37">
        <f>IF(A159="","",IFERROR(INDEX(Criterios!$B$4:$C$83,MATCH(D159,Criterios!$A$4:$A$83,0),IF(E159="Dentro horario",1,2)),""))</f>
        <v/>
      </c>
      <c r="H159" s="37" t="n"/>
      <c r="I159" s="37">
        <f>IF(A159="","",IF(OR(F159="",G159=""),"",F159*G159+N(H159)))</f>
        <v/>
      </c>
      <c r="J159" s="36">
        <f>IF(A159="","",COUNTIF(Detalle_Pagos!$A$5:$A$2004,A159))</f>
        <v/>
      </c>
      <c r="K159" s="37">
        <f>IF(A159="","",IF(OR(J159=0,I159=""),"",I159/J159))</f>
        <v/>
      </c>
      <c r="L159" s="37">
        <f>IF(A159="","",SUMIF(Detalle_Pagos!$A$5:$A$2004,A159,Detalle_Pagos!$I$5:$I$2004))</f>
        <v/>
      </c>
      <c r="M159" s="37">
        <f>IF(A159="","",SUMIFS(Detalle_Pagos!$I$5:$I$2004,Detalle_Pagos!$A$5:$A$2004,A159,Detalle_Pagos!$J$5:$J$2004,"No"))</f>
        <v/>
      </c>
      <c r="N159" s="36">
        <f>IF(A159="","",IF(J159=0,"Sin detalle",IF(M159=0,"Pagada","Pendiente")))</f>
        <v/>
      </c>
      <c r="O159" s="36" t="n"/>
    </row>
    <row r="160">
      <c r="A160" s="38" t="n"/>
      <c r="B160" s="41" t="n"/>
      <c r="C160" s="38" t="n"/>
      <c r="D160" s="38" t="n"/>
      <c r="E160" s="38" t="n"/>
      <c r="F160" s="38" t="n"/>
      <c r="G160" s="39">
        <f>IF(A160="","",IFERROR(INDEX(Criterios!$B$4:$C$83,MATCH(D160,Criterios!$A$4:$A$83,0),IF(E160="Dentro horario",1,2)),""))</f>
        <v/>
      </c>
      <c r="H160" s="39" t="n"/>
      <c r="I160" s="39">
        <f>IF(A160="","",IF(OR(F160="",G160=""),"",F160*G160+N(H160)))</f>
        <v/>
      </c>
      <c r="J160" s="38">
        <f>IF(A160="","",COUNTIF(Detalle_Pagos!$A$5:$A$2004,A160))</f>
        <v/>
      </c>
      <c r="K160" s="39">
        <f>IF(A160="","",IF(OR(J160=0,I160=""),"",I160/J160))</f>
        <v/>
      </c>
      <c r="L160" s="39">
        <f>IF(A160="","",SUMIF(Detalle_Pagos!$A$5:$A$2004,A160,Detalle_Pagos!$I$5:$I$2004))</f>
        <v/>
      </c>
      <c r="M160" s="39">
        <f>IF(A160="","",SUMIFS(Detalle_Pagos!$I$5:$I$2004,Detalle_Pagos!$A$5:$A$2004,A160,Detalle_Pagos!$J$5:$J$2004,"No"))</f>
        <v/>
      </c>
      <c r="N160" s="38">
        <f>IF(A160="","",IF(J160=0,"Sin detalle",IF(M160=0,"Pagada","Pendiente")))</f>
        <v/>
      </c>
      <c r="O160" s="38" t="n"/>
    </row>
    <row r="161">
      <c r="A161" s="36" t="n"/>
      <c r="B161" s="40" t="n"/>
      <c r="C161" s="36" t="n"/>
      <c r="D161" s="36" t="n"/>
      <c r="E161" s="36" t="n"/>
      <c r="F161" s="36" t="n"/>
      <c r="G161" s="37">
        <f>IF(A161="","",IFERROR(INDEX(Criterios!$B$4:$C$83,MATCH(D161,Criterios!$A$4:$A$83,0),IF(E161="Dentro horario",1,2)),""))</f>
        <v/>
      </c>
      <c r="H161" s="37" t="n"/>
      <c r="I161" s="37">
        <f>IF(A161="","",IF(OR(F161="",G161=""),"",F161*G161+N(H161)))</f>
        <v/>
      </c>
      <c r="J161" s="36">
        <f>IF(A161="","",COUNTIF(Detalle_Pagos!$A$5:$A$2004,A161))</f>
        <v/>
      </c>
      <c r="K161" s="37">
        <f>IF(A161="","",IF(OR(J161=0,I161=""),"",I161/J161))</f>
        <v/>
      </c>
      <c r="L161" s="37">
        <f>IF(A161="","",SUMIF(Detalle_Pagos!$A$5:$A$2004,A161,Detalle_Pagos!$I$5:$I$2004))</f>
        <v/>
      </c>
      <c r="M161" s="37">
        <f>IF(A161="","",SUMIFS(Detalle_Pagos!$I$5:$I$2004,Detalle_Pagos!$A$5:$A$2004,A161,Detalle_Pagos!$J$5:$J$2004,"No"))</f>
        <v/>
      </c>
      <c r="N161" s="36">
        <f>IF(A161="","",IF(J161=0,"Sin detalle",IF(M161=0,"Pagada","Pendiente")))</f>
        <v/>
      </c>
      <c r="O161" s="36" t="n"/>
    </row>
    <row r="162">
      <c r="A162" s="38" t="n"/>
      <c r="B162" s="41" t="n"/>
      <c r="C162" s="38" t="n"/>
      <c r="D162" s="38" t="n"/>
      <c r="E162" s="38" t="n"/>
      <c r="F162" s="38" t="n"/>
      <c r="G162" s="39">
        <f>IF(A162="","",IFERROR(INDEX(Criterios!$B$4:$C$83,MATCH(D162,Criterios!$A$4:$A$83,0),IF(E162="Dentro horario",1,2)),""))</f>
        <v/>
      </c>
      <c r="H162" s="39" t="n"/>
      <c r="I162" s="39">
        <f>IF(A162="","",IF(OR(F162="",G162=""),"",F162*G162+N(H162)))</f>
        <v/>
      </c>
      <c r="J162" s="38">
        <f>IF(A162="","",COUNTIF(Detalle_Pagos!$A$5:$A$2004,A162))</f>
        <v/>
      </c>
      <c r="K162" s="39">
        <f>IF(A162="","",IF(OR(J162=0,I162=""),"",I162/J162))</f>
        <v/>
      </c>
      <c r="L162" s="39">
        <f>IF(A162="","",SUMIF(Detalle_Pagos!$A$5:$A$2004,A162,Detalle_Pagos!$I$5:$I$2004))</f>
        <v/>
      </c>
      <c r="M162" s="39">
        <f>IF(A162="","",SUMIFS(Detalle_Pagos!$I$5:$I$2004,Detalle_Pagos!$A$5:$A$2004,A162,Detalle_Pagos!$J$5:$J$2004,"No"))</f>
        <v/>
      </c>
      <c r="N162" s="38">
        <f>IF(A162="","",IF(J162=0,"Sin detalle",IF(M162=0,"Pagada","Pendiente")))</f>
        <v/>
      </c>
      <c r="O162" s="38" t="n"/>
    </row>
    <row r="163">
      <c r="A163" s="36" t="n"/>
      <c r="B163" s="40" t="n"/>
      <c r="C163" s="36" t="n"/>
      <c r="D163" s="36" t="n"/>
      <c r="E163" s="36" t="n"/>
      <c r="F163" s="36" t="n"/>
      <c r="G163" s="37">
        <f>IF(A163="","",IFERROR(INDEX(Criterios!$B$4:$C$83,MATCH(D163,Criterios!$A$4:$A$83,0),IF(E163="Dentro horario",1,2)),""))</f>
        <v/>
      </c>
      <c r="H163" s="37" t="n"/>
      <c r="I163" s="37">
        <f>IF(A163="","",IF(OR(F163="",G163=""),"",F163*G163+N(H163)))</f>
        <v/>
      </c>
      <c r="J163" s="36">
        <f>IF(A163="","",COUNTIF(Detalle_Pagos!$A$5:$A$2004,A163))</f>
        <v/>
      </c>
      <c r="K163" s="37">
        <f>IF(A163="","",IF(OR(J163=0,I163=""),"",I163/J163))</f>
        <v/>
      </c>
      <c r="L163" s="37">
        <f>IF(A163="","",SUMIF(Detalle_Pagos!$A$5:$A$2004,A163,Detalle_Pagos!$I$5:$I$2004))</f>
        <v/>
      </c>
      <c r="M163" s="37">
        <f>IF(A163="","",SUMIFS(Detalle_Pagos!$I$5:$I$2004,Detalle_Pagos!$A$5:$A$2004,A163,Detalle_Pagos!$J$5:$J$2004,"No"))</f>
        <v/>
      </c>
      <c r="N163" s="36">
        <f>IF(A163="","",IF(J163=0,"Sin detalle",IF(M163=0,"Pagada","Pendiente")))</f>
        <v/>
      </c>
      <c r="O163" s="36" t="n"/>
    </row>
    <row r="164">
      <c r="A164" s="38" t="n"/>
      <c r="B164" s="41" t="n"/>
      <c r="C164" s="38" t="n"/>
      <c r="D164" s="38" t="n"/>
      <c r="E164" s="38" t="n"/>
      <c r="F164" s="38" t="n"/>
      <c r="G164" s="39">
        <f>IF(A164="","",IFERROR(INDEX(Criterios!$B$4:$C$83,MATCH(D164,Criterios!$A$4:$A$83,0),IF(E164="Dentro horario",1,2)),""))</f>
        <v/>
      </c>
      <c r="H164" s="39" t="n"/>
      <c r="I164" s="39">
        <f>IF(A164="","",IF(OR(F164="",G164=""),"",F164*G164+N(H164)))</f>
        <v/>
      </c>
      <c r="J164" s="38">
        <f>IF(A164="","",COUNTIF(Detalle_Pagos!$A$5:$A$2004,A164))</f>
        <v/>
      </c>
      <c r="K164" s="39">
        <f>IF(A164="","",IF(OR(J164=0,I164=""),"",I164/J164))</f>
        <v/>
      </c>
      <c r="L164" s="39">
        <f>IF(A164="","",SUMIF(Detalle_Pagos!$A$5:$A$2004,A164,Detalle_Pagos!$I$5:$I$2004))</f>
        <v/>
      </c>
      <c r="M164" s="39">
        <f>IF(A164="","",SUMIFS(Detalle_Pagos!$I$5:$I$2004,Detalle_Pagos!$A$5:$A$2004,A164,Detalle_Pagos!$J$5:$J$2004,"No"))</f>
        <v/>
      </c>
      <c r="N164" s="38">
        <f>IF(A164="","",IF(J164=0,"Sin detalle",IF(M164=0,"Pagada","Pendiente")))</f>
        <v/>
      </c>
      <c r="O164" s="38" t="n"/>
    </row>
    <row r="165">
      <c r="A165" s="36" t="n"/>
      <c r="B165" s="40" t="n"/>
      <c r="C165" s="36" t="n"/>
      <c r="D165" s="36" t="n"/>
      <c r="E165" s="36" t="n"/>
      <c r="F165" s="36" t="n"/>
      <c r="G165" s="37">
        <f>IF(A165="","",IFERROR(INDEX(Criterios!$B$4:$C$83,MATCH(D165,Criterios!$A$4:$A$83,0),IF(E165="Dentro horario",1,2)),""))</f>
        <v/>
      </c>
      <c r="H165" s="37" t="n"/>
      <c r="I165" s="37">
        <f>IF(A165="","",IF(OR(F165="",G165=""),"",F165*G165+N(H165)))</f>
        <v/>
      </c>
      <c r="J165" s="36">
        <f>IF(A165="","",COUNTIF(Detalle_Pagos!$A$5:$A$2004,A165))</f>
        <v/>
      </c>
      <c r="K165" s="37">
        <f>IF(A165="","",IF(OR(J165=0,I165=""),"",I165/J165))</f>
        <v/>
      </c>
      <c r="L165" s="37">
        <f>IF(A165="","",SUMIF(Detalle_Pagos!$A$5:$A$2004,A165,Detalle_Pagos!$I$5:$I$2004))</f>
        <v/>
      </c>
      <c r="M165" s="37">
        <f>IF(A165="","",SUMIFS(Detalle_Pagos!$I$5:$I$2004,Detalle_Pagos!$A$5:$A$2004,A165,Detalle_Pagos!$J$5:$J$2004,"No"))</f>
        <v/>
      </c>
      <c r="N165" s="36">
        <f>IF(A165="","",IF(J165=0,"Sin detalle",IF(M165=0,"Pagada","Pendiente")))</f>
        <v/>
      </c>
      <c r="O165" s="36" t="n"/>
    </row>
    <row r="166">
      <c r="A166" s="38" t="n"/>
      <c r="B166" s="41" t="n"/>
      <c r="C166" s="38" t="n"/>
      <c r="D166" s="38" t="n"/>
      <c r="E166" s="38" t="n"/>
      <c r="F166" s="38" t="n"/>
      <c r="G166" s="39">
        <f>IF(A166="","",IFERROR(INDEX(Criterios!$B$4:$C$83,MATCH(D166,Criterios!$A$4:$A$83,0),IF(E166="Dentro horario",1,2)),""))</f>
        <v/>
      </c>
      <c r="H166" s="39" t="n"/>
      <c r="I166" s="39">
        <f>IF(A166="","",IF(OR(F166="",G166=""),"",F166*G166+N(H166)))</f>
        <v/>
      </c>
      <c r="J166" s="38">
        <f>IF(A166="","",COUNTIF(Detalle_Pagos!$A$5:$A$2004,A166))</f>
        <v/>
      </c>
      <c r="K166" s="39">
        <f>IF(A166="","",IF(OR(J166=0,I166=""),"",I166/J166))</f>
        <v/>
      </c>
      <c r="L166" s="39">
        <f>IF(A166="","",SUMIF(Detalle_Pagos!$A$5:$A$2004,A166,Detalle_Pagos!$I$5:$I$2004))</f>
        <v/>
      </c>
      <c r="M166" s="39">
        <f>IF(A166="","",SUMIFS(Detalle_Pagos!$I$5:$I$2004,Detalle_Pagos!$A$5:$A$2004,A166,Detalle_Pagos!$J$5:$J$2004,"No"))</f>
        <v/>
      </c>
      <c r="N166" s="38">
        <f>IF(A166="","",IF(J166=0,"Sin detalle",IF(M166=0,"Pagada","Pendiente")))</f>
        <v/>
      </c>
      <c r="O166" s="38" t="n"/>
    </row>
    <row r="167">
      <c r="A167" s="36" t="n"/>
      <c r="B167" s="40" t="n"/>
      <c r="C167" s="36" t="n"/>
      <c r="D167" s="36" t="n"/>
      <c r="E167" s="36" t="n"/>
      <c r="F167" s="36" t="n"/>
      <c r="G167" s="37">
        <f>IF(A167="","",IFERROR(INDEX(Criterios!$B$4:$C$83,MATCH(D167,Criterios!$A$4:$A$83,0),IF(E167="Dentro horario",1,2)),""))</f>
        <v/>
      </c>
      <c r="H167" s="37" t="n"/>
      <c r="I167" s="37">
        <f>IF(A167="","",IF(OR(F167="",G167=""),"",F167*G167+N(H167)))</f>
        <v/>
      </c>
      <c r="J167" s="36">
        <f>IF(A167="","",COUNTIF(Detalle_Pagos!$A$5:$A$2004,A167))</f>
        <v/>
      </c>
      <c r="K167" s="37">
        <f>IF(A167="","",IF(OR(J167=0,I167=""),"",I167/J167))</f>
        <v/>
      </c>
      <c r="L167" s="37">
        <f>IF(A167="","",SUMIF(Detalle_Pagos!$A$5:$A$2004,A167,Detalle_Pagos!$I$5:$I$2004))</f>
        <v/>
      </c>
      <c r="M167" s="37">
        <f>IF(A167="","",SUMIFS(Detalle_Pagos!$I$5:$I$2004,Detalle_Pagos!$A$5:$A$2004,A167,Detalle_Pagos!$J$5:$J$2004,"No"))</f>
        <v/>
      </c>
      <c r="N167" s="36">
        <f>IF(A167="","",IF(J167=0,"Sin detalle",IF(M167=0,"Pagada","Pendiente")))</f>
        <v/>
      </c>
      <c r="O167" s="36" t="n"/>
    </row>
    <row r="168">
      <c r="A168" s="38" t="n"/>
      <c r="B168" s="41" t="n"/>
      <c r="C168" s="38" t="n"/>
      <c r="D168" s="38" t="n"/>
      <c r="E168" s="38" t="n"/>
      <c r="F168" s="38" t="n"/>
      <c r="G168" s="39">
        <f>IF(A168="","",IFERROR(INDEX(Criterios!$B$4:$C$83,MATCH(D168,Criterios!$A$4:$A$83,0),IF(E168="Dentro horario",1,2)),""))</f>
        <v/>
      </c>
      <c r="H168" s="39" t="n"/>
      <c r="I168" s="39">
        <f>IF(A168="","",IF(OR(F168="",G168=""),"",F168*G168+N(H168)))</f>
        <v/>
      </c>
      <c r="J168" s="38">
        <f>IF(A168="","",COUNTIF(Detalle_Pagos!$A$5:$A$2004,A168))</f>
        <v/>
      </c>
      <c r="K168" s="39">
        <f>IF(A168="","",IF(OR(J168=0,I168=""),"",I168/J168))</f>
        <v/>
      </c>
      <c r="L168" s="39">
        <f>IF(A168="","",SUMIF(Detalle_Pagos!$A$5:$A$2004,A168,Detalle_Pagos!$I$5:$I$2004))</f>
        <v/>
      </c>
      <c r="M168" s="39">
        <f>IF(A168="","",SUMIFS(Detalle_Pagos!$I$5:$I$2004,Detalle_Pagos!$A$5:$A$2004,A168,Detalle_Pagos!$J$5:$J$2004,"No"))</f>
        <v/>
      </c>
      <c r="N168" s="38">
        <f>IF(A168="","",IF(J168=0,"Sin detalle",IF(M168=0,"Pagada","Pendiente")))</f>
        <v/>
      </c>
      <c r="O168" s="38" t="n"/>
    </row>
    <row r="169">
      <c r="A169" s="36" t="n"/>
      <c r="B169" s="40" t="n"/>
      <c r="C169" s="36" t="n"/>
      <c r="D169" s="36" t="n"/>
      <c r="E169" s="36" t="n"/>
      <c r="F169" s="36" t="n"/>
      <c r="G169" s="37">
        <f>IF(A169="","",IFERROR(INDEX(Criterios!$B$4:$C$83,MATCH(D169,Criterios!$A$4:$A$83,0),IF(E169="Dentro horario",1,2)),""))</f>
        <v/>
      </c>
      <c r="H169" s="37" t="n"/>
      <c r="I169" s="37">
        <f>IF(A169="","",IF(OR(F169="",G169=""),"",F169*G169+N(H169)))</f>
        <v/>
      </c>
      <c r="J169" s="36">
        <f>IF(A169="","",COUNTIF(Detalle_Pagos!$A$5:$A$2004,A169))</f>
        <v/>
      </c>
      <c r="K169" s="37">
        <f>IF(A169="","",IF(OR(J169=0,I169=""),"",I169/J169))</f>
        <v/>
      </c>
      <c r="L169" s="37">
        <f>IF(A169="","",SUMIF(Detalle_Pagos!$A$5:$A$2004,A169,Detalle_Pagos!$I$5:$I$2004))</f>
        <v/>
      </c>
      <c r="M169" s="37">
        <f>IF(A169="","",SUMIFS(Detalle_Pagos!$I$5:$I$2004,Detalle_Pagos!$A$5:$A$2004,A169,Detalle_Pagos!$J$5:$J$2004,"No"))</f>
        <v/>
      </c>
      <c r="N169" s="36">
        <f>IF(A169="","",IF(J169=0,"Sin detalle",IF(M169=0,"Pagada","Pendiente")))</f>
        <v/>
      </c>
      <c r="O169" s="36" t="n"/>
    </row>
    <row r="170">
      <c r="A170" s="38" t="n"/>
      <c r="B170" s="41" t="n"/>
      <c r="C170" s="38" t="n"/>
      <c r="D170" s="38" t="n"/>
      <c r="E170" s="38" t="n"/>
      <c r="F170" s="38" t="n"/>
      <c r="G170" s="39">
        <f>IF(A170="","",IFERROR(INDEX(Criterios!$B$4:$C$83,MATCH(D170,Criterios!$A$4:$A$83,0),IF(E170="Dentro horario",1,2)),""))</f>
        <v/>
      </c>
      <c r="H170" s="39" t="n"/>
      <c r="I170" s="39">
        <f>IF(A170="","",IF(OR(F170="",G170=""),"",F170*G170+N(H170)))</f>
        <v/>
      </c>
      <c r="J170" s="38">
        <f>IF(A170="","",COUNTIF(Detalle_Pagos!$A$5:$A$2004,A170))</f>
        <v/>
      </c>
      <c r="K170" s="39">
        <f>IF(A170="","",IF(OR(J170=0,I170=""),"",I170/J170))</f>
        <v/>
      </c>
      <c r="L170" s="39">
        <f>IF(A170="","",SUMIF(Detalle_Pagos!$A$5:$A$2004,A170,Detalle_Pagos!$I$5:$I$2004))</f>
        <v/>
      </c>
      <c r="M170" s="39">
        <f>IF(A170="","",SUMIFS(Detalle_Pagos!$I$5:$I$2004,Detalle_Pagos!$A$5:$A$2004,A170,Detalle_Pagos!$J$5:$J$2004,"No"))</f>
        <v/>
      </c>
      <c r="N170" s="38">
        <f>IF(A170="","",IF(J170=0,"Sin detalle",IF(M170=0,"Pagada","Pendiente")))</f>
        <v/>
      </c>
      <c r="O170" s="38" t="n"/>
    </row>
    <row r="171">
      <c r="A171" s="36" t="n"/>
      <c r="B171" s="40" t="n"/>
      <c r="C171" s="36" t="n"/>
      <c r="D171" s="36" t="n"/>
      <c r="E171" s="36" t="n"/>
      <c r="F171" s="36" t="n"/>
      <c r="G171" s="37">
        <f>IF(A171="","",IFERROR(INDEX(Criterios!$B$4:$C$83,MATCH(D171,Criterios!$A$4:$A$83,0),IF(E171="Dentro horario",1,2)),""))</f>
        <v/>
      </c>
      <c r="H171" s="37" t="n"/>
      <c r="I171" s="37">
        <f>IF(A171="","",IF(OR(F171="",G171=""),"",F171*G171+N(H171)))</f>
        <v/>
      </c>
      <c r="J171" s="36">
        <f>IF(A171="","",COUNTIF(Detalle_Pagos!$A$5:$A$2004,A171))</f>
        <v/>
      </c>
      <c r="K171" s="37">
        <f>IF(A171="","",IF(OR(J171=0,I171=""),"",I171/J171))</f>
        <v/>
      </c>
      <c r="L171" s="37">
        <f>IF(A171="","",SUMIF(Detalle_Pagos!$A$5:$A$2004,A171,Detalle_Pagos!$I$5:$I$2004))</f>
        <v/>
      </c>
      <c r="M171" s="37">
        <f>IF(A171="","",SUMIFS(Detalle_Pagos!$I$5:$I$2004,Detalle_Pagos!$A$5:$A$2004,A171,Detalle_Pagos!$J$5:$J$2004,"No"))</f>
        <v/>
      </c>
      <c r="N171" s="36">
        <f>IF(A171="","",IF(J171=0,"Sin detalle",IF(M171=0,"Pagada","Pendiente")))</f>
        <v/>
      </c>
      <c r="O171" s="36" t="n"/>
    </row>
    <row r="172">
      <c r="A172" s="38" t="n"/>
      <c r="B172" s="41" t="n"/>
      <c r="C172" s="38" t="n"/>
      <c r="D172" s="38" t="n"/>
      <c r="E172" s="38" t="n"/>
      <c r="F172" s="38" t="n"/>
      <c r="G172" s="39">
        <f>IF(A172="","",IFERROR(INDEX(Criterios!$B$4:$C$83,MATCH(D172,Criterios!$A$4:$A$83,0),IF(E172="Dentro horario",1,2)),""))</f>
        <v/>
      </c>
      <c r="H172" s="39" t="n"/>
      <c r="I172" s="39">
        <f>IF(A172="","",IF(OR(F172="",G172=""),"",F172*G172+N(H172)))</f>
        <v/>
      </c>
      <c r="J172" s="38">
        <f>IF(A172="","",COUNTIF(Detalle_Pagos!$A$5:$A$2004,A172))</f>
        <v/>
      </c>
      <c r="K172" s="39">
        <f>IF(A172="","",IF(OR(J172=0,I172=""),"",I172/J172))</f>
        <v/>
      </c>
      <c r="L172" s="39">
        <f>IF(A172="","",SUMIF(Detalle_Pagos!$A$5:$A$2004,A172,Detalle_Pagos!$I$5:$I$2004))</f>
        <v/>
      </c>
      <c r="M172" s="39">
        <f>IF(A172="","",SUMIFS(Detalle_Pagos!$I$5:$I$2004,Detalle_Pagos!$A$5:$A$2004,A172,Detalle_Pagos!$J$5:$J$2004,"No"))</f>
        <v/>
      </c>
      <c r="N172" s="38">
        <f>IF(A172="","",IF(J172=0,"Sin detalle",IF(M172=0,"Pagada","Pendiente")))</f>
        <v/>
      </c>
      <c r="O172" s="38" t="n"/>
    </row>
    <row r="173">
      <c r="A173" s="36" t="n"/>
      <c r="B173" s="40" t="n"/>
      <c r="C173" s="36" t="n"/>
      <c r="D173" s="36" t="n"/>
      <c r="E173" s="36" t="n"/>
      <c r="F173" s="36" t="n"/>
      <c r="G173" s="37">
        <f>IF(A173="","",IFERROR(INDEX(Criterios!$B$4:$C$83,MATCH(D173,Criterios!$A$4:$A$83,0),IF(E173="Dentro horario",1,2)),""))</f>
        <v/>
      </c>
      <c r="H173" s="37" t="n"/>
      <c r="I173" s="37">
        <f>IF(A173="","",IF(OR(F173="",G173=""),"",F173*G173+N(H173)))</f>
        <v/>
      </c>
      <c r="J173" s="36">
        <f>IF(A173="","",COUNTIF(Detalle_Pagos!$A$5:$A$2004,A173))</f>
        <v/>
      </c>
      <c r="K173" s="37">
        <f>IF(A173="","",IF(OR(J173=0,I173=""),"",I173/J173))</f>
        <v/>
      </c>
      <c r="L173" s="37">
        <f>IF(A173="","",SUMIF(Detalle_Pagos!$A$5:$A$2004,A173,Detalle_Pagos!$I$5:$I$2004))</f>
        <v/>
      </c>
      <c r="M173" s="37">
        <f>IF(A173="","",SUMIFS(Detalle_Pagos!$I$5:$I$2004,Detalle_Pagos!$A$5:$A$2004,A173,Detalle_Pagos!$J$5:$J$2004,"No"))</f>
        <v/>
      </c>
      <c r="N173" s="36">
        <f>IF(A173="","",IF(J173=0,"Sin detalle",IF(M173=0,"Pagada","Pendiente")))</f>
        <v/>
      </c>
      <c r="O173" s="36" t="n"/>
    </row>
    <row r="174">
      <c r="A174" s="38" t="n"/>
      <c r="B174" s="41" t="n"/>
      <c r="C174" s="38" t="n"/>
      <c r="D174" s="38" t="n"/>
      <c r="E174" s="38" t="n"/>
      <c r="F174" s="38" t="n"/>
      <c r="G174" s="39">
        <f>IF(A174="","",IFERROR(INDEX(Criterios!$B$4:$C$83,MATCH(D174,Criterios!$A$4:$A$83,0),IF(E174="Dentro horario",1,2)),""))</f>
        <v/>
      </c>
      <c r="H174" s="39" t="n"/>
      <c r="I174" s="39">
        <f>IF(A174="","",IF(OR(F174="",G174=""),"",F174*G174+N(H174)))</f>
        <v/>
      </c>
      <c r="J174" s="38">
        <f>IF(A174="","",COUNTIF(Detalle_Pagos!$A$5:$A$2004,A174))</f>
        <v/>
      </c>
      <c r="K174" s="39">
        <f>IF(A174="","",IF(OR(J174=0,I174=""),"",I174/J174))</f>
        <v/>
      </c>
      <c r="L174" s="39">
        <f>IF(A174="","",SUMIF(Detalle_Pagos!$A$5:$A$2004,A174,Detalle_Pagos!$I$5:$I$2004))</f>
        <v/>
      </c>
      <c r="M174" s="39">
        <f>IF(A174="","",SUMIFS(Detalle_Pagos!$I$5:$I$2004,Detalle_Pagos!$A$5:$A$2004,A174,Detalle_Pagos!$J$5:$J$2004,"No"))</f>
        <v/>
      </c>
      <c r="N174" s="38">
        <f>IF(A174="","",IF(J174=0,"Sin detalle",IF(M174=0,"Pagada","Pendiente")))</f>
        <v/>
      </c>
      <c r="O174" s="38" t="n"/>
    </row>
    <row r="175">
      <c r="A175" s="36" t="n"/>
      <c r="B175" s="40" t="n"/>
      <c r="C175" s="36" t="n"/>
      <c r="D175" s="36" t="n"/>
      <c r="E175" s="36" t="n"/>
      <c r="F175" s="36" t="n"/>
      <c r="G175" s="37">
        <f>IF(A175="","",IFERROR(INDEX(Criterios!$B$4:$C$83,MATCH(D175,Criterios!$A$4:$A$83,0),IF(E175="Dentro horario",1,2)),""))</f>
        <v/>
      </c>
      <c r="H175" s="37" t="n"/>
      <c r="I175" s="37">
        <f>IF(A175="","",IF(OR(F175="",G175=""),"",F175*G175+N(H175)))</f>
        <v/>
      </c>
      <c r="J175" s="36">
        <f>IF(A175="","",COUNTIF(Detalle_Pagos!$A$5:$A$2004,A175))</f>
        <v/>
      </c>
      <c r="K175" s="37">
        <f>IF(A175="","",IF(OR(J175=0,I175=""),"",I175/J175))</f>
        <v/>
      </c>
      <c r="L175" s="37">
        <f>IF(A175="","",SUMIF(Detalle_Pagos!$A$5:$A$2004,A175,Detalle_Pagos!$I$5:$I$2004))</f>
        <v/>
      </c>
      <c r="M175" s="37">
        <f>IF(A175="","",SUMIFS(Detalle_Pagos!$I$5:$I$2004,Detalle_Pagos!$A$5:$A$2004,A175,Detalle_Pagos!$J$5:$J$2004,"No"))</f>
        <v/>
      </c>
      <c r="N175" s="36">
        <f>IF(A175="","",IF(J175=0,"Sin detalle",IF(M175=0,"Pagada","Pendiente")))</f>
        <v/>
      </c>
      <c r="O175" s="36" t="n"/>
    </row>
    <row r="176">
      <c r="A176" s="38" t="n"/>
      <c r="B176" s="41" t="n"/>
      <c r="C176" s="38" t="n"/>
      <c r="D176" s="38" t="n"/>
      <c r="E176" s="38" t="n"/>
      <c r="F176" s="38" t="n"/>
      <c r="G176" s="39">
        <f>IF(A176="","",IFERROR(INDEX(Criterios!$B$4:$C$83,MATCH(D176,Criterios!$A$4:$A$83,0),IF(E176="Dentro horario",1,2)),""))</f>
        <v/>
      </c>
      <c r="H176" s="39" t="n"/>
      <c r="I176" s="39">
        <f>IF(A176="","",IF(OR(F176="",G176=""),"",F176*G176+N(H176)))</f>
        <v/>
      </c>
      <c r="J176" s="38">
        <f>IF(A176="","",COUNTIF(Detalle_Pagos!$A$5:$A$2004,A176))</f>
        <v/>
      </c>
      <c r="K176" s="39">
        <f>IF(A176="","",IF(OR(J176=0,I176=""),"",I176/J176))</f>
        <v/>
      </c>
      <c r="L176" s="39">
        <f>IF(A176="","",SUMIF(Detalle_Pagos!$A$5:$A$2004,A176,Detalle_Pagos!$I$5:$I$2004))</f>
        <v/>
      </c>
      <c r="M176" s="39">
        <f>IF(A176="","",SUMIFS(Detalle_Pagos!$I$5:$I$2004,Detalle_Pagos!$A$5:$A$2004,A176,Detalle_Pagos!$J$5:$J$2004,"No"))</f>
        <v/>
      </c>
      <c r="N176" s="38">
        <f>IF(A176="","",IF(J176=0,"Sin detalle",IF(M176=0,"Pagada","Pendiente")))</f>
        <v/>
      </c>
      <c r="O176" s="38" t="n"/>
    </row>
    <row r="177">
      <c r="A177" s="36" t="n"/>
      <c r="B177" s="40" t="n"/>
      <c r="C177" s="36" t="n"/>
      <c r="D177" s="36" t="n"/>
      <c r="E177" s="36" t="n"/>
      <c r="F177" s="36" t="n"/>
      <c r="G177" s="37">
        <f>IF(A177="","",IFERROR(INDEX(Criterios!$B$4:$C$83,MATCH(D177,Criterios!$A$4:$A$83,0),IF(E177="Dentro horario",1,2)),""))</f>
        <v/>
      </c>
      <c r="H177" s="37" t="n"/>
      <c r="I177" s="37">
        <f>IF(A177="","",IF(OR(F177="",G177=""),"",F177*G177+N(H177)))</f>
        <v/>
      </c>
      <c r="J177" s="36">
        <f>IF(A177="","",COUNTIF(Detalle_Pagos!$A$5:$A$2004,A177))</f>
        <v/>
      </c>
      <c r="K177" s="37">
        <f>IF(A177="","",IF(OR(J177=0,I177=""),"",I177/J177))</f>
        <v/>
      </c>
      <c r="L177" s="37">
        <f>IF(A177="","",SUMIF(Detalle_Pagos!$A$5:$A$2004,A177,Detalle_Pagos!$I$5:$I$2004))</f>
        <v/>
      </c>
      <c r="M177" s="37">
        <f>IF(A177="","",SUMIFS(Detalle_Pagos!$I$5:$I$2004,Detalle_Pagos!$A$5:$A$2004,A177,Detalle_Pagos!$J$5:$J$2004,"No"))</f>
        <v/>
      </c>
      <c r="N177" s="36">
        <f>IF(A177="","",IF(J177=0,"Sin detalle",IF(M177=0,"Pagada","Pendiente")))</f>
        <v/>
      </c>
      <c r="O177" s="36" t="n"/>
    </row>
    <row r="178">
      <c r="A178" s="38" t="n"/>
      <c r="B178" s="41" t="n"/>
      <c r="C178" s="38" t="n"/>
      <c r="D178" s="38" t="n"/>
      <c r="E178" s="38" t="n"/>
      <c r="F178" s="38" t="n"/>
      <c r="G178" s="39">
        <f>IF(A178="","",IFERROR(INDEX(Criterios!$B$4:$C$83,MATCH(D178,Criterios!$A$4:$A$83,0),IF(E178="Dentro horario",1,2)),""))</f>
        <v/>
      </c>
      <c r="H178" s="39" t="n"/>
      <c r="I178" s="39">
        <f>IF(A178="","",IF(OR(F178="",G178=""),"",F178*G178+N(H178)))</f>
        <v/>
      </c>
      <c r="J178" s="38">
        <f>IF(A178="","",COUNTIF(Detalle_Pagos!$A$5:$A$2004,A178))</f>
        <v/>
      </c>
      <c r="K178" s="39">
        <f>IF(A178="","",IF(OR(J178=0,I178=""),"",I178/J178))</f>
        <v/>
      </c>
      <c r="L178" s="39">
        <f>IF(A178="","",SUMIF(Detalle_Pagos!$A$5:$A$2004,A178,Detalle_Pagos!$I$5:$I$2004))</f>
        <v/>
      </c>
      <c r="M178" s="39">
        <f>IF(A178="","",SUMIFS(Detalle_Pagos!$I$5:$I$2004,Detalle_Pagos!$A$5:$A$2004,A178,Detalle_Pagos!$J$5:$J$2004,"No"))</f>
        <v/>
      </c>
      <c r="N178" s="38">
        <f>IF(A178="","",IF(J178=0,"Sin detalle",IF(M178=0,"Pagada","Pendiente")))</f>
        <v/>
      </c>
      <c r="O178" s="38" t="n"/>
    </row>
    <row r="179">
      <c r="A179" s="36" t="n"/>
      <c r="B179" s="40" t="n"/>
      <c r="C179" s="36" t="n"/>
      <c r="D179" s="36" t="n"/>
      <c r="E179" s="36" t="n"/>
      <c r="F179" s="36" t="n"/>
      <c r="G179" s="37">
        <f>IF(A179="","",IFERROR(INDEX(Criterios!$B$4:$C$83,MATCH(D179,Criterios!$A$4:$A$83,0),IF(E179="Dentro horario",1,2)),""))</f>
        <v/>
      </c>
      <c r="H179" s="37" t="n"/>
      <c r="I179" s="37">
        <f>IF(A179="","",IF(OR(F179="",G179=""),"",F179*G179+N(H179)))</f>
        <v/>
      </c>
      <c r="J179" s="36">
        <f>IF(A179="","",COUNTIF(Detalle_Pagos!$A$5:$A$2004,A179))</f>
        <v/>
      </c>
      <c r="K179" s="37">
        <f>IF(A179="","",IF(OR(J179=0,I179=""),"",I179/J179))</f>
        <v/>
      </c>
      <c r="L179" s="37">
        <f>IF(A179="","",SUMIF(Detalle_Pagos!$A$5:$A$2004,A179,Detalle_Pagos!$I$5:$I$2004))</f>
        <v/>
      </c>
      <c r="M179" s="37">
        <f>IF(A179="","",SUMIFS(Detalle_Pagos!$I$5:$I$2004,Detalle_Pagos!$A$5:$A$2004,A179,Detalle_Pagos!$J$5:$J$2004,"No"))</f>
        <v/>
      </c>
      <c r="N179" s="36">
        <f>IF(A179="","",IF(J179=0,"Sin detalle",IF(M179=0,"Pagada","Pendiente")))</f>
        <v/>
      </c>
      <c r="O179" s="36" t="n"/>
    </row>
    <row r="180">
      <c r="A180" s="38" t="n"/>
      <c r="B180" s="41" t="n"/>
      <c r="C180" s="38" t="n"/>
      <c r="D180" s="38" t="n"/>
      <c r="E180" s="38" t="n"/>
      <c r="F180" s="38" t="n"/>
      <c r="G180" s="39">
        <f>IF(A180="","",IFERROR(INDEX(Criterios!$B$4:$C$83,MATCH(D180,Criterios!$A$4:$A$83,0),IF(E180="Dentro horario",1,2)),""))</f>
        <v/>
      </c>
      <c r="H180" s="39" t="n"/>
      <c r="I180" s="39">
        <f>IF(A180="","",IF(OR(F180="",G180=""),"",F180*G180+N(H180)))</f>
        <v/>
      </c>
      <c r="J180" s="38">
        <f>IF(A180="","",COUNTIF(Detalle_Pagos!$A$5:$A$2004,A180))</f>
        <v/>
      </c>
      <c r="K180" s="39">
        <f>IF(A180="","",IF(OR(J180=0,I180=""),"",I180/J180))</f>
        <v/>
      </c>
      <c r="L180" s="39">
        <f>IF(A180="","",SUMIF(Detalle_Pagos!$A$5:$A$2004,A180,Detalle_Pagos!$I$5:$I$2004))</f>
        <v/>
      </c>
      <c r="M180" s="39">
        <f>IF(A180="","",SUMIFS(Detalle_Pagos!$I$5:$I$2004,Detalle_Pagos!$A$5:$A$2004,A180,Detalle_Pagos!$J$5:$J$2004,"No"))</f>
        <v/>
      </c>
      <c r="N180" s="38">
        <f>IF(A180="","",IF(J180=0,"Sin detalle",IF(M180=0,"Pagada","Pendiente")))</f>
        <v/>
      </c>
      <c r="O180" s="38" t="n"/>
    </row>
    <row r="181">
      <c r="A181" s="36" t="n"/>
      <c r="B181" s="40" t="n"/>
      <c r="C181" s="36" t="n"/>
      <c r="D181" s="36" t="n"/>
      <c r="E181" s="36" t="n"/>
      <c r="F181" s="36" t="n"/>
      <c r="G181" s="37">
        <f>IF(A181="","",IFERROR(INDEX(Criterios!$B$4:$C$83,MATCH(D181,Criterios!$A$4:$A$83,0),IF(E181="Dentro horario",1,2)),""))</f>
        <v/>
      </c>
      <c r="H181" s="37" t="n"/>
      <c r="I181" s="37">
        <f>IF(A181="","",IF(OR(F181="",G181=""),"",F181*G181+N(H181)))</f>
        <v/>
      </c>
      <c r="J181" s="36">
        <f>IF(A181="","",COUNTIF(Detalle_Pagos!$A$5:$A$2004,A181))</f>
        <v/>
      </c>
      <c r="K181" s="37">
        <f>IF(A181="","",IF(OR(J181=0,I181=""),"",I181/J181))</f>
        <v/>
      </c>
      <c r="L181" s="37">
        <f>IF(A181="","",SUMIF(Detalle_Pagos!$A$5:$A$2004,A181,Detalle_Pagos!$I$5:$I$2004))</f>
        <v/>
      </c>
      <c r="M181" s="37">
        <f>IF(A181="","",SUMIFS(Detalle_Pagos!$I$5:$I$2004,Detalle_Pagos!$A$5:$A$2004,A181,Detalle_Pagos!$J$5:$J$2004,"No"))</f>
        <v/>
      </c>
      <c r="N181" s="36">
        <f>IF(A181="","",IF(J181=0,"Sin detalle",IF(M181=0,"Pagada","Pendiente")))</f>
        <v/>
      </c>
      <c r="O181" s="36" t="n"/>
    </row>
    <row r="182">
      <c r="A182" s="38" t="n"/>
      <c r="B182" s="41" t="n"/>
      <c r="C182" s="38" t="n"/>
      <c r="D182" s="38" t="n"/>
      <c r="E182" s="38" t="n"/>
      <c r="F182" s="38" t="n"/>
      <c r="G182" s="39">
        <f>IF(A182="","",IFERROR(INDEX(Criterios!$B$4:$C$83,MATCH(D182,Criterios!$A$4:$A$83,0),IF(E182="Dentro horario",1,2)),""))</f>
        <v/>
      </c>
      <c r="H182" s="39" t="n"/>
      <c r="I182" s="39">
        <f>IF(A182="","",IF(OR(F182="",G182=""),"",F182*G182+N(H182)))</f>
        <v/>
      </c>
      <c r="J182" s="38">
        <f>IF(A182="","",COUNTIF(Detalle_Pagos!$A$5:$A$2004,A182))</f>
        <v/>
      </c>
      <c r="K182" s="39">
        <f>IF(A182="","",IF(OR(J182=0,I182=""),"",I182/J182))</f>
        <v/>
      </c>
      <c r="L182" s="39">
        <f>IF(A182="","",SUMIF(Detalle_Pagos!$A$5:$A$2004,A182,Detalle_Pagos!$I$5:$I$2004))</f>
        <v/>
      </c>
      <c r="M182" s="39">
        <f>IF(A182="","",SUMIFS(Detalle_Pagos!$I$5:$I$2004,Detalle_Pagos!$A$5:$A$2004,A182,Detalle_Pagos!$J$5:$J$2004,"No"))</f>
        <v/>
      </c>
      <c r="N182" s="38">
        <f>IF(A182="","",IF(J182=0,"Sin detalle",IF(M182=0,"Pagada","Pendiente")))</f>
        <v/>
      </c>
      <c r="O182" s="38" t="n"/>
    </row>
    <row r="183">
      <c r="A183" s="36" t="n"/>
      <c r="B183" s="40" t="n"/>
      <c r="C183" s="36" t="n"/>
      <c r="D183" s="36" t="n"/>
      <c r="E183" s="36" t="n"/>
      <c r="F183" s="36" t="n"/>
      <c r="G183" s="37">
        <f>IF(A183="","",IFERROR(INDEX(Criterios!$B$4:$C$83,MATCH(D183,Criterios!$A$4:$A$83,0),IF(E183="Dentro horario",1,2)),""))</f>
        <v/>
      </c>
      <c r="H183" s="37" t="n"/>
      <c r="I183" s="37">
        <f>IF(A183="","",IF(OR(F183="",G183=""),"",F183*G183+N(H183)))</f>
        <v/>
      </c>
      <c r="J183" s="36">
        <f>IF(A183="","",COUNTIF(Detalle_Pagos!$A$5:$A$2004,A183))</f>
        <v/>
      </c>
      <c r="K183" s="37">
        <f>IF(A183="","",IF(OR(J183=0,I183=""),"",I183/J183))</f>
        <v/>
      </c>
      <c r="L183" s="37">
        <f>IF(A183="","",SUMIF(Detalle_Pagos!$A$5:$A$2004,A183,Detalle_Pagos!$I$5:$I$2004))</f>
        <v/>
      </c>
      <c r="M183" s="37">
        <f>IF(A183="","",SUMIFS(Detalle_Pagos!$I$5:$I$2004,Detalle_Pagos!$A$5:$A$2004,A183,Detalle_Pagos!$J$5:$J$2004,"No"))</f>
        <v/>
      </c>
      <c r="N183" s="36">
        <f>IF(A183="","",IF(J183=0,"Sin detalle",IF(M183=0,"Pagada","Pendiente")))</f>
        <v/>
      </c>
      <c r="O183" s="36" t="n"/>
    </row>
    <row r="184">
      <c r="A184" s="38" t="n"/>
      <c r="B184" s="41" t="n"/>
      <c r="C184" s="38" t="n"/>
      <c r="D184" s="38" t="n"/>
      <c r="E184" s="38" t="n"/>
      <c r="F184" s="38" t="n"/>
      <c r="G184" s="39">
        <f>IF(A184="","",IFERROR(INDEX(Criterios!$B$4:$C$83,MATCH(D184,Criterios!$A$4:$A$83,0),IF(E184="Dentro horario",1,2)),""))</f>
        <v/>
      </c>
      <c r="H184" s="39" t="n"/>
      <c r="I184" s="39">
        <f>IF(A184="","",IF(OR(F184="",G184=""),"",F184*G184+N(H184)))</f>
        <v/>
      </c>
      <c r="J184" s="38">
        <f>IF(A184="","",COUNTIF(Detalle_Pagos!$A$5:$A$2004,A184))</f>
        <v/>
      </c>
      <c r="K184" s="39">
        <f>IF(A184="","",IF(OR(J184=0,I184=""),"",I184/J184))</f>
        <v/>
      </c>
      <c r="L184" s="39">
        <f>IF(A184="","",SUMIF(Detalle_Pagos!$A$5:$A$2004,A184,Detalle_Pagos!$I$5:$I$2004))</f>
        <v/>
      </c>
      <c r="M184" s="39">
        <f>IF(A184="","",SUMIFS(Detalle_Pagos!$I$5:$I$2004,Detalle_Pagos!$A$5:$A$2004,A184,Detalle_Pagos!$J$5:$J$2004,"No"))</f>
        <v/>
      </c>
      <c r="N184" s="38">
        <f>IF(A184="","",IF(J184=0,"Sin detalle",IF(M184=0,"Pagada","Pendiente")))</f>
        <v/>
      </c>
      <c r="O184" s="38" t="n"/>
    </row>
    <row r="185">
      <c r="A185" s="36" t="n"/>
      <c r="B185" s="40" t="n"/>
      <c r="C185" s="36" t="n"/>
      <c r="D185" s="36" t="n"/>
      <c r="E185" s="36" t="n"/>
      <c r="F185" s="36" t="n"/>
      <c r="G185" s="37">
        <f>IF(A185="","",IFERROR(INDEX(Criterios!$B$4:$C$83,MATCH(D185,Criterios!$A$4:$A$83,0),IF(E185="Dentro horario",1,2)),""))</f>
        <v/>
      </c>
      <c r="H185" s="37" t="n"/>
      <c r="I185" s="37">
        <f>IF(A185="","",IF(OR(F185="",G185=""),"",F185*G185+N(H185)))</f>
        <v/>
      </c>
      <c r="J185" s="36">
        <f>IF(A185="","",COUNTIF(Detalle_Pagos!$A$5:$A$2004,A185))</f>
        <v/>
      </c>
      <c r="K185" s="37">
        <f>IF(A185="","",IF(OR(J185=0,I185=""),"",I185/J185))</f>
        <v/>
      </c>
      <c r="L185" s="37">
        <f>IF(A185="","",SUMIF(Detalle_Pagos!$A$5:$A$2004,A185,Detalle_Pagos!$I$5:$I$2004))</f>
        <v/>
      </c>
      <c r="M185" s="37">
        <f>IF(A185="","",SUMIFS(Detalle_Pagos!$I$5:$I$2004,Detalle_Pagos!$A$5:$A$2004,A185,Detalle_Pagos!$J$5:$J$2004,"No"))</f>
        <v/>
      </c>
      <c r="N185" s="36">
        <f>IF(A185="","",IF(J185=0,"Sin detalle",IF(M185=0,"Pagada","Pendiente")))</f>
        <v/>
      </c>
      <c r="O185" s="36" t="n"/>
    </row>
    <row r="186">
      <c r="A186" s="38" t="n"/>
      <c r="B186" s="41" t="n"/>
      <c r="C186" s="38" t="n"/>
      <c r="D186" s="38" t="n"/>
      <c r="E186" s="38" t="n"/>
      <c r="F186" s="38" t="n"/>
      <c r="G186" s="39">
        <f>IF(A186="","",IFERROR(INDEX(Criterios!$B$4:$C$83,MATCH(D186,Criterios!$A$4:$A$83,0),IF(E186="Dentro horario",1,2)),""))</f>
        <v/>
      </c>
      <c r="H186" s="39" t="n"/>
      <c r="I186" s="39">
        <f>IF(A186="","",IF(OR(F186="",G186=""),"",F186*G186+N(H186)))</f>
        <v/>
      </c>
      <c r="J186" s="38">
        <f>IF(A186="","",COUNTIF(Detalle_Pagos!$A$5:$A$2004,A186))</f>
        <v/>
      </c>
      <c r="K186" s="39">
        <f>IF(A186="","",IF(OR(J186=0,I186=""),"",I186/J186))</f>
        <v/>
      </c>
      <c r="L186" s="39">
        <f>IF(A186="","",SUMIF(Detalle_Pagos!$A$5:$A$2004,A186,Detalle_Pagos!$I$5:$I$2004))</f>
        <v/>
      </c>
      <c r="M186" s="39">
        <f>IF(A186="","",SUMIFS(Detalle_Pagos!$I$5:$I$2004,Detalle_Pagos!$A$5:$A$2004,A186,Detalle_Pagos!$J$5:$J$2004,"No"))</f>
        <v/>
      </c>
      <c r="N186" s="38">
        <f>IF(A186="","",IF(J186=0,"Sin detalle",IF(M186=0,"Pagada","Pendiente")))</f>
        <v/>
      </c>
      <c r="O186" s="38" t="n"/>
    </row>
    <row r="187">
      <c r="A187" s="36" t="n"/>
      <c r="B187" s="40" t="n"/>
      <c r="C187" s="36" t="n"/>
      <c r="D187" s="36" t="n"/>
      <c r="E187" s="36" t="n"/>
      <c r="F187" s="36" t="n"/>
      <c r="G187" s="37">
        <f>IF(A187="","",IFERROR(INDEX(Criterios!$B$4:$C$83,MATCH(D187,Criterios!$A$4:$A$83,0),IF(E187="Dentro horario",1,2)),""))</f>
        <v/>
      </c>
      <c r="H187" s="37" t="n"/>
      <c r="I187" s="37">
        <f>IF(A187="","",IF(OR(F187="",G187=""),"",F187*G187+N(H187)))</f>
        <v/>
      </c>
      <c r="J187" s="36">
        <f>IF(A187="","",COUNTIF(Detalle_Pagos!$A$5:$A$2004,A187))</f>
        <v/>
      </c>
      <c r="K187" s="37">
        <f>IF(A187="","",IF(OR(J187=0,I187=""),"",I187/J187))</f>
        <v/>
      </c>
      <c r="L187" s="37">
        <f>IF(A187="","",SUMIF(Detalle_Pagos!$A$5:$A$2004,A187,Detalle_Pagos!$I$5:$I$2004))</f>
        <v/>
      </c>
      <c r="M187" s="37">
        <f>IF(A187="","",SUMIFS(Detalle_Pagos!$I$5:$I$2004,Detalle_Pagos!$A$5:$A$2004,A187,Detalle_Pagos!$J$5:$J$2004,"No"))</f>
        <v/>
      </c>
      <c r="N187" s="36">
        <f>IF(A187="","",IF(J187=0,"Sin detalle",IF(M187=0,"Pagada","Pendiente")))</f>
        <v/>
      </c>
      <c r="O187" s="36" t="n"/>
    </row>
    <row r="188">
      <c r="A188" s="38" t="n"/>
      <c r="B188" s="41" t="n"/>
      <c r="C188" s="38" t="n"/>
      <c r="D188" s="38" t="n"/>
      <c r="E188" s="38" t="n"/>
      <c r="F188" s="38" t="n"/>
      <c r="G188" s="39">
        <f>IF(A188="","",IFERROR(INDEX(Criterios!$B$4:$C$83,MATCH(D188,Criterios!$A$4:$A$83,0),IF(E188="Dentro horario",1,2)),""))</f>
        <v/>
      </c>
      <c r="H188" s="39" t="n"/>
      <c r="I188" s="39">
        <f>IF(A188="","",IF(OR(F188="",G188=""),"",F188*G188+N(H188)))</f>
        <v/>
      </c>
      <c r="J188" s="38">
        <f>IF(A188="","",COUNTIF(Detalle_Pagos!$A$5:$A$2004,A188))</f>
        <v/>
      </c>
      <c r="K188" s="39">
        <f>IF(A188="","",IF(OR(J188=0,I188=""),"",I188/J188))</f>
        <v/>
      </c>
      <c r="L188" s="39">
        <f>IF(A188="","",SUMIF(Detalle_Pagos!$A$5:$A$2004,A188,Detalle_Pagos!$I$5:$I$2004))</f>
        <v/>
      </c>
      <c r="M188" s="39">
        <f>IF(A188="","",SUMIFS(Detalle_Pagos!$I$5:$I$2004,Detalle_Pagos!$A$5:$A$2004,A188,Detalle_Pagos!$J$5:$J$2004,"No"))</f>
        <v/>
      </c>
      <c r="N188" s="38">
        <f>IF(A188="","",IF(J188=0,"Sin detalle",IF(M188=0,"Pagada","Pendiente")))</f>
        <v/>
      </c>
      <c r="O188" s="38" t="n"/>
    </row>
    <row r="189">
      <c r="A189" s="36" t="n"/>
      <c r="B189" s="40" t="n"/>
      <c r="C189" s="36" t="n"/>
      <c r="D189" s="36" t="n"/>
      <c r="E189" s="36" t="n"/>
      <c r="F189" s="36" t="n"/>
      <c r="G189" s="37">
        <f>IF(A189="","",IFERROR(INDEX(Criterios!$B$4:$C$83,MATCH(D189,Criterios!$A$4:$A$83,0),IF(E189="Dentro horario",1,2)),""))</f>
        <v/>
      </c>
      <c r="H189" s="37" t="n"/>
      <c r="I189" s="37">
        <f>IF(A189="","",IF(OR(F189="",G189=""),"",F189*G189+N(H189)))</f>
        <v/>
      </c>
      <c r="J189" s="36">
        <f>IF(A189="","",COUNTIF(Detalle_Pagos!$A$5:$A$2004,A189))</f>
        <v/>
      </c>
      <c r="K189" s="37">
        <f>IF(A189="","",IF(OR(J189=0,I189=""),"",I189/J189))</f>
        <v/>
      </c>
      <c r="L189" s="37">
        <f>IF(A189="","",SUMIF(Detalle_Pagos!$A$5:$A$2004,A189,Detalle_Pagos!$I$5:$I$2004))</f>
        <v/>
      </c>
      <c r="M189" s="37">
        <f>IF(A189="","",SUMIFS(Detalle_Pagos!$I$5:$I$2004,Detalle_Pagos!$A$5:$A$2004,A189,Detalle_Pagos!$J$5:$J$2004,"No"))</f>
        <v/>
      </c>
      <c r="N189" s="36">
        <f>IF(A189="","",IF(J189=0,"Sin detalle",IF(M189=0,"Pagada","Pendiente")))</f>
        <v/>
      </c>
      <c r="O189" s="36" t="n"/>
    </row>
    <row r="190">
      <c r="A190" s="38" t="n"/>
      <c r="B190" s="41" t="n"/>
      <c r="C190" s="38" t="n"/>
      <c r="D190" s="38" t="n"/>
      <c r="E190" s="38" t="n"/>
      <c r="F190" s="38" t="n"/>
      <c r="G190" s="39">
        <f>IF(A190="","",IFERROR(INDEX(Criterios!$B$4:$C$83,MATCH(D190,Criterios!$A$4:$A$83,0),IF(E190="Dentro horario",1,2)),""))</f>
        <v/>
      </c>
      <c r="H190" s="39" t="n"/>
      <c r="I190" s="39">
        <f>IF(A190="","",IF(OR(F190="",G190=""),"",F190*G190+N(H190)))</f>
        <v/>
      </c>
      <c r="J190" s="38">
        <f>IF(A190="","",COUNTIF(Detalle_Pagos!$A$5:$A$2004,A190))</f>
        <v/>
      </c>
      <c r="K190" s="39">
        <f>IF(A190="","",IF(OR(J190=0,I190=""),"",I190/J190))</f>
        <v/>
      </c>
      <c r="L190" s="39">
        <f>IF(A190="","",SUMIF(Detalle_Pagos!$A$5:$A$2004,A190,Detalle_Pagos!$I$5:$I$2004))</f>
        <v/>
      </c>
      <c r="M190" s="39">
        <f>IF(A190="","",SUMIFS(Detalle_Pagos!$I$5:$I$2004,Detalle_Pagos!$A$5:$A$2004,A190,Detalle_Pagos!$J$5:$J$2004,"No"))</f>
        <v/>
      </c>
      <c r="N190" s="38">
        <f>IF(A190="","",IF(J190=0,"Sin detalle",IF(M190=0,"Pagada","Pendiente")))</f>
        <v/>
      </c>
      <c r="O190" s="38" t="n"/>
    </row>
    <row r="191">
      <c r="A191" s="36" t="n"/>
      <c r="B191" s="40" t="n"/>
      <c r="C191" s="36" t="n"/>
      <c r="D191" s="36" t="n"/>
      <c r="E191" s="36" t="n"/>
      <c r="F191" s="36" t="n"/>
      <c r="G191" s="37">
        <f>IF(A191="","",IFERROR(INDEX(Criterios!$B$4:$C$83,MATCH(D191,Criterios!$A$4:$A$83,0),IF(E191="Dentro horario",1,2)),""))</f>
        <v/>
      </c>
      <c r="H191" s="37" t="n"/>
      <c r="I191" s="37">
        <f>IF(A191="","",IF(OR(F191="",G191=""),"",F191*G191+N(H191)))</f>
        <v/>
      </c>
      <c r="J191" s="36">
        <f>IF(A191="","",COUNTIF(Detalle_Pagos!$A$5:$A$2004,A191))</f>
        <v/>
      </c>
      <c r="K191" s="37">
        <f>IF(A191="","",IF(OR(J191=0,I191=""),"",I191/J191))</f>
        <v/>
      </c>
      <c r="L191" s="37">
        <f>IF(A191="","",SUMIF(Detalle_Pagos!$A$5:$A$2004,A191,Detalle_Pagos!$I$5:$I$2004))</f>
        <v/>
      </c>
      <c r="M191" s="37">
        <f>IF(A191="","",SUMIFS(Detalle_Pagos!$I$5:$I$2004,Detalle_Pagos!$A$5:$A$2004,A191,Detalle_Pagos!$J$5:$J$2004,"No"))</f>
        <v/>
      </c>
      <c r="N191" s="36">
        <f>IF(A191="","",IF(J191=0,"Sin detalle",IF(M191=0,"Pagada","Pendiente")))</f>
        <v/>
      </c>
      <c r="O191" s="36" t="n"/>
    </row>
    <row r="192">
      <c r="A192" s="38" t="n"/>
      <c r="B192" s="41" t="n"/>
      <c r="C192" s="38" t="n"/>
      <c r="D192" s="38" t="n"/>
      <c r="E192" s="38" t="n"/>
      <c r="F192" s="38" t="n"/>
      <c r="G192" s="39">
        <f>IF(A192="","",IFERROR(INDEX(Criterios!$B$4:$C$83,MATCH(D192,Criterios!$A$4:$A$83,0),IF(E192="Dentro horario",1,2)),""))</f>
        <v/>
      </c>
      <c r="H192" s="39" t="n"/>
      <c r="I192" s="39">
        <f>IF(A192="","",IF(OR(F192="",G192=""),"",F192*G192+N(H192)))</f>
        <v/>
      </c>
      <c r="J192" s="38">
        <f>IF(A192="","",COUNTIF(Detalle_Pagos!$A$5:$A$2004,A192))</f>
        <v/>
      </c>
      <c r="K192" s="39">
        <f>IF(A192="","",IF(OR(J192=0,I192=""),"",I192/J192))</f>
        <v/>
      </c>
      <c r="L192" s="39">
        <f>IF(A192="","",SUMIF(Detalle_Pagos!$A$5:$A$2004,A192,Detalle_Pagos!$I$5:$I$2004))</f>
        <v/>
      </c>
      <c r="M192" s="39">
        <f>IF(A192="","",SUMIFS(Detalle_Pagos!$I$5:$I$2004,Detalle_Pagos!$A$5:$A$2004,A192,Detalle_Pagos!$J$5:$J$2004,"No"))</f>
        <v/>
      </c>
      <c r="N192" s="38">
        <f>IF(A192="","",IF(J192=0,"Sin detalle",IF(M192=0,"Pagada","Pendiente")))</f>
        <v/>
      </c>
      <c r="O192" s="38" t="n"/>
    </row>
    <row r="193">
      <c r="A193" s="36" t="n"/>
      <c r="B193" s="40" t="n"/>
      <c r="C193" s="36" t="n"/>
      <c r="D193" s="36" t="n"/>
      <c r="E193" s="36" t="n"/>
      <c r="F193" s="36" t="n"/>
      <c r="G193" s="37">
        <f>IF(A193="","",IFERROR(INDEX(Criterios!$B$4:$C$83,MATCH(D193,Criterios!$A$4:$A$83,0),IF(E193="Dentro horario",1,2)),""))</f>
        <v/>
      </c>
      <c r="H193" s="37" t="n"/>
      <c r="I193" s="37">
        <f>IF(A193="","",IF(OR(F193="",G193=""),"",F193*G193+N(H193)))</f>
        <v/>
      </c>
      <c r="J193" s="36">
        <f>IF(A193="","",COUNTIF(Detalle_Pagos!$A$5:$A$2004,A193))</f>
        <v/>
      </c>
      <c r="K193" s="37">
        <f>IF(A193="","",IF(OR(J193=0,I193=""),"",I193/J193))</f>
        <v/>
      </c>
      <c r="L193" s="37">
        <f>IF(A193="","",SUMIF(Detalle_Pagos!$A$5:$A$2004,A193,Detalle_Pagos!$I$5:$I$2004))</f>
        <v/>
      </c>
      <c r="M193" s="37">
        <f>IF(A193="","",SUMIFS(Detalle_Pagos!$I$5:$I$2004,Detalle_Pagos!$A$5:$A$2004,A193,Detalle_Pagos!$J$5:$J$2004,"No"))</f>
        <v/>
      </c>
      <c r="N193" s="36">
        <f>IF(A193="","",IF(J193=0,"Sin detalle",IF(M193=0,"Pagada","Pendiente")))</f>
        <v/>
      </c>
      <c r="O193" s="36" t="n"/>
    </row>
    <row r="194">
      <c r="A194" s="38" t="n"/>
      <c r="B194" s="41" t="n"/>
      <c r="C194" s="38" t="n"/>
      <c r="D194" s="38" t="n"/>
      <c r="E194" s="38" t="n"/>
      <c r="F194" s="38" t="n"/>
      <c r="G194" s="39">
        <f>IF(A194="","",IFERROR(INDEX(Criterios!$B$4:$C$83,MATCH(D194,Criterios!$A$4:$A$83,0),IF(E194="Dentro horario",1,2)),""))</f>
        <v/>
      </c>
      <c r="H194" s="39" t="n"/>
      <c r="I194" s="39">
        <f>IF(A194="","",IF(OR(F194="",G194=""),"",F194*G194+N(H194)))</f>
        <v/>
      </c>
      <c r="J194" s="38">
        <f>IF(A194="","",COUNTIF(Detalle_Pagos!$A$5:$A$2004,A194))</f>
        <v/>
      </c>
      <c r="K194" s="39">
        <f>IF(A194="","",IF(OR(J194=0,I194=""),"",I194/J194))</f>
        <v/>
      </c>
      <c r="L194" s="39">
        <f>IF(A194="","",SUMIF(Detalle_Pagos!$A$5:$A$2004,A194,Detalle_Pagos!$I$5:$I$2004))</f>
        <v/>
      </c>
      <c r="M194" s="39">
        <f>IF(A194="","",SUMIFS(Detalle_Pagos!$I$5:$I$2004,Detalle_Pagos!$A$5:$A$2004,A194,Detalle_Pagos!$J$5:$J$2004,"No"))</f>
        <v/>
      </c>
      <c r="N194" s="38">
        <f>IF(A194="","",IF(J194=0,"Sin detalle",IF(M194=0,"Pagada","Pendiente")))</f>
        <v/>
      </c>
      <c r="O194" s="38" t="n"/>
    </row>
    <row r="195">
      <c r="A195" s="36" t="n"/>
      <c r="B195" s="40" t="n"/>
      <c r="C195" s="36" t="n"/>
      <c r="D195" s="36" t="n"/>
      <c r="E195" s="36" t="n"/>
      <c r="F195" s="36" t="n"/>
      <c r="G195" s="37">
        <f>IF(A195="","",IFERROR(INDEX(Criterios!$B$4:$C$83,MATCH(D195,Criterios!$A$4:$A$83,0),IF(E195="Dentro horario",1,2)),""))</f>
        <v/>
      </c>
      <c r="H195" s="37" t="n"/>
      <c r="I195" s="37">
        <f>IF(A195="","",IF(OR(F195="",G195=""),"",F195*G195+N(H195)))</f>
        <v/>
      </c>
      <c r="J195" s="36">
        <f>IF(A195="","",COUNTIF(Detalle_Pagos!$A$5:$A$2004,A195))</f>
        <v/>
      </c>
      <c r="K195" s="37">
        <f>IF(A195="","",IF(OR(J195=0,I195=""),"",I195/J195))</f>
        <v/>
      </c>
      <c r="L195" s="37">
        <f>IF(A195="","",SUMIF(Detalle_Pagos!$A$5:$A$2004,A195,Detalle_Pagos!$I$5:$I$2004))</f>
        <v/>
      </c>
      <c r="M195" s="37">
        <f>IF(A195="","",SUMIFS(Detalle_Pagos!$I$5:$I$2004,Detalle_Pagos!$A$5:$A$2004,A195,Detalle_Pagos!$J$5:$J$2004,"No"))</f>
        <v/>
      </c>
      <c r="N195" s="36">
        <f>IF(A195="","",IF(J195=0,"Sin detalle",IF(M195=0,"Pagada","Pendiente")))</f>
        <v/>
      </c>
      <c r="O195" s="36" t="n"/>
    </row>
    <row r="196">
      <c r="A196" s="38" t="n"/>
      <c r="B196" s="41" t="n"/>
      <c r="C196" s="38" t="n"/>
      <c r="D196" s="38" t="n"/>
      <c r="E196" s="38" t="n"/>
      <c r="F196" s="38" t="n"/>
      <c r="G196" s="39">
        <f>IF(A196="","",IFERROR(INDEX(Criterios!$B$4:$C$83,MATCH(D196,Criterios!$A$4:$A$83,0),IF(E196="Dentro horario",1,2)),""))</f>
        <v/>
      </c>
      <c r="H196" s="39" t="n"/>
      <c r="I196" s="39">
        <f>IF(A196="","",IF(OR(F196="",G196=""),"",F196*G196+N(H196)))</f>
        <v/>
      </c>
      <c r="J196" s="38">
        <f>IF(A196="","",COUNTIF(Detalle_Pagos!$A$5:$A$2004,A196))</f>
        <v/>
      </c>
      <c r="K196" s="39">
        <f>IF(A196="","",IF(OR(J196=0,I196=""),"",I196/J196))</f>
        <v/>
      </c>
      <c r="L196" s="39">
        <f>IF(A196="","",SUMIF(Detalle_Pagos!$A$5:$A$2004,A196,Detalle_Pagos!$I$5:$I$2004))</f>
        <v/>
      </c>
      <c r="M196" s="39">
        <f>IF(A196="","",SUMIFS(Detalle_Pagos!$I$5:$I$2004,Detalle_Pagos!$A$5:$A$2004,A196,Detalle_Pagos!$J$5:$J$2004,"No"))</f>
        <v/>
      </c>
      <c r="N196" s="38">
        <f>IF(A196="","",IF(J196=0,"Sin detalle",IF(M196=0,"Pagada","Pendiente")))</f>
        <v/>
      </c>
      <c r="O196" s="38" t="n"/>
    </row>
    <row r="197">
      <c r="A197" s="36" t="n"/>
      <c r="B197" s="40" t="n"/>
      <c r="C197" s="36" t="n"/>
      <c r="D197" s="36" t="n"/>
      <c r="E197" s="36" t="n"/>
      <c r="F197" s="36" t="n"/>
      <c r="G197" s="37">
        <f>IF(A197="","",IFERROR(INDEX(Criterios!$B$4:$C$83,MATCH(D197,Criterios!$A$4:$A$83,0),IF(E197="Dentro horario",1,2)),""))</f>
        <v/>
      </c>
      <c r="H197" s="37" t="n"/>
      <c r="I197" s="37">
        <f>IF(A197="","",IF(OR(F197="",G197=""),"",F197*G197+N(H197)))</f>
        <v/>
      </c>
      <c r="J197" s="36">
        <f>IF(A197="","",COUNTIF(Detalle_Pagos!$A$5:$A$2004,A197))</f>
        <v/>
      </c>
      <c r="K197" s="37">
        <f>IF(A197="","",IF(OR(J197=0,I197=""),"",I197/J197))</f>
        <v/>
      </c>
      <c r="L197" s="37">
        <f>IF(A197="","",SUMIF(Detalle_Pagos!$A$5:$A$2004,A197,Detalle_Pagos!$I$5:$I$2004))</f>
        <v/>
      </c>
      <c r="M197" s="37">
        <f>IF(A197="","",SUMIFS(Detalle_Pagos!$I$5:$I$2004,Detalle_Pagos!$A$5:$A$2004,A197,Detalle_Pagos!$J$5:$J$2004,"No"))</f>
        <v/>
      </c>
      <c r="N197" s="36">
        <f>IF(A197="","",IF(J197=0,"Sin detalle",IF(M197=0,"Pagada","Pendiente")))</f>
        <v/>
      </c>
      <c r="O197" s="36" t="n"/>
    </row>
    <row r="198">
      <c r="A198" s="38" t="n"/>
      <c r="B198" s="41" t="n"/>
      <c r="C198" s="38" t="n"/>
      <c r="D198" s="38" t="n"/>
      <c r="E198" s="38" t="n"/>
      <c r="F198" s="38" t="n"/>
      <c r="G198" s="39">
        <f>IF(A198="","",IFERROR(INDEX(Criterios!$B$4:$C$83,MATCH(D198,Criterios!$A$4:$A$83,0),IF(E198="Dentro horario",1,2)),""))</f>
        <v/>
      </c>
      <c r="H198" s="39" t="n"/>
      <c r="I198" s="39">
        <f>IF(A198="","",IF(OR(F198="",G198=""),"",F198*G198+N(H198)))</f>
        <v/>
      </c>
      <c r="J198" s="38">
        <f>IF(A198="","",COUNTIF(Detalle_Pagos!$A$5:$A$2004,A198))</f>
        <v/>
      </c>
      <c r="K198" s="39">
        <f>IF(A198="","",IF(OR(J198=0,I198=""),"",I198/J198))</f>
        <v/>
      </c>
      <c r="L198" s="39">
        <f>IF(A198="","",SUMIF(Detalle_Pagos!$A$5:$A$2004,A198,Detalle_Pagos!$I$5:$I$2004))</f>
        <v/>
      </c>
      <c r="M198" s="39">
        <f>IF(A198="","",SUMIFS(Detalle_Pagos!$I$5:$I$2004,Detalle_Pagos!$A$5:$A$2004,A198,Detalle_Pagos!$J$5:$J$2004,"No"))</f>
        <v/>
      </c>
      <c r="N198" s="38">
        <f>IF(A198="","",IF(J198=0,"Sin detalle",IF(M198=0,"Pagada","Pendiente")))</f>
        <v/>
      </c>
      <c r="O198" s="38" t="n"/>
    </row>
    <row r="199">
      <c r="A199" s="36" t="n"/>
      <c r="B199" s="40" t="n"/>
      <c r="C199" s="36" t="n"/>
      <c r="D199" s="36" t="n"/>
      <c r="E199" s="36" t="n"/>
      <c r="F199" s="36" t="n"/>
      <c r="G199" s="37">
        <f>IF(A199="","",IFERROR(INDEX(Criterios!$B$4:$C$83,MATCH(D199,Criterios!$A$4:$A$83,0),IF(E199="Dentro horario",1,2)),""))</f>
        <v/>
      </c>
      <c r="H199" s="37" t="n"/>
      <c r="I199" s="37">
        <f>IF(A199="","",IF(OR(F199="",G199=""),"",F199*G199+N(H199)))</f>
        <v/>
      </c>
      <c r="J199" s="36">
        <f>IF(A199="","",COUNTIF(Detalle_Pagos!$A$5:$A$2004,A199))</f>
        <v/>
      </c>
      <c r="K199" s="37">
        <f>IF(A199="","",IF(OR(J199=0,I199=""),"",I199/J199))</f>
        <v/>
      </c>
      <c r="L199" s="37">
        <f>IF(A199="","",SUMIF(Detalle_Pagos!$A$5:$A$2004,A199,Detalle_Pagos!$I$5:$I$2004))</f>
        <v/>
      </c>
      <c r="M199" s="37">
        <f>IF(A199="","",SUMIFS(Detalle_Pagos!$I$5:$I$2004,Detalle_Pagos!$A$5:$A$2004,A199,Detalle_Pagos!$J$5:$J$2004,"No"))</f>
        <v/>
      </c>
      <c r="N199" s="36">
        <f>IF(A199="","",IF(J199=0,"Sin detalle",IF(M199=0,"Pagada","Pendiente")))</f>
        <v/>
      </c>
      <c r="O199" s="36" t="n"/>
    </row>
    <row r="200">
      <c r="A200" s="38" t="n"/>
      <c r="B200" s="41" t="n"/>
      <c r="C200" s="38" t="n"/>
      <c r="D200" s="38" t="n"/>
      <c r="E200" s="38" t="n"/>
      <c r="F200" s="38" t="n"/>
      <c r="G200" s="39">
        <f>IF(A200="","",IFERROR(INDEX(Criterios!$B$4:$C$83,MATCH(D200,Criterios!$A$4:$A$83,0),IF(E200="Dentro horario",1,2)),""))</f>
        <v/>
      </c>
      <c r="H200" s="39" t="n"/>
      <c r="I200" s="39">
        <f>IF(A200="","",IF(OR(F200="",G200=""),"",F200*G200+N(H200)))</f>
        <v/>
      </c>
      <c r="J200" s="38">
        <f>IF(A200="","",COUNTIF(Detalle_Pagos!$A$5:$A$2004,A200))</f>
        <v/>
      </c>
      <c r="K200" s="39">
        <f>IF(A200="","",IF(OR(J200=0,I200=""),"",I200/J200))</f>
        <v/>
      </c>
      <c r="L200" s="39">
        <f>IF(A200="","",SUMIF(Detalle_Pagos!$A$5:$A$2004,A200,Detalle_Pagos!$I$5:$I$2004))</f>
        <v/>
      </c>
      <c r="M200" s="39">
        <f>IF(A200="","",SUMIFS(Detalle_Pagos!$I$5:$I$2004,Detalle_Pagos!$A$5:$A$2004,A200,Detalle_Pagos!$J$5:$J$2004,"No"))</f>
        <v/>
      </c>
      <c r="N200" s="38">
        <f>IF(A200="","",IF(J200=0,"Sin detalle",IF(M200=0,"Pagada","Pendiente")))</f>
        <v/>
      </c>
      <c r="O200" s="38" t="n"/>
    </row>
    <row r="201">
      <c r="A201" s="36" t="n"/>
      <c r="B201" s="40" t="n"/>
      <c r="C201" s="36" t="n"/>
      <c r="D201" s="36" t="n"/>
      <c r="E201" s="36" t="n"/>
      <c r="F201" s="36" t="n"/>
      <c r="G201" s="37">
        <f>IF(A201="","",IFERROR(INDEX(Criterios!$B$4:$C$83,MATCH(D201,Criterios!$A$4:$A$83,0),IF(E201="Dentro horario",1,2)),""))</f>
        <v/>
      </c>
      <c r="H201" s="37" t="n"/>
      <c r="I201" s="37">
        <f>IF(A201="","",IF(OR(F201="",G201=""),"",F201*G201+N(H201)))</f>
        <v/>
      </c>
      <c r="J201" s="36">
        <f>IF(A201="","",COUNTIF(Detalle_Pagos!$A$5:$A$2004,A201))</f>
        <v/>
      </c>
      <c r="K201" s="37">
        <f>IF(A201="","",IF(OR(J201=0,I201=""),"",I201/J201))</f>
        <v/>
      </c>
      <c r="L201" s="37">
        <f>IF(A201="","",SUMIF(Detalle_Pagos!$A$5:$A$2004,A201,Detalle_Pagos!$I$5:$I$2004))</f>
        <v/>
      </c>
      <c r="M201" s="37">
        <f>IF(A201="","",SUMIFS(Detalle_Pagos!$I$5:$I$2004,Detalle_Pagos!$A$5:$A$2004,A201,Detalle_Pagos!$J$5:$J$2004,"No"))</f>
        <v/>
      </c>
      <c r="N201" s="36">
        <f>IF(A201="","",IF(J201=0,"Sin detalle",IF(M201=0,"Pagada","Pendiente")))</f>
        <v/>
      </c>
      <c r="O201" s="36" t="n"/>
    </row>
    <row r="202">
      <c r="A202" s="38" t="n"/>
      <c r="B202" s="41" t="n"/>
      <c r="C202" s="38" t="n"/>
      <c r="D202" s="38" t="n"/>
      <c r="E202" s="38" t="n"/>
      <c r="F202" s="38" t="n"/>
      <c r="G202" s="39">
        <f>IF(A202="","",IFERROR(INDEX(Criterios!$B$4:$C$83,MATCH(D202,Criterios!$A$4:$A$83,0),IF(E202="Dentro horario",1,2)),""))</f>
        <v/>
      </c>
      <c r="H202" s="39" t="n"/>
      <c r="I202" s="39">
        <f>IF(A202="","",IF(OR(F202="",G202=""),"",F202*G202+N(H202)))</f>
        <v/>
      </c>
      <c r="J202" s="38">
        <f>IF(A202="","",COUNTIF(Detalle_Pagos!$A$5:$A$2004,A202))</f>
        <v/>
      </c>
      <c r="K202" s="39">
        <f>IF(A202="","",IF(OR(J202=0,I202=""),"",I202/J202))</f>
        <v/>
      </c>
      <c r="L202" s="39">
        <f>IF(A202="","",SUMIF(Detalle_Pagos!$A$5:$A$2004,A202,Detalle_Pagos!$I$5:$I$2004))</f>
        <v/>
      </c>
      <c r="M202" s="39">
        <f>IF(A202="","",SUMIFS(Detalle_Pagos!$I$5:$I$2004,Detalle_Pagos!$A$5:$A$2004,A202,Detalle_Pagos!$J$5:$J$2004,"No"))</f>
        <v/>
      </c>
      <c r="N202" s="38">
        <f>IF(A202="","",IF(J202=0,"Sin detalle",IF(M202=0,"Pagada","Pendiente")))</f>
        <v/>
      </c>
      <c r="O202" s="38" t="n"/>
    </row>
    <row r="203">
      <c r="A203" s="36" t="n"/>
      <c r="B203" s="40" t="n"/>
      <c r="C203" s="36" t="n"/>
      <c r="D203" s="36" t="n"/>
      <c r="E203" s="36" t="n"/>
      <c r="F203" s="36" t="n"/>
      <c r="G203" s="37">
        <f>IF(A203="","",IFERROR(INDEX(Criterios!$B$4:$C$83,MATCH(D203,Criterios!$A$4:$A$83,0),IF(E203="Dentro horario",1,2)),""))</f>
        <v/>
      </c>
      <c r="H203" s="37" t="n"/>
      <c r="I203" s="37">
        <f>IF(A203="","",IF(OR(F203="",G203=""),"",F203*G203+N(H203)))</f>
        <v/>
      </c>
      <c r="J203" s="36">
        <f>IF(A203="","",COUNTIF(Detalle_Pagos!$A$5:$A$2004,A203))</f>
        <v/>
      </c>
      <c r="K203" s="37">
        <f>IF(A203="","",IF(OR(J203=0,I203=""),"",I203/J203))</f>
        <v/>
      </c>
      <c r="L203" s="37">
        <f>IF(A203="","",SUMIF(Detalle_Pagos!$A$5:$A$2004,A203,Detalle_Pagos!$I$5:$I$2004))</f>
        <v/>
      </c>
      <c r="M203" s="37">
        <f>IF(A203="","",SUMIFS(Detalle_Pagos!$I$5:$I$2004,Detalle_Pagos!$A$5:$A$2004,A203,Detalle_Pagos!$J$5:$J$2004,"No"))</f>
        <v/>
      </c>
      <c r="N203" s="36">
        <f>IF(A203="","",IF(J203=0,"Sin detalle",IF(M203=0,"Pagada","Pendiente")))</f>
        <v/>
      </c>
      <c r="O203" s="36" t="n"/>
    </row>
    <row r="204">
      <c r="A204" s="38" t="n"/>
      <c r="B204" s="41" t="n"/>
      <c r="C204" s="38" t="n"/>
      <c r="D204" s="38" t="n"/>
      <c r="E204" s="38" t="n"/>
      <c r="F204" s="38" t="n"/>
      <c r="G204" s="39">
        <f>IF(A204="","",IFERROR(INDEX(Criterios!$B$4:$C$83,MATCH(D204,Criterios!$A$4:$A$83,0),IF(E204="Dentro horario",1,2)),""))</f>
        <v/>
      </c>
      <c r="H204" s="39" t="n"/>
      <c r="I204" s="39">
        <f>IF(A204="","",IF(OR(F204="",G204=""),"",F204*G204+N(H204)))</f>
        <v/>
      </c>
      <c r="J204" s="38">
        <f>IF(A204="","",COUNTIF(Detalle_Pagos!$A$5:$A$2004,A204))</f>
        <v/>
      </c>
      <c r="K204" s="39">
        <f>IF(A204="","",IF(OR(J204=0,I204=""),"",I204/J204))</f>
        <v/>
      </c>
      <c r="L204" s="39">
        <f>IF(A204="","",SUMIF(Detalle_Pagos!$A$5:$A$2004,A204,Detalle_Pagos!$I$5:$I$2004))</f>
        <v/>
      </c>
      <c r="M204" s="39">
        <f>IF(A204="","",SUMIFS(Detalle_Pagos!$I$5:$I$2004,Detalle_Pagos!$A$5:$A$2004,A204,Detalle_Pagos!$J$5:$J$2004,"No"))</f>
        <v/>
      </c>
      <c r="N204" s="38">
        <f>IF(A204="","",IF(J204=0,"Sin detalle",IF(M204=0,"Pagada","Pendiente")))</f>
        <v/>
      </c>
      <c r="O204" s="38" t="n"/>
    </row>
    <row r="205">
      <c r="A205" s="36" t="n"/>
      <c r="B205" s="40" t="n"/>
      <c r="C205" s="36" t="n"/>
      <c r="D205" s="36" t="n"/>
      <c r="E205" s="36" t="n"/>
      <c r="F205" s="36" t="n"/>
      <c r="G205" s="37">
        <f>IF(A205="","",IFERROR(INDEX(Criterios!$B$4:$C$83,MATCH(D205,Criterios!$A$4:$A$83,0),IF(E205="Dentro horario",1,2)),""))</f>
        <v/>
      </c>
      <c r="H205" s="37" t="n"/>
      <c r="I205" s="37">
        <f>IF(A205="","",IF(OR(F205="",G205=""),"",F205*G205+N(H205)))</f>
        <v/>
      </c>
      <c r="J205" s="36">
        <f>IF(A205="","",COUNTIF(Detalle_Pagos!$A$5:$A$2004,A205))</f>
        <v/>
      </c>
      <c r="K205" s="37">
        <f>IF(A205="","",IF(OR(J205=0,I205=""),"",I205/J205))</f>
        <v/>
      </c>
      <c r="L205" s="37">
        <f>IF(A205="","",SUMIF(Detalle_Pagos!$A$5:$A$2004,A205,Detalle_Pagos!$I$5:$I$2004))</f>
        <v/>
      </c>
      <c r="M205" s="37">
        <f>IF(A205="","",SUMIFS(Detalle_Pagos!$I$5:$I$2004,Detalle_Pagos!$A$5:$A$2004,A205,Detalle_Pagos!$J$5:$J$2004,"No"))</f>
        <v/>
      </c>
      <c r="N205" s="36">
        <f>IF(A205="","",IF(J205=0,"Sin detalle",IF(M205=0,"Pagada","Pendiente")))</f>
        <v/>
      </c>
      <c r="O205" s="36" t="n"/>
    </row>
    <row r="206">
      <c r="A206" s="38" t="n"/>
      <c r="B206" s="41" t="n"/>
      <c r="C206" s="38" t="n"/>
      <c r="D206" s="38" t="n"/>
      <c r="E206" s="38" t="n"/>
      <c r="F206" s="38" t="n"/>
      <c r="G206" s="39">
        <f>IF(A206="","",IFERROR(INDEX(Criterios!$B$4:$C$83,MATCH(D206,Criterios!$A$4:$A$83,0),IF(E206="Dentro horario",1,2)),""))</f>
        <v/>
      </c>
      <c r="H206" s="39" t="n"/>
      <c r="I206" s="39">
        <f>IF(A206="","",IF(OR(F206="",G206=""),"",F206*G206+N(H206)))</f>
        <v/>
      </c>
      <c r="J206" s="38">
        <f>IF(A206="","",COUNTIF(Detalle_Pagos!$A$5:$A$2004,A206))</f>
        <v/>
      </c>
      <c r="K206" s="39">
        <f>IF(A206="","",IF(OR(J206=0,I206=""),"",I206/J206))</f>
        <v/>
      </c>
      <c r="L206" s="39">
        <f>IF(A206="","",SUMIF(Detalle_Pagos!$A$5:$A$2004,A206,Detalle_Pagos!$I$5:$I$2004))</f>
        <v/>
      </c>
      <c r="M206" s="39">
        <f>IF(A206="","",SUMIFS(Detalle_Pagos!$I$5:$I$2004,Detalle_Pagos!$A$5:$A$2004,A206,Detalle_Pagos!$J$5:$J$2004,"No"))</f>
        <v/>
      </c>
      <c r="N206" s="38">
        <f>IF(A206="","",IF(J206=0,"Sin detalle",IF(M206=0,"Pagada","Pendiente")))</f>
        <v/>
      </c>
      <c r="O206" s="38" t="n"/>
    </row>
    <row r="207">
      <c r="A207" s="36" t="n"/>
      <c r="B207" s="40" t="n"/>
      <c r="C207" s="36" t="n"/>
      <c r="D207" s="36" t="n"/>
      <c r="E207" s="36" t="n"/>
      <c r="F207" s="36" t="n"/>
      <c r="G207" s="37">
        <f>IF(A207="","",IFERROR(INDEX(Criterios!$B$4:$C$83,MATCH(D207,Criterios!$A$4:$A$83,0),IF(E207="Dentro horario",1,2)),""))</f>
        <v/>
      </c>
      <c r="H207" s="37" t="n"/>
      <c r="I207" s="37">
        <f>IF(A207="","",IF(OR(F207="",G207=""),"",F207*G207+N(H207)))</f>
        <v/>
      </c>
      <c r="J207" s="36">
        <f>IF(A207="","",COUNTIF(Detalle_Pagos!$A$5:$A$2004,A207))</f>
        <v/>
      </c>
      <c r="K207" s="37">
        <f>IF(A207="","",IF(OR(J207=0,I207=""),"",I207/J207))</f>
        <v/>
      </c>
      <c r="L207" s="37">
        <f>IF(A207="","",SUMIF(Detalle_Pagos!$A$5:$A$2004,A207,Detalle_Pagos!$I$5:$I$2004))</f>
        <v/>
      </c>
      <c r="M207" s="37">
        <f>IF(A207="","",SUMIFS(Detalle_Pagos!$I$5:$I$2004,Detalle_Pagos!$A$5:$A$2004,A207,Detalle_Pagos!$J$5:$J$2004,"No"))</f>
        <v/>
      </c>
      <c r="N207" s="36">
        <f>IF(A207="","",IF(J207=0,"Sin detalle",IF(M207=0,"Pagada","Pendiente")))</f>
        <v/>
      </c>
      <c r="O207" s="36" t="n"/>
    </row>
    <row r="208">
      <c r="A208" s="38" t="n"/>
      <c r="B208" s="41" t="n"/>
      <c r="C208" s="38" t="n"/>
      <c r="D208" s="38" t="n"/>
      <c r="E208" s="38" t="n"/>
      <c r="F208" s="38" t="n"/>
      <c r="G208" s="39">
        <f>IF(A208="","",IFERROR(INDEX(Criterios!$B$4:$C$83,MATCH(D208,Criterios!$A$4:$A$83,0),IF(E208="Dentro horario",1,2)),""))</f>
        <v/>
      </c>
      <c r="H208" s="39" t="n"/>
      <c r="I208" s="39">
        <f>IF(A208="","",IF(OR(F208="",G208=""),"",F208*G208+N(H208)))</f>
        <v/>
      </c>
      <c r="J208" s="38">
        <f>IF(A208="","",COUNTIF(Detalle_Pagos!$A$5:$A$2004,A208))</f>
        <v/>
      </c>
      <c r="K208" s="39">
        <f>IF(A208="","",IF(OR(J208=0,I208=""),"",I208/J208))</f>
        <v/>
      </c>
      <c r="L208" s="39">
        <f>IF(A208="","",SUMIF(Detalle_Pagos!$A$5:$A$2004,A208,Detalle_Pagos!$I$5:$I$2004))</f>
        <v/>
      </c>
      <c r="M208" s="39">
        <f>IF(A208="","",SUMIFS(Detalle_Pagos!$I$5:$I$2004,Detalle_Pagos!$A$5:$A$2004,A208,Detalle_Pagos!$J$5:$J$2004,"No"))</f>
        <v/>
      </c>
      <c r="N208" s="38">
        <f>IF(A208="","",IF(J208=0,"Sin detalle",IF(M208=0,"Pagada","Pendiente")))</f>
        <v/>
      </c>
      <c r="O208" s="38" t="n"/>
    </row>
    <row r="209">
      <c r="A209" s="36" t="n"/>
      <c r="B209" s="40" t="n"/>
      <c r="C209" s="36" t="n"/>
      <c r="D209" s="36" t="n"/>
      <c r="E209" s="36" t="n"/>
      <c r="F209" s="36" t="n"/>
      <c r="G209" s="37">
        <f>IF(A209="","",IFERROR(INDEX(Criterios!$B$4:$C$83,MATCH(D209,Criterios!$A$4:$A$83,0),IF(E209="Dentro horario",1,2)),""))</f>
        <v/>
      </c>
      <c r="H209" s="37" t="n"/>
      <c r="I209" s="37">
        <f>IF(A209="","",IF(OR(F209="",G209=""),"",F209*G209+N(H209)))</f>
        <v/>
      </c>
      <c r="J209" s="36">
        <f>IF(A209="","",COUNTIF(Detalle_Pagos!$A$5:$A$2004,A209))</f>
        <v/>
      </c>
      <c r="K209" s="37">
        <f>IF(A209="","",IF(OR(J209=0,I209=""),"",I209/J209))</f>
        <v/>
      </c>
      <c r="L209" s="37">
        <f>IF(A209="","",SUMIF(Detalle_Pagos!$A$5:$A$2004,A209,Detalle_Pagos!$I$5:$I$2004))</f>
        <v/>
      </c>
      <c r="M209" s="37">
        <f>IF(A209="","",SUMIFS(Detalle_Pagos!$I$5:$I$2004,Detalle_Pagos!$A$5:$A$2004,A209,Detalle_Pagos!$J$5:$J$2004,"No"))</f>
        <v/>
      </c>
      <c r="N209" s="36">
        <f>IF(A209="","",IF(J209=0,"Sin detalle",IF(M209=0,"Pagada","Pendiente")))</f>
        <v/>
      </c>
      <c r="O209" s="36" t="n"/>
    </row>
    <row r="210">
      <c r="A210" s="38" t="n"/>
      <c r="B210" s="41" t="n"/>
      <c r="C210" s="38" t="n"/>
      <c r="D210" s="38" t="n"/>
      <c r="E210" s="38" t="n"/>
      <c r="F210" s="38" t="n"/>
      <c r="G210" s="39">
        <f>IF(A210="","",IFERROR(INDEX(Criterios!$B$4:$C$83,MATCH(D210,Criterios!$A$4:$A$83,0),IF(E210="Dentro horario",1,2)),""))</f>
        <v/>
      </c>
      <c r="H210" s="39" t="n"/>
      <c r="I210" s="39">
        <f>IF(A210="","",IF(OR(F210="",G210=""),"",F210*G210+N(H210)))</f>
        <v/>
      </c>
      <c r="J210" s="38">
        <f>IF(A210="","",COUNTIF(Detalle_Pagos!$A$5:$A$2004,A210))</f>
        <v/>
      </c>
      <c r="K210" s="39">
        <f>IF(A210="","",IF(OR(J210=0,I210=""),"",I210/J210))</f>
        <v/>
      </c>
      <c r="L210" s="39">
        <f>IF(A210="","",SUMIF(Detalle_Pagos!$A$5:$A$2004,A210,Detalle_Pagos!$I$5:$I$2004))</f>
        <v/>
      </c>
      <c r="M210" s="39">
        <f>IF(A210="","",SUMIFS(Detalle_Pagos!$I$5:$I$2004,Detalle_Pagos!$A$5:$A$2004,A210,Detalle_Pagos!$J$5:$J$2004,"No"))</f>
        <v/>
      </c>
      <c r="N210" s="38">
        <f>IF(A210="","",IF(J210=0,"Sin detalle",IF(M210=0,"Pagada","Pendiente")))</f>
        <v/>
      </c>
      <c r="O210" s="38" t="n"/>
    </row>
    <row r="211">
      <c r="A211" s="36" t="n"/>
      <c r="B211" s="40" t="n"/>
      <c r="C211" s="36" t="n"/>
      <c r="D211" s="36" t="n"/>
      <c r="E211" s="36" t="n"/>
      <c r="F211" s="36" t="n"/>
      <c r="G211" s="37">
        <f>IF(A211="","",IFERROR(INDEX(Criterios!$B$4:$C$83,MATCH(D211,Criterios!$A$4:$A$83,0),IF(E211="Dentro horario",1,2)),""))</f>
        <v/>
      </c>
      <c r="H211" s="37" t="n"/>
      <c r="I211" s="37">
        <f>IF(A211="","",IF(OR(F211="",G211=""),"",F211*G211+N(H211)))</f>
        <v/>
      </c>
      <c r="J211" s="36">
        <f>IF(A211="","",COUNTIF(Detalle_Pagos!$A$5:$A$2004,A211))</f>
        <v/>
      </c>
      <c r="K211" s="37">
        <f>IF(A211="","",IF(OR(J211=0,I211=""),"",I211/J211))</f>
        <v/>
      </c>
      <c r="L211" s="37">
        <f>IF(A211="","",SUMIF(Detalle_Pagos!$A$5:$A$2004,A211,Detalle_Pagos!$I$5:$I$2004))</f>
        <v/>
      </c>
      <c r="M211" s="37">
        <f>IF(A211="","",SUMIFS(Detalle_Pagos!$I$5:$I$2004,Detalle_Pagos!$A$5:$A$2004,A211,Detalle_Pagos!$J$5:$J$2004,"No"))</f>
        <v/>
      </c>
      <c r="N211" s="36">
        <f>IF(A211="","",IF(J211=0,"Sin detalle",IF(M211=0,"Pagada","Pendiente")))</f>
        <v/>
      </c>
      <c r="O211" s="36" t="n"/>
    </row>
    <row r="212">
      <c r="A212" s="38" t="n"/>
      <c r="B212" s="41" t="n"/>
      <c r="C212" s="38" t="n"/>
      <c r="D212" s="38" t="n"/>
      <c r="E212" s="38" t="n"/>
      <c r="F212" s="38" t="n"/>
      <c r="G212" s="39">
        <f>IF(A212="","",IFERROR(INDEX(Criterios!$B$4:$C$83,MATCH(D212,Criterios!$A$4:$A$83,0),IF(E212="Dentro horario",1,2)),""))</f>
        <v/>
      </c>
      <c r="H212" s="39" t="n"/>
      <c r="I212" s="39">
        <f>IF(A212="","",IF(OR(F212="",G212=""),"",F212*G212+N(H212)))</f>
        <v/>
      </c>
      <c r="J212" s="38">
        <f>IF(A212="","",COUNTIF(Detalle_Pagos!$A$5:$A$2004,A212))</f>
        <v/>
      </c>
      <c r="K212" s="39">
        <f>IF(A212="","",IF(OR(J212=0,I212=""),"",I212/J212))</f>
        <v/>
      </c>
      <c r="L212" s="39">
        <f>IF(A212="","",SUMIF(Detalle_Pagos!$A$5:$A$2004,A212,Detalle_Pagos!$I$5:$I$2004))</f>
        <v/>
      </c>
      <c r="M212" s="39">
        <f>IF(A212="","",SUMIFS(Detalle_Pagos!$I$5:$I$2004,Detalle_Pagos!$A$5:$A$2004,A212,Detalle_Pagos!$J$5:$J$2004,"No"))</f>
        <v/>
      </c>
      <c r="N212" s="38">
        <f>IF(A212="","",IF(J212=0,"Sin detalle",IF(M212=0,"Pagada","Pendiente")))</f>
        <v/>
      </c>
      <c r="O212" s="38" t="n"/>
    </row>
    <row r="213">
      <c r="A213" s="36" t="n"/>
      <c r="B213" s="40" t="n"/>
      <c r="C213" s="36" t="n"/>
      <c r="D213" s="36" t="n"/>
      <c r="E213" s="36" t="n"/>
      <c r="F213" s="36" t="n"/>
      <c r="G213" s="37">
        <f>IF(A213="","",IFERROR(INDEX(Criterios!$B$4:$C$83,MATCH(D213,Criterios!$A$4:$A$83,0),IF(E213="Dentro horario",1,2)),""))</f>
        <v/>
      </c>
      <c r="H213" s="37" t="n"/>
      <c r="I213" s="37">
        <f>IF(A213="","",IF(OR(F213="",G213=""),"",F213*G213+N(H213)))</f>
        <v/>
      </c>
      <c r="J213" s="36">
        <f>IF(A213="","",COUNTIF(Detalle_Pagos!$A$5:$A$2004,A213))</f>
        <v/>
      </c>
      <c r="K213" s="37">
        <f>IF(A213="","",IF(OR(J213=0,I213=""),"",I213/J213))</f>
        <v/>
      </c>
      <c r="L213" s="37">
        <f>IF(A213="","",SUMIF(Detalle_Pagos!$A$5:$A$2004,A213,Detalle_Pagos!$I$5:$I$2004))</f>
        <v/>
      </c>
      <c r="M213" s="37">
        <f>IF(A213="","",SUMIFS(Detalle_Pagos!$I$5:$I$2004,Detalle_Pagos!$A$5:$A$2004,A213,Detalle_Pagos!$J$5:$J$2004,"No"))</f>
        <v/>
      </c>
      <c r="N213" s="36">
        <f>IF(A213="","",IF(J213=0,"Sin detalle",IF(M213=0,"Pagada","Pendiente")))</f>
        <v/>
      </c>
      <c r="O213" s="36" t="n"/>
    </row>
    <row r="214">
      <c r="A214" s="38" t="n"/>
      <c r="B214" s="41" t="n"/>
      <c r="C214" s="38" t="n"/>
      <c r="D214" s="38" t="n"/>
      <c r="E214" s="38" t="n"/>
      <c r="F214" s="38" t="n"/>
      <c r="G214" s="39">
        <f>IF(A214="","",IFERROR(INDEX(Criterios!$B$4:$C$83,MATCH(D214,Criterios!$A$4:$A$83,0),IF(E214="Dentro horario",1,2)),""))</f>
        <v/>
      </c>
      <c r="H214" s="39" t="n"/>
      <c r="I214" s="39">
        <f>IF(A214="","",IF(OR(F214="",G214=""),"",F214*G214+N(H214)))</f>
        <v/>
      </c>
      <c r="J214" s="38">
        <f>IF(A214="","",COUNTIF(Detalle_Pagos!$A$5:$A$2004,A214))</f>
        <v/>
      </c>
      <c r="K214" s="39">
        <f>IF(A214="","",IF(OR(J214=0,I214=""),"",I214/J214))</f>
        <v/>
      </c>
      <c r="L214" s="39">
        <f>IF(A214="","",SUMIF(Detalle_Pagos!$A$5:$A$2004,A214,Detalle_Pagos!$I$5:$I$2004))</f>
        <v/>
      </c>
      <c r="M214" s="39">
        <f>IF(A214="","",SUMIFS(Detalle_Pagos!$I$5:$I$2004,Detalle_Pagos!$A$5:$A$2004,A214,Detalle_Pagos!$J$5:$J$2004,"No"))</f>
        <v/>
      </c>
      <c r="N214" s="38">
        <f>IF(A214="","",IF(J214=0,"Sin detalle",IF(M214=0,"Pagada","Pendiente")))</f>
        <v/>
      </c>
      <c r="O214" s="38" t="n"/>
    </row>
    <row r="215">
      <c r="A215" s="36" t="n"/>
      <c r="B215" s="40" t="n"/>
      <c r="C215" s="36" t="n"/>
      <c r="D215" s="36" t="n"/>
      <c r="E215" s="36" t="n"/>
      <c r="F215" s="36" t="n"/>
      <c r="G215" s="37">
        <f>IF(A215="","",IFERROR(INDEX(Criterios!$B$4:$C$83,MATCH(D215,Criterios!$A$4:$A$83,0),IF(E215="Dentro horario",1,2)),""))</f>
        <v/>
      </c>
      <c r="H215" s="37" t="n"/>
      <c r="I215" s="37">
        <f>IF(A215="","",IF(OR(F215="",G215=""),"",F215*G215+N(H215)))</f>
        <v/>
      </c>
      <c r="J215" s="36">
        <f>IF(A215="","",COUNTIF(Detalle_Pagos!$A$5:$A$2004,A215))</f>
        <v/>
      </c>
      <c r="K215" s="37">
        <f>IF(A215="","",IF(OR(J215=0,I215=""),"",I215/J215))</f>
        <v/>
      </c>
      <c r="L215" s="37">
        <f>IF(A215="","",SUMIF(Detalle_Pagos!$A$5:$A$2004,A215,Detalle_Pagos!$I$5:$I$2004))</f>
        <v/>
      </c>
      <c r="M215" s="37">
        <f>IF(A215="","",SUMIFS(Detalle_Pagos!$I$5:$I$2004,Detalle_Pagos!$A$5:$A$2004,A215,Detalle_Pagos!$J$5:$J$2004,"No"))</f>
        <v/>
      </c>
      <c r="N215" s="36">
        <f>IF(A215="","",IF(J215=0,"Sin detalle",IF(M215=0,"Pagada","Pendiente")))</f>
        <v/>
      </c>
      <c r="O215" s="36" t="n"/>
    </row>
    <row r="216">
      <c r="A216" s="38" t="n"/>
      <c r="B216" s="41" t="n"/>
      <c r="C216" s="38" t="n"/>
      <c r="D216" s="38" t="n"/>
      <c r="E216" s="38" t="n"/>
      <c r="F216" s="38" t="n"/>
      <c r="G216" s="39">
        <f>IF(A216="","",IFERROR(INDEX(Criterios!$B$4:$C$83,MATCH(D216,Criterios!$A$4:$A$83,0),IF(E216="Dentro horario",1,2)),""))</f>
        <v/>
      </c>
      <c r="H216" s="39" t="n"/>
      <c r="I216" s="39">
        <f>IF(A216="","",IF(OR(F216="",G216=""),"",F216*G216+N(H216)))</f>
        <v/>
      </c>
      <c r="J216" s="38">
        <f>IF(A216="","",COUNTIF(Detalle_Pagos!$A$5:$A$2004,A216))</f>
        <v/>
      </c>
      <c r="K216" s="39">
        <f>IF(A216="","",IF(OR(J216=0,I216=""),"",I216/J216))</f>
        <v/>
      </c>
      <c r="L216" s="39">
        <f>IF(A216="","",SUMIF(Detalle_Pagos!$A$5:$A$2004,A216,Detalle_Pagos!$I$5:$I$2004))</f>
        <v/>
      </c>
      <c r="M216" s="39">
        <f>IF(A216="","",SUMIFS(Detalle_Pagos!$I$5:$I$2004,Detalle_Pagos!$A$5:$A$2004,A216,Detalle_Pagos!$J$5:$J$2004,"No"))</f>
        <v/>
      </c>
      <c r="N216" s="38">
        <f>IF(A216="","",IF(J216=0,"Sin detalle",IF(M216=0,"Pagada","Pendiente")))</f>
        <v/>
      </c>
      <c r="O216" s="38" t="n"/>
    </row>
    <row r="217">
      <c r="A217" s="36" t="n"/>
      <c r="B217" s="40" t="n"/>
      <c r="C217" s="36" t="n"/>
      <c r="D217" s="36" t="n"/>
      <c r="E217" s="36" t="n"/>
      <c r="F217" s="36" t="n"/>
      <c r="G217" s="37">
        <f>IF(A217="","",IFERROR(INDEX(Criterios!$B$4:$C$83,MATCH(D217,Criterios!$A$4:$A$83,0),IF(E217="Dentro horario",1,2)),""))</f>
        <v/>
      </c>
      <c r="H217" s="37" t="n"/>
      <c r="I217" s="37">
        <f>IF(A217="","",IF(OR(F217="",G217=""),"",F217*G217+N(H217)))</f>
        <v/>
      </c>
      <c r="J217" s="36">
        <f>IF(A217="","",COUNTIF(Detalle_Pagos!$A$5:$A$2004,A217))</f>
        <v/>
      </c>
      <c r="K217" s="37">
        <f>IF(A217="","",IF(OR(J217=0,I217=""),"",I217/J217))</f>
        <v/>
      </c>
      <c r="L217" s="37">
        <f>IF(A217="","",SUMIF(Detalle_Pagos!$A$5:$A$2004,A217,Detalle_Pagos!$I$5:$I$2004))</f>
        <v/>
      </c>
      <c r="M217" s="37">
        <f>IF(A217="","",SUMIFS(Detalle_Pagos!$I$5:$I$2004,Detalle_Pagos!$A$5:$A$2004,A217,Detalle_Pagos!$J$5:$J$2004,"No"))</f>
        <v/>
      </c>
      <c r="N217" s="36">
        <f>IF(A217="","",IF(J217=0,"Sin detalle",IF(M217=0,"Pagada","Pendiente")))</f>
        <v/>
      </c>
      <c r="O217" s="36" t="n"/>
    </row>
    <row r="218">
      <c r="A218" s="38" t="n"/>
      <c r="B218" s="41" t="n"/>
      <c r="C218" s="38" t="n"/>
      <c r="D218" s="38" t="n"/>
      <c r="E218" s="38" t="n"/>
      <c r="F218" s="38" t="n"/>
      <c r="G218" s="39">
        <f>IF(A218="","",IFERROR(INDEX(Criterios!$B$4:$C$83,MATCH(D218,Criterios!$A$4:$A$83,0),IF(E218="Dentro horario",1,2)),""))</f>
        <v/>
      </c>
      <c r="H218" s="39" t="n"/>
      <c r="I218" s="39">
        <f>IF(A218="","",IF(OR(F218="",G218=""),"",F218*G218+N(H218)))</f>
        <v/>
      </c>
      <c r="J218" s="38">
        <f>IF(A218="","",COUNTIF(Detalle_Pagos!$A$5:$A$2004,A218))</f>
        <v/>
      </c>
      <c r="K218" s="39">
        <f>IF(A218="","",IF(OR(J218=0,I218=""),"",I218/J218))</f>
        <v/>
      </c>
      <c r="L218" s="39">
        <f>IF(A218="","",SUMIF(Detalle_Pagos!$A$5:$A$2004,A218,Detalle_Pagos!$I$5:$I$2004))</f>
        <v/>
      </c>
      <c r="M218" s="39">
        <f>IF(A218="","",SUMIFS(Detalle_Pagos!$I$5:$I$2004,Detalle_Pagos!$A$5:$A$2004,A218,Detalle_Pagos!$J$5:$J$2004,"No"))</f>
        <v/>
      </c>
      <c r="N218" s="38">
        <f>IF(A218="","",IF(J218=0,"Sin detalle",IF(M218=0,"Pagada","Pendiente")))</f>
        <v/>
      </c>
      <c r="O218" s="38" t="n"/>
    </row>
    <row r="219">
      <c r="A219" s="36" t="n"/>
      <c r="B219" s="40" t="n"/>
      <c r="C219" s="36" t="n"/>
      <c r="D219" s="36" t="n"/>
      <c r="E219" s="36" t="n"/>
      <c r="F219" s="36" t="n"/>
      <c r="G219" s="37">
        <f>IF(A219="","",IFERROR(INDEX(Criterios!$B$4:$C$83,MATCH(D219,Criterios!$A$4:$A$83,0),IF(E219="Dentro horario",1,2)),""))</f>
        <v/>
      </c>
      <c r="H219" s="37" t="n"/>
      <c r="I219" s="37">
        <f>IF(A219="","",IF(OR(F219="",G219=""),"",F219*G219+N(H219)))</f>
        <v/>
      </c>
      <c r="J219" s="36">
        <f>IF(A219="","",COUNTIF(Detalle_Pagos!$A$5:$A$2004,A219))</f>
        <v/>
      </c>
      <c r="K219" s="37">
        <f>IF(A219="","",IF(OR(J219=0,I219=""),"",I219/J219))</f>
        <v/>
      </c>
      <c r="L219" s="37">
        <f>IF(A219="","",SUMIF(Detalle_Pagos!$A$5:$A$2004,A219,Detalle_Pagos!$I$5:$I$2004))</f>
        <v/>
      </c>
      <c r="M219" s="37">
        <f>IF(A219="","",SUMIFS(Detalle_Pagos!$I$5:$I$2004,Detalle_Pagos!$A$5:$A$2004,A219,Detalle_Pagos!$J$5:$J$2004,"No"))</f>
        <v/>
      </c>
      <c r="N219" s="36">
        <f>IF(A219="","",IF(J219=0,"Sin detalle",IF(M219=0,"Pagada","Pendiente")))</f>
        <v/>
      </c>
      <c r="O219" s="36" t="n"/>
    </row>
    <row r="220">
      <c r="A220" s="38" t="n"/>
      <c r="B220" s="41" t="n"/>
      <c r="C220" s="38" t="n"/>
      <c r="D220" s="38" t="n"/>
      <c r="E220" s="38" t="n"/>
      <c r="F220" s="38" t="n"/>
      <c r="G220" s="39">
        <f>IF(A220="","",IFERROR(INDEX(Criterios!$B$4:$C$83,MATCH(D220,Criterios!$A$4:$A$83,0),IF(E220="Dentro horario",1,2)),""))</f>
        <v/>
      </c>
      <c r="H220" s="39" t="n"/>
      <c r="I220" s="39">
        <f>IF(A220="","",IF(OR(F220="",G220=""),"",F220*G220+N(H220)))</f>
        <v/>
      </c>
      <c r="J220" s="38">
        <f>IF(A220="","",COUNTIF(Detalle_Pagos!$A$5:$A$2004,A220))</f>
        <v/>
      </c>
      <c r="K220" s="39">
        <f>IF(A220="","",IF(OR(J220=0,I220=""),"",I220/J220))</f>
        <v/>
      </c>
      <c r="L220" s="39">
        <f>IF(A220="","",SUMIF(Detalle_Pagos!$A$5:$A$2004,A220,Detalle_Pagos!$I$5:$I$2004))</f>
        <v/>
      </c>
      <c r="M220" s="39">
        <f>IF(A220="","",SUMIFS(Detalle_Pagos!$I$5:$I$2004,Detalle_Pagos!$A$5:$A$2004,A220,Detalle_Pagos!$J$5:$J$2004,"No"))</f>
        <v/>
      </c>
      <c r="N220" s="38">
        <f>IF(A220="","",IF(J220=0,"Sin detalle",IF(M220=0,"Pagada","Pendiente")))</f>
        <v/>
      </c>
      <c r="O220" s="38" t="n"/>
    </row>
    <row r="221">
      <c r="A221" s="36" t="n"/>
      <c r="B221" s="40" t="n"/>
      <c r="C221" s="36" t="n"/>
      <c r="D221" s="36" t="n"/>
      <c r="E221" s="36" t="n"/>
      <c r="F221" s="36" t="n"/>
      <c r="G221" s="37">
        <f>IF(A221="","",IFERROR(INDEX(Criterios!$B$4:$C$83,MATCH(D221,Criterios!$A$4:$A$83,0),IF(E221="Dentro horario",1,2)),""))</f>
        <v/>
      </c>
      <c r="H221" s="37" t="n"/>
      <c r="I221" s="37">
        <f>IF(A221="","",IF(OR(F221="",G221=""),"",F221*G221+N(H221)))</f>
        <v/>
      </c>
      <c r="J221" s="36">
        <f>IF(A221="","",COUNTIF(Detalle_Pagos!$A$5:$A$2004,A221))</f>
        <v/>
      </c>
      <c r="K221" s="37">
        <f>IF(A221="","",IF(OR(J221=0,I221=""),"",I221/J221))</f>
        <v/>
      </c>
      <c r="L221" s="37">
        <f>IF(A221="","",SUMIF(Detalle_Pagos!$A$5:$A$2004,A221,Detalle_Pagos!$I$5:$I$2004))</f>
        <v/>
      </c>
      <c r="M221" s="37">
        <f>IF(A221="","",SUMIFS(Detalle_Pagos!$I$5:$I$2004,Detalle_Pagos!$A$5:$A$2004,A221,Detalle_Pagos!$J$5:$J$2004,"No"))</f>
        <v/>
      </c>
      <c r="N221" s="36">
        <f>IF(A221="","",IF(J221=0,"Sin detalle",IF(M221=0,"Pagada","Pendiente")))</f>
        <v/>
      </c>
      <c r="O221" s="36" t="n"/>
    </row>
    <row r="222">
      <c r="A222" s="38" t="n"/>
      <c r="B222" s="41" t="n"/>
      <c r="C222" s="38" t="n"/>
      <c r="D222" s="38" t="n"/>
      <c r="E222" s="38" t="n"/>
      <c r="F222" s="38" t="n"/>
      <c r="G222" s="39">
        <f>IF(A222="","",IFERROR(INDEX(Criterios!$B$4:$C$83,MATCH(D222,Criterios!$A$4:$A$83,0),IF(E222="Dentro horario",1,2)),""))</f>
        <v/>
      </c>
      <c r="H222" s="39" t="n"/>
      <c r="I222" s="39">
        <f>IF(A222="","",IF(OR(F222="",G222=""),"",F222*G222+N(H222)))</f>
        <v/>
      </c>
      <c r="J222" s="38">
        <f>IF(A222="","",COUNTIF(Detalle_Pagos!$A$5:$A$2004,A222))</f>
        <v/>
      </c>
      <c r="K222" s="39">
        <f>IF(A222="","",IF(OR(J222=0,I222=""),"",I222/J222))</f>
        <v/>
      </c>
      <c r="L222" s="39">
        <f>IF(A222="","",SUMIF(Detalle_Pagos!$A$5:$A$2004,A222,Detalle_Pagos!$I$5:$I$2004))</f>
        <v/>
      </c>
      <c r="M222" s="39">
        <f>IF(A222="","",SUMIFS(Detalle_Pagos!$I$5:$I$2004,Detalle_Pagos!$A$5:$A$2004,A222,Detalle_Pagos!$J$5:$J$2004,"No"))</f>
        <v/>
      </c>
      <c r="N222" s="38">
        <f>IF(A222="","",IF(J222=0,"Sin detalle",IF(M222=0,"Pagada","Pendiente")))</f>
        <v/>
      </c>
      <c r="O222" s="38" t="n"/>
    </row>
    <row r="223">
      <c r="A223" s="36" t="n"/>
      <c r="B223" s="40" t="n"/>
      <c r="C223" s="36" t="n"/>
      <c r="D223" s="36" t="n"/>
      <c r="E223" s="36" t="n"/>
      <c r="F223" s="36" t="n"/>
      <c r="G223" s="37">
        <f>IF(A223="","",IFERROR(INDEX(Criterios!$B$4:$C$83,MATCH(D223,Criterios!$A$4:$A$83,0),IF(E223="Dentro horario",1,2)),""))</f>
        <v/>
      </c>
      <c r="H223" s="37" t="n"/>
      <c r="I223" s="37">
        <f>IF(A223="","",IF(OR(F223="",G223=""),"",F223*G223+N(H223)))</f>
        <v/>
      </c>
      <c r="J223" s="36">
        <f>IF(A223="","",COUNTIF(Detalle_Pagos!$A$5:$A$2004,A223))</f>
        <v/>
      </c>
      <c r="K223" s="37">
        <f>IF(A223="","",IF(OR(J223=0,I223=""),"",I223/J223))</f>
        <v/>
      </c>
      <c r="L223" s="37">
        <f>IF(A223="","",SUMIF(Detalle_Pagos!$A$5:$A$2004,A223,Detalle_Pagos!$I$5:$I$2004))</f>
        <v/>
      </c>
      <c r="M223" s="37">
        <f>IF(A223="","",SUMIFS(Detalle_Pagos!$I$5:$I$2004,Detalle_Pagos!$A$5:$A$2004,A223,Detalle_Pagos!$J$5:$J$2004,"No"))</f>
        <v/>
      </c>
      <c r="N223" s="36">
        <f>IF(A223="","",IF(J223=0,"Sin detalle",IF(M223=0,"Pagada","Pendiente")))</f>
        <v/>
      </c>
      <c r="O223" s="36" t="n"/>
    </row>
    <row r="224">
      <c r="A224" s="38" t="n"/>
      <c r="B224" s="41" t="n"/>
      <c r="C224" s="38" t="n"/>
      <c r="D224" s="38" t="n"/>
      <c r="E224" s="38" t="n"/>
      <c r="F224" s="38" t="n"/>
      <c r="G224" s="39">
        <f>IF(A224="","",IFERROR(INDEX(Criterios!$B$4:$C$83,MATCH(D224,Criterios!$A$4:$A$83,0),IF(E224="Dentro horario",1,2)),""))</f>
        <v/>
      </c>
      <c r="H224" s="39" t="n"/>
      <c r="I224" s="39">
        <f>IF(A224="","",IF(OR(F224="",G224=""),"",F224*G224+N(H224)))</f>
        <v/>
      </c>
      <c r="J224" s="38">
        <f>IF(A224="","",COUNTIF(Detalle_Pagos!$A$5:$A$2004,A224))</f>
        <v/>
      </c>
      <c r="K224" s="39">
        <f>IF(A224="","",IF(OR(J224=0,I224=""),"",I224/J224))</f>
        <v/>
      </c>
      <c r="L224" s="39">
        <f>IF(A224="","",SUMIF(Detalle_Pagos!$A$5:$A$2004,A224,Detalle_Pagos!$I$5:$I$2004))</f>
        <v/>
      </c>
      <c r="M224" s="39">
        <f>IF(A224="","",SUMIFS(Detalle_Pagos!$I$5:$I$2004,Detalle_Pagos!$A$5:$A$2004,A224,Detalle_Pagos!$J$5:$J$2004,"No"))</f>
        <v/>
      </c>
      <c r="N224" s="38">
        <f>IF(A224="","",IF(J224=0,"Sin detalle",IF(M224=0,"Pagada","Pendiente")))</f>
        <v/>
      </c>
      <c r="O224" s="38" t="n"/>
    </row>
    <row r="225">
      <c r="A225" s="36" t="n"/>
      <c r="B225" s="40" t="n"/>
      <c r="C225" s="36" t="n"/>
      <c r="D225" s="36" t="n"/>
      <c r="E225" s="36" t="n"/>
      <c r="F225" s="36" t="n"/>
      <c r="G225" s="37">
        <f>IF(A225="","",IFERROR(INDEX(Criterios!$B$4:$C$83,MATCH(D225,Criterios!$A$4:$A$83,0),IF(E225="Dentro horario",1,2)),""))</f>
        <v/>
      </c>
      <c r="H225" s="37" t="n"/>
      <c r="I225" s="37">
        <f>IF(A225="","",IF(OR(F225="",G225=""),"",F225*G225+N(H225)))</f>
        <v/>
      </c>
      <c r="J225" s="36">
        <f>IF(A225="","",COUNTIF(Detalle_Pagos!$A$5:$A$2004,A225))</f>
        <v/>
      </c>
      <c r="K225" s="37">
        <f>IF(A225="","",IF(OR(J225=0,I225=""),"",I225/J225))</f>
        <v/>
      </c>
      <c r="L225" s="37">
        <f>IF(A225="","",SUMIF(Detalle_Pagos!$A$5:$A$2004,A225,Detalle_Pagos!$I$5:$I$2004))</f>
        <v/>
      </c>
      <c r="M225" s="37">
        <f>IF(A225="","",SUMIFS(Detalle_Pagos!$I$5:$I$2004,Detalle_Pagos!$A$5:$A$2004,A225,Detalle_Pagos!$J$5:$J$2004,"No"))</f>
        <v/>
      </c>
      <c r="N225" s="36">
        <f>IF(A225="","",IF(J225=0,"Sin detalle",IF(M225=0,"Pagada","Pendiente")))</f>
        <v/>
      </c>
      <c r="O225" s="36" t="n"/>
    </row>
    <row r="226">
      <c r="A226" s="38" t="n"/>
      <c r="B226" s="41" t="n"/>
      <c r="C226" s="38" t="n"/>
      <c r="D226" s="38" t="n"/>
      <c r="E226" s="38" t="n"/>
      <c r="F226" s="38" t="n"/>
      <c r="G226" s="39">
        <f>IF(A226="","",IFERROR(INDEX(Criterios!$B$4:$C$83,MATCH(D226,Criterios!$A$4:$A$83,0),IF(E226="Dentro horario",1,2)),""))</f>
        <v/>
      </c>
      <c r="H226" s="39" t="n"/>
      <c r="I226" s="39">
        <f>IF(A226="","",IF(OR(F226="",G226=""),"",F226*G226+N(H226)))</f>
        <v/>
      </c>
      <c r="J226" s="38">
        <f>IF(A226="","",COUNTIF(Detalle_Pagos!$A$5:$A$2004,A226))</f>
        <v/>
      </c>
      <c r="K226" s="39">
        <f>IF(A226="","",IF(OR(J226=0,I226=""),"",I226/J226))</f>
        <v/>
      </c>
      <c r="L226" s="39">
        <f>IF(A226="","",SUMIF(Detalle_Pagos!$A$5:$A$2004,A226,Detalle_Pagos!$I$5:$I$2004))</f>
        <v/>
      </c>
      <c r="M226" s="39">
        <f>IF(A226="","",SUMIFS(Detalle_Pagos!$I$5:$I$2004,Detalle_Pagos!$A$5:$A$2004,A226,Detalle_Pagos!$J$5:$J$2004,"No"))</f>
        <v/>
      </c>
      <c r="N226" s="38">
        <f>IF(A226="","",IF(J226=0,"Sin detalle",IF(M226=0,"Pagada","Pendiente")))</f>
        <v/>
      </c>
      <c r="O226" s="38" t="n"/>
    </row>
    <row r="227">
      <c r="A227" s="36" t="n"/>
      <c r="B227" s="40" t="n"/>
      <c r="C227" s="36" t="n"/>
      <c r="D227" s="36" t="n"/>
      <c r="E227" s="36" t="n"/>
      <c r="F227" s="36" t="n"/>
      <c r="G227" s="37">
        <f>IF(A227="","",IFERROR(INDEX(Criterios!$B$4:$C$83,MATCH(D227,Criterios!$A$4:$A$83,0),IF(E227="Dentro horario",1,2)),""))</f>
        <v/>
      </c>
      <c r="H227" s="37" t="n"/>
      <c r="I227" s="37">
        <f>IF(A227="","",IF(OR(F227="",G227=""),"",F227*G227+N(H227)))</f>
        <v/>
      </c>
      <c r="J227" s="36">
        <f>IF(A227="","",COUNTIF(Detalle_Pagos!$A$5:$A$2004,A227))</f>
        <v/>
      </c>
      <c r="K227" s="37">
        <f>IF(A227="","",IF(OR(J227=0,I227=""),"",I227/J227))</f>
        <v/>
      </c>
      <c r="L227" s="37">
        <f>IF(A227="","",SUMIF(Detalle_Pagos!$A$5:$A$2004,A227,Detalle_Pagos!$I$5:$I$2004))</f>
        <v/>
      </c>
      <c r="M227" s="37">
        <f>IF(A227="","",SUMIFS(Detalle_Pagos!$I$5:$I$2004,Detalle_Pagos!$A$5:$A$2004,A227,Detalle_Pagos!$J$5:$J$2004,"No"))</f>
        <v/>
      </c>
      <c r="N227" s="36">
        <f>IF(A227="","",IF(J227=0,"Sin detalle",IF(M227=0,"Pagada","Pendiente")))</f>
        <v/>
      </c>
      <c r="O227" s="36" t="n"/>
    </row>
    <row r="228">
      <c r="A228" s="38" t="n"/>
      <c r="B228" s="41" t="n"/>
      <c r="C228" s="38" t="n"/>
      <c r="D228" s="38" t="n"/>
      <c r="E228" s="38" t="n"/>
      <c r="F228" s="38" t="n"/>
      <c r="G228" s="39">
        <f>IF(A228="","",IFERROR(INDEX(Criterios!$B$4:$C$83,MATCH(D228,Criterios!$A$4:$A$83,0),IF(E228="Dentro horario",1,2)),""))</f>
        <v/>
      </c>
      <c r="H228" s="39" t="n"/>
      <c r="I228" s="39">
        <f>IF(A228="","",IF(OR(F228="",G228=""),"",F228*G228+N(H228)))</f>
        <v/>
      </c>
      <c r="J228" s="38">
        <f>IF(A228="","",COUNTIF(Detalle_Pagos!$A$5:$A$2004,A228))</f>
        <v/>
      </c>
      <c r="K228" s="39">
        <f>IF(A228="","",IF(OR(J228=0,I228=""),"",I228/J228))</f>
        <v/>
      </c>
      <c r="L228" s="39">
        <f>IF(A228="","",SUMIF(Detalle_Pagos!$A$5:$A$2004,A228,Detalle_Pagos!$I$5:$I$2004))</f>
        <v/>
      </c>
      <c r="M228" s="39">
        <f>IF(A228="","",SUMIFS(Detalle_Pagos!$I$5:$I$2004,Detalle_Pagos!$A$5:$A$2004,A228,Detalle_Pagos!$J$5:$J$2004,"No"))</f>
        <v/>
      </c>
      <c r="N228" s="38">
        <f>IF(A228="","",IF(J228=0,"Sin detalle",IF(M228=0,"Pagada","Pendiente")))</f>
        <v/>
      </c>
      <c r="O228" s="38" t="n"/>
    </row>
    <row r="229">
      <c r="A229" s="36" t="n"/>
      <c r="B229" s="40" t="n"/>
      <c r="C229" s="36" t="n"/>
      <c r="D229" s="36" t="n"/>
      <c r="E229" s="36" t="n"/>
      <c r="F229" s="36" t="n"/>
      <c r="G229" s="37">
        <f>IF(A229="","",IFERROR(INDEX(Criterios!$B$4:$C$83,MATCH(D229,Criterios!$A$4:$A$83,0),IF(E229="Dentro horario",1,2)),""))</f>
        <v/>
      </c>
      <c r="H229" s="37" t="n"/>
      <c r="I229" s="37">
        <f>IF(A229="","",IF(OR(F229="",G229=""),"",F229*G229+N(H229)))</f>
        <v/>
      </c>
      <c r="J229" s="36">
        <f>IF(A229="","",COUNTIF(Detalle_Pagos!$A$5:$A$2004,A229))</f>
        <v/>
      </c>
      <c r="K229" s="37">
        <f>IF(A229="","",IF(OR(J229=0,I229=""),"",I229/J229))</f>
        <v/>
      </c>
      <c r="L229" s="37">
        <f>IF(A229="","",SUMIF(Detalle_Pagos!$A$5:$A$2004,A229,Detalle_Pagos!$I$5:$I$2004))</f>
        <v/>
      </c>
      <c r="M229" s="37">
        <f>IF(A229="","",SUMIFS(Detalle_Pagos!$I$5:$I$2004,Detalle_Pagos!$A$5:$A$2004,A229,Detalle_Pagos!$J$5:$J$2004,"No"))</f>
        <v/>
      </c>
      <c r="N229" s="36">
        <f>IF(A229="","",IF(J229=0,"Sin detalle",IF(M229=0,"Pagada","Pendiente")))</f>
        <v/>
      </c>
      <c r="O229" s="36" t="n"/>
    </row>
    <row r="230">
      <c r="A230" s="38" t="n"/>
      <c r="B230" s="41" t="n"/>
      <c r="C230" s="38" t="n"/>
      <c r="D230" s="38" t="n"/>
      <c r="E230" s="38" t="n"/>
      <c r="F230" s="38" t="n"/>
      <c r="G230" s="39">
        <f>IF(A230="","",IFERROR(INDEX(Criterios!$B$4:$C$83,MATCH(D230,Criterios!$A$4:$A$83,0),IF(E230="Dentro horario",1,2)),""))</f>
        <v/>
      </c>
      <c r="H230" s="39" t="n"/>
      <c r="I230" s="39">
        <f>IF(A230="","",IF(OR(F230="",G230=""),"",F230*G230+N(H230)))</f>
        <v/>
      </c>
      <c r="J230" s="38">
        <f>IF(A230="","",COUNTIF(Detalle_Pagos!$A$5:$A$2004,A230))</f>
        <v/>
      </c>
      <c r="K230" s="39">
        <f>IF(A230="","",IF(OR(J230=0,I230=""),"",I230/J230))</f>
        <v/>
      </c>
      <c r="L230" s="39">
        <f>IF(A230="","",SUMIF(Detalle_Pagos!$A$5:$A$2004,A230,Detalle_Pagos!$I$5:$I$2004))</f>
        <v/>
      </c>
      <c r="M230" s="39">
        <f>IF(A230="","",SUMIFS(Detalle_Pagos!$I$5:$I$2004,Detalle_Pagos!$A$5:$A$2004,A230,Detalle_Pagos!$J$5:$J$2004,"No"))</f>
        <v/>
      </c>
      <c r="N230" s="38">
        <f>IF(A230="","",IF(J230=0,"Sin detalle",IF(M230=0,"Pagada","Pendiente")))</f>
        <v/>
      </c>
      <c r="O230" s="38" t="n"/>
    </row>
    <row r="231">
      <c r="A231" s="36" t="n"/>
      <c r="B231" s="40" t="n"/>
      <c r="C231" s="36" t="n"/>
      <c r="D231" s="36" t="n"/>
      <c r="E231" s="36" t="n"/>
      <c r="F231" s="36" t="n"/>
      <c r="G231" s="37">
        <f>IF(A231="","",IFERROR(INDEX(Criterios!$B$4:$C$83,MATCH(D231,Criterios!$A$4:$A$83,0),IF(E231="Dentro horario",1,2)),""))</f>
        <v/>
      </c>
      <c r="H231" s="37" t="n"/>
      <c r="I231" s="37">
        <f>IF(A231="","",IF(OR(F231="",G231=""),"",F231*G231+N(H231)))</f>
        <v/>
      </c>
      <c r="J231" s="36">
        <f>IF(A231="","",COUNTIF(Detalle_Pagos!$A$5:$A$2004,A231))</f>
        <v/>
      </c>
      <c r="K231" s="37">
        <f>IF(A231="","",IF(OR(J231=0,I231=""),"",I231/J231))</f>
        <v/>
      </c>
      <c r="L231" s="37">
        <f>IF(A231="","",SUMIF(Detalle_Pagos!$A$5:$A$2004,A231,Detalle_Pagos!$I$5:$I$2004))</f>
        <v/>
      </c>
      <c r="M231" s="37">
        <f>IF(A231="","",SUMIFS(Detalle_Pagos!$I$5:$I$2004,Detalle_Pagos!$A$5:$A$2004,A231,Detalle_Pagos!$J$5:$J$2004,"No"))</f>
        <v/>
      </c>
      <c r="N231" s="36">
        <f>IF(A231="","",IF(J231=0,"Sin detalle",IF(M231=0,"Pagada","Pendiente")))</f>
        <v/>
      </c>
      <c r="O231" s="36" t="n"/>
    </row>
    <row r="232">
      <c r="A232" s="38" t="n"/>
      <c r="B232" s="41" t="n"/>
      <c r="C232" s="38" t="n"/>
      <c r="D232" s="38" t="n"/>
      <c r="E232" s="38" t="n"/>
      <c r="F232" s="38" t="n"/>
      <c r="G232" s="39">
        <f>IF(A232="","",IFERROR(INDEX(Criterios!$B$4:$C$83,MATCH(D232,Criterios!$A$4:$A$83,0),IF(E232="Dentro horario",1,2)),""))</f>
        <v/>
      </c>
      <c r="H232" s="39" t="n"/>
      <c r="I232" s="39">
        <f>IF(A232="","",IF(OR(F232="",G232=""),"",F232*G232+N(H232)))</f>
        <v/>
      </c>
      <c r="J232" s="38">
        <f>IF(A232="","",COUNTIF(Detalle_Pagos!$A$5:$A$2004,A232))</f>
        <v/>
      </c>
      <c r="K232" s="39">
        <f>IF(A232="","",IF(OR(J232=0,I232=""),"",I232/J232))</f>
        <v/>
      </c>
      <c r="L232" s="39">
        <f>IF(A232="","",SUMIF(Detalle_Pagos!$A$5:$A$2004,A232,Detalle_Pagos!$I$5:$I$2004))</f>
        <v/>
      </c>
      <c r="M232" s="39">
        <f>IF(A232="","",SUMIFS(Detalle_Pagos!$I$5:$I$2004,Detalle_Pagos!$A$5:$A$2004,A232,Detalle_Pagos!$J$5:$J$2004,"No"))</f>
        <v/>
      </c>
      <c r="N232" s="38">
        <f>IF(A232="","",IF(J232=0,"Sin detalle",IF(M232=0,"Pagada","Pendiente")))</f>
        <v/>
      </c>
      <c r="O232" s="38" t="n"/>
    </row>
    <row r="233">
      <c r="A233" s="36" t="n"/>
      <c r="B233" s="40" t="n"/>
      <c r="C233" s="36" t="n"/>
      <c r="D233" s="36" t="n"/>
      <c r="E233" s="36" t="n"/>
      <c r="F233" s="36" t="n"/>
      <c r="G233" s="37">
        <f>IF(A233="","",IFERROR(INDEX(Criterios!$B$4:$C$83,MATCH(D233,Criterios!$A$4:$A$83,0),IF(E233="Dentro horario",1,2)),""))</f>
        <v/>
      </c>
      <c r="H233" s="37" t="n"/>
      <c r="I233" s="37">
        <f>IF(A233="","",IF(OR(F233="",G233=""),"",F233*G233+N(H233)))</f>
        <v/>
      </c>
      <c r="J233" s="36">
        <f>IF(A233="","",COUNTIF(Detalle_Pagos!$A$5:$A$2004,A233))</f>
        <v/>
      </c>
      <c r="K233" s="37">
        <f>IF(A233="","",IF(OR(J233=0,I233=""),"",I233/J233))</f>
        <v/>
      </c>
      <c r="L233" s="37">
        <f>IF(A233="","",SUMIF(Detalle_Pagos!$A$5:$A$2004,A233,Detalle_Pagos!$I$5:$I$2004))</f>
        <v/>
      </c>
      <c r="M233" s="37">
        <f>IF(A233="","",SUMIFS(Detalle_Pagos!$I$5:$I$2004,Detalle_Pagos!$A$5:$A$2004,A233,Detalle_Pagos!$J$5:$J$2004,"No"))</f>
        <v/>
      </c>
      <c r="N233" s="36">
        <f>IF(A233="","",IF(J233=0,"Sin detalle",IF(M233=0,"Pagada","Pendiente")))</f>
        <v/>
      </c>
      <c r="O233" s="36" t="n"/>
    </row>
    <row r="234">
      <c r="A234" s="38" t="n"/>
      <c r="B234" s="41" t="n"/>
      <c r="C234" s="38" t="n"/>
      <c r="D234" s="38" t="n"/>
      <c r="E234" s="38" t="n"/>
      <c r="F234" s="38" t="n"/>
      <c r="G234" s="39">
        <f>IF(A234="","",IFERROR(INDEX(Criterios!$B$4:$C$83,MATCH(D234,Criterios!$A$4:$A$83,0),IF(E234="Dentro horario",1,2)),""))</f>
        <v/>
      </c>
      <c r="H234" s="39" t="n"/>
      <c r="I234" s="39">
        <f>IF(A234="","",IF(OR(F234="",G234=""),"",F234*G234+N(H234)))</f>
        <v/>
      </c>
      <c r="J234" s="38">
        <f>IF(A234="","",COUNTIF(Detalle_Pagos!$A$5:$A$2004,A234))</f>
        <v/>
      </c>
      <c r="K234" s="39">
        <f>IF(A234="","",IF(OR(J234=0,I234=""),"",I234/J234))</f>
        <v/>
      </c>
      <c r="L234" s="39">
        <f>IF(A234="","",SUMIF(Detalle_Pagos!$A$5:$A$2004,A234,Detalle_Pagos!$I$5:$I$2004))</f>
        <v/>
      </c>
      <c r="M234" s="39">
        <f>IF(A234="","",SUMIFS(Detalle_Pagos!$I$5:$I$2004,Detalle_Pagos!$A$5:$A$2004,A234,Detalle_Pagos!$J$5:$J$2004,"No"))</f>
        <v/>
      </c>
      <c r="N234" s="38">
        <f>IF(A234="","",IF(J234=0,"Sin detalle",IF(M234=0,"Pagada","Pendiente")))</f>
        <v/>
      </c>
      <c r="O234" s="38" t="n"/>
    </row>
    <row r="235">
      <c r="A235" s="36" t="n"/>
      <c r="B235" s="40" t="n"/>
      <c r="C235" s="36" t="n"/>
      <c r="D235" s="36" t="n"/>
      <c r="E235" s="36" t="n"/>
      <c r="F235" s="36" t="n"/>
      <c r="G235" s="37">
        <f>IF(A235="","",IFERROR(INDEX(Criterios!$B$4:$C$83,MATCH(D235,Criterios!$A$4:$A$83,0),IF(E235="Dentro horario",1,2)),""))</f>
        <v/>
      </c>
      <c r="H235" s="37" t="n"/>
      <c r="I235" s="37">
        <f>IF(A235="","",IF(OR(F235="",G235=""),"",F235*G235+N(H235)))</f>
        <v/>
      </c>
      <c r="J235" s="36">
        <f>IF(A235="","",COUNTIF(Detalle_Pagos!$A$5:$A$2004,A235))</f>
        <v/>
      </c>
      <c r="K235" s="37">
        <f>IF(A235="","",IF(OR(J235=0,I235=""),"",I235/J235))</f>
        <v/>
      </c>
      <c r="L235" s="37">
        <f>IF(A235="","",SUMIF(Detalle_Pagos!$A$5:$A$2004,A235,Detalle_Pagos!$I$5:$I$2004))</f>
        <v/>
      </c>
      <c r="M235" s="37">
        <f>IF(A235="","",SUMIFS(Detalle_Pagos!$I$5:$I$2004,Detalle_Pagos!$A$5:$A$2004,A235,Detalle_Pagos!$J$5:$J$2004,"No"))</f>
        <v/>
      </c>
      <c r="N235" s="36">
        <f>IF(A235="","",IF(J235=0,"Sin detalle",IF(M235=0,"Pagada","Pendiente")))</f>
        <v/>
      </c>
      <c r="O235" s="36" t="n"/>
    </row>
    <row r="236">
      <c r="A236" s="38" t="n"/>
      <c r="B236" s="41" t="n"/>
      <c r="C236" s="38" t="n"/>
      <c r="D236" s="38" t="n"/>
      <c r="E236" s="38" t="n"/>
      <c r="F236" s="38" t="n"/>
      <c r="G236" s="39">
        <f>IF(A236="","",IFERROR(INDEX(Criterios!$B$4:$C$83,MATCH(D236,Criterios!$A$4:$A$83,0),IF(E236="Dentro horario",1,2)),""))</f>
        <v/>
      </c>
      <c r="H236" s="39" t="n"/>
      <c r="I236" s="39">
        <f>IF(A236="","",IF(OR(F236="",G236=""),"",F236*G236+N(H236)))</f>
        <v/>
      </c>
      <c r="J236" s="38">
        <f>IF(A236="","",COUNTIF(Detalle_Pagos!$A$5:$A$2004,A236))</f>
        <v/>
      </c>
      <c r="K236" s="39">
        <f>IF(A236="","",IF(OR(J236=0,I236=""),"",I236/J236))</f>
        <v/>
      </c>
      <c r="L236" s="39">
        <f>IF(A236="","",SUMIF(Detalle_Pagos!$A$5:$A$2004,A236,Detalle_Pagos!$I$5:$I$2004))</f>
        <v/>
      </c>
      <c r="M236" s="39">
        <f>IF(A236="","",SUMIFS(Detalle_Pagos!$I$5:$I$2004,Detalle_Pagos!$A$5:$A$2004,A236,Detalle_Pagos!$J$5:$J$2004,"No"))</f>
        <v/>
      </c>
      <c r="N236" s="38">
        <f>IF(A236="","",IF(J236=0,"Sin detalle",IF(M236=0,"Pagada","Pendiente")))</f>
        <v/>
      </c>
      <c r="O236" s="38" t="n"/>
    </row>
    <row r="237">
      <c r="A237" s="36" t="n"/>
      <c r="B237" s="40" t="n"/>
      <c r="C237" s="36" t="n"/>
      <c r="D237" s="36" t="n"/>
      <c r="E237" s="36" t="n"/>
      <c r="F237" s="36" t="n"/>
      <c r="G237" s="37">
        <f>IF(A237="","",IFERROR(INDEX(Criterios!$B$4:$C$83,MATCH(D237,Criterios!$A$4:$A$83,0),IF(E237="Dentro horario",1,2)),""))</f>
        <v/>
      </c>
      <c r="H237" s="37" t="n"/>
      <c r="I237" s="37">
        <f>IF(A237="","",IF(OR(F237="",G237=""),"",F237*G237+N(H237)))</f>
        <v/>
      </c>
      <c r="J237" s="36">
        <f>IF(A237="","",COUNTIF(Detalle_Pagos!$A$5:$A$2004,A237))</f>
        <v/>
      </c>
      <c r="K237" s="37">
        <f>IF(A237="","",IF(OR(J237=0,I237=""),"",I237/J237))</f>
        <v/>
      </c>
      <c r="L237" s="37">
        <f>IF(A237="","",SUMIF(Detalle_Pagos!$A$5:$A$2004,A237,Detalle_Pagos!$I$5:$I$2004))</f>
        <v/>
      </c>
      <c r="M237" s="37">
        <f>IF(A237="","",SUMIFS(Detalle_Pagos!$I$5:$I$2004,Detalle_Pagos!$A$5:$A$2004,A237,Detalle_Pagos!$J$5:$J$2004,"No"))</f>
        <v/>
      </c>
      <c r="N237" s="36">
        <f>IF(A237="","",IF(J237=0,"Sin detalle",IF(M237=0,"Pagada","Pendiente")))</f>
        <v/>
      </c>
      <c r="O237" s="36" t="n"/>
    </row>
    <row r="238">
      <c r="A238" s="38" t="n"/>
      <c r="B238" s="41" t="n"/>
      <c r="C238" s="38" t="n"/>
      <c r="D238" s="38" t="n"/>
      <c r="E238" s="38" t="n"/>
      <c r="F238" s="38" t="n"/>
      <c r="G238" s="39">
        <f>IF(A238="","",IFERROR(INDEX(Criterios!$B$4:$C$83,MATCH(D238,Criterios!$A$4:$A$83,0),IF(E238="Dentro horario",1,2)),""))</f>
        <v/>
      </c>
      <c r="H238" s="39" t="n"/>
      <c r="I238" s="39">
        <f>IF(A238="","",IF(OR(F238="",G238=""),"",F238*G238+N(H238)))</f>
        <v/>
      </c>
      <c r="J238" s="38">
        <f>IF(A238="","",COUNTIF(Detalle_Pagos!$A$5:$A$2004,A238))</f>
        <v/>
      </c>
      <c r="K238" s="39">
        <f>IF(A238="","",IF(OR(J238=0,I238=""),"",I238/J238))</f>
        <v/>
      </c>
      <c r="L238" s="39">
        <f>IF(A238="","",SUMIF(Detalle_Pagos!$A$5:$A$2004,A238,Detalle_Pagos!$I$5:$I$2004))</f>
        <v/>
      </c>
      <c r="M238" s="39">
        <f>IF(A238="","",SUMIFS(Detalle_Pagos!$I$5:$I$2004,Detalle_Pagos!$A$5:$A$2004,A238,Detalle_Pagos!$J$5:$J$2004,"No"))</f>
        <v/>
      </c>
      <c r="N238" s="38">
        <f>IF(A238="","",IF(J238=0,"Sin detalle",IF(M238=0,"Pagada","Pendiente")))</f>
        <v/>
      </c>
      <c r="O238" s="38" t="n"/>
    </row>
    <row r="239">
      <c r="A239" s="36" t="n"/>
      <c r="B239" s="40" t="n"/>
      <c r="C239" s="36" t="n"/>
      <c r="D239" s="36" t="n"/>
      <c r="E239" s="36" t="n"/>
      <c r="F239" s="36" t="n"/>
      <c r="G239" s="37">
        <f>IF(A239="","",IFERROR(INDEX(Criterios!$B$4:$C$83,MATCH(D239,Criterios!$A$4:$A$83,0),IF(E239="Dentro horario",1,2)),""))</f>
        <v/>
      </c>
      <c r="H239" s="37" t="n"/>
      <c r="I239" s="37">
        <f>IF(A239="","",IF(OR(F239="",G239=""),"",F239*G239+N(H239)))</f>
        <v/>
      </c>
      <c r="J239" s="36">
        <f>IF(A239="","",COUNTIF(Detalle_Pagos!$A$5:$A$2004,A239))</f>
        <v/>
      </c>
      <c r="K239" s="37">
        <f>IF(A239="","",IF(OR(J239=0,I239=""),"",I239/J239))</f>
        <v/>
      </c>
      <c r="L239" s="37">
        <f>IF(A239="","",SUMIF(Detalle_Pagos!$A$5:$A$2004,A239,Detalle_Pagos!$I$5:$I$2004))</f>
        <v/>
      </c>
      <c r="M239" s="37">
        <f>IF(A239="","",SUMIFS(Detalle_Pagos!$I$5:$I$2004,Detalle_Pagos!$A$5:$A$2004,A239,Detalle_Pagos!$J$5:$J$2004,"No"))</f>
        <v/>
      </c>
      <c r="N239" s="36">
        <f>IF(A239="","",IF(J239=0,"Sin detalle",IF(M239=0,"Pagada","Pendiente")))</f>
        <v/>
      </c>
      <c r="O239" s="36" t="n"/>
    </row>
    <row r="240">
      <c r="A240" s="38" t="n"/>
      <c r="B240" s="41" t="n"/>
      <c r="C240" s="38" t="n"/>
      <c r="D240" s="38" t="n"/>
      <c r="E240" s="38" t="n"/>
      <c r="F240" s="38" t="n"/>
      <c r="G240" s="39">
        <f>IF(A240="","",IFERROR(INDEX(Criterios!$B$4:$C$83,MATCH(D240,Criterios!$A$4:$A$83,0),IF(E240="Dentro horario",1,2)),""))</f>
        <v/>
      </c>
      <c r="H240" s="39" t="n"/>
      <c r="I240" s="39">
        <f>IF(A240="","",IF(OR(F240="",G240=""),"",F240*G240+N(H240)))</f>
        <v/>
      </c>
      <c r="J240" s="38">
        <f>IF(A240="","",COUNTIF(Detalle_Pagos!$A$5:$A$2004,A240))</f>
        <v/>
      </c>
      <c r="K240" s="39">
        <f>IF(A240="","",IF(OR(J240=0,I240=""),"",I240/J240))</f>
        <v/>
      </c>
      <c r="L240" s="39">
        <f>IF(A240="","",SUMIF(Detalle_Pagos!$A$5:$A$2004,A240,Detalle_Pagos!$I$5:$I$2004))</f>
        <v/>
      </c>
      <c r="M240" s="39">
        <f>IF(A240="","",SUMIFS(Detalle_Pagos!$I$5:$I$2004,Detalle_Pagos!$A$5:$A$2004,A240,Detalle_Pagos!$J$5:$J$2004,"No"))</f>
        <v/>
      </c>
      <c r="N240" s="38">
        <f>IF(A240="","",IF(J240=0,"Sin detalle",IF(M240=0,"Pagada","Pendiente")))</f>
        <v/>
      </c>
      <c r="O240" s="38" t="n"/>
    </row>
    <row r="241">
      <c r="A241" s="36" t="n"/>
      <c r="B241" s="40" t="n"/>
      <c r="C241" s="36" t="n"/>
      <c r="D241" s="36" t="n"/>
      <c r="E241" s="36" t="n"/>
      <c r="F241" s="36" t="n"/>
      <c r="G241" s="37">
        <f>IF(A241="","",IFERROR(INDEX(Criterios!$B$4:$C$83,MATCH(D241,Criterios!$A$4:$A$83,0),IF(E241="Dentro horario",1,2)),""))</f>
        <v/>
      </c>
      <c r="H241" s="37" t="n"/>
      <c r="I241" s="37">
        <f>IF(A241="","",IF(OR(F241="",G241=""),"",F241*G241+N(H241)))</f>
        <v/>
      </c>
      <c r="J241" s="36">
        <f>IF(A241="","",COUNTIF(Detalle_Pagos!$A$5:$A$2004,A241))</f>
        <v/>
      </c>
      <c r="K241" s="37">
        <f>IF(A241="","",IF(OR(J241=0,I241=""),"",I241/J241))</f>
        <v/>
      </c>
      <c r="L241" s="37">
        <f>IF(A241="","",SUMIF(Detalle_Pagos!$A$5:$A$2004,A241,Detalle_Pagos!$I$5:$I$2004))</f>
        <v/>
      </c>
      <c r="M241" s="37">
        <f>IF(A241="","",SUMIFS(Detalle_Pagos!$I$5:$I$2004,Detalle_Pagos!$A$5:$A$2004,A241,Detalle_Pagos!$J$5:$J$2004,"No"))</f>
        <v/>
      </c>
      <c r="N241" s="36">
        <f>IF(A241="","",IF(J241=0,"Sin detalle",IF(M241=0,"Pagada","Pendiente")))</f>
        <v/>
      </c>
      <c r="O241" s="36" t="n"/>
    </row>
    <row r="242">
      <c r="A242" s="38" t="n"/>
      <c r="B242" s="41" t="n"/>
      <c r="C242" s="38" t="n"/>
      <c r="D242" s="38" t="n"/>
      <c r="E242" s="38" t="n"/>
      <c r="F242" s="38" t="n"/>
      <c r="G242" s="39">
        <f>IF(A242="","",IFERROR(INDEX(Criterios!$B$4:$C$83,MATCH(D242,Criterios!$A$4:$A$83,0),IF(E242="Dentro horario",1,2)),""))</f>
        <v/>
      </c>
      <c r="H242" s="39" t="n"/>
      <c r="I242" s="39">
        <f>IF(A242="","",IF(OR(F242="",G242=""),"",F242*G242+N(H242)))</f>
        <v/>
      </c>
      <c r="J242" s="38">
        <f>IF(A242="","",COUNTIF(Detalle_Pagos!$A$5:$A$2004,A242))</f>
        <v/>
      </c>
      <c r="K242" s="39">
        <f>IF(A242="","",IF(OR(J242=0,I242=""),"",I242/J242))</f>
        <v/>
      </c>
      <c r="L242" s="39">
        <f>IF(A242="","",SUMIF(Detalle_Pagos!$A$5:$A$2004,A242,Detalle_Pagos!$I$5:$I$2004))</f>
        <v/>
      </c>
      <c r="M242" s="39">
        <f>IF(A242="","",SUMIFS(Detalle_Pagos!$I$5:$I$2004,Detalle_Pagos!$A$5:$A$2004,A242,Detalle_Pagos!$J$5:$J$2004,"No"))</f>
        <v/>
      </c>
      <c r="N242" s="38">
        <f>IF(A242="","",IF(J242=0,"Sin detalle",IF(M242=0,"Pagada","Pendiente")))</f>
        <v/>
      </c>
      <c r="O242" s="38" t="n"/>
    </row>
    <row r="243">
      <c r="A243" s="36" t="n"/>
      <c r="B243" s="40" t="n"/>
      <c r="C243" s="36" t="n"/>
      <c r="D243" s="36" t="n"/>
      <c r="E243" s="36" t="n"/>
      <c r="F243" s="36" t="n"/>
      <c r="G243" s="37">
        <f>IF(A243="","",IFERROR(INDEX(Criterios!$B$4:$C$83,MATCH(D243,Criterios!$A$4:$A$83,0),IF(E243="Dentro horario",1,2)),""))</f>
        <v/>
      </c>
      <c r="H243" s="37" t="n"/>
      <c r="I243" s="37">
        <f>IF(A243="","",IF(OR(F243="",G243=""),"",F243*G243+N(H243)))</f>
        <v/>
      </c>
      <c r="J243" s="36">
        <f>IF(A243="","",COUNTIF(Detalle_Pagos!$A$5:$A$2004,A243))</f>
        <v/>
      </c>
      <c r="K243" s="37">
        <f>IF(A243="","",IF(OR(J243=0,I243=""),"",I243/J243))</f>
        <v/>
      </c>
      <c r="L243" s="37">
        <f>IF(A243="","",SUMIF(Detalle_Pagos!$A$5:$A$2004,A243,Detalle_Pagos!$I$5:$I$2004))</f>
        <v/>
      </c>
      <c r="M243" s="37">
        <f>IF(A243="","",SUMIFS(Detalle_Pagos!$I$5:$I$2004,Detalle_Pagos!$A$5:$A$2004,A243,Detalle_Pagos!$J$5:$J$2004,"No"))</f>
        <v/>
      </c>
      <c r="N243" s="36">
        <f>IF(A243="","",IF(J243=0,"Sin detalle",IF(M243=0,"Pagada","Pendiente")))</f>
        <v/>
      </c>
      <c r="O243" s="36" t="n"/>
    </row>
    <row r="244">
      <c r="A244" s="38" t="n"/>
      <c r="B244" s="41" t="n"/>
      <c r="C244" s="38" t="n"/>
      <c r="D244" s="38" t="n"/>
      <c r="E244" s="38" t="n"/>
      <c r="F244" s="38" t="n"/>
      <c r="G244" s="39">
        <f>IF(A244="","",IFERROR(INDEX(Criterios!$B$4:$C$83,MATCH(D244,Criterios!$A$4:$A$83,0),IF(E244="Dentro horario",1,2)),""))</f>
        <v/>
      </c>
      <c r="H244" s="39" t="n"/>
      <c r="I244" s="39">
        <f>IF(A244="","",IF(OR(F244="",G244=""),"",F244*G244+N(H244)))</f>
        <v/>
      </c>
      <c r="J244" s="38">
        <f>IF(A244="","",COUNTIF(Detalle_Pagos!$A$5:$A$2004,A244))</f>
        <v/>
      </c>
      <c r="K244" s="39">
        <f>IF(A244="","",IF(OR(J244=0,I244=""),"",I244/J244))</f>
        <v/>
      </c>
      <c r="L244" s="39">
        <f>IF(A244="","",SUMIF(Detalle_Pagos!$A$5:$A$2004,A244,Detalle_Pagos!$I$5:$I$2004))</f>
        <v/>
      </c>
      <c r="M244" s="39">
        <f>IF(A244="","",SUMIFS(Detalle_Pagos!$I$5:$I$2004,Detalle_Pagos!$A$5:$A$2004,A244,Detalle_Pagos!$J$5:$J$2004,"No"))</f>
        <v/>
      </c>
      <c r="N244" s="38">
        <f>IF(A244="","",IF(J244=0,"Sin detalle",IF(M244=0,"Pagada","Pendiente")))</f>
        <v/>
      </c>
      <c r="O244" s="38" t="n"/>
    </row>
    <row r="245">
      <c r="A245" s="36" t="n"/>
      <c r="B245" s="40" t="n"/>
      <c r="C245" s="36" t="n"/>
      <c r="D245" s="36" t="n"/>
      <c r="E245" s="36" t="n"/>
      <c r="F245" s="36" t="n"/>
      <c r="G245" s="37">
        <f>IF(A245="","",IFERROR(INDEX(Criterios!$B$4:$C$83,MATCH(D245,Criterios!$A$4:$A$83,0),IF(E245="Dentro horario",1,2)),""))</f>
        <v/>
      </c>
      <c r="H245" s="37" t="n"/>
      <c r="I245" s="37">
        <f>IF(A245="","",IF(OR(F245="",G245=""),"",F245*G245+N(H245)))</f>
        <v/>
      </c>
      <c r="J245" s="36">
        <f>IF(A245="","",COUNTIF(Detalle_Pagos!$A$5:$A$2004,A245))</f>
        <v/>
      </c>
      <c r="K245" s="37">
        <f>IF(A245="","",IF(OR(J245=0,I245=""),"",I245/J245))</f>
        <v/>
      </c>
      <c r="L245" s="37">
        <f>IF(A245="","",SUMIF(Detalle_Pagos!$A$5:$A$2004,A245,Detalle_Pagos!$I$5:$I$2004))</f>
        <v/>
      </c>
      <c r="M245" s="37">
        <f>IF(A245="","",SUMIFS(Detalle_Pagos!$I$5:$I$2004,Detalle_Pagos!$A$5:$A$2004,A245,Detalle_Pagos!$J$5:$J$2004,"No"))</f>
        <v/>
      </c>
      <c r="N245" s="36">
        <f>IF(A245="","",IF(J245=0,"Sin detalle",IF(M245=0,"Pagada","Pendiente")))</f>
        <v/>
      </c>
      <c r="O245" s="36" t="n"/>
    </row>
    <row r="246">
      <c r="A246" s="38" t="n"/>
      <c r="B246" s="41" t="n"/>
      <c r="C246" s="38" t="n"/>
      <c r="D246" s="38" t="n"/>
      <c r="E246" s="38" t="n"/>
      <c r="F246" s="38" t="n"/>
      <c r="G246" s="39">
        <f>IF(A246="","",IFERROR(INDEX(Criterios!$B$4:$C$83,MATCH(D246,Criterios!$A$4:$A$83,0),IF(E246="Dentro horario",1,2)),""))</f>
        <v/>
      </c>
      <c r="H246" s="39" t="n"/>
      <c r="I246" s="39">
        <f>IF(A246="","",IF(OR(F246="",G246=""),"",F246*G246+N(H246)))</f>
        <v/>
      </c>
      <c r="J246" s="38">
        <f>IF(A246="","",COUNTIF(Detalle_Pagos!$A$5:$A$2004,A246))</f>
        <v/>
      </c>
      <c r="K246" s="39">
        <f>IF(A246="","",IF(OR(J246=0,I246=""),"",I246/J246))</f>
        <v/>
      </c>
      <c r="L246" s="39">
        <f>IF(A246="","",SUMIF(Detalle_Pagos!$A$5:$A$2004,A246,Detalle_Pagos!$I$5:$I$2004))</f>
        <v/>
      </c>
      <c r="M246" s="39">
        <f>IF(A246="","",SUMIFS(Detalle_Pagos!$I$5:$I$2004,Detalle_Pagos!$A$5:$A$2004,A246,Detalle_Pagos!$J$5:$J$2004,"No"))</f>
        <v/>
      </c>
      <c r="N246" s="38">
        <f>IF(A246="","",IF(J246=0,"Sin detalle",IF(M246=0,"Pagada","Pendiente")))</f>
        <v/>
      </c>
      <c r="O246" s="38" t="n"/>
    </row>
    <row r="247">
      <c r="A247" s="36" t="n"/>
      <c r="B247" s="40" t="n"/>
      <c r="C247" s="36" t="n"/>
      <c r="D247" s="36" t="n"/>
      <c r="E247" s="36" t="n"/>
      <c r="F247" s="36" t="n"/>
      <c r="G247" s="37">
        <f>IF(A247="","",IFERROR(INDEX(Criterios!$B$4:$C$83,MATCH(D247,Criterios!$A$4:$A$83,0),IF(E247="Dentro horario",1,2)),""))</f>
        <v/>
      </c>
      <c r="H247" s="37" t="n"/>
      <c r="I247" s="37">
        <f>IF(A247="","",IF(OR(F247="",G247=""),"",F247*G247+N(H247)))</f>
        <v/>
      </c>
      <c r="J247" s="36">
        <f>IF(A247="","",COUNTIF(Detalle_Pagos!$A$5:$A$2004,A247))</f>
        <v/>
      </c>
      <c r="K247" s="37">
        <f>IF(A247="","",IF(OR(J247=0,I247=""),"",I247/J247))</f>
        <v/>
      </c>
      <c r="L247" s="37">
        <f>IF(A247="","",SUMIF(Detalle_Pagos!$A$5:$A$2004,A247,Detalle_Pagos!$I$5:$I$2004))</f>
        <v/>
      </c>
      <c r="M247" s="37">
        <f>IF(A247="","",SUMIFS(Detalle_Pagos!$I$5:$I$2004,Detalle_Pagos!$A$5:$A$2004,A247,Detalle_Pagos!$J$5:$J$2004,"No"))</f>
        <v/>
      </c>
      <c r="N247" s="36">
        <f>IF(A247="","",IF(J247=0,"Sin detalle",IF(M247=0,"Pagada","Pendiente")))</f>
        <v/>
      </c>
      <c r="O247" s="36" t="n"/>
    </row>
    <row r="248">
      <c r="A248" s="38" t="n"/>
      <c r="B248" s="41" t="n"/>
      <c r="C248" s="38" t="n"/>
      <c r="D248" s="38" t="n"/>
      <c r="E248" s="38" t="n"/>
      <c r="F248" s="38" t="n"/>
      <c r="G248" s="39">
        <f>IF(A248="","",IFERROR(INDEX(Criterios!$B$4:$C$83,MATCH(D248,Criterios!$A$4:$A$83,0),IF(E248="Dentro horario",1,2)),""))</f>
        <v/>
      </c>
      <c r="H248" s="39" t="n"/>
      <c r="I248" s="39">
        <f>IF(A248="","",IF(OR(F248="",G248=""),"",F248*G248+N(H248)))</f>
        <v/>
      </c>
      <c r="J248" s="38">
        <f>IF(A248="","",COUNTIF(Detalle_Pagos!$A$5:$A$2004,A248))</f>
        <v/>
      </c>
      <c r="K248" s="39">
        <f>IF(A248="","",IF(OR(J248=0,I248=""),"",I248/J248))</f>
        <v/>
      </c>
      <c r="L248" s="39">
        <f>IF(A248="","",SUMIF(Detalle_Pagos!$A$5:$A$2004,A248,Detalle_Pagos!$I$5:$I$2004))</f>
        <v/>
      </c>
      <c r="M248" s="39">
        <f>IF(A248="","",SUMIFS(Detalle_Pagos!$I$5:$I$2004,Detalle_Pagos!$A$5:$A$2004,A248,Detalle_Pagos!$J$5:$J$2004,"No"))</f>
        <v/>
      </c>
      <c r="N248" s="38">
        <f>IF(A248="","",IF(J248=0,"Sin detalle",IF(M248=0,"Pagada","Pendiente")))</f>
        <v/>
      </c>
      <c r="O248" s="38" t="n"/>
    </row>
    <row r="249">
      <c r="A249" s="36" t="n"/>
      <c r="B249" s="40" t="n"/>
      <c r="C249" s="36" t="n"/>
      <c r="D249" s="36" t="n"/>
      <c r="E249" s="36" t="n"/>
      <c r="F249" s="36" t="n"/>
      <c r="G249" s="37">
        <f>IF(A249="","",IFERROR(INDEX(Criterios!$B$4:$C$83,MATCH(D249,Criterios!$A$4:$A$83,0),IF(E249="Dentro horario",1,2)),""))</f>
        <v/>
      </c>
      <c r="H249" s="37" t="n"/>
      <c r="I249" s="37">
        <f>IF(A249="","",IF(OR(F249="",G249=""),"",F249*G249+N(H249)))</f>
        <v/>
      </c>
      <c r="J249" s="36">
        <f>IF(A249="","",COUNTIF(Detalle_Pagos!$A$5:$A$2004,A249))</f>
        <v/>
      </c>
      <c r="K249" s="37">
        <f>IF(A249="","",IF(OR(J249=0,I249=""),"",I249/J249))</f>
        <v/>
      </c>
      <c r="L249" s="37">
        <f>IF(A249="","",SUMIF(Detalle_Pagos!$A$5:$A$2004,A249,Detalle_Pagos!$I$5:$I$2004))</f>
        <v/>
      </c>
      <c r="M249" s="37">
        <f>IF(A249="","",SUMIFS(Detalle_Pagos!$I$5:$I$2004,Detalle_Pagos!$A$5:$A$2004,A249,Detalle_Pagos!$J$5:$J$2004,"No"))</f>
        <v/>
      </c>
      <c r="N249" s="36">
        <f>IF(A249="","",IF(J249=0,"Sin detalle",IF(M249=0,"Pagada","Pendiente")))</f>
        <v/>
      </c>
      <c r="O249" s="36" t="n"/>
    </row>
    <row r="250">
      <c r="A250" s="38" t="n"/>
      <c r="B250" s="41" t="n"/>
      <c r="C250" s="38" t="n"/>
      <c r="D250" s="38" t="n"/>
      <c r="E250" s="38" t="n"/>
      <c r="F250" s="38" t="n"/>
      <c r="G250" s="39">
        <f>IF(A250="","",IFERROR(INDEX(Criterios!$B$4:$C$83,MATCH(D250,Criterios!$A$4:$A$83,0),IF(E250="Dentro horario",1,2)),""))</f>
        <v/>
      </c>
      <c r="H250" s="39" t="n"/>
      <c r="I250" s="39">
        <f>IF(A250="","",IF(OR(F250="",G250=""),"",F250*G250+N(H250)))</f>
        <v/>
      </c>
      <c r="J250" s="38">
        <f>IF(A250="","",COUNTIF(Detalle_Pagos!$A$5:$A$2004,A250))</f>
        <v/>
      </c>
      <c r="K250" s="39">
        <f>IF(A250="","",IF(OR(J250=0,I250=""),"",I250/J250))</f>
        <v/>
      </c>
      <c r="L250" s="39">
        <f>IF(A250="","",SUMIF(Detalle_Pagos!$A$5:$A$2004,A250,Detalle_Pagos!$I$5:$I$2004))</f>
        <v/>
      </c>
      <c r="M250" s="39">
        <f>IF(A250="","",SUMIFS(Detalle_Pagos!$I$5:$I$2004,Detalle_Pagos!$A$5:$A$2004,A250,Detalle_Pagos!$J$5:$J$2004,"No"))</f>
        <v/>
      </c>
      <c r="N250" s="38">
        <f>IF(A250="","",IF(J250=0,"Sin detalle",IF(M250=0,"Pagada","Pendiente")))</f>
        <v/>
      </c>
      <c r="O250" s="38" t="n"/>
    </row>
    <row r="251">
      <c r="A251" s="36" t="n"/>
      <c r="B251" s="40" t="n"/>
      <c r="C251" s="36" t="n"/>
      <c r="D251" s="36" t="n"/>
      <c r="E251" s="36" t="n"/>
      <c r="F251" s="36" t="n"/>
      <c r="G251" s="37">
        <f>IF(A251="","",IFERROR(INDEX(Criterios!$B$4:$C$83,MATCH(D251,Criterios!$A$4:$A$83,0),IF(E251="Dentro horario",1,2)),""))</f>
        <v/>
      </c>
      <c r="H251" s="37" t="n"/>
      <c r="I251" s="37">
        <f>IF(A251="","",IF(OR(F251="",G251=""),"",F251*G251+N(H251)))</f>
        <v/>
      </c>
      <c r="J251" s="36">
        <f>IF(A251="","",COUNTIF(Detalle_Pagos!$A$5:$A$2004,A251))</f>
        <v/>
      </c>
      <c r="K251" s="37">
        <f>IF(A251="","",IF(OR(J251=0,I251=""),"",I251/J251))</f>
        <v/>
      </c>
      <c r="L251" s="37">
        <f>IF(A251="","",SUMIF(Detalle_Pagos!$A$5:$A$2004,A251,Detalle_Pagos!$I$5:$I$2004))</f>
        <v/>
      </c>
      <c r="M251" s="37">
        <f>IF(A251="","",SUMIFS(Detalle_Pagos!$I$5:$I$2004,Detalle_Pagos!$A$5:$A$2004,A251,Detalle_Pagos!$J$5:$J$2004,"No"))</f>
        <v/>
      </c>
      <c r="N251" s="36">
        <f>IF(A251="","",IF(J251=0,"Sin detalle",IF(M251=0,"Pagada","Pendiente")))</f>
        <v/>
      </c>
      <c r="O251" s="36" t="n"/>
    </row>
    <row r="252">
      <c r="A252" s="38" t="n"/>
      <c r="B252" s="41" t="n"/>
      <c r="C252" s="38" t="n"/>
      <c r="D252" s="38" t="n"/>
      <c r="E252" s="38" t="n"/>
      <c r="F252" s="38" t="n"/>
      <c r="G252" s="39">
        <f>IF(A252="","",IFERROR(INDEX(Criterios!$B$4:$C$83,MATCH(D252,Criterios!$A$4:$A$83,0),IF(E252="Dentro horario",1,2)),""))</f>
        <v/>
      </c>
      <c r="H252" s="39" t="n"/>
      <c r="I252" s="39">
        <f>IF(A252="","",IF(OR(F252="",G252=""),"",F252*G252+N(H252)))</f>
        <v/>
      </c>
      <c r="J252" s="38">
        <f>IF(A252="","",COUNTIF(Detalle_Pagos!$A$5:$A$2004,A252))</f>
        <v/>
      </c>
      <c r="K252" s="39">
        <f>IF(A252="","",IF(OR(J252=0,I252=""),"",I252/J252))</f>
        <v/>
      </c>
      <c r="L252" s="39">
        <f>IF(A252="","",SUMIF(Detalle_Pagos!$A$5:$A$2004,A252,Detalle_Pagos!$I$5:$I$2004))</f>
        <v/>
      </c>
      <c r="M252" s="39">
        <f>IF(A252="","",SUMIFS(Detalle_Pagos!$I$5:$I$2004,Detalle_Pagos!$A$5:$A$2004,A252,Detalle_Pagos!$J$5:$J$2004,"No"))</f>
        <v/>
      </c>
      <c r="N252" s="38">
        <f>IF(A252="","",IF(J252=0,"Sin detalle",IF(M252=0,"Pagada","Pendiente")))</f>
        <v/>
      </c>
      <c r="O252" s="38" t="n"/>
    </row>
    <row r="253">
      <c r="A253" s="36" t="n"/>
      <c r="B253" s="40" t="n"/>
      <c r="C253" s="36" t="n"/>
      <c r="D253" s="36" t="n"/>
      <c r="E253" s="36" t="n"/>
      <c r="F253" s="36" t="n"/>
      <c r="G253" s="37">
        <f>IF(A253="","",IFERROR(INDEX(Criterios!$B$4:$C$83,MATCH(D253,Criterios!$A$4:$A$83,0),IF(E253="Dentro horario",1,2)),""))</f>
        <v/>
      </c>
      <c r="H253" s="37" t="n"/>
      <c r="I253" s="37">
        <f>IF(A253="","",IF(OR(F253="",G253=""),"",F253*G253+N(H253)))</f>
        <v/>
      </c>
      <c r="J253" s="36">
        <f>IF(A253="","",COUNTIF(Detalle_Pagos!$A$5:$A$2004,A253))</f>
        <v/>
      </c>
      <c r="K253" s="37">
        <f>IF(A253="","",IF(OR(J253=0,I253=""),"",I253/J253))</f>
        <v/>
      </c>
      <c r="L253" s="37">
        <f>IF(A253="","",SUMIF(Detalle_Pagos!$A$5:$A$2004,A253,Detalle_Pagos!$I$5:$I$2004))</f>
        <v/>
      </c>
      <c r="M253" s="37">
        <f>IF(A253="","",SUMIFS(Detalle_Pagos!$I$5:$I$2004,Detalle_Pagos!$A$5:$A$2004,A253,Detalle_Pagos!$J$5:$J$2004,"No"))</f>
        <v/>
      </c>
      <c r="N253" s="36">
        <f>IF(A253="","",IF(J253=0,"Sin detalle",IF(M253=0,"Pagada","Pendiente")))</f>
        <v/>
      </c>
      <c r="O253" s="36" t="n"/>
    </row>
    <row r="254">
      <c r="A254" s="38" t="n"/>
      <c r="B254" s="41" t="n"/>
      <c r="C254" s="38" t="n"/>
      <c r="D254" s="38" t="n"/>
      <c r="E254" s="38" t="n"/>
      <c r="F254" s="38" t="n"/>
      <c r="G254" s="39">
        <f>IF(A254="","",IFERROR(INDEX(Criterios!$B$4:$C$83,MATCH(D254,Criterios!$A$4:$A$83,0),IF(E254="Dentro horario",1,2)),""))</f>
        <v/>
      </c>
      <c r="H254" s="39" t="n"/>
      <c r="I254" s="39">
        <f>IF(A254="","",IF(OR(F254="",G254=""),"",F254*G254+N(H254)))</f>
        <v/>
      </c>
      <c r="J254" s="38">
        <f>IF(A254="","",COUNTIF(Detalle_Pagos!$A$5:$A$2004,A254))</f>
        <v/>
      </c>
      <c r="K254" s="39">
        <f>IF(A254="","",IF(OR(J254=0,I254=""),"",I254/J254))</f>
        <v/>
      </c>
      <c r="L254" s="39">
        <f>IF(A254="","",SUMIF(Detalle_Pagos!$A$5:$A$2004,A254,Detalle_Pagos!$I$5:$I$2004))</f>
        <v/>
      </c>
      <c r="M254" s="39">
        <f>IF(A254="","",SUMIFS(Detalle_Pagos!$I$5:$I$2004,Detalle_Pagos!$A$5:$A$2004,A254,Detalle_Pagos!$J$5:$J$2004,"No"))</f>
        <v/>
      </c>
      <c r="N254" s="38">
        <f>IF(A254="","",IF(J254=0,"Sin detalle",IF(M254=0,"Pagada","Pendiente")))</f>
        <v/>
      </c>
      <c r="O254" s="38" t="n"/>
    </row>
    <row r="255">
      <c r="A255" s="36" t="n"/>
      <c r="B255" s="40" t="n"/>
      <c r="C255" s="36" t="n"/>
      <c r="D255" s="36" t="n"/>
      <c r="E255" s="36" t="n"/>
      <c r="F255" s="36" t="n"/>
      <c r="G255" s="37">
        <f>IF(A255="","",IFERROR(INDEX(Criterios!$B$4:$C$83,MATCH(D255,Criterios!$A$4:$A$83,0),IF(E255="Dentro horario",1,2)),""))</f>
        <v/>
      </c>
      <c r="H255" s="37" t="n"/>
      <c r="I255" s="37">
        <f>IF(A255="","",IF(OR(F255="",G255=""),"",F255*G255+N(H255)))</f>
        <v/>
      </c>
      <c r="J255" s="36">
        <f>IF(A255="","",COUNTIF(Detalle_Pagos!$A$5:$A$2004,A255))</f>
        <v/>
      </c>
      <c r="K255" s="37">
        <f>IF(A255="","",IF(OR(J255=0,I255=""),"",I255/J255))</f>
        <v/>
      </c>
      <c r="L255" s="37">
        <f>IF(A255="","",SUMIF(Detalle_Pagos!$A$5:$A$2004,A255,Detalle_Pagos!$I$5:$I$2004))</f>
        <v/>
      </c>
      <c r="M255" s="37">
        <f>IF(A255="","",SUMIFS(Detalle_Pagos!$I$5:$I$2004,Detalle_Pagos!$A$5:$A$2004,A255,Detalle_Pagos!$J$5:$J$2004,"No"))</f>
        <v/>
      </c>
      <c r="N255" s="36">
        <f>IF(A255="","",IF(J255=0,"Sin detalle",IF(M255=0,"Pagada","Pendiente")))</f>
        <v/>
      </c>
      <c r="O255" s="36" t="n"/>
    </row>
    <row r="256">
      <c r="A256" s="38" t="n"/>
      <c r="B256" s="41" t="n"/>
      <c r="C256" s="38" t="n"/>
      <c r="D256" s="38" t="n"/>
      <c r="E256" s="38" t="n"/>
      <c r="F256" s="38" t="n"/>
      <c r="G256" s="39">
        <f>IF(A256="","",IFERROR(INDEX(Criterios!$B$4:$C$83,MATCH(D256,Criterios!$A$4:$A$83,0),IF(E256="Dentro horario",1,2)),""))</f>
        <v/>
      </c>
      <c r="H256" s="39" t="n"/>
      <c r="I256" s="39">
        <f>IF(A256="","",IF(OR(F256="",G256=""),"",F256*G256+N(H256)))</f>
        <v/>
      </c>
      <c r="J256" s="38">
        <f>IF(A256="","",COUNTIF(Detalle_Pagos!$A$5:$A$2004,A256))</f>
        <v/>
      </c>
      <c r="K256" s="39">
        <f>IF(A256="","",IF(OR(J256=0,I256=""),"",I256/J256))</f>
        <v/>
      </c>
      <c r="L256" s="39">
        <f>IF(A256="","",SUMIF(Detalle_Pagos!$A$5:$A$2004,A256,Detalle_Pagos!$I$5:$I$2004))</f>
        <v/>
      </c>
      <c r="M256" s="39">
        <f>IF(A256="","",SUMIFS(Detalle_Pagos!$I$5:$I$2004,Detalle_Pagos!$A$5:$A$2004,A256,Detalle_Pagos!$J$5:$J$2004,"No"))</f>
        <v/>
      </c>
      <c r="N256" s="38">
        <f>IF(A256="","",IF(J256=0,"Sin detalle",IF(M256=0,"Pagada","Pendiente")))</f>
        <v/>
      </c>
      <c r="O256" s="38" t="n"/>
    </row>
    <row r="257">
      <c r="A257" s="36" t="n"/>
      <c r="B257" s="40" t="n"/>
      <c r="C257" s="36" t="n"/>
      <c r="D257" s="36" t="n"/>
      <c r="E257" s="36" t="n"/>
      <c r="F257" s="36" t="n"/>
      <c r="G257" s="37">
        <f>IF(A257="","",IFERROR(INDEX(Criterios!$B$4:$C$83,MATCH(D257,Criterios!$A$4:$A$83,0),IF(E257="Dentro horario",1,2)),""))</f>
        <v/>
      </c>
      <c r="H257" s="37" t="n"/>
      <c r="I257" s="37">
        <f>IF(A257="","",IF(OR(F257="",G257=""),"",F257*G257+N(H257)))</f>
        <v/>
      </c>
      <c r="J257" s="36">
        <f>IF(A257="","",COUNTIF(Detalle_Pagos!$A$5:$A$2004,A257))</f>
        <v/>
      </c>
      <c r="K257" s="37">
        <f>IF(A257="","",IF(OR(J257=0,I257=""),"",I257/J257))</f>
        <v/>
      </c>
      <c r="L257" s="37">
        <f>IF(A257="","",SUMIF(Detalle_Pagos!$A$5:$A$2004,A257,Detalle_Pagos!$I$5:$I$2004))</f>
        <v/>
      </c>
      <c r="M257" s="37">
        <f>IF(A257="","",SUMIFS(Detalle_Pagos!$I$5:$I$2004,Detalle_Pagos!$A$5:$A$2004,A257,Detalle_Pagos!$J$5:$J$2004,"No"))</f>
        <v/>
      </c>
      <c r="N257" s="36">
        <f>IF(A257="","",IF(J257=0,"Sin detalle",IF(M257=0,"Pagada","Pendiente")))</f>
        <v/>
      </c>
      <c r="O257" s="36" t="n"/>
    </row>
    <row r="258">
      <c r="A258" s="38" t="n"/>
      <c r="B258" s="41" t="n"/>
      <c r="C258" s="38" t="n"/>
      <c r="D258" s="38" t="n"/>
      <c r="E258" s="38" t="n"/>
      <c r="F258" s="38" t="n"/>
      <c r="G258" s="39">
        <f>IF(A258="","",IFERROR(INDEX(Criterios!$B$4:$C$83,MATCH(D258,Criterios!$A$4:$A$83,0),IF(E258="Dentro horario",1,2)),""))</f>
        <v/>
      </c>
      <c r="H258" s="39" t="n"/>
      <c r="I258" s="39">
        <f>IF(A258="","",IF(OR(F258="",G258=""),"",F258*G258+N(H258)))</f>
        <v/>
      </c>
      <c r="J258" s="38">
        <f>IF(A258="","",COUNTIF(Detalle_Pagos!$A$5:$A$2004,A258))</f>
        <v/>
      </c>
      <c r="K258" s="39">
        <f>IF(A258="","",IF(OR(J258=0,I258=""),"",I258/J258))</f>
        <v/>
      </c>
      <c r="L258" s="39">
        <f>IF(A258="","",SUMIF(Detalle_Pagos!$A$5:$A$2004,A258,Detalle_Pagos!$I$5:$I$2004))</f>
        <v/>
      </c>
      <c r="M258" s="39">
        <f>IF(A258="","",SUMIFS(Detalle_Pagos!$I$5:$I$2004,Detalle_Pagos!$A$5:$A$2004,A258,Detalle_Pagos!$J$5:$J$2004,"No"))</f>
        <v/>
      </c>
      <c r="N258" s="38">
        <f>IF(A258="","",IF(J258=0,"Sin detalle",IF(M258=0,"Pagada","Pendiente")))</f>
        <v/>
      </c>
      <c r="O258" s="38" t="n"/>
    </row>
    <row r="259">
      <c r="A259" s="36" t="n"/>
      <c r="B259" s="40" t="n"/>
      <c r="C259" s="36" t="n"/>
      <c r="D259" s="36" t="n"/>
      <c r="E259" s="36" t="n"/>
      <c r="F259" s="36" t="n"/>
      <c r="G259" s="37">
        <f>IF(A259="","",IFERROR(INDEX(Criterios!$B$4:$C$83,MATCH(D259,Criterios!$A$4:$A$83,0),IF(E259="Dentro horario",1,2)),""))</f>
        <v/>
      </c>
      <c r="H259" s="37" t="n"/>
      <c r="I259" s="37">
        <f>IF(A259="","",IF(OR(F259="",G259=""),"",F259*G259+N(H259)))</f>
        <v/>
      </c>
      <c r="J259" s="36">
        <f>IF(A259="","",COUNTIF(Detalle_Pagos!$A$5:$A$2004,A259))</f>
        <v/>
      </c>
      <c r="K259" s="37">
        <f>IF(A259="","",IF(OR(J259=0,I259=""),"",I259/J259))</f>
        <v/>
      </c>
      <c r="L259" s="37">
        <f>IF(A259="","",SUMIF(Detalle_Pagos!$A$5:$A$2004,A259,Detalle_Pagos!$I$5:$I$2004))</f>
        <v/>
      </c>
      <c r="M259" s="37">
        <f>IF(A259="","",SUMIFS(Detalle_Pagos!$I$5:$I$2004,Detalle_Pagos!$A$5:$A$2004,A259,Detalle_Pagos!$J$5:$J$2004,"No"))</f>
        <v/>
      </c>
      <c r="N259" s="36">
        <f>IF(A259="","",IF(J259=0,"Sin detalle",IF(M259=0,"Pagada","Pendiente")))</f>
        <v/>
      </c>
      <c r="O259" s="36" t="n"/>
    </row>
    <row r="260">
      <c r="A260" s="38" t="n"/>
      <c r="B260" s="41" t="n"/>
      <c r="C260" s="38" t="n"/>
      <c r="D260" s="38" t="n"/>
      <c r="E260" s="38" t="n"/>
      <c r="F260" s="38" t="n"/>
      <c r="G260" s="39">
        <f>IF(A260="","",IFERROR(INDEX(Criterios!$B$4:$C$83,MATCH(D260,Criterios!$A$4:$A$83,0),IF(E260="Dentro horario",1,2)),""))</f>
        <v/>
      </c>
      <c r="H260" s="39" t="n"/>
      <c r="I260" s="39">
        <f>IF(A260="","",IF(OR(F260="",G260=""),"",F260*G260+N(H260)))</f>
        <v/>
      </c>
      <c r="J260" s="38">
        <f>IF(A260="","",COUNTIF(Detalle_Pagos!$A$5:$A$2004,A260))</f>
        <v/>
      </c>
      <c r="K260" s="39">
        <f>IF(A260="","",IF(OR(J260=0,I260=""),"",I260/J260))</f>
        <v/>
      </c>
      <c r="L260" s="39">
        <f>IF(A260="","",SUMIF(Detalle_Pagos!$A$5:$A$2004,A260,Detalle_Pagos!$I$5:$I$2004))</f>
        <v/>
      </c>
      <c r="M260" s="39">
        <f>IF(A260="","",SUMIFS(Detalle_Pagos!$I$5:$I$2004,Detalle_Pagos!$A$5:$A$2004,A260,Detalle_Pagos!$J$5:$J$2004,"No"))</f>
        <v/>
      </c>
      <c r="N260" s="38">
        <f>IF(A260="","",IF(J260=0,"Sin detalle",IF(M260=0,"Pagada","Pendiente")))</f>
        <v/>
      </c>
      <c r="O260" s="38" t="n"/>
    </row>
    <row r="261">
      <c r="A261" s="36" t="n"/>
      <c r="B261" s="40" t="n"/>
      <c r="C261" s="36" t="n"/>
      <c r="D261" s="36" t="n"/>
      <c r="E261" s="36" t="n"/>
      <c r="F261" s="36" t="n"/>
      <c r="G261" s="37">
        <f>IF(A261="","",IFERROR(INDEX(Criterios!$B$4:$C$83,MATCH(D261,Criterios!$A$4:$A$83,0),IF(E261="Dentro horario",1,2)),""))</f>
        <v/>
      </c>
      <c r="H261" s="37" t="n"/>
      <c r="I261" s="37">
        <f>IF(A261="","",IF(OR(F261="",G261=""),"",F261*G261+N(H261)))</f>
        <v/>
      </c>
      <c r="J261" s="36">
        <f>IF(A261="","",COUNTIF(Detalle_Pagos!$A$5:$A$2004,A261))</f>
        <v/>
      </c>
      <c r="K261" s="37">
        <f>IF(A261="","",IF(OR(J261=0,I261=""),"",I261/J261))</f>
        <v/>
      </c>
      <c r="L261" s="37">
        <f>IF(A261="","",SUMIF(Detalle_Pagos!$A$5:$A$2004,A261,Detalle_Pagos!$I$5:$I$2004))</f>
        <v/>
      </c>
      <c r="M261" s="37">
        <f>IF(A261="","",SUMIFS(Detalle_Pagos!$I$5:$I$2004,Detalle_Pagos!$A$5:$A$2004,A261,Detalle_Pagos!$J$5:$J$2004,"No"))</f>
        <v/>
      </c>
      <c r="N261" s="36">
        <f>IF(A261="","",IF(J261=0,"Sin detalle",IF(M261=0,"Pagada","Pendiente")))</f>
        <v/>
      </c>
      <c r="O261" s="36" t="n"/>
    </row>
    <row r="262">
      <c r="A262" s="38" t="n"/>
      <c r="B262" s="41" t="n"/>
      <c r="C262" s="38" t="n"/>
      <c r="D262" s="38" t="n"/>
      <c r="E262" s="38" t="n"/>
      <c r="F262" s="38" t="n"/>
      <c r="G262" s="39">
        <f>IF(A262="","",IFERROR(INDEX(Criterios!$B$4:$C$83,MATCH(D262,Criterios!$A$4:$A$83,0),IF(E262="Dentro horario",1,2)),""))</f>
        <v/>
      </c>
      <c r="H262" s="39" t="n"/>
      <c r="I262" s="39">
        <f>IF(A262="","",IF(OR(F262="",G262=""),"",F262*G262+N(H262)))</f>
        <v/>
      </c>
      <c r="J262" s="38">
        <f>IF(A262="","",COUNTIF(Detalle_Pagos!$A$5:$A$2004,A262))</f>
        <v/>
      </c>
      <c r="K262" s="39">
        <f>IF(A262="","",IF(OR(J262=0,I262=""),"",I262/J262))</f>
        <v/>
      </c>
      <c r="L262" s="39">
        <f>IF(A262="","",SUMIF(Detalle_Pagos!$A$5:$A$2004,A262,Detalle_Pagos!$I$5:$I$2004))</f>
        <v/>
      </c>
      <c r="M262" s="39">
        <f>IF(A262="","",SUMIFS(Detalle_Pagos!$I$5:$I$2004,Detalle_Pagos!$A$5:$A$2004,A262,Detalle_Pagos!$J$5:$J$2004,"No"))</f>
        <v/>
      </c>
      <c r="N262" s="38">
        <f>IF(A262="","",IF(J262=0,"Sin detalle",IF(M262=0,"Pagada","Pendiente")))</f>
        <v/>
      </c>
      <c r="O262" s="38" t="n"/>
    </row>
    <row r="263">
      <c r="A263" s="36" t="n"/>
      <c r="B263" s="40" t="n"/>
      <c r="C263" s="36" t="n"/>
      <c r="D263" s="36" t="n"/>
      <c r="E263" s="36" t="n"/>
      <c r="F263" s="36" t="n"/>
      <c r="G263" s="37">
        <f>IF(A263="","",IFERROR(INDEX(Criterios!$B$4:$C$83,MATCH(D263,Criterios!$A$4:$A$83,0),IF(E263="Dentro horario",1,2)),""))</f>
        <v/>
      </c>
      <c r="H263" s="37" t="n"/>
      <c r="I263" s="37">
        <f>IF(A263="","",IF(OR(F263="",G263=""),"",F263*G263+N(H263)))</f>
        <v/>
      </c>
      <c r="J263" s="36">
        <f>IF(A263="","",COUNTIF(Detalle_Pagos!$A$5:$A$2004,A263))</f>
        <v/>
      </c>
      <c r="K263" s="37">
        <f>IF(A263="","",IF(OR(J263=0,I263=""),"",I263/J263))</f>
        <v/>
      </c>
      <c r="L263" s="37">
        <f>IF(A263="","",SUMIF(Detalle_Pagos!$A$5:$A$2004,A263,Detalle_Pagos!$I$5:$I$2004))</f>
        <v/>
      </c>
      <c r="M263" s="37">
        <f>IF(A263="","",SUMIFS(Detalle_Pagos!$I$5:$I$2004,Detalle_Pagos!$A$5:$A$2004,A263,Detalle_Pagos!$J$5:$J$2004,"No"))</f>
        <v/>
      </c>
      <c r="N263" s="36">
        <f>IF(A263="","",IF(J263=0,"Sin detalle",IF(M263=0,"Pagada","Pendiente")))</f>
        <v/>
      </c>
      <c r="O263" s="36" t="n"/>
    </row>
    <row r="264">
      <c r="A264" s="38" t="n"/>
      <c r="B264" s="41" t="n"/>
      <c r="C264" s="38" t="n"/>
      <c r="D264" s="38" t="n"/>
      <c r="E264" s="38" t="n"/>
      <c r="F264" s="38" t="n"/>
      <c r="G264" s="39">
        <f>IF(A264="","",IFERROR(INDEX(Criterios!$B$4:$C$83,MATCH(D264,Criterios!$A$4:$A$83,0),IF(E264="Dentro horario",1,2)),""))</f>
        <v/>
      </c>
      <c r="H264" s="39" t="n"/>
      <c r="I264" s="39">
        <f>IF(A264="","",IF(OR(F264="",G264=""),"",F264*G264+N(H264)))</f>
        <v/>
      </c>
      <c r="J264" s="38">
        <f>IF(A264="","",COUNTIF(Detalle_Pagos!$A$5:$A$2004,A264))</f>
        <v/>
      </c>
      <c r="K264" s="39">
        <f>IF(A264="","",IF(OR(J264=0,I264=""),"",I264/J264))</f>
        <v/>
      </c>
      <c r="L264" s="39">
        <f>IF(A264="","",SUMIF(Detalle_Pagos!$A$5:$A$2004,A264,Detalle_Pagos!$I$5:$I$2004))</f>
        <v/>
      </c>
      <c r="M264" s="39">
        <f>IF(A264="","",SUMIFS(Detalle_Pagos!$I$5:$I$2004,Detalle_Pagos!$A$5:$A$2004,A264,Detalle_Pagos!$J$5:$J$2004,"No"))</f>
        <v/>
      </c>
      <c r="N264" s="38">
        <f>IF(A264="","",IF(J264=0,"Sin detalle",IF(M264=0,"Pagada","Pendiente")))</f>
        <v/>
      </c>
      <c r="O264" s="38" t="n"/>
    </row>
    <row r="265">
      <c r="A265" s="36" t="n"/>
      <c r="B265" s="40" t="n"/>
      <c r="C265" s="36" t="n"/>
      <c r="D265" s="36" t="n"/>
      <c r="E265" s="36" t="n"/>
      <c r="F265" s="36" t="n"/>
      <c r="G265" s="37">
        <f>IF(A265="","",IFERROR(INDEX(Criterios!$B$4:$C$83,MATCH(D265,Criterios!$A$4:$A$83,0),IF(E265="Dentro horario",1,2)),""))</f>
        <v/>
      </c>
      <c r="H265" s="37" t="n"/>
      <c r="I265" s="37">
        <f>IF(A265="","",IF(OR(F265="",G265=""),"",F265*G265+N(H265)))</f>
        <v/>
      </c>
      <c r="J265" s="36">
        <f>IF(A265="","",COUNTIF(Detalle_Pagos!$A$5:$A$2004,A265))</f>
        <v/>
      </c>
      <c r="K265" s="37">
        <f>IF(A265="","",IF(OR(J265=0,I265=""),"",I265/J265))</f>
        <v/>
      </c>
      <c r="L265" s="37">
        <f>IF(A265="","",SUMIF(Detalle_Pagos!$A$5:$A$2004,A265,Detalle_Pagos!$I$5:$I$2004))</f>
        <v/>
      </c>
      <c r="M265" s="37">
        <f>IF(A265="","",SUMIFS(Detalle_Pagos!$I$5:$I$2004,Detalle_Pagos!$A$5:$A$2004,A265,Detalle_Pagos!$J$5:$J$2004,"No"))</f>
        <v/>
      </c>
      <c r="N265" s="36">
        <f>IF(A265="","",IF(J265=0,"Sin detalle",IF(M265=0,"Pagada","Pendiente")))</f>
        <v/>
      </c>
      <c r="O265" s="36" t="n"/>
    </row>
    <row r="266">
      <c r="A266" s="38" t="n"/>
      <c r="B266" s="41" t="n"/>
      <c r="C266" s="38" t="n"/>
      <c r="D266" s="38" t="n"/>
      <c r="E266" s="38" t="n"/>
      <c r="F266" s="38" t="n"/>
      <c r="G266" s="39">
        <f>IF(A266="","",IFERROR(INDEX(Criterios!$B$4:$C$83,MATCH(D266,Criterios!$A$4:$A$83,0),IF(E266="Dentro horario",1,2)),""))</f>
        <v/>
      </c>
      <c r="H266" s="39" t="n"/>
      <c r="I266" s="39">
        <f>IF(A266="","",IF(OR(F266="",G266=""),"",F266*G266+N(H266)))</f>
        <v/>
      </c>
      <c r="J266" s="38">
        <f>IF(A266="","",COUNTIF(Detalle_Pagos!$A$5:$A$2004,A266))</f>
        <v/>
      </c>
      <c r="K266" s="39">
        <f>IF(A266="","",IF(OR(J266=0,I266=""),"",I266/J266))</f>
        <v/>
      </c>
      <c r="L266" s="39">
        <f>IF(A266="","",SUMIF(Detalle_Pagos!$A$5:$A$2004,A266,Detalle_Pagos!$I$5:$I$2004))</f>
        <v/>
      </c>
      <c r="M266" s="39">
        <f>IF(A266="","",SUMIFS(Detalle_Pagos!$I$5:$I$2004,Detalle_Pagos!$A$5:$A$2004,A266,Detalle_Pagos!$J$5:$J$2004,"No"))</f>
        <v/>
      </c>
      <c r="N266" s="38">
        <f>IF(A266="","",IF(J266=0,"Sin detalle",IF(M266=0,"Pagada","Pendiente")))</f>
        <v/>
      </c>
      <c r="O266" s="38" t="n"/>
    </row>
    <row r="267">
      <c r="A267" s="36" t="n"/>
      <c r="B267" s="40" t="n"/>
      <c r="C267" s="36" t="n"/>
      <c r="D267" s="36" t="n"/>
      <c r="E267" s="36" t="n"/>
      <c r="F267" s="36" t="n"/>
      <c r="G267" s="37">
        <f>IF(A267="","",IFERROR(INDEX(Criterios!$B$4:$C$83,MATCH(D267,Criterios!$A$4:$A$83,0),IF(E267="Dentro horario",1,2)),""))</f>
        <v/>
      </c>
      <c r="H267" s="37" t="n"/>
      <c r="I267" s="37">
        <f>IF(A267="","",IF(OR(F267="",G267=""),"",F267*G267+N(H267)))</f>
        <v/>
      </c>
      <c r="J267" s="36">
        <f>IF(A267="","",COUNTIF(Detalle_Pagos!$A$5:$A$2004,A267))</f>
        <v/>
      </c>
      <c r="K267" s="37">
        <f>IF(A267="","",IF(OR(J267=0,I267=""),"",I267/J267))</f>
        <v/>
      </c>
      <c r="L267" s="37">
        <f>IF(A267="","",SUMIF(Detalle_Pagos!$A$5:$A$2004,A267,Detalle_Pagos!$I$5:$I$2004))</f>
        <v/>
      </c>
      <c r="M267" s="37">
        <f>IF(A267="","",SUMIFS(Detalle_Pagos!$I$5:$I$2004,Detalle_Pagos!$A$5:$A$2004,A267,Detalle_Pagos!$J$5:$J$2004,"No"))</f>
        <v/>
      </c>
      <c r="N267" s="36">
        <f>IF(A267="","",IF(J267=0,"Sin detalle",IF(M267=0,"Pagada","Pendiente")))</f>
        <v/>
      </c>
      <c r="O267" s="36" t="n"/>
    </row>
    <row r="268">
      <c r="A268" s="38" t="n"/>
      <c r="B268" s="41" t="n"/>
      <c r="C268" s="38" t="n"/>
      <c r="D268" s="38" t="n"/>
      <c r="E268" s="38" t="n"/>
      <c r="F268" s="38" t="n"/>
      <c r="G268" s="39">
        <f>IF(A268="","",IFERROR(INDEX(Criterios!$B$4:$C$83,MATCH(D268,Criterios!$A$4:$A$83,0),IF(E268="Dentro horario",1,2)),""))</f>
        <v/>
      </c>
      <c r="H268" s="39" t="n"/>
      <c r="I268" s="39">
        <f>IF(A268="","",IF(OR(F268="",G268=""),"",F268*G268+N(H268)))</f>
        <v/>
      </c>
      <c r="J268" s="38">
        <f>IF(A268="","",COUNTIF(Detalle_Pagos!$A$5:$A$2004,A268))</f>
        <v/>
      </c>
      <c r="K268" s="39">
        <f>IF(A268="","",IF(OR(J268=0,I268=""),"",I268/J268))</f>
        <v/>
      </c>
      <c r="L268" s="39">
        <f>IF(A268="","",SUMIF(Detalle_Pagos!$A$5:$A$2004,A268,Detalle_Pagos!$I$5:$I$2004))</f>
        <v/>
      </c>
      <c r="M268" s="39">
        <f>IF(A268="","",SUMIFS(Detalle_Pagos!$I$5:$I$2004,Detalle_Pagos!$A$5:$A$2004,A268,Detalle_Pagos!$J$5:$J$2004,"No"))</f>
        <v/>
      </c>
      <c r="N268" s="38">
        <f>IF(A268="","",IF(J268=0,"Sin detalle",IF(M268=0,"Pagada","Pendiente")))</f>
        <v/>
      </c>
      <c r="O268" s="38" t="n"/>
    </row>
    <row r="269">
      <c r="A269" s="36" t="n"/>
      <c r="B269" s="40" t="n"/>
      <c r="C269" s="36" t="n"/>
      <c r="D269" s="36" t="n"/>
      <c r="E269" s="36" t="n"/>
      <c r="F269" s="36" t="n"/>
      <c r="G269" s="37">
        <f>IF(A269="","",IFERROR(INDEX(Criterios!$B$4:$C$83,MATCH(D269,Criterios!$A$4:$A$83,0),IF(E269="Dentro horario",1,2)),""))</f>
        <v/>
      </c>
      <c r="H269" s="37" t="n"/>
      <c r="I269" s="37">
        <f>IF(A269="","",IF(OR(F269="",G269=""),"",F269*G269+N(H269)))</f>
        <v/>
      </c>
      <c r="J269" s="36">
        <f>IF(A269="","",COUNTIF(Detalle_Pagos!$A$5:$A$2004,A269))</f>
        <v/>
      </c>
      <c r="K269" s="37">
        <f>IF(A269="","",IF(OR(J269=0,I269=""),"",I269/J269))</f>
        <v/>
      </c>
      <c r="L269" s="37">
        <f>IF(A269="","",SUMIF(Detalle_Pagos!$A$5:$A$2004,A269,Detalle_Pagos!$I$5:$I$2004))</f>
        <v/>
      </c>
      <c r="M269" s="37">
        <f>IF(A269="","",SUMIFS(Detalle_Pagos!$I$5:$I$2004,Detalle_Pagos!$A$5:$A$2004,A269,Detalle_Pagos!$J$5:$J$2004,"No"))</f>
        <v/>
      </c>
      <c r="N269" s="36">
        <f>IF(A269="","",IF(J269=0,"Sin detalle",IF(M269=0,"Pagada","Pendiente")))</f>
        <v/>
      </c>
      <c r="O269" s="36" t="n"/>
    </row>
    <row r="270">
      <c r="A270" s="38" t="n"/>
      <c r="B270" s="41" t="n"/>
      <c r="C270" s="38" t="n"/>
      <c r="D270" s="38" t="n"/>
      <c r="E270" s="38" t="n"/>
      <c r="F270" s="38" t="n"/>
      <c r="G270" s="39">
        <f>IF(A270="","",IFERROR(INDEX(Criterios!$B$4:$C$83,MATCH(D270,Criterios!$A$4:$A$83,0),IF(E270="Dentro horario",1,2)),""))</f>
        <v/>
      </c>
      <c r="H270" s="39" t="n"/>
      <c r="I270" s="39">
        <f>IF(A270="","",IF(OR(F270="",G270=""),"",F270*G270+N(H270)))</f>
        <v/>
      </c>
      <c r="J270" s="38">
        <f>IF(A270="","",COUNTIF(Detalle_Pagos!$A$5:$A$2004,A270))</f>
        <v/>
      </c>
      <c r="K270" s="39">
        <f>IF(A270="","",IF(OR(J270=0,I270=""),"",I270/J270))</f>
        <v/>
      </c>
      <c r="L270" s="39">
        <f>IF(A270="","",SUMIF(Detalle_Pagos!$A$5:$A$2004,A270,Detalle_Pagos!$I$5:$I$2004))</f>
        <v/>
      </c>
      <c r="M270" s="39">
        <f>IF(A270="","",SUMIFS(Detalle_Pagos!$I$5:$I$2004,Detalle_Pagos!$A$5:$A$2004,A270,Detalle_Pagos!$J$5:$J$2004,"No"))</f>
        <v/>
      </c>
      <c r="N270" s="38">
        <f>IF(A270="","",IF(J270=0,"Sin detalle",IF(M270=0,"Pagada","Pendiente")))</f>
        <v/>
      </c>
      <c r="O270" s="38" t="n"/>
    </row>
    <row r="271">
      <c r="A271" s="36" t="n"/>
      <c r="B271" s="40" t="n"/>
      <c r="C271" s="36" t="n"/>
      <c r="D271" s="36" t="n"/>
      <c r="E271" s="36" t="n"/>
      <c r="F271" s="36" t="n"/>
      <c r="G271" s="37">
        <f>IF(A271="","",IFERROR(INDEX(Criterios!$B$4:$C$83,MATCH(D271,Criterios!$A$4:$A$83,0),IF(E271="Dentro horario",1,2)),""))</f>
        <v/>
      </c>
      <c r="H271" s="37" t="n"/>
      <c r="I271" s="37">
        <f>IF(A271="","",IF(OR(F271="",G271=""),"",F271*G271+N(H271)))</f>
        <v/>
      </c>
      <c r="J271" s="36">
        <f>IF(A271="","",COUNTIF(Detalle_Pagos!$A$5:$A$2004,A271))</f>
        <v/>
      </c>
      <c r="K271" s="37">
        <f>IF(A271="","",IF(OR(J271=0,I271=""),"",I271/J271))</f>
        <v/>
      </c>
      <c r="L271" s="37">
        <f>IF(A271="","",SUMIF(Detalle_Pagos!$A$5:$A$2004,A271,Detalle_Pagos!$I$5:$I$2004))</f>
        <v/>
      </c>
      <c r="M271" s="37">
        <f>IF(A271="","",SUMIFS(Detalle_Pagos!$I$5:$I$2004,Detalle_Pagos!$A$5:$A$2004,A271,Detalle_Pagos!$J$5:$J$2004,"No"))</f>
        <v/>
      </c>
      <c r="N271" s="36">
        <f>IF(A271="","",IF(J271=0,"Sin detalle",IF(M271=0,"Pagada","Pendiente")))</f>
        <v/>
      </c>
      <c r="O271" s="36" t="n"/>
    </row>
    <row r="272">
      <c r="A272" s="38" t="n"/>
      <c r="B272" s="41" t="n"/>
      <c r="C272" s="38" t="n"/>
      <c r="D272" s="38" t="n"/>
      <c r="E272" s="38" t="n"/>
      <c r="F272" s="38" t="n"/>
      <c r="G272" s="39">
        <f>IF(A272="","",IFERROR(INDEX(Criterios!$B$4:$C$83,MATCH(D272,Criterios!$A$4:$A$83,0),IF(E272="Dentro horario",1,2)),""))</f>
        <v/>
      </c>
      <c r="H272" s="39" t="n"/>
      <c r="I272" s="39">
        <f>IF(A272="","",IF(OR(F272="",G272=""),"",F272*G272+N(H272)))</f>
        <v/>
      </c>
      <c r="J272" s="38">
        <f>IF(A272="","",COUNTIF(Detalle_Pagos!$A$5:$A$2004,A272))</f>
        <v/>
      </c>
      <c r="K272" s="39">
        <f>IF(A272="","",IF(OR(J272=0,I272=""),"",I272/J272))</f>
        <v/>
      </c>
      <c r="L272" s="39">
        <f>IF(A272="","",SUMIF(Detalle_Pagos!$A$5:$A$2004,A272,Detalle_Pagos!$I$5:$I$2004))</f>
        <v/>
      </c>
      <c r="M272" s="39">
        <f>IF(A272="","",SUMIFS(Detalle_Pagos!$I$5:$I$2004,Detalle_Pagos!$A$5:$A$2004,A272,Detalle_Pagos!$J$5:$J$2004,"No"))</f>
        <v/>
      </c>
      <c r="N272" s="38">
        <f>IF(A272="","",IF(J272=0,"Sin detalle",IF(M272=0,"Pagada","Pendiente")))</f>
        <v/>
      </c>
      <c r="O272" s="38" t="n"/>
    </row>
    <row r="273">
      <c r="A273" s="36" t="n"/>
      <c r="B273" s="40" t="n"/>
      <c r="C273" s="36" t="n"/>
      <c r="D273" s="36" t="n"/>
      <c r="E273" s="36" t="n"/>
      <c r="F273" s="36" t="n"/>
      <c r="G273" s="37">
        <f>IF(A273="","",IFERROR(INDEX(Criterios!$B$4:$C$83,MATCH(D273,Criterios!$A$4:$A$83,0),IF(E273="Dentro horario",1,2)),""))</f>
        <v/>
      </c>
      <c r="H273" s="37" t="n"/>
      <c r="I273" s="37">
        <f>IF(A273="","",IF(OR(F273="",G273=""),"",F273*G273+N(H273)))</f>
        <v/>
      </c>
      <c r="J273" s="36">
        <f>IF(A273="","",COUNTIF(Detalle_Pagos!$A$5:$A$2004,A273))</f>
        <v/>
      </c>
      <c r="K273" s="37">
        <f>IF(A273="","",IF(OR(J273=0,I273=""),"",I273/J273))</f>
        <v/>
      </c>
      <c r="L273" s="37">
        <f>IF(A273="","",SUMIF(Detalle_Pagos!$A$5:$A$2004,A273,Detalle_Pagos!$I$5:$I$2004))</f>
        <v/>
      </c>
      <c r="M273" s="37">
        <f>IF(A273="","",SUMIFS(Detalle_Pagos!$I$5:$I$2004,Detalle_Pagos!$A$5:$A$2004,A273,Detalle_Pagos!$J$5:$J$2004,"No"))</f>
        <v/>
      </c>
      <c r="N273" s="36">
        <f>IF(A273="","",IF(J273=0,"Sin detalle",IF(M273=0,"Pagada","Pendiente")))</f>
        <v/>
      </c>
      <c r="O273" s="36" t="n"/>
    </row>
    <row r="274">
      <c r="A274" s="38" t="n"/>
      <c r="B274" s="41" t="n"/>
      <c r="C274" s="38" t="n"/>
      <c r="D274" s="38" t="n"/>
      <c r="E274" s="38" t="n"/>
      <c r="F274" s="38" t="n"/>
      <c r="G274" s="39">
        <f>IF(A274="","",IFERROR(INDEX(Criterios!$B$4:$C$83,MATCH(D274,Criterios!$A$4:$A$83,0),IF(E274="Dentro horario",1,2)),""))</f>
        <v/>
      </c>
      <c r="H274" s="39" t="n"/>
      <c r="I274" s="39">
        <f>IF(A274="","",IF(OR(F274="",G274=""),"",F274*G274+N(H274)))</f>
        <v/>
      </c>
      <c r="J274" s="38">
        <f>IF(A274="","",COUNTIF(Detalle_Pagos!$A$5:$A$2004,A274))</f>
        <v/>
      </c>
      <c r="K274" s="39">
        <f>IF(A274="","",IF(OR(J274=0,I274=""),"",I274/J274))</f>
        <v/>
      </c>
      <c r="L274" s="39">
        <f>IF(A274="","",SUMIF(Detalle_Pagos!$A$5:$A$2004,A274,Detalle_Pagos!$I$5:$I$2004))</f>
        <v/>
      </c>
      <c r="M274" s="39">
        <f>IF(A274="","",SUMIFS(Detalle_Pagos!$I$5:$I$2004,Detalle_Pagos!$A$5:$A$2004,A274,Detalle_Pagos!$J$5:$J$2004,"No"))</f>
        <v/>
      </c>
      <c r="N274" s="38">
        <f>IF(A274="","",IF(J274=0,"Sin detalle",IF(M274=0,"Pagada","Pendiente")))</f>
        <v/>
      </c>
      <c r="O274" s="38" t="n"/>
    </row>
    <row r="275">
      <c r="A275" s="36" t="n"/>
      <c r="B275" s="40" t="n"/>
      <c r="C275" s="36" t="n"/>
      <c r="D275" s="36" t="n"/>
      <c r="E275" s="36" t="n"/>
      <c r="F275" s="36" t="n"/>
      <c r="G275" s="37">
        <f>IF(A275="","",IFERROR(INDEX(Criterios!$B$4:$C$83,MATCH(D275,Criterios!$A$4:$A$83,0),IF(E275="Dentro horario",1,2)),""))</f>
        <v/>
      </c>
      <c r="H275" s="37" t="n"/>
      <c r="I275" s="37">
        <f>IF(A275="","",IF(OR(F275="",G275=""),"",F275*G275+N(H275)))</f>
        <v/>
      </c>
      <c r="J275" s="36">
        <f>IF(A275="","",COUNTIF(Detalle_Pagos!$A$5:$A$2004,A275))</f>
        <v/>
      </c>
      <c r="K275" s="37">
        <f>IF(A275="","",IF(OR(J275=0,I275=""),"",I275/J275))</f>
        <v/>
      </c>
      <c r="L275" s="37">
        <f>IF(A275="","",SUMIF(Detalle_Pagos!$A$5:$A$2004,A275,Detalle_Pagos!$I$5:$I$2004))</f>
        <v/>
      </c>
      <c r="M275" s="37">
        <f>IF(A275="","",SUMIFS(Detalle_Pagos!$I$5:$I$2004,Detalle_Pagos!$A$5:$A$2004,A275,Detalle_Pagos!$J$5:$J$2004,"No"))</f>
        <v/>
      </c>
      <c r="N275" s="36">
        <f>IF(A275="","",IF(J275=0,"Sin detalle",IF(M275=0,"Pagada","Pendiente")))</f>
        <v/>
      </c>
      <c r="O275" s="36" t="n"/>
    </row>
    <row r="276">
      <c r="A276" s="38" t="n"/>
      <c r="B276" s="41" t="n"/>
      <c r="C276" s="38" t="n"/>
      <c r="D276" s="38" t="n"/>
      <c r="E276" s="38" t="n"/>
      <c r="F276" s="38" t="n"/>
      <c r="G276" s="39">
        <f>IF(A276="","",IFERROR(INDEX(Criterios!$B$4:$C$83,MATCH(D276,Criterios!$A$4:$A$83,0),IF(E276="Dentro horario",1,2)),""))</f>
        <v/>
      </c>
      <c r="H276" s="39" t="n"/>
      <c r="I276" s="39">
        <f>IF(A276="","",IF(OR(F276="",G276=""),"",F276*G276+N(H276)))</f>
        <v/>
      </c>
      <c r="J276" s="38">
        <f>IF(A276="","",COUNTIF(Detalle_Pagos!$A$5:$A$2004,A276))</f>
        <v/>
      </c>
      <c r="K276" s="39">
        <f>IF(A276="","",IF(OR(J276=0,I276=""),"",I276/J276))</f>
        <v/>
      </c>
      <c r="L276" s="39">
        <f>IF(A276="","",SUMIF(Detalle_Pagos!$A$5:$A$2004,A276,Detalle_Pagos!$I$5:$I$2004))</f>
        <v/>
      </c>
      <c r="M276" s="39">
        <f>IF(A276="","",SUMIFS(Detalle_Pagos!$I$5:$I$2004,Detalle_Pagos!$A$5:$A$2004,A276,Detalle_Pagos!$J$5:$J$2004,"No"))</f>
        <v/>
      </c>
      <c r="N276" s="38">
        <f>IF(A276="","",IF(J276=0,"Sin detalle",IF(M276=0,"Pagada","Pendiente")))</f>
        <v/>
      </c>
      <c r="O276" s="38" t="n"/>
    </row>
    <row r="277">
      <c r="A277" s="36" t="n"/>
      <c r="B277" s="40" t="n"/>
      <c r="C277" s="36" t="n"/>
      <c r="D277" s="36" t="n"/>
      <c r="E277" s="36" t="n"/>
      <c r="F277" s="36" t="n"/>
      <c r="G277" s="37">
        <f>IF(A277="","",IFERROR(INDEX(Criterios!$B$4:$C$83,MATCH(D277,Criterios!$A$4:$A$83,0),IF(E277="Dentro horario",1,2)),""))</f>
        <v/>
      </c>
      <c r="H277" s="37" t="n"/>
      <c r="I277" s="37">
        <f>IF(A277="","",IF(OR(F277="",G277=""),"",F277*G277+N(H277)))</f>
        <v/>
      </c>
      <c r="J277" s="36">
        <f>IF(A277="","",COUNTIF(Detalle_Pagos!$A$5:$A$2004,A277))</f>
        <v/>
      </c>
      <c r="K277" s="37">
        <f>IF(A277="","",IF(OR(J277=0,I277=""),"",I277/J277))</f>
        <v/>
      </c>
      <c r="L277" s="37">
        <f>IF(A277="","",SUMIF(Detalle_Pagos!$A$5:$A$2004,A277,Detalle_Pagos!$I$5:$I$2004))</f>
        <v/>
      </c>
      <c r="M277" s="37">
        <f>IF(A277="","",SUMIFS(Detalle_Pagos!$I$5:$I$2004,Detalle_Pagos!$A$5:$A$2004,A277,Detalle_Pagos!$J$5:$J$2004,"No"))</f>
        <v/>
      </c>
      <c r="N277" s="36">
        <f>IF(A277="","",IF(J277=0,"Sin detalle",IF(M277=0,"Pagada","Pendiente")))</f>
        <v/>
      </c>
      <c r="O277" s="36" t="n"/>
    </row>
    <row r="278">
      <c r="A278" s="38" t="n"/>
      <c r="B278" s="41" t="n"/>
      <c r="C278" s="38" t="n"/>
      <c r="D278" s="38" t="n"/>
      <c r="E278" s="38" t="n"/>
      <c r="F278" s="38" t="n"/>
      <c r="G278" s="39">
        <f>IF(A278="","",IFERROR(INDEX(Criterios!$B$4:$C$83,MATCH(D278,Criterios!$A$4:$A$83,0),IF(E278="Dentro horario",1,2)),""))</f>
        <v/>
      </c>
      <c r="H278" s="39" t="n"/>
      <c r="I278" s="39">
        <f>IF(A278="","",IF(OR(F278="",G278=""),"",F278*G278+N(H278)))</f>
        <v/>
      </c>
      <c r="J278" s="38">
        <f>IF(A278="","",COUNTIF(Detalle_Pagos!$A$5:$A$2004,A278))</f>
        <v/>
      </c>
      <c r="K278" s="39">
        <f>IF(A278="","",IF(OR(J278=0,I278=""),"",I278/J278))</f>
        <v/>
      </c>
      <c r="L278" s="39">
        <f>IF(A278="","",SUMIF(Detalle_Pagos!$A$5:$A$2004,A278,Detalle_Pagos!$I$5:$I$2004))</f>
        <v/>
      </c>
      <c r="M278" s="39">
        <f>IF(A278="","",SUMIFS(Detalle_Pagos!$I$5:$I$2004,Detalle_Pagos!$A$5:$A$2004,A278,Detalle_Pagos!$J$5:$J$2004,"No"))</f>
        <v/>
      </c>
      <c r="N278" s="38">
        <f>IF(A278="","",IF(J278=0,"Sin detalle",IF(M278=0,"Pagada","Pendiente")))</f>
        <v/>
      </c>
      <c r="O278" s="38" t="n"/>
    </row>
    <row r="279">
      <c r="A279" s="36" t="n"/>
      <c r="B279" s="40" t="n"/>
      <c r="C279" s="36" t="n"/>
      <c r="D279" s="36" t="n"/>
      <c r="E279" s="36" t="n"/>
      <c r="F279" s="36" t="n"/>
      <c r="G279" s="37">
        <f>IF(A279="","",IFERROR(INDEX(Criterios!$B$4:$C$83,MATCH(D279,Criterios!$A$4:$A$83,0),IF(E279="Dentro horario",1,2)),""))</f>
        <v/>
      </c>
      <c r="H279" s="37" t="n"/>
      <c r="I279" s="37">
        <f>IF(A279="","",IF(OR(F279="",G279=""),"",F279*G279+N(H279)))</f>
        <v/>
      </c>
      <c r="J279" s="36">
        <f>IF(A279="","",COUNTIF(Detalle_Pagos!$A$5:$A$2004,A279))</f>
        <v/>
      </c>
      <c r="K279" s="37">
        <f>IF(A279="","",IF(OR(J279=0,I279=""),"",I279/J279))</f>
        <v/>
      </c>
      <c r="L279" s="37">
        <f>IF(A279="","",SUMIF(Detalle_Pagos!$A$5:$A$2004,A279,Detalle_Pagos!$I$5:$I$2004))</f>
        <v/>
      </c>
      <c r="M279" s="37">
        <f>IF(A279="","",SUMIFS(Detalle_Pagos!$I$5:$I$2004,Detalle_Pagos!$A$5:$A$2004,A279,Detalle_Pagos!$J$5:$J$2004,"No"))</f>
        <v/>
      </c>
      <c r="N279" s="36">
        <f>IF(A279="","",IF(J279=0,"Sin detalle",IF(M279=0,"Pagada","Pendiente")))</f>
        <v/>
      </c>
      <c r="O279" s="36" t="n"/>
    </row>
    <row r="280">
      <c r="A280" s="38" t="n"/>
      <c r="B280" s="41" t="n"/>
      <c r="C280" s="38" t="n"/>
      <c r="D280" s="38" t="n"/>
      <c r="E280" s="38" t="n"/>
      <c r="F280" s="38" t="n"/>
      <c r="G280" s="39">
        <f>IF(A280="","",IFERROR(INDEX(Criterios!$B$4:$C$83,MATCH(D280,Criterios!$A$4:$A$83,0),IF(E280="Dentro horario",1,2)),""))</f>
        <v/>
      </c>
      <c r="H280" s="39" t="n"/>
      <c r="I280" s="39">
        <f>IF(A280="","",IF(OR(F280="",G280=""),"",F280*G280+N(H280)))</f>
        <v/>
      </c>
      <c r="J280" s="38">
        <f>IF(A280="","",COUNTIF(Detalle_Pagos!$A$5:$A$2004,A280))</f>
        <v/>
      </c>
      <c r="K280" s="39">
        <f>IF(A280="","",IF(OR(J280=0,I280=""),"",I280/J280))</f>
        <v/>
      </c>
      <c r="L280" s="39">
        <f>IF(A280="","",SUMIF(Detalle_Pagos!$A$5:$A$2004,A280,Detalle_Pagos!$I$5:$I$2004))</f>
        <v/>
      </c>
      <c r="M280" s="39">
        <f>IF(A280="","",SUMIFS(Detalle_Pagos!$I$5:$I$2004,Detalle_Pagos!$A$5:$A$2004,A280,Detalle_Pagos!$J$5:$J$2004,"No"))</f>
        <v/>
      </c>
      <c r="N280" s="38">
        <f>IF(A280="","",IF(J280=0,"Sin detalle",IF(M280=0,"Pagada","Pendiente")))</f>
        <v/>
      </c>
      <c r="O280" s="38" t="n"/>
    </row>
    <row r="281">
      <c r="A281" s="36" t="n"/>
      <c r="B281" s="40" t="n"/>
      <c r="C281" s="36" t="n"/>
      <c r="D281" s="36" t="n"/>
      <c r="E281" s="36" t="n"/>
      <c r="F281" s="36" t="n"/>
      <c r="G281" s="37">
        <f>IF(A281="","",IFERROR(INDEX(Criterios!$B$4:$C$83,MATCH(D281,Criterios!$A$4:$A$83,0),IF(E281="Dentro horario",1,2)),""))</f>
        <v/>
      </c>
      <c r="H281" s="37" t="n"/>
      <c r="I281" s="37">
        <f>IF(A281="","",IF(OR(F281="",G281=""),"",F281*G281+N(H281)))</f>
        <v/>
      </c>
      <c r="J281" s="36">
        <f>IF(A281="","",COUNTIF(Detalle_Pagos!$A$5:$A$2004,A281))</f>
        <v/>
      </c>
      <c r="K281" s="37">
        <f>IF(A281="","",IF(OR(J281=0,I281=""),"",I281/J281))</f>
        <v/>
      </c>
      <c r="L281" s="37">
        <f>IF(A281="","",SUMIF(Detalle_Pagos!$A$5:$A$2004,A281,Detalle_Pagos!$I$5:$I$2004))</f>
        <v/>
      </c>
      <c r="M281" s="37">
        <f>IF(A281="","",SUMIFS(Detalle_Pagos!$I$5:$I$2004,Detalle_Pagos!$A$5:$A$2004,A281,Detalle_Pagos!$J$5:$J$2004,"No"))</f>
        <v/>
      </c>
      <c r="N281" s="36">
        <f>IF(A281="","",IF(J281=0,"Sin detalle",IF(M281=0,"Pagada","Pendiente")))</f>
        <v/>
      </c>
      <c r="O281" s="36" t="n"/>
    </row>
    <row r="282">
      <c r="A282" s="38" t="n"/>
      <c r="B282" s="41" t="n"/>
      <c r="C282" s="38" t="n"/>
      <c r="D282" s="38" t="n"/>
      <c r="E282" s="38" t="n"/>
      <c r="F282" s="38" t="n"/>
      <c r="G282" s="39">
        <f>IF(A282="","",IFERROR(INDEX(Criterios!$B$4:$C$83,MATCH(D282,Criterios!$A$4:$A$83,0),IF(E282="Dentro horario",1,2)),""))</f>
        <v/>
      </c>
      <c r="H282" s="39" t="n"/>
      <c r="I282" s="39">
        <f>IF(A282="","",IF(OR(F282="",G282=""),"",F282*G282+N(H282)))</f>
        <v/>
      </c>
      <c r="J282" s="38">
        <f>IF(A282="","",COUNTIF(Detalle_Pagos!$A$5:$A$2004,A282))</f>
        <v/>
      </c>
      <c r="K282" s="39">
        <f>IF(A282="","",IF(OR(J282=0,I282=""),"",I282/J282))</f>
        <v/>
      </c>
      <c r="L282" s="39">
        <f>IF(A282="","",SUMIF(Detalle_Pagos!$A$5:$A$2004,A282,Detalle_Pagos!$I$5:$I$2004))</f>
        <v/>
      </c>
      <c r="M282" s="39">
        <f>IF(A282="","",SUMIFS(Detalle_Pagos!$I$5:$I$2004,Detalle_Pagos!$A$5:$A$2004,A282,Detalle_Pagos!$J$5:$J$2004,"No"))</f>
        <v/>
      </c>
      <c r="N282" s="38">
        <f>IF(A282="","",IF(J282=0,"Sin detalle",IF(M282=0,"Pagada","Pendiente")))</f>
        <v/>
      </c>
      <c r="O282" s="38" t="n"/>
    </row>
    <row r="283">
      <c r="A283" s="36" t="n"/>
      <c r="B283" s="40" t="n"/>
      <c r="C283" s="36" t="n"/>
      <c r="D283" s="36" t="n"/>
      <c r="E283" s="36" t="n"/>
      <c r="F283" s="36" t="n"/>
      <c r="G283" s="37">
        <f>IF(A283="","",IFERROR(INDEX(Criterios!$B$4:$C$83,MATCH(D283,Criterios!$A$4:$A$83,0),IF(E283="Dentro horario",1,2)),""))</f>
        <v/>
      </c>
      <c r="H283" s="37" t="n"/>
      <c r="I283" s="37">
        <f>IF(A283="","",IF(OR(F283="",G283=""),"",F283*G283+N(H283)))</f>
        <v/>
      </c>
      <c r="J283" s="36">
        <f>IF(A283="","",COUNTIF(Detalle_Pagos!$A$5:$A$2004,A283))</f>
        <v/>
      </c>
      <c r="K283" s="37">
        <f>IF(A283="","",IF(OR(J283=0,I283=""),"",I283/J283))</f>
        <v/>
      </c>
      <c r="L283" s="37">
        <f>IF(A283="","",SUMIF(Detalle_Pagos!$A$5:$A$2004,A283,Detalle_Pagos!$I$5:$I$2004))</f>
        <v/>
      </c>
      <c r="M283" s="37">
        <f>IF(A283="","",SUMIFS(Detalle_Pagos!$I$5:$I$2004,Detalle_Pagos!$A$5:$A$2004,A283,Detalle_Pagos!$J$5:$J$2004,"No"))</f>
        <v/>
      </c>
      <c r="N283" s="36">
        <f>IF(A283="","",IF(J283=0,"Sin detalle",IF(M283=0,"Pagada","Pendiente")))</f>
        <v/>
      </c>
      <c r="O283" s="36" t="n"/>
    </row>
    <row r="284">
      <c r="A284" s="38" t="n"/>
      <c r="B284" s="41" t="n"/>
      <c r="C284" s="38" t="n"/>
      <c r="D284" s="38" t="n"/>
      <c r="E284" s="38" t="n"/>
      <c r="F284" s="38" t="n"/>
      <c r="G284" s="39">
        <f>IF(A284="","",IFERROR(INDEX(Criterios!$B$4:$C$83,MATCH(D284,Criterios!$A$4:$A$83,0),IF(E284="Dentro horario",1,2)),""))</f>
        <v/>
      </c>
      <c r="H284" s="39" t="n"/>
      <c r="I284" s="39">
        <f>IF(A284="","",IF(OR(F284="",G284=""),"",F284*G284+N(H284)))</f>
        <v/>
      </c>
      <c r="J284" s="38">
        <f>IF(A284="","",COUNTIF(Detalle_Pagos!$A$5:$A$2004,A284))</f>
        <v/>
      </c>
      <c r="K284" s="39">
        <f>IF(A284="","",IF(OR(J284=0,I284=""),"",I284/J284))</f>
        <v/>
      </c>
      <c r="L284" s="39">
        <f>IF(A284="","",SUMIF(Detalle_Pagos!$A$5:$A$2004,A284,Detalle_Pagos!$I$5:$I$2004))</f>
        <v/>
      </c>
      <c r="M284" s="39">
        <f>IF(A284="","",SUMIFS(Detalle_Pagos!$I$5:$I$2004,Detalle_Pagos!$A$5:$A$2004,A284,Detalle_Pagos!$J$5:$J$2004,"No"))</f>
        <v/>
      </c>
      <c r="N284" s="38">
        <f>IF(A284="","",IF(J284=0,"Sin detalle",IF(M284=0,"Pagada","Pendiente")))</f>
        <v/>
      </c>
      <c r="O284" s="38" t="n"/>
    </row>
    <row r="285">
      <c r="A285" s="36" t="n"/>
      <c r="B285" s="40" t="n"/>
      <c r="C285" s="36" t="n"/>
      <c r="D285" s="36" t="n"/>
      <c r="E285" s="36" t="n"/>
      <c r="F285" s="36" t="n"/>
      <c r="G285" s="37">
        <f>IF(A285="","",IFERROR(INDEX(Criterios!$B$4:$C$83,MATCH(D285,Criterios!$A$4:$A$83,0),IF(E285="Dentro horario",1,2)),""))</f>
        <v/>
      </c>
      <c r="H285" s="37" t="n"/>
      <c r="I285" s="37">
        <f>IF(A285="","",IF(OR(F285="",G285=""),"",F285*G285+N(H285)))</f>
        <v/>
      </c>
      <c r="J285" s="36">
        <f>IF(A285="","",COUNTIF(Detalle_Pagos!$A$5:$A$2004,A285))</f>
        <v/>
      </c>
      <c r="K285" s="37">
        <f>IF(A285="","",IF(OR(J285=0,I285=""),"",I285/J285))</f>
        <v/>
      </c>
      <c r="L285" s="37">
        <f>IF(A285="","",SUMIF(Detalle_Pagos!$A$5:$A$2004,A285,Detalle_Pagos!$I$5:$I$2004))</f>
        <v/>
      </c>
      <c r="M285" s="37">
        <f>IF(A285="","",SUMIFS(Detalle_Pagos!$I$5:$I$2004,Detalle_Pagos!$A$5:$A$2004,A285,Detalle_Pagos!$J$5:$J$2004,"No"))</f>
        <v/>
      </c>
      <c r="N285" s="36">
        <f>IF(A285="","",IF(J285=0,"Sin detalle",IF(M285=0,"Pagada","Pendiente")))</f>
        <v/>
      </c>
      <c r="O285" s="36" t="n"/>
    </row>
    <row r="286">
      <c r="A286" s="38" t="n"/>
      <c r="B286" s="41" t="n"/>
      <c r="C286" s="38" t="n"/>
      <c r="D286" s="38" t="n"/>
      <c r="E286" s="38" t="n"/>
      <c r="F286" s="38" t="n"/>
      <c r="G286" s="39">
        <f>IF(A286="","",IFERROR(INDEX(Criterios!$B$4:$C$83,MATCH(D286,Criterios!$A$4:$A$83,0),IF(E286="Dentro horario",1,2)),""))</f>
        <v/>
      </c>
      <c r="H286" s="39" t="n"/>
      <c r="I286" s="39">
        <f>IF(A286="","",IF(OR(F286="",G286=""),"",F286*G286+N(H286)))</f>
        <v/>
      </c>
      <c r="J286" s="38">
        <f>IF(A286="","",COUNTIF(Detalle_Pagos!$A$5:$A$2004,A286))</f>
        <v/>
      </c>
      <c r="K286" s="39">
        <f>IF(A286="","",IF(OR(J286=0,I286=""),"",I286/J286))</f>
        <v/>
      </c>
      <c r="L286" s="39">
        <f>IF(A286="","",SUMIF(Detalle_Pagos!$A$5:$A$2004,A286,Detalle_Pagos!$I$5:$I$2004))</f>
        <v/>
      </c>
      <c r="M286" s="39">
        <f>IF(A286="","",SUMIFS(Detalle_Pagos!$I$5:$I$2004,Detalle_Pagos!$A$5:$A$2004,A286,Detalle_Pagos!$J$5:$J$2004,"No"))</f>
        <v/>
      </c>
      <c r="N286" s="38">
        <f>IF(A286="","",IF(J286=0,"Sin detalle",IF(M286=0,"Pagada","Pendiente")))</f>
        <v/>
      </c>
      <c r="O286" s="38" t="n"/>
    </row>
    <row r="287">
      <c r="A287" s="36" t="n"/>
      <c r="B287" s="40" t="n"/>
      <c r="C287" s="36" t="n"/>
      <c r="D287" s="36" t="n"/>
      <c r="E287" s="36" t="n"/>
      <c r="F287" s="36" t="n"/>
      <c r="G287" s="37">
        <f>IF(A287="","",IFERROR(INDEX(Criterios!$B$4:$C$83,MATCH(D287,Criterios!$A$4:$A$83,0),IF(E287="Dentro horario",1,2)),""))</f>
        <v/>
      </c>
      <c r="H287" s="37" t="n"/>
      <c r="I287" s="37">
        <f>IF(A287="","",IF(OR(F287="",G287=""),"",F287*G287+N(H287)))</f>
        <v/>
      </c>
      <c r="J287" s="36">
        <f>IF(A287="","",COUNTIF(Detalle_Pagos!$A$5:$A$2004,A287))</f>
        <v/>
      </c>
      <c r="K287" s="37">
        <f>IF(A287="","",IF(OR(J287=0,I287=""),"",I287/J287))</f>
        <v/>
      </c>
      <c r="L287" s="37">
        <f>IF(A287="","",SUMIF(Detalle_Pagos!$A$5:$A$2004,A287,Detalle_Pagos!$I$5:$I$2004))</f>
        <v/>
      </c>
      <c r="M287" s="37">
        <f>IF(A287="","",SUMIFS(Detalle_Pagos!$I$5:$I$2004,Detalle_Pagos!$A$5:$A$2004,A287,Detalle_Pagos!$J$5:$J$2004,"No"))</f>
        <v/>
      </c>
      <c r="N287" s="36">
        <f>IF(A287="","",IF(J287=0,"Sin detalle",IF(M287=0,"Pagada","Pendiente")))</f>
        <v/>
      </c>
      <c r="O287" s="36" t="n"/>
    </row>
    <row r="288">
      <c r="A288" s="38" t="n"/>
      <c r="B288" s="41" t="n"/>
      <c r="C288" s="38" t="n"/>
      <c r="D288" s="38" t="n"/>
      <c r="E288" s="38" t="n"/>
      <c r="F288" s="38" t="n"/>
      <c r="G288" s="39">
        <f>IF(A288="","",IFERROR(INDEX(Criterios!$B$4:$C$83,MATCH(D288,Criterios!$A$4:$A$83,0),IF(E288="Dentro horario",1,2)),""))</f>
        <v/>
      </c>
      <c r="H288" s="39" t="n"/>
      <c r="I288" s="39">
        <f>IF(A288="","",IF(OR(F288="",G288=""),"",F288*G288+N(H288)))</f>
        <v/>
      </c>
      <c r="J288" s="38">
        <f>IF(A288="","",COUNTIF(Detalle_Pagos!$A$5:$A$2004,A288))</f>
        <v/>
      </c>
      <c r="K288" s="39">
        <f>IF(A288="","",IF(OR(J288=0,I288=""),"",I288/J288))</f>
        <v/>
      </c>
      <c r="L288" s="39">
        <f>IF(A288="","",SUMIF(Detalle_Pagos!$A$5:$A$2004,A288,Detalle_Pagos!$I$5:$I$2004))</f>
        <v/>
      </c>
      <c r="M288" s="39">
        <f>IF(A288="","",SUMIFS(Detalle_Pagos!$I$5:$I$2004,Detalle_Pagos!$A$5:$A$2004,A288,Detalle_Pagos!$J$5:$J$2004,"No"))</f>
        <v/>
      </c>
      <c r="N288" s="38">
        <f>IF(A288="","",IF(J288=0,"Sin detalle",IF(M288=0,"Pagada","Pendiente")))</f>
        <v/>
      </c>
      <c r="O288" s="38" t="n"/>
    </row>
    <row r="289">
      <c r="A289" s="36" t="n"/>
      <c r="B289" s="40" t="n"/>
      <c r="C289" s="36" t="n"/>
      <c r="D289" s="36" t="n"/>
      <c r="E289" s="36" t="n"/>
      <c r="F289" s="36" t="n"/>
      <c r="G289" s="37">
        <f>IF(A289="","",IFERROR(INDEX(Criterios!$B$4:$C$83,MATCH(D289,Criterios!$A$4:$A$83,0),IF(E289="Dentro horario",1,2)),""))</f>
        <v/>
      </c>
      <c r="H289" s="37" t="n"/>
      <c r="I289" s="37">
        <f>IF(A289="","",IF(OR(F289="",G289=""),"",F289*G289+N(H289)))</f>
        <v/>
      </c>
      <c r="J289" s="36">
        <f>IF(A289="","",COUNTIF(Detalle_Pagos!$A$5:$A$2004,A289))</f>
        <v/>
      </c>
      <c r="K289" s="37">
        <f>IF(A289="","",IF(OR(J289=0,I289=""),"",I289/J289))</f>
        <v/>
      </c>
      <c r="L289" s="37">
        <f>IF(A289="","",SUMIF(Detalle_Pagos!$A$5:$A$2004,A289,Detalle_Pagos!$I$5:$I$2004))</f>
        <v/>
      </c>
      <c r="M289" s="37">
        <f>IF(A289="","",SUMIFS(Detalle_Pagos!$I$5:$I$2004,Detalle_Pagos!$A$5:$A$2004,A289,Detalle_Pagos!$J$5:$J$2004,"No"))</f>
        <v/>
      </c>
      <c r="N289" s="36">
        <f>IF(A289="","",IF(J289=0,"Sin detalle",IF(M289=0,"Pagada","Pendiente")))</f>
        <v/>
      </c>
      <c r="O289" s="36" t="n"/>
    </row>
    <row r="290">
      <c r="A290" s="38" t="n"/>
      <c r="B290" s="41" t="n"/>
      <c r="C290" s="38" t="n"/>
      <c r="D290" s="38" t="n"/>
      <c r="E290" s="38" t="n"/>
      <c r="F290" s="38" t="n"/>
      <c r="G290" s="39">
        <f>IF(A290="","",IFERROR(INDEX(Criterios!$B$4:$C$83,MATCH(D290,Criterios!$A$4:$A$83,0),IF(E290="Dentro horario",1,2)),""))</f>
        <v/>
      </c>
      <c r="H290" s="39" t="n"/>
      <c r="I290" s="39">
        <f>IF(A290="","",IF(OR(F290="",G290=""),"",F290*G290+N(H290)))</f>
        <v/>
      </c>
      <c r="J290" s="38">
        <f>IF(A290="","",COUNTIF(Detalle_Pagos!$A$5:$A$2004,A290))</f>
        <v/>
      </c>
      <c r="K290" s="39">
        <f>IF(A290="","",IF(OR(J290=0,I290=""),"",I290/J290))</f>
        <v/>
      </c>
      <c r="L290" s="39">
        <f>IF(A290="","",SUMIF(Detalle_Pagos!$A$5:$A$2004,A290,Detalle_Pagos!$I$5:$I$2004))</f>
        <v/>
      </c>
      <c r="M290" s="39">
        <f>IF(A290="","",SUMIFS(Detalle_Pagos!$I$5:$I$2004,Detalle_Pagos!$A$5:$A$2004,A290,Detalle_Pagos!$J$5:$J$2004,"No"))</f>
        <v/>
      </c>
      <c r="N290" s="38">
        <f>IF(A290="","",IF(J290=0,"Sin detalle",IF(M290=0,"Pagada","Pendiente")))</f>
        <v/>
      </c>
      <c r="O290" s="38" t="n"/>
    </row>
    <row r="291">
      <c r="A291" s="36" t="n"/>
      <c r="B291" s="40" t="n"/>
      <c r="C291" s="36" t="n"/>
      <c r="D291" s="36" t="n"/>
      <c r="E291" s="36" t="n"/>
      <c r="F291" s="36" t="n"/>
      <c r="G291" s="37">
        <f>IF(A291="","",IFERROR(INDEX(Criterios!$B$4:$C$83,MATCH(D291,Criterios!$A$4:$A$83,0),IF(E291="Dentro horario",1,2)),""))</f>
        <v/>
      </c>
      <c r="H291" s="37" t="n"/>
      <c r="I291" s="37">
        <f>IF(A291="","",IF(OR(F291="",G291=""),"",F291*G291+N(H291)))</f>
        <v/>
      </c>
      <c r="J291" s="36">
        <f>IF(A291="","",COUNTIF(Detalle_Pagos!$A$5:$A$2004,A291))</f>
        <v/>
      </c>
      <c r="K291" s="37">
        <f>IF(A291="","",IF(OR(J291=0,I291=""),"",I291/J291))</f>
        <v/>
      </c>
      <c r="L291" s="37">
        <f>IF(A291="","",SUMIF(Detalle_Pagos!$A$5:$A$2004,A291,Detalle_Pagos!$I$5:$I$2004))</f>
        <v/>
      </c>
      <c r="M291" s="37">
        <f>IF(A291="","",SUMIFS(Detalle_Pagos!$I$5:$I$2004,Detalle_Pagos!$A$5:$A$2004,A291,Detalle_Pagos!$J$5:$J$2004,"No"))</f>
        <v/>
      </c>
      <c r="N291" s="36">
        <f>IF(A291="","",IF(J291=0,"Sin detalle",IF(M291=0,"Pagada","Pendiente")))</f>
        <v/>
      </c>
      <c r="O291" s="36" t="n"/>
    </row>
    <row r="292">
      <c r="A292" s="38" t="n"/>
      <c r="B292" s="41" t="n"/>
      <c r="C292" s="38" t="n"/>
      <c r="D292" s="38" t="n"/>
      <c r="E292" s="38" t="n"/>
      <c r="F292" s="38" t="n"/>
      <c r="G292" s="39">
        <f>IF(A292="","",IFERROR(INDEX(Criterios!$B$4:$C$83,MATCH(D292,Criterios!$A$4:$A$83,0),IF(E292="Dentro horario",1,2)),""))</f>
        <v/>
      </c>
      <c r="H292" s="39" t="n"/>
      <c r="I292" s="39">
        <f>IF(A292="","",IF(OR(F292="",G292=""),"",F292*G292+N(H292)))</f>
        <v/>
      </c>
      <c r="J292" s="38">
        <f>IF(A292="","",COUNTIF(Detalle_Pagos!$A$5:$A$2004,A292))</f>
        <v/>
      </c>
      <c r="K292" s="39">
        <f>IF(A292="","",IF(OR(J292=0,I292=""),"",I292/J292))</f>
        <v/>
      </c>
      <c r="L292" s="39">
        <f>IF(A292="","",SUMIF(Detalle_Pagos!$A$5:$A$2004,A292,Detalle_Pagos!$I$5:$I$2004))</f>
        <v/>
      </c>
      <c r="M292" s="39">
        <f>IF(A292="","",SUMIFS(Detalle_Pagos!$I$5:$I$2004,Detalle_Pagos!$A$5:$A$2004,A292,Detalle_Pagos!$J$5:$J$2004,"No"))</f>
        <v/>
      </c>
      <c r="N292" s="38">
        <f>IF(A292="","",IF(J292=0,"Sin detalle",IF(M292=0,"Pagada","Pendiente")))</f>
        <v/>
      </c>
      <c r="O292" s="38" t="n"/>
    </row>
    <row r="293">
      <c r="A293" s="36" t="n"/>
      <c r="B293" s="40" t="n"/>
      <c r="C293" s="36" t="n"/>
      <c r="D293" s="36" t="n"/>
      <c r="E293" s="36" t="n"/>
      <c r="F293" s="36" t="n"/>
      <c r="G293" s="37">
        <f>IF(A293="","",IFERROR(INDEX(Criterios!$B$4:$C$83,MATCH(D293,Criterios!$A$4:$A$83,0),IF(E293="Dentro horario",1,2)),""))</f>
        <v/>
      </c>
      <c r="H293" s="37" t="n"/>
      <c r="I293" s="37">
        <f>IF(A293="","",IF(OR(F293="",G293=""),"",F293*G293+N(H293)))</f>
        <v/>
      </c>
      <c r="J293" s="36">
        <f>IF(A293="","",COUNTIF(Detalle_Pagos!$A$5:$A$2004,A293))</f>
        <v/>
      </c>
      <c r="K293" s="37">
        <f>IF(A293="","",IF(OR(J293=0,I293=""),"",I293/J293))</f>
        <v/>
      </c>
      <c r="L293" s="37">
        <f>IF(A293="","",SUMIF(Detalle_Pagos!$A$5:$A$2004,A293,Detalle_Pagos!$I$5:$I$2004))</f>
        <v/>
      </c>
      <c r="M293" s="37">
        <f>IF(A293="","",SUMIFS(Detalle_Pagos!$I$5:$I$2004,Detalle_Pagos!$A$5:$A$2004,A293,Detalle_Pagos!$J$5:$J$2004,"No"))</f>
        <v/>
      </c>
      <c r="N293" s="36">
        <f>IF(A293="","",IF(J293=0,"Sin detalle",IF(M293=0,"Pagada","Pendiente")))</f>
        <v/>
      </c>
      <c r="O293" s="36" t="n"/>
    </row>
    <row r="294">
      <c r="A294" s="38" t="n"/>
      <c r="B294" s="41" t="n"/>
      <c r="C294" s="38" t="n"/>
      <c r="D294" s="38" t="n"/>
      <c r="E294" s="38" t="n"/>
      <c r="F294" s="38" t="n"/>
      <c r="G294" s="39">
        <f>IF(A294="","",IFERROR(INDEX(Criterios!$B$4:$C$83,MATCH(D294,Criterios!$A$4:$A$83,0),IF(E294="Dentro horario",1,2)),""))</f>
        <v/>
      </c>
      <c r="H294" s="39" t="n"/>
      <c r="I294" s="39">
        <f>IF(A294="","",IF(OR(F294="",G294=""),"",F294*G294+N(H294)))</f>
        <v/>
      </c>
      <c r="J294" s="38">
        <f>IF(A294="","",COUNTIF(Detalle_Pagos!$A$5:$A$2004,A294))</f>
        <v/>
      </c>
      <c r="K294" s="39">
        <f>IF(A294="","",IF(OR(J294=0,I294=""),"",I294/J294))</f>
        <v/>
      </c>
      <c r="L294" s="39">
        <f>IF(A294="","",SUMIF(Detalle_Pagos!$A$5:$A$2004,A294,Detalle_Pagos!$I$5:$I$2004))</f>
        <v/>
      </c>
      <c r="M294" s="39">
        <f>IF(A294="","",SUMIFS(Detalle_Pagos!$I$5:$I$2004,Detalle_Pagos!$A$5:$A$2004,A294,Detalle_Pagos!$J$5:$J$2004,"No"))</f>
        <v/>
      </c>
      <c r="N294" s="38">
        <f>IF(A294="","",IF(J294=0,"Sin detalle",IF(M294=0,"Pagada","Pendiente")))</f>
        <v/>
      </c>
      <c r="O294" s="38" t="n"/>
    </row>
    <row r="295">
      <c r="A295" s="36" t="n"/>
      <c r="B295" s="40" t="n"/>
      <c r="C295" s="36" t="n"/>
      <c r="D295" s="36" t="n"/>
      <c r="E295" s="36" t="n"/>
      <c r="F295" s="36" t="n"/>
      <c r="G295" s="37">
        <f>IF(A295="","",IFERROR(INDEX(Criterios!$B$4:$C$83,MATCH(D295,Criterios!$A$4:$A$83,0),IF(E295="Dentro horario",1,2)),""))</f>
        <v/>
      </c>
      <c r="H295" s="37" t="n"/>
      <c r="I295" s="37">
        <f>IF(A295="","",IF(OR(F295="",G295=""),"",F295*G295+N(H295)))</f>
        <v/>
      </c>
      <c r="J295" s="36">
        <f>IF(A295="","",COUNTIF(Detalle_Pagos!$A$5:$A$2004,A295))</f>
        <v/>
      </c>
      <c r="K295" s="37">
        <f>IF(A295="","",IF(OR(J295=0,I295=""),"",I295/J295))</f>
        <v/>
      </c>
      <c r="L295" s="37">
        <f>IF(A295="","",SUMIF(Detalle_Pagos!$A$5:$A$2004,A295,Detalle_Pagos!$I$5:$I$2004))</f>
        <v/>
      </c>
      <c r="M295" s="37">
        <f>IF(A295="","",SUMIFS(Detalle_Pagos!$I$5:$I$2004,Detalle_Pagos!$A$5:$A$2004,A295,Detalle_Pagos!$J$5:$J$2004,"No"))</f>
        <v/>
      </c>
      <c r="N295" s="36">
        <f>IF(A295="","",IF(J295=0,"Sin detalle",IF(M295=0,"Pagada","Pendiente")))</f>
        <v/>
      </c>
      <c r="O295" s="36" t="n"/>
    </row>
    <row r="296">
      <c r="A296" s="38" t="n"/>
      <c r="B296" s="41" t="n"/>
      <c r="C296" s="38" t="n"/>
      <c r="D296" s="38" t="n"/>
      <c r="E296" s="38" t="n"/>
      <c r="F296" s="38" t="n"/>
      <c r="G296" s="39">
        <f>IF(A296="","",IFERROR(INDEX(Criterios!$B$4:$C$83,MATCH(D296,Criterios!$A$4:$A$83,0),IF(E296="Dentro horario",1,2)),""))</f>
        <v/>
      </c>
      <c r="H296" s="39" t="n"/>
      <c r="I296" s="39">
        <f>IF(A296="","",IF(OR(F296="",G296=""),"",F296*G296+N(H296)))</f>
        <v/>
      </c>
      <c r="J296" s="38">
        <f>IF(A296="","",COUNTIF(Detalle_Pagos!$A$5:$A$2004,A296))</f>
        <v/>
      </c>
      <c r="K296" s="39">
        <f>IF(A296="","",IF(OR(J296=0,I296=""),"",I296/J296))</f>
        <v/>
      </c>
      <c r="L296" s="39">
        <f>IF(A296="","",SUMIF(Detalle_Pagos!$A$5:$A$2004,A296,Detalle_Pagos!$I$5:$I$2004))</f>
        <v/>
      </c>
      <c r="M296" s="39">
        <f>IF(A296="","",SUMIFS(Detalle_Pagos!$I$5:$I$2004,Detalle_Pagos!$A$5:$A$2004,A296,Detalle_Pagos!$J$5:$J$2004,"No"))</f>
        <v/>
      </c>
      <c r="N296" s="38">
        <f>IF(A296="","",IF(J296=0,"Sin detalle",IF(M296=0,"Pagada","Pendiente")))</f>
        <v/>
      </c>
      <c r="O296" s="38" t="n"/>
    </row>
    <row r="297">
      <c r="A297" s="36" t="n"/>
      <c r="B297" s="40" t="n"/>
      <c r="C297" s="36" t="n"/>
      <c r="D297" s="36" t="n"/>
      <c r="E297" s="36" t="n"/>
      <c r="F297" s="36" t="n"/>
      <c r="G297" s="37">
        <f>IF(A297="","",IFERROR(INDEX(Criterios!$B$4:$C$83,MATCH(D297,Criterios!$A$4:$A$83,0),IF(E297="Dentro horario",1,2)),""))</f>
        <v/>
      </c>
      <c r="H297" s="37" t="n"/>
      <c r="I297" s="37">
        <f>IF(A297="","",IF(OR(F297="",G297=""),"",F297*G297+N(H297)))</f>
        <v/>
      </c>
      <c r="J297" s="36">
        <f>IF(A297="","",COUNTIF(Detalle_Pagos!$A$5:$A$2004,A297))</f>
        <v/>
      </c>
      <c r="K297" s="37">
        <f>IF(A297="","",IF(OR(J297=0,I297=""),"",I297/J297))</f>
        <v/>
      </c>
      <c r="L297" s="37">
        <f>IF(A297="","",SUMIF(Detalle_Pagos!$A$5:$A$2004,A297,Detalle_Pagos!$I$5:$I$2004))</f>
        <v/>
      </c>
      <c r="M297" s="37">
        <f>IF(A297="","",SUMIFS(Detalle_Pagos!$I$5:$I$2004,Detalle_Pagos!$A$5:$A$2004,A297,Detalle_Pagos!$J$5:$J$2004,"No"))</f>
        <v/>
      </c>
      <c r="N297" s="36">
        <f>IF(A297="","",IF(J297=0,"Sin detalle",IF(M297=0,"Pagada","Pendiente")))</f>
        <v/>
      </c>
      <c r="O297" s="36" t="n"/>
    </row>
    <row r="298">
      <c r="A298" s="38" t="n"/>
      <c r="B298" s="41" t="n"/>
      <c r="C298" s="38" t="n"/>
      <c r="D298" s="38" t="n"/>
      <c r="E298" s="38" t="n"/>
      <c r="F298" s="38" t="n"/>
      <c r="G298" s="39">
        <f>IF(A298="","",IFERROR(INDEX(Criterios!$B$4:$C$83,MATCH(D298,Criterios!$A$4:$A$83,0),IF(E298="Dentro horario",1,2)),""))</f>
        <v/>
      </c>
      <c r="H298" s="39" t="n"/>
      <c r="I298" s="39">
        <f>IF(A298="","",IF(OR(F298="",G298=""),"",F298*G298+N(H298)))</f>
        <v/>
      </c>
      <c r="J298" s="38">
        <f>IF(A298="","",COUNTIF(Detalle_Pagos!$A$5:$A$2004,A298))</f>
        <v/>
      </c>
      <c r="K298" s="39">
        <f>IF(A298="","",IF(OR(J298=0,I298=""),"",I298/J298))</f>
        <v/>
      </c>
      <c r="L298" s="39">
        <f>IF(A298="","",SUMIF(Detalle_Pagos!$A$5:$A$2004,A298,Detalle_Pagos!$I$5:$I$2004))</f>
        <v/>
      </c>
      <c r="M298" s="39">
        <f>IF(A298="","",SUMIFS(Detalle_Pagos!$I$5:$I$2004,Detalle_Pagos!$A$5:$A$2004,A298,Detalle_Pagos!$J$5:$J$2004,"No"))</f>
        <v/>
      </c>
      <c r="N298" s="38">
        <f>IF(A298="","",IF(J298=0,"Sin detalle",IF(M298=0,"Pagada","Pendiente")))</f>
        <v/>
      </c>
      <c r="O298" s="38" t="n"/>
    </row>
    <row r="299">
      <c r="A299" s="36" t="n"/>
      <c r="B299" s="40" t="n"/>
      <c r="C299" s="36" t="n"/>
      <c r="D299" s="36" t="n"/>
      <c r="E299" s="36" t="n"/>
      <c r="F299" s="36" t="n"/>
      <c r="G299" s="37">
        <f>IF(A299="","",IFERROR(INDEX(Criterios!$B$4:$C$83,MATCH(D299,Criterios!$A$4:$A$83,0),IF(E299="Dentro horario",1,2)),""))</f>
        <v/>
      </c>
      <c r="H299" s="37" t="n"/>
      <c r="I299" s="37">
        <f>IF(A299="","",IF(OR(F299="",G299=""),"",F299*G299+N(H299)))</f>
        <v/>
      </c>
      <c r="J299" s="36">
        <f>IF(A299="","",COUNTIF(Detalle_Pagos!$A$5:$A$2004,A299))</f>
        <v/>
      </c>
      <c r="K299" s="37">
        <f>IF(A299="","",IF(OR(J299=0,I299=""),"",I299/J299))</f>
        <v/>
      </c>
      <c r="L299" s="37">
        <f>IF(A299="","",SUMIF(Detalle_Pagos!$A$5:$A$2004,A299,Detalle_Pagos!$I$5:$I$2004))</f>
        <v/>
      </c>
      <c r="M299" s="37">
        <f>IF(A299="","",SUMIFS(Detalle_Pagos!$I$5:$I$2004,Detalle_Pagos!$A$5:$A$2004,A299,Detalle_Pagos!$J$5:$J$2004,"No"))</f>
        <v/>
      </c>
      <c r="N299" s="36">
        <f>IF(A299="","",IF(J299=0,"Sin detalle",IF(M299=0,"Pagada","Pendiente")))</f>
        <v/>
      </c>
      <c r="O299" s="36" t="n"/>
    </row>
    <row r="300">
      <c r="A300" s="38" t="n"/>
      <c r="B300" s="41" t="n"/>
      <c r="C300" s="38" t="n"/>
      <c r="D300" s="38" t="n"/>
      <c r="E300" s="38" t="n"/>
      <c r="F300" s="38" t="n"/>
      <c r="G300" s="39">
        <f>IF(A300="","",IFERROR(INDEX(Criterios!$B$4:$C$83,MATCH(D300,Criterios!$A$4:$A$83,0),IF(E300="Dentro horario",1,2)),""))</f>
        <v/>
      </c>
      <c r="H300" s="39" t="n"/>
      <c r="I300" s="39">
        <f>IF(A300="","",IF(OR(F300="",G300=""),"",F300*G300+N(H300)))</f>
        <v/>
      </c>
      <c r="J300" s="38">
        <f>IF(A300="","",COUNTIF(Detalle_Pagos!$A$5:$A$2004,A300))</f>
        <v/>
      </c>
      <c r="K300" s="39">
        <f>IF(A300="","",IF(OR(J300=0,I300=""),"",I300/J300))</f>
        <v/>
      </c>
      <c r="L300" s="39">
        <f>IF(A300="","",SUMIF(Detalle_Pagos!$A$5:$A$2004,A300,Detalle_Pagos!$I$5:$I$2004))</f>
        <v/>
      </c>
      <c r="M300" s="39">
        <f>IF(A300="","",SUMIFS(Detalle_Pagos!$I$5:$I$2004,Detalle_Pagos!$A$5:$A$2004,A300,Detalle_Pagos!$J$5:$J$2004,"No"))</f>
        <v/>
      </c>
      <c r="N300" s="38">
        <f>IF(A300="","",IF(J300=0,"Sin detalle",IF(M300=0,"Pagada","Pendiente")))</f>
        <v/>
      </c>
      <c r="O300" s="38" t="n"/>
    </row>
    <row r="301">
      <c r="A301" s="36" t="n"/>
      <c r="B301" s="40" t="n"/>
      <c r="C301" s="36" t="n"/>
      <c r="D301" s="36" t="n"/>
      <c r="E301" s="36" t="n"/>
      <c r="F301" s="36" t="n"/>
      <c r="G301" s="37">
        <f>IF(A301="","",IFERROR(INDEX(Criterios!$B$4:$C$83,MATCH(D301,Criterios!$A$4:$A$83,0),IF(E301="Dentro horario",1,2)),""))</f>
        <v/>
      </c>
      <c r="H301" s="37" t="n"/>
      <c r="I301" s="37">
        <f>IF(A301="","",IF(OR(F301="",G301=""),"",F301*G301+N(H301)))</f>
        <v/>
      </c>
      <c r="J301" s="36">
        <f>IF(A301="","",COUNTIF(Detalle_Pagos!$A$5:$A$2004,A301))</f>
        <v/>
      </c>
      <c r="K301" s="37">
        <f>IF(A301="","",IF(OR(J301=0,I301=""),"",I301/J301))</f>
        <v/>
      </c>
      <c r="L301" s="37">
        <f>IF(A301="","",SUMIF(Detalle_Pagos!$A$5:$A$2004,A301,Detalle_Pagos!$I$5:$I$2004))</f>
        <v/>
      </c>
      <c r="M301" s="37">
        <f>IF(A301="","",SUMIFS(Detalle_Pagos!$I$5:$I$2004,Detalle_Pagos!$A$5:$A$2004,A301,Detalle_Pagos!$J$5:$J$2004,"No"))</f>
        <v/>
      </c>
      <c r="N301" s="36">
        <f>IF(A301="","",IF(J301=0,"Sin detalle",IF(M301=0,"Pagada","Pendiente")))</f>
        <v/>
      </c>
      <c r="O301" s="36" t="n"/>
    </row>
    <row r="302">
      <c r="A302" s="38" t="n"/>
      <c r="B302" s="41" t="n"/>
      <c r="C302" s="38" t="n"/>
      <c r="D302" s="38" t="n"/>
      <c r="E302" s="38" t="n"/>
      <c r="F302" s="38" t="n"/>
      <c r="G302" s="39">
        <f>IF(A302="","",IFERROR(INDEX(Criterios!$B$4:$C$83,MATCH(D302,Criterios!$A$4:$A$83,0),IF(E302="Dentro horario",1,2)),""))</f>
        <v/>
      </c>
      <c r="H302" s="39" t="n"/>
      <c r="I302" s="39">
        <f>IF(A302="","",IF(OR(F302="",G302=""),"",F302*G302+N(H302)))</f>
        <v/>
      </c>
      <c r="J302" s="38">
        <f>IF(A302="","",COUNTIF(Detalle_Pagos!$A$5:$A$2004,A302))</f>
        <v/>
      </c>
      <c r="K302" s="39">
        <f>IF(A302="","",IF(OR(J302=0,I302=""),"",I302/J302))</f>
        <v/>
      </c>
      <c r="L302" s="39">
        <f>IF(A302="","",SUMIF(Detalle_Pagos!$A$5:$A$2004,A302,Detalle_Pagos!$I$5:$I$2004))</f>
        <v/>
      </c>
      <c r="M302" s="39">
        <f>IF(A302="","",SUMIFS(Detalle_Pagos!$I$5:$I$2004,Detalle_Pagos!$A$5:$A$2004,A302,Detalle_Pagos!$J$5:$J$2004,"No"))</f>
        <v/>
      </c>
      <c r="N302" s="38">
        <f>IF(A302="","",IF(J302=0,"Sin detalle",IF(M302=0,"Pagada","Pendiente")))</f>
        <v/>
      </c>
      <c r="O302" s="38" t="n"/>
    </row>
    <row r="303">
      <c r="A303" s="36" t="n"/>
      <c r="B303" s="40" t="n"/>
      <c r="C303" s="36" t="n"/>
      <c r="D303" s="36" t="n"/>
      <c r="E303" s="36" t="n"/>
      <c r="F303" s="36" t="n"/>
      <c r="G303" s="37">
        <f>IF(A303="","",IFERROR(INDEX(Criterios!$B$4:$C$83,MATCH(D303,Criterios!$A$4:$A$83,0),IF(E303="Dentro horario",1,2)),""))</f>
        <v/>
      </c>
      <c r="H303" s="37" t="n"/>
      <c r="I303" s="37">
        <f>IF(A303="","",IF(OR(F303="",G303=""),"",F303*G303+N(H303)))</f>
        <v/>
      </c>
      <c r="J303" s="36">
        <f>IF(A303="","",COUNTIF(Detalle_Pagos!$A$5:$A$2004,A303))</f>
        <v/>
      </c>
      <c r="K303" s="37">
        <f>IF(A303="","",IF(OR(J303=0,I303=""),"",I303/J303))</f>
        <v/>
      </c>
      <c r="L303" s="37">
        <f>IF(A303="","",SUMIF(Detalle_Pagos!$A$5:$A$2004,A303,Detalle_Pagos!$I$5:$I$2004))</f>
        <v/>
      </c>
      <c r="M303" s="37">
        <f>IF(A303="","",SUMIFS(Detalle_Pagos!$I$5:$I$2004,Detalle_Pagos!$A$5:$A$2004,A303,Detalle_Pagos!$J$5:$J$2004,"No"))</f>
        <v/>
      </c>
      <c r="N303" s="36">
        <f>IF(A303="","",IF(J303=0,"Sin detalle",IF(M303=0,"Pagada","Pendiente")))</f>
        <v/>
      </c>
      <c r="O303" s="36" t="n"/>
    </row>
    <row r="304">
      <c r="A304" s="38" t="n"/>
      <c r="B304" s="41" t="n"/>
      <c r="C304" s="38" t="n"/>
      <c r="D304" s="38" t="n"/>
      <c r="E304" s="38" t="n"/>
      <c r="F304" s="38" t="n"/>
      <c r="G304" s="39">
        <f>IF(A304="","",IFERROR(INDEX(Criterios!$B$4:$C$83,MATCH(D304,Criterios!$A$4:$A$83,0),IF(E304="Dentro horario",1,2)),""))</f>
        <v/>
      </c>
      <c r="H304" s="39" t="n"/>
      <c r="I304" s="39">
        <f>IF(A304="","",IF(OR(F304="",G304=""),"",F304*G304+N(H304)))</f>
        <v/>
      </c>
      <c r="J304" s="38">
        <f>IF(A304="","",COUNTIF(Detalle_Pagos!$A$5:$A$2004,A304))</f>
        <v/>
      </c>
      <c r="K304" s="39">
        <f>IF(A304="","",IF(OR(J304=0,I304=""),"",I304/J304))</f>
        <v/>
      </c>
      <c r="L304" s="39">
        <f>IF(A304="","",SUMIF(Detalle_Pagos!$A$5:$A$2004,A304,Detalle_Pagos!$I$5:$I$2004))</f>
        <v/>
      </c>
      <c r="M304" s="39">
        <f>IF(A304="","",SUMIFS(Detalle_Pagos!$I$5:$I$2004,Detalle_Pagos!$A$5:$A$2004,A304,Detalle_Pagos!$J$5:$J$2004,"No"))</f>
        <v/>
      </c>
      <c r="N304" s="38">
        <f>IF(A304="","",IF(J304=0,"Sin detalle",IF(M304=0,"Pagada","Pendiente")))</f>
        <v/>
      </c>
      <c r="O304" s="38" t="n"/>
    </row>
    <row r="305">
      <c r="A305" s="36" t="n"/>
      <c r="B305" s="40" t="n"/>
      <c r="C305" s="36" t="n"/>
      <c r="D305" s="36" t="n"/>
      <c r="E305" s="36" t="n"/>
      <c r="F305" s="36" t="n"/>
      <c r="G305" s="37">
        <f>IF(A305="","",IFERROR(INDEX(Criterios!$B$4:$C$83,MATCH(D305,Criterios!$A$4:$A$83,0),IF(E305="Dentro horario",1,2)),""))</f>
        <v/>
      </c>
      <c r="H305" s="37" t="n"/>
      <c r="I305" s="37">
        <f>IF(A305="","",IF(OR(F305="",G305=""),"",F305*G305+N(H305)))</f>
        <v/>
      </c>
      <c r="J305" s="36">
        <f>IF(A305="","",COUNTIF(Detalle_Pagos!$A$5:$A$2004,A305))</f>
        <v/>
      </c>
      <c r="K305" s="37">
        <f>IF(A305="","",IF(OR(J305=0,I305=""),"",I305/J305))</f>
        <v/>
      </c>
      <c r="L305" s="37">
        <f>IF(A305="","",SUMIF(Detalle_Pagos!$A$5:$A$2004,A305,Detalle_Pagos!$I$5:$I$2004))</f>
        <v/>
      </c>
      <c r="M305" s="37">
        <f>IF(A305="","",SUMIFS(Detalle_Pagos!$I$5:$I$2004,Detalle_Pagos!$A$5:$A$2004,A305,Detalle_Pagos!$J$5:$J$2004,"No"))</f>
        <v/>
      </c>
      <c r="N305" s="36">
        <f>IF(A305="","",IF(J305=0,"Sin detalle",IF(M305=0,"Pagada","Pendiente")))</f>
        <v/>
      </c>
      <c r="O305" s="36" t="n"/>
    </row>
    <row r="306">
      <c r="A306" s="38" t="n"/>
      <c r="B306" s="41" t="n"/>
      <c r="C306" s="38" t="n"/>
      <c r="D306" s="38" t="n"/>
      <c r="E306" s="38" t="n"/>
      <c r="F306" s="38" t="n"/>
      <c r="G306" s="39">
        <f>IF(A306="","",IFERROR(INDEX(Criterios!$B$4:$C$83,MATCH(D306,Criterios!$A$4:$A$83,0),IF(E306="Dentro horario",1,2)),""))</f>
        <v/>
      </c>
      <c r="H306" s="39" t="n"/>
      <c r="I306" s="39">
        <f>IF(A306="","",IF(OR(F306="",G306=""),"",F306*G306+N(H306)))</f>
        <v/>
      </c>
      <c r="J306" s="38">
        <f>IF(A306="","",COUNTIF(Detalle_Pagos!$A$5:$A$2004,A306))</f>
        <v/>
      </c>
      <c r="K306" s="39">
        <f>IF(A306="","",IF(OR(J306=0,I306=""),"",I306/J306))</f>
        <v/>
      </c>
      <c r="L306" s="39">
        <f>IF(A306="","",SUMIF(Detalle_Pagos!$A$5:$A$2004,A306,Detalle_Pagos!$I$5:$I$2004))</f>
        <v/>
      </c>
      <c r="M306" s="39">
        <f>IF(A306="","",SUMIFS(Detalle_Pagos!$I$5:$I$2004,Detalle_Pagos!$A$5:$A$2004,A306,Detalle_Pagos!$J$5:$J$2004,"No"))</f>
        <v/>
      </c>
      <c r="N306" s="38">
        <f>IF(A306="","",IF(J306=0,"Sin detalle",IF(M306=0,"Pagada","Pendiente")))</f>
        <v/>
      </c>
      <c r="O306" s="38" t="n"/>
    </row>
    <row r="307">
      <c r="A307" s="36" t="n"/>
      <c r="B307" s="40" t="n"/>
      <c r="C307" s="36" t="n"/>
      <c r="D307" s="36" t="n"/>
      <c r="E307" s="36" t="n"/>
      <c r="F307" s="36" t="n"/>
      <c r="G307" s="37">
        <f>IF(A307="","",IFERROR(INDEX(Criterios!$B$4:$C$83,MATCH(D307,Criterios!$A$4:$A$83,0),IF(E307="Dentro horario",1,2)),""))</f>
        <v/>
      </c>
      <c r="H307" s="37" t="n"/>
      <c r="I307" s="37">
        <f>IF(A307="","",IF(OR(F307="",G307=""),"",F307*G307+N(H307)))</f>
        <v/>
      </c>
      <c r="J307" s="36">
        <f>IF(A307="","",COUNTIF(Detalle_Pagos!$A$5:$A$2004,A307))</f>
        <v/>
      </c>
      <c r="K307" s="37">
        <f>IF(A307="","",IF(OR(J307=0,I307=""),"",I307/J307))</f>
        <v/>
      </c>
      <c r="L307" s="37">
        <f>IF(A307="","",SUMIF(Detalle_Pagos!$A$5:$A$2004,A307,Detalle_Pagos!$I$5:$I$2004))</f>
        <v/>
      </c>
      <c r="M307" s="37">
        <f>IF(A307="","",SUMIFS(Detalle_Pagos!$I$5:$I$2004,Detalle_Pagos!$A$5:$A$2004,A307,Detalle_Pagos!$J$5:$J$2004,"No"))</f>
        <v/>
      </c>
      <c r="N307" s="36">
        <f>IF(A307="","",IF(J307=0,"Sin detalle",IF(M307=0,"Pagada","Pendiente")))</f>
        <v/>
      </c>
      <c r="O307" s="36" t="n"/>
    </row>
    <row r="308">
      <c r="A308" s="38" t="n"/>
      <c r="B308" s="41" t="n"/>
      <c r="C308" s="38" t="n"/>
      <c r="D308" s="38" t="n"/>
      <c r="E308" s="38" t="n"/>
      <c r="F308" s="38" t="n"/>
      <c r="G308" s="39">
        <f>IF(A308="","",IFERROR(INDEX(Criterios!$B$4:$C$83,MATCH(D308,Criterios!$A$4:$A$83,0),IF(E308="Dentro horario",1,2)),""))</f>
        <v/>
      </c>
      <c r="H308" s="39" t="n"/>
      <c r="I308" s="39">
        <f>IF(A308="","",IF(OR(F308="",G308=""),"",F308*G308+N(H308)))</f>
        <v/>
      </c>
      <c r="J308" s="38">
        <f>IF(A308="","",COUNTIF(Detalle_Pagos!$A$5:$A$2004,A308))</f>
        <v/>
      </c>
      <c r="K308" s="39">
        <f>IF(A308="","",IF(OR(J308=0,I308=""),"",I308/J308))</f>
        <v/>
      </c>
      <c r="L308" s="39">
        <f>IF(A308="","",SUMIF(Detalle_Pagos!$A$5:$A$2004,A308,Detalle_Pagos!$I$5:$I$2004))</f>
        <v/>
      </c>
      <c r="M308" s="39">
        <f>IF(A308="","",SUMIFS(Detalle_Pagos!$I$5:$I$2004,Detalle_Pagos!$A$5:$A$2004,A308,Detalle_Pagos!$J$5:$J$2004,"No"))</f>
        <v/>
      </c>
      <c r="N308" s="38">
        <f>IF(A308="","",IF(J308=0,"Sin detalle",IF(M308=0,"Pagada","Pendiente")))</f>
        <v/>
      </c>
      <c r="O308" s="38" t="n"/>
    </row>
    <row r="309">
      <c r="A309" s="36" t="n"/>
      <c r="B309" s="40" t="n"/>
      <c r="C309" s="36" t="n"/>
      <c r="D309" s="36" t="n"/>
      <c r="E309" s="36" t="n"/>
      <c r="F309" s="36" t="n"/>
      <c r="G309" s="37">
        <f>IF(A309="","",IFERROR(INDEX(Criterios!$B$4:$C$83,MATCH(D309,Criterios!$A$4:$A$83,0),IF(E309="Dentro horario",1,2)),""))</f>
        <v/>
      </c>
      <c r="H309" s="37" t="n"/>
      <c r="I309" s="37">
        <f>IF(A309="","",IF(OR(F309="",G309=""),"",F309*G309+N(H309)))</f>
        <v/>
      </c>
      <c r="J309" s="36">
        <f>IF(A309="","",COUNTIF(Detalle_Pagos!$A$5:$A$2004,A309))</f>
        <v/>
      </c>
      <c r="K309" s="37">
        <f>IF(A309="","",IF(OR(J309=0,I309=""),"",I309/J309))</f>
        <v/>
      </c>
      <c r="L309" s="37">
        <f>IF(A309="","",SUMIF(Detalle_Pagos!$A$5:$A$2004,A309,Detalle_Pagos!$I$5:$I$2004))</f>
        <v/>
      </c>
      <c r="M309" s="37">
        <f>IF(A309="","",SUMIFS(Detalle_Pagos!$I$5:$I$2004,Detalle_Pagos!$A$5:$A$2004,A309,Detalle_Pagos!$J$5:$J$2004,"No"))</f>
        <v/>
      </c>
      <c r="N309" s="36">
        <f>IF(A309="","",IF(J309=0,"Sin detalle",IF(M309=0,"Pagada","Pendiente")))</f>
        <v/>
      </c>
      <c r="O309" s="36" t="n"/>
    </row>
    <row r="310">
      <c r="A310" s="38" t="n"/>
      <c r="B310" s="41" t="n"/>
      <c r="C310" s="38" t="n"/>
      <c r="D310" s="38" t="n"/>
      <c r="E310" s="38" t="n"/>
      <c r="F310" s="38" t="n"/>
      <c r="G310" s="39">
        <f>IF(A310="","",IFERROR(INDEX(Criterios!$B$4:$C$83,MATCH(D310,Criterios!$A$4:$A$83,0),IF(E310="Dentro horario",1,2)),""))</f>
        <v/>
      </c>
      <c r="H310" s="39" t="n"/>
      <c r="I310" s="39">
        <f>IF(A310="","",IF(OR(F310="",G310=""),"",F310*G310+N(H310)))</f>
        <v/>
      </c>
      <c r="J310" s="38">
        <f>IF(A310="","",COUNTIF(Detalle_Pagos!$A$5:$A$2004,A310))</f>
        <v/>
      </c>
      <c r="K310" s="39">
        <f>IF(A310="","",IF(OR(J310=0,I310=""),"",I310/J310))</f>
        <v/>
      </c>
      <c r="L310" s="39">
        <f>IF(A310="","",SUMIF(Detalle_Pagos!$A$5:$A$2004,A310,Detalle_Pagos!$I$5:$I$2004))</f>
        <v/>
      </c>
      <c r="M310" s="39">
        <f>IF(A310="","",SUMIFS(Detalle_Pagos!$I$5:$I$2004,Detalle_Pagos!$A$5:$A$2004,A310,Detalle_Pagos!$J$5:$J$2004,"No"))</f>
        <v/>
      </c>
      <c r="N310" s="38">
        <f>IF(A310="","",IF(J310=0,"Sin detalle",IF(M310=0,"Pagada","Pendiente")))</f>
        <v/>
      </c>
      <c r="O310" s="38" t="n"/>
    </row>
    <row r="311">
      <c r="A311" s="36" t="n"/>
      <c r="B311" s="40" t="n"/>
      <c r="C311" s="36" t="n"/>
      <c r="D311" s="36" t="n"/>
      <c r="E311" s="36" t="n"/>
      <c r="F311" s="36" t="n"/>
      <c r="G311" s="37">
        <f>IF(A311="","",IFERROR(INDEX(Criterios!$B$4:$C$83,MATCH(D311,Criterios!$A$4:$A$83,0),IF(E311="Dentro horario",1,2)),""))</f>
        <v/>
      </c>
      <c r="H311" s="37" t="n"/>
      <c r="I311" s="37">
        <f>IF(A311="","",IF(OR(F311="",G311=""),"",F311*G311+N(H311)))</f>
        <v/>
      </c>
      <c r="J311" s="36">
        <f>IF(A311="","",COUNTIF(Detalle_Pagos!$A$5:$A$2004,A311))</f>
        <v/>
      </c>
      <c r="K311" s="37">
        <f>IF(A311="","",IF(OR(J311=0,I311=""),"",I311/J311))</f>
        <v/>
      </c>
      <c r="L311" s="37">
        <f>IF(A311="","",SUMIF(Detalle_Pagos!$A$5:$A$2004,A311,Detalle_Pagos!$I$5:$I$2004))</f>
        <v/>
      </c>
      <c r="M311" s="37">
        <f>IF(A311="","",SUMIFS(Detalle_Pagos!$I$5:$I$2004,Detalle_Pagos!$A$5:$A$2004,A311,Detalle_Pagos!$J$5:$J$2004,"No"))</f>
        <v/>
      </c>
      <c r="N311" s="36">
        <f>IF(A311="","",IF(J311=0,"Sin detalle",IF(M311=0,"Pagada","Pendiente")))</f>
        <v/>
      </c>
      <c r="O311" s="36" t="n"/>
    </row>
    <row r="312">
      <c r="A312" s="38" t="n"/>
      <c r="B312" s="41" t="n"/>
      <c r="C312" s="38" t="n"/>
      <c r="D312" s="38" t="n"/>
      <c r="E312" s="38" t="n"/>
      <c r="F312" s="38" t="n"/>
      <c r="G312" s="39">
        <f>IF(A312="","",IFERROR(INDEX(Criterios!$B$4:$C$83,MATCH(D312,Criterios!$A$4:$A$83,0),IF(E312="Dentro horario",1,2)),""))</f>
        <v/>
      </c>
      <c r="H312" s="39" t="n"/>
      <c r="I312" s="39">
        <f>IF(A312="","",IF(OR(F312="",G312=""),"",F312*G312+N(H312)))</f>
        <v/>
      </c>
      <c r="J312" s="38">
        <f>IF(A312="","",COUNTIF(Detalle_Pagos!$A$5:$A$2004,A312))</f>
        <v/>
      </c>
      <c r="K312" s="39">
        <f>IF(A312="","",IF(OR(J312=0,I312=""),"",I312/J312))</f>
        <v/>
      </c>
      <c r="L312" s="39">
        <f>IF(A312="","",SUMIF(Detalle_Pagos!$A$5:$A$2004,A312,Detalle_Pagos!$I$5:$I$2004))</f>
        <v/>
      </c>
      <c r="M312" s="39">
        <f>IF(A312="","",SUMIFS(Detalle_Pagos!$I$5:$I$2004,Detalle_Pagos!$A$5:$A$2004,A312,Detalle_Pagos!$J$5:$J$2004,"No"))</f>
        <v/>
      </c>
      <c r="N312" s="38">
        <f>IF(A312="","",IF(J312=0,"Sin detalle",IF(M312=0,"Pagada","Pendiente")))</f>
        <v/>
      </c>
      <c r="O312" s="38" t="n"/>
    </row>
    <row r="313">
      <c r="A313" s="36" t="n"/>
      <c r="B313" s="40" t="n"/>
      <c r="C313" s="36" t="n"/>
      <c r="D313" s="36" t="n"/>
      <c r="E313" s="36" t="n"/>
      <c r="F313" s="36" t="n"/>
      <c r="G313" s="37">
        <f>IF(A313="","",IFERROR(INDEX(Criterios!$B$4:$C$83,MATCH(D313,Criterios!$A$4:$A$83,0),IF(E313="Dentro horario",1,2)),""))</f>
        <v/>
      </c>
      <c r="H313" s="37" t="n"/>
      <c r="I313" s="37">
        <f>IF(A313="","",IF(OR(F313="",G313=""),"",F313*G313+N(H313)))</f>
        <v/>
      </c>
      <c r="J313" s="36">
        <f>IF(A313="","",COUNTIF(Detalle_Pagos!$A$5:$A$2004,A313))</f>
        <v/>
      </c>
      <c r="K313" s="37">
        <f>IF(A313="","",IF(OR(J313=0,I313=""),"",I313/J313))</f>
        <v/>
      </c>
      <c r="L313" s="37">
        <f>IF(A313="","",SUMIF(Detalle_Pagos!$A$5:$A$2004,A313,Detalle_Pagos!$I$5:$I$2004))</f>
        <v/>
      </c>
      <c r="M313" s="37">
        <f>IF(A313="","",SUMIFS(Detalle_Pagos!$I$5:$I$2004,Detalle_Pagos!$A$5:$A$2004,A313,Detalle_Pagos!$J$5:$J$2004,"No"))</f>
        <v/>
      </c>
      <c r="N313" s="36">
        <f>IF(A313="","",IF(J313=0,"Sin detalle",IF(M313=0,"Pagada","Pendiente")))</f>
        <v/>
      </c>
      <c r="O313" s="36" t="n"/>
    </row>
    <row r="314">
      <c r="A314" s="38" t="n"/>
      <c r="B314" s="41" t="n"/>
      <c r="C314" s="38" t="n"/>
      <c r="D314" s="38" t="n"/>
      <c r="E314" s="38" t="n"/>
      <c r="F314" s="38" t="n"/>
      <c r="G314" s="39">
        <f>IF(A314="","",IFERROR(INDEX(Criterios!$B$4:$C$83,MATCH(D314,Criterios!$A$4:$A$83,0),IF(E314="Dentro horario",1,2)),""))</f>
        <v/>
      </c>
      <c r="H314" s="39" t="n"/>
      <c r="I314" s="39">
        <f>IF(A314="","",IF(OR(F314="",G314=""),"",F314*G314+N(H314)))</f>
        <v/>
      </c>
      <c r="J314" s="38">
        <f>IF(A314="","",COUNTIF(Detalle_Pagos!$A$5:$A$2004,A314))</f>
        <v/>
      </c>
      <c r="K314" s="39">
        <f>IF(A314="","",IF(OR(J314=0,I314=""),"",I314/J314))</f>
        <v/>
      </c>
      <c r="L314" s="39">
        <f>IF(A314="","",SUMIF(Detalle_Pagos!$A$5:$A$2004,A314,Detalle_Pagos!$I$5:$I$2004))</f>
        <v/>
      </c>
      <c r="M314" s="39">
        <f>IF(A314="","",SUMIFS(Detalle_Pagos!$I$5:$I$2004,Detalle_Pagos!$A$5:$A$2004,A314,Detalle_Pagos!$J$5:$J$2004,"No"))</f>
        <v/>
      </c>
      <c r="N314" s="38">
        <f>IF(A314="","",IF(J314=0,"Sin detalle",IF(M314=0,"Pagada","Pendiente")))</f>
        <v/>
      </c>
      <c r="O314" s="38" t="n"/>
    </row>
    <row r="315">
      <c r="A315" s="36" t="n"/>
      <c r="B315" s="40" t="n"/>
      <c r="C315" s="36" t="n"/>
      <c r="D315" s="36" t="n"/>
      <c r="E315" s="36" t="n"/>
      <c r="F315" s="36" t="n"/>
      <c r="G315" s="37">
        <f>IF(A315="","",IFERROR(INDEX(Criterios!$B$4:$C$83,MATCH(D315,Criterios!$A$4:$A$83,0),IF(E315="Dentro horario",1,2)),""))</f>
        <v/>
      </c>
      <c r="H315" s="37" t="n"/>
      <c r="I315" s="37">
        <f>IF(A315="","",IF(OR(F315="",G315=""),"",F315*G315+N(H315)))</f>
        <v/>
      </c>
      <c r="J315" s="36">
        <f>IF(A315="","",COUNTIF(Detalle_Pagos!$A$5:$A$2004,A315))</f>
        <v/>
      </c>
      <c r="K315" s="37">
        <f>IF(A315="","",IF(OR(J315=0,I315=""),"",I315/J315))</f>
        <v/>
      </c>
      <c r="L315" s="37">
        <f>IF(A315="","",SUMIF(Detalle_Pagos!$A$5:$A$2004,A315,Detalle_Pagos!$I$5:$I$2004))</f>
        <v/>
      </c>
      <c r="M315" s="37">
        <f>IF(A315="","",SUMIFS(Detalle_Pagos!$I$5:$I$2004,Detalle_Pagos!$A$5:$A$2004,A315,Detalle_Pagos!$J$5:$J$2004,"No"))</f>
        <v/>
      </c>
      <c r="N315" s="36">
        <f>IF(A315="","",IF(J315=0,"Sin detalle",IF(M315=0,"Pagada","Pendiente")))</f>
        <v/>
      </c>
      <c r="O315" s="36" t="n"/>
    </row>
    <row r="316">
      <c r="A316" s="38" t="n"/>
      <c r="B316" s="41" t="n"/>
      <c r="C316" s="38" t="n"/>
      <c r="D316" s="38" t="n"/>
      <c r="E316" s="38" t="n"/>
      <c r="F316" s="38" t="n"/>
      <c r="G316" s="39">
        <f>IF(A316="","",IFERROR(INDEX(Criterios!$B$4:$C$83,MATCH(D316,Criterios!$A$4:$A$83,0),IF(E316="Dentro horario",1,2)),""))</f>
        <v/>
      </c>
      <c r="H316" s="39" t="n"/>
      <c r="I316" s="39">
        <f>IF(A316="","",IF(OR(F316="",G316=""),"",F316*G316+N(H316)))</f>
        <v/>
      </c>
      <c r="J316" s="38">
        <f>IF(A316="","",COUNTIF(Detalle_Pagos!$A$5:$A$2004,A316))</f>
        <v/>
      </c>
      <c r="K316" s="39">
        <f>IF(A316="","",IF(OR(J316=0,I316=""),"",I316/J316))</f>
        <v/>
      </c>
      <c r="L316" s="39">
        <f>IF(A316="","",SUMIF(Detalle_Pagos!$A$5:$A$2004,A316,Detalle_Pagos!$I$5:$I$2004))</f>
        <v/>
      </c>
      <c r="M316" s="39">
        <f>IF(A316="","",SUMIFS(Detalle_Pagos!$I$5:$I$2004,Detalle_Pagos!$A$5:$A$2004,A316,Detalle_Pagos!$J$5:$J$2004,"No"))</f>
        <v/>
      </c>
      <c r="N316" s="38">
        <f>IF(A316="","",IF(J316=0,"Sin detalle",IF(M316=0,"Pagada","Pendiente")))</f>
        <v/>
      </c>
      <c r="O316" s="38" t="n"/>
    </row>
    <row r="317">
      <c r="A317" s="36" t="n"/>
      <c r="B317" s="40" t="n"/>
      <c r="C317" s="36" t="n"/>
      <c r="D317" s="36" t="n"/>
      <c r="E317" s="36" t="n"/>
      <c r="F317" s="36" t="n"/>
      <c r="G317" s="37">
        <f>IF(A317="","",IFERROR(INDEX(Criterios!$B$4:$C$83,MATCH(D317,Criterios!$A$4:$A$83,0),IF(E317="Dentro horario",1,2)),""))</f>
        <v/>
      </c>
      <c r="H317" s="37" t="n"/>
      <c r="I317" s="37">
        <f>IF(A317="","",IF(OR(F317="",G317=""),"",F317*G317+N(H317)))</f>
        <v/>
      </c>
      <c r="J317" s="36">
        <f>IF(A317="","",COUNTIF(Detalle_Pagos!$A$5:$A$2004,A317))</f>
        <v/>
      </c>
      <c r="K317" s="37">
        <f>IF(A317="","",IF(OR(J317=0,I317=""),"",I317/J317))</f>
        <v/>
      </c>
      <c r="L317" s="37">
        <f>IF(A317="","",SUMIF(Detalle_Pagos!$A$5:$A$2004,A317,Detalle_Pagos!$I$5:$I$2004))</f>
        <v/>
      </c>
      <c r="M317" s="37">
        <f>IF(A317="","",SUMIFS(Detalle_Pagos!$I$5:$I$2004,Detalle_Pagos!$A$5:$A$2004,A317,Detalle_Pagos!$J$5:$J$2004,"No"))</f>
        <v/>
      </c>
      <c r="N317" s="36">
        <f>IF(A317="","",IF(J317=0,"Sin detalle",IF(M317=0,"Pagada","Pendiente")))</f>
        <v/>
      </c>
      <c r="O317" s="36" t="n"/>
    </row>
    <row r="318">
      <c r="A318" s="38" t="n"/>
      <c r="B318" s="41" t="n"/>
      <c r="C318" s="38" t="n"/>
      <c r="D318" s="38" t="n"/>
      <c r="E318" s="38" t="n"/>
      <c r="F318" s="38" t="n"/>
      <c r="G318" s="39">
        <f>IF(A318="","",IFERROR(INDEX(Criterios!$B$4:$C$83,MATCH(D318,Criterios!$A$4:$A$83,0),IF(E318="Dentro horario",1,2)),""))</f>
        <v/>
      </c>
      <c r="H318" s="39" t="n"/>
      <c r="I318" s="39">
        <f>IF(A318="","",IF(OR(F318="",G318=""),"",F318*G318+N(H318)))</f>
        <v/>
      </c>
      <c r="J318" s="38">
        <f>IF(A318="","",COUNTIF(Detalle_Pagos!$A$5:$A$2004,A318))</f>
        <v/>
      </c>
      <c r="K318" s="39">
        <f>IF(A318="","",IF(OR(J318=0,I318=""),"",I318/J318))</f>
        <v/>
      </c>
      <c r="L318" s="39">
        <f>IF(A318="","",SUMIF(Detalle_Pagos!$A$5:$A$2004,A318,Detalle_Pagos!$I$5:$I$2004))</f>
        <v/>
      </c>
      <c r="M318" s="39">
        <f>IF(A318="","",SUMIFS(Detalle_Pagos!$I$5:$I$2004,Detalle_Pagos!$A$5:$A$2004,A318,Detalle_Pagos!$J$5:$J$2004,"No"))</f>
        <v/>
      </c>
      <c r="N318" s="38">
        <f>IF(A318="","",IF(J318=0,"Sin detalle",IF(M318=0,"Pagada","Pendiente")))</f>
        <v/>
      </c>
      <c r="O318" s="38" t="n"/>
    </row>
    <row r="319">
      <c r="A319" s="36" t="n"/>
      <c r="B319" s="40" t="n"/>
      <c r="C319" s="36" t="n"/>
      <c r="D319" s="36" t="n"/>
      <c r="E319" s="36" t="n"/>
      <c r="F319" s="36" t="n"/>
      <c r="G319" s="37">
        <f>IF(A319="","",IFERROR(INDEX(Criterios!$B$4:$C$83,MATCH(D319,Criterios!$A$4:$A$83,0),IF(E319="Dentro horario",1,2)),""))</f>
        <v/>
      </c>
      <c r="H319" s="37" t="n"/>
      <c r="I319" s="37">
        <f>IF(A319="","",IF(OR(F319="",G319=""),"",F319*G319+N(H319)))</f>
        <v/>
      </c>
      <c r="J319" s="36">
        <f>IF(A319="","",COUNTIF(Detalle_Pagos!$A$5:$A$2004,A319))</f>
        <v/>
      </c>
      <c r="K319" s="37">
        <f>IF(A319="","",IF(OR(J319=0,I319=""),"",I319/J319))</f>
        <v/>
      </c>
      <c r="L319" s="37">
        <f>IF(A319="","",SUMIF(Detalle_Pagos!$A$5:$A$2004,A319,Detalle_Pagos!$I$5:$I$2004))</f>
        <v/>
      </c>
      <c r="M319" s="37">
        <f>IF(A319="","",SUMIFS(Detalle_Pagos!$I$5:$I$2004,Detalle_Pagos!$A$5:$A$2004,A319,Detalle_Pagos!$J$5:$J$2004,"No"))</f>
        <v/>
      </c>
      <c r="N319" s="36">
        <f>IF(A319="","",IF(J319=0,"Sin detalle",IF(M319=0,"Pagada","Pendiente")))</f>
        <v/>
      </c>
      <c r="O319" s="36" t="n"/>
    </row>
    <row r="320">
      <c r="A320" s="38" t="n"/>
      <c r="B320" s="41" t="n"/>
      <c r="C320" s="38" t="n"/>
      <c r="D320" s="38" t="n"/>
      <c r="E320" s="38" t="n"/>
      <c r="F320" s="38" t="n"/>
      <c r="G320" s="39">
        <f>IF(A320="","",IFERROR(INDEX(Criterios!$B$4:$C$83,MATCH(D320,Criterios!$A$4:$A$83,0),IF(E320="Dentro horario",1,2)),""))</f>
        <v/>
      </c>
      <c r="H320" s="39" t="n"/>
      <c r="I320" s="39">
        <f>IF(A320="","",IF(OR(F320="",G320=""),"",F320*G320+N(H320)))</f>
        <v/>
      </c>
      <c r="J320" s="38">
        <f>IF(A320="","",COUNTIF(Detalle_Pagos!$A$5:$A$2004,A320))</f>
        <v/>
      </c>
      <c r="K320" s="39">
        <f>IF(A320="","",IF(OR(J320=0,I320=""),"",I320/J320))</f>
        <v/>
      </c>
      <c r="L320" s="39">
        <f>IF(A320="","",SUMIF(Detalle_Pagos!$A$5:$A$2004,A320,Detalle_Pagos!$I$5:$I$2004))</f>
        <v/>
      </c>
      <c r="M320" s="39">
        <f>IF(A320="","",SUMIFS(Detalle_Pagos!$I$5:$I$2004,Detalle_Pagos!$A$5:$A$2004,A320,Detalle_Pagos!$J$5:$J$2004,"No"))</f>
        <v/>
      </c>
      <c r="N320" s="38">
        <f>IF(A320="","",IF(J320=0,"Sin detalle",IF(M320=0,"Pagada","Pendiente")))</f>
        <v/>
      </c>
      <c r="O320" s="38" t="n"/>
    </row>
    <row r="321">
      <c r="A321" s="36" t="n"/>
      <c r="B321" s="40" t="n"/>
      <c r="C321" s="36" t="n"/>
      <c r="D321" s="36" t="n"/>
      <c r="E321" s="36" t="n"/>
      <c r="F321" s="36" t="n"/>
      <c r="G321" s="37">
        <f>IF(A321="","",IFERROR(INDEX(Criterios!$B$4:$C$83,MATCH(D321,Criterios!$A$4:$A$83,0),IF(E321="Dentro horario",1,2)),""))</f>
        <v/>
      </c>
      <c r="H321" s="37" t="n"/>
      <c r="I321" s="37">
        <f>IF(A321="","",IF(OR(F321="",G321=""),"",F321*G321+N(H321)))</f>
        <v/>
      </c>
      <c r="J321" s="36">
        <f>IF(A321="","",COUNTIF(Detalle_Pagos!$A$5:$A$2004,A321))</f>
        <v/>
      </c>
      <c r="K321" s="37">
        <f>IF(A321="","",IF(OR(J321=0,I321=""),"",I321/J321))</f>
        <v/>
      </c>
      <c r="L321" s="37">
        <f>IF(A321="","",SUMIF(Detalle_Pagos!$A$5:$A$2004,A321,Detalle_Pagos!$I$5:$I$2004))</f>
        <v/>
      </c>
      <c r="M321" s="37">
        <f>IF(A321="","",SUMIFS(Detalle_Pagos!$I$5:$I$2004,Detalle_Pagos!$A$5:$A$2004,A321,Detalle_Pagos!$J$5:$J$2004,"No"))</f>
        <v/>
      </c>
      <c r="N321" s="36">
        <f>IF(A321="","",IF(J321=0,"Sin detalle",IF(M321=0,"Pagada","Pendiente")))</f>
        <v/>
      </c>
      <c r="O321" s="36" t="n"/>
    </row>
    <row r="322">
      <c r="A322" s="38" t="n"/>
      <c r="B322" s="41" t="n"/>
      <c r="C322" s="38" t="n"/>
      <c r="D322" s="38" t="n"/>
      <c r="E322" s="38" t="n"/>
      <c r="F322" s="38" t="n"/>
      <c r="G322" s="39">
        <f>IF(A322="","",IFERROR(INDEX(Criterios!$B$4:$C$83,MATCH(D322,Criterios!$A$4:$A$83,0),IF(E322="Dentro horario",1,2)),""))</f>
        <v/>
      </c>
      <c r="H322" s="39" t="n"/>
      <c r="I322" s="39">
        <f>IF(A322="","",IF(OR(F322="",G322=""),"",F322*G322+N(H322)))</f>
        <v/>
      </c>
      <c r="J322" s="38">
        <f>IF(A322="","",COUNTIF(Detalle_Pagos!$A$5:$A$2004,A322))</f>
        <v/>
      </c>
      <c r="K322" s="39">
        <f>IF(A322="","",IF(OR(J322=0,I322=""),"",I322/J322))</f>
        <v/>
      </c>
      <c r="L322" s="39">
        <f>IF(A322="","",SUMIF(Detalle_Pagos!$A$5:$A$2004,A322,Detalle_Pagos!$I$5:$I$2004))</f>
        <v/>
      </c>
      <c r="M322" s="39">
        <f>IF(A322="","",SUMIFS(Detalle_Pagos!$I$5:$I$2004,Detalle_Pagos!$A$5:$A$2004,A322,Detalle_Pagos!$J$5:$J$2004,"No"))</f>
        <v/>
      </c>
      <c r="N322" s="38">
        <f>IF(A322="","",IF(J322=0,"Sin detalle",IF(M322=0,"Pagada","Pendiente")))</f>
        <v/>
      </c>
      <c r="O322" s="38" t="n"/>
    </row>
    <row r="323">
      <c r="A323" s="36" t="n"/>
      <c r="B323" s="40" t="n"/>
      <c r="C323" s="36" t="n"/>
      <c r="D323" s="36" t="n"/>
      <c r="E323" s="36" t="n"/>
      <c r="F323" s="36" t="n"/>
      <c r="G323" s="37">
        <f>IF(A323="","",IFERROR(INDEX(Criterios!$B$4:$C$83,MATCH(D323,Criterios!$A$4:$A$83,0),IF(E323="Dentro horario",1,2)),""))</f>
        <v/>
      </c>
      <c r="H323" s="37" t="n"/>
      <c r="I323" s="37">
        <f>IF(A323="","",IF(OR(F323="",G323=""),"",F323*G323+N(H323)))</f>
        <v/>
      </c>
      <c r="J323" s="36">
        <f>IF(A323="","",COUNTIF(Detalle_Pagos!$A$5:$A$2004,A323))</f>
        <v/>
      </c>
      <c r="K323" s="37">
        <f>IF(A323="","",IF(OR(J323=0,I323=""),"",I323/J323))</f>
        <v/>
      </c>
      <c r="L323" s="37">
        <f>IF(A323="","",SUMIF(Detalle_Pagos!$A$5:$A$2004,A323,Detalle_Pagos!$I$5:$I$2004))</f>
        <v/>
      </c>
      <c r="M323" s="37">
        <f>IF(A323="","",SUMIFS(Detalle_Pagos!$I$5:$I$2004,Detalle_Pagos!$A$5:$A$2004,A323,Detalle_Pagos!$J$5:$J$2004,"No"))</f>
        <v/>
      </c>
      <c r="N323" s="36">
        <f>IF(A323="","",IF(J323=0,"Sin detalle",IF(M323=0,"Pagada","Pendiente")))</f>
        <v/>
      </c>
      <c r="O323" s="36" t="n"/>
    </row>
    <row r="324">
      <c r="A324" s="38" t="n"/>
      <c r="B324" s="41" t="n"/>
      <c r="C324" s="38" t="n"/>
      <c r="D324" s="38" t="n"/>
      <c r="E324" s="38" t="n"/>
      <c r="F324" s="38" t="n"/>
      <c r="G324" s="39">
        <f>IF(A324="","",IFERROR(INDEX(Criterios!$B$4:$C$83,MATCH(D324,Criterios!$A$4:$A$83,0),IF(E324="Dentro horario",1,2)),""))</f>
        <v/>
      </c>
      <c r="H324" s="39" t="n"/>
      <c r="I324" s="39">
        <f>IF(A324="","",IF(OR(F324="",G324=""),"",F324*G324+N(H324)))</f>
        <v/>
      </c>
      <c r="J324" s="38">
        <f>IF(A324="","",COUNTIF(Detalle_Pagos!$A$5:$A$2004,A324))</f>
        <v/>
      </c>
      <c r="K324" s="39">
        <f>IF(A324="","",IF(OR(J324=0,I324=""),"",I324/J324))</f>
        <v/>
      </c>
      <c r="L324" s="39">
        <f>IF(A324="","",SUMIF(Detalle_Pagos!$A$5:$A$2004,A324,Detalle_Pagos!$I$5:$I$2004))</f>
        <v/>
      </c>
      <c r="M324" s="39">
        <f>IF(A324="","",SUMIFS(Detalle_Pagos!$I$5:$I$2004,Detalle_Pagos!$A$5:$A$2004,A324,Detalle_Pagos!$J$5:$J$2004,"No"))</f>
        <v/>
      </c>
      <c r="N324" s="38">
        <f>IF(A324="","",IF(J324=0,"Sin detalle",IF(M324=0,"Pagada","Pendiente")))</f>
        <v/>
      </c>
      <c r="O324" s="38" t="n"/>
    </row>
    <row r="325">
      <c r="A325" s="36" t="n"/>
      <c r="B325" s="40" t="n"/>
      <c r="C325" s="36" t="n"/>
      <c r="D325" s="36" t="n"/>
      <c r="E325" s="36" t="n"/>
      <c r="F325" s="36" t="n"/>
      <c r="G325" s="37">
        <f>IF(A325="","",IFERROR(INDEX(Criterios!$B$4:$C$83,MATCH(D325,Criterios!$A$4:$A$83,0),IF(E325="Dentro horario",1,2)),""))</f>
        <v/>
      </c>
      <c r="H325" s="37" t="n"/>
      <c r="I325" s="37">
        <f>IF(A325="","",IF(OR(F325="",G325=""),"",F325*G325+N(H325)))</f>
        <v/>
      </c>
      <c r="J325" s="36">
        <f>IF(A325="","",COUNTIF(Detalle_Pagos!$A$5:$A$2004,A325))</f>
        <v/>
      </c>
      <c r="K325" s="37">
        <f>IF(A325="","",IF(OR(J325=0,I325=""),"",I325/J325))</f>
        <v/>
      </c>
      <c r="L325" s="37">
        <f>IF(A325="","",SUMIF(Detalle_Pagos!$A$5:$A$2004,A325,Detalle_Pagos!$I$5:$I$2004))</f>
        <v/>
      </c>
      <c r="M325" s="37">
        <f>IF(A325="","",SUMIFS(Detalle_Pagos!$I$5:$I$2004,Detalle_Pagos!$A$5:$A$2004,A325,Detalle_Pagos!$J$5:$J$2004,"No"))</f>
        <v/>
      </c>
      <c r="N325" s="36">
        <f>IF(A325="","",IF(J325=0,"Sin detalle",IF(M325=0,"Pagada","Pendiente")))</f>
        <v/>
      </c>
      <c r="O325" s="36" t="n"/>
    </row>
    <row r="326">
      <c r="A326" s="38" t="n"/>
      <c r="B326" s="41" t="n"/>
      <c r="C326" s="38" t="n"/>
      <c r="D326" s="38" t="n"/>
      <c r="E326" s="38" t="n"/>
      <c r="F326" s="38" t="n"/>
      <c r="G326" s="39">
        <f>IF(A326="","",IFERROR(INDEX(Criterios!$B$4:$C$83,MATCH(D326,Criterios!$A$4:$A$83,0),IF(E326="Dentro horario",1,2)),""))</f>
        <v/>
      </c>
      <c r="H326" s="39" t="n"/>
      <c r="I326" s="39">
        <f>IF(A326="","",IF(OR(F326="",G326=""),"",F326*G326+N(H326)))</f>
        <v/>
      </c>
      <c r="J326" s="38">
        <f>IF(A326="","",COUNTIF(Detalle_Pagos!$A$5:$A$2004,A326))</f>
        <v/>
      </c>
      <c r="K326" s="39">
        <f>IF(A326="","",IF(OR(J326=0,I326=""),"",I326/J326))</f>
        <v/>
      </c>
      <c r="L326" s="39">
        <f>IF(A326="","",SUMIF(Detalle_Pagos!$A$5:$A$2004,A326,Detalle_Pagos!$I$5:$I$2004))</f>
        <v/>
      </c>
      <c r="M326" s="39">
        <f>IF(A326="","",SUMIFS(Detalle_Pagos!$I$5:$I$2004,Detalle_Pagos!$A$5:$A$2004,A326,Detalle_Pagos!$J$5:$J$2004,"No"))</f>
        <v/>
      </c>
      <c r="N326" s="38">
        <f>IF(A326="","",IF(J326=0,"Sin detalle",IF(M326=0,"Pagada","Pendiente")))</f>
        <v/>
      </c>
      <c r="O326" s="38" t="n"/>
    </row>
    <row r="327">
      <c r="A327" s="36" t="n"/>
      <c r="B327" s="40" t="n"/>
      <c r="C327" s="36" t="n"/>
      <c r="D327" s="36" t="n"/>
      <c r="E327" s="36" t="n"/>
      <c r="F327" s="36" t="n"/>
      <c r="G327" s="37">
        <f>IF(A327="","",IFERROR(INDEX(Criterios!$B$4:$C$83,MATCH(D327,Criterios!$A$4:$A$83,0),IF(E327="Dentro horario",1,2)),""))</f>
        <v/>
      </c>
      <c r="H327" s="37" t="n"/>
      <c r="I327" s="37">
        <f>IF(A327="","",IF(OR(F327="",G327=""),"",F327*G327+N(H327)))</f>
        <v/>
      </c>
      <c r="J327" s="36">
        <f>IF(A327="","",COUNTIF(Detalle_Pagos!$A$5:$A$2004,A327))</f>
        <v/>
      </c>
      <c r="K327" s="37">
        <f>IF(A327="","",IF(OR(J327=0,I327=""),"",I327/J327))</f>
        <v/>
      </c>
      <c r="L327" s="37">
        <f>IF(A327="","",SUMIF(Detalle_Pagos!$A$5:$A$2004,A327,Detalle_Pagos!$I$5:$I$2004))</f>
        <v/>
      </c>
      <c r="M327" s="37">
        <f>IF(A327="","",SUMIFS(Detalle_Pagos!$I$5:$I$2004,Detalle_Pagos!$A$5:$A$2004,A327,Detalle_Pagos!$J$5:$J$2004,"No"))</f>
        <v/>
      </c>
      <c r="N327" s="36">
        <f>IF(A327="","",IF(J327=0,"Sin detalle",IF(M327=0,"Pagada","Pendiente")))</f>
        <v/>
      </c>
      <c r="O327" s="36" t="n"/>
    </row>
    <row r="328">
      <c r="A328" s="38" t="n"/>
      <c r="B328" s="41" t="n"/>
      <c r="C328" s="38" t="n"/>
      <c r="D328" s="38" t="n"/>
      <c r="E328" s="38" t="n"/>
      <c r="F328" s="38" t="n"/>
      <c r="G328" s="39">
        <f>IF(A328="","",IFERROR(INDEX(Criterios!$B$4:$C$83,MATCH(D328,Criterios!$A$4:$A$83,0),IF(E328="Dentro horario",1,2)),""))</f>
        <v/>
      </c>
      <c r="H328" s="39" t="n"/>
      <c r="I328" s="39">
        <f>IF(A328="","",IF(OR(F328="",G328=""),"",F328*G328+N(H328)))</f>
        <v/>
      </c>
      <c r="J328" s="38">
        <f>IF(A328="","",COUNTIF(Detalle_Pagos!$A$5:$A$2004,A328))</f>
        <v/>
      </c>
      <c r="K328" s="39">
        <f>IF(A328="","",IF(OR(J328=0,I328=""),"",I328/J328))</f>
        <v/>
      </c>
      <c r="L328" s="39">
        <f>IF(A328="","",SUMIF(Detalle_Pagos!$A$5:$A$2004,A328,Detalle_Pagos!$I$5:$I$2004))</f>
        <v/>
      </c>
      <c r="M328" s="39">
        <f>IF(A328="","",SUMIFS(Detalle_Pagos!$I$5:$I$2004,Detalle_Pagos!$A$5:$A$2004,A328,Detalle_Pagos!$J$5:$J$2004,"No"))</f>
        <v/>
      </c>
      <c r="N328" s="38">
        <f>IF(A328="","",IF(J328=0,"Sin detalle",IF(M328=0,"Pagada","Pendiente")))</f>
        <v/>
      </c>
      <c r="O328" s="38" t="n"/>
    </row>
    <row r="329">
      <c r="A329" s="36" t="n"/>
      <c r="B329" s="40" t="n"/>
      <c r="C329" s="36" t="n"/>
      <c r="D329" s="36" t="n"/>
      <c r="E329" s="36" t="n"/>
      <c r="F329" s="36" t="n"/>
      <c r="G329" s="37">
        <f>IF(A329="","",IFERROR(INDEX(Criterios!$B$4:$C$83,MATCH(D329,Criterios!$A$4:$A$83,0),IF(E329="Dentro horario",1,2)),""))</f>
        <v/>
      </c>
      <c r="H329" s="37" t="n"/>
      <c r="I329" s="37">
        <f>IF(A329="","",IF(OR(F329="",G329=""),"",F329*G329+N(H329)))</f>
        <v/>
      </c>
      <c r="J329" s="36">
        <f>IF(A329="","",COUNTIF(Detalle_Pagos!$A$5:$A$2004,A329))</f>
        <v/>
      </c>
      <c r="K329" s="37">
        <f>IF(A329="","",IF(OR(J329=0,I329=""),"",I329/J329))</f>
        <v/>
      </c>
      <c r="L329" s="37">
        <f>IF(A329="","",SUMIF(Detalle_Pagos!$A$5:$A$2004,A329,Detalle_Pagos!$I$5:$I$2004))</f>
        <v/>
      </c>
      <c r="M329" s="37">
        <f>IF(A329="","",SUMIFS(Detalle_Pagos!$I$5:$I$2004,Detalle_Pagos!$A$5:$A$2004,A329,Detalle_Pagos!$J$5:$J$2004,"No"))</f>
        <v/>
      </c>
      <c r="N329" s="36">
        <f>IF(A329="","",IF(J329=0,"Sin detalle",IF(M329=0,"Pagada","Pendiente")))</f>
        <v/>
      </c>
      <c r="O329" s="36" t="n"/>
    </row>
    <row r="330">
      <c r="A330" s="38" t="n"/>
      <c r="B330" s="41" t="n"/>
      <c r="C330" s="38" t="n"/>
      <c r="D330" s="38" t="n"/>
      <c r="E330" s="38" t="n"/>
      <c r="F330" s="38" t="n"/>
      <c r="G330" s="39">
        <f>IF(A330="","",IFERROR(INDEX(Criterios!$B$4:$C$83,MATCH(D330,Criterios!$A$4:$A$83,0),IF(E330="Dentro horario",1,2)),""))</f>
        <v/>
      </c>
      <c r="H330" s="39" t="n"/>
      <c r="I330" s="39">
        <f>IF(A330="","",IF(OR(F330="",G330=""),"",F330*G330+N(H330)))</f>
        <v/>
      </c>
      <c r="J330" s="38">
        <f>IF(A330="","",COUNTIF(Detalle_Pagos!$A$5:$A$2004,A330))</f>
        <v/>
      </c>
      <c r="K330" s="39">
        <f>IF(A330="","",IF(OR(J330=0,I330=""),"",I330/J330))</f>
        <v/>
      </c>
      <c r="L330" s="39">
        <f>IF(A330="","",SUMIF(Detalle_Pagos!$A$5:$A$2004,A330,Detalle_Pagos!$I$5:$I$2004))</f>
        <v/>
      </c>
      <c r="M330" s="39">
        <f>IF(A330="","",SUMIFS(Detalle_Pagos!$I$5:$I$2004,Detalle_Pagos!$A$5:$A$2004,A330,Detalle_Pagos!$J$5:$J$2004,"No"))</f>
        <v/>
      </c>
      <c r="N330" s="38">
        <f>IF(A330="","",IF(J330=0,"Sin detalle",IF(M330=0,"Pagada","Pendiente")))</f>
        <v/>
      </c>
      <c r="O330" s="38" t="n"/>
    </row>
    <row r="331">
      <c r="A331" s="36" t="n"/>
      <c r="B331" s="40" t="n"/>
      <c r="C331" s="36" t="n"/>
      <c r="D331" s="36" t="n"/>
      <c r="E331" s="36" t="n"/>
      <c r="F331" s="36" t="n"/>
      <c r="G331" s="37">
        <f>IF(A331="","",IFERROR(INDEX(Criterios!$B$4:$C$83,MATCH(D331,Criterios!$A$4:$A$83,0),IF(E331="Dentro horario",1,2)),""))</f>
        <v/>
      </c>
      <c r="H331" s="37" t="n"/>
      <c r="I331" s="37">
        <f>IF(A331="","",IF(OR(F331="",G331=""),"",F331*G331+N(H331)))</f>
        <v/>
      </c>
      <c r="J331" s="36">
        <f>IF(A331="","",COUNTIF(Detalle_Pagos!$A$5:$A$2004,A331))</f>
        <v/>
      </c>
      <c r="K331" s="37">
        <f>IF(A331="","",IF(OR(J331=0,I331=""),"",I331/J331))</f>
        <v/>
      </c>
      <c r="L331" s="37">
        <f>IF(A331="","",SUMIF(Detalle_Pagos!$A$5:$A$2004,A331,Detalle_Pagos!$I$5:$I$2004))</f>
        <v/>
      </c>
      <c r="M331" s="37">
        <f>IF(A331="","",SUMIFS(Detalle_Pagos!$I$5:$I$2004,Detalle_Pagos!$A$5:$A$2004,A331,Detalle_Pagos!$J$5:$J$2004,"No"))</f>
        <v/>
      </c>
      <c r="N331" s="36">
        <f>IF(A331="","",IF(J331=0,"Sin detalle",IF(M331=0,"Pagada","Pendiente")))</f>
        <v/>
      </c>
      <c r="O331" s="36" t="n"/>
    </row>
    <row r="332">
      <c r="A332" s="38" t="n"/>
      <c r="B332" s="41" t="n"/>
      <c r="C332" s="38" t="n"/>
      <c r="D332" s="38" t="n"/>
      <c r="E332" s="38" t="n"/>
      <c r="F332" s="38" t="n"/>
      <c r="G332" s="39">
        <f>IF(A332="","",IFERROR(INDEX(Criterios!$B$4:$C$83,MATCH(D332,Criterios!$A$4:$A$83,0),IF(E332="Dentro horario",1,2)),""))</f>
        <v/>
      </c>
      <c r="H332" s="39" t="n"/>
      <c r="I332" s="39">
        <f>IF(A332="","",IF(OR(F332="",G332=""),"",F332*G332+N(H332)))</f>
        <v/>
      </c>
      <c r="J332" s="38">
        <f>IF(A332="","",COUNTIF(Detalle_Pagos!$A$5:$A$2004,A332))</f>
        <v/>
      </c>
      <c r="K332" s="39">
        <f>IF(A332="","",IF(OR(J332=0,I332=""),"",I332/J332))</f>
        <v/>
      </c>
      <c r="L332" s="39">
        <f>IF(A332="","",SUMIF(Detalle_Pagos!$A$5:$A$2004,A332,Detalle_Pagos!$I$5:$I$2004))</f>
        <v/>
      </c>
      <c r="M332" s="39">
        <f>IF(A332="","",SUMIFS(Detalle_Pagos!$I$5:$I$2004,Detalle_Pagos!$A$5:$A$2004,A332,Detalle_Pagos!$J$5:$J$2004,"No"))</f>
        <v/>
      </c>
      <c r="N332" s="38">
        <f>IF(A332="","",IF(J332=0,"Sin detalle",IF(M332=0,"Pagada","Pendiente")))</f>
        <v/>
      </c>
      <c r="O332" s="38" t="n"/>
    </row>
    <row r="333">
      <c r="A333" s="36" t="n"/>
      <c r="B333" s="40" t="n"/>
      <c r="C333" s="36" t="n"/>
      <c r="D333" s="36" t="n"/>
      <c r="E333" s="36" t="n"/>
      <c r="F333" s="36" t="n"/>
      <c r="G333" s="37">
        <f>IF(A333="","",IFERROR(INDEX(Criterios!$B$4:$C$83,MATCH(D333,Criterios!$A$4:$A$83,0),IF(E333="Dentro horario",1,2)),""))</f>
        <v/>
      </c>
      <c r="H333" s="37" t="n"/>
      <c r="I333" s="37">
        <f>IF(A333="","",IF(OR(F333="",G333=""),"",F333*G333+N(H333)))</f>
        <v/>
      </c>
      <c r="J333" s="36">
        <f>IF(A333="","",COUNTIF(Detalle_Pagos!$A$5:$A$2004,A333))</f>
        <v/>
      </c>
      <c r="K333" s="37">
        <f>IF(A333="","",IF(OR(J333=0,I333=""),"",I333/J333))</f>
        <v/>
      </c>
      <c r="L333" s="37">
        <f>IF(A333="","",SUMIF(Detalle_Pagos!$A$5:$A$2004,A333,Detalle_Pagos!$I$5:$I$2004))</f>
        <v/>
      </c>
      <c r="M333" s="37">
        <f>IF(A333="","",SUMIFS(Detalle_Pagos!$I$5:$I$2004,Detalle_Pagos!$A$5:$A$2004,A333,Detalle_Pagos!$J$5:$J$2004,"No"))</f>
        <v/>
      </c>
      <c r="N333" s="36">
        <f>IF(A333="","",IF(J333=0,"Sin detalle",IF(M333=0,"Pagada","Pendiente")))</f>
        <v/>
      </c>
      <c r="O333" s="36" t="n"/>
    </row>
    <row r="334">
      <c r="A334" s="38" t="n"/>
      <c r="B334" s="41" t="n"/>
      <c r="C334" s="38" t="n"/>
      <c r="D334" s="38" t="n"/>
      <c r="E334" s="38" t="n"/>
      <c r="F334" s="38" t="n"/>
      <c r="G334" s="39">
        <f>IF(A334="","",IFERROR(INDEX(Criterios!$B$4:$C$83,MATCH(D334,Criterios!$A$4:$A$83,0),IF(E334="Dentro horario",1,2)),""))</f>
        <v/>
      </c>
      <c r="H334" s="39" t="n"/>
      <c r="I334" s="39">
        <f>IF(A334="","",IF(OR(F334="",G334=""),"",F334*G334+N(H334)))</f>
        <v/>
      </c>
      <c r="J334" s="38">
        <f>IF(A334="","",COUNTIF(Detalle_Pagos!$A$5:$A$2004,A334))</f>
        <v/>
      </c>
      <c r="K334" s="39">
        <f>IF(A334="","",IF(OR(J334=0,I334=""),"",I334/J334))</f>
        <v/>
      </c>
      <c r="L334" s="39">
        <f>IF(A334="","",SUMIF(Detalle_Pagos!$A$5:$A$2004,A334,Detalle_Pagos!$I$5:$I$2004))</f>
        <v/>
      </c>
      <c r="M334" s="39">
        <f>IF(A334="","",SUMIFS(Detalle_Pagos!$I$5:$I$2004,Detalle_Pagos!$A$5:$A$2004,A334,Detalle_Pagos!$J$5:$J$2004,"No"))</f>
        <v/>
      </c>
      <c r="N334" s="38">
        <f>IF(A334="","",IF(J334=0,"Sin detalle",IF(M334=0,"Pagada","Pendiente")))</f>
        <v/>
      </c>
      <c r="O334" s="38" t="n"/>
    </row>
    <row r="335">
      <c r="A335" s="36" t="n"/>
      <c r="B335" s="40" t="n"/>
      <c r="C335" s="36" t="n"/>
      <c r="D335" s="36" t="n"/>
      <c r="E335" s="36" t="n"/>
      <c r="F335" s="36" t="n"/>
      <c r="G335" s="37">
        <f>IF(A335="","",IFERROR(INDEX(Criterios!$B$4:$C$83,MATCH(D335,Criterios!$A$4:$A$83,0),IF(E335="Dentro horario",1,2)),""))</f>
        <v/>
      </c>
      <c r="H335" s="37" t="n"/>
      <c r="I335" s="37">
        <f>IF(A335="","",IF(OR(F335="",G335=""),"",F335*G335+N(H335)))</f>
        <v/>
      </c>
      <c r="J335" s="36">
        <f>IF(A335="","",COUNTIF(Detalle_Pagos!$A$5:$A$2004,A335))</f>
        <v/>
      </c>
      <c r="K335" s="37">
        <f>IF(A335="","",IF(OR(J335=0,I335=""),"",I335/J335))</f>
        <v/>
      </c>
      <c r="L335" s="37">
        <f>IF(A335="","",SUMIF(Detalle_Pagos!$A$5:$A$2004,A335,Detalle_Pagos!$I$5:$I$2004))</f>
        <v/>
      </c>
      <c r="M335" s="37">
        <f>IF(A335="","",SUMIFS(Detalle_Pagos!$I$5:$I$2004,Detalle_Pagos!$A$5:$A$2004,A335,Detalle_Pagos!$J$5:$J$2004,"No"))</f>
        <v/>
      </c>
      <c r="N335" s="36">
        <f>IF(A335="","",IF(J335=0,"Sin detalle",IF(M335=0,"Pagada","Pendiente")))</f>
        <v/>
      </c>
      <c r="O335" s="36" t="n"/>
    </row>
    <row r="336">
      <c r="A336" s="38" t="n"/>
      <c r="B336" s="41" t="n"/>
      <c r="C336" s="38" t="n"/>
      <c r="D336" s="38" t="n"/>
      <c r="E336" s="38" t="n"/>
      <c r="F336" s="38" t="n"/>
      <c r="G336" s="39">
        <f>IF(A336="","",IFERROR(INDEX(Criterios!$B$4:$C$83,MATCH(D336,Criterios!$A$4:$A$83,0),IF(E336="Dentro horario",1,2)),""))</f>
        <v/>
      </c>
      <c r="H336" s="39" t="n"/>
      <c r="I336" s="39">
        <f>IF(A336="","",IF(OR(F336="",G336=""),"",F336*G336+N(H336)))</f>
        <v/>
      </c>
      <c r="J336" s="38">
        <f>IF(A336="","",COUNTIF(Detalle_Pagos!$A$5:$A$2004,A336))</f>
        <v/>
      </c>
      <c r="K336" s="39">
        <f>IF(A336="","",IF(OR(J336=0,I336=""),"",I336/J336))</f>
        <v/>
      </c>
      <c r="L336" s="39">
        <f>IF(A336="","",SUMIF(Detalle_Pagos!$A$5:$A$2004,A336,Detalle_Pagos!$I$5:$I$2004))</f>
        <v/>
      </c>
      <c r="M336" s="39">
        <f>IF(A336="","",SUMIFS(Detalle_Pagos!$I$5:$I$2004,Detalle_Pagos!$A$5:$A$2004,A336,Detalle_Pagos!$J$5:$J$2004,"No"))</f>
        <v/>
      </c>
      <c r="N336" s="38">
        <f>IF(A336="","",IF(J336=0,"Sin detalle",IF(M336=0,"Pagada","Pendiente")))</f>
        <v/>
      </c>
      <c r="O336" s="38" t="n"/>
    </row>
    <row r="337">
      <c r="A337" s="36" t="n"/>
      <c r="B337" s="40" t="n"/>
      <c r="C337" s="36" t="n"/>
      <c r="D337" s="36" t="n"/>
      <c r="E337" s="36" t="n"/>
      <c r="F337" s="36" t="n"/>
      <c r="G337" s="37">
        <f>IF(A337="","",IFERROR(INDEX(Criterios!$B$4:$C$83,MATCH(D337,Criterios!$A$4:$A$83,0),IF(E337="Dentro horario",1,2)),""))</f>
        <v/>
      </c>
      <c r="H337" s="37" t="n"/>
      <c r="I337" s="37">
        <f>IF(A337="","",IF(OR(F337="",G337=""),"",F337*G337+N(H337)))</f>
        <v/>
      </c>
      <c r="J337" s="36">
        <f>IF(A337="","",COUNTIF(Detalle_Pagos!$A$5:$A$2004,A337))</f>
        <v/>
      </c>
      <c r="K337" s="37">
        <f>IF(A337="","",IF(OR(J337=0,I337=""),"",I337/J337))</f>
        <v/>
      </c>
      <c r="L337" s="37">
        <f>IF(A337="","",SUMIF(Detalle_Pagos!$A$5:$A$2004,A337,Detalle_Pagos!$I$5:$I$2004))</f>
        <v/>
      </c>
      <c r="M337" s="37">
        <f>IF(A337="","",SUMIFS(Detalle_Pagos!$I$5:$I$2004,Detalle_Pagos!$A$5:$A$2004,A337,Detalle_Pagos!$J$5:$J$2004,"No"))</f>
        <v/>
      </c>
      <c r="N337" s="36">
        <f>IF(A337="","",IF(J337=0,"Sin detalle",IF(M337=0,"Pagada","Pendiente")))</f>
        <v/>
      </c>
      <c r="O337" s="36" t="n"/>
    </row>
    <row r="338">
      <c r="A338" s="38" t="n"/>
      <c r="B338" s="41" t="n"/>
      <c r="C338" s="38" t="n"/>
      <c r="D338" s="38" t="n"/>
      <c r="E338" s="38" t="n"/>
      <c r="F338" s="38" t="n"/>
      <c r="G338" s="39">
        <f>IF(A338="","",IFERROR(INDEX(Criterios!$B$4:$C$83,MATCH(D338,Criterios!$A$4:$A$83,0),IF(E338="Dentro horario",1,2)),""))</f>
        <v/>
      </c>
      <c r="H338" s="39" t="n"/>
      <c r="I338" s="39">
        <f>IF(A338="","",IF(OR(F338="",G338=""),"",F338*G338+N(H338)))</f>
        <v/>
      </c>
      <c r="J338" s="38">
        <f>IF(A338="","",COUNTIF(Detalle_Pagos!$A$5:$A$2004,A338))</f>
        <v/>
      </c>
      <c r="K338" s="39">
        <f>IF(A338="","",IF(OR(J338=0,I338=""),"",I338/J338))</f>
        <v/>
      </c>
      <c r="L338" s="39">
        <f>IF(A338="","",SUMIF(Detalle_Pagos!$A$5:$A$2004,A338,Detalle_Pagos!$I$5:$I$2004))</f>
        <v/>
      </c>
      <c r="M338" s="39">
        <f>IF(A338="","",SUMIFS(Detalle_Pagos!$I$5:$I$2004,Detalle_Pagos!$A$5:$A$2004,A338,Detalle_Pagos!$J$5:$J$2004,"No"))</f>
        <v/>
      </c>
      <c r="N338" s="38">
        <f>IF(A338="","",IF(J338=0,"Sin detalle",IF(M338=0,"Pagada","Pendiente")))</f>
        <v/>
      </c>
      <c r="O338" s="38" t="n"/>
    </row>
    <row r="339">
      <c r="A339" s="36" t="n"/>
      <c r="B339" s="40" t="n"/>
      <c r="C339" s="36" t="n"/>
      <c r="D339" s="36" t="n"/>
      <c r="E339" s="36" t="n"/>
      <c r="F339" s="36" t="n"/>
      <c r="G339" s="37">
        <f>IF(A339="","",IFERROR(INDEX(Criterios!$B$4:$C$83,MATCH(D339,Criterios!$A$4:$A$83,0),IF(E339="Dentro horario",1,2)),""))</f>
        <v/>
      </c>
      <c r="H339" s="37" t="n"/>
      <c r="I339" s="37">
        <f>IF(A339="","",IF(OR(F339="",G339=""),"",F339*G339+N(H339)))</f>
        <v/>
      </c>
      <c r="J339" s="36">
        <f>IF(A339="","",COUNTIF(Detalle_Pagos!$A$5:$A$2004,A339))</f>
        <v/>
      </c>
      <c r="K339" s="37">
        <f>IF(A339="","",IF(OR(J339=0,I339=""),"",I339/J339))</f>
        <v/>
      </c>
      <c r="L339" s="37">
        <f>IF(A339="","",SUMIF(Detalle_Pagos!$A$5:$A$2004,A339,Detalle_Pagos!$I$5:$I$2004))</f>
        <v/>
      </c>
      <c r="M339" s="37">
        <f>IF(A339="","",SUMIFS(Detalle_Pagos!$I$5:$I$2004,Detalle_Pagos!$A$5:$A$2004,A339,Detalle_Pagos!$J$5:$J$2004,"No"))</f>
        <v/>
      </c>
      <c r="N339" s="36">
        <f>IF(A339="","",IF(J339=0,"Sin detalle",IF(M339=0,"Pagada","Pendiente")))</f>
        <v/>
      </c>
      <c r="O339" s="36" t="n"/>
    </row>
    <row r="340">
      <c r="A340" s="38" t="n"/>
      <c r="B340" s="41" t="n"/>
      <c r="C340" s="38" t="n"/>
      <c r="D340" s="38" t="n"/>
      <c r="E340" s="38" t="n"/>
      <c r="F340" s="38" t="n"/>
      <c r="G340" s="39">
        <f>IF(A340="","",IFERROR(INDEX(Criterios!$B$4:$C$83,MATCH(D340,Criterios!$A$4:$A$83,0),IF(E340="Dentro horario",1,2)),""))</f>
        <v/>
      </c>
      <c r="H340" s="39" t="n"/>
      <c r="I340" s="39">
        <f>IF(A340="","",IF(OR(F340="",G340=""),"",F340*G340+N(H340)))</f>
        <v/>
      </c>
      <c r="J340" s="38">
        <f>IF(A340="","",COUNTIF(Detalle_Pagos!$A$5:$A$2004,A340))</f>
        <v/>
      </c>
      <c r="K340" s="39">
        <f>IF(A340="","",IF(OR(J340=0,I340=""),"",I340/J340))</f>
        <v/>
      </c>
      <c r="L340" s="39">
        <f>IF(A340="","",SUMIF(Detalle_Pagos!$A$5:$A$2004,A340,Detalle_Pagos!$I$5:$I$2004))</f>
        <v/>
      </c>
      <c r="M340" s="39">
        <f>IF(A340="","",SUMIFS(Detalle_Pagos!$I$5:$I$2004,Detalle_Pagos!$A$5:$A$2004,A340,Detalle_Pagos!$J$5:$J$2004,"No"))</f>
        <v/>
      </c>
      <c r="N340" s="38">
        <f>IF(A340="","",IF(J340=0,"Sin detalle",IF(M340=0,"Pagada","Pendiente")))</f>
        <v/>
      </c>
      <c r="O340" s="38" t="n"/>
    </row>
    <row r="341">
      <c r="A341" s="36" t="n"/>
      <c r="B341" s="40" t="n"/>
      <c r="C341" s="36" t="n"/>
      <c r="D341" s="36" t="n"/>
      <c r="E341" s="36" t="n"/>
      <c r="F341" s="36" t="n"/>
      <c r="G341" s="37">
        <f>IF(A341="","",IFERROR(INDEX(Criterios!$B$4:$C$83,MATCH(D341,Criterios!$A$4:$A$83,0),IF(E341="Dentro horario",1,2)),""))</f>
        <v/>
      </c>
      <c r="H341" s="37" t="n"/>
      <c r="I341" s="37">
        <f>IF(A341="","",IF(OR(F341="",G341=""),"",F341*G341+N(H341)))</f>
        <v/>
      </c>
      <c r="J341" s="36">
        <f>IF(A341="","",COUNTIF(Detalle_Pagos!$A$5:$A$2004,A341))</f>
        <v/>
      </c>
      <c r="K341" s="37">
        <f>IF(A341="","",IF(OR(J341=0,I341=""),"",I341/J341))</f>
        <v/>
      </c>
      <c r="L341" s="37">
        <f>IF(A341="","",SUMIF(Detalle_Pagos!$A$5:$A$2004,A341,Detalle_Pagos!$I$5:$I$2004))</f>
        <v/>
      </c>
      <c r="M341" s="37">
        <f>IF(A341="","",SUMIFS(Detalle_Pagos!$I$5:$I$2004,Detalle_Pagos!$A$5:$A$2004,A341,Detalle_Pagos!$J$5:$J$2004,"No"))</f>
        <v/>
      </c>
      <c r="N341" s="36">
        <f>IF(A341="","",IF(J341=0,"Sin detalle",IF(M341=0,"Pagada","Pendiente")))</f>
        <v/>
      </c>
      <c r="O341" s="36" t="n"/>
    </row>
    <row r="342">
      <c r="A342" s="38" t="n"/>
      <c r="B342" s="41" t="n"/>
      <c r="C342" s="38" t="n"/>
      <c r="D342" s="38" t="n"/>
      <c r="E342" s="38" t="n"/>
      <c r="F342" s="38" t="n"/>
      <c r="G342" s="39">
        <f>IF(A342="","",IFERROR(INDEX(Criterios!$B$4:$C$83,MATCH(D342,Criterios!$A$4:$A$83,0),IF(E342="Dentro horario",1,2)),""))</f>
        <v/>
      </c>
      <c r="H342" s="39" t="n"/>
      <c r="I342" s="39">
        <f>IF(A342="","",IF(OR(F342="",G342=""),"",F342*G342+N(H342)))</f>
        <v/>
      </c>
      <c r="J342" s="38">
        <f>IF(A342="","",COUNTIF(Detalle_Pagos!$A$5:$A$2004,A342))</f>
        <v/>
      </c>
      <c r="K342" s="39">
        <f>IF(A342="","",IF(OR(J342=0,I342=""),"",I342/J342))</f>
        <v/>
      </c>
      <c r="L342" s="39">
        <f>IF(A342="","",SUMIF(Detalle_Pagos!$A$5:$A$2004,A342,Detalle_Pagos!$I$5:$I$2004))</f>
        <v/>
      </c>
      <c r="M342" s="39">
        <f>IF(A342="","",SUMIFS(Detalle_Pagos!$I$5:$I$2004,Detalle_Pagos!$A$5:$A$2004,A342,Detalle_Pagos!$J$5:$J$2004,"No"))</f>
        <v/>
      </c>
      <c r="N342" s="38">
        <f>IF(A342="","",IF(J342=0,"Sin detalle",IF(M342=0,"Pagada","Pendiente")))</f>
        <v/>
      </c>
      <c r="O342" s="38" t="n"/>
    </row>
    <row r="343">
      <c r="A343" s="36" t="n"/>
      <c r="B343" s="40" t="n"/>
      <c r="C343" s="36" t="n"/>
      <c r="D343" s="36" t="n"/>
      <c r="E343" s="36" t="n"/>
      <c r="F343" s="36" t="n"/>
      <c r="G343" s="37">
        <f>IF(A343="","",IFERROR(INDEX(Criterios!$B$4:$C$83,MATCH(D343,Criterios!$A$4:$A$83,0),IF(E343="Dentro horario",1,2)),""))</f>
        <v/>
      </c>
      <c r="H343" s="37" t="n"/>
      <c r="I343" s="37">
        <f>IF(A343="","",IF(OR(F343="",G343=""),"",F343*G343+N(H343)))</f>
        <v/>
      </c>
      <c r="J343" s="36">
        <f>IF(A343="","",COUNTIF(Detalle_Pagos!$A$5:$A$2004,A343))</f>
        <v/>
      </c>
      <c r="K343" s="37">
        <f>IF(A343="","",IF(OR(J343=0,I343=""),"",I343/J343))</f>
        <v/>
      </c>
      <c r="L343" s="37">
        <f>IF(A343="","",SUMIF(Detalle_Pagos!$A$5:$A$2004,A343,Detalle_Pagos!$I$5:$I$2004))</f>
        <v/>
      </c>
      <c r="M343" s="37">
        <f>IF(A343="","",SUMIFS(Detalle_Pagos!$I$5:$I$2004,Detalle_Pagos!$A$5:$A$2004,A343,Detalle_Pagos!$J$5:$J$2004,"No"))</f>
        <v/>
      </c>
      <c r="N343" s="36">
        <f>IF(A343="","",IF(J343=0,"Sin detalle",IF(M343=0,"Pagada","Pendiente")))</f>
        <v/>
      </c>
      <c r="O343" s="36" t="n"/>
    </row>
    <row r="344">
      <c r="A344" s="38" t="n"/>
      <c r="B344" s="41" t="n"/>
      <c r="C344" s="38" t="n"/>
      <c r="D344" s="38" t="n"/>
      <c r="E344" s="38" t="n"/>
      <c r="F344" s="38" t="n"/>
      <c r="G344" s="39">
        <f>IF(A344="","",IFERROR(INDEX(Criterios!$B$4:$C$83,MATCH(D344,Criterios!$A$4:$A$83,0),IF(E344="Dentro horario",1,2)),""))</f>
        <v/>
      </c>
      <c r="H344" s="39" t="n"/>
      <c r="I344" s="39">
        <f>IF(A344="","",IF(OR(F344="",G344=""),"",F344*G344+N(H344)))</f>
        <v/>
      </c>
      <c r="J344" s="38">
        <f>IF(A344="","",COUNTIF(Detalle_Pagos!$A$5:$A$2004,A344))</f>
        <v/>
      </c>
      <c r="K344" s="39">
        <f>IF(A344="","",IF(OR(J344=0,I344=""),"",I344/J344))</f>
        <v/>
      </c>
      <c r="L344" s="39">
        <f>IF(A344="","",SUMIF(Detalle_Pagos!$A$5:$A$2004,A344,Detalle_Pagos!$I$5:$I$2004))</f>
        <v/>
      </c>
      <c r="M344" s="39">
        <f>IF(A344="","",SUMIFS(Detalle_Pagos!$I$5:$I$2004,Detalle_Pagos!$A$5:$A$2004,A344,Detalle_Pagos!$J$5:$J$2004,"No"))</f>
        <v/>
      </c>
      <c r="N344" s="38">
        <f>IF(A344="","",IF(J344=0,"Sin detalle",IF(M344=0,"Pagada","Pendiente")))</f>
        <v/>
      </c>
      <c r="O344" s="38" t="n"/>
    </row>
    <row r="345">
      <c r="A345" s="36" t="n"/>
      <c r="B345" s="40" t="n"/>
      <c r="C345" s="36" t="n"/>
      <c r="D345" s="36" t="n"/>
      <c r="E345" s="36" t="n"/>
      <c r="F345" s="36" t="n"/>
      <c r="G345" s="37">
        <f>IF(A345="","",IFERROR(INDEX(Criterios!$B$4:$C$83,MATCH(D345,Criterios!$A$4:$A$83,0),IF(E345="Dentro horario",1,2)),""))</f>
        <v/>
      </c>
      <c r="H345" s="37" t="n"/>
      <c r="I345" s="37">
        <f>IF(A345="","",IF(OR(F345="",G345=""),"",F345*G345+N(H345)))</f>
        <v/>
      </c>
      <c r="J345" s="36">
        <f>IF(A345="","",COUNTIF(Detalle_Pagos!$A$5:$A$2004,A345))</f>
        <v/>
      </c>
      <c r="K345" s="37">
        <f>IF(A345="","",IF(OR(J345=0,I345=""),"",I345/J345))</f>
        <v/>
      </c>
      <c r="L345" s="37">
        <f>IF(A345="","",SUMIF(Detalle_Pagos!$A$5:$A$2004,A345,Detalle_Pagos!$I$5:$I$2004))</f>
        <v/>
      </c>
      <c r="M345" s="37">
        <f>IF(A345="","",SUMIFS(Detalle_Pagos!$I$5:$I$2004,Detalle_Pagos!$A$5:$A$2004,A345,Detalle_Pagos!$J$5:$J$2004,"No"))</f>
        <v/>
      </c>
      <c r="N345" s="36">
        <f>IF(A345="","",IF(J345=0,"Sin detalle",IF(M345=0,"Pagada","Pendiente")))</f>
        <v/>
      </c>
      <c r="O345" s="36" t="n"/>
    </row>
    <row r="346">
      <c r="A346" s="38" t="n"/>
      <c r="B346" s="41" t="n"/>
      <c r="C346" s="38" t="n"/>
      <c r="D346" s="38" t="n"/>
      <c r="E346" s="38" t="n"/>
      <c r="F346" s="38" t="n"/>
      <c r="G346" s="39">
        <f>IF(A346="","",IFERROR(INDEX(Criterios!$B$4:$C$83,MATCH(D346,Criterios!$A$4:$A$83,0),IF(E346="Dentro horario",1,2)),""))</f>
        <v/>
      </c>
      <c r="H346" s="39" t="n"/>
      <c r="I346" s="39">
        <f>IF(A346="","",IF(OR(F346="",G346=""),"",F346*G346+N(H346)))</f>
        <v/>
      </c>
      <c r="J346" s="38">
        <f>IF(A346="","",COUNTIF(Detalle_Pagos!$A$5:$A$2004,A346))</f>
        <v/>
      </c>
      <c r="K346" s="39">
        <f>IF(A346="","",IF(OR(J346=0,I346=""),"",I346/J346))</f>
        <v/>
      </c>
      <c r="L346" s="39">
        <f>IF(A346="","",SUMIF(Detalle_Pagos!$A$5:$A$2004,A346,Detalle_Pagos!$I$5:$I$2004))</f>
        <v/>
      </c>
      <c r="M346" s="39">
        <f>IF(A346="","",SUMIFS(Detalle_Pagos!$I$5:$I$2004,Detalle_Pagos!$A$5:$A$2004,A346,Detalle_Pagos!$J$5:$J$2004,"No"))</f>
        <v/>
      </c>
      <c r="N346" s="38">
        <f>IF(A346="","",IF(J346=0,"Sin detalle",IF(M346=0,"Pagada","Pendiente")))</f>
        <v/>
      </c>
      <c r="O346" s="38" t="n"/>
    </row>
    <row r="347">
      <c r="A347" s="36" t="n"/>
      <c r="B347" s="40" t="n"/>
      <c r="C347" s="36" t="n"/>
      <c r="D347" s="36" t="n"/>
      <c r="E347" s="36" t="n"/>
      <c r="F347" s="36" t="n"/>
      <c r="G347" s="37">
        <f>IF(A347="","",IFERROR(INDEX(Criterios!$B$4:$C$83,MATCH(D347,Criterios!$A$4:$A$83,0),IF(E347="Dentro horario",1,2)),""))</f>
        <v/>
      </c>
      <c r="H347" s="37" t="n"/>
      <c r="I347" s="37">
        <f>IF(A347="","",IF(OR(F347="",G347=""),"",F347*G347+N(H347)))</f>
        <v/>
      </c>
      <c r="J347" s="36">
        <f>IF(A347="","",COUNTIF(Detalle_Pagos!$A$5:$A$2004,A347))</f>
        <v/>
      </c>
      <c r="K347" s="37">
        <f>IF(A347="","",IF(OR(J347=0,I347=""),"",I347/J347))</f>
        <v/>
      </c>
      <c r="L347" s="37">
        <f>IF(A347="","",SUMIF(Detalle_Pagos!$A$5:$A$2004,A347,Detalle_Pagos!$I$5:$I$2004))</f>
        <v/>
      </c>
      <c r="M347" s="37">
        <f>IF(A347="","",SUMIFS(Detalle_Pagos!$I$5:$I$2004,Detalle_Pagos!$A$5:$A$2004,A347,Detalle_Pagos!$J$5:$J$2004,"No"))</f>
        <v/>
      </c>
      <c r="N347" s="36">
        <f>IF(A347="","",IF(J347=0,"Sin detalle",IF(M347=0,"Pagada","Pendiente")))</f>
        <v/>
      </c>
      <c r="O347" s="36" t="n"/>
    </row>
    <row r="348">
      <c r="A348" s="38" t="n"/>
      <c r="B348" s="41" t="n"/>
      <c r="C348" s="38" t="n"/>
      <c r="D348" s="38" t="n"/>
      <c r="E348" s="38" t="n"/>
      <c r="F348" s="38" t="n"/>
      <c r="G348" s="39">
        <f>IF(A348="","",IFERROR(INDEX(Criterios!$B$4:$C$83,MATCH(D348,Criterios!$A$4:$A$83,0),IF(E348="Dentro horario",1,2)),""))</f>
        <v/>
      </c>
      <c r="H348" s="39" t="n"/>
      <c r="I348" s="39">
        <f>IF(A348="","",IF(OR(F348="",G348=""),"",F348*G348+N(H348)))</f>
        <v/>
      </c>
      <c r="J348" s="38">
        <f>IF(A348="","",COUNTIF(Detalle_Pagos!$A$5:$A$2004,A348))</f>
        <v/>
      </c>
      <c r="K348" s="39">
        <f>IF(A348="","",IF(OR(J348=0,I348=""),"",I348/J348))</f>
        <v/>
      </c>
      <c r="L348" s="39">
        <f>IF(A348="","",SUMIF(Detalle_Pagos!$A$5:$A$2004,A348,Detalle_Pagos!$I$5:$I$2004))</f>
        <v/>
      </c>
      <c r="M348" s="39">
        <f>IF(A348="","",SUMIFS(Detalle_Pagos!$I$5:$I$2004,Detalle_Pagos!$A$5:$A$2004,A348,Detalle_Pagos!$J$5:$J$2004,"No"))</f>
        <v/>
      </c>
      <c r="N348" s="38">
        <f>IF(A348="","",IF(J348=0,"Sin detalle",IF(M348=0,"Pagada","Pendiente")))</f>
        <v/>
      </c>
      <c r="O348" s="38" t="n"/>
    </row>
    <row r="349">
      <c r="A349" s="36" t="n"/>
      <c r="B349" s="40" t="n"/>
      <c r="C349" s="36" t="n"/>
      <c r="D349" s="36" t="n"/>
      <c r="E349" s="36" t="n"/>
      <c r="F349" s="36" t="n"/>
      <c r="G349" s="37">
        <f>IF(A349="","",IFERROR(INDEX(Criterios!$B$4:$C$83,MATCH(D349,Criterios!$A$4:$A$83,0),IF(E349="Dentro horario",1,2)),""))</f>
        <v/>
      </c>
      <c r="H349" s="37" t="n"/>
      <c r="I349" s="37">
        <f>IF(A349="","",IF(OR(F349="",G349=""),"",F349*G349+N(H349)))</f>
        <v/>
      </c>
      <c r="J349" s="36">
        <f>IF(A349="","",COUNTIF(Detalle_Pagos!$A$5:$A$2004,A349))</f>
        <v/>
      </c>
      <c r="K349" s="37">
        <f>IF(A349="","",IF(OR(J349=0,I349=""),"",I349/J349))</f>
        <v/>
      </c>
      <c r="L349" s="37">
        <f>IF(A349="","",SUMIF(Detalle_Pagos!$A$5:$A$2004,A349,Detalle_Pagos!$I$5:$I$2004))</f>
        <v/>
      </c>
      <c r="M349" s="37">
        <f>IF(A349="","",SUMIFS(Detalle_Pagos!$I$5:$I$2004,Detalle_Pagos!$A$5:$A$2004,A349,Detalle_Pagos!$J$5:$J$2004,"No"))</f>
        <v/>
      </c>
      <c r="N349" s="36">
        <f>IF(A349="","",IF(J349=0,"Sin detalle",IF(M349=0,"Pagada","Pendiente")))</f>
        <v/>
      </c>
      <c r="O349" s="36" t="n"/>
    </row>
    <row r="350">
      <c r="A350" s="38" t="n"/>
      <c r="B350" s="41" t="n"/>
      <c r="C350" s="38" t="n"/>
      <c r="D350" s="38" t="n"/>
      <c r="E350" s="38" t="n"/>
      <c r="F350" s="38" t="n"/>
      <c r="G350" s="39">
        <f>IF(A350="","",IFERROR(INDEX(Criterios!$B$4:$C$83,MATCH(D350,Criterios!$A$4:$A$83,0),IF(E350="Dentro horario",1,2)),""))</f>
        <v/>
      </c>
      <c r="H350" s="39" t="n"/>
      <c r="I350" s="39">
        <f>IF(A350="","",IF(OR(F350="",G350=""),"",F350*G350+N(H350)))</f>
        <v/>
      </c>
      <c r="J350" s="38">
        <f>IF(A350="","",COUNTIF(Detalle_Pagos!$A$5:$A$2004,A350))</f>
        <v/>
      </c>
      <c r="K350" s="39">
        <f>IF(A350="","",IF(OR(J350=0,I350=""),"",I350/J350))</f>
        <v/>
      </c>
      <c r="L350" s="39">
        <f>IF(A350="","",SUMIF(Detalle_Pagos!$A$5:$A$2004,A350,Detalle_Pagos!$I$5:$I$2004))</f>
        <v/>
      </c>
      <c r="M350" s="39">
        <f>IF(A350="","",SUMIFS(Detalle_Pagos!$I$5:$I$2004,Detalle_Pagos!$A$5:$A$2004,A350,Detalle_Pagos!$J$5:$J$2004,"No"))</f>
        <v/>
      </c>
      <c r="N350" s="38">
        <f>IF(A350="","",IF(J350=0,"Sin detalle",IF(M350=0,"Pagada","Pendiente")))</f>
        <v/>
      </c>
      <c r="O350" s="38" t="n"/>
    </row>
    <row r="351">
      <c r="A351" s="36" t="n"/>
      <c r="B351" s="40" t="n"/>
      <c r="C351" s="36" t="n"/>
      <c r="D351" s="36" t="n"/>
      <c r="E351" s="36" t="n"/>
      <c r="F351" s="36" t="n"/>
      <c r="G351" s="37">
        <f>IF(A351="","",IFERROR(INDEX(Criterios!$B$4:$C$83,MATCH(D351,Criterios!$A$4:$A$83,0),IF(E351="Dentro horario",1,2)),""))</f>
        <v/>
      </c>
      <c r="H351" s="37" t="n"/>
      <c r="I351" s="37">
        <f>IF(A351="","",IF(OR(F351="",G351=""),"",F351*G351+N(H351)))</f>
        <v/>
      </c>
      <c r="J351" s="36">
        <f>IF(A351="","",COUNTIF(Detalle_Pagos!$A$5:$A$2004,A351))</f>
        <v/>
      </c>
      <c r="K351" s="37">
        <f>IF(A351="","",IF(OR(J351=0,I351=""),"",I351/J351))</f>
        <v/>
      </c>
      <c r="L351" s="37">
        <f>IF(A351="","",SUMIF(Detalle_Pagos!$A$5:$A$2004,A351,Detalle_Pagos!$I$5:$I$2004))</f>
        <v/>
      </c>
      <c r="M351" s="37">
        <f>IF(A351="","",SUMIFS(Detalle_Pagos!$I$5:$I$2004,Detalle_Pagos!$A$5:$A$2004,A351,Detalle_Pagos!$J$5:$J$2004,"No"))</f>
        <v/>
      </c>
      <c r="N351" s="36">
        <f>IF(A351="","",IF(J351=0,"Sin detalle",IF(M351=0,"Pagada","Pendiente")))</f>
        <v/>
      </c>
      <c r="O351" s="36" t="n"/>
    </row>
    <row r="352">
      <c r="A352" s="38" t="n"/>
      <c r="B352" s="41" t="n"/>
      <c r="C352" s="38" t="n"/>
      <c r="D352" s="38" t="n"/>
      <c r="E352" s="38" t="n"/>
      <c r="F352" s="38" t="n"/>
      <c r="G352" s="39">
        <f>IF(A352="","",IFERROR(INDEX(Criterios!$B$4:$C$83,MATCH(D352,Criterios!$A$4:$A$83,0),IF(E352="Dentro horario",1,2)),""))</f>
        <v/>
      </c>
      <c r="H352" s="39" t="n"/>
      <c r="I352" s="39">
        <f>IF(A352="","",IF(OR(F352="",G352=""),"",F352*G352+N(H352)))</f>
        <v/>
      </c>
      <c r="J352" s="38">
        <f>IF(A352="","",COUNTIF(Detalle_Pagos!$A$5:$A$2004,A352))</f>
        <v/>
      </c>
      <c r="K352" s="39">
        <f>IF(A352="","",IF(OR(J352=0,I352=""),"",I352/J352))</f>
        <v/>
      </c>
      <c r="L352" s="39">
        <f>IF(A352="","",SUMIF(Detalle_Pagos!$A$5:$A$2004,A352,Detalle_Pagos!$I$5:$I$2004))</f>
        <v/>
      </c>
      <c r="M352" s="39">
        <f>IF(A352="","",SUMIFS(Detalle_Pagos!$I$5:$I$2004,Detalle_Pagos!$A$5:$A$2004,A352,Detalle_Pagos!$J$5:$J$2004,"No"))</f>
        <v/>
      </c>
      <c r="N352" s="38">
        <f>IF(A352="","",IF(J352=0,"Sin detalle",IF(M352=0,"Pagada","Pendiente")))</f>
        <v/>
      </c>
      <c r="O352" s="38" t="n"/>
    </row>
    <row r="353">
      <c r="A353" s="36" t="n"/>
      <c r="B353" s="40" t="n"/>
      <c r="C353" s="36" t="n"/>
      <c r="D353" s="36" t="n"/>
      <c r="E353" s="36" t="n"/>
      <c r="F353" s="36" t="n"/>
      <c r="G353" s="37">
        <f>IF(A353="","",IFERROR(INDEX(Criterios!$B$4:$C$83,MATCH(D353,Criterios!$A$4:$A$83,0),IF(E353="Dentro horario",1,2)),""))</f>
        <v/>
      </c>
      <c r="H353" s="37" t="n"/>
      <c r="I353" s="37">
        <f>IF(A353="","",IF(OR(F353="",G353=""),"",F353*G353+N(H353)))</f>
        <v/>
      </c>
      <c r="J353" s="36">
        <f>IF(A353="","",COUNTIF(Detalle_Pagos!$A$5:$A$2004,A353))</f>
        <v/>
      </c>
      <c r="K353" s="37">
        <f>IF(A353="","",IF(OR(J353=0,I353=""),"",I353/J353))</f>
        <v/>
      </c>
      <c r="L353" s="37">
        <f>IF(A353="","",SUMIF(Detalle_Pagos!$A$5:$A$2004,A353,Detalle_Pagos!$I$5:$I$2004))</f>
        <v/>
      </c>
      <c r="M353" s="37">
        <f>IF(A353="","",SUMIFS(Detalle_Pagos!$I$5:$I$2004,Detalle_Pagos!$A$5:$A$2004,A353,Detalle_Pagos!$J$5:$J$2004,"No"))</f>
        <v/>
      </c>
      <c r="N353" s="36">
        <f>IF(A353="","",IF(J353=0,"Sin detalle",IF(M353=0,"Pagada","Pendiente")))</f>
        <v/>
      </c>
      <c r="O353" s="36" t="n"/>
    </row>
    <row r="354">
      <c r="A354" s="38" t="n"/>
      <c r="B354" s="41" t="n"/>
      <c r="C354" s="38" t="n"/>
      <c r="D354" s="38" t="n"/>
      <c r="E354" s="38" t="n"/>
      <c r="F354" s="38" t="n"/>
      <c r="G354" s="39">
        <f>IF(A354="","",IFERROR(INDEX(Criterios!$B$4:$C$83,MATCH(D354,Criterios!$A$4:$A$83,0),IF(E354="Dentro horario",1,2)),""))</f>
        <v/>
      </c>
      <c r="H354" s="39" t="n"/>
      <c r="I354" s="39">
        <f>IF(A354="","",IF(OR(F354="",G354=""),"",F354*G354+N(H354)))</f>
        <v/>
      </c>
      <c r="J354" s="38">
        <f>IF(A354="","",COUNTIF(Detalle_Pagos!$A$5:$A$2004,A354))</f>
        <v/>
      </c>
      <c r="K354" s="39">
        <f>IF(A354="","",IF(OR(J354=0,I354=""),"",I354/J354))</f>
        <v/>
      </c>
      <c r="L354" s="39">
        <f>IF(A354="","",SUMIF(Detalle_Pagos!$A$5:$A$2004,A354,Detalle_Pagos!$I$5:$I$2004))</f>
        <v/>
      </c>
      <c r="M354" s="39">
        <f>IF(A354="","",SUMIFS(Detalle_Pagos!$I$5:$I$2004,Detalle_Pagos!$A$5:$A$2004,A354,Detalle_Pagos!$J$5:$J$2004,"No"))</f>
        <v/>
      </c>
      <c r="N354" s="38">
        <f>IF(A354="","",IF(J354=0,"Sin detalle",IF(M354=0,"Pagada","Pendiente")))</f>
        <v/>
      </c>
      <c r="O354" s="38" t="n"/>
    </row>
    <row r="355">
      <c r="A355" s="36" t="n"/>
      <c r="B355" s="40" t="n"/>
      <c r="C355" s="36" t="n"/>
      <c r="D355" s="36" t="n"/>
      <c r="E355" s="36" t="n"/>
      <c r="F355" s="36" t="n"/>
      <c r="G355" s="37">
        <f>IF(A355="","",IFERROR(INDEX(Criterios!$B$4:$C$83,MATCH(D355,Criterios!$A$4:$A$83,0),IF(E355="Dentro horario",1,2)),""))</f>
        <v/>
      </c>
      <c r="H355" s="37" t="n"/>
      <c r="I355" s="37">
        <f>IF(A355="","",IF(OR(F355="",G355=""),"",F355*G355+N(H355)))</f>
        <v/>
      </c>
      <c r="J355" s="36">
        <f>IF(A355="","",COUNTIF(Detalle_Pagos!$A$5:$A$2004,A355))</f>
        <v/>
      </c>
      <c r="K355" s="37">
        <f>IF(A355="","",IF(OR(J355=0,I355=""),"",I355/J355))</f>
        <v/>
      </c>
      <c r="L355" s="37">
        <f>IF(A355="","",SUMIF(Detalle_Pagos!$A$5:$A$2004,A355,Detalle_Pagos!$I$5:$I$2004))</f>
        <v/>
      </c>
      <c r="M355" s="37">
        <f>IF(A355="","",SUMIFS(Detalle_Pagos!$I$5:$I$2004,Detalle_Pagos!$A$5:$A$2004,A355,Detalle_Pagos!$J$5:$J$2004,"No"))</f>
        <v/>
      </c>
      <c r="N355" s="36">
        <f>IF(A355="","",IF(J355=0,"Sin detalle",IF(M355=0,"Pagada","Pendiente")))</f>
        <v/>
      </c>
      <c r="O355" s="36" t="n"/>
    </row>
    <row r="356">
      <c r="A356" s="38" t="n"/>
      <c r="B356" s="41" t="n"/>
      <c r="C356" s="38" t="n"/>
      <c r="D356" s="38" t="n"/>
      <c r="E356" s="38" t="n"/>
      <c r="F356" s="38" t="n"/>
      <c r="G356" s="39">
        <f>IF(A356="","",IFERROR(INDEX(Criterios!$B$4:$C$83,MATCH(D356,Criterios!$A$4:$A$83,0),IF(E356="Dentro horario",1,2)),""))</f>
        <v/>
      </c>
      <c r="H356" s="39" t="n"/>
      <c r="I356" s="39">
        <f>IF(A356="","",IF(OR(F356="",G356=""),"",F356*G356+N(H356)))</f>
        <v/>
      </c>
      <c r="J356" s="38">
        <f>IF(A356="","",COUNTIF(Detalle_Pagos!$A$5:$A$2004,A356))</f>
        <v/>
      </c>
      <c r="K356" s="39">
        <f>IF(A356="","",IF(OR(J356=0,I356=""),"",I356/J356))</f>
        <v/>
      </c>
      <c r="L356" s="39">
        <f>IF(A356="","",SUMIF(Detalle_Pagos!$A$5:$A$2004,A356,Detalle_Pagos!$I$5:$I$2004))</f>
        <v/>
      </c>
      <c r="M356" s="39">
        <f>IF(A356="","",SUMIFS(Detalle_Pagos!$I$5:$I$2004,Detalle_Pagos!$A$5:$A$2004,A356,Detalle_Pagos!$J$5:$J$2004,"No"))</f>
        <v/>
      </c>
      <c r="N356" s="38">
        <f>IF(A356="","",IF(J356=0,"Sin detalle",IF(M356=0,"Pagada","Pendiente")))</f>
        <v/>
      </c>
      <c r="O356" s="38" t="n"/>
    </row>
    <row r="357">
      <c r="A357" s="36" t="n"/>
      <c r="B357" s="40" t="n"/>
      <c r="C357" s="36" t="n"/>
      <c r="D357" s="36" t="n"/>
      <c r="E357" s="36" t="n"/>
      <c r="F357" s="36" t="n"/>
      <c r="G357" s="37">
        <f>IF(A357="","",IFERROR(INDEX(Criterios!$B$4:$C$83,MATCH(D357,Criterios!$A$4:$A$83,0),IF(E357="Dentro horario",1,2)),""))</f>
        <v/>
      </c>
      <c r="H357" s="37" t="n"/>
      <c r="I357" s="37">
        <f>IF(A357="","",IF(OR(F357="",G357=""),"",F357*G357+N(H357)))</f>
        <v/>
      </c>
      <c r="J357" s="36">
        <f>IF(A357="","",COUNTIF(Detalle_Pagos!$A$5:$A$2004,A357))</f>
        <v/>
      </c>
      <c r="K357" s="37">
        <f>IF(A357="","",IF(OR(J357=0,I357=""),"",I357/J357))</f>
        <v/>
      </c>
      <c r="L357" s="37">
        <f>IF(A357="","",SUMIF(Detalle_Pagos!$A$5:$A$2004,A357,Detalle_Pagos!$I$5:$I$2004))</f>
        <v/>
      </c>
      <c r="M357" s="37">
        <f>IF(A357="","",SUMIFS(Detalle_Pagos!$I$5:$I$2004,Detalle_Pagos!$A$5:$A$2004,A357,Detalle_Pagos!$J$5:$J$2004,"No"))</f>
        <v/>
      </c>
      <c r="N357" s="36">
        <f>IF(A357="","",IF(J357=0,"Sin detalle",IF(M357=0,"Pagada","Pendiente")))</f>
        <v/>
      </c>
      <c r="O357" s="36" t="n"/>
    </row>
    <row r="358">
      <c r="A358" s="38" t="n"/>
      <c r="B358" s="41" t="n"/>
      <c r="C358" s="38" t="n"/>
      <c r="D358" s="38" t="n"/>
      <c r="E358" s="38" t="n"/>
      <c r="F358" s="38" t="n"/>
      <c r="G358" s="39">
        <f>IF(A358="","",IFERROR(INDEX(Criterios!$B$4:$C$83,MATCH(D358,Criterios!$A$4:$A$83,0),IF(E358="Dentro horario",1,2)),""))</f>
        <v/>
      </c>
      <c r="H358" s="39" t="n"/>
      <c r="I358" s="39">
        <f>IF(A358="","",IF(OR(F358="",G358=""),"",F358*G358+N(H358)))</f>
        <v/>
      </c>
      <c r="J358" s="38">
        <f>IF(A358="","",COUNTIF(Detalle_Pagos!$A$5:$A$2004,A358))</f>
        <v/>
      </c>
      <c r="K358" s="39">
        <f>IF(A358="","",IF(OR(J358=0,I358=""),"",I358/J358))</f>
        <v/>
      </c>
      <c r="L358" s="39">
        <f>IF(A358="","",SUMIF(Detalle_Pagos!$A$5:$A$2004,A358,Detalle_Pagos!$I$5:$I$2004))</f>
        <v/>
      </c>
      <c r="M358" s="39">
        <f>IF(A358="","",SUMIFS(Detalle_Pagos!$I$5:$I$2004,Detalle_Pagos!$A$5:$A$2004,A358,Detalle_Pagos!$J$5:$J$2004,"No"))</f>
        <v/>
      </c>
      <c r="N358" s="38">
        <f>IF(A358="","",IF(J358=0,"Sin detalle",IF(M358=0,"Pagada","Pendiente")))</f>
        <v/>
      </c>
      <c r="O358" s="38" t="n"/>
    </row>
    <row r="359">
      <c r="A359" s="36" t="n"/>
      <c r="B359" s="40" t="n"/>
      <c r="C359" s="36" t="n"/>
      <c r="D359" s="36" t="n"/>
      <c r="E359" s="36" t="n"/>
      <c r="F359" s="36" t="n"/>
      <c r="G359" s="37">
        <f>IF(A359="","",IFERROR(INDEX(Criterios!$B$4:$C$83,MATCH(D359,Criterios!$A$4:$A$83,0),IF(E359="Dentro horario",1,2)),""))</f>
        <v/>
      </c>
      <c r="H359" s="37" t="n"/>
      <c r="I359" s="37">
        <f>IF(A359="","",IF(OR(F359="",G359=""),"",F359*G359+N(H359)))</f>
        <v/>
      </c>
      <c r="J359" s="36">
        <f>IF(A359="","",COUNTIF(Detalle_Pagos!$A$5:$A$2004,A359))</f>
        <v/>
      </c>
      <c r="K359" s="37">
        <f>IF(A359="","",IF(OR(J359=0,I359=""),"",I359/J359))</f>
        <v/>
      </c>
      <c r="L359" s="37">
        <f>IF(A359="","",SUMIF(Detalle_Pagos!$A$5:$A$2004,A359,Detalle_Pagos!$I$5:$I$2004))</f>
        <v/>
      </c>
      <c r="M359" s="37">
        <f>IF(A359="","",SUMIFS(Detalle_Pagos!$I$5:$I$2004,Detalle_Pagos!$A$5:$A$2004,A359,Detalle_Pagos!$J$5:$J$2004,"No"))</f>
        <v/>
      </c>
      <c r="N359" s="36">
        <f>IF(A359="","",IF(J359=0,"Sin detalle",IF(M359=0,"Pagada","Pendiente")))</f>
        <v/>
      </c>
      <c r="O359" s="36" t="n"/>
    </row>
    <row r="360">
      <c r="A360" s="38" t="n"/>
      <c r="B360" s="41" t="n"/>
      <c r="C360" s="38" t="n"/>
      <c r="D360" s="38" t="n"/>
      <c r="E360" s="38" t="n"/>
      <c r="F360" s="38" t="n"/>
      <c r="G360" s="39">
        <f>IF(A360="","",IFERROR(INDEX(Criterios!$B$4:$C$83,MATCH(D360,Criterios!$A$4:$A$83,0),IF(E360="Dentro horario",1,2)),""))</f>
        <v/>
      </c>
      <c r="H360" s="39" t="n"/>
      <c r="I360" s="39">
        <f>IF(A360="","",IF(OR(F360="",G360=""),"",F360*G360+N(H360)))</f>
        <v/>
      </c>
      <c r="J360" s="38">
        <f>IF(A360="","",COUNTIF(Detalle_Pagos!$A$5:$A$2004,A360))</f>
        <v/>
      </c>
      <c r="K360" s="39">
        <f>IF(A360="","",IF(OR(J360=0,I360=""),"",I360/J360))</f>
        <v/>
      </c>
      <c r="L360" s="39">
        <f>IF(A360="","",SUMIF(Detalle_Pagos!$A$5:$A$2004,A360,Detalle_Pagos!$I$5:$I$2004))</f>
        <v/>
      </c>
      <c r="M360" s="39">
        <f>IF(A360="","",SUMIFS(Detalle_Pagos!$I$5:$I$2004,Detalle_Pagos!$A$5:$A$2004,A360,Detalle_Pagos!$J$5:$J$2004,"No"))</f>
        <v/>
      </c>
      <c r="N360" s="38">
        <f>IF(A360="","",IF(J360=0,"Sin detalle",IF(M360=0,"Pagada","Pendiente")))</f>
        <v/>
      </c>
      <c r="O360" s="38" t="n"/>
    </row>
    <row r="361">
      <c r="A361" s="36" t="n"/>
      <c r="B361" s="40" t="n"/>
      <c r="C361" s="36" t="n"/>
      <c r="D361" s="36" t="n"/>
      <c r="E361" s="36" t="n"/>
      <c r="F361" s="36" t="n"/>
      <c r="G361" s="37">
        <f>IF(A361="","",IFERROR(INDEX(Criterios!$B$4:$C$83,MATCH(D361,Criterios!$A$4:$A$83,0),IF(E361="Dentro horario",1,2)),""))</f>
        <v/>
      </c>
      <c r="H361" s="37" t="n"/>
      <c r="I361" s="37">
        <f>IF(A361="","",IF(OR(F361="",G361=""),"",F361*G361+N(H361)))</f>
        <v/>
      </c>
      <c r="J361" s="36">
        <f>IF(A361="","",COUNTIF(Detalle_Pagos!$A$5:$A$2004,A361))</f>
        <v/>
      </c>
      <c r="K361" s="37">
        <f>IF(A361="","",IF(OR(J361=0,I361=""),"",I361/J361))</f>
        <v/>
      </c>
      <c r="L361" s="37">
        <f>IF(A361="","",SUMIF(Detalle_Pagos!$A$5:$A$2004,A361,Detalle_Pagos!$I$5:$I$2004))</f>
        <v/>
      </c>
      <c r="M361" s="37">
        <f>IF(A361="","",SUMIFS(Detalle_Pagos!$I$5:$I$2004,Detalle_Pagos!$A$5:$A$2004,A361,Detalle_Pagos!$J$5:$J$2004,"No"))</f>
        <v/>
      </c>
      <c r="N361" s="36">
        <f>IF(A361="","",IF(J361=0,"Sin detalle",IF(M361=0,"Pagada","Pendiente")))</f>
        <v/>
      </c>
      <c r="O361" s="36" t="n"/>
    </row>
    <row r="362">
      <c r="A362" s="38" t="n"/>
      <c r="B362" s="41" t="n"/>
      <c r="C362" s="38" t="n"/>
      <c r="D362" s="38" t="n"/>
      <c r="E362" s="38" t="n"/>
      <c r="F362" s="38" t="n"/>
      <c r="G362" s="39">
        <f>IF(A362="","",IFERROR(INDEX(Criterios!$B$4:$C$83,MATCH(D362,Criterios!$A$4:$A$83,0),IF(E362="Dentro horario",1,2)),""))</f>
        <v/>
      </c>
      <c r="H362" s="39" t="n"/>
      <c r="I362" s="39">
        <f>IF(A362="","",IF(OR(F362="",G362=""),"",F362*G362+N(H362)))</f>
        <v/>
      </c>
      <c r="J362" s="38">
        <f>IF(A362="","",COUNTIF(Detalle_Pagos!$A$5:$A$2004,A362))</f>
        <v/>
      </c>
      <c r="K362" s="39">
        <f>IF(A362="","",IF(OR(J362=0,I362=""),"",I362/J362))</f>
        <v/>
      </c>
      <c r="L362" s="39">
        <f>IF(A362="","",SUMIF(Detalle_Pagos!$A$5:$A$2004,A362,Detalle_Pagos!$I$5:$I$2004))</f>
        <v/>
      </c>
      <c r="M362" s="39">
        <f>IF(A362="","",SUMIFS(Detalle_Pagos!$I$5:$I$2004,Detalle_Pagos!$A$5:$A$2004,A362,Detalle_Pagos!$J$5:$J$2004,"No"))</f>
        <v/>
      </c>
      <c r="N362" s="38">
        <f>IF(A362="","",IF(J362=0,"Sin detalle",IF(M362=0,"Pagada","Pendiente")))</f>
        <v/>
      </c>
      <c r="O362" s="38" t="n"/>
    </row>
    <row r="363">
      <c r="A363" s="36" t="n"/>
      <c r="B363" s="40" t="n"/>
      <c r="C363" s="36" t="n"/>
      <c r="D363" s="36" t="n"/>
      <c r="E363" s="36" t="n"/>
      <c r="F363" s="36" t="n"/>
      <c r="G363" s="37">
        <f>IF(A363="","",IFERROR(INDEX(Criterios!$B$4:$C$83,MATCH(D363,Criterios!$A$4:$A$83,0),IF(E363="Dentro horario",1,2)),""))</f>
        <v/>
      </c>
      <c r="H363" s="37" t="n"/>
      <c r="I363" s="37">
        <f>IF(A363="","",IF(OR(F363="",G363=""),"",F363*G363+N(H363)))</f>
        <v/>
      </c>
      <c r="J363" s="36">
        <f>IF(A363="","",COUNTIF(Detalle_Pagos!$A$5:$A$2004,A363))</f>
        <v/>
      </c>
      <c r="K363" s="37">
        <f>IF(A363="","",IF(OR(J363=0,I363=""),"",I363/J363))</f>
        <v/>
      </c>
      <c r="L363" s="37">
        <f>IF(A363="","",SUMIF(Detalle_Pagos!$A$5:$A$2004,A363,Detalle_Pagos!$I$5:$I$2004))</f>
        <v/>
      </c>
      <c r="M363" s="37">
        <f>IF(A363="","",SUMIFS(Detalle_Pagos!$I$5:$I$2004,Detalle_Pagos!$A$5:$A$2004,A363,Detalle_Pagos!$J$5:$J$2004,"No"))</f>
        <v/>
      </c>
      <c r="N363" s="36">
        <f>IF(A363="","",IF(J363=0,"Sin detalle",IF(M363=0,"Pagada","Pendiente")))</f>
        <v/>
      </c>
      <c r="O363" s="36" t="n"/>
    </row>
    <row r="364">
      <c r="A364" s="38" t="n"/>
      <c r="B364" s="41" t="n"/>
      <c r="C364" s="38" t="n"/>
      <c r="D364" s="38" t="n"/>
      <c r="E364" s="38" t="n"/>
      <c r="F364" s="38" t="n"/>
      <c r="G364" s="39">
        <f>IF(A364="","",IFERROR(INDEX(Criterios!$B$4:$C$83,MATCH(D364,Criterios!$A$4:$A$83,0),IF(E364="Dentro horario",1,2)),""))</f>
        <v/>
      </c>
      <c r="H364" s="39" t="n"/>
      <c r="I364" s="39">
        <f>IF(A364="","",IF(OR(F364="",G364=""),"",F364*G364+N(H364)))</f>
        <v/>
      </c>
      <c r="J364" s="38">
        <f>IF(A364="","",COUNTIF(Detalle_Pagos!$A$5:$A$2004,A364))</f>
        <v/>
      </c>
      <c r="K364" s="39">
        <f>IF(A364="","",IF(OR(J364=0,I364=""),"",I364/J364))</f>
        <v/>
      </c>
      <c r="L364" s="39">
        <f>IF(A364="","",SUMIF(Detalle_Pagos!$A$5:$A$2004,A364,Detalle_Pagos!$I$5:$I$2004))</f>
        <v/>
      </c>
      <c r="M364" s="39">
        <f>IF(A364="","",SUMIFS(Detalle_Pagos!$I$5:$I$2004,Detalle_Pagos!$A$5:$A$2004,A364,Detalle_Pagos!$J$5:$J$2004,"No"))</f>
        <v/>
      </c>
      <c r="N364" s="38">
        <f>IF(A364="","",IF(J364=0,"Sin detalle",IF(M364=0,"Pagada","Pendiente")))</f>
        <v/>
      </c>
      <c r="O364" s="38" t="n"/>
    </row>
    <row r="365">
      <c r="A365" s="36" t="n"/>
      <c r="B365" s="40" t="n"/>
      <c r="C365" s="36" t="n"/>
      <c r="D365" s="36" t="n"/>
      <c r="E365" s="36" t="n"/>
      <c r="F365" s="36" t="n"/>
      <c r="G365" s="37">
        <f>IF(A365="","",IFERROR(INDEX(Criterios!$B$4:$C$83,MATCH(D365,Criterios!$A$4:$A$83,0),IF(E365="Dentro horario",1,2)),""))</f>
        <v/>
      </c>
      <c r="H365" s="37" t="n"/>
      <c r="I365" s="37">
        <f>IF(A365="","",IF(OR(F365="",G365=""),"",F365*G365+N(H365)))</f>
        <v/>
      </c>
      <c r="J365" s="36">
        <f>IF(A365="","",COUNTIF(Detalle_Pagos!$A$5:$A$2004,A365))</f>
        <v/>
      </c>
      <c r="K365" s="37">
        <f>IF(A365="","",IF(OR(J365=0,I365=""),"",I365/J365))</f>
        <v/>
      </c>
      <c r="L365" s="37">
        <f>IF(A365="","",SUMIF(Detalle_Pagos!$A$5:$A$2004,A365,Detalle_Pagos!$I$5:$I$2004))</f>
        <v/>
      </c>
      <c r="M365" s="37">
        <f>IF(A365="","",SUMIFS(Detalle_Pagos!$I$5:$I$2004,Detalle_Pagos!$A$5:$A$2004,A365,Detalle_Pagos!$J$5:$J$2004,"No"))</f>
        <v/>
      </c>
      <c r="N365" s="36">
        <f>IF(A365="","",IF(J365=0,"Sin detalle",IF(M365=0,"Pagada","Pendiente")))</f>
        <v/>
      </c>
      <c r="O365" s="36" t="n"/>
    </row>
    <row r="366">
      <c r="A366" s="38" t="n"/>
      <c r="B366" s="41" t="n"/>
      <c r="C366" s="38" t="n"/>
      <c r="D366" s="38" t="n"/>
      <c r="E366" s="38" t="n"/>
      <c r="F366" s="38" t="n"/>
      <c r="G366" s="39">
        <f>IF(A366="","",IFERROR(INDEX(Criterios!$B$4:$C$83,MATCH(D366,Criterios!$A$4:$A$83,0),IF(E366="Dentro horario",1,2)),""))</f>
        <v/>
      </c>
      <c r="H366" s="39" t="n"/>
      <c r="I366" s="39">
        <f>IF(A366="","",IF(OR(F366="",G366=""),"",F366*G366+N(H366)))</f>
        <v/>
      </c>
      <c r="J366" s="38">
        <f>IF(A366="","",COUNTIF(Detalle_Pagos!$A$5:$A$2004,A366))</f>
        <v/>
      </c>
      <c r="K366" s="39">
        <f>IF(A366="","",IF(OR(J366=0,I366=""),"",I366/J366))</f>
        <v/>
      </c>
      <c r="L366" s="39">
        <f>IF(A366="","",SUMIF(Detalle_Pagos!$A$5:$A$2004,A366,Detalle_Pagos!$I$5:$I$2004))</f>
        <v/>
      </c>
      <c r="M366" s="39">
        <f>IF(A366="","",SUMIFS(Detalle_Pagos!$I$5:$I$2004,Detalle_Pagos!$A$5:$A$2004,A366,Detalle_Pagos!$J$5:$J$2004,"No"))</f>
        <v/>
      </c>
      <c r="N366" s="38">
        <f>IF(A366="","",IF(J366=0,"Sin detalle",IF(M366=0,"Pagada","Pendiente")))</f>
        <v/>
      </c>
      <c r="O366" s="38" t="n"/>
    </row>
    <row r="367">
      <c r="A367" s="36" t="n"/>
      <c r="B367" s="40" t="n"/>
      <c r="C367" s="36" t="n"/>
      <c r="D367" s="36" t="n"/>
      <c r="E367" s="36" t="n"/>
      <c r="F367" s="36" t="n"/>
      <c r="G367" s="37">
        <f>IF(A367="","",IFERROR(INDEX(Criterios!$B$4:$C$83,MATCH(D367,Criterios!$A$4:$A$83,0),IF(E367="Dentro horario",1,2)),""))</f>
        <v/>
      </c>
      <c r="H367" s="37" t="n"/>
      <c r="I367" s="37">
        <f>IF(A367="","",IF(OR(F367="",G367=""),"",F367*G367+N(H367)))</f>
        <v/>
      </c>
      <c r="J367" s="36">
        <f>IF(A367="","",COUNTIF(Detalle_Pagos!$A$5:$A$2004,A367))</f>
        <v/>
      </c>
      <c r="K367" s="37">
        <f>IF(A367="","",IF(OR(J367=0,I367=""),"",I367/J367))</f>
        <v/>
      </c>
      <c r="L367" s="37">
        <f>IF(A367="","",SUMIF(Detalle_Pagos!$A$5:$A$2004,A367,Detalle_Pagos!$I$5:$I$2004))</f>
        <v/>
      </c>
      <c r="M367" s="37">
        <f>IF(A367="","",SUMIFS(Detalle_Pagos!$I$5:$I$2004,Detalle_Pagos!$A$5:$A$2004,A367,Detalle_Pagos!$J$5:$J$2004,"No"))</f>
        <v/>
      </c>
      <c r="N367" s="36">
        <f>IF(A367="","",IF(J367=0,"Sin detalle",IF(M367=0,"Pagada","Pendiente")))</f>
        <v/>
      </c>
      <c r="O367" s="36" t="n"/>
    </row>
    <row r="368">
      <c r="A368" s="38" t="n"/>
      <c r="B368" s="41" t="n"/>
      <c r="C368" s="38" t="n"/>
      <c r="D368" s="38" t="n"/>
      <c r="E368" s="38" t="n"/>
      <c r="F368" s="38" t="n"/>
      <c r="G368" s="39">
        <f>IF(A368="","",IFERROR(INDEX(Criterios!$B$4:$C$83,MATCH(D368,Criterios!$A$4:$A$83,0),IF(E368="Dentro horario",1,2)),""))</f>
        <v/>
      </c>
      <c r="H368" s="39" t="n"/>
      <c r="I368" s="39">
        <f>IF(A368="","",IF(OR(F368="",G368=""),"",F368*G368+N(H368)))</f>
        <v/>
      </c>
      <c r="J368" s="38">
        <f>IF(A368="","",COUNTIF(Detalle_Pagos!$A$5:$A$2004,A368))</f>
        <v/>
      </c>
      <c r="K368" s="39">
        <f>IF(A368="","",IF(OR(J368=0,I368=""),"",I368/J368))</f>
        <v/>
      </c>
      <c r="L368" s="39">
        <f>IF(A368="","",SUMIF(Detalle_Pagos!$A$5:$A$2004,A368,Detalle_Pagos!$I$5:$I$2004))</f>
        <v/>
      </c>
      <c r="M368" s="39">
        <f>IF(A368="","",SUMIFS(Detalle_Pagos!$I$5:$I$2004,Detalle_Pagos!$A$5:$A$2004,A368,Detalle_Pagos!$J$5:$J$2004,"No"))</f>
        <v/>
      </c>
      <c r="N368" s="38">
        <f>IF(A368="","",IF(J368=0,"Sin detalle",IF(M368=0,"Pagada","Pendiente")))</f>
        <v/>
      </c>
      <c r="O368" s="38" t="n"/>
    </row>
    <row r="369">
      <c r="A369" s="36" t="n"/>
      <c r="B369" s="40" t="n"/>
      <c r="C369" s="36" t="n"/>
      <c r="D369" s="36" t="n"/>
      <c r="E369" s="36" t="n"/>
      <c r="F369" s="36" t="n"/>
      <c r="G369" s="37">
        <f>IF(A369="","",IFERROR(INDEX(Criterios!$B$4:$C$83,MATCH(D369,Criterios!$A$4:$A$83,0),IF(E369="Dentro horario",1,2)),""))</f>
        <v/>
      </c>
      <c r="H369" s="37" t="n"/>
      <c r="I369" s="37">
        <f>IF(A369="","",IF(OR(F369="",G369=""),"",F369*G369+N(H369)))</f>
        <v/>
      </c>
      <c r="J369" s="36">
        <f>IF(A369="","",COUNTIF(Detalle_Pagos!$A$5:$A$2004,A369))</f>
        <v/>
      </c>
      <c r="K369" s="37">
        <f>IF(A369="","",IF(OR(J369=0,I369=""),"",I369/J369))</f>
        <v/>
      </c>
      <c r="L369" s="37">
        <f>IF(A369="","",SUMIF(Detalle_Pagos!$A$5:$A$2004,A369,Detalle_Pagos!$I$5:$I$2004))</f>
        <v/>
      </c>
      <c r="M369" s="37">
        <f>IF(A369="","",SUMIFS(Detalle_Pagos!$I$5:$I$2004,Detalle_Pagos!$A$5:$A$2004,A369,Detalle_Pagos!$J$5:$J$2004,"No"))</f>
        <v/>
      </c>
      <c r="N369" s="36">
        <f>IF(A369="","",IF(J369=0,"Sin detalle",IF(M369=0,"Pagada","Pendiente")))</f>
        <v/>
      </c>
      <c r="O369" s="36" t="n"/>
    </row>
    <row r="370">
      <c r="A370" s="38" t="n"/>
      <c r="B370" s="41" t="n"/>
      <c r="C370" s="38" t="n"/>
      <c r="D370" s="38" t="n"/>
      <c r="E370" s="38" t="n"/>
      <c r="F370" s="38" t="n"/>
      <c r="G370" s="39">
        <f>IF(A370="","",IFERROR(INDEX(Criterios!$B$4:$C$83,MATCH(D370,Criterios!$A$4:$A$83,0),IF(E370="Dentro horario",1,2)),""))</f>
        <v/>
      </c>
      <c r="H370" s="39" t="n"/>
      <c r="I370" s="39">
        <f>IF(A370="","",IF(OR(F370="",G370=""),"",F370*G370+N(H370)))</f>
        <v/>
      </c>
      <c r="J370" s="38">
        <f>IF(A370="","",COUNTIF(Detalle_Pagos!$A$5:$A$2004,A370))</f>
        <v/>
      </c>
      <c r="K370" s="39">
        <f>IF(A370="","",IF(OR(J370=0,I370=""),"",I370/J370))</f>
        <v/>
      </c>
      <c r="L370" s="39">
        <f>IF(A370="","",SUMIF(Detalle_Pagos!$A$5:$A$2004,A370,Detalle_Pagos!$I$5:$I$2004))</f>
        <v/>
      </c>
      <c r="M370" s="39">
        <f>IF(A370="","",SUMIFS(Detalle_Pagos!$I$5:$I$2004,Detalle_Pagos!$A$5:$A$2004,A370,Detalle_Pagos!$J$5:$J$2004,"No"))</f>
        <v/>
      </c>
      <c r="N370" s="38">
        <f>IF(A370="","",IF(J370=0,"Sin detalle",IF(M370=0,"Pagada","Pendiente")))</f>
        <v/>
      </c>
      <c r="O370" s="38" t="n"/>
    </row>
    <row r="371">
      <c r="A371" s="36" t="n"/>
      <c r="B371" s="40" t="n"/>
      <c r="C371" s="36" t="n"/>
      <c r="D371" s="36" t="n"/>
      <c r="E371" s="36" t="n"/>
      <c r="F371" s="36" t="n"/>
      <c r="G371" s="37">
        <f>IF(A371="","",IFERROR(INDEX(Criterios!$B$4:$C$83,MATCH(D371,Criterios!$A$4:$A$83,0),IF(E371="Dentro horario",1,2)),""))</f>
        <v/>
      </c>
      <c r="H371" s="37" t="n"/>
      <c r="I371" s="37">
        <f>IF(A371="","",IF(OR(F371="",G371=""),"",F371*G371+N(H371)))</f>
        <v/>
      </c>
      <c r="J371" s="36">
        <f>IF(A371="","",COUNTIF(Detalle_Pagos!$A$5:$A$2004,A371))</f>
        <v/>
      </c>
      <c r="K371" s="37">
        <f>IF(A371="","",IF(OR(J371=0,I371=""),"",I371/J371))</f>
        <v/>
      </c>
      <c r="L371" s="37">
        <f>IF(A371="","",SUMIF(Detalle_Pagos!$A$5:$A$2004,A371,Detalle_Pagos!$I$5:$I$2004))</f>
        <v/>
      </c>
      <c r="M371" s="37">
        <f>IF(A371="","",SUMIFS(Detalle_Pagos!$I$5:$I$2004,Detalle_Pagos!$A$5:$A$2004,A371,Detalle_Pagos!$J$5:$J$2004,"No"))</f>
        <v/>
      </c>
      <c r="N371" s="36">
        <f>IF(A371="","",IF(J371=0,"Sin detalle",IF(M371=0,"Pagada","Pendiente")))</f>
        <v/>
      </c>
      <c r="O371" s="36" t="n"/>
    </row>
    <row r="372">
      <c r="A372" s="38" t="n"/>
      <c r="B372" s="41" t="n"/>
      <c r="C372" s="38" t="n"/>
      <c r="D372" s="38" t="n"/>
      <c r="E372" s="38" t="n"/>
      <c r="F372" s="38" t="n"/>
      <c r="G372" s="39">
        <f>IF(A372="","",IFERROR(INDEX(Criterios!$B$4:$C$83,MATCH(D372,Criterios!$A$4:$A$83,0),IF(E372="Dentro horario",1,2)),""))</f>
        <v/>
      </c>
      <c r="H372" s="39" t="n"/>
      <c r="I372" s="39">
        <f>IF(A372="","",IF(OR(F372="",G372=""),"",F372*G372+N(H372)))</f>
        <v/>
      </c>
      <c r="J372" s="38">
        <f>IF(A372="","",COUNTIF(Detalle_Pagos!$A$5:$A$2004,A372))</f>
        <v/>
      </c>
      <c r="K372" s="39">
        <f>IF(A372="","",IF(OR(J372=0,I372=""),"",I372/J372))</f>
        <v/>
      </c>
      <c r="L372" s="39">
        <f>IF(A372="","",SUMIF(Detalle_Pagos!$A$5:$A$2004,A372,Detalle_Pagos!$I$5:$I$2004))</f>
        <v/>
      </c>
      <c r="M372" s="39">
        <f>IF(A372="","",SUMIFS(Detalle_Pagos!$I$5:$I$2004,Detalle_Pagos!$A$5:$A$2004,A372,Detalle_Pagos!$J$5:$J$2004,"No"))</f>
        <v/>
      </c>
      <c r="N372" s="38">
        <f>IF(A372="","",IF(J372=0,"Sin detalle",IF(M372=0,"Pagada","Pendiente")))</f>
        <v/>
      </c>
      <c r="O372" s="38" t="n"/>
    </row>
    <row r="373">
      <c r="A373" s="36" t="n"/>
      <c r="B373" s="40" t="n"/>
      <c r="C373" s="36" t="n"/>
      <c r="D373" s="36" t="n"/>
      <c r="E373" s="36" t="n"/>
      <c r="F373" s="36" t="n"/>
      <c r="G373" s="37">
        <f>IF(A373="","",IFERROR(INDEX(Criterios!$B$4:$C$83,MATCH(D373,Criterios!$A$4:$A$83,0),IF(E373="Dentro horario",1,2)),""))</f>
        <v/>
      </c>
      <c r="H373" s="37" t="n"/>
      <c r="I373" s="37">
        <f>IF(A373="","",IF(OR(F373="",G373=""),"",F373*G373+N(H373)))</f>
        <v/>
      </c>
      <c r="J373" s="36">
        <f>IF(A373="","",COUNTIF(Detalle_Pagos!$A$5:$A$2004,A373))</f>
        <v/>
      </c>
      <c r="K373" s="37">
        <f>IF(A373="","",IF(OR(J373=0,I373=""),"",I373/J373))</f>
        <v/>
      </c>
      <c r="L373" s="37">
        <f>IF(A373="","",SUMIF(Detalle_Pagos!$A$5:$A$2004,A373,Detalle_Pagos!$I$5:$I$2004))</f>
        <v/>
      </c>
      <c r="M373" s="37">
        <f>IF(A373="","",SUMIFS(Detalle_Pagos!$I$5:$I$2004,Detalle_Pagos!$A$5:$A$2004,A373,Detalle_Pagos!$J$5:$J$2004,"No"))</f>
        <v/>
      </c>
      <c r="N373" s="36">
        <f>IF(A373="","",IF(J373=0,"Sin detalle",IF(M373=0,"Pagada","Pendiente")))</f>
        <v/>
      </c>
      <c r="O373" s="36" t="n"/>
    </row>
    <row r="374">
      <c r="A374" s="38" t="n"/>
      <c r="B374" s="41" t="n"/>
      <c r="C374" s="38" t="n"/>
      <c r="D374" s="38" t="n"/>
      <c r="E374" s="38" t="n"/>
      <c r="F374" s="38" t="n"/>
      <c r="G374" s="39">
        <f>IF(A374="","",IFERROR(INDEX(Criterios!$B$4:$C$83,MATCH(D374,Criterios!$A$4:$A$83,0),IF(E374="Dentro horario",1,2)),""))</f>
        <v/>
      </c>
      <c r="H374" s="39" t="n"/>
      <c r="I374" s="39">
        <f>IF(A374="","",IF(OR(F374="",G374=""),"",F374*G374+N(H374)))</f>
        <v/>
      </c>
      <c r="J374" s="38">
        <f>IF(A374="","",COUNTIF(Detalle_Pagos!$A$5:$A$2004,A374))</f>
        <v/>
      </c>
      <c r="K374" s="39">
        <f>IF(A374="","",IF(OR(J374=0,I374=""),"",I374/J374))</f>
        <v/>
      </c>
      <c r="L374" s="39">
        <f>IF(A374="","",SUMIF(Detalle_Pagos!$A$5:$A$2004,A374,Detalle_Pagos!$I$5:$I$2004))</f>
        <v/>
      </c>
      <c r="M374" s="39">
        <f>IF(A374="","",SUMIFS(Detalle_Pagos!$I$5:$I$2004,Detalle_Pagos!$A$5:$A$2004,A374,Detalle_Pagos!$J$5:$J$2004,"No"))</f>
        <v/>
      </c>
      <c r="N374" s="38">
        <f>IF(A374="","",IF(J374=0,"Sin detalle",IF(M374=0,"Pagada","Pendiente")))</f>
        <v/>
      </c>
      <c r="O374" s="38" t="n"/>
    </row>
    <row r="375">
      <c r="A375" s="36" t="n"/>
      <c r="B375" s="40" t="n"/>
      <c r="C375" s="36" t="n"/>
      <c r="D375" s="36" t="n"/>
      <c r="E375" s="36" t="n"/>
      <c r="F375" s="36" t="n"/>
      <c r="G375" s="37">
        <f>IF(A375="","",IFERROR(INDEX(Criterios!$B$4:$C$83,MATCH(D375,Criterios!$A$4:$A$83,0),IF(E375="Dentro horario",1,2)),""))</f>
        <v/>
      </c>
      <c r="H375" s="37" t="n"/>
      <c r="I375" s="37">
        <f>IF(A375="","",IF(OR(F375="",G375=""),"",F375*G375+N(H375)))</f>
        <v/>
      </c>
      <c r="J375" s="36">
        <f>IF(A375="","",COUNTIF(Detalle_Pagos!$A$5:$A$2004,A375))</f>
        <v/>
      </c>
      <c r="K375" s="37">
        <f>IF(A375="","",IF(OR(J375=0,I375=""),"",I375/J375))</f>
        <v/>
      </c>
      <c r="L375" s="37">
        <f>IF(A375="","",SUMIF(Detalle_Pagos!$A$5:$A$2004,A375,Detalle_Pagos!$I$5:$I$2004))</f>
        <v/>
      </c>
      <c r="M375" s="37">
        <f>IF(A375="","",SUMIFS(Detalle_Pagos!$I$5:$I$2004,Detalle_Pagos!$A$5:$A$2004,A375,Detalle_Pagos!$J$5:$J$2004,"No"))</f>
        <v/>
      </c>
      <c r="N375" s="36">
        <f>IF(A375="","",IF(J375=0,"Sin detalle",IF(M375=0,"Pagada","Pendiente")))</f>
        <v/>
      </c>
      <c r="O375" s="36" t="n"/>
    </row>
    <row r="376">
      <c r="A376" s="38" t="n"/>
      <c r="B376" s="41" t="n"/>
      <c r="C376" s="38" t="n"/>
      <c r="D376" s="38" t="n"/>
      <c r="E376" s="38" t="n"/>
      <c r="F376" s="38" t="n"/>
      <c r="G376" s="39">
        <f>IF(A376="","",IFERROR(INDEX(Criterios!$B$4:$C$83,MATCH(D376,Criterios!$A$4:$A$83,0),IF(E376="Dentro horario",1,2)),""))</f>
        <v/>
      </c>
      <c r="H376" s="39" t="n"/>
      <c r="I376" s="39">
        <f>IF(A376="","",IF(OR(F376="",G376=""),"",F376*G376+N(H376)))</f>
        <v/>
      </c>
      <c r="J376" s="38">
        <f>IF(A376="","",COUNTIF(Detalle_Pagos!$A$5:$A$2004,A376))</f>
        <v/>
      </c>
      <c r="K376" s="39">
        <f>IF(A376="","",IF(OR(J376=0,I376=""),"",I376/J376))</f>
        <v/>
      </c>
      <c r="L376" s="39">
        <f>IF(A376="","",SUMIF(Detalle_Pagos!$A$5:$A$2004,A376,Detalle_Pagos!$I$5:$I$2004))</f>
        <v/>
      </c>
      <c r="M376" s="39">
        <f>IF(A376="","",SUMIFS(Detalle_Pagos!$I$5:$I$2004,Detalle_Pagos!$A$5:$A$2004,A376,Detalle_Pagos!$J$5:$J$2004,"No"))</f>
        <v/>
      </c>
      <c r="N376" s="38">
        <f>IF(A376="","",IF(J376=0,"Sin detalle",IF(M376=0,"Pagada","Pendiente")))</f>
        <v/>
      </c>
      <c r="O376" s="38" t="n"/>
    </row>
    <row r="377">
      <c r="A377" s="36" t="n"/>
      <c r="B377" s="40" t="n"/>
      <c r="C377" s="36" t="n"/>
      <c r="D377" s="36" t="n"/>
      <c r="E377" s="36" t="n"/>
      <c r="F377" s="36" t="n"/>
      <c r="G377" s="37">
        <f>IF(A377="","",IFERROR(INDEX(Criterios!$B$4:$C$83,MATCH(D377,Criterios!$A$4:$A$83,0),IF(E377="Dentro horario",1,2)),""))</f>
        <v/>
      </c>
      <c r="H377" s="37" t="n"/>
      <c r="I377" s="37">
        <f>IF(A377="","",IF(OR(F377="",G377=""),"",F377*G377+N(H377)))</f>
        <v/>
      </c>
      <c r="J377" s="36">
        <f>IF(A377="","",COUNTIF(Detalle_Pagos!$A$5:$A$2004,A377))</f>
        <v/>
      </c>
      <c r="K377" s="37">
        <f>IF(A377="","",IF(OR(J377=0,I377=""),"",I377/J377))</f>
        <v/>
      </c>
      <c r="L377" s="37">
        <f>IF(A377="","",SUMIF(Detalle_Pagos!$A$5:$A$2004,A377,Detalle_Pagos!$I$5:$I$2004))</f>
        <v/>
      </c>
      <c r="M377" s="37">
        <f>IF(A377="","",SUMIFS(Detalle_Pagos!$I$5:$I$2004,Detalle_Pagos!$A$5:$A$2004,A377,Detalle_Pagos!$J$5:$J$2004,"No"))</f>
        <v/>
      </c>
      <c r="N377" s="36">
        <f>IF(A377="","",IF(J377=0,"Sin detalle",IF(M377=0,"Pagada","Pendiente")))</f>
        <v/>
      </c>
      <c r="O377" s="36" t="n"/>
    </row>
    <row r="378">
      <c r="A378" s="38" t="n"/>
      <c r="B378" s="41" t="n"/>
      <c r="C378" s="38" t="n"/>
      <c r="D378" s="38" t="n"/>
      <c r="E378" s="38" t="n"/>
      <c r="F378" s="38" t="n"/>
      <c r="G378" s="39">
        <f>IF(A378="","",IFERROR(INDEX(Criterios!$B$4:$C$83,MATCH(D378,Criterios!$A$4:$A$83,0),IF(E378="Dentro horario",1,2)),""))</f>
        <v/>
      </c>
      <c r="H378" s="39" t="n"/>
      <c r="I378" s="39">
        <f>IF(A378="","",IF(OR(F378="",G378=""),"",F378*G378+N(H378)))</f>
        <v/>
      </c>
      <c r="J378" s="38">
        <f>IF(A378="","",COUNTIF(Detalle_Pagos!$A$5:$A$2004,A378))</f>
        <v/>
      </c>
      <c r="K378" s="39">
        <f>IF(A378="","",IF(OR(J378=0,I378=""),"",I378/J378))</f>
        <v/>
      </c>
      <c r="L378" s="39">
        <f>IF(A378="","",SUMIF(Detalle_Pagos!$A$5:$A$2004,A378,Detalle_Pagos!$I$5:$I$2004))</f>
        <v/>
      </c>
      <c r="M378" s="39">
        <f>IF(A378="","",SUMIFS(Detalle_Pagos!$I$5:$I$2004,Detalle_Pagos!$A$5:$A$2004,A378,Detalle_Pagos!$J$5:$J$2004,"No"))</f>
        <v/>
      </c>
      <c r="N378" s="38">
        <f>IF(A378="","",IF(J378=0,"Sin detalle",IF(M378=0,"Pagada","Pendiente")))</f>
        <v/>
      </c>
      <c r="O378" s="38" t="n"/>
    </row>
    <row r="379">
      <c r="A379" s="36" t="n"/>
      <c r="B379" s="40" t="n"/>
      <c r="C379" s="36" t="n"/>
      <c r="D379" s="36" t="n"/>
      <c r="E379" s="36" t="n"/>
      <c r="F379" s="36" t="n"/>
      <c r="G379" s="37">
        <f>IF(A379="","",IFERROR(INDEX(Criterios!$B$4:$C$83,MATCH(D379,Criterios!$A$4:$A$83,0),IF(E379="Dentro horario",1,2)),""))</f>
        <v/>
      </c>
      <c r="H379" s="37" t="n"/>
      <c r="I379" s="37">
        <f>IF(A379="","",IF(OR(F379="",G379=""),"",F379*G379+N(H379)))</f>
        <v/>
      </c>
      <c r="J379" s="36">
        <f>IF(A379="","",COUNTIF(Detalle_Pagos!$A$5:$A$2004,A379))</f>
        <v/>
      </c>
      <c r="K379" s="37">
        <f>IF(A379="","",IF(OR(J379=0,I379=""),"",I379/J379))</f>
        <v/>
      </c>
      <c r="L379" s="37">
        <f>IF(A379="","",SUMIF(Detalle_Pagos!$A$5:$A$2004,A379,Detalle_Pagos!$I$5:$I$2004))</f>
        <v/>
      </c>
      <c r="M379" s="37">
        <f>IF(A379="","",SUMIFS(Detalle_Pagos!$I$5:$I$2004,Detalle_Pagos!$A$5:$A$2004,A379,Detalle_Pagos!$J$5:$J$2004,"No"))</f>
        <v/>
      </c>
      <c r="N379" s="36">
        <f>IF(A379="","",IF(J379=0,"Sin detalle",IF(M379=0,"Pagada","Pendiente")))</f>
        <v/>
      </c>
      <c r="O379" s="36" t="n"/>
    </row>
    <row r="380">
      <c r="A380" s="38" t="n"/>
      <c r="B380" s="41" t="n"/>
      <c r="C380" s="38" t="n"/>
      <c r="D380" s="38" t="n"/>
      <c r="E380" s="38" t="n"/>
      <c r="F380" s="38" t="n"/>
      <c r="G380" s="39">
        <f>IF(A380="","",IFERROR(INDEX(Criterios!$B$4:$C$83,MATCH(D380,Criterios!$A$4:$A$83,0),IF(E380="Dentro horario",1,2)),""))</f>
        <v/>
      </c>
      <c r="H380" s="39" t="n"/>
      <c r="I380" s="39">
        <f>IF(A380="","",IF(OR(F380="",G380=""),"",F380*G380+N(H380)))</f>
        <v/>
      </c>
      <c r="J380" s="38">
        <f>IF(A380="","",COUNTIF(Detalle_Pagos!$A$5:$A$2004,A380))</f>
        <v/>
      </c>
      <c r="K380" s="39">
        <f>IF(A380="","",IF(OR(J380=0,I380=""),"",I380/J380))</f>
        <v/>
      </c>
      <c r="L380" s="39">
        <f>IF(A380="","",SUMIF(Detalle_Pagos!$A$5:$A$2004,A380,Detalle_Pagos!$I$5:$I$2004))</f>
        <v/>
      </c>
      <c r="M380" s="39">
        <f>IF(A380="","",SUMIFS(Detalle_Pagos!$I$5:$I$2004,Detalle_Pagos!$A$5:$A$2004,A380,Detalle_Pagos!$J$5:$J$2004,"No"))</f>
        <v/>
      </c>
      <c r="N380" s="38">
        <f>IF(A380="","",IF(J380=0,"Sin detalle",IF(M380=0,"Pagada","Pendiente")))</f>
        <v/>
      </c>
      <c r="O380" s="38" t="n"/>
    </row>
    <row r="381">
      <c r="A381" s="36" t="n"/>
      <c r="B381" s="40" t="n"/>
      <c r="C381" s="36" t="n"/>
      <c r="D381" s="36" t="n"/>
      <c r="E381" s="36" t="n"/>
      <c r="F381" s="36" t="n"/>
      <c r="G381" s="37">
        <f>IF(A381="","",IFERROR(INDEX(Criterios!$B$4:$C$83,MATCH(D381,Criterios!$A$4:$A$83,0),IF(E381="Dentro horario",1,2)),""))</f>
        <v/>
      </c>
      <c r="H381" s="37" t="n"/>
      <c r="I381" s="37">
        <f>IF(A381="","",IF(OR(F381="",G381=""),"",F381*G381+N(H381)))</f>
        <v/>
      </c>
      <c r="J381" s="36">
        <f>IF(A381="","",COUNTIF(Detalle_Pagos!$A$5:$A$2004,A381))</f>
        <v/>
      </c>
      <c r="K381" s="37">
        <f>IF(A381="","",IF(OR(J381=0,I381=""),"",I381/J381))</f>
        <v/>
      </c>
      <c r="L381" s="37">
        <f>IF(A381="","",SUMIF(Detalle_Pagos!$A$5:$A$2004,A381,Detalle_Pagos!$I$5:$I$2004))</f>
        <v/>
      </c>
      <c r="M381" s="37">
        <f>IF(A381="","",SUMIFS(Detalle_Pagos!$I$5:$I$2004,Detalle_Pagos!$A$5:$A$2004,A381,Detalle_Pagos!$J$5:$J$2004,"No"))</f>
        <v/>
      </c>
      <c r="N381" s="36">
        <f>IF(A381="","",IF(J381=0,"Sin detalle",IF(M381=0,"Pagada","Pendiente")))</f>
        <v/>
      </c>
      <c r="O381" s="36" t="n"/>
    </row>
    <row r="382">
      <c r="A382" s="38" t="n"/>
      <c r="B382" s="41" t="n"/>
      <c r="C382" s="38" t="n"/>
      <c r="D382" s="38" t="n"/>
      <c r="E382" s="38" t="n"/>
      <c r="F382" s="38" t="n"/>
      <c r="G382" s="39">
        <f>IF(A382="","",IFERROR(INDEX(Criterios!$B$4:$C$83,MATCH(D382,Criterios!$A$4:$A$83,0),IF(E382="Dentro horario",1,2)),""))</f>
        <v/>
      </c>
      <c r="H382" s="39" t="n"/>
      <c r="I382" s="39">
        <f>IF(A382="","",IF(OR(F382="",G382=""),"",F382*G382+N(H382)))</f>
        <v/>
      </c>
      <c r="J382" s="38">
        <f>IF(A382="","",COUNTIF(Detalle_Pagos!$A$5:$A$2004,A382))</f>
        <v/>
      </c>
      <c r="K382" s="39">
        <f>IF(A382="","",IF(OR(J382=0,I382=""),"",I382/J382))</f>
        <v/>
      </c>
      <c r="L382" s="39">
        <f>IF(A382="","",SUMIF(Detalle_Pagos!$A$5:$A$2004,A382,Detalle_Pagos!$I$5:$I$2004))</f>
        <v/>
      </c>
      <c r="M382" s="39">
        <f>IF(A382="","",SUMIFS(Detalle_Pagos!$I$5:$I$2004,Detalle_Pagos!$A$5:$A$2004,A382,Detalle_Pagos!$J$5:$J$2004,"No"))</f>
        <v/>
      </c>
      <c r="N382" s="38">
        <f>IF(A382="","",IF(J382=0,"Sin detalle",IF(M382=0,"Pagada","Pendiente")))</f>
        <v/>
      </c>
      <c r="O382" s="38" t="n"/>
    </row>
    <row r="383">
      <c r="A383" s="36" t="n"/>
      <c r="B383" s="40" t="n"/>
      <c r="C383" s="36" t="n"/>
      <c r="D383" s="36" t="n"/>
      <c r="E383" s="36" t="n"/>
      <c r="F383" s="36" t="n"/>
      <c r="G383" s="37">
        <f>IF(A383="","",IFERROR(INDEX(Criterios!$B$4:$C$83,MATCH(D383,Criterios!$A$4:$A$83,0),IF(E383="Dentro horario",1,2)),""))</f>
        <v/>
      </c>
      <c r="H383" s="37" t="n"/>
      <c r="I383" s="37">
        <f>IF(A383="","",IF(OR(F383="",G383=""),"",F383*G383+N(H383)))</f>
        <v/>
      </c>
      <c r="J383" s="36">
        <f>IF(A383="","",COUNTIF(Detalle_Pagos!$A$5:$A$2004,A383))</f>
        <v/>
      </c>
      <c r="K383" s="37">
        <f>IF(A383="","",IF(OR(J383=0,I383=""),"",I383/J383))</f>
        <v/>
      </c>
      <c r="L383" s="37">
        <f>IF(A383="","",SUMIF(Detalle_Pagos!$A$5:$A$2004,A383,Detalle_Pagos!$I$5:$I$2004))</f>
        <v/>
      </c>
      <c r="M383" s="37">
        <f>IF(A383="","",SUMIFS(Detalle_Pagos!$I$5:$I$2004,Detalle_Pagos!$A$5:$A$2004,A383,Detalle_Pagos!$J$5:$J$2004,"No"))</f>
        <v/>
      </c>
      <c r="N383" s="36">
        <f>IF(A383="","",IF(J383=0,"Sin detalle",IF(M383=0,"Pagada","Pendiente")))</f>
        <v/>
      </c>
      <c r="O383" s="36" t="n"/>
    </row>
    <row r="384">
      <c r="A384" s="38" t="n"/>
      <c r="B384" s="41" t="n"/>
      <c r="C384" s="38" t="n"/>
      <c r="D384" s="38" t="n"/>
      <c r="E384" s="38" t="n"/>
      <c r="F384" s="38" t="n"/>
      <c r="G384" s="39">
        <f>IF(A384="","",IFERROR(INDEX(Criterios!$B$4:$C$83,MATCH(D384,Criterios!$A$4:$A$83,0),IF(E384="Dentro horario",1,2)),""))</f>
        <v/>
      </c>
      <c r="H384" s="39" t="n"/>
      <c r="I384" s="39">
        <f>IF(A384="","",IF(OR(F384="",G384=""),"",F384*G384+N(H384)))</f>
        <v/>
      </c>
      <c r="J384" s="38">
        <f>IF(A384="","",COUNTIF(Detalle_Pagos!$A$5:$A$2004,A384))</f>
        <v/>
      </c>
      <c r="K384" s="39">
        <f>IF(A384="","",IF(OR(J384=0,I384=""),"",I384/J384))</f>
        <v/>
      </c>
      <c r="L384" s="39">
        <f>IF(A384="","",SUMIF(Detalle_Pagos!$A$5:$A$2004,A384,Detalle_Pagos!$I$5:$I$2004))</f>
        <v/>
      </c>
      <c r="M384" s="39">
        <f>IF(A384="","",SUMIFS(Detalle_Pagos!$I$5:$I$2004,Detalle_Pagos!$A$5:$A$2004,A384,Detalle_Pagos!$J$5:$J$2004,"No"))</f>
        <v/>
      </c>
      <c r="N384" s="38">
        <f>IF(A384="","",IF(J384=0,"Sin detalle",IF(M384=0,"Pagada","Pendiente")))</f>
        <v/>
      </c>
      <c r="O384" s="38" t="n"/>
    </row>
    <row r="385">
      <c r="A385" s="36" t="n"/>
      <c r="B385" s="40" t="n"/>
      <c r="C385" s="36" t="n"/>
      <c r="D385" s="36" t="n"/>
      <c r="E385" s="36" t="n"/>
      <c r="F385" s="36" t="n"/>
      <c r="G385" s="37">
        <f>IF(A385="","",IFERROR(INDEX(Criterios!$B$4:$C$83,MATCH(D385,Criterios!$A$4:$A$83,0),IF(E385="Dentro horario",1,2)),""))</f>
        <v/>
      </c>
      <c r="H385" s="37" t="n"/>
      <c r="I385" s="37">
        <f>IF(A385="","",IF(OR(F385="",G385=""),"",F385*G385+N(H385)))</f>
        <v/>
      </c>
      <c r="J385" s="36">
        <f>IF(A385="","",COUNTIF(Detalle_Pagos!$A$5:$A$2004,A385))</f>
        <v/>
      </c>
      <c r="K385" s="37">
        <f>IF(A385="","",IF(OR(J385=0,I385=""),"",I385/J385))</f>
        <v/>
      </c>
      <c r="L385" s="37">
        <f>IF(A385="","",SUMIF(Detalle_Pagos!$A$5:$A$2004,A385,Detalle_Pagos!$I$5:$I$2004))</f>
        <v/>
      </c>
      <c r="M385" s="37">
        <f>IF(A385="","",SUMIFS(Detalle_Pagos!$I$5:$I$2004,Detalle_Pagos!$A$5:$A$2004,A385,Detalle_Pagos!$J$5:$J$2004,"No"))</f>
        <v/>
      </c>
      <c r="N385" s="36">
        <f>IF(A385="","",IF(J385=0,"Sin detalle",IF(M385=0,"Pagada","Pendiente")))</f>
        <v/>
      </c>
      <c r="O385" s="36" t="n"/>
    </row>
    <row r="386">
      <c r="A386" s="38" t="n"/>
      <c r="B386" s="41" t="n"/>
      <c r="C386" s="38" t="n"/>
      <c r="D386" s="38" t="n"/>
      <c r="E386" s="38" t="n"/>
      <c r="F386" s="38" t="n"/>
      <c r="G386" s="39">
        <f>IF(A386="","",IFERROR(INDEX(Criterios!$B$4:$C$83,MATCH(D386,Criterios!$A$4:$A$83,0),IF(E386="Dentro horario",1,2)),""))</f>
        <v/>
      </c>
      <c r="H386" s="39" t="n"/>
      <c r="I386" s="39">
        <f>IF(A386="","",IF(OR(F386="",G386=""),"",F386*G386+N(H386)))</f>
        <v/>
      </c>
      <c r="J386" s="38">
        <f>IF(A386="","",COUNTIF(Detalle_Pagos!$A$5:$A$2004,A386))</f>
        <v/>
      </c>
      <c r="K386" s="39">
        <f>IF(A386="","",IF(OR(J386=0,I386=""),"",I386/J386))</f>
        <v/>
      </c>
      <c r="L386" s="39">
        <f>IF(A386="","",SUMIF(Detalle_Pagos!$A$5:$A$2004,A386,Detalle_Pagos!$I$5:$I$2004))</f>
        <v/>
      </c>
      <c r="M386" s="39">
        <f>IF(A386="","",SUMIFS(Detalle_Pagos!$I$5:$I$2004,Detalle_Pagos!$A$5:$A$2004,A386,Detalle_Pagos!$J$5:$J$2004,"No"))</f>
        <v/>
      </c>
      <c r="N386" s="38">
        <f>IF(A386="","",IF(J386=0,"Sin detalle",IF(M386=0,"Pagada","Pendiente")))</f>
        <v/>
      </c>
      <c r="O386" s="38" t="n"/>
    </row>
    <row r="387">
      <c r="A387" s="36" t="n"/>
      <c r="B387" s="40" t="n"/>
      <c r="C387" s="36" t="n"/>
      <c r="D387" s="36" t="n"/>
      <c r="E387" s="36" t="n"/>
      <c r="F387" s="36" t="n"/>
      <c r="G387" s="37">
        <f>IF(A387="","",IFERROR(INDEX(Criterios!$B$4:$C$83,MATCH(D387,Criterios!$A$4:$A$83,0),IF(E387="Dentro horario",1,2)),""))</f>
        <v/>
      </c>
      <c r="H387" s="37" t="n"/>
      <c r="I387" s="37">
        <f>IF(A387="","",IF(OR(F387="",G387=""),"",F387*G387+N(H387)))</f>
        <v/>
      </c>
      <c r="J387" s="36">
        <f>IF(A387="","",COUNTIF(Detalle_Pagos!$A$5:$A$2004,A387))</f>
        <v/>
      </c>
      <c r="K387" s="37">
        <f>IF(A387="","",IF(OR(J387=0,I387=""),"",I387/J387))</f>
        <v/>
      </c>
      <c r="L387" s="37">
        <f>IF(A387="","",SUMIF(Detalle_Pagos!$A$5:$A$2004,A387,Detalle_Pagos!$I$5:$I$2004))</f>
        <v/>
      </c>
      <c r="M387" s="37">
        <f>IF(A387="","",SUMIFS(Detalle_Pagos!$I$5:$I$2004,Detalle_Pagos!$A$5:$A$2004,A387,Detalle_Pagos!$J$5:$J$2004,"No"))</f>
        <v/>
      </c>
      <c r="N387" s="36">
        <f>IF(A387="","",IF(J387=0,"Sin detalle",IF(M387=0,"Pagada","Pendiente")))</f>
        <v/>
      </c>
      <c r="O387" s="36" t="n"/>
    </row>
    <row r="388">
      <c r="A388" s="38" t="n"/>
      <c r="B388" s="41" t="n"/>
      <c r="C388" s="38" t="n"/>
      <c r="D388" s="38" t="n"/>
      <c r="E388" s="38" t="n"/>
      <c r="F388" s="38" t="n"/>
      <c r="G388" s="39">
        <f>IF(A388="","",IFERROR(INDEX(Criterios!$B$4:$C$83,MATCH(D388,Criterios!$A$4:$A$83,0),IF(E388="Dentro horario",1,2)),""))</f>
        <v/>
      </c>
      <c r="H388" s="39" t="n"/>
      <c r="I388" s="39">
        <f>IF(A388="","",IF(OR(F388="",G388=""),"",F388*G388+N(H388)))</f>
        <v/>
      </c>
      <c r="J388" s="38">
        <f>IF(A388="","",COUNTIF(Detalle_Pagos!$A$5:$A$2004,A388))</f>
        <v/>
      </c>
      <c r="K388" s="39">
        <f>IF(A388="","",IF(OR(J388=0,I388=""),"",I388/J388))</f>
        <v/>
      </c>
      <c r="L388" s="39">
        <f>IF(A388="","",SUMIF(Detalle_Pagos!$A$5:$A$2004,A388,Detalle_Pagos!$I$5:$I$2004))</f>
        <v/>
      </c>
      <c r="M388" s="39">
        <f>IF(A388="","",SUMIFS(Detalle_Pagos!$I$5:$I$2004,Detalle_Pagos!$A$5:$A$2004,A388,Detalle_Pagos!$J$5:$J$2004,"No"))</f>
        <v/>
      </c>
      <c r="N388" s="38">
        <f>IF(A388="","",IF(J388=0,"Sin detalle",IF(M388=0,"Pagada","Pendiente")))</f>
        <v/>
      </c>
      <c r="O388" s="38" t="n"/>
    </row>
    <row r="389">
      <c r="A389" s="36" t="n"/>
      <c r="B389" s="40" t="n"/>
      <c r="C389" s="36" t="n"/>
      <c r="D389" s="36" t="n"/>
      <c r="E389" s="36" t="n"/>
      <c r="F389" s="36" t="n"/>
      <c r="G389" s="37">
        <f>IF(A389="","",IFERROR(INDEX(Criterios!$B$4:$C$83,MATCH(D389,Criterios!$A$4:$A$83,0),IF(E389="Dentro horario",1,2)),""))</f>
        <v/>
      </c>
      <c r="H389" s="37" t="n"/>
      <c r="I389" s="37">
        <f>IF(A389="","",IF(OR(F389="",G389=""),"",F389*G389+N(H389)))</f>
        <v/>
      </c>
      <c r="J389" s="36">
        <f>IF(A389="","",COUNTIF(Detalle_Pagos!$A$5:$A$2004,A389))</f>
        <v/>
      </c>
      <c r="K389" s="37">
        <f>IF(A389="","",IF(OR(J389=0,I389=""),"",I389/J389))</f>
        <v/>
      </c>
      <c r="L389" s="37">
        <f>IF(A389="","",SUMIF(Detalle_Pagos!$A$5:$A$2004,A389,Detalle_Pagos!$I$5:$I$2004))</f>
        <v/>
      </c>
      <c r="M389" s="37">
        <f>IF(A389="","",SUMIFS(Detalle_Pagos!$I$5:$I$2004,Detalle_Pagos!$A$5:$A$2004,A389,Detalle_Pagos!$J$5:$J$2004,"No"))</f>
        <v/>
      </c>
      <c r="N389" s="36">
        <f>IF(A389="","",IF(J389=0,"Sin detalle",IF(M389=0,"Pagada","Pendiente")))</f>
        <v/>
      </c>
      <c r="O389" s="36" t="n"/>
    </row>
    <row r="390">
      <c r="A390" s="38" t="n"/>
      <c r="B390" s="41" t="n"/>
      <c r="C390" s="38" t="n"/>
      <c r="D390" s="38" t="n"/>
      <c r="E390" s="38" t="n"/>
      <c r="F390" s="38" t="n"/>
      <c r="G390" s="39">
        <f>IF(A390="","",IFERROR(INDEX(Criterios!$B$4:$C$83,MATCH(D390,Criterios!$A$4:$A$83,0),IF(E390="Dentro horario",1,2)),""))</f>
        <v/>
      </c>
      <c r="H390" s="39" t="n"/>
      <c r="I390" s="39">
        <f>IF(A390="","",IF(OR(F390="",G390=""),"",F390*G390+N(H390)))</f>
        <v/>
      </c>
      <c r="J390" s="38">
        <f>IF(A390="","",COUNTIF(Detalle_Pagos!$A$5:$A$2004,A390))</f>
        <v/>
      </c>
      <c r="K390" s="39">
        <f>IF(A390="","",IF(OR(J390=0,I390=""),"",I390/J390))</f>
        <v/>
      </c>
      <c r="L390" s="39">
        <f>IF(A390="","",SUMIF(Detalle_Pagos!$A$5:$A$2004,A390,Detalle_Pagos!$I$5:$I$2004))</f>
        <v/>
      </c>
      <c r="M390" s="39">
        <f>IF(A390="","",SUMIFS(Detalle_Pagos!$I$5:$I$2004,Detalle_Pagos!$A$5:$A$2004,A390,Detalle_Pagos!$J$5:$J$2004,"No"))</f>
        <v/>
      </c>
      <c r="N390" s="38">
        <f>IF(A390="","",IF(J390=0,"Sin detalle",IF(M390=0,"Pagada","Pendiente")))</f>
        <v/>
      </c>
      <c r="O390" s="38" t="n"/>
    </row>
    <row r="391">
      <c r="A391" s="36" t="n"/>
      <c r="B391" s="40" t="n"/>
      <c r="C391" s="36" t="n"/>
      <c r="D391" s="36" t="n"/>
      <c r="E391" s="36" t="n"/>
      <c r="F391" s="36" t="n"/>
      <c r="G391" s="37">
        <f>IF(A391="","",IFERROR(INDEX(Criterios!$B$4:$C$83,MATCH(D391,Criterios!$A$4:$A$83,0),IF(E391="Dentro horario",1,2)),""))</f>
        <v/>
      </c>
      <c r="H391" s="37" t="n"/>
      <c r="I391" s="37">
        <f>IF(A391="","",IF(OR(F391="",G391=""),"",F391*G391+N(H391)))</f>
        <v/>
      </c>
      <c r="J391" s="36">
        <f>IF(A391="","",COUNTIF(Detalle_Pagos!$A$5:$A$2004,A391))</f>
        <v/>
      </c>
      <c r="K391" s="37">
        <f>IF(A391="","",IF(OR(J391=0,I391=""),"",I391/J391))</f>
        <v/>
      </c>
      <c r="L391" s="37">
        <f>IF(A391="","",SUMIF(Detalle_Pagos!$A$5:$A$2004,A391,Detalle_Pagos!$I$5:$I$2004))</f>
        <v/>
      </c>
      <c r="M391" s="37">
        <f>IF(A391="","",SUMIFS(Detalle_Pagos!$I$5:$I$2004,Detalle_Pagos!$A$5:$A$2004,A391,Detalle_Pagos!$J$5:$J$2004,"No"))</f>
        <v/>
      </c>
      <c r="N391" s="36">
        <f>IF(A391="","",IF(J391=0,"Sin detalle",IF(M391=0,"Pagada","Pendiente")))</f>
        <v/>
      </c>
      <c r="O391" s="36" t="n"/>
    </row>
    <row r="392">
      <c r="A392" s="38" t="n"/>
      <c r="B392" s="41" t="n"/>
      <c r="C392" s="38" t="n"/>
      <c r="D392" s="38" t="n"/>
      <c r="E392" s="38" t="n"/>
      <c r="F392" s="38" t="n"/>
      <c r="G392" s="39">
        <f>IF(A392="","",IFERROR(INDEX(Criterios!$B$4:$C$83,MATCH(D392,Criterios!$A$4:$A$83,0),IF(E392="Dentro horario",1,2)),""))</f>
        <v/>
      </c>
      <c r="H392" s="39" t="n"/>
      <c r="I392" s="39">
        <f>IF(A392="","",IF(OR(F392="",G392=""),"",F392*G392+N(H392)))</f>
        <v/>
      </c>
      <c r="J392" s="38">
        <f>IF(A392="","",COUNTIF(Detalle_Pagos!$A$5:$A$2004,A392))</f>
        <v/>
      </c>
      <c r="K392" s="39">
        <f>IF(A392="","",IF(OR(J392=0,I392=""),"",I392/J392))</f>
        <v/>
      </c>
      <c r="L392" s="39">
        <f>IF(A392="","",SUMIF(Detalle_Pagos!$A$5:$A$2004,A392,Detalle_Pagos!$I$5:$I$2004))</f>
        <v/>
      </c>
      <c r="M392" s="39">
        <f>IF(A392="","",SUMIFS(Detalle_Pagos!$I$5:$I$2004,Detalle_Pagos!$A$5:$A$2004,A392,Detalle_Pagos!$J$5:$J$2004,"No"))</f>
        <v/>
      </c>
      <c r="N392" s="38">
        <f>IF(A392="","",IF(J392=0,"Sin detalle",IF(M392=0,"Pagada","Pendiente")))</f>
        <v/>
      </c>
      <c r="O392" s="38" t="n"/>
    </row>
    <row r="393">
      <c r="A393" s="36" t="n"/>
      <c r="B393" s="40" t="n"/>
      <c r="C393" s="36" t="n"/>
      <c r="D393" s="36" t="n"/>
      <c r="E393" s="36" t="n"/>
      <c r="F393" s="36" t="n"/>
      <c r="G393" s="37">
        <f>IF(A393="","",IFERROR(INDEX(Criterios!$B$4:$C$83,MATCH(D393,Criterios!$A$4:$A$83,0),IF(E393="Dentro horario",1,2)),""))</f>
        <v/>
      </c>
      <c r="H393" s="37" t="n"/>
      <c r="I393" s="37">
        <f>IF(A393="","",IF(OR(F393="",G393=""),"",F393*G393+N(H393)))</f>
        <v/>
      </c>
      <c r="J393" s="36">
        <f>IF(A393="","",COUNTIF(Detalle_Pagos!$A$5:$A$2004,A393))</f>
        <v/>
      </c>
      <c r="K393" s="37">
        <f>IF(A393="","",IF(OR(J393=0,I393=""),"",I393/J393))</f>
        <v/>
      </c>
      <c r="L393" s="37">
        <f>IF(A393="","",SUMIF(Detalle_Pagos!$A$5:$A$2004,A393,Detalle_Pagos!$I$5:$I$2004))</f>
        <v/>
      </c>
      <c r="M393" s="37">
        <f>IF(A393="","",SUMIFS(Detalle_Pagos!$I$5:$I$2004,Detalle_Pagos!$A$5:$A$2004,A393,Detalle_Pagos!$J$5:$J$2004,"No"))</f>
        <v/>
      </c>
      <c r="N393" s="36">
        <f>IF(A393="","",IF(J393=0,"Sin detalle",IF(M393=0,"Pagada","Pendiente")))</f>
        <v/>
      </c>
      <c r="O393" s="36" t="n"/>
    </row>
    <row r="394">
      <c r="A394" s="38" t="n"/>
      <c r="B394" s="41" t="n"/>
      <c r="C394" s="38" t="n"/>
      <c r="D394" s="38" t="n"/>
      <c r="E394" s="38" t="n"/>
      <c r="F394" s="38" t="n"/>
      <c r="G394" s="39">
        <f>IF(A394="","",IFERROR(INDEX(Criterios!$B$4:$C$83,MATCH(D394,Criterios!$A$4:$A$83,0),IF(E394="Dentro horario",1,2)),""))</f>
        <v/>
      </c>
      <c r="H394" s="39" t="n"/>
      <c r="I394" s="39">
        <f>IF(A394="","",IF(OR(F394="",G394=""),"",F394*G394+N(H394)))</f>
        <v/>
      </c>
      <c r="J394" s="38">
        <f>IF(A394="","",COUNTIF(Detalle_Pagos!$A$5:$A$2004,A394))</f>
        <v/>
      </c>
      <c r="K394" s="39">
        <f>IF(A394="","",IF(OR(J394=0,I394=""),"",I394/J394))</f>
        <v/>
      </c>
      <c r="L394" s="39">
        <f>IF(A394="","",SUMIF(Detalle_Pagos!$A$5:$A$2004,A394,Detalle_Pagos!$I$5:$I$2004))</f>
        <v/>
      </c>
      <c r="M394" s="39">
        <f>IF(A394="","",SUMIFS(Detalle_Pagos!$I$5:$I$2004,Detalle_Pagos!$A$5:$A$2004,A394,Detalle_Pagos!$J$5:$J$2004,"No"))</f>
        <v/>
      </c>
      <c r="N394" s="38">
        <f>IF(A394="","",IF(J394=0,"Sin detalle",IF(M394=0,"Pagada","Pendiente")))</f>
        <v/>
      </c>
      <c r="O394" s="38" t="n"/>
    </row>
    <row r="395">
      <c r="A395" s="36" t="n"/>
      <c r="B395" s="40" t="n"/>
      <c r="C395" s="36" t="n"/>
      <c r="D395" s="36" t="n"/>
      <c r="E395" s="36" t="n"/>
      <c r="F395" s="36" t="n"/>
      <c r="G395" s="37">
        <f>IF(A395="","",IFERROR(INDEX(Criterios!$B$4:$C$83,MATCH(D395,Criterios!$A$4:$A$83,0),IF(E395="Dentro horario",1,2)),""))</f>
        <v/>
      </c>
      <c r="H395" s="37" t="n"/>
      <c r="I395" s="37">
        <f>IF(A395="","",IF(OR(F395="",G395=""),"",F395*G395+N(H395)))</f>
        <v/>
      </c>
      <c r="J395" s="36">
        <f>IF(A395="","",COUNTIF(Detalle_Pagos!$A$5:$A$2004,A395))</f>
        <v/>
      </c>
      <c r="K395" s="37">
        <f>IF(A395="","",IF(OR(J395=0,I395=""),"",I395/J395))</f>
        <v/>
      </c>
      <c r="L395" s="37">
        <f>IF(A395="","",SUMIF(Detalle_Pagos!$A$5:$A$2004,A395,Detalle_Pagos!$I$5:$I$2004))</f>
        <v/>
      </c>
      <c r="M395" s="37">
        <f>IF(A395="","",SUMIFS(Detalle_Pagos!$I$5:$I$2004,Detalle_Pagos!$A$5:$A$2004,A395,Detalle_Pagos!$J$5:$J$2004,"No"))</f>
        <v/>
      </c>
      <c r="N395" s="36">
        <f>IF(A395="","",IF(J395=0,"Sin detalle",IF(M395=0,"Pagada","Pendiente")))</f>
        <v/>
      </c>
      <c r="O395" s="36" t="n"/>
    </row>
    <row r="396">
      <c r="A396" s="38" t="n"/>
      <c r="B396" s="41" t="n"/>
      <c r="C396" s="38" t="n"/>
      <c r="D396" s="38" t="n"/>
      <c r="E396" s="38" t="n"/>
      <c r="F396" s="38" t="n"/>
      <c r="G396" s="39">
        <f>IF(A396="","",IFERROR(INDEX(Criterios!$B$4:$C$83,MATCH(D396,Criterios!$A$4:$A$83,0),IF(E396="Dentro horario",1,2)),""))</f>
        <v/>
      </c>
      <c r="H396" s="39" t="n"/>
      <c r="I396" s="39">
        <f>IF(A396="","",IF(OR(F396="",G396=""),"",F396*G396+N(H396)))</f>
        <v/>
      </c>
      <c r="J396" s="38">
        <f>IF(A396="","",COUNTIF(Detalle_Pagos!$A$5:$A$2004,A396))</f>
        <v/>
      </c>
      <c r="K396" s="39">
        <f>IF(A396="","",IF(OR(J396=0,I396=""),"",I396/J396))</f>
        <v/>
      </c>
      <c r="L396" s="39">
        <f>IF(A396="","",SUMIF(Detalle_Pagos!$A$5:$A$2004,A396,Detalle_Pagos!$I$5:$I$2004))</f>
        <v/>
      </c>
      <c r="M396" s="39">
        <f>IF(A396="","",SUMIFS(Detalle_Pagos!$I$5:$I$2004,Detalle_Pagos!$A$5:$A$2004,A396,Detalle_Pagos!$J$5:$J$2004,"No"))</f>
        <v/>
      </c>
      <c r="N396" s="38">
        <f>IF(A396="","",IF(J396=0,"Sin detalle",IF(M396=0,"Pagada","Pendiente")))</f>
        <v/>
      </c>
      <c r="O396" s="38" t="n"/>
    </row>
    <row r="397">
      <c r="A397" s="36" t="n"/>
      <c r="B397" s="40" t="n"/>
      <c r="C397" s="36" t="n"/>
      <c r="D397" s="36" t="n"/>
      <c r="E397" s="36" t="n"/>
      <c r="F397" s="36" t="n"/>
      <c r="G397" s="37">
        <f>IF(A397="","",IFERROR(INDEX(Criterios!$B$4:$C$83,MATCH(D397,Criterios!$A$4:$A$83,0),IF(E397="Dentro horario",1,2)),""))</f>
        <v/>
      </c>
      <c r="H397" s="37" t="n"/>
      <c r="I397" s="37">
        <f>IF(A397="","",IF(OR(F397="",G397=""),"",F397*G397+N(H397)))</f>
        <v/>
      </c>
      <c r="J397" s="36">
        <f>IF(A397="","",COUNTIF(Detalle_Pagos!$A$5:$A$2004,A397))</f>
        <v/>
      </c>
      <c r="K397" s="37">
        <f>IF(A397="","",IF(OR(J397=0,I397=""),"",I397/J397))</f>
        <v/>
      </c>
      <c r="L397" s="37">
        <f>IF(A397="","",SUMIF(Detalle_Pagos!$A$5:$A$2004,A397,Detalle_Pagos!$I$5:$I$2004))</f>
        <v/>
      </c>
      <c r="M397" s="37">
        <f>IF(A397="","",SUMIFS(Detalle_Pagos!$I$5:$I$2004,Detalle_Pagos!$A$5:$A$2004,A397,Detalle_Pagos!$J$5:$J$2004,"No"))</f>
        <v/>
      </c>
      <c r="N397" s="36">
        <f>IF(A397="","",IF(J397=0,"Sin detalle",IF(M397=0,"Pagada","Pendiente")))</f>
        <v/>
      </c>
      <c r="O397" s="36" t="n"/>
    </row>
    <row r="398">
      <c r="A398" s="38" t="n"/>
      <c r="B398" s="41" t="n"/>
      <c r="C398" s="38" t="n"/>
      <c r="D398" s="38" t="n"/>
      <c r="E398" s="38" t="n"/>
      <c r="F398" s="38" t="n"/>
      <c r="G398" s="39">
        <f>IF(A398="","",IFERROR(INDEX(Criterios!$B$4:$C$83,MATCH(D398,Criterios!$A$4:$A$83,0),IF(E398="Dentro horario",1,2)),""))</f>
        <v/>
      </c>
      <c r="H398" s="39" t="n"/>
      <c r="I398" s="39">
        <f>IF(A398="","",IF(OR(F398="",G398=""),"",F398*G398+N(H398)))</f>
        <v/>
      </c>
      <c r="J398" s="38">
        <f>IF(A398="","",COUNTIF(Detalle_Pagos!$A$5:$A$2004,A398))</f>
        <v/>
      </c>
      <c r="K398" s="39">
        <f>IF(A398="","",IF(OR(J398=0,I398=""),"",I398/J398))</f>
        <v/>
      </c>
      <c r="L398" s="39">
        <f>IF(A398="","",SUMIF(Detalle_Pagos!$A$5:$A$2004,A398,Detalle_Pagos!$I$5:$I$2004))</f>
        <v/>
      </c>
      <c r="M398" s="39">
        <f>IF(A398="","",SUMIFS(Detalle_Pagos!$I$5:$I$2004,Detalle_Pagos!$A$5:$A$2004,A398,Detalle_Pagos!$J$5:$J$2004,"No"))</f>
        <v/>
      </c>
      <c r="N398" s="38">
        <f>IF(A398="","",IF(J398=0,"Sin detalle",IF(M398=0,"Pagada","Pendiente")))</f>
        <v/>
      </c>
      <c r="O398" s="38" t="n"/>
    </row>
    <row r="399">
      <c r="A399" s="36" t="n"/>
      <c r="B399" s="40" t="n"/>
      <c r="C399" s="36" t="n"/>
      <c r="D399" s="36" t="n"/>
      <c r="E399" s="36" t="n"/>
      <c r="F399" s="36" t="n"/>
      <c r="G399" s="37">
        <f>IF(A399="","",IFERROR(INDEX(Criterios!$B$4:$C$83,MATCH(D399,Criterios!$A$4:$A$83,0),IF(E399="Dentro horario",1,2)),""))</f>
        <v/>
      </c>
      <c r="H399" s="37" t="n"/>
      <c r="I399" s="37">
        <f>IF(A399="","",IF(OR(F399="",G399=""),"",F399*G399+N(H399)))</f>
        <v/>
      </c>
      <c r="J399" s="36">
        <f>IF(A399="","",COUNTIF(Detalle_Pagos!$A$5:$A$2004,A399))</f>
        <v/>
      </c>
      <c r="K399" s="37">
        <f>IF(A399="","",IF(OR(J399=0,I399=""),"",I399/J399))</f>
        <v/>
      </c>
      <c r="L399" s="37">
        <f>IF(A399="","",SUMIF(Detalle_Pagos!$A$5:$A$2004,A399,Detalle_Pagos!$I$5:$I$2004))</f>
        <v/>
      </c>
      <c r="M399" s="37">
        <f>IF(A399="","",SUMIFS(Detalle_Pagos!$I$5:$I$2004,Detalle_Pagos!$A$5:$A$2004,A399,Detalle_Pagos!$J$5:$J$2004,"No"))</f>
        <v/>
      </c>
      <c r="N399" s="36">
        <f>IF(A399="","",IF(J399=0,"Sin detalle",IF(M399=0,"Pagada","Pendiente")))</f>
        <v/>
      </c>
      <c r="O399" s="36" t="n"/>
    </row>
    <row r="400">
      <c r="A400" s="38" t="n"/>
      <c r="B400" s="41" t="n"/>
      <c r="C400" s="38" t="n"/>
      <c r="D400" s="38" t="n"/>
      <c r="E400" s="38" t="n"/>
      <c r="F400" s="38" t="n"/>
      <c r="G400" s="39">
        <f>IF(A400="","",IFERROR(INDEX(Criterios!$B$4:$C$83,MATCH(D400,Criterios!$A$4:$A$83,0),IF(E400="Dentro horario",1,2)),""))</f>
        <v/>
      </c>
      <c r="H400" s="39" t="n"/>
      <c r="I400" s="39">
        <f>IF(A400="","",IF(OR(F400="",G400=""),"",F400*G400+N(H400)))</f>
        <v/>
      </c>
      <c r="J400" s="38">
        <f>IF(A400="","",COUNTIF(Detalle_Pagos!$A$5:$A$2004,A400))</f>
        <v/>
      </c>
      <c r="K400" s="39">
        <f>IF(A400="","",IF(OR(J400=0,I400=""),"",I400/J400))</f>
        <v/>
      </c>
      <c r="L400" s="39">
        <f>IF(A400="","",SUMIF(Detalle_Pagos!$A$5:$A$2004,A400,Detalle_Pagos!$I$5:$I$2004))</f>
        <v/>
      </c>
      <c r="M400" s="39">
        <f>IF(A400="","",SUMIFS(Detalle_Pagos!$I$5:$I$2004,Detalle_Pagos!$A$5:$A$2004,A400,Detalle_Pagos!$J$5:$J$2004,"No"))</f>
        <v/>
      </c>
      <c r="N400" s="38">
        <f>IF(A400="","",IF(J400=0,"Sin detalle",IF(M400=0,"Pagada","Pendiente")))</f>
        <v/>
      </c>
      <c r="O400" s="38" t="n"/>
    </row>
    <row r="401">
      <c r="A401" s="36" t="n"/>
      <c r="B401" s="40" t="n"/>
      <c r="C401" s="36" t="n"/>
      <c r="D401" s="36" t="n"/>
      <c r="E401" s="36" t="n"/>
      <c r="F401" s="36" t="n"/>
      <c r="G401" s="37">
        <f>IF(A401="","",IFERROR(INDEX(Criterios!$B$4:$C$83,MATCH(D401,Criterios!$A$4:$A$83,0),IF(E401="Dentro horario",1,2)),""))</f>
        <v/>
      </c>
      <c r="H401" s="37" t="n"/>
      <c r="I401" s="37">
        <f>IF(A401="","",IF(OR(F401="",G401=""),"",F401*G401+N(H401)))</f>
        <v/>
      </c>
      <c r="J401" s="36">
        <f>IF(A401="","",COUNTIF(Detalle_Pagos!$A$5:$A$2004,A401))</f>
        <v/>
      </c>
      <c r="K401" s="37">
        <f>IF(A401="","",IF(OR(J401=0,I401=""),"",I401/J401))</f>
        <v/>
      </c>
      <c r="L401" s="37">
        <f>IF(A401="","",SUMIF(Detalle_Pagos!$A$5:$A$2004,A401,Detalle_Pagos!$I$5:$I$2004))</f>
        <v/>
      </c>
      <c r="M401" s="37">
        <f>IF(A401="","",SUMIFS(Detalle_Pagos!$I$5:$I$2004,Detalle_Pagos!$A$5:$A$2004,A401,Detalle_Pagos!$J$5:$J$2004,"No"))</f>
        <v/>
      </c>
      <c r="N401" s="36">
        <f>IF(A401="","",IF(J401=0,"Sin detalle",IF(M401=0,"Pagada","Pendiente")))</f>
        <v/>
      </c>
      <c r="O401" s="36" t="n"/>
    </row>
    <row r="402">
      <c r="A402" s="38" t="n"/>
      <c r="B402" s="41" t="n"/>
      <c r="C402" s="38" t="n"/>
      <c r="D402" s="38" t="n"/>
      <c r="E402" s="38" t="n"/>
      <c r="F402" s="38" t="n"/>
      <c r="G402" s="39">
        <f>IF(A402="","",IFERROR(INDEX(Criterios!$B$4:$C$83,MATCH(D402,Criterios!$A$4:$A$83,0),IF(E402="Dentro horario",1,2)),""))</f>
        <v/>
      </c>
      <c r="H402" s="39" t="n"/>
      <c r="I402" s="39">
        <f>IF(A402="","",IF(OR(F402="",G402=""),"",F402*G402+N(H402)))</f>
        <v/>
      </c>
      <c r="J402" s="38">
        <f>IF(A402="","",COUNTIF(Detalle_Pagos!$A$5:$A$2004,A402))</f>
        <v/>
      </c>
      <c r="K402" s="39">
        <f>IF(A402="","",IF(OR(J402=0,I402=""),"",I402/J402))</f>
        <v/>
      </c>
      <c r="L402" s="39">
        <f>IF(A402="","",SUMIF(Detalle_Pagos!$A$5:$A$2004,A402,Detalle_Pagos!$I$5:$I$2004))</f>
        <v/>
      </c>
      <c r="M402" s="39">
        <f>IF(A402="","",SUMIFS(Detalle_Pagos!$I$5:$I$2004,Detalle_Pagos!$A$5:$A$2004,A402,Detalle_Pagos!$J$5:$J$2004,"No"))</f>
        <v/>
      </c>
      <c r="N402" s="38">
        <f>IF(A402="","",IF(J402=0,"Sin detalle",IF(M402=0,"Pagada","Pendiente")))</f>
        <v/>
      </c>
      <c r="O402" s="38" t="n"/>
    </row>
    <row r="403">
      <c r="A403" s="36" t="n"/>
      <c r="B403" s="40" t="n"/>
      <c r="C403" s="36" t="n"/>
      <c r="D403" s="36" t="n"/>
      <c r="E403" s="36" t="n"/>
      <c r="F403" s="36" t="n"/>
      <c r="G403" s="37">
        <f>IF(A403="","",IFERROR(INDEX(Criterios!$B$4:$C$83,MATCH(D403,Criterios!$A$4:$A$83,0),IF(E403="Dentro horario",1,2)),""))</f>
        <v/>
      </c>
      <c r="H403" s="37" t="n"/>
      <c r="I403" s="37">
        <f>IF(A403="","",IF(OR(F403="",G403=""),"",F403*G403+N(H403)))</f>
        <v/>
      </c>
      <c r="J403" s="36">
        <f>IF(A403="","",COUNTIF(Detalle_Pagos!$A$5:$A$2004,A403))</f>
        <v/>
      </c>
      <c r="K403" s="37">
        <f>IF(A403="","",IF(OR(J403=0,I403=""),"",I403/J403))</f>
        <v/>
      </c>
      <c r="L403" s="37">
        <f>IF(A403="","",SUMIF(Detalle_Pagos!$A$5:$A$2004,A403,Detalle_Pagos!$I$5:$I$2004))</f>
        <v/>
      </c>
      <c r="M403" s="37">
        <f>IF(A403="","",SUMIFS(Detalle_Pagos!$I$5:$I$2004,Detalle_Pagos!$A$5:$A$2004,A403,Detalle_Pagos!$J$5:$J$2004,"No"))</f>
        <v/>
      </c>
      <c r="N403" s="36">
        <f>IF(A403="","",IF(J403=0,"Sin detalle",IF(M403=0,"Pagada","Pendiente")))</f>
        <v/>
      </c>
      <c r="O403" s="36" t="n"/>
    </row>
    <row r="404">
      <c r="A404" s="38" t="n"/>
      <c r="B404" s="41" t="n"/>
      <c r="C404" s="38" t="n"/>
      <c r="D404" s="38" t="n"/>
      <c r="E404" s="38" t="n"/>
      <c r="F404" s="38" t="n"/>
      <c r="G404" s="39">
        <f>IF(A404="","",IFERROR(INDEX(Criterios!$B$4:$C$83,MATCH(D404,Criterios!$A$4:$A$83,0),IF(E404="Dentro horario",1,2)),""))</f>
        <v/>
      </c>
      <c r="H404" s="39" t="n"/>
      <c r="I404" s="39">
        <f>IF(A404="","",IF(OR(F404="",G404=""),"",F404*G404+N(H404)))</f>
        <v/>
      </c>
      <c r="J404" s="38">
        <f>IF(A404="","",COUNTIF(Detalle_Pagos!$A$5:$A$2004,A404))</f>
        <v/>
      </c>
      <c r="K404" s="39">
        <f>IF(A404="","",IF(OR(J404=0,I404=""),"",I404/J404))</f>
        <v/>
      </c>
      <c r="L404" s="39">
        <f>IF(A404="","",SUMIF(Detalle_Pagos!$A$5:$A$2004,A404,Detalle_Pagos!$I$5:$I$2004))</f>
        <v/>
      </c>
      <c r="M404" s="39">
        <f>IF(A404="","",SUMIFS(Detalle_Pagos!$I$5:$I$2004,Detalle_Pagos!$A$5:$A$2004,A404,Detalle_Pagos!$J$5:$J$2004,"No"))</f>
        <v/>
      </c>
      <c r="N404" s="38">
        <f>IF(A404="","",IF(J404=0,"Sin detalle",IF(M404=0,"Pagada","Pendiente")))</f>
        <v/>
      </c>
      <c r="O404" s="38" t="n"/>
    </row>
    <row r="405">
      <c r="A405" s="36" t="n"/>
      <c r="B405" s="40" t="n"/>
      <c r="C405" s="36" t="n"/>
      <c r="D405" s="36" t="n"/>
      <c r="E405" s="36" t="n"/>
      <c r="F405" s="36" t="n"/>
      <c r="G405" s="37">
        <f>IF(A405="","",IFERROR(INDEX(Criterios!$B$4:$C$83,MATCH(D405,Criterios!$A$4:$A$83,0),IF(E405="Dentro horario",1,2)),""))</f>
        <v/>
      </c>
      <c r="H405" s="37" t="n"/>
      <c r="I405" s="37">
        <f>IF(A405="","",IF(OR(F405="",G405=""),"",F405*G405+N(H405)))</f>
        <v/>
      </c>
      <c r="J405" s="36">
        <f>IF(A405="","",COUNTIF(Detalle_Pagos!$A$5:$A$2004,A405))</f>
        <v/>
      </c>
      <c r="K405" s="37">
        <f>IF(A405="","",IF(OR(J405=0,I405=""),"",I405/J405))</f>
        <v/>
      </c>
      <c r="L405" s="37">
        <f>IF(A405="","",SUMIF(Detalle_Pagos!$A$5:$A$2004,A405,Detalle_Pagos!$I$5:$I$2004))</f>
        <v/>
      </c>
      <c r="M405" s="37">
        <f>IF(A405="","",SUMIFS(Detalle_Pagos!$I$5:$I$2004,Detalle_Pagos!$A$5:$A$2004,A405,Detalle_Pagos!$J$5:$J$2004,"No"))</f>
        <v/>
      </c>
      <c r="N405" s="36">
        <f>IF(A405="","",IF(J405=0,"Sin detalle",IF(M405=0,"Pagada","Pendiente")))</f>
        <v/>
      </c>
      <c r="O405" s="36" t="n"/>
    </row>
    <row r="406">
      <c r="A406" s="38" t="n"/>
      <c r="B406" s="41" t="n"/>
      <c r="C406" s="38" t="n"/>
      <c r="D406" s="38" t="n"/>
      <c r="E406" s="38" t="n"/>
      <c r="F406" s="38" t="n"/>
      <c r="G406" s="39">
        <f>IF(A406="","",IFERROR(INDEX(Criterios!$B$4:$C$83,MATCH(D406,Criterios!$A$4:$A$83,0),IF(E406="Dentro horario",1,2)),""))</f>
        <v/>
      </c>
      <c r="H406" s="39" t="n"/>
      <c r="I406" s="39">
        <f>IF(A406="","",IF(OR(F406="",G406=""),"",F406*G406+N(H406)))</f>
        <v/>
      </c>
      <c r="J406" s="38">
        <f>IF(A406="","",COUNTIF(Detalle_Pagos!$A$5:$A$2004,A406))</f>
        <v/>
      </c>
      <c r="K406" s="39">
        <f>IF(A406="","",IF(OR(J406=0,I406=""),"",I406/J406))</f>
        <v/>
      </c>
      <c r="L406" s="39">
        <f>IF(A406="","",SUMIF(Detalle_Pagos!$A$5:$A$2004,A406,Detalle_Pagos!$I$5:$I$2004))</f>
        <v/>
      </c>
      <c r="M406" s="39">
        <f>IF(A406="","",SUMIFS(Detalle_Pagos!$I$5:$I$2004,Detalle_Pagos!$A$5:$A$2004,A406,Detalle_Pagos!$J$5:$J$2004,"No"))</f>
        <v/>
      </c>
      <c r="N406" s="38">
        <f>IF(A406="","",IF(J406=0,"Sin detalle",IF(M406=0,"Pagada","Pendiente")))</f>
        <v/>
      </c>
      <c r="O406" s="38" t="n"/>
    </row>
    <row r="407">
      <c r="A407" s="36" t="n"/>
      <c r="B407" s="40" t="n"/>
      <c r="C407" s="36" t="n"/>
      <c r="D407" s="36" t="n"/>
      <c r="E407" s="36" t="n"/>
      <c r="F407" s="36" t="n"/>
      <c r="G407" s="37">
        <f>IF(A407="","",IFERROR(INDEX(Criterios!$B$4:$C$83,MATCH(D407,Criterios!$A$4:$A$83,0),IF(E407="Dentro horario",1,2)),""))</f>
        <v/>
      </c>
      <c r="H407" s="37" t="n"/>
      <c r="I407" s="37">
        <f>IF(A407="","",IF(OR(F407="",G407=""),"",F407*G407+N(H407)))</f>
        <v/>
      </c>
      <c r="J407" s="36">
        <f>IF(A407="","",COUNTIF(Detalle_Pagos!$A$5:$A$2004,A407))</f>
        <v/>
      </c>
      <c r="K407" s="37">
        <f>IF(A407="","",IF(OR(J407=0,I407=""),"",I407/J407))</f>
        <v/>
      </c>
      <c r="L407" s="37">
        <f>IF(A407="","",SUMIF(Detalle_Pagos!$A$5:$A$2004,A407,Detalle_Pagos!$I$5:$I$2004))</f>
        <v/>
      </c>
      <c r="M407" s="37">
        <f>IF(A407="","",SUMIFS(Detalle_Pagos!$I$5:$I$2004,Detalle_Pagos!$A$5:$A$2004,A407,Detalle_Pagos!$J$5:$J$2004,"No"))</f>
        <v/>
      </c>
      <c r="N407" s="36">
        <f>IF(A407="","",IF(J407=0,"Sin detalle",IF(M407=0,"Pagada","Pendiente")))</f>
        <v/>
      </c>
      <c r="O407" s="36" t="n"/>
    </row>
    <row r="408">
      <c r="A408" s="38" t="n"/>
      <c r="B408" s="41" t="n"/>
      <c r="C408" s="38" t="n"/>
      <c r="D408" s="38" t="n"/>
      <c r="E408" s="38" t="n"/>
      <c r="F408" s="38" t="n"/>
      <c r="G408" s="39">
        <f>IF(A408="","",IFERROR(INDEX(Criterios!$B$4:$C$83,MATCH(D408,Criterios!$A$4:$A$83,0),IF(E408="Dentro horario",1,2)),""))</f>
        <v/>
      </c>
      <c r="H408" s="39" t="n"/>
      <c r="I408" s="39">
        <f>IF(A408="","",IF(OR(F408="",G408=""),"",F408*G408+N(H408)))</f>
        <v/>
      </c>
      <c r="J408" s="38">
        <f>IF(A408="","",COUNTIF(Detalle_Pagos!$A$5:$A$2004,A408))</f>
        <v/>
      </c>
      <c r="K408" s="39">
        <f>IF(A408="","",IF(OR(J408=0,I408=""),"",I408/J408))</f>
        <v/>
      </c>
      <c r="L408" s="39">
        <f>IF(A408="","",SUMIF(Detalle_Pagos!$A$5:$A$2004,A408,Detalle_Pagos!$I$5:$I$2004))</f>
        <v/>
      </c>
      <c r="M408" s="39">
        <f>IF(A408="","",SUMIFS(Detalle_Pagos!$I$5:$I$2004,Detalle_Pagos!$A$5:$A$2004,A408,Detalle_Pagos!$J$5:$J$2004,"No"))</f>
        <v/>
      </c>
      <c r="N408" s="38">
        <f>IF(A408="","",IF(J408=0,"Sin detalle",IF(M408=0,"Pagada","Pendiente")))</f>
        <v/>
      </c>
      <c r="O408" s="38" t="n"/>
    </row>
    <row r="409">
      <c r="A409" s="36" t="n"/>
      <c r="B409" s="40" t="n"/>
      <c r="C409" s="36" t="n"/>
      <c r="D409" s="36" t="n"/>
      <c r="E409" s="36" t="n"/>
      <c r="F409" s="36" t="n"/>
      <c r="G409" s="37">
        <f>IF(A409="","",IFERROR(INDEX(Criterios!$B$4:$C$83,MATCH(D409,Criterios!$A$4:$A$83,0),IF(E409="Dentro horario",1,2)),""))</f>
        <v/>
      </c>
      <c r="H409" s="37" t="n"/>
      <c r="I409" s="37">
        <f>IF(A409="","",IF(OR(F409="",G409=""),"",F409*G409+N(H409)))</f>
        <v/>
      </c>
      <c r="J409" s="36">
        <f>IF(A409="","",COUNTIF(Detalle_Pagos!$A$5:$A$2004,A409))</f>
        <v/>
      </c>
      <c r="K409" s="37">
        <f>IF(A409="","",IF(OR(J409=0,I409=""),"",I409/J409))</f>
        <v/>
      </c>
      <c r="L409" s="37">
        <f>IF(A409="","",SUMIF(Detalle_Pagos!$A$5:$A$2004,A409,Detalle_Pagos!$I$5:$I$2004))</f>
        <v/>
      </c>
      <c r="M409" s="37">
        <f>IF(A409="","",SUMIFS(Detalle_Pagos!$I$5:$I$2004,Detalle_Pagos!$A$5:$A$2004,A409,Detalle_Pagos!$J$5:$J$2004,"No"))</f>
        <v/>
      </c>
      <c r="N409" s="36">
        <f>IF(A409="","",IF(J409=0,"Sin detalle",IF(M409=0,"Pagada","Pendiente")))</f>
        <v/>
      </c>
      <c r="O409" s="36" t="n"/>
    </row>
    <row r="410">
      <c r="A410" s="38" t="n"/>
      <c r="B410" s="41" t="n"/>
      <c r="C410" s="38" t="n"/>
      <c r="D410" s="38" t="n"/>
      <c r="E410" s="38" t="n"/>
      <c r="F410" s="38" t="n"/>
      <c r="G410" s="39">
        <f>IF(A410="","",IFERROR(INDEX(Criterios!$B$4:$C$83,MATCH(D410,Criterios!$A$4:$A$83,0),IF(E410="Dentro horario",1,2)),""))</f>
        <v/>
      </c>
      <c r="H410" s="39" t="n"/>
      <c r="I410" s="39">
        <f>IF(A410="","",IF(OR(F410="",G410=""),"",F410*G410+N(H410)))</f>
        <v/>
      </c>
      <c r="J410" s="38">
        <f>IF(A410="","",COUNTIF(Detalle_Pagos!$A$5:$A$2004,A410))</f>
        <v/>
      </c>
      <c r="K410" s="39">
        <f>IF(A410="","",IF(OR(J410=0,I410=""),"",I410/J410))</f>
        <v/>
      </c>
      <c r="L410" s="39">
        <f>IF(A410="","",SUMIF(Detalle_Pagos!$A$5:$A$2004,A410,Detalle_Pagos!$I$5:$I$2004))</f>
        <v/>
      </c>
      <c r="M410" s="39">
        <f>IF(A410="","",SUMIFS(Detalle_Pagos!$I$5:$I$2004,Detalle_Pagos!$A$5:$A$2004,A410,Detalle_Pagos!$J$5:$J$2004,"No"))</f>
        <v/>
      </c>
      <c r="N410" s="38">
        <f>IF(A410="","",IF(J410=0,"Sin detalle",IF(M410=0,"Pagada","Pendiente")))</f>
        <v/>
      </c>
      <c r="O410" s="38" t="n"/>
    </row>
    <row r="411">
      <c r="A411" s="36" t="n"/>
      <c r="B411" s="40" t="n"/>
      <c r="C411" s="36" t="n"/>
      <c r="D411" s="36" t="n"/>
      <c r="E411" s="36" t="n"/>
      <c r="F411" s="36" t="n"/>
      <c r="G411" s="37">
        <f>IF(A411="","",IFERROR(INDEX(Criterios!$B$4:$C$83,MATCH(D411,Criterios!$A$4:$A$83,0),IF(E411="Dentro horario",1,2)),""))</f>
        <v/>
      </c>
      <c r="H411" s="37" t="n"/>
      <c r="I411" s="37">
        <f>IF(A411="","",IF(OR(F411="",G411=""),"",F411*G411+N(H411)))</f>
        <v/>
      </c>
      <c r="J411" s="36">
        <f>IF(A411="","",COUNTIF(Detalle_Pagos!$A$5:$A$2004,A411))</f>
        <v/>
      </c>
      <c r="K411" s="37">
        <f>IF(A411="","",IF(OR(J411=0,I411=""),"",I411/J411))</f>
        <v/>
      </c>
      <c r="L411" s="37">
        <f>IF(A411="","",SUMIF(Detalle_Pagos!$A$5:$A$2004,A411,Detalle_Pagos!$I$5:$I$2004))</f>
        <v/>
      </c>
      <c r="M411" s="37">
        <f>IF(A411="","",SUMIFS(Detalle_Pagos!$I$5:$I$2004,Detalle_Pagos!$A$5:$A$2004,A411,Detalle_Pagos!$J$5:$J$2004,"No"))</f>
        <v/>
      </c>
      <c r="N411" s="36">
        <f>IF(A411="","",IF(J411=0,"Sin detalle",IF(M411=0,"Pagada","Pendiente")))</f>
        <v/>
      </c>
      <c r="O411" s="36" t="n"/>
    </row>
    <row r="412">
      <c r="A412" s="38" t="n"/>
      <c r="B412" s="41" t="n"/>
      <c r="C412" s="38" t="n"/>
      <c r="D412" s="38" t="n"/>
      <c r="E412" s="38" t="n"/>
      <c r="F412" s="38" t="n"/>
      <c r="G412" s="39">
        <f>IF(A412="","",IFERROR(INDEX(Criterios!$B$4:$C$83,MATCH(D412,Criterios!$A$4:$A$83,0),IF(E412="Dentro horario",1,2)),""))</f>
        <v/>
      </c>
      <c r="H412" s="39" t="n"/>
      <c r="I412" s="39">
        <f>IF(A412="","",IF(OR(F412="",G412=""),"",F412*G412+N(H412)))</f>
        <v/>
      </c>
      <c r="J412" s="38">
        <f>IF(A412="","",COUNTIF(Detalle_Pagos!$A$5:$A$2004,A412))</f>
        <v/>
      </c>
      <c r="K412" s="39">
        <f>IF(A412="","",IF(OR(J412=0,I412=""),"",I412/J412))</f>
        <v/>
      </c>
      <c r="L412" s="39">
        <f>IF(A412="","",SUMIF(Detalle_Pagos!$A$5:$A$2004,A412,Detalle_Pagos!$I$5:$I$2004))</f>
        <v/>
      </c>
      <c r="M412" s="39">
        <f>IF(A412="","",SUMIFS(Detalle_Pagos!$I$5:$I$2004,Detalle_Pagos!$A$5:$A$2004,A412,Detalle_Pagos!$J$5:$J$2004,"No"))</f>
        <v/>
      </c>
      <c r="N412" s="38">
        <f>IF(A412="","",IF(J412=0,"Sin detalle",IF(M412=0,"Pagada","Pendiente")))</f>
        <v/>
      </c>
      <c r="O412" s="38" t="n"/>
    </row>
    <row r="413">
      <c r="A413" s="36" t="n"/>
      <c r="B413" s="40" t="n"/>
      <c r="C413" s="36" t="n"/>
      <c r="D413" s="36" t="n"/>
      <c r="E413" s="36" t="n"/>
      <c r="F413" s="36" t="n"/>
      <c r="G413" s="37">
        <f>IF(A413="","",IFERROR(INDEX(Criterios!$B$4:$C$83,MATCH(D413,Criterios!$A$4:$A$83,0),IF(E413="Dentro horario",1,2)),""))</f>
        <v/>
      </c>
      <c r="H413" s="37" t="n"/>
      <c r="I413" s="37">
        <f>IF(A413="","",IF(OR(F413="",G413=""),"",F413*G413+N(H413)))</f>
        <v/>
      </c>
      <c r="J413" s="36">
        <f>IF(A413="","",COUNTIF(Detalle_Pagos!$A$5:$A$2004,A413))</f>
        <v/>
      </c>
      <c r="K413" s="37">
        <f>IF(A413="","",IF(OR(J413=0,I413=""),"",I413/J413))</f>
        <v/>
      </c>
      <c r="L413" s="37">
        <f>IF(A413="","",SUMIF(Detalle_Pagos!$A$5:$A$2004,A413,Detalle_Pagos!$I$5:$I$2004))</f>
        <v/>
      </c>
      <c r="M413" s="37">
        <f>IF(A413="","",SUMIFS(Detalle_Pagos!$I$5:$I$2004,Detalle_Pagos!$A$5:$A$2004,A413,Detalle_Pagos!$J$5:$J$2004,"No"))</f>
        <v/>
      </c>
      <c r="N413" s="36">
        <f>IF(A413="","",IF(J413=0,"Sin detalle",IF(M413=0,"Pagada","Pendiente")))</f>
        <v/>
      </c>
      <c r="O413" s="36" t="n"/>
    </row>
    <row r="414">
      <c r="A414" s="38" t="n"/>
      <c r="B414" s="41" t="n"/>
      <c r="C414" s="38" t="n"/>
      <c r="D414" s="38" t="n"/>
      <c r="E414" s="38" t="n"/>
      <c r="F414" s="38" t="n"/>
      <c r="G414" s="39">
        <f>IF(A414="","",IFERROR(INDEX(Criterios!$B$4:$C$83,MATCH(D414,Criterios!$A$4:$A$83,0),IF(E414="Dentro horario",1,2)),""))</f>
        <v/>
      </c>
      <c r="H414" s="39" t="n"/>
      <c r="I414" s="39">
        <f>IF(A414="","",IF(OR(F414="",G414=""),"",F414*G414+N(H414)))</f>
        <v/>
      </c>
      <c r="J414" s="38">
        <f>IF(A414="","",COUNTIF(Detalle_Pagos!$A$5:$A$2004,A414))</f>
        <v/>
      </c>
      <c r="K414" s="39">
        <f>IF(A414="","",IF(OR(J414=0,I414=""),"",I414/J414))</f>
        <v/>
      </c>
      <c r="L414" s="39">
        <f>IF(A414="","",SUMIF(Detalle_Pagos!$A$5:$A$2004,A414,Detalle_Pagos!$I$5:$I$2004))</f>
        <v/>
      </c>
      <c r="M414" s="39">
        <f>IF(A414="","",SUMIFS(Detalle_Pagos!$I$5:$I$2004,Detalle_Pagos!$A$5:$A$2004,A414,Detalle_Pagos!$J$5:$J$2004,"No"))</f>
        <v/>
      </c>
      <c r="N414" s="38">
        <f>IF(A414="","",IF(J414=0,"Sin detalle",IF(M414=0,"Pagada","Pendiente")))</f>
        <v/>
      </c>
      <c r="O414" s="38" t="n"/>
    </row>
    <row r="415">
      <c r="A415" s="36" t="n"/>
      <c r="B415" s="40" t="n"/>
      <c r="C415" s="36" t="n"/>
      <c r="D415" s="36" t="n"/>
      <c r="E415" s="36" t="n"/>
      <c r="F415" s="36" t="n"/>
      <c r="G415" s="37">
        <f>IF(A415="","",IFERROR(INDEX(Criterios!$B$4:$C$83,MATCH(D415,Criterios!$A$4:$A$83,0),IF(E415="Dentro horario",1,2)),""))</f>
        <v/>
      </c>
      <c r="H415" s="37" t="n"/>
      <c r="I415" s="37">
        <f>IF(A415="","",IF(OR(F415="",G415=""),"",F415*G415+N(H415)))</f>
        <v/>
      </c>
      <c r="J415" s="36">
        <f>IF(A415="","",COUNTIF(Detalle_Pagos!$A$5:$A$2004,A415))</f>
        <v/>
      </c>
      <c r="K415" s="37">
        <f>IF(A415="","",IF(OR(J415=0,I415=""),"",I415/J415))</f>
        <v/>
      </c>
      <c r="L415" s="37">
        <f>IF(A415="","",SUMIF(Detalle_Pagos!$A$5:$A$2004,A415,Detalle_Pagos!$I$5:$I$2004))</f>
        <v/>
      </c>
      <c r="M415" s="37">
        <f>IF(A415="","",SUMIFS(Detalle_Pagos!$I$5:$I$2004,Detalle_Pagos!$A$5:$A$2004,A415,Detalle_Pagos!$J$5:$J$2004,"No"))</f>
        <v/>
      </c>
      <c r="N415" s="36">
        <f>IF(A415="","",IF(J415=0,"Sin detalle",IF(M415=0,"Pagada","Pendiente")))</f>
        <v/>
      </c>
      <c r="O415" s="36" t="n"/>
    </row>
    <row r="416">
      <c r="A416" s="38" t="n"/>
      <c r="B416" s="41" t="n"/>
      <c r="C416" s="38" t="n"/>
      <c r="D416" s="38" t="n"/>
      <c r="E416" s="38" t="n"/>
      <c r="F416" s="38" t="n"/>
      <c r="G416" s="39">
        <f>IF(A416="","",IFERROR(INDEX(Criterios!$B$4:$C$83,MATCH(D416,Criterios!$A$4:$A$83,0),IF(E416="Dentro horario",1,2)),""))</f>
        <v/>
      </c>
      <c r="H416" s="39" t="n"/>
      <c r="I416" s="39">
        <f>IF(A416="","",IF(OR(F416="",G416=""),"",F416*G416+N(H416)))</f>
        <v/>
      </c>
      <c r="J416" s="38">
        <f>IF(A416="","",COUNTIF(Detalle_Pagos!$A$5:$A$2004,A416))</f>
        <v/>
      </c>
      <c r="K416" s="39">
        <f>IF(A416="","",IF(OR(J416=0,I416=""),"",I416/J416))</f>
        <v/>
      </c>
      <c r="L416" s="39">
        <f>IF(A416="","",SUMIF(Detalle_Pagos!$A$5:$A$2004,A416,Detalle_Pagos!$I$5:$I$2004))</f>
        <v/>
      </c>
      <c r="M416" s="39">
        <f>IF(A416="","",SUMIFS(Detalle_Pagos!$I$5:$I$2004,Detalle_Pagos!$A$5:$A$2004,A416,Detalle_Pagos!$J$5:$J$2004,"No"))</f>
        <v/>
      </c>
      <c r="N416" s="38">
        <f>IF(A416="","",IF(J416=0,"Sin detalle",IF(M416=0,"Pagada","Pendiente")))</f>
        <v/>
      </c>
      <c r="O416" s="38" t="n"/>
    </row>
    <row r="417">
      <c r="A417" s="36" t="n"/>
      <c r="B417" s="40" t="n"/>
      <c r="C417" s="36" t="n"/>
      <c r="D417" s="36" t="n"/>
      <c r="E417" s="36" t="n"/>
      <c r="F417" s="36" t="n"/>
      <c r="G417" s="37">
        <f>IF(A417="","",IFERROR(INDEX(Criterios!$B$4:$C$83,MATCH(D417,Criterios!$A$4:$A$83,0),IF(E417="Dentro horario",1,2)),""))</f>
        <v/>
      </c>
      <c r="H417" s="37" t="n"/>
      <c r="I417" s="37">
        <f>IF(A417="","",IF(OR(F417="",G417=""),"",F417*G417+N(H417)))</f>
        <v/>
      </c>
      <c r="J417" s="36">
        <f>IF(A417="","",COUNTIF(Detalle_Pagos!$A$5:$A$2004,A417))</f>
        <v/>
      </c>
      <c r="K417" s="37">
        <f>IF(A417="","",IF(OR(J417=0,I417=""),"",I417/J417))</f>
        <v/>
      </c>
      <c r="L417" s="37">
        <f>IF(A417="","",SUMIF(Detalle_Pagos!$A$5:$A$2004,A417,Detalle_Pagos!$I$5:$I$2004))</f>
        <v/>
      </c>
      <c r="M417" s="37">
        <f>IF(A417="","",SUMIFS(Detalle_Pagos!$I$5:$I$2004,Detalle_Pagos!$A$5:$A$2004,A417,Detalle_Pagos!$J$5:$J$2004,"No"))</f>
        <v/>
      </c>
      <c r="N417" s="36">
        <f>IF(A417="","",IF(J417=0,"Sin detalle",IF(M417=0,"Pagada","Pendiente")))</f>
        <v/>
      </c>
      <c r="O417" s="36" t="n"/>
    </row>
    <row r="418">
      <c r="A418" s="38" t="n"/>
      <c r="B418" s="41" t="n"/>
      <c r="C418" s="38" t="n"/>
      <c r="D418" s="38" t="n"/>
      <c r="E418" s="38" t="n"/>
      <c r="F418" s="38" t="n"/>
      <c r="G418" s="39">
        <f>IF(A418="","",IFERROR(INDEX(Criterios!$B$4:$C$83,MATCH(D418,Criterios!$A$4:$A$83,0),IF(E418="Dentro horario",1,2)),""))</f>
        <v/>
      </c>
      <c r="H418" s="39" t="n"/>
      <c r="I418" s="39">
        <f>IF(A418="","",IF(OR(F418="",G418=""),"",F418*G418+N(H418)))</f>
        <v/>
      </c>
      <c r="J418" s="38">
        <f>IF(A418="","",COUNTIF(Detalle_Pagos!$A$5:$A$2004,A418))</f>
        <v/>
      </c>
      <c r="K418" s="39">
        <f>IF(A418="","",IF(OR(J418=0,I418=""),"",I418/J418))</f>
        <v/>
      </c>
      <c r="L418" s="39">
        <f>IF(A418="","",SUMIF(Detalle_Pagos!$A$5:$A$2004,A418,Detalle_Pagos!$I$5:$I$2004))</f>
        <v/>
      </c>
      <c r="M418" s="39">
        <f>IF(A418="","",SUMIFS(Detalle_Pagos!$I$5:$I$2004,Detalle_Pagos!$A$5:$A$2004,A418,Detalle_Pagos!$J$5:$J$2004,"No"))</f>
        <v/>
      </c>
      <c r="N418" s="38">
        <f>IF(A418="","",IF(J418=0,"Sin detalle",IF(M418=0,"Pagada","Pendiente")))</f>
        <v/>
      </c>
      <c r="O418" s="38" t="n"/>
    </row>
    <row r="419">
      <c r="A419" s="36" t="n"/>
      <c r="B419" s="40" t="n"/>
      <c r="C419" s="36" t="n"/>
      <c r="D419" s="36" t="n"/>
      <c r="E419" s="36" t="n"/>
      <c r="F419" s="36" t="n"/>
      <c r="G419" s="37">
        <f>IF(A419="","",IFERROR(INDEX(Criterios!$B$4:$C$83,MATCH(D419,Criterios!$A$4:$A$83,0),IF(E419="Dentro horario",1,2)),""))</f>
        <v/>
      </c>
      <c r="H419" s="37" t="n"/>
      <c r="I419" s="37">
        <f>IF(A419="","",IF(OR(F419="",G419=""),"",F419*G419+N(H419)))</f>
        <v/>
      </c>
      <c r="J419" s="36">
        <f>IF(A419="","",COUNTIF(Detalle_Pagos!$A$5:$A$2004,A419))</f>
        <v/>
      </c>
      <c r="K419" s="37">
        <f>IF(A419="","",IF(OR(J419=0,I419=""),"",I419/J419))</f>
        <v/>
      </c>
      <c r="L419" s="37">
        <f>IF(A419="","",SUMIF(Detalle_Pagos!$A$5:$A$2004,A419,Detalle_Pagos!$I$5:$I$2004))</f>
        <v/>
      </c>
      <c r="M419" s="37">
        <f>IF(A419="","",SUMIFS(Detalle_Pagos!$I$5:$I$2004,Detalle_Pagos!$A$5:$A$2004,A419,Detalle_Pagos!$J$5:$J$2004,"No"))</f>
        <v/>
      </c>
      <c r="N419" s="36">
        <f>IF(A419="","",IF(J419=0,"Sin detalle",IF(M419=0,"Pagada","Pendiente")))</f>
        <v/>
      </c>
      <c r="O419" s="36" t="n"/>
    </row>
    <row r="420">
      <c r="A420" s="38" t="n"/>
      <c r="B420" s="41" t="n"/>
      <c r="C420" s="38" t="n"/>
      <c r="D420" s="38" t="n"/>
      <c r="E420" s="38" t="n"/>
      <c r="F420" s="38" t="n"/>
      <c r="G420" s="39">
        <f>IF(A420="","",IFERROR(INDEX(Criterios!$B$4:$C$83,MATCH(D420,Criterios!$A$4:$A$83,0),IF(E420="Dentro horario",1,2)),""))</f>
        <v/>
      </c>
      <c r="H420" s="39" t="n"/>
      <c r="I420" s="39">
        <f>IF(A420="","",IF(OR(F420="",G420=""),"",F420*G420+N(H420)))</f>
        <v/>
      </c>
      <c r="J420" s="38">
        <f>IF(A420="","",COUNTIF(Detalle_Pagos!$A$5:$A$2004,A420))</f>
        <v/>
      </c>
      <c r="K420" s="39">
        <f>IF(A420="","",IF(OR(J420=0,I420=""),"",I420/J420))</f>
        <v/>
      </c>
      <c r="L420" s="39">
        <f>IF(A420="","",SUMIF(Detalle_Pagos!$A$5:$A$2004,A420,Detalle_Pagos!$I$5:$I$2004))</f>
        <v/>
      </c>
      <c r="M420" s="39">
        <f>IF(A420="","",SUMIFS(Detalle_Pagos!$I$5:$I$2004,Detalle_Pagos!$A$5:$A$2004,A420,Detalle_Pagos!$J$5:$J$2004,"No"))</f>
        <v/>
      </c>
      <c r="N420" s="38">
        <f>IF(A420="","",IF(J420=0,"Sin detalle",IF(M420=0,"Pagada","Pendiente")))</f>
        <v/>
      </c>
      <c r="O420" s="38" t="n"/>
    </row>
    <row r="421">
      <c r="A421" s="36" t="n"/>
      <c r="B421" s="40" t="n"/>
      <c r="C421" s="36" t="n"/>
      <c r="D421" s="36" t="n"/>
      <c r="E421" s="36" t="n"/>
      <c r="F421" s="36" t="n"/>
      <c r="G421" s="37">
        <f>IF(A421="","",IFERROR(INDEX(Criterios!$B$4:$C$83,MATCH(D421,Criterios!$A$4:$A$83,0),IF(E421="Dentro horario",1,2)),""))</f>
        <v/>
      </c>
      <c r="H421" s="37" t="n"/>
      <c r="I421" s="37">
        <f>IF(A421="","",IF(OR(F421="",G421=""),"",F421*G421+N(H421)))</f>
        <v/>
      </c>
      <c r="J421" s="36">
        <f>IF(A421="","",COUNTIF(Detalle_Pagos!$A$5:$A$2004,A421))</f>
        <v/>
      </c>
      <c r="K421" s="37">
        <f>IF(A421="","",IF(OR(J421=0,I421=""),"",I421/J421))</f>
        <v/>
      </c>
      <c r="L421" s="37">
        <f>IF(A421="","",SUMIF(Detalle_Pagos!$A$5:$A$2004,A421,Detalle_Pagos!$I$5:$I$2004))</f>
        <v/>
      </c>
      <c r="M421" s="37">
        <f>IF(A421="","",SUMIFS(Detalle_Pagos!$I$5:$I$2004,Detalle_Pagos!$A$5:$A$2004,A421,Detalle_Pagos!$J$5:$J$2004,"No"))</f>
        <v/>
      </c>
      <c r="N421" s="36">
        <f>IF(A421="","",IF(J421=0,"Sin detalle",IF(M421=0,"Pagada","Pendiente")))</f>
        <v/>
      </c>
      <c r="O421" s="36" t="n"/>
    </row>
    <row r="422">
      <c r="A422" s="38" t="n"/>
      <c r="B422" s="41" t="n"/>
      <c r="C422" s="38" t="n"/>
      <c r="D422" s="38" t="n"/>
      <c r="E422" s="38" t="n"/>
      <c r="F422" s="38" t="n"/>
      <c r="G422" s="39">
        <f>IF(A422="","",IFERROR(INDEX(Criterios!$B$4:$C$83,MATCH(D422,Criterios!$A$4:$A$83,0),IF(E422="Dentro horario",1,2)),""))</f>
        <v/>
      </c>
      <c r="H422" s="39" t="n"/>
      <c r="I422" s="39">
        <f>IF(A422="","",IF(OR(F422="",G422=""),"",F422*G422+N(H422)))</f>
        <v/>
      </c>
      <c r="J422" s="38">
        <f>IF(A422="","",COUNTIF(Detalle_Pagos!$A$5:$A$2004,A422))</f>
        <v/>
      </c>
      <c r="K422" s="39">
        <f>IF(A422="","",IF(OR(J422=0,I422=""),"",I422/J422))</f>
        <v/>
      </c>
      <c r="L422" s="39">
        <f>IF(A422="","",SUMIF(Detalle_Pagos!$A$5:$A$2004,A422,Detalle_Pagos!$I$5:$I$2004))</f>
        <v/>
      </c>
      <c r="M422" s="39">
        <f>IF(A422="","",SUMIFS(Detalle_Pagos!$I$5:$I$2004,Detalle_Pagos!$A$5:$A$2004,A422,Detalle_Pagos!$J$5:$J$2004,"No"))</f>
        <v/>
      </c>
      <c r="N422" s="38">
        <f>IF(A422="","",IF(J422=0,"Sin detalle",IF(M422=0,"Pagada","Pendiente")))</f>
        <v/>
      </c>
      <c r="O422" s="38" t="n"/>
    </row>
    <row r="423">
      <c r="A423" s="36" t="n"/>
      <c r="B423" s="40" t="n"/>
      <c r="C423" s="36" t="n"/>
      <c r="D423" s="36" t="n"/>
      <c r="E423" s="36" t="n"/>
      <c r="F423" s="36" t="n"/>
      <c r="G423" s="37">
        <f>IF(A423="","",IFERROR(INDEX(Criterios!$B$4:$C$83,MATCH(D423,Criterios!$A$4:$A$83,0),IF(E423="Dentro horario",1,2)),""))</f>
        <v/>
      </c>
      <c r="H423" s="37" t="n"/>
      <c r="I423" s="37">
        <f>IF(A423="","",IF(OR(F423="",G423=""),"",F423*G423+N(H423)))</f>
        <v/>
      </c>
      <c r="J423" s="36">
        <f>IF(A423="","",COUNTIF(Detalle_Pagos!$A$5:$A$2004,A423))</f>
        <v/>
      </c>
      <c r="K423" s="37">
        <f>IF(A423="","",IF(OR(J423=0,I423=""),"",I423/J423))</f>
        <v/>
      </c>
      <c r="L423" s="37">
        <f>IF(A423="","",SUMIF(Detalle_Pagos!$A$5:$A$2004,A423,Detalle_Pagos!$I$5:$I$2004))</f>
        <v/>
      </c>
      <c r="M423" s="37">
        <f>IF(A423="","",SUMIFS(Detalle_Pagos!$I$5:$I$2004,Detalle_Pagos!$A$5:$A$2004,A423,Detalle_Pagos!$J$5:$J$2004,"No"))</f>
        <v/>
      </c>
      <c r="N423" s="36">
        <f>IF(A423="","",IF(J423=0,"Sin detalle",IF(M423=0,"Pagada","Pendiente")))</f>
        <v/>
      </c>
      <c r="O423" s="36" t="n"/>
    </row>
    <row r="424">
      <c r="A424" s="38" t="n"/>
      <c r="B424" s="41" t="n"/>
      <c r="C424" s="38" t="n"/>
      <c r="D424" s="38" t="n"/>
      <c r="E424" s="38" t="n"/>
      <c r="F424" s="38" t="n"/>
      <c r="G424" s="39">
        <f>IF(A424="","",IFERROR(INDEX(Criterios!$B$4:$C$83,MATCH(D424,Criterios!$A$4:$A$83,0),IF(E424="Dentro horario",1,2)),""))</f>
        <v/>
      </c>
      <c r="H424" s="39" t="n"/>
      <c r="I424" s="39">
        <f>IF(A424="","",IF(OR(F424="",G424=""),"",F424*G424+N(H424)))</f>
        <v/>
      </c>
      <c r="J424" s="38">
        <f>IF(A424="","",COUNTIF(Detalle_Pagos!$A$5:$A$2004,A424))</f>
        <v/>
      </c>
      <c r="K424" s="39">
        <f>IF(A424="","",IF(OR(J424=0,I424=""),"",I424/J424))</f>
        <v/>
      </c>
      <c r="L424" s="39">
        <f>IF(A424="","",SUMIF(Detalle_Pagos!$A$5:$A$2004,A424,Detalle_Pagos!$I$5:$I$2004))</f>
        <v/>
      </c>
      <c r="M424" s="39">
        <f>IF(A424="","",SUMIFS(Detalle_Pagos!$I$5:$I$2004,Detalle_Pagos!$A$5:$A$2004,A424,Detalle_Pagos!$J$5:$J$2004,"No"))</f>
        <v/>
      </c>
      <c r="N424" s="38">
        <f>IF(A424="","",IF(J424=0,"Sin detalle",IF(M424=0,"Pagada","Pendiente")))</f>
        <v/>
      </c>
      <c r="O424" s="38" t="n"/>
    </row>
    <row r="425">
      <c r="A425" s="36" t="n"/>
      <c r="B425" s="40" t="n"/>
      <c r="C425" s="36" t="n"/>
      <c r="D425" s="36" t="n"/>
      <c r="E425" s="36" t="n"/>
      <c r="F425" s="36" t="n"/>
      <c r="G425" s="37">
        <f>IF(A425="","",IFERROR(INDEX(Criterios!$B$4:$C$83,MATCH(D425,Criterios!$A$4:$A$83,0),IF(E425="Dentro horario",1,2)),""))</f>
        <v/>
      </c>
      <c r="H425" s="37" t="n"/>
      <c r="I425" s="37">
        <f>IF(A425="","",IF(OR(F425="",G425=""),"",F425*G425+N(H425)))</f>
        <v/>
      </c>
      <c r="J425" s="36">
        <f>IF(A425="","",COUNTIF(Detalle_Pagos!$A$5:$A$2004,A425))</f>
        <v/>
      </c>
      <c r="K425" s="37">
        <f>IF(A425="","",IF(OR(J425=0,I425=""),"",I425/J425))</f>
        <v/>
      </c>
      <c r="L425" s="37">
        <f>IF(A425="","",SUMIF(Detalle_Pagos!$A$5:$A$2004,A425,Detalle_Pagos!$I$5:$I$2004))</f>
        <v/>
      </c>
      <c r="M425" s="37">
        <f>IF(A425="","",SUMIFS(Detalle_Pagos!$I$5:$I$2004,Detalle_Pagos!$A$5:$A$2004,A425,Detalle_Pagos!$J$5:$J$2004,"No"))</f>
        <v/>
      </c>
      <c r="N425" s="36">
        <f>IF(A425="","",IF(J425=0,"Sin detalle",IF(M425=0,"Pagada","Pendiente")))</f>
        <v/>
      </c>
      <c r="O425" s="36" t="n"/>
    </row>
    <row r="426">
      <c r="A426" s="38" t="n"/>
      <c r="B426" s="41" t="n"/>
      <c r="C426" s="38" t="n"/>
      <c r="D426" s="38" t="n"/>
      <c r="E426" s="38" t="n"/>
      <c r="F426" s="38" t="n"/>
      <c r="G426" s="39">
        <f>IF(A426="","",IFERROR(INDEX(Criterios!$B$4:$C$83,MATCH(D426,Criterios!$A$4:$A$83,0),IF(E426="Dentro horario",1,2)),""))</f>
        <v/>
      </c>
      <c r="H426" s="39" t="n"/>
      <c r="I426" s="39">
        <f>IF(A426="","",IF(OR(F426="",G426=""),"",F426*G426+N(H426)))</f>
        <v/>
      </c>
      <c r="J426" s="38">
        <f>IF(A426="","",COUNTIF(Detalle_Pagos!$A$5:$A$2004,A426))</f>
        <v/>
      </c>
      <c r="K426" s="39">
        <f>IF(A426="","",IF(OR(J426=0,I426=""),"",I426/J426))</f>
        <v/>
      </c>
      <c r="L426" s="39">
        <f>IF(A426="","",SUMIF(Detalle_Pagos!$A$5:$A$2004,A426,Detalle_Pagos!$I$5:$I$2004))</f>
        <v/>
      </c>
      <c r="M426" s="39">
        <f>IF(A426="","",SUMIFS(Detalle_Pagos!$I$5:$I$2004,Detalle_Pagos!$A$5:$A$2004,A426,Detalle_Pagos!$J$5:$J$2004,"No"))</f>
        <v/>
      </c>
      <c r="N426" s="38">
        <f>IF(A426="","",IF(J426=0,"Sin detalle",IF(M426=0,"Pagada","Pendiente")))</f>
        <v/>
      </c>
      <c r="O426" s="38" t="n"/>
    </row>
    <row r="427">
      <c r="A427" s="36" t="n"/>
      <c r="B427" s="40" t="n"/>
      <c r="C427" s="36" t="n"/>
      <c r="D427" s="36" t="n"/>
      <c r="E427" s="36" t="n"/>
      <c r="F427" s="36" t="n"/>
      <c r="G427" s="37">
        <f>IF(A427="","",IFERROR(INDEX(Criterios!$B$4:$C$83,MATCH(D427,Criterios!$A$4:$A$83,0),IF(E427="Dentro horario",1,2)),""))</f>
        <v/>
      </c>
      <c r="H427" s="37" t="n"/>
      <c r="I427" s="37">
        <f>IF(A427="","",IF(OR(F427="",G427=""),"",F427*G427+N(H427)))</f>
        <v/>
      </c>
      <c r="J427" s="36">
        <f>IF(A427="","",COUNTIF(Detalle_Pagos!$A$5:$A$2004,A427))</f>
        <v/>
      </c>
      <c r="K427" s="37">
        <f>IF(A427="","",IF(OR(J427=0,I427=""),"",I427/J427))</f>
        <v/>
      </c>
      <c r="L427" s="37">
        <f>IF(A427="","",SUMIF(Detalle_Pagos!$A$5:$A$2004,A427,Detalle_Pagos!$I$5:$I$2004))</f>
        <v/>
      </c>
      <c r="M427" s="37">
        <f>IF(A427="","",SUMIFS(Detalle_Pagos!$I$5:$I$2004,Detalle_Pagos!$A$5:$A$2004,A427,Detalle_Pagos!$J$5:$J$2004,"No"))</f>
        <v/>
      </c>
      <c r="N427" s="36">
        <f>IF(A427="","",IF(J427=0,"Sin detalle",IF(M427=0,"Pagada","Pendiente")))</f>
        <v/>
      </c>
      <c r="O427" s="36" t="n"/>
    </row>
    <row r="428">
      <c r="A428" s="38" t="n"/>
      <c r="B428" s="41" t="n"/>
      <c r="C428" s="38" t="n"/>
      <c r="D428" s="38" t="n"/>
      <c r="E428" s="38" t="n"/>
      <c r="F428" s="38" t="n"/>
      <c r="G428" s="39">
        <f>IF(A428="","",IFERROR(INDEX(Criterios!$B$4:$C$83,MATCH(D428,Criterios!$A$4:$A$83,0),IF(E428="Dentro horario",1,2)),""))</f>
        <v/>
      </c>
      <c r="H428" s="39" t="n"/>
      <c r="I428" s="39">
        <f>IF(A428="","",IF(OR(F428="",G428=""),"",F428*G428+N(H428)))</f>
        <v/>
      </c>
      <c r="J428" s="38">
        <f>IF(A428="","",COUNTIF(Detalle_Pagos!$A$5:$A$2004,A428))</f>
        <v/>
      </c>
      <c r="K428" s="39">
        <f>IF(A428="","",IF(OR(J428=0,I428=""),"",I428/J428))</f>
        <v/>
      </c>
      <c r="L428" s="39">
        <f>IF(A428="","",SUMIF(Detalle_Pagos!$A$5:$A$2004,A428,Detalle_Pagos!$I$5:$I$2004))</f>
        <v/>
      </c>
      <c r="M428" s="39">
        <f>IF(A428="","",SUMIFS(Detalle_Pagos!$I$5:$I$2004,Detalle_Pagos!$A$5:$A$2004,A428,Detalle_Pagos!$J$5:$J$2004,"No"))</f>
        <v/>
      </c>
      <c r="N428" s="38">
        <f>IF(A428="","",IF(J428=0,"Sin detalle",IF(M428=0,"Pagada","Pendiente")))</f>
        <v/>
      </c>
      <c r="O428" s="38" t="n"/>
    </row>
    <row r="429">
      <c r="A429" s="36" t="n"/>
      <c r="B429" s="40" t="n"/>
      <c r="C429" s="36" t="n"/>
      <c r="D429" s="36" t="n"/>
      <c r="E429" s="36" t="n"/>
      <c r="F429" s="36" t="n"/>
      <c r="G429" s="37">
        <f>IF(A429="","",IFERROR(INDEX(Criterios!$B$4:$C$83,MATCH(D429,Criterios!$A$4:$A$83,0),IF(E429="Dentro horario",1,2)),""))</f>
        <v/>
      </c>
      <c r="H429" s="37" t="n"/>
      <c r="I429" s="37">
        <f>IF(A429="","",IF(OR(F429="",G429=""),"",F429*G429+N(H429)))</f>
        <v/>
      </c>
      <c r="J429" s="36">
        <f>IF(A429="","",COUNTIF(Detalle_Pagos!$A$5:$A$2004,A429))</f>
        <v/>
      </c>
      <c r="K429" s="37">
        <f>IF(A429="","",IF(OR(J429=0,I429=""),"",I429/J429))</f>
        <v/>
      </c>
      <c r="L429" s="37">
        <f>IF(A429="","",SUMIF(Detalle_Pagos!$A$5:$A$2004,A429,Detalle_Pagos!$I$5:$I$2004))</f>
        <v/>
      </c>
      <c r="M429" s="37">
        <f>IF(A429="","",SUMIFS(Detalle_Pagos!$I$5:$I$2004,Detalle_Pagos!$A$5:$A$2004,A429,Detalle_Pagos!$J$5:$J$2004,"No"))</f>
        <v/>
      </c>
      <c r="N429" s="36">
        <f>IF(A429="","",IF(J429=0,"Sin detalle",IF(M429=0,"Pagada","Pendiente")))</f>
        <v/>
      </c>
      <c r="O429" s="36" t="n"/>
    </row>
    <row r="430">
      <c r="A430" s="38" t="n"/>
      <c r="B430" s="41" t="n"/>
      <c r="C430" s="38" t="n"/>
      <c r="D430" s="38" t="n"/>
      <c r="E430" s="38" t="n"/>
      <c r="F430" s="38" t="n"/>
      <c r="G430" s="39">
        <f>IF(A430="","",IFERROR(INDEX(Criterios!$B$4:$C$83,MATCH(D430,Criterios!$A$4:$A$83,0),IF(E430="Dentro horario",1,2)),""))</f>
        <v/>
      </c>
      <c r="H430" s="39" t="n"/>
      <c r="I430" s="39">
        <f>IF(A430="","",IF(OR(F430="",G430=""),"",F430*G430+N(H430)))</f>
        <v/>
      </c>
      <c r="J430" s="38">
        <f>IF(A430="","",COUNTIF(Detalle_Pagos!$A$5:$A$2004,A430))</f>
        <v/>
      </c>
      <c r="K430" s="39">
        <f>IF(A430="","",IF(OR(J430=0,I430=""),"",I430/J430))</f>
        <v/>
      </c>
      <c r="L430" s="39">
        <f>IF(A430="","",SUMIF(Detalle_Pagos!$A$5:$A$2004,A430,Detalle_Pagos!$I$5:$I$2004))</f>
        <v/>
      </c>
      <c r="M430" s="39">
        <f>IF(A430="","",SUMIFS(Detalle_Pagos!$I$5:$I$2004,Detalle_Pagos!$A$5:$A$2004,A430,Detalle_Pagos!$J$5:$J$2004,"No"))</f>
        <v/>
      </c>
      <c r="N430" s="38">
        <f>IF(A430="","",IF(J430=0,"Sin detalle",IF(M430=0,"Pagada","Pendiente")))</f>
        <v/>
      </c>
      <c r="O430" s="38" t="n"/>
    </row>
    <row r="431">
      <c r="A431" s="36" t="n"/>
      <c r="B431" s="40" t="n"/>
      <c r="C431" s="36" t="n"/>
      <c r="D431" s="36" t="n"/>
      <c r="E431" s="36" t="n"/>
      <c r="F431" s="36" t="n"/>
      <c r="G431" s="37">
        <f>IF(A431="","",IFERROR(INDEX(Criterios!$B$4:$C$83,MATCH(D431,Criterios!$A$4:$A$83,0),IF(E431="Dentro horario",1,2)),""))</f>
        <v/>
      </c>
      <c r="H431" s="37" t="n"/>
      <c r="I431" s="37">
        <f>IF(A431="","",IF(OR(F431="",G431=""),"",F431*G431+N(H431)))</f>
        <v/>
      </c>
      <c r="J431" s="36">
        <f>IF(A431="","",COUNTIF(Detalle_Pagos!$A$5:$A$2004,A431))</f>
        <v/>
      </c>
      <c r="K431" s="37">
        <f>IF(A431="","",IF(OR(J431=0,I431=""),"",I431/J431))</f>
        <v/>
      </c>
      <c r="L431" s="37">
        <f>IF(A431="","",SUMIF(Detalle_Pagos!$A$5:$A$2004,A431,Detalle_Pagos!$I$5:$I$2004))</f>
        <v/>
      </c>
      <c r="M431" s="37">
        <f>IF(A431="","",SUMIFS(Detalle_Pagos!$I$5:$I$2004,Detalle_Pagos!$A$5:$A$2004,A431,Detalle_Pagos!$J$5:$J$2004,"No"))</f>
        <v/>
      </c>
      <c r="N431" s="36">
        <f>IF(A431="","",IF(J431=0,"Sin detalle",IF(M431=0,"Pagada","Pendiente")))</f>
        <v/>
      </c>
      <c r="O431" s="36" t="n"/>
    </row>
    <row r="432">
      <c r="A432" s="38" t="n"/>
      <c r="B432" s="41" t="n"/>
      <c r="C432" s="38" t="n"/>
      <c r="D432" s="38" t="n"/>
      <c r="E432" s="38" t="n"/>
      <c r="F432" s="38" t="n"/>
      <c r="G432" s="39">
        <f>IF(A432="","",IFERROR(INDEX(Criterios!$B$4:$C$83,MATCH(D432,Criterios!$A$4:$A$83,0),IF(E432="Dentro horario",1,2)),""))</f>
        <v/>
      </c>
      <c r="H432" s="39" t="n"/>
      <c r="I432" s="39">
        <f>IF(A432="","",IF(OR(F432="",G432=""),"",F432*G432+N(H432)))</f>
        <v/>
      </c>
      <c r="J432" s="38">
        <f>IF(A432="","",COUNTIF(Detalle_Pagos!$A$5:$A$2004,A432))</f>
        <v/>
      </c>
      <c r="K432" s="39">
        <f>IF(A432="","",IF(OR(J432=0,I432=""),"",I432/J432))</f>
        <v/>
      </c>
      <c r="L432" s="39">
        <f>IF(A432="","",SUMIF(Detalle_Pagos!$A$5:$A$2004,A432,Detalle_Pagos!$I$5:$I$2004))</f>
        <v/>
      </c>
      <c r="M432" s="39">
        <f>IF(A432="","",SUMIFS(Detalle_Pagos!$I$5:$I$2004,Detalle_Pagos!$A$5:$A$2004,A432,Detalle_Pagos!$J$5:$J$2004,"No"))</f>
        <v/>
      </c>
      <c r="N432" s="38">
        <f>IF(A432="","",IF(J432=0,"Sin detalle",IF(M432=0,"Pagada","Pendiente")))</f>
        <v/>
      </c>
      <c r="O432" s="38" t="n"/>
    </row>
    <row r="433">
      <c r="A433" s="36" t="n"/>
      <c r="B433" s="40" t="n"/>
      <c r="C433" s="36" t="n"/>
      <c r="D433" s="36" t="n"/>
      <c r="E433" s="36" t="n"/>
      <c r="F433" s="36" t="n"/>
      <c r="G433" s="37">
        <f>IF(A433="","",IFERROR(INDEX(Criterios!$B$4:$C$83,MATCH(D433,Criterios!$A$4:$A$83,0),IF(E433="Dentro horario",1,2)),""))</f>
        <v/>
      </c>
      <c r="H433" s="37" t="n"/>
      <c r="I433" s="37">
        <f>IF(A433="","",IF(OR(F433="",G433=""),"",F433*G433+N(H433)))</f>
        <v/>
      </c>
      <c r="J433" s="36">
        <f>IF(A433="","",COUNTIF(Detalle_Pagos!$A$5:$A$2004,A433))</f>
        <v/>
      </c>
      <c r="K433" s="37">
        <f>IF(A433="","",IF(OR(J433=0,I433=""),"",I433/J433))</f>
        <v/>
      </c>
      <c r="L433" s="37">
        <f>IF(A433="","",SUMIF(Detalle_Pagos!$A$5:$A$2004,A433,Detalle_Pagos!$I$5:$I$2004))</f>
        <v/>
      </c>
      <c r="M433" s="37">
        <f>IF(A433="","",SUMIFS(Detalle_Pagos!$I$5:$I$2004,Detalle_Pagos!$A$5:$A$2004,A433,Detalle_Pagos!$J$5:$J$2004,"No"))</f>
        <v/>
      </c>
      <c r="N433" s="36">
        <f>IF(A433="","",IF(J433=0,"Sin detalle",IF(M433=0,"Pagada","Pendiente")))</f>
        <v/>
      </c>
      <c r="O433" s="36" t="n"/>
    </row>
    <row r="434">
      <c r="A434" s="38" t="n"/>
      <c r="B434" s="41" t="n"/>
      <c r="C434" s="38" t="n"/>
      <c r="D434" s="38" t="n"/>
      <c r="E434" s="38" t="n"/>
      <c r="F434" s="38" t="n"/>
      <c r="G434" s="39">
        <f>IF(A434="","",IFERROR(INDEX(Criterios!$B$4:$C$83,MATCH(D434,Criterios!$A$4:$A$83,0),IF(E434="Dentro horario",1,2)),""))</f>
        <v/>
      </c>
      <c r="H434" s="39" t="n"/>
      <c r="I434" s="39">
        <f>IF(A434="","",IF(OR(F434="",G434=""),"",F434*G434+N(H434)))</f>
        <v/>
      </c>
      <c r="J434" s="38">
        <f>IF(A434="","",COUNTIF(Detalle_Pagos!$A$5:$A$2004,A434))</f>
        <v/>
      </c>
      <c r="K434" s="39">
        <f>IF(A434="","",IF(OR(J434=0,I434=""),"",I434/J434))</f>
        <v/>
      </c>
      <c r="L434" s="39">
        <f>IF(A434="","",SUMIF(Detalle_Pagos!$A$5:$A$2004,A434,Detalle_Pagos!$I$5:$I$2004))</f>
        <v/>
      </c>
      <c r="M434" s="39">
        <f>IF(A434="","",SUMIFS(Detalle_Pagos!$I$5:$I$2004,Detalle_Pagos!$A$5:$A$2004,A434,Detalle_Pagos!$J$5:$J$2004,"No"))</f>
        <v/>
      </c>
      <c r="N434" s="38">
        <f>IF(A434="","",IF(J434=0,"Sin detalle",IF(M434=0,"Pagada","Pendiente")))</f>
        <v/>
      </c>
      <c r="O434" s="38" t="n"/>
    </row>
    <row r="435">
      <c r="A435" s="36" t="n"/>
      <c r="B435" s="40" t="n"/>
      <c r="C435" s="36" t="n"/>
      <c r="D435" s="36" t="n"/>
      <c r="E435" s="36" t="n"/>
      <c r="F435" s="36" t="n"/>
      <c r="G435" s="37">
        <f>IF(A435="","",IFERROR(INDEX(Criterios!$B$4:$C$83,MATCH(D435,Criterios!$A$4:$A$83,0),IF(E435="Dentro horario",1,2)),""))</f>
        <v/>
      </c>
      <c r="H435" s="37" t="n"/>
      <c r="I435" s="37">
        <f>IF(A435="","",IF(OR(F435="",G435=""),"",F435*G435+N(H435)))</f>
        <v/>
      </c>
      <c r="J435" s="36">
        <f>IF(A435="","",COUNTIF(Detalle_Pagos!$A$5:$A$2004,A435))</f>
        <v/>
      </c>
      <c r="K435" s="37">
        <f>IF(A435="","",IF(OR(J435=0,I435=""),"",I435/J435))</f>
        <v/>
      </c>
      <c r="L435" s="37">
        <f>IF(A435="","",SUMIF(Detalle_Pagos!$A$5:$A$2004,A435,Detalle_Pagos!$I$5:$I$2004))</f>
        <v/>
      </c>
      <c r="M435" s="37">
        <f>IF(A435="","",SUMIFS(Detalle_Pagos!$I$5:$I$2004,Detalle_Pagos!$A$5:$A$2004,A435,Detalle_Pagos!$J$5:$J$2004,"No"))</f>
        <v/>
      </c>
      <c r="N435" s="36">
        <f>IF(A435="","",IF(J435=0,"Sin detalle",IF(M435=0,"Pagada","Pendiente")))</f>
        <v/>
      </c>
      <c r="O435" s="36" t="n"/>
    </row>
    <row r="436">
      <c r="A436" s="38" t="n"/>
      <c r="B436" s="41" t="n"/>
      <c r="C436" s="38" t="n"/>
      <c r="D436" s="38" t="n"/>
      <c r="E436" s="38" t="n"/>
      <c r="F436" s="38" t="n"/>
      <c r="G436" s="39">
        <f>IF(A436="","",IFERROR(INDEX(Criterios!$B$4:$C$83,MATCH(D436,Criterios!$A$4:$A$83,0),IF(E436="Dentro horario",1,2)),""))</f>
        <v/>
      </c>
      <c r="H436" s="39" t="n"/>
      <c r="I436" s="39">
        <f>IF(A436="","",IF(OR(F436="",G436=""),"",F436*G436+N(H436)))</f>
        <v/>
      </c>
      <c r="J436" s="38">
        <f>IF(A436="","",COUNTIF(Detalle_Pagos!$A$5:$A$2004,A436))</f>
        <v/>
      </c>
      <c r="K436" s="39">
        <f>IF(A436="","",IF(OR(J436=0,I436=""),"",I436/J436))</f>
        <v/>
      </c>
      <c r="L436" s="39">
        <f>IF(A436="","",SUMIF(Detalle_Pagos!$A$5:$A$2004,A436,Detalle_Pagos!$I$5:$I$2004))</f>
        <v/>
      </c>
      <c r="M436" s="39">
        <f>IF(A436="","",SUMIFS(Detalle_Pagos!$I$5:$I$2004,Detalle_Pagos!$A$5:$A$2004,A436,Detalle_Pagos!$J$5:$J$2004,"No"))</f>
        <v/>
      </c>
      <c r="N436" s="38">
        <f>IF(A436="","",IF(J436=0,"Sin detalle",IF(M436=0,"Pagada","Pendiente")))</f>
        <v/>
      </c>
      <c r="O436" s="38" t="n"/>
    </row>
    <row r="437">
      <c r="A437" s="36" t="n"/>
      <c r="B437" s="40" t="n"/>
      <c r="C437" s="36" t="n"/>
      <c r="D437" s="36" t="n"/>
      <c r="E437" s="36" t="n"/>
      <c r="F437" s="36" t="n"/>
      <c r="G437" s="37">
        <f>IF(A437="","",IFERROR(INDEX(Criterios!$B$4:$C$83,MATCH(D437,Criterios!$A$4:$A$83,0),IF(E437="Dentro horario",1,2)),""))</f>
        <v/>
      </c>
      <c r="H437" s="37" t="n"/>
      <c r="I437" s="37">
        <f>IF(A437="","",IF(OR(F437="",G437=""),"",F437*G437+N(H437)))</f>
        <v/>
      </c>
      <c r="J437" s="36">
        <f>IF(A437="","",COUNTIF(Detalle_Pagos!$A$5:$A$2004,A437))</f>
        <v/>
      </c>
      <c r="K437" s="37">
        <f>IF(A437="","",IF(OR(J437=0,I437=""),"",I437/J437))</f>
        <v/>
      </c>
      <c r="L437" s="37">
        <f>IF(A437="","",SUMIF(Detalle_Pagos!$A$5:$A$2004,A437,Detalle_Pagos!$I$5:$I$2004))</f>
        <v/>
      </c>
      <c r="M437" s="37">
        <f>IF(A437="","",SUMIFS(Detalle_Pagos!$I$5:$I$2004,Detalle_Pagos!$A$5:$A$2004,A437,Detalle_Pagos!$J$5:$J$2004,"No"))</f>
        <v/>
      </c>
      <c r="N437" s="36">
        <f>IF(A437="","",IF(J437=0,"Sin detalle",IF(M437=0,"Pagada","Pendiente")))</f>
        <v/>
      </c>
      <c r="O437" s="36" t="n"/>
    </row>
    <row r="438">
      <c r="A438" s="38" t="n"/>
      <c r="B438" s="41" t="n"/>
      <c r="C438" s="38" t="n"/>
      <c r="D438" s="38" t="n"/>
      <c r="E438" s="38" t="n"/>
      <c r="F438" s="38" t="n"/>
      <c r="G438" s="39">
        <f>IF(A438="","",IFERROR(INDEX(Criterios!$B$4:$C$83,MATCH(D438,Criterios!$A$4:$A$83,0),IF(E438="Dentro horario",1,2)),""))</f>
        <v/>
      </c>
      <c r="H438" s="39" t="n"/>
      <c r="I438" s="39">
        <f>IF(A438="","",IF(OR(F438="",G438=""),"",F438*G438+N(H438)))</f>
        <v/>
      </c>
      <c r="J438" s="38">
        <f>IF(A438="","",COUNTIF(Detalle_Pagos!$A$5:$A$2004,A438))</f>
        <v/>
      </c>
      <c r="K438" s="39">
        <f>IF(A438="","",IF(OR(J438=0,I438=""),"",I438/J438))</f>
        <v/>
      </c>
      <c r="L438" s="39">
        <f>IF(A438="","",SUMIF(Detalle_Pagos!$A$5:$A$2004,A438,Detalle_Pagos!$I$5:$I$2004))</f>
        <v/>
      </c>
      <c r="M438" s="39">
        <f>IF(A438="","",SUMIFS(Detalle_Pagos!$I$5:$I$2004,Detalle_Pagos!$A$5:$A$2004,A438,Detalle_Pagos!$J$5:$J$2004,"No"))</f>
        <v/>
      </c>
      <c r="N438" s="38">
        <f>IF(A438="","",IF(J438=0,"Sin detalle",IF(M438=0,"Pagada","Pendiente")))</f>
        <v/>
      </c>
      <c r="O438" s="38" t="n"/>
    </row>
    <row r="439">
      <c r="A439" s="36" t="n"/>
      <c r="B439" s="40" t="n"/>
      <c r="C439" s="36" t="n"/>
      <c r="D439" s="36" t="n"/>
      <c r="E439" s="36" t="n"/>
      <c r="F439" s="36" t="n"/>
      <c r="G439" s="37">
        <f>IF(A439="","",IFERROR(INDEX(Criterios!$B$4:$C$83,MATCH(D439,Criterios!$A$4:$A$83,0),IF(E439="Dentro horario",1,2)),""))</f>
        <v/>
      </c>
      <c r="H439" s="37" t="n"/>
      <c r="I439" s="37">
        <f>IF(A439="","",IF(OR(F439="",G439=""),"",F439*G439+N(H439)))</f>
        <v/>
      </c>
      <c r="J439" s="36">
        <f>IF(A439="","",COUNTIF(Detalle_Pagos!$A$5:$A$2004,A439))</f>
        <v/>
      </c>
      <c r="K439" s="37">
        <f>IF(A439="","",IF(OR(J439=0,I439=""),"",I439/J439))</f>
        <v/>
      </c>
      <c r="L439" s="37">
        <f>IF(A439="","",SUMIF(Detalle_Pagos!$A$5:$A$2004,A439,Detalle_Pagos!$I$5:$I$2004))</f>
        <v/>
      </c>
      <c r="M439" s="37">
        <f>IF(A439="","",SUMIFS(Detalle_Pagos!$I$5:$I$2004,Detalle_Pagos!$A$5:$A$2004,A439,Detalle_Pagos!$J$5:$J$2004,"No"))</f>
        <v/>
      </c>
      <c r="N439" s="36">
        <f>IF(A439="","",IF(J439=0,"Sin detalle",IF(M439=0,"Pagada","Pendiente")))</f>
        <v/>
      </c>
      <c r="O439" s="36" t="n"/>
    </row>
    <row r="440">
      <c r="A440" s="38" t="n"/>
      <c r="B440" s="41" t="n"/>
      <c r="C440" s="38" t="n"/>
      <c r="D440" s="38" t="n"/>
      <c r="E440" s="38" t="n"/>
      <c r="F440" s="38" t="n"/>
      <c r="G440" s="39">
        <f>IF(A440="","",IFERROR(INDEX(Criterios!$B$4:$C$83,MATCH(D440,Criterios!$A$4:$A$83,0),IF(E440="Dentro horario",1,2)),""))</f>
        <v/>
      </c>
      <c r="H440" s="39" t="n"/>
      <c r="I440" s="39">
        <f>IF(A440="","",IF(OR(F440="",G440=""),"",F440*G440+N(H440)))</f>
        <v/>
      </c>
      <c r="J440" s="38">
        <f>IF(A440="","",COUNTIF(Detalle_Pagos!$A$5:$A$2004,A440))</f>
        <v/>
      </c>
      <c r="K440" s="39">
        <f>IF(A440="","",IF(OR(J440=0,I440=""),"",I440/J440))</f>
        <v/>
      </c>
      <c r="L440" s="39">
        <f>IF(A440="","",SUMIF(Detalle_Pagos!$A$5:$A$2004,A440,Detalle_Pagos!$I$5:$I$2004))</f>
        <v/>
      </c>
      <c r="M440" s="39">
        <f>IF(A440="","",SUMIFS(Detalle_Pagos!$I$5:$I$2004,Detalle_Pagos!$A$5:$A$2004,A440,Detalle_Pagos!$J$5:$J$2004,"No"))</f>
        <v/>
      </c>
      <c r="N440" s="38">
        <f>IF(A440="","",IF(J440=0,"Sin detalle",IF(M440=0,"Pagada","Pendiente")))</f>
        <v/>
      </c>
      <c r="O440" s="38" t="n"/>
    </row>
    <row r="441">
      <c r="A441" s="36" t="n"/>
      <c r="B441" s="40" t="n"/>
      <c r="C441" s="36" t="n"/>
      <c r="D441" s="36" t="n"/>
      <c r="E441" s="36" t="n"/>
      <c r="F441" s="36" t="n"/>
      <c r="G441" s="37">
        <f>IF(A441="","",IFERROR(INDEX(Criterios!$B$4:$C$83,MATCH(D441,Criterios!$A$4:$A$83,0),IF(E441="Dentro horario",1,2)),""))</f>
        <v/>
      </c>
      <c r="H441" s="37" t="n"/>
      <c r="I441" s="37">
        <f>IF(A441="","",IF(OR(F441="",G441=""),"",F441*G441+N(H441)))</f>
        <v/>
      </c>
      <c r="J441" s="36">
        <f>IF(A441="","",COUNTIF(Detalle_Pagos!$A$5:$A$2004,A441))</f>
        <v/>
      </c>
      <c r="K441" s="37">
        <f>IF(A441="","",IF(OR(J441=0,I441=""),"",I441/J441))</f>
        <v/>
      </c>
      <c r="L441" s="37">
        <f>IF(A441="","",SUMIF(Detalle_Pagos!$A$5:$A$2004,A441,Detalle_Pagos!$I$5:$I$2004))</f>
        <v/>
      </c>
      <c r="M441" s="37">
        <f>IF(A441="","",SUMIFS(Detalle_Pagos!$I$5:$I$2004,Detalle_Pagos!$A$5:$A$2004,A441,Detalle_Pagos!$J$5:$J$2004,"No"))</f>
        <v/>
      </c>
      <c r="N441" s="36">
        <f>IF(A441="","",IF(J441=0,"Sin detalle",IF(M441=0,"Pagada","Pendiente")))</f>
        <v/>
      </c>
      <c r="O441" s="36" t="n"/>
    </row>
    <row r="442">
      <c r="A442" s="38" t="n"/>
      <c r="B442" s="41" t="n"/>
      <c r="C442" s="38" t="n"/>
      <c r="D442" s="38" t="n"/>
      <c r="E442" s="38" t="n"/>
      <c r="F442" s="38" t="n"/>
      <c r="G442" s="39">
        <f>IF(A442="","",IFERROR(INDEX(Criterios!$B$4:$C$83,MATCH(D442,Criterios!$A$4:$A$83,0),IF(E442="Dentro horario",1,2)),""))</f>
        <v/>
      </c>
      <c r="H442" s="39" t="n"/>
      <c r="I442" s="39">
        <f>IF(A442="","",IF(OR(F442="",G442=""),"",F442*G442+N(H442)))</f>
        <v/>
      </c>
      <c r="J442" s="38">
        <f>IF(A442="","",COUNTIF(Detalle_Pagos!$A$5:$A$2004,A442))</f>
        <v/>
      </c>
      <c r="K442" s="39">
        <f>IF(A442="","",IF(OR(J442=0,I442=""),"",I442/J442))</f>
        <v/>
      </c>
      <c r="L442" s="39">
        <f>IF(A442="","",SUMIF(Detalle_Pagos!$A$5:$A$2004,A442,Detalle_Pagos!$I$5:$I$2004))</f>
        <v/>
      </c>
      <c r="M442" s="39">
        <f>IF(A442="","",SUMIFS(Detalle_Pagos!$I$5:$I$2004,Detalle_Pagos!$A$5:$A$2004,A442,Detalle_Pagos!$J$5:$J$2004,"No"))</f>
        <v/>
      </c>
      <c r="N442" s="38">
        <f>IF(A442="","",IF(J442=0,"Sin detalle",IF(M442=0,"Pagada","Pendiente")))</f>
        <v/>
      </c>
      <c r="O442" s="38" t="n"/>
    </row>
    <row r="443">
      <c r="A443" s="36" t="n"/>
      <c r="B443" s="40" t="n"/>
      <c r="C443" s="36" t="n"/>
      <c r="D443" s="36" t="n"/>
      <c r="E443" s="36" t="n"/>
      <c r="F443" s="36" t="n"/>
      <c r="G443" s="37">
        <f>IF(A443="","",IFERROR(INDEX(Criterios!$B$4:$C$83,MATCH(D443,Criterios!$A$4:$A$83,0),IF(E443="Dentro horario",1,2)),""))</f>
        <v/>
      </c>
      <c r="H443" s="37" t="n"/>
      <c r="I443" s="37">
        <f>IF(A443="","",IF(OR(F443="",G443=""),"",F443*G443+N(H443)))</f>
        <v/>
      </c>
      <c r="J443" s="36">
        <f>IF(A443="","",COUNTIF(Detalle_Pagos!$A$5:$A$2004,A443))</f>
        <v/>
      </c>
      <c r="K443" s="37">
        <f>IF(A443="","",IF(OR(J443=0,I443=""),"",I443/J443))</f>
        <v/>
      </c>
      <c r="L443" s="37">
        <f>IF(A443="","",SUMIF(Detalle_Pagos!$A$5:$A$2004,A443,Detalle_Pagos!$I$5:$I$2004))</f>
        <v/>
      </c>
      <c r="M443" s="37">
        <f>IF(A443="","",SUMIFS(Detalle_Pagos!$I$5:$I$2004,Detalle_Pagos!$A$5:$A$2004,A443,Detalle_Pagos!$J$5:$J$2004,"No"))</f>
        <v/>
      </c>
      <c r="N443" s="36">
        <f>IF(A443="","",IF(J443=0,"Sin detalle",IF(M443=0,"Pagada","Pendiente")))</f>
        <v/>
      </c>
      <c r="O443" s="36" t="n"/>
    </row>
    <row r="444">
      <c r="A444" s="38" t="n"/>
      <c r="B444" s="41" t="n"/>
      <c r="C444" s="38" t="n"/>
      <c r="D444" s="38" t="n"/>
      <c r="E444" s="38" t="n"/>
      <c r="F444" s="38" t="n"/>
      <c r="G444" s="39">
        <f>IF(A444="","",IFERROR(INDEX(Criterios!$B$4:$C$83,MATCH(D444,Criterios!$A$4:$A$83,0),IF(E444="Dentro horario",1,2)),""))</f>
        <v/>
      </c>
      <c r="H444" s="39" t="n"/>
      <c r="I444" s="39">
        <f>IF(A444="","",IF(OR(F444="",G444=""),"",F444*G444+N(H444)))</f>
        <v/>
      </c>
      <c r="J444" s="38">
        <f>IF(A444="","",COUNTIF(Detalle_Pagos!$A$5:$A$2004,A444))</f>
        <v/>
      </c>
      <c r="K444" s="39">
        <f>IF(A444="","",IF(OR(J444=0,I444=""),"",I444/J444))</f>
        <v/>
      </c>
      <c r="L444" s="39">
        <f>IF(A444="","",SUMIF(Detalle_Pagos!$A$5:$A$2004,A444,Detalle_Pagos!$I$5:$I$2004))</f>
        <v/>
      </c>
      <c r="M444" s="39">
        <f>IF(A444="","",SUMIFS(Detalle_Pagos!$I$5:$I$2004,Detalle_Pagos!$A$5:$A$2004,A444,Detalle_Pagos!$J$5:$J$2004,"No"))</f>
        <v/>
      </c>
      <c r="N444" s="38">
        <f>IF(A444="","",IF(J444=0,"Sin detalle",IF(M444=0,"Pagada","Pendiente")))</f>
        <v/>
      </c>
      <c r="O444" s="38" t="n"/>
    </row>
    <row r="445">
      <c r="A445" s="36" t="n"/>
      <c r="B445" s="40" t="n"/>
      <c r="C445" s="36" t="n"/>
      <c r="D445" s="36" t="n"/>
      <c r="E445" s="36" t="n"/>
      <c r="F445" s="36" t="n"/>
      <c r="G445" s="37">
        <f>IF(A445="","",IFERROR(INDEX(Criterios!$B$4:$C$83,MATCH(D445,Criterios!$A$4:$A$83,0),IF(E445="Dentro horario",1,2)),""))</f>
        <v/>
      </c>
      <c r="H445" s="37" t="n"/>
      <c r="I445" s="37">
        <f>IF(A445="","",IF(OR(F445="",G445=""),"",F445*G445+N(H445)))</f>
        <v/>
      </c>
      <c r="J445" s="36">
        <f>IF(A445="","",COUNTIF(Detalle_Pagos!$A$5:$A$2004,A445))</f>
        <v/>
      </c>
      <c r="K445" s="37">
        <f>IF(A445="","",IF(OR(J445=0,I445=""),"",I445/J445))</f>
        <v/>
      </c>
      <c r="L445" s="37">
        <f>IF(A445="","",SUMIF(Detalle_Pagos!$A$5:$A$2004,A445,Detalle_Pagos!$I$5:$I$2004))</f>
        <v/>
      </c>
      <c r="M445" s="37">
        <f>IF(A445="","",SUMIFS(Detalle_Pagos!$I$5:$I$2004,Detalle_Pagos!$A$5:$A$2004,A445,Detalle_Pagos!$J$5:$J$2004,"No"))</f>
        <v/>
      </c>
      <c r="N445" s="36">
        <f>IF(A445="","",IF(J445=0,"Sin detalle",IF(M445=0,"Pagada","Pendiente")))</f>
        <v/>
      </c>
      <c r="O445" s="36" t="n"/>
    </row>
    <row r="446">
      <c r="A446" s="38" t="n"/>
      <c r="B446" s="41" t="n"/>
      <c r="C446" s="38" t="n"/>
      <c r="D446" s="38" t="n"/>
      <c r="E446" s="38" t="n"/>
      <c r="F446" s="38" t="n"/>
      <c r="G446" s="39">
        <f>IF(A446="","",IFERROR(INDEX(Criterios!$B$4:$C$83,MATCH(D446,Criterios!$A$4:$A$83,0),IF(E446="Dentro horario",1,2)),""))</f>
        <v/>
      </c>
      <c r="H446" s="39" t="n"/>
      <c r="I446" s="39">
        <f>IF(A446="","",IF(OR(F446="",G446=""),"",F446*G446+N(H446)))</f>
        <v/>
      </c>
      <c r="J446" s="38">
        <f>IF(A446="","",COUNTIF(Detalle_Pagos!$A$5:$A$2004,A446))</f>
        <v/>
      </c>
      <c r="K446" s="39">
        <f>IF(A446="","",IF(OR(J446=0,I446=""),"",I446/J446))</f>
        <v/>
      </c>
      <c r="L446" s="39">
        <f>IF(A446="","",SUMIF(Detalle_Pagos!$A$5:$A$2004,A446,Detalle_Pagos!$I$5:$I$2004))</f>
        <v/>
      </c>
      <c r="M446" s="39">
        <f>IF(A446="","",SUMIFS(Detalle_Pagos!$I$5:$I$2004,Detalle_Pagos!$A$5:$A$2004,A446,Detalle_Pagos!$J$5:$J$2004,"No"))</f>
        <v/>
      </c>
      <c r="N446" s="38">
        <f>IF(A446="","",IF(J446=0,"Sin detalle",IF(M446=0,"Pagada","Pendiente")))</f>
        <v/>
      </c>
      <c r="O446" s="38" t="n"/>
    </row>
    <row r="447">
      <c r="A447" s="36" t="n"/>
      <c r="B447" s="40" t="n"/>
      <c r="C447" s="36" t="n"/>
      <c r="D447" s="36" t="n"/>
      <c r="E447" s="36" t="n"/>
      <c r="F447" s="36" t="n"/>
      <c r="G447" s="37">
        <f>IF(A447="","",IFERROR(INDEX(Criterios!$B$4:$C$83,MATCH(D447,Criterios!$A$4:$A$83,0),IF(E447="Dentro horario",1,2)),""))</f>
        <v/>
      </c>
      <c r="H447" s="37" t="n"/>
      <c r="I447" s="37">
        <f>IF(A447="","",IF(OR(F447="",G447=""),"",F447*G447+N(H447)))</f>
        <v/>
      </c>
      <c r="J447" s="36">
        <f>IF(A447="","",COUNTIF(Detalle_Pagos!$A$5:$A$2004,A447))</f>
        <v/>
      </c>
      <c r="K447" s="37">
        <f>IF(A447="","",IF(OR(J447=0,I447=""),"",I447/J447))</f>
        <v/>
      </c>
      <c r="L447" s="37">
        <f>IF(A447="","",SUMIF(Detalle_Pagos!$A$5:$A$2004,A447,Detalle_Pagos!$I$5:$I$2004))</f>
        <v/>
      </c>
      <c r="M447" s="37">
        <f>IF(A447="","",SUMIFS(Detalle_Pagos!$I$5:$I$2004,Detalle_Pagos!$A$5:$A$2004,A447,Detalle_Pagos!$J$5:$J$2004,"No"))</f>
        <v/>
      </c>
      <c r="N447" s="36">
        <f>IF(A447="","",IF(J447=0,"Sin detalle",IF(M447=0,"Pagada","Pendiente")))</f>
        <v/>
      </c>
      <c r="O447" s="36" t="n"/>
    </row>
    <row r="448">
      <c r="A448" s="38" t="n"/>
      <c r="B448" s="41" t="n"/>
      <c r="C448" s="38" t="n"/>
      <c r="D448" s="38" t="n"/>
      <c r="E448" s="38" t="n"/>
      <c r="F448" s="38" t="n"/>
      <c r="G448" s="39">
        <f>IF(A448="","",IFERROR(INDEX(Criterios!$B$4:$C$83,MATCH(D448,Criterios!$A$4:$A$83,0),IF(E448="Dentro horario",1,2)),""))</f>
        <v/>
      </c>
      <c r="H448" s="39" t="n"/>
      <c r="I448" s="39">
        <f>IF(A448="","",IF(OR(F448="",G448=""),"",F448*G448+N(H448)))</f>
        <v/>
      </c>
      <c r="J448" s="38">
        <f>IF(A448="","",COUNTIF(Detalle_Pagos!$A$5:$A$2004,A448))</f>
        <v/>
      </c>
      <c r="K448" s="39">
        <f>IF(A448="","",IF(OR(J448=0,I448=""),"",I448/J448))</f>
        <v/>
      </c>
      <c r="L448" s="39">
        <f>IF(A448="","",SUMIF(Detalle_Pagos!$A$5:$A$2004,A448,Detalle_Pagos!$I$5:$I$2004))</f>
        <v/>
      </c>
      <c r="M448" s="39">
        <f>IF(A448="","",SUMIFS(Detalle_Pagos!$I$5:$I$2004,Detalle_Pagos!$A$5:$A$2004,A448,Detalle_Pagos!$J$5:$J$2004,"No"))</f>
        <v/>
      </c>
      <c r="N448" s="38">
        <f>IF(A448="","",IF(J448=0,"Sin detalle",IF(M448=0,"Pagada","Pendiente")))</f>
        <v/>
      </c>
      <c r="O448" s="38" t="n"/>
    </row>
    <row r="449">
      <c r="A449" s="36" t="n"/>
      <c r="B449" s="40" t="n"/>
      <c r="C449" s="36" t="n"/>
      <c r="D449" s="36" t="n"/>
      <c r="E449" s="36" t="n"/>
      <c r="F449" s="36" t="n"/>
      <c r="G449" s="37">
        <f>IF(A449="","",IFERROR(INDEX(Criterios!$B$4:$C$83,MATCH(D449,Criterios!$A$4:$A$83,0),IF(E449="Dentro horario",1,2)),""))</f>
        <v/>
      </c>
      <c r="H449" s="37" t="n"/>
      <c r="I449" s="37">
        <f>IF(A449="","",IF(OR(F449="",G449=""),"",F449*G449+N(H449)))</f>
        <v/>
      </c>
      <c r="J449" s="36">
        <f>IF(A449="","",COUNTIF(Detalle_Pagos!$A$5:$A$2004,A449))</f>
        <v/>
      </c>
      <c r="K449" s="37">
        <f>IF(A449="","",IF(OR(J449=0,I449=""),"",I449/J449))</f>
        <v/>
      </c>
      <c r="L449" s="37">
        <f>IF(A449="","",SUMIF(Detalle_Pagos!$A$5:$A$2004,A449,Detalle_Pagos!$I$5:$I$2004))</f>
        <v/>
      </c>
      <c r="M449" s="37">
        <f>IF(A449="","",SUMIFS(Detalle_Pagos!$I$5:$I$2004,Detalle_Pagos!$A$5:$A$2004,A449,Detalle_Pagos!$J$5:$J$2004,"No"))</f>
        <v/>
      </c>
      <c r="N449" s="36">
        <f>IF(A449="","",IF(J449=0,"Sin detalle",IF(M449=0,"Pagada","Pendiente")))</f>
        <v/>
      </c>
      <c r="O449" s="36" t="n"/>
    </row>
    <row r="450">
      <c r="A450" s="38" t="n"/>
      <c r="B450" s="41" t="n"/>
      <c r="C450" s="38" t="n"/>
      <c r="D450" s="38" t="n"/>
      <c r="E450" s="38" t="n"/>
      <c r="F450" s="38" t="n"/>
      <c r="G450" s="39">
        <f>IF(A450="","",IFERROR(INDEX(Criterios!$B$4:$C$83,MATCH(D450,Criterios!$A$4:$A$83,0),IF(E450="Dentro horario",1,2)),""))</f>
        <v/>
      </c>
      <c r="H450" s="39" t="n"/>
      <c r="I450" s="39">
        <f>IF(A450="","",IF(OR(F450="",G450=""),"",F450*G450+N(H450)))</f>
        <v/>
      </c>
      <c r="J450" s="38">
        <f>IF(A450="","",COUNTIF(Detalle_Pagos!$A$5:$A$2004,A450))</f>
        <v/>
      </c>
      <c r="K450" s="39">
        <f>IF(A450="","",IF(OR(J450=0,I450=""),"",I450/J450))</f>
        <v/>
      </c>
      <c r="L450" s="39">
        <f>IF(A450="","",SUMIF(Detalle_Pagos!$A$5:$A$2004,A450,Detalle_Pagos!$I$5:$I$2004))</f>
        <v/>
      </c>
      <c r="M450" s="39">
        <f>IF(A450="","",SUMIFS(Detalle_Pagos!$I$5:$I$2004,Detalle_Pagos!$A$5:$A$2004,A450,Detalle_Pagos!$J$5:$J$2004,"No"))</f>
        <v/>
      </c>
      <c r="N450" s="38">
        <f>IF(A450="","",IF(J450=0,"Sin detalle",IF(M450=0,"Pagada","Pendiente")))</f>
        <v/>
      </c>
      <c r="O450" s="38" t="n"/>
    </row>
    <row r="451">
      <c r="A451" s="36" t="n"/>
      <c r="B451" s="40" t="n"/>
      <c r="C451" s="36" t="n"/>
      <c r="D451" s="36" t="n"/>
      <c r="E451" s="36" t="n"/>
      <c r="F451" s="36" t="n"/>
      <c r="G451" s="37">
        <f>IF(A451="","",IFERROR(INDEX(Criterios!$B$4:$C$83,MATCH(D451,Criterios!$A$4:$A$83,0),IF(E451="Dentro horario",1,2)),""))</f>
        <v/>
      </c>
      <c r="H451" s="37" t="n"/>
      <c r="I451" s="37">
        <f>IF(A451="","",IF(OR(F451="",G451=""),"",F451*G451+N(H451)))</f>
        <v/>
      </c>
      <c r="J451" s="36">
        <f>IF(A451="","",COUNTIF(Detalle_Pagos!$A$5:$A$2004,A451))</f>
        <v/>
      </c>
      <c r="K451" s="37">
        <f>IF(A451="","",IF(OR(J451=0,I451=""),"",I451/J451))</f>
        <v/>
      </c>
      <c r="L451" s="37">
        <f>IF(A451="","",SUMIF(Detalle_Pagos!$A$5:$A$2004,A451,Detalle_Pagos!$I$5:$I$2004))</f>
        <v/>
      </c>
      <c r="M451" s="37">
        <f>IF(A451="","",SUMIFS(Detalle_Pagos!$I$5:$I$2004,Detalle_Pagos!$A$5:$A$2004,A451,Detalle_Pagos!$J$5:$J$2004,"No"))</f>
        <v/>
      </c>
      <c r="N451" s="36">
        <f>IF(A451="","",IF(J451=0,"Sin detalle",IF(M451=0,"Pagada","Pendiente")))</f>
        <v/>
      </c>
      <c r="O451" s="36" t="n"/>
    </row>
    <row r="452">
      <c r="A452" s="38" t="n"/>
      <c r="B452" s="41" t="n"/>
      <c r="C452" s="38" t="n"/>
      <c r="D452" s="38" t="n"/>
      <c r="E452" s="38" t="n"/>
      <c r="F452" s="38" t="n"/>
      <c r="G452" s="39">
        <f>IF(A452="","",IFERROR(INDEX(Criterios!$B$4:$C$83,MATCH(D452,Criterios!$A$4:$A$83,0),IF(E452="Dentro horario",1,2)),""))</f>
        <v/>
      </c>
      <c r="H452" s="39" t="n"/>
      <c r="I452" s="39">
        <f>IF(A452="","",IF(OR(F452="",G452=""),"",F452*G452+N(H452)))</f>
        <v/>
      </c>
      <c r="J452" s="38">
        <f>IF(A452="","",COUNTIF(Detalle_Pagos!$A$5:$A$2004,A452))</f>
        <v/>
      </c>
      <c r="K452" s="39">
        <f>IF(A452="","",IF(OR(J452=0,I452=""),"",I452/J452))</f>
        <v/>
      </c>
      <c r="L452" s="39">
        <f>IF(A452="","",SUMIF(Detalle_Pagos!$A$5:$A$2004,A452,Detalle_Pagos!$I$5:$I$2004))</f>
        <v/>
      </c>
      <c r="M452" s="39">
        <f>IF(A452="","",SUMIFS(Detalle_Pagos!$I$5:$I$2004,Detalle_Pagos!$A$5:$A$2004,A452,Detalle_Pagos!$J$5:$J$2004,"No"))</f>
        <v/>
      </c>
      <c r="N452" s="38">
        <f>IF(A452="","",IF(J452=0,"Sin detalle",IF(M452=0,"Pagada","Pendiente")))</f>
        <v/>
      </c>
      <c r="O452" s="38" t="n"/>
    </row>
    <row r="453">
      <c r="A453" s="36" t="n"/>
      <c r="B453" s="40" t="n"/>
      <c r="C453" s="36" t="n"/>
      <c r="D453" s="36" t="n"/>
      <c r="E453" s="36" t="n"/>
      <c r="F453" s="36" t="n"/>
      <c r="G453" s="37">
        <f>IF(A453="","",IFERROR(INDEX(Criterios!$B$4:$C$83,MATCH(D453,Criterios!$A$4:$A$83,0),IF(E453="Dentro horario",1,2)),""))</f>
        <v/>
      </c>
      <c r="H453" s="37" t="n"/>
      <c r="I453" s="37">
        <f>IF(A453="","",IF(OR(F453="",G453=""),"",F453*G453+N(H453)))</f>
        <v/>
      </c>
      <c r="J453" s="36">
        <f>IF(A453="","",COUNTIF(Detalle_Pagos!$A$5:$A$2004,A453))</f>
        <v/>
      </c>
      <c r="K453" s="37">
        <f>IF(A453="","",IF(OR(J453=0,I453=""),"",I453/J453))</f>
        <v/>
      </c>
      <c r="L453" s="37">
        <f>IF(A453="","",SUMIF(Detalle_Pagos!$A$5:$A$2004,A453,Detalle_Pagos!$I$5:$I$2004))</f>
        <v/>
      </c>
      <c r="M453" s="37">
        <f>IF(A453="","",SUMIFS(Detalle_Pagos!$I$5:$I$2004,Detalle_Pagos!$A$5:$A$2004,A453,Detalle_Pagos!$J$5:$J$2004,"No"))</f>
        <v/>
      </c>
      <c r="N453" s="36">
        <f>IF(A453="","",IF(J453=0,"Sin detalle",IF(M453=0,"Pagada","Pendiente")))</f>
        <v/>
      </c>
      <c r="O453" s="36" t="n"/>
    </row>
    <row r="454">
      <c r="A454" s="38" t="n"/>
      <c r="B454" s="41" t="n"/>
      <c r="C454" s="38" t="n"/>
      <c r="D454" s="38" t="n"/>
      <c r="E454" s="38" t="n"/>
      <c r="F454" s="38" t="n"/>
      <c r="G454" s="39">
        <f>IF(A454="","",IFERROR(INDEX(Criterios!$B$4:$C$83,MATCH(D454,Criterios!$A$4:$A$83,0),IF(E454="Dentro horario",1,2)),""))</f>
        <v/>
      </c>
      <c r="H454" s="39" t="n"/>
      <c r="I454" s="39">
        <f>IF(A454="","",IF(OR(F454="",G454=""),"",F454*G454+N(H454)))</f>
        <v/>
      </c>
      <c r="J454" s="38">
        <f>IF(A454="","",COUNTIF(Detalle_Pagos!$A$5:$A$2004,A454))</f>
        <v/>
      </c>
      <c r="K454" s="39">
        <f>IF(A454="","",IF(OR(J454=0,I454=""),"",I454/J454))</f>
        <v/>
      </c>
      <c r="L454" s="39">
        <f>IF(A454="","",SUMIF(Detalle_Pagos!$A$5:$A$2004,A454,Detalle_Pagos!$I$5:$I$2004))</f>
        <v/>
      </c>
      <c r="M454" s="39">
        <f>IF(A454="","",SUMIFS(Detalle_Pagos!$I$5:$I$2004,Detalle_Pagos!$A$5:$A$2004,A454,Detalle_Pagos!$J$5:$J$2004,"No"))</f>
        <v/>
      </c>
      <c r="N454" s="38">
        <f>IF(A454="","",IF(J454=0,"Sin detalle",IF(M454=0,"Pagada","Pendiente")))</f>
        <v/>
      </c>
      <c r="O454" s="38" t="n"/>
    </row>
    <row r="455">
      <c r="A455" s="36" t="n"/>
      <c r="B455" s="40" t="n"/>
      <c r="C455" s="36" t="n"/>
      <c r="D455" s="36" t="n"/>
      <c r="E455" s="36" t="n"/>
      <c r="F455" s="36" t="n"/>
      <c r="G455" s="37">
        <f>IF(A455="","",IFERROR(INDEX(Criterios!$B$4:$C$83,MATCH(D455,Criterios!$A$4:$A$83,0),IF(E455="Dentro horario",1,2)),""))</f>
        <v/>
      </c>
      <c r="H455" s="37" t="n"/>
      <c r="I455" s="37">
        <f>IF(A455="","",IF(OR(F455="",G455=""),"",F455*G455+N(H455)))</f>
        <v/>
      </c>
      <c r="J455" s="36">
        <f>IF(A455="","",COUNTIF(Detalle_Pagos!$A$5:$A$2004,A455))</f>
        <v/>
      </c>
      <c r="K455" s="37">
        <f>IF(A455="","",IF(OR(J455=0,I455=""),"",I455/J455))</f>
        <v/>
      </c>
      <c r="L455" s="37">
        <f>IF(A455="","",SUMIF(Detalle_Pagos!$A$5:$A$2004,A455,Detalle_Pagos!$I$5:$I$2004))</f>
        <v/>
      </c>
      <c r="M455" s="37">
        <f>IF(A455="","",SUMIFS(Detalle_Pagos!$I$5:$I$2004,Detalle_Pagos!$A$5:$A$2004,A455,Detalle_Pagos!$J$5:$J$2004,"No"))</f>
        <v/>
      </c>
      <c r="N455" s="36">
        <f>IF(A455="","",IF(J455=0,"Sin detalle",IF(M455=0,"Pagada","Pendiente")))</f>
        <v/>
      </c>
      <c r="O455" s="36" t="n"/>
    </row>
    <row r="456">
      <c r="A456" s="38" t="n"/>
      <c r="B456" s="41" t="n"/>
      <c r="C456" s="38" t="n"/>
      <c r="D456" s="38" t="n"/>
      <c r="E456" s="38" t="n"/>
      <c r="F456" s="38" t="n"/>
      <c r="G456" s="39">
        <f>IF(A456="","",IFERROR(INDEX(Criterios!$B$4:$C$83,MATCH(D456,Criterios!$A$4:$A$83,0),IF(E456="Dentro horario",1,2)),""))</f>
        <v/>
      </c>
      <c r="H456" s="39" t="n"/>
      <c r="I456" s="39">
        <f>IF(A456="","",IF(OR(F456="",G456=""),"",F456*G456+N(H456)))</f>
        <v/>
      </c>
      <c r="J456" s="38">
        <f>IF(A456="","",COUNTIF(Detalle_Pagos!$A$5:$A$2004,A456))</f>
        <v/>
      </c>
      <c r="K456" s="39">
        <f>IF(A456="","",IF(OR(J456=0,I456=""),"",I456/J456))</f>
        <v/>
      </c>
      <c r="L456" s="39">
        <f>IF(A456="","",SUMIF(Detalle_Pagos!$A$5:$A$2004,A456,Detalle_Pagos!$I$5:$I$2004))</f>
        <v/>
      </c>
      <c r="M456" s="39">
        <f>IF(A456="","",SUMIFS(Detalle_Pagos!$I$5:$I$2004,Detalle_Pagos!$A$5:$A$2004,A456,Detalle_Pagos!$J$5:$J$2004,"No"))</f>
        <v/>
      </c>
      <c r="N456" s="38">
        <f>IF(A456="","",IF(J456=0,"Sin detalle",IF(M456=0,"Pagada","Pendiente")))</f>
        <v/>
      </c>
      <c r="O456" s="38" t="n"/>
    </row>
    <row r="457">
      <c r="A457" s="36" t="n"/>
      <c r="B457" s="40" t="n"/>
      <c r="C457" s="36" t="n"/>
      <c r="D457" s="36" t="n"/>
      <c r="E457" s="36" t="n"/>
      <c r="F457" s="36" t="n"/>
      <c r="G457" s="37">
        <f>IF(A457="","",IFERROR(INDEX(Criterios!$B$4:$C$83,MATCH(D457,Criterios!$A$4:$A$83,0),IF(E457="Dentro horario",1,2)),""))</f>
        <v/>
      </c>
      <c r="H457" s="37" t="n"/>
      <c r="I457" s="37">
        <f>IF(A457="","",IF(OR(F457="",G457=""),"",F457*G457+N(H457)))</f>
        <v/>
      </c>
      <c r="J457" s="36">
        <f>IF(A457="","",COUNTIF(Detalle_Pagos!$A$5:$A$2004,A457))</f>
        <v/>
      </c>
      <c r="K457" s="37">
        <f>IF(A457="","",IF(OR(J457=0,I457=""),"",I457/J457))</f>
        <v/>
      </c>
      <c r="L457" s="37">
        <f>IF(A457="","",SUMIF(Detalle_Pagos!$A$5:$A$2004,A457,Detalle_Pagos!$I$5:$I$2004))</f>
        <v/>
      </c>
      <c r="M457" s="37">
        <f>IF(A457="","",SUMIFS(Detalle_Pagos!$I$5:$I$2004,Detalle_Pagos!$A$5:$A$2004,A457,Detalle_Pagos!$J$5:$J$2004,"No"))</f>
        <v/>
      </c>
      <c r="N457" s="36">
        <f>IF(A457="","",IF(J457=0,"Sin detalle",IF(M457=0,"Pagada","Pendiente")))</f>
        <v/>
      </c>
      <c r="O457" s="36" t="n"/>
    </row>
    <row r="458">
      <c r="A458" s="38" t="n"/>
      <c r="B458" s="41" t="n"/>
      <c r="C458" s="38" t="n"/>
      <c r="D458" s="38" t="n"/>
      <c r="E458" s="38" t="n"/>
      <c r="F458" s="38" t="n"/>
      <c r="G458" s="39">
        <f>IF(A458="","",IFERROR(INDEX(Criterios!$B$4:$C$83,MATCH(D458,Criterios!$A$4:$A$83,0),IF(E458="Dentro horario",1,2)),""))</f>
        <v/>
      </c>
      <c r="H458" s="39" t="n"/>
      <c r="I458" s="39">
        <f>IF(A458="","",IF(OR(F458="",G458=""),"",F458*G458+N(H458)))</f>
        <v/>
      </c>
      <c r="J458" s="38">
        <f>IF(A458="","",COUNTIF(Detalle_Pagos!$A$5:$A$2004,A458))</f>
        <v/>
      </c>
      <c r="K458" s="39">
        <f>IF(A458="","",IF(OR(J458=0,I458=""),"",I458/J458))</f>
        <v/>
      </c>
      <c r="L458" s="39">
        <f>IF(A458="","",SUMIF(Detalle_Pagos!$A$5:$A$2004,A458,Detalle_Pagos!$I$5:$I$2004))</f>
        <v/>
      </c>
      <c r="M458" s="39">
        <f>IF(A458="","",SUMIFS(Detalle_Pagos!$I$5:$I$2004,Detalle_Pagos!$A$5:$A$2004,A458,Detalle_Pagos!$J$5:$J$2004,"No"))</f>
        <v/>
      </c>
      <c r="N458" s="38">
        <f>IF(A458="","",IF(J458=0,"Sin detalle",IF(M458=0,"Pagada","Pendiente")))</f>
        <v/>
      </c>
      <c r="O458" s="38" t="n"/>
    </row>
    <row r="459">
      <c r="A459" s="36" t="n"/>
      <c r="B459" s="40" t="n"/>
      <c r="C459" s="36" t="n"/>
      <c r="D459" s="36" t="n"/>
      <c r="E459" s="36" t="n"/>
      <c r="F459" s="36" t="n"/>
      <c r="G459" s="37">
        <f>IF(A459="","",IFERROR(INDEX(Criterios!$B$4:$C$83,MATCH(D459,Criterios!$A$4:$A$83,0),IF(E459="Dentro horario",1,2)),""))</f>
        <v/>
      </c>
      <c r="H459" s="37" t="n"/>
      <c r="I459" s="37">
        <f>IF(A459="","",IF(OR(F459="",G459=""),"",F459*G459+N(H459)))</f>
        <v/>
      </c>
      <c r="J459" s="36">
        <f>IF(A459="","",COUNTIF(Detalle_Pagos!$A$5:$A$2004,A459))</f>
        <v/>
      </c>
      <c r="K459" s="37">
        <f>IF(A459="","",IF(OR(J459=0,I459=""),"",I459/J459))</f>
        <v/>
      </c>
      <c r="L459" s="37">
        <f>IF(A459="","",SUMIF(Detalle_Pagos!$A$5:$A$2004,A459,Detalle_Pagos!$I$5:$I$2004))</f>
        <v/>
      </c>
      <c r="M459" s="37">
        <f>IF(A459="","",SUMIFS(Detalle_Pagos!$I$5:$I$2004,Detalle_Pagos!$A$5:$A$2004,A459,Detalle_Pagos!$J$5:$J$2004,"No"))</f>
        <v/>
      </c>
      <c r="N459" s="36">
        <f>IF(A459="","",IF(J459=0,"Sin detalle",IF(M459=0,"Pagada","Pendiente")))</f>
        <v/>
      </c>
      <c r="O459" s="36" t="n"/>
    </row>
    <row r="460">
      <c r="A460" s="38" t="n"/>
      <c r="B460" s="41" t="n"/>
      <c r="C460" s="38" t="n"/>
      <c r="D460" s="38" t="n"/>
      <c r="E460" s="38" t="n"/>
      <c r="F460" s="38" t="n"/>
      <c r="G460" s="39">
        <f>IF(A460="","",IFERROR(INDEX(Criterios!$B$4:$C$83,MATCH(D460,Criterios!$A$4:$A$83,0),IF(E460="Dentro horario",1,2)),""))</f>
        <v/>
      </c>
      <c r="H460" s="39" t="n"/>
      <c r="I460" s="39">
        <f>IF(A460="","",IF(OR(F460="",G460=""),"",F460*G460+N(H460)))</f>
        <v/>
      </c>
      <c r="J460" s="38">
        <f>IF(A460="","",COUNTIF(Detalle_Pagos!$A$5:$A$2004,A460))</f>
        <v/>
      </c>
      <c r="K460" s="39">
        <f>IF(A460="","",IF(OR(J460=0,I460=""),"",I460/J460))</f>
        <v/>
      </c>
      <c r="L460" s="39">
        <f>IF(A460="","",SUMIF(Detalle_Pagos!$A$5:$A$2004,A460,Detalle_Pagos!$I$5:$I$2004))</f>
        <v/>
      </c>
      <c r="M460" s="39">
        <f>IF(A460="","",SUMIFS(Detalle_Pagos!$I$5:$I$2004,Detalle_Pagos!$A$5:$A$2004,A460,Detalle_Pagos!$J$5:$J$2004,"No"))</f>
        <v/>
      </c>
      <c r="N460" s="38">
        <f>IF(A460="","",IF(J460=0,"Sin detalle",IF(M460=0,"Pagada","Pendiente")))</f>
        <v/>
      </c>
      <c r="O460" s="38" t="n"/>
    </row>
    <row r="461">
      <c r="A461" s="36" t="n"/>
      <c r="B461" s="40" t="n"/>
      <c r="C461" s="36" t="n"/>
      <c r="D461" s="36" t="n"/>
      <c r="E461" s="36" t="n"/>
      <c r="F461" s="36" t="n"/>
      <c r="G461" s="37">
        <f>IF(A461="","",IFERROR(INDEX(Criterios!$B$4:$C$83,MATCH(D461,Criterios!$A$4:$A$83,0),IF(E461="Dentro horario",1,2)),""))</f>
        <v/>
      </c>
      <c r="H461" s="37" t="n"/>
      <c r="I461" s="37">
        <f>IF(A461="","",IF(OR(F461="",G461=""),"",F461*G461+N(H461)))</f>
        <v/>
      </c>
      <c r="J461" s="36">
        <f>IF(A461="","",COUNTIF(Detalle_Pagos!$A$5:$A$2004,A461))</f>
        <v/>
      </c>
      <c r="K461" s="37">
        <f>IF(A461="","",IF(OR(J461=0,I461=""),"",I461/J461))</f>
        <v/>
      </c>
      <c r="L461" s="37">
        <f>IF(A461="","",SUMIF(Detalle_Pagos!$A$5:$A$2004,A461,Detalle_Pagos!$I$5:$I$2004))</f>
        <v/>
      </c>
      <c r="M461" s="37">
        <f>IF(A461="","",SUMIFS(Detalle_Pagos!$I$5:$I$2004,Detalle_Pagos!$A$5:$A$2004,A461,Detalle_Pagos!$J$5:$J$2004,"No"))</f>
        <v/>
      </c>
      <c r="N461" s="36">
        <f>IF(A461="","",IF(J461=0,"Sin detalle",IF(M461=0,"Pagada","Pendiente")))</f>
        <v/>
      </c>
      <c r="O461" s="36" t="n"/>
    </row>
    <row r="462">
      <c r="A462" s="38" t="n"/>
      <c r="B462" s="41" t="n"/>
      <c r="C462" s="38" t="n"/>
      <c r="D462" s="38" t="n"/>
      <c r="E462" s="38" t="n"/>
      <c r="F462" s="38" t="n"/>
      <c r="G462" s="39">
        <f>IF(A462="","",IFERROR(INDEX(Criterios!$B$4:$C$83,MATCH(D462,Criterios!$A$4:$A$83,0),IF(E462="Dentro horario",1,2)),""))</f>
        <v/>
      </c>
      <c r="H462" s="39" t="n"/>
      <c r="I462" s="39">
        <f>IF(A462="","",IF(OR(F462="",G462=""),"",F462*G462+N(H462)))</f>
        <v/>
      </c>
      <c r="J462" s="38">
        <f>IF(A462="","",COUNTIF(Detalle_Pagos!$A$5:$A$2004,A462))</f>
        <v/>
      </c>
      <c r="K462" s="39">
        <f>IF(A462="","",IF(OR(J462=0,I462=""),"",I462/J462))</f>
        <v/>
      </c>
      <c r="L462" s="39">
        <f>IF(A462="","",SUMIF(Detalle_Pagos!$A$5:$A$2004,A462,Detalle_Pagos!$I$5:$I$2004))</f>
        <v/>
      </c>
      <c r="M462" s="39">
        <f>IF(A462="","",SUMIFS(Detalle_Pagos!$I$5:$I$2004,Detalle_Pagos!$A$5:$A$2004,A462,Detalle_Pagos!$J$5:$J$2004,"No"))</f>
        <v/>
      </c>
      <c r="N462" s="38">
        <f>IF(A462="","",IF(J462=0,"Sin detalle",IF(M462=0,"Pagada","Pendiente")))</f>
        <v/>
      </c>
      <c r="O462" s="38" t="n"/>
    </row>
    <row r="463">
      <c r="A463" s="36" t="n"/>
      <c r="B463" s="40" t="n"/>
      <c r="C463" s="36" t="n"/>
      <c r="D463" s="36" t="n"/>
      <c r="E463" s="36" t="n"/>
      <c r="F463" s="36" t="n"/>
      <c r="G463" s="37">
        <f>IF(A463="","",IFERROR(INDEX(Criterios!$B$4:$C$83,MATCH(D463,Criterios!$A$4:$A$83,0),IF(E463="Dentro horario",1,2)),""))</f>
        <v/>
      </c>
      <c r="H463" s="37" t="n"/>
      <c r="I463" s="37">
        <f>IF(A463="","",IF(OR(F463="",G463=""),"",F463*G463+N(H463)))</f>
        <v/>
      </c>
      <c r="J463" s="36">
        <f>IF(A463="","",COUNTIF(Detalle_Pagos!$A$5:$A$2004,A463))</f>
        <v/>
      </c>
      <c r="K463" s="37">
        <f>IF(A463="","",IF(OR(J463=0,I463=""),"",I463/J463))</f>
        <v/>
      </c>
      <c r="L463" s="37">
        <f>IF(A463="","",SUMIF(Detalle_Pagos!$A$5:$A$2004,A463,Detalle_Pagos!$I$5:$I$2004))</f>
        <v/>
      </c>
      <c r="M463" s="37">
        <f>IF(A463="","",SUMIFS(Detalle_Pagos!$I$5:$I$2004,Detalle_Pagos!$A$5:$A$2004,A463,Detalle_Pagos!$J$5:$J$2004,"No"))</f>
        <v/>
      </c>
      <c r="N463" s="36">
        <f>IF(A463="","",IF(J463=0,"Sin detalle",IF(M463=0,"Pagada","Pendiente")))</f>
        <v/>
      </c>
      <c r="O463" s="36" t="n"/>
    </row>
    <row r="464">
      <c r="A464" s="38" t="n"/>
      <c r="B464" s="41" t="n"/>
      <c r="C464" s="38" t="n"/>
      <c r="D464" s="38" t="n"/>
      <c r="E464" s="38" t="n"/>
      <c r="F464" s="38" t="n"/>
      <c r="G464" s="39">
        <f>IF(A464="","",IFERROR(INDEX(Criterios!$B$4:$C$83,MATCH(D464,Criterios!$A$4:$A$83,0),IF(E464="Dentro horario",1,2)),""))</f>
        <v/>
      </c>
      <c r="H464" s="39" t="n"/>
      <c r="I464" s="39">
        <f>IF(A464="","",IF(OR(F464="",G464=""),"",F464*G464+N(H464)))</f>
        <v/>
      </c>
      <c r="J464" s="38">
        <f>IF(A464="","",COUNTIF(Detalle_Pagos!$A$5:$A$2004,A464))</f>
        <v/>
      </c>
      <c r="K464" s="39">
        <f>IF(A464="","",IF(OR(J464=0,I464=""),"",I464/J464))</f>
        <v/>
      </c>
      <c r="L464" s="39">
        <f>IF(A464="","",SUMIF(Detalle_Pagos!$A$5:$A$2004,A464,Detalle_Pagos!$I$5:$I$2004))</f>
        <v/>
      </c>
      <c r="M464" s="39">
        <f>IF(A464="","",SUMIFS(Detalle_Pagos!$I$5:$I$2004,Detalle_Pagos!$A$5:$A$2004,A464,Detalle_Pagos!$J$5:$J$2004,"No"))</f>
        <v/>
      </c>
      <c r="N464" s="38">
        <f>IF(A464="","",IF(J464=0,"Sin detalle",IF(M464=0,"Pagada","Pendiente")))</f>
        <v/>
      </c>
      <c r="O464" s="38" t="n"/>
    </row>
    <row r="465">
      <c r="A465" s="36" t="n"/>
      <c r="B465" s="40" t="n"/>
      <c r="C465" s="36" t="n"/>
      <c r="D465" s="36" t="n"/>
      <c r="E465" s="36" t="n"/>
      <c r="F465" s="36" t="n"/>
      <c r="G465" s="37">
        <f>IF(A465="","",IFERROR(INDEX(Criterios!$B$4:$C$83,MATCH(D465,Criterios!$A$4:$A$83,0),IF(E465="Dentro horario",1,2)),""))</f>
        <v/>
      </c>
      <c r="H465" s="37" t="n"/>
      <c r="I465" s="37">
        <f>IF(A465="","",IF(OR(F465="",G465=""),"",F465*G465+N(H465)))</f>
        <v/>
      </c>
      <c r="J465" s="36">
        <f>IF(A465="","",COUNTIF(Detalle_Pagos!$A$5:$A$2004,A465))</f>
        <v/>
      </c>
      <c r="K465" s="37">
        <f>IF(A465="","",IF(OR(J465=0,I465=""),"",I465/J465))</f>
        <v/>
      </c>
      <c r="L465" s="37">
        <f>IF(A465="","",SUMIF(Detalle_Pagos!$A$5:$A$2004,A465,Detalle_Pagos!$I$5:$I$2004))</f>
        <v/>
      </c>
      <c r="M465" s="37">
        <f>IF(A465="","",SUMIFS(Detalle_Pagos!$I$5:$I$2004,Detalle_Pagos!$A$5:$A$2004,A465,Detalle_Pagos!$J$5:$J$2004,"No"))</f>
        <v/>
      </c>
      <c r="N465" s="36">
        <f>IF(A465="","",IF(J465=0,"Sin detalle",IF(M465=0,"Pagada","Pendiente")))</f>
        <v/>
      </c>
      <c r="O465" s="36" t="n"/>
    </row>
    <row r="466">
      <c r="A466" s="38" t="n"/>
      <c r="B466" s="41" t="n"/>
      <c r="C466" s="38" t="n"/>
      <c r="D466" s="38" t="n"/>
      <c r="E466" s="38" t="n"/>
      <c r="F466" s="38" t="n"/>
      <c r="G466" s="39">
        <f>IF(A466="","",IFERROR(INDEX(Criterios!$B$4:$C$83,MATCH(D466,Criterios!$A$4:$A$83,0),IF(E466="Dentro horario",1,2)),""))</f>
        <v/>
      </c>
      <c r="H466" s="39" t="n"/>
      <c r="I466" s="39">
        <f>IF(A466="","",IF(OR(F466="",G466=""),"",F466*G466+N(H466)))</f>
        <v/>
      </c>
      <c r="J466" s="38">
        <f>IF(A466="","",COUNTIF(Detalle_Pagos!$A$5:$A$2004,A466))</f>
        <v/>
      </c>
      <c r="K466" s="39">
        <f>IF(A466="","",IF(OR(J466=0,I466=""),"",I466/J466))</f>
        <v/>
      </c>
      <c r="L466" s="39">
        <f>IF(A466="","",SUMIF(Detalle_Pagos!$A$5:$A$2004,A466,Detalle_Pagos!$I$5:$I$2004))</f>
        <v/>
      </c>
      <c r="M466" s="39">
        <f>IF(A466="","",SUMIFS(Detalle_Pagos!$I$5:$I$2004,Detalle_Pagos!$A$5:$A$2004,A466,Detalle_Pagos!$J$5:$J$2004,"No"))</f>
        <v/>
      </c>
      <c r="N466" s="38">
        <f>IF(A466="","",IF(J466=0,"Sin detalle",IF(M466=0,"Pagada","Pendiente")))</f>
        <v/>
      </c>
      <c r="O466" s="38" t="n"/>
    </row>
    <row r="467">
      <c r="A467" s="36" t="n"/>
      <c r="B467" s="40" t="n"/>
      <c r="C467" s="36" t="n"/>
      <c r="D467" s="36" t="n"/>
      <c r="E467" s="36" t="n"/>
      <c r="F467" s="36" t="n"/>
      <c r="G467" s="37">
        <f>IF(A467="","",IFERROR(INDEX(Criterios!$B$4:$C$83,MATCH(D467,Criterios!$A$4:$A$83,0),IF(E467="Dentro horario",1,2)),""))</f>
        <v/>
      </c>
      <c r="H467" s="37" t="n"/>
      <c r="I467" s="37">
        <f>IF(A467="","",IF(OR(F467="",G467=""),"",F467*G467+N(H467)))</f>
        <v/>
      </c>
      <c r="J467" s="36">
        <f>IF(A467="","",COUNTIF(Detalle_Pagos!$A$5:$A$2004,A467))</f>
        <v/>
      </c>
      <c r="K467" s="37">
        <f>IF(A467="","",IF(OR(J467=0,I467=""),"",I467/J467))</f>
        <v/>
      </c>
      <c r="L467" s="37">
        <f>IF(A467="","",SUMIF(Detalle_Pagos!$A$5:$A$2004,A467,Detalle_Pagos!$I$5:$I$2004))</f>
        <v/>
      </c>
      <c r="M467" s="37">
        <f>IF(A467="","",SUMIFS(Detalle_Pagos!$I$5:$I$2004,Detalle_Pagos!$A$5:$A$2004,A467,Detalle_Pagos!$J$5:$J$2004,"No"))</f>
        <v/>
      </c>
      <c r="N467" s="36">
        <f>IF(A467="","",IF(J467=0,"Sin detalle",IF(M467=0,"Pagada","Pendiente")))</f>
        <v/>
      </c>
      <c r="O467" s="36" t="n"/>
    </row>
    <row r="468">
      <c r="A468" s="38" t="n"/>
      <c r="B468" s="41" t="n"/>
      <c r="C468" s="38" t="n"/>
      <c r="D468" s="38" t="n"/>
      <c r="E468" s="38" t="n"/>
      <c r="F468" s="38" t="n"/>
      <c r="G468" s="39">
        <f>IF(A468="","",IFERROR(INDEX(Criterios!$B$4:$C$83,MATCH(D468,Criterios!$A$4:$A$83,0),IF(E468="Dentro horario",1,2)),""))</f>
        <v/>
      </c>
      <c r="H468" s="39" t="n"/>
      <c r="I468" s="39">
        <f>IF(A468="","",IF(OR(F468="",G468=""),"",F468*G468+N(H468)))</f>
        <v/>
      </c>
      <c r="J468" s="38">
        <f>IF(A468="","",COUNTIF(Detalle_Pagos!$A$5:$A$2004,A468))</f>
        <v/>
      </c>
      <c r="K468" s="39">
        <f>IF(A468="","",IF(OR(J468=0,I468=""),"",I468/J468))</f>
        <v/>
      </c>
      <c r="L468" s="39">
        <f>IF(A468="","",SUMIF(Detalle_Pagos!$A$5:$A$2004,A468,Detalle_Pagos!$I$5:$I$2004))</f>
        <v/>
      </c>
      <c r="M468" s="39">
        <f>IF(A468="","",SUMIFS(Detalle_Pagos!$I$5:$I$2004,Detalle_Pagos!$A$5:$A$2004,A468,Detalle_Pagos!$J$5:$J$2004,"No"))</f>
        <v/>
      </c>
      <c r="N468" s="38">
        <f>IF(A468="","",IF(J468=0,"Sin detalle",IF(M468=0,"Pagada","Pendiente")))</f>
        <v/>
      </c>
      <c r="O468" s="38" t="n"/>
    </row>
    <row r="469">
      <c r="A469" s="36" t="n"/>
      <c r="B469" s="40" t="n"/>
      <c r="C469" s="36" t="n"/>
      <c r="D469" s="36" t="n"/>
      <c r="E469" s="36" t="n"/>
      <c r="F469" s="36" t="n"/>
      <c r="G469" s="37">
        <f>IF(A469="","",IFERROR(INDEX(Criterios!$B$4:$C$83,MATCH(D469,Criterios!$A$4:$A$83,0),IF(E469="Dentro horario",1,2)),""))</f>
        <v/>
      </c>
      <c r="H469" s="37" t="n"/>
      <c r="I469" s="37">
        <f>IF(A469="","",IF(OR(F469="",G469=""),"",F469*G469+N(H469)))</f>
        <v/>
      </c>
      <c r="J469" s="36">
        <f>IF(A469="","",COUNTIF(Detalle_Pagos!$A$5:$A$2004,A469))</f>
        <v/>
      </c>
      <c r="K469" s="37">
        <f>IF(A469="","",IF(OR(J469=0,I469=""),"",I469/J469))</f>
        <v/>
      </c>
      <c r="L469" s="37">
        <f>IF(A469="","",SUMIF(Detalle_Pagos!$A$5:$A$2004,A469,Detalle_Pagos!$I$5:$I$2004))</f>
        <v/>
      </c>
      <c r="M469" s="37">
        <f>IF(A469="","",SUMIFS(Detalle_Pagos!$I$5:$I$2004,Detalle_Pagos!$A$5:$A$2004,A469,Detalle_Pagos!$J$5:$J$2004,"No"))</f>
        <v/>
      </c>
      <c r="N469" s="36">
        <f>IF(A469="","",IF(J469=0,"Sin detalle",IF(M469=0,"Pagada","Pendiente")))</f>
        <v/>
      </c>
      <c r="O469" s="36" t="n"/>
    </row>
    <row r="470">
      <c r="A470" s="38" t="n"/>
      <c r="B470" s="41" t="n"/>
      <c r="C470" s="38" t="n"/>
      <c r="D470" s="38" t="n"/>
      <c r="E470" s="38" t="n"/>
      <c r="F470" s="38" t="n"/>
      <c r="G470" s="39">
        <f>IF(A470="","",IFERROR(INDEX(Criterios!$B$4:$C$83,MATCH(D470,Criterios!$A$4:$A$83,0),IF(E470="Dentro horario",1,2)),""))</f>
        <v/>
      </c>
      <c r="H470" s="39" t="n"/>
      <c r="I470" s="39">
        <f>IF(A470="","",IF(OR(F470="",G470=""),"",F470*G470+N(H470)))</f>
        <v/>
      </c>
      <c r="J470" s="38">
        <f>IF(A470="","",COUNTIF(Detalle_Pagos!$A$5:$A$2004,A470))</f>
        <v/>
      </c>
      <c r="K470" s="39">
        <f>IF(A470="","",IF(OR(J470=0,I470=""),"",I470/J470))</f>
        <v/>
      </c>
      <c r="L470" s="39">
        <f>IF(A470="","",SUMIF(Detalle_Pagos!$A$5:$A$2004,A470,Detalle_Pagos!$I$5:$I$2004))</f>
        <v/>
      </c>
      <c r="M470" s="39">
        <f>IF(A470="","",SUMIFS(Detalle_Pagos!$I$5:$I$2004,Detalle_Pagos!$A$5:$A$2004,A470,Detalle_Pagos!$J$5:$J$2004,"No"))</f>
        <v/>
      </c>
      <c r="N470" s="38">
        <f>IF(A470="","",IF(J470=0,"Sin detalle",IF(M470=0,"Pagada","Pendiente")))</f>
        <v/>
      </c>
      <c r="O470" s="38" t="n"/>
    </row>
    <row r="471">
      <c r="A471" s="36" t="n"/>
      <c r="B471" s="40" t="n"/>
      <c r="C471" s="36" t="n"/>
      <c r="D471" s="36" t="n"/>
      <c r="E471" s="36" t="n"/>
      <c r="F471" s="36" t="n"/>
      <c r="G471" s="37">
        <f>IF(A471="","",IFERROR(INDEX(Criterios!$B$4:$C$83,MATCH(D471,Criterios!$A$4:$A$83,0),IF(E471="Dentro horario",1,2)),""))</f>
        <v/>
      </c>
      <c r="H471" s="37" t="n"/>
      <c r="I471" s="37">
        <f>IF(A471="","",IF(OR(F471="",G471=""),"",F471*G471+N(H471)))</f>
        <v/>
      </c>
      <c r="J471" s="36">
        <f>IF(A471="","",COUNTIF(Detalle_Pagos!$A$5:$A$2004,A471))</f>
        <v/>
      </c>
      <c r="K471" s="37">
        <f>IF(A471="","",IF(OR(J471=0,I471=""),"",I471/J471))</f>
        <v/>
      </c>
      <c r="L471" s="37">
        <f>IF(A471="","",SUMIF(Detalle_Pagos!$A$5:$A$2004,A471,Detalle_Pagos!$I$5:$I$2004))</f>
        <v/>
      </c>
      <c r="M471" s="37">
        <f>IF(A471="","",SUMIFS(Detalle_Pagos!$I$5:$I$2004,Detalle_Pagos!$A$5:$A$2004,A471,Detalle_Pagos!$J$5:$J$2004,"No"))</f>
        <v/>
      </c>
      <c r="N471" s="36">
        <f>IF(A471="","",IF(J471=0,"Sin detalle",IF(M471=0,"Pagada","Pendiente")))</f>
        <v/>
      </c>
      <c r="O471" s="36" t="n"/>
    </row>
    <row r="472">
      <c r="A472" s="38" t="n"/>
      <c r="B472" s="41" t="n"/>
      <c r="C472" s="38" t="n"/>
      <c r="D472" s="38" t="n"/>
      <c r="E472" s="38" t="n"/>
      <c r="F472" s="38" t="n"/>
      <c r="G472" s="39">
        <f>IF(A472="","",IFERROR(INDEX(Criterios!$B$4:$C$83,MATCH(D472,Criterios!$A$4:$A$83,0),IF(E472="Dentro horario",1,2)),""))</f>
        <v/>
      </c>
      <c r="H472" s="39" t="n"/>
      <c r="I472" s="39">
        <f>IF(A472="","",IF(OR(F472="",G472=""),"",F472*G472+N(H472)))</f>
        <v/>
      </c>
      <c r="J472" s="38">
        <f>IF(A472="","",COUNTIF(Detalle_Pagos!$A$5:$A$2004,A472))</f>
        <v/>
      </c>
      <c r="K472" s="39">
        <f>IF(A472="","",IF(OR(J472=0,I472=""),"",I472/J472))</f>
        <v/>
      </c>
      <c r="L472" s="39">
        <f>IF(A472="","",SUMIF(Detalle_Pagos!$A$5:$A$2004,A472,Detalle_Pagos!$I$5:$I$2004))</f>
        <v/>
      </c>
      <c r="M472" s="39">
        <f>IF(A472="","",SUMIFS(Detalle_Pagos!$I$5:$I$2004,Detalle_Pagos!$A$5:$A$2004,A472,Detalle_Pagos!$J$5:$J$2004,"No"))</f>
        <v/>
      </c>
      <c r="N472" s="38">
        <f>IF(A472="","",IF(J472=0,"Sin detalle",IF(M472=0,"Pagada","Pendiente")))</f>
        <v/>
      </c>
      <c r="O472" s="38" t="n"/>
    </row>
    <row r="473">
      <c r="A473" s="36" t="n"/>
      <c r="B473" s="40" t="n"/>
      <c r="C473" s="36" t="n"/>
      <c r="D473" s="36" t="n"/>
      <c r="E473" s="36" t="n"/>
      <c r="F473" s="36" t="n"/>
      <c r="G473" s="37">
        <f>IF(A473="","",IFERROR(INDEX(Criterios!$B$4:$C$83,MATCH(D473,Criterios!$A$4:$A$83,0),IF(E473="Dentro horario",1,2)),""))</f>
        <v/>
      </c>
      <c r="H473" s="37" t="n"/>
      <c r="I473" s="37">
        <f>IF(A473="","",IF(OR(F473="",G473=""),"",F473*G473+N(H473)))</f>
        <v/>
      </c>
      <c r="J473" s="36">
        <f>IF(A473="","",COUNTIF(Detalle_Pagos!$A$5:$A$2004,A473))</f>
        <v/>
      </c>
      <c r="K473" s="37">
        <f>IF(A473="","",IF(OR(J473=0,I473=""),"",I473/J473))</f>
        <v/>
      </c>
      <c r="L473" s="37">
        <f>IF(A473="","",SUMIF(Detalle_Pagos!$A$5:$A$2004,A473,Detalle_Pagos!$I$5:$I$2004))</f>
        <v/>
      </c>
      <c r="M473" s="37">
        <f>IF(A473="","",SUMIFS(Detalle_Pagos!$I$5:$I$2004,Detalle_Pagos!$A$5:$A$2004,A473,Detalle_Pagos!$J$5:$J$2004,"No"))</f>
        <v/>
      </c>
      <c r="N473" s="36">
        <f>IF(A473="","",IF(J473=0,"Sin detalle",IF(M473=0,"Pagada","Pendiente")))</f>
        <v/>
      </c>
      <c r="O473" s="36" t="n"/>
    </row>
    <row r="474">
      <c r="A474" s="38" t="n"/>
      <c r="B474" s="41" t="n"/>
      <c r="C474" s="38" t="n"/>
      <c r="D474" s="38" t="n"/>
      <c r="E474" s="38" t="n"/>
      <c r="F474" s="38" t="n"/>
      <c r="G474" s="39">
        <f>IF(A474="","",IFERROR(INDEX(Criterios!$B$4:$C$83,MATCH(D474,Criterios!$A$4:$A$83,0),IF(E474="Dentro horario",1,2)),""))</f>
        <v/>
      </c>
      <c r="H474" s="39" t="n"/>
      <c r="I474" s="39">
        <f>IF(A474="","",IF(OR(F474="",G474=""),"",F474*G474+N(H474)))</f>
        <v/>
      </c>
      <c r="J474" s="38">
        <f>IF(A474="","",COUNTIF(Detalle_Pagos!$A$5:$A$2004,A474))</f>
        <v/>
      </c>
      <c r="K474" s="39">
        <f>IF(A474="","",IF(OR(J474=0,I474=""),"",I474/J474))</f>
        <v/>
      </c>
      <c r="L474" s="39">
        <f>IF(A474="","",SUMIF(Detalle_Pagos!$A$5:$A$2004,A474,Detalle_Pagos!$I$5:$I$2004))</f>
        <v/>
      </c>
      <c r="M474" s="39">
        <f>IF(A474="","",SUMIFS(Detalle_Pagos!$I$5:$I$2004,Detalle_Pagos!$A$5:$A$2004,A474,Detalle_Pagos!$J$5:$J$2004,"No"))</f>
        <v/>
      </c>
      <c r="N474" s="38">
        <f>IF(A474="","",IF(J474=0,"Sin detalle",IF(M474=0,"Pagada","Pendiente")))</f>
        <v/>
      </c>
      <c r="O474" s="38" t="n"/>
    </row>
    <row r="475">
      <c r="A475" s="36" t="n"/>
      <c r="B475" s="40" t="n"/>
      <c r="C475" s="36" t="n"/>
      <c r="D475" s="36" t="n"/>
      <c r="E475" s="36" t="n"/>
      <c r="F475" s="36" t="n"/>
      <c r="G475" s="37">
        <f>IF(A475="","",IFERROR(INDEX(Criterios!$B$4:$C$83,MATCH(D475,Criterios!$A$4:$A$83,0),IF(E475="Dentro horario",1,2)),""))</f>
        <v/>
      </c>
      <c r="H475" s="37" t="n"/>
      <c r="I475" s="37">
        <f>IF(A475="","",IF(OR(F475="",G475=""),"",F475*G475+N(H475)))</f>
        <v/>
      </c>
      <c r="J475" s="36">
        <f>IF(A475="","",COUNTIF(Detalle_Pagos!$A$5:$A$2004,A475))</f>
        <v/>
      </c>
      <c r="K475" s="37">
        <f>IF(A475="","",IF(OR(J475=0,I475=""),"",I475/J475))</f>
        <v/>
      </c>
      <c r="L475" s="37">
        <f>IF(A475="","",SUMIF(Detalle_Pagos!$A$5:$A$2004,A475,Detalle_Pagos!$I$5:$I$2004))</f>
        <v/>
      </c>
      <c r="M475" s="37">
        <f>IF(A475="","",SUMIFS(Detalle_Pagos!$I$5:$I$2004,Detalle_Pagos!$A$5:$A$2004,A475,Detalle_Pagos!$J$5:$J$2004,"No"))</f>
        <v/>
      </c>
      <c r="N475" s="36">
        <f>IF(A475="","",IF(J475=0,"Sin detalle",IF(M475=0,"Pagada","Pendiente")))</f>
        <v/>
      </c>
      <c r="O475" s="36" t="n"/>
    </row>
    <row r="476">
      <c r="A476" s="38" t="n"/>
      <c r="B476" s="41" t="n"/>
      <c r="C476" s="38" t="n"/>
      <c r="D476" s="38" t="n"/>
      <c r="E476" s="38" t="n"/>
      <c r="F476" s="38" t="n"/>
      <c r="G476" s="39">
        <f>IF(A476="","",IFERROR(INDEX(Criterios!$B$4:$C$83,MATCH(D476,Criterios!$A$4:$A$83,0),IF(E476="Dentro horario",1,2)),""))</f>
        <v/>
      </c>
      <c r="H476" s="39" t="n"/>
      <c r="I476" s="39">
        <f>IF(A476="","",IF(OR(F476="",G476=""),"",F476*G476+N(H476)))</f>
        <v/>
      </c>
      <c r="J476" s="38">
        <f>IF(A476="","",COUNTIF(Detalle_Pagos!$A$5:$A$2004,A476))</f>
        <v/>
      </c>
      <c r="K476" s="39">
        <f>IF(A476="","",IF(OR(J476=0,I476=""),"",I476/J476))</f>
        <v/>
      </c>
      <c r="L476" s="39">
        <f>IF(A476="","",SUMIF(Detalle_Pagos!$A$5:$A$2004,A476,Detalle_Pagos!$I$5:$I$2004))</f>
        <v/>
      </c>
      <c r="M476" s="39">
        <f>IF(A476="","",SUMIFS(Detalle_Pagos!$I$5:$I$2004,Detalle_Pagos!$A$5:$A$2004,A476,Detalle_Pagos!$J$5:$J$2004,"No"))</f>
        <v/>
      </c>
      <c r="N476" s="38">
        <f>IF(A476="","",IF(J476=0,"Sin detalle",IF(M476=0,"Pagada","Pendiente")))</f>
        <v/>
      </c>
      <c r="O476" s="38" t="n"/>
    </row>
    <row r="477">
      <c r="A477" s="36" t="n"/>
      <c r="B477" s="40" t="n"/>
      <c r="C477" s="36" t="n"/>
      <c r="D477" s="36" t="n"/>
      <c r="E477" s="36" t="n"/>
      <c r="F477" s="36" t="n"/>
      <c r="G477" s="37">
        <f>IF(A477="","",IFERROR(INDEX(Criterios!$B$4:$C$83,MATCH(D477,Criterios!$A$4:$A$83,0),IF(E477="Dentro horario",1,2)),""))</f>
        <v/>
      </c>
      <c r="H477" s="37" t="n"/>
      <c r="I477" s="37">
        <f>IF(A477="","",IF(OR(F477="",G477=""),"",F477*G477+N(H477)))</f>
        <v/>
      </c>
      <c r="J477" s="36">
        <f>IF(A477="","",COUNTIF(Detalle_Pagos!$A$5:$A$2004,A477))</f>
        <v/>
      </c>
      <c r="K477" s="37">
        <f>IF(A477="","",IF(OR(J477=0,I477=""),"",I477/J477))</f>
        <v/>
      </c>
      <c r="L477" s="37">
        <f>IF(A477="","",SUMIF(Detalle_Pagos!$A$5:$A$2004,A477,Detalle_Pagos!$I$5:$I$2004))</f>
        <v/>
      </c>
      <c r="M477" s="37">
        <f>IF(A477="","",SUMIFS(Detalle_Pagos!$I$5:$I$2004,Detalle_Pagos!$A$5:$A$2004,A477,Detalle_Pagos!$J$5:$J$2004,"No"))</f>
        <v/>
      </c>
      <c r="N477" s="36">
        <f>IF(A477="","",IF(J477=0,"Sin detalle",IF(M477=0,"Pagada","Pendiente")))</f>
        <v/>
      </c>
      <c r="O477" s="36" t="n"/>
    </row>
    <row r="478">
      <c r="A478" s="38" t="n"/>
      <c r="B478" s="41" t="n"/>
      <c r="C478" s="38" t="n"/>
      <c r="D478" s="38" t="n"/>
      <c r="E478" s="38" t="n"/>
      <c r="F478" s="38" t="n"/>
      <c r="G478" s="39">
        <f>IF(A478="","",IFERROR(INDEX(Criterios!$B$4:$C$83,MATCH(D478,Criterios!$A$4:$A$83,0),IF(E478="Dentro horario",1,2)),""))</f>
        <v/>
      </c>
      <c r="H478" s="39" t="n"/>
      <c r="I478" s="39">
        <f>IF(A478="","",IF(OR(F478="",G478=""),"",F478*G478+N(H478)))</f>
        <v/>
      </c>
      <c r="J478" s="38">
        <f>IF(A478="","",COUNTIF(Detalle_Pagos!$A$5:$A$2004,A478))</f>
        <v/>
      </c>
      <c r="K478" s="39">
        <f>IF(A478="","",IF(OR(J478=0,I478=""),"",I478/J478))</f>
        <v/>
      </c>
      <c r="L478" s="39">
        <f>IF(A478="","",SUMIF(Detalle_Pagos!$A$5:$A$2004,A478,Detalle_Pagos!$I$5:$I$2004))</f>
        <v/>
      </c>
      <c r="M478" s="39">
        <f>IF(A478="","",SUMIFS(Detalle_Pagos!$I$5:$I$2004,Detalle_Pagos!$A$5:$A$2004,A478,Detalle_Pagos!$J$5:$J$2004,"No"))</f>
        <v/>
      </c>
      <c r="N478" s="38">
        <f>IF(A478="","",IF(J478=0,"Sin detalle",IF(M478=0,"Pagada","Pendiente")))</f>
        <v/>
      </c>
      <c r="O478" s="38" t="n"/>
    </row>
    <row r="479">
      <c r="A479" s="36" t="n"/>
      <c r="B479" s="40" t="n"/>
      <c r="C479" s="36" t="n"/>
      <c r="D479" s="36" t="n"/>
      <c r="E479" s="36" t="n"/>
      <c r="F479" s="36" t="n"/>
      <c r="G479" s="37">
        <f>IF(A479="","",IFERROR(INDEX(Criterios!$B$4:$C$83,MATCH(D479,Criterios!$A$4:$A$83,0),IF(E479="Dentro horario",1,2)),""))</f>
        <v/>
      </c>
      <c r="H479" s="37" t="n"/>
      <c r="I479" s="37">
        <f>IF(A479="","",IF(OR(F479="",G479=""),"",F479*G479+N(H479)))</f>
        <v/>
      </c>
      <c r="J479" s="36">
        <f>IF(A479="","",COUNTIF(Detalle_Pagos!$A$5:$A$2004,A479))</f>
        <v/>
      </c>
      <c r="K479" s="37">
        <f>IF(A479="","",IF(OR(J479=0,I479=""),"",I479/J479))</f>
        <v/>
      </c>
      <c r="L479" s="37">
        <f>IF(A479="","",SUMIF(Detalle_Pagos!$A$5:$A$2004,A479,Detalle_Pagos!$I$5:$I$2004))</f>
        <v/>
      </c>
      <c r="M479" s="37">
        <f>IF(A479="","",SUMIFS(Detalle_Pagos!$I$5:$I$2004,Detalle_Pagos!$A$5:$A$2004,A479,Detalle_Pagos!$J$5:$J$2004,"No"))</f>
        <v/>
      </c>
      <c r="N479" s="36">
        <f>IF(A479="","",IF(J479=0,"Sin detalle",IF(M479=0,"Pagada","Pendiente")))</f>
        <v/>
      </c>
      <c r="O479" s="36" t="n"/>
    </row>
    <row r="480">
      <c r="A480" s="38" t="n"/>
      <c r="B480" s="41" t="n"/>
      <c r="C480" s="38" t="n"/>
      <c r="D480" s="38" t="n"/>
      <c r="E480" s="38" t="n"/>
      <c r="F480" s="38" t="n"/>
      <c r="G480" s="39">
        <f>IF(A480="","",IFERROR(INDEX(Criterios!$B$4:$C$83,MATCH(D480,Criterios!$A$4:$A$83,0),IF(E480="Dentro horario",1,2)),""))</f>
        <v/>
      </c>
      <c r="H480" s="39" t="n"/>
      <c r="I480" s="39">
        <f>IF(A480="","",IF(OR(F480="",G480=""),"",F480*G480+N(H480)))</f>
        <v/>
      </c>
      <c r="J480" s="38">
        <f>IF(A480="","",COUNTIF(Detalle_Pagos!$A$5:$A$2004,A480))</f>
        <v/>
      </c>
      <c r="K480" s="39">
        <f>IF(A480="","",IF(OR(J480=0,I480=""),"",I480/J480))</f>
        <v/>
      </c>
      <c r="L480" s="39">
        <f>IF(A480="","",SUMIF(Detalle_Pagos!$A$5:$A$2004,A480,Detalle_Pagos!$I$5:$I$2004))</f>
        <v/>
      </c>
      <c r="M480" s="39">
        <f>IF(A480="","",SUMIFS(Detalle_Pagos!$I$5:$I$2004,Detalle_Pagos!$A$5:$A$2004,A480,Detalle_Pagos!$J$5:$J$2004,"No"))</f>
        <v/>
      </c>
      <c r="N480" s="38">
        <f>IF(A480="","",IF(J480=0,"Sin detalle",IF(M480=0,"Pagada","Pendiente")))</f>
        <v/>
      </c>
      <c r="O480" s="38" t="n"/>
    </row>
    <row r="481">
      <c r="A481" s="36" t="n"/>
      <c r="B481" s="40" t="n"/>
      <c r="C481" s="36" t="n"/>
      <c r="D481" s="36" t="n"/>
      <c r="E481" s="36" t="n"/>
      <c r="F481" s="36" t="n"/>
      <c r="G481" s="37">
        <f>IF(A481="","",IFERROR(INDEX(Criterios!$B$4:$C$83,MATCH(D481,Criterios!$A$4:$A$83,0),IF(E481="Dentro horario",1,2)),""))</f>
        <v/>
      </c>
      <c r="H481" s="37" t="n"/>
      <c r="I481" s="37">
        <f>IF(A481="","",IF(OR(F481="",G481=""),"",F481*G481+N(H481)))</f>
        <v/>
      </c>
      <c r="J481" s="36">
        <f>IF(A481="","",COUNTIF(Detalle_Pagos!$A$5:$A$2004,A481))</f>
        <v/>
      </c>
      <c r="K481" s="37">
        <f>IF(A481="","",IF(OR(J481=0,I481=""),"",I481/J481))</f>
        <v/>
      </c>
      <c r="L481" s="37">
        <f>IF(A481="","",SUMIF(Detalle_Pagos!$A$5:$A$2004,A481,Detalle_Pagos!$I$5:$I$2004))</f>
        <v/>
      </c>
      <c r="M481" s="37">
        <f>IF(A481="","",SUMIFS(Detalle_Pagos!$I$5:$I$2004,Detalle_Pagos!$A$5:$A$2004,A481,Detalle_Pagos!$J$5:$J$2004,"No"))</f>
        <v/>
      </c>
      <c r="N481" s="36">
        <f>IF(A481="","",IF(J481=0,"Sin detalle",IF(M481=0,"Pagada","Pendiente")))</f>
        <v/>
      </c>
      <c r="O481" s="36" t="n"/>
    </row>
    <row r="482">
      <c r="A482" s="38" t="n"/>
      <c r="B482" s="41" t="n"/>
      <c r="C482" s="38" t="n"/>
      <c r="D482" s="38" t="n"/>
      <c r="E482" s="38" t="n"/>
      <c r="F482" s="38" t="n"/>
      <c r="G482" s="39">
        <f>IF(A482="","",IFERROR(INDEX(Criterios!$B$4:$C$83,MATCH(D482,Criterios!$A$4:$A$83,0),IF(E482="Dentro horario",1,2)),""))</f>
        <v/>
      </c>
      <c r="H482" s="39" t="n"/>
      <c r="I482" s="39">
        <f>IF(A482="","",IF(OR(F482="",G482=""),"",F482*G482+N(H482)))</f>
        <v/>
      </c>
      <c r="J482" s="38">
        <f>IF(A482="","",COUNTIF(Detalle_Pagos!$A$5:$A$2004,A482))</f>
        <v/>
      </c>
      <c r="K482" s="39">
        <f>IF(A482="","",IF(OR(J482=0,I482=""),"",I482/J482))</f>
        <v/>
      </c>
      <c r="L482" s="39">
        <f>IF(A482="","",SUMIF(Detalle_Pagos!$A$5:$A$2004,A482,Detalle_Pagos!$I$5:$I$2004))</f>
        <v/>
      </c>
      <c r="M482" s="39">
        <f>IF(A482="","",SUMIFS(Detalle_Pagos!$I$5:$I$2004,Detalle_Pagos!$A$5:$A$2004,A482,Detalle_Pagos!$J$5:$J$2004,"No"))</f>
        <v/>
      </c>
      <c r="N482" s="38">
        <f>IF(A482="","",IF(J482=0,"Sin detalle",IF(M482=0,"Pagada","Pendiente")))</f>
        <v/>
      </c>
      <c r="O482" s="38" t="n"/>
    </row>
    <row r="483">
      <c r="A483" s="36" t="n"/>
      <c r="B483" s="40" t="n"/>
      <c r="C483" s="36" t="n"/>
      <c r="D483" s="36" t="n"/>
      <c r="E483" s="36" t="n"/>
      <c r="F483" s="36" t="n"/>
      <c r="G483" s="37">
        <f>IF(A483="","",IFERROR(INDEX(Criterios!$B$4:$C$83,MATCH(D483,Criterios!$A$4:$A$83,0),IF(E483="Dentro horario",1,2)),""))</f>
        <v/>
      </c>
      <c r="H483" s="37" t="n"/>
      <c r="I483" s="37">
        <f>IF(A483="","",IF(OR(F483="",G483=""),"",F483*G483+N(H483)))</f>
        <v/>
      </c>
      <c r="J483" s="36">
        <f>IF(A483="","",COUNTIF(Detalle_Pagos!$A$5:$A$2004,A483))</f>
        <v/>
      </c>
      <c r="K483" s="37">
        <f>IF(A483="","",IF(OR(J483=0,I483=""),"",I483/J483))</f>
        <v/>
      </c>
      <c r="L483" s="37">
        <f>IF(A483="","",SUMIF(Detalle_Pagos!$A$5:$A$2004,A483,Detalle_Pagos!$I$5:$I$2004))</f>
        <v/>
      </c>
      <c r="M483" s="37">
        <f>IF(A483="","",SUMIFS(Detalle_Pagos!$I$5:$I$2004,Detalle_Pagos!$A$5:$A$2004,A483,Detalle_Pagos!$J$5:$J$2004,"No"))</f>
        <v/>
      </c>
      <c r="N483" s="36">
        <f>IF(A483="","",IF(J483=0,"Sin detalle",IF(M483=0,"Pagada","Pendiente")))</f>
        <v/>
      </c>
      <c r="O483" s="36" t="n"/>
    </row>
    <row r="484">
      <c r="A484" s="38" t="n"/>
      <c r="B484" s="41" t="n"/>
      <c r="C484" s="38" t="n"/>
      <c r="D484" s="38" t="n"/>
      <c r="E484" s="38" t="n"/>
      <c r="F484" s="38" t="n"/>
      <c r="G484" s="39">
        <f>IF(A484="","",IFERROR(INDEX(Criterios!$B$4:$C$83,MATCH(D484,Criterios!$A$4:$A$83,0),IF(E484="Dentro horario",1,2)),""))</f>
        <v/>
      </c>
      <c r="H484" s="39" t="n"/>
      <c r="I484" s="39">
        <f>IF(A484="","",IF(OR(F484="",G484=""),"",F484*G484+N(H484)))</f>
        <v/>
      </c>
      <c r="J484" s="38">
        <f>IF(A484="","",COUNTIF(Detalle_Pagos!$A$5:$A$2004,A484))</f>
        <v/>
      </c>
      <c r="K484" s="39">
        <f>IF(A484="","",IF(OR(J484=0,I484=""),"",I484/J484))</f>
        <v/>
      </c>
      <c r="L484" s="39">
        <f>IF(A484="","",SUMIF(Detalle_Pagos!$A$5:$A$2004,A484,Detalle_Pagos!$I$5:$I$2004))</f>
        <v/>
      </c>
      <c r="M484" s="39">
        <f>IF(A484="","",SUMIFS(Detalle_Pagos!$I$5:$I$2004,Detalle_Pagos!$A$5:$A$2004,A484,Detalle_Pagos!$J$5:$J$2004,"No"))</f>
        <v/>
      </c>
      <c r="N484" s="38">
        <f>IF(A484="","",IF(J484=0,"Sin detalle",IF(M484=0,"Pagada","Pendiente")))</f>
        <v/>
      </c>
      <c r="O484" s="38" t="n"/>
    </row>
    <row r="485">
      <c r="A485" s="36" t="n"/>
      <c r="B485" s="40" t="n"/>
      <c r="C485" s="36" t="n"/>
      <c r="D485" s="36" t="n"/>
      <c r="E485" s="36" t="n"/>
      <c r="F485" s="36" t="n"/>
      <c r="G485" s="37">
        <f>IF(A485="","",IFERROR(INDEX(Criterios!$B$4:$C$83,MATCH(D485,Criterios!$A$4:$A$83,0),IF(E485="Dentro horario",1,2)),""))</f>
        <v/>
      </c>
      <c r="H485" s="37" t="n"/>
      <c r="I485" s="37">
        <f>IF(A485="","",IF(OR(F485="",G485=""),"",F485*G485+N(H485)))</f>
        <v/>
      </c>
      <c r="J485" s="36">
        <f>IF(A485="","",COUNTIF(Detalle_Pagos!$A$5:$A$2004,A485))</f>
        <v/>
      </c>
      <c r="K485" s="37">
        <f>IF(A485="","",IF(OR(J485=0,I485=""),"",I485/J485))</f>
        <v/>
      </c>
      <c r="L485" s="37">
        <f>IF(A485="","",SUMIF(Detalle_Pagos!$A$5:$A$2004,A485,Detalle_Pagos!$I$5:$I$2004))</f>
        <v/>
      </c>
      <c r="M485" s="37">
        <f>IF(A485="","",SUMIFS(Detalle_Pagos!$I$5:$I$2004,Detalle_Pagos!$A$5:$A$2004,A485,Detalle_Pagos!$J$5:$J$2004,"No"))</f>
        <v/>
      </c>
      <c r="N485" s="36">
        <f>IF(A485="","",IF(J485=0,"Sin detalle",IF(M485=0,"Pagada","Pendiente")))</f>
        <v/>
      </c>
      <c r="O485" s="36" t="n"/>
    </row>
    <row r="486">
      <c r="A486" s="38" t="n"/>
      <c r="B486" s="41" t="n"/>
      <c r="C486" s="38" t="n"/>
      <c r="D486" s="38" t="n"/>
      <c r="E486" s="38" t="n"/>
      <c r="F486" s="38" t="n"/>
      <c r="G486" s="39">
        <f>IF(A486="","",IFERROR(INDEX(Criterios!$B$4:$C$83,MATCH(D486,Criterios!$A$4:$A$83,0),IF(E486="Dentro horario",1,2)),""))</f>
        <v/>
      </c>
      <c r="H486" s="39" t="n"/>
      <c r="I486" s="39">
        <f>IF(A486="","",IF(OR(F486="",G486=""),"",F486*G486+N(H486)))</f>
        <v/>
      </c>
      <c r="J486" s="38">
        <f>IF(A486="","",COUNTIF(Detalle_Pagos!$A$5:$A$2004,A486))</f>
        <v/>
      </c>
      <c r="K486" s="39">
        <f>IF(A486="","",IF(OR(J486=0,I486=""),"",I486/J486))</f>
        <v/>
      </c>
      <c r="L486" s="39">
        <f>IF(A486="","",SUMIF(Detalle_Pagos!$A$5:$A$2004,A486,Detalle_Pagos!$I$5:$I$2004))</f>
        <v/>
      </c>
      <c r="M486" s="39">
        <f>IF(A486="","",SUMIFS(Detalle_Pagos!$I$5:$I$2004,Detalle_Pagos!$A$5:$A$2004,A486,Detalle_Pagos!$J$5:$J$2004,"No"))</f>
        <v/>
      </c>
      <c r="N486" s="38">
        <f>IF(A486="","",IF(J486=0,"Sin detalle",IF(M486=0,"Pagada","Pendiente")))</f>
        <v/>
      </c>
      <c r="O486" s="38" t="n"/>
    </row>
    <row r="487">
      <c r="A487" s="36" t="n"/>
      <c r="B487" s="40" t="n"/>
      <c r="C487" s="36" t="n"/>
      <c r="D487" s="36" t="n"/>
      <c r="E487" s="36" t="n"/>
      <c r="F487" s="36" t="n"/>
      <c r="G487" s="37">
        <f>IF(A487="","",IFERROR(INDEX(Criterios!$B$4:$C$83,MATCH(D487,Criterios!$A$4:$A$83,0),IF(E487="Dentro horario",1,2)),""))</f>
        <v/>
      </c>
      <c r="H487" s="37" t="n"/>
      <c r="I487" s="37">
        <f>IF(A487="","",IF(OR(F487="",G487=""),"",F487*G487+N(H487)))</f>
        <v/>
      </c>
      <c r="J487" s="36">
        <f>IF(A487="","",COUNTIF(Detalle_Pagos!$A$5:$A$2004,A487))</f>
        <v/>
      </c>
      <c r="K487" s="37">
        <f>IF(A487="","",IF(OR(J487=0,I487=""),"",I487/J487))</f>
        <v/>
      </c>
      <c r="L487" s="37">
        <f>IF(A487="","",SUMIF(Detalle_Pagos!$A$5:$A$2004,A487,Detalle_Pagos!$I$5:$I$2004))</f>
        <v/>
      </c>
      <c r="M487" s="37">
        <f>IF(A487="","",SUMIFS(Detalle_Pagos!$I$5:$I$2004,Detalle_Pagos!$A$5:$A$2004,A487,Detalle_Pagos!$J$5:$J$2004,"No"))</f>
        <v/>
      </c>
      <c r="N487" s="36">
        <f>IF(A487="","",IF(J487=0,"Sin detalle",IF(M487=0,"Pagada","Pendiente")))</f>
        <v/>
      </c>
      <c r="O487" s="36" t="n"/>
    </row>
    <row r="488">
      <c r="A488" s="38" t="n"/>
      <c r="B488" s="41" t="n"/>
      <c r="C488" s="38" t="n"/>
      <c r="D488" s="38" t="n"/>
      <c r="E488" s="38" t="n"/>
      <c r="F488" s="38" t="n"/>
      <c r="G488" s="39">
        <f>IF(A488="","",IFERROR(INDEX(Criterios!$B$4:$C$83,MATCH(D488,Criterios!$A$4:$A$83,0),IF(E488="Dentro horario",1,2)),""))</f>
        <v/>
      </c>
      <c r="H488" s="39" t="n"/>
      <c r="I488" s="39">
        <f>IF(A488="","",IF(OR(F488="",G488=""),"",F488*G488+N(H488)))</f>
        <v/>
      </c>
      <c r="J488" s="38">
        <f>IF(A488="","",COUNTIF(Detalle_Pagos!$A$5:$A$2004,A488))</f>
        <v/>
      </c>
      <c r="K488" s="39">
        <f>IF(A488="","",IF(OR(J488=0,I488=""),"",I488/J488))</f>
        <v/>
      </c>
      <c r="L488" s="39">
        <f>IF(A488="","",SUMIF(Detalle_Pagos!$A$5:$A$2004,A488,Detalle_Pagos!$I$5:$I$2004))</f>
        <v/>
      </c>
      <c r="M488" s="39">
        <f>IF(A488="","",SUMIFS(Detalle_Pagos!$I$5:$I$2004,Detalle_Pagos!$A$5:$A$2004,A488,Detalle_Pagos!$J$5:$J$2004,"No"))</f>
        <v/>
      </c>
      <c r="N488" s="38">
        <f>IF(A488="","",IF(J488=0,"Sin detalle",IF(M488=0,"Pagada","Pendiente")))</f>
        <v/>
      </c>
      <c r="O488" s="38" t="n"/>
    </row>
    <row r="489">
      <c r="A489" s="36" t="n"/>
      <c r="B489" s="40" t="n"/>
      <c r="C489" s="36" t="n"/>
      <c r="D489" s="36" t="n"/>
      <c r="E489" s="36" t="n"/>
      <c r="F489" s="36" t="n"/>
      <c r="G489" s="37">
        <f>IF(A489="","",IFERROR(INDEX(Criterios!$B$4:$C$83,MATCH(D489,Criterios!$A$4:$A$83,0),IF(E489="Dentro horario",1,2)),""))</f>
        <v/>
      </c>
      <c r="H489" s="37" t="n"/>
      <c r="I489" s="37">
        <f>IF(A489="","",IF(OR(F489="",G489=""),"",F489*G489+N(H489)))</f>
        <v/>
      </c>
      <c r="J489" s="36">
        <f>IF(A489="","",COUNTIF(Detalle_Pagos!$A$5:$A$2004,A489))</f>
        <v/>
      </c>
      <c r="K489" s="37">
        <f>IF(A489="","",IF(OR(J489=0,I489=""),"",I489/J489))</f>
        <v/>
      </c>
      <c r="L489" s="37">
        <f>IF(A489="","",SUMIF(Detalle_Pagos!$A$5:$A$2004,A489,Detalle_Pagos!$I$5:$I$2004))</f>
        <v/>
      </c>
      <c r="M489" s="37">
        <f>IF(A489="","",SUMIFS(Detalle_Pagos!$I$5:$I$2004,Detalle_Pagos!$A$5:$A$2004,A489,Detalle_Pagos!$J$5:$J$2004,"No"))</f>
        <v/>
      </c>
      <c r="N489" s="36">
        <f>IF(A489="","",IF(J489=0,"Sin detalle",IF(M489=0,"Pagada","Pendiente")))</f>
        <v/>
      </c>
      <c r="O489" s="36" t="n"/>
    </row>
    <row r="490">
      <c r="A490" s="38" t="n"/>
      <c r="B490" s="41" t="n"/>
      <c r="C490" s="38" t="n"/>
      <c r="D490" s="38" t="n"/>
      <c r="E490" s="38" t="n"/>
      <c r="F490" s="38" t="n"/>
      <c r="G490" s="39">
        <f>IF(A490="","",IFERROR(INDEX(Criterios!$B$4:$C$83,MATCH(D490,Criterios!$A$4:$A$83,0),IF(E490="Dentro horario",1,2)),""))</f>
        <v/>
      </c>
      <c r="H490" s="39" t="n"/>
      <c r="I490" s="39">
        <f>IF(A490="","",IF(OR(F490="",G490=""),"",F490*G490+N(H490)))</f>
        <v/>
      </c>
      <c r="J490" s="38">
        <f>IF(A490="","",COUNTIF(Detalle_Pagos!$A$5:$A$2004,A490))</f>
        <v/>
      </c>
      <c r="K490" s="39">
        <f>IF(A490="","",IF(OR(J490=0,I490=""),"",I490/J490))</f>
        <v/>
      </c>
      <c r="L490" s="39">
        <f>IF(A490="","",SUMIF(Detalle_Pagos!$A$5:$A$2004,A490,Detalle_Pagos!$I$5:$I$2004))</f>
        <v/>
      </c>
      <c r="M490" s="39">
        <f>IF(A490="","",SUMIFS(Detalle_Pagos!$I$5:$I$2004,Detalle_Pagos!$A$5:$A$2004,A490,Detalle_Pagos!$J$5:$J$2004,"No"))</f>
        <v/>
      </c>
      <c r="N490" s="38">
        <f>IF(A490="","",IF(J490=0,"Sin detalle",IF(M490=0,"Pagada","Pendiente")))</f>
        <v/>
      </c>
      <c r="O490" s="38" t="n"/>
    </row>
    <row r="491">
      <c r="A491" s="36" t="n"/>
      <c r="B491" s="40" t="n"/>
      <c r="C491" s="36" t="n"/>
      <c r="D491" s="36" t="n"/>
      <c r="E491" s="36" t="n"/>
      <c r="F491" s="36" t="n"/>
      <c r="G491" s="37">
        <f>IF(A491="","",IFERROR(INDEX(Criterios!$B$4:$C$83,MATCH(D491,Criterios!$A$4:$A$83,0),IF(E491="Dentro horario",1,2)),""))</f>
        <v/>
      </c>
      <c r="H491" s="37" t="n"/>
      <c r="I491" s="37">
        <f>IF(A491="","",IF(OR(F491="",G491=""),"",F491*G491+N(H491)))</f>
        <v/>
      </c>
      <c r="J491" s="36">
        <f>IF(A491="","",COUNTIF(Detalle_Pagos!$A$5:$A$2004,A491))</f>
        <v/>
      </c>
      <c r="K491" s="37">
        <f>IF(A491="","",IF(OR(J491=0,I491=""),"",I491/J491))</f>
        <v/>
      </c>
      <c r="L491" s="37">
        <f>IF(A491="","",SUMIF(Detalle_Pagos!$A$5:$A$2004,A491,Detalle_Pagos!$I$5:$I$2004))</f>
        <v/>
      </c>
      <c r="M491" s="37">
        <f>IF(A491="","",SUMIFS(Detalle_Pagos!$I$5:$I$2004,Detalle_Pagos!$A$5:$A$2004,A491,Detalle_Pagos!$J$5:$J$2004,"No"))</f>
        <v/>
      </c>
      <c r="N491" s="36">
        <f>IF(A491="","",IF(J491=0,"Sin detalle",IF(M491=0,"Pagada","Pendiente")))</f>
        <v/>
      </c>
      <c r="O491" s="36" t="n"/>
    </row>
    <row r="492">
      <c r="A492" s="38" t="n"/>
      <c r="B492" s="41" t="n"/>
      <c r="C492" s="38" t="n"/>
      <c r="D492" s="38" t="n"/>
      <c r="E492" s="38" t="n"/>
      <c r="F492" s="38" t="n"/>
      <c r="G492" s="39">
        <f>IF(A492="","",IFERROR(INDEX(Criterios!$B$4:$C$83,MATCH(D492,Criterios!$A$4:$A$83,0),IF(E492="Dentro horario",1,2)),""))</f>
        <v/>
      </c>
      <c r="H492" s="39" t="n"/>
      <c r="I492" s="39">
        <f>IF(A492="","",IF(OR(F492="",G492=""),"",F492*G492+N(H492)))</f>
        <v/>
      </c>
      <c r="J492" s="38">
        <f>IF(A492="","",COUNTIF(Detalle_Pagos!$A$5:$A$2004,A492))</f>
        <v/>
      </c>
      <c r="K492" s="39">
        <f>IF(A492="","",IF(OR(J492=0,I492=""),"",I492/J492))</f>
        <v/>
      </c>
      <c r="L492" s="39">
        <f>IF(A492="","",SUMIF(Detalle_Pagos!$A$5:$A$2004,A492,Detalle_Pagos!$I$5:$I$2004))</f>
        <v/>
      </c>
      <c r="M492" s="39">
        <f>IF(A492="","",SUMIFS(Detalle_Pagos!$I$5:$I$2004,Detalle_Pagos!$A$5:$A$2004,A492,Detalle_Pagos!$J$5:$J$2004,"No"))</f>
        <v/>
      </c>
      <c r="N492" s="38">
        <f>IF(A492="","",IF(J492=0,"Sin detalle",IF(M492=0,"Pagada","Pendiente")))</f>
        <v/>
      </c>
      <c r="O492" s="38" t="n"/>
    </row>
    <row r="493">
      <c r="A493" s="36" t="n"/>
      <c r="B493" s="40" t="n"/>
      <c r="C493" s="36" t="n"/>
      <c r="D493" s="36" t="n"/>
      <c r="E493" s="36" t="n"/>
      <c r="F493" s="36" t="n"/>
      <c r="G493" s="37">
        <f>IF(A493="","",IFERROR(INDEX(Criterios!$B$4:$C$83,MATCH(D493,Criterios!$A$4:$A$83,0),IF(E493="Dentro horario",1,2)),""))</f>
        <v/>
      </c>
      <c r="H493" s="37" t="n"/>
      <c r="I493" s="37">
        <f>IF(A493="","",IF(OR(F493="",G493=""),"",F493*G493+N(H493)))</f>
        <v/>
      </c>
      <c r="J493" s="36">
        <f>IF(A493="","",COUNTIF(Detalle_Pagos!$A$5:$A$2004,A493))</f>
        <v/>
      </c>
      <c r="K493" s="37">
        <f>IF(A493="","",IF(OR(J493=0,I493=""),"",I493/J493))</f>
        <v/>
      </c>
      <c r="L493" s="37">
        <f>IF(A493="","",SUMIF(Detalle_Pagos!$A$5:$A$2004,A493,Detalle_Pagos!$I$5:$I$2004))</f>
        <v/>
      </c>
      <c r="M493" s="37">
        <f>IF(A493="","",SUMIFS(Detalle_Pagos!$I$5:$I$2004,Detalle_Pagos!$A$5:$A$2004,A493,Detalle_Pagos!$J$5:$J$2004,"No"))</f>
        <v/>
      </c>
      <c r="N493" s="36">
        <f>IF(A493="","",IF(J493=0,"Sin detalle",IF(M493=0,"Pagada","Pendiente")))</f>
        <v/>
      </c>
      <c r="O493" s="36" t="n"/>
    </row>
    <row r="494">
      <c r="A494" s="38" t="n"/>
      <c r="B494" s="41" t="n"/>
      <c r="C494" s="38" t="n"/>
      <c r="D494" s="38" t="n"/>
      <c r="E494" s="38" t="n"/>
      <c r="F494" s="38" t="n"/>
      <c r="G494" s="39">
        <f>IF(A494="","",IFERROR(INDEX(Criterios!$B$4:$C$83,MATCH(D494,Criterios!$A$4:$A$83,0),IF(E494="Dentro horario",1,2)),""))</f>
        <v/>
      </c>
      <c r="H494" s="39" t="n"/>
      <c r="I494" s="39">
        <f>IF(A494="","",IF(OR(F494="",G494=""),"",F494*G494+N(H494)))</f>
        <v/>
      </c>
      <c r="J494" s="38">
        <f>IF(A494="","",COUNTIF(Detalle_Pagos!$A$5:$A$2004,A494))</f>
        <v/>
      </c>
      <c r="K494" s="39">
        <f>IF(A494="","",IF(OR(J494=0,I494=""),"",I494/J494))</f>
        <v/>
      </c>
      <c r="L494" s="39">
        <f>IF(A494="","",SUMIF(Detalle_Pagos!$A$5:$A$2004,A494,Detalle_Pagos!$I$5:$I$2004))</f>
        <v/>
      </c>
      <c r="M494" s="39">
        <f>IF(A494="","",SUMIFS(Detalle_Pagos!$I$5:$I$2004,Detalle_Pagos!$A$5:$A$2004,A494,Detalle_Pagos!$J$5:$J$2004,"No"))</f>
        <v/>
      </c>
      <c r="N494" s="38">
        <f>IF(A494="","",IF(J494=0,"Sin detalle",IF(M494=0,"Pagada","Pendiente")))</f>
        <v/>
      </c>
      <c r="O494" s="38" t="n"/>
    </row>
    <row r="495">
      <c r="A495" s="36" t="n"/>
      <c r="B495" s="40" t="n"/>
      <c r="C495" s="36" t="n"/>
      <c r="D495" s="36" t="n"/>
      <c r="E495" s="36" t="n"/>
      <c r="F495" s="36" t="n"/>
      <c r="G495" s="37">
        <f>IF(A495="","",IFERROR(INDEX(Criterios!$B$4:$C$83,MATCH(D495,Criterios!$A$4:$A$83,0),IF(E495="Dentro horario",1,2)),""))</f>
        <v/>
      </c>
      <c r="H495" s="37" t="n"/>
      <c r="I495" s="37">
        <f>IF(A495="","",IF(OR(F495="",G495=""),"",F495*G495+N(H495)))</f>
        <v/>
      </c>
      <c r="J495" s="36">
        <f>IF(A495="","",COUNTIF(Detalle_Pagos!$A$5:$A$2004,A495))</f>
        <v/>
      </c>
      <c r="K495" s="37">
        <f>IF(A495="","",IF(OR(J495=0,I495=""),"",I495/J495))</f>
        <v/>
      </c>
      <c r="L495" s="37">
        <f>IF(A495="","",SUMIF(Detalle_Pagos!$A$5:$A$2004,A495,Detalle_Pagos!$I$5:$I$2004))</f>
        <v/>
      </c>
      <c r="M495" s="37">
        <f>IF(A495="","",SUMIFS(Detalle_Pagos!$I$5:$I$2004,Detalle_Pagos!$A$5:$A$2004,A495,Detalle_Pagos!$J$5:$J$2004,"No"))</f>
        <v/>
      </c>
      <c r="N495" s="36">
        <f>IF(A495="","",IF(J495=0,"Sin detalle",IF(M495=0,"Pagada","Pendiente")))</f>
        <v/>
      </c>
      <c r="O495" s="36" t="n"/>
    </row>
    <row r="496">
      <c r="A496" s="38" t="n"/>
      <c r="B496" s="41" t="n"/>
      <c r="C496" s="38" t="n"/>
      <c r="D496" s="38" t="n"/>
      <c r="E496" s="38" t="n"/>
      <c r="F496" s="38" t="n"/>
      <c r="G496" s="39">
        <f>IF(A496="","",IFERROR(INDEX(Criterios!$B$4:$C$83,MATCH(D496,Criterios!$A$4:$A$83,0),IF(E496="Dentro horario",1,2)),""))</f>
        <v/>
      </c>
      <c r="H496" s="39" t="n"/>
      <c r="I496" s="39">
        <f>IF(A496="","",IF(OR(F496="",G496=""),"",F496*G496+N(H496)))</f>
        <v/>
      </c>
      <c r="J496" s="38">
        <f>IF(A496="","",COUNTIF(Detalle_Pagos!$A$5:$A$2004,A496))</f>
        <v/>
      </c>
      <c r="K496" s="39">
        <f>IF(A496="","",IF(OR(J496=0,I496=""),"",I496/J496))</f>
        <v/>
      </c>
      <c r="L496" s="39">
        <f>IF(A496="","",SUMIF(Detalle_Pagos!$A$5:$A$2004,A496,Detalle_Pagos!$I$5:$I$2004))</f>
        <v/>
      </c>
      <c r="M496" s="39">
        <f>IF(A496="","",SUMIFS(Detalle_Pagos!$I$5:$I$2004,Detalle_Pagos!$A$5:$A$2004,A496,Detalle_Pagos!$J$5:$J$2004,"No"))</f>
        <v/>
      </c>
      <c r="N496" s="38">
        <f>IF(A496="","",IF(J496=0,"Sin detalle",IF(M496=0,"Pagada","Pendiente")))</f>
        <v/>
      </c>
      <c r="O496" s="38" t="n"/>
    </row>
    <row r="497">
      <c r="A497" s="36" t="n"/>
      <c r="B497" s="40" t="n"/>
      <c r="C497" s="36" t="n"/>
      <c r="D497" s="36" t="n"/>
      <c r="E497" s="36" t="n"/>
      <c r="F497" s="36" t="n"/>
      <c r="G497" s="37">
        <f>IF(A497="","",IFERROR(INDEX(Criterios!$B$4:$C$83,MATCH(D497,Criterios!$A$4:$A$83,0),IF(E497="Dentro horario",1,2)),""))</f>
        <v/>
      </c>
      <c r="H497" s="37" t="n"/>
      <c r="I497" s="37">
        <f>IF(A497="","",IF(OR(F497="",G497=""),"",F497*G497+N(H497)))</f>
        <v/>
      </c>
      <c r="J497" s="36">
        <f>IF(A497="","",COUNTIF(Detalle_Pagos!$A$5:$A$2004,A497))</f>
        <v/>
      </c>
      <c r="K497" s="37">
        <f>IF(A497="","",IF(OR(J497=0,I497=""),"",I497/J497))</f>
        <v/>
      </c>
      <c r="L497" s="37">
        <f>IF(A497="","",SUMIF(Detalle_Pagos!$A$5:$A$2004,A497,Detalle_Pagos!$I$5:$I$2004))</f>
        <v/>
      </c>
      <c r="M497" s="37">
        <f>IF(A497="","",SUMIFS(Detalle_Pagos!$I$5:$I$2004,Detalle_Pagos!$A$5:$A$2004,A497,Detalle_Pagos!$J$5:$J$2004,"No"))</f>
        <v/>
      </c>
      <c r="N497" s="36">
        <f>IF(A497="","",IF(J497=0,"Sin detalle",IF(M497=0,"Pagada","Pendiente")))</f>
        <v/>
      </c>
      <c r="O497" s="36" t="n"/>
    </row>
    <row r="498">
      <c r="A498" s="38" t="n"/>
      <c r="B498" s="41" t="n"/>
      <c r="C498" s="38" t="n"/>
      <c r="D498" s="38" t="n"/>
      <c r="E498" s="38" t="n"/>
      <c r="F498" s="38" t="n"/>
      <c r="G498" s="39">
        <f>IF(A498="","",IFERROR(INDEX(Criterios!$B$4:$C$83,MATCH(D498,Criterios!$A$4:$A$83,0),IF(E498="Dentro horario",1,2)),""))</f>
        <v/>
      </c>
      <c r="H498" s="39" t="n"/>
      <c r="I498" s="39">
        <f>IF(A498="","",IF(OR(F498="",G498=""),"",F498*G498+N(H498)))</f>
        <v/>
      </c>
      <c r="J498" s="38">
        <f>IF(A498="","",COUNTIF(Detalle_Pagos!$A$5:$A$2004,A498))</f>
        <v/>
      </c>
      <c r="K498" s="39">
        <f>IF(A498="","",IF(OR(J498=0,I498=""),"",I498/J498))</f>
        <v/>
      </c>
      <c r="L498" s="39">
        <f>IF(A498="","",SUMIF(Detalle_Pagos!$A$5:$A$2004,A498,Detalle_Pagos!$I$5:$I$2004))</f>
        <v/>
      </c>
      <c r="M498" s="39">
        <f>IF(A498="","",SUMIFS(Detalle_Pagos!$I$5:$I$2004,Detalle_Pagos!$A$5:$A$2004,A498,Detalle_Pagos!$J$5:$J$2004,"No"))</f>
        <v/>
      </c>
      <c r="N498" s="38">
        <f>IF(A498="","",IF(J498=0,"Sin detalle",IF(M498=0,"Pagada","Pendiente")))</f>
        <v/>
      </c>
      <c r="O498" s="38" t="n"/>
    </row>
    <row r="499">
      <c r="A499" s="36" t="n"/>
      <c r="B499" s="40" t="n"/>
      <c r="C499" s="36" t="n"/>
      <c r="D499" s="36" t="n"/>
      <c r="E499" s="36" t="n"/>
      <c r="F499" s="36" t="n"/>
      <c r="G499" s="37">
        <f>IF(A499="","",IFERROR(INDEX(Criterios!$B$4:$C$83,MATCH(D499,Criterios!$A$4:$A$83,0),IF(E499="Dentro horario",1,2)),""))</f>
        <v/>
      </c>
      <c r="H499" s="37" t="n"/>
      <c r="I499" s="37">
        <f>IF(A499="","",IF(OR(F499="",G499=""),"",F499*G499+N(H499)))</f>
        <v/>
      </c>
      <c r="J499" s="36">
        <f>IF(A499="","",COUNTIF(Detalle_Pagos!$A$5:$A$2004,A499))</f>
        <v/>
      </c>
      <c r="K499" s="37">
        <f>IF(A499="","",IF(OR(J499=0,I499=""),"",I499/J499))</f>
        <v/>
      </c>
      <c r="L499" s="37">
        <f>IF(A499="","",SUMIF(Detalle_Pagos!$A$5:$A$2004,A499,Detalle_Pagos!$I$5:$I$2004))</f>
        <v/>
      </c>
      <c r="M499" s="37">
        <f>IF(A499="","",SUMIFS(Detalle_Pagos!$I$5:$I$2004,Detalle_Pagos!$A$5:$A$2004,A499,Detalle_Pagos!$J$5:$J$2004,"No"))</f>
        <v/>
      </c>
      <c r="N499" s="36">
        <f>IF(A499="","",IF(J499=0,"Sin detalle",IF(M499=0,"Pagada","Pendiente")))</f>
        <v/>
      </c>
      <c r="O499" s="36" t="n"/>
    </row>
    <row r="500">
      <c r="A500" s="38" t="n"/>
      <c r="B500" s="41" t="n"/>
      <c r="C500" s="38" t="n"/>
      <c r="D500" s="38" t="n"/>
      <c r="E500" s="38" t="n"/>
      <c r="F500" s="38" t="n"/>
      <c r="G500" s="39">
        <f>IF(A500="","",IFERROR(INDEX(Criterios!$B$4:$C$83,MATCH(D500,Criterios!$A$4:$A$83,0),IF(E500="Dentro horario",1,2)),""))</f>
        <v/>
      </c>
      <c r="H500" s="39" t="n"/>
      <c r="I500" s="39">
        <f>IF(A500="","",IF(OR(F500="",G500=""),"",F500*G500+N(H500)))</f>
        <v/>
      </c>
      <c r="J500" s="38">
        <f>IF(A500="","",COUNTIF(Detalle_Pagos!$A$5:$A$2004,A500))</f>
        <v/>
      </c>
      <c r="K500" s="39">
        <f>IF(A500="","",IF(OR(J500=0,I500=""),"",I500/J500))</f>
        <v/>
      </c>
      <c r="L500" s="39">
        <f>IF(A500="","",SUMIF(Detalle_Pagos!$A$5:$A$2004,A500,Detalle_Pagos!$I$5:$I$2004))</f>
        <v/>
      </c>
      <c r="M500" s="39">
        <f>IF(A500="","",SUMIFS(Detalle_Pagos!$I$5:$I$2004,Detalle_Pagos!$A$5:$A$2004,A500,Detalle_Pagos!$J$5:$J$2004,"No"))</f>
        <v/>
      </c>
      <c r="N500" s="38">
        <f>IF(A500="","",IF(J500=0,"Sin detalle",IF(M500=0,"Pagada","Pendiente")))</f>
        <v/>
      </c>
      <c r="O500" s="38" t="n"/>
    </row>
    <row r="501">
      <c r="A501" s="36" t="n"/>
      <c r="B501" s="40" t="n"/>
      <c r="C501" s="36" t="n"/>
      <c r="D501" s="36" t="n"/>
      <c r="E501" s="36" t="n"/>
      <c r="F501" s="36" t="n"/>
      <c r="G501" s="37">
        <f>IF(A501="","",IFERROR(INDEX(Criterios!$B$4:$C$83,MATCH(D501,Criterios!$A$4:$A$83,0),IF(E501="Dentro horario",1,2)),""))</f>
        <v/>
      </c>
      <c r="H501" s="37" t="n"/>
      <c r="I501" s="37">
        <f>IF(A501="","",IF(OR(F501="",G501=""),"",F501*G501+N(H501)))</f>
        <v/>
      </c>
      <c r="J501" s="36">
        <f>IF(A501="","",COUNTIF(Detalle_Pagos!$A$5:$A$2004,A501))</f>
        <v/>
      </c>
      <c r="K501" s="37">
        <f>IF(A501="","",IF(OR(J501=0,I501=""),"",I501/J501))</f>
        <v/>
      </c>
      <c r="L501" s="37">
        <f>IF(A501="","",SUMIF(Detalle_Pagos!$A$5:$A$2004,A501,Detalle_Pagos!$I$5:$I$2004))</f>
        <v/>
      </c>
      <c r="M501" s="37">
        <f>IF(A501="","",SUMIFS(Detalle_Pagos!$I$5:$I$2004,Detalle_Pagos!$A$5:$A$2004,A501,Detalle_Pagos!$J$5:$J$2004,"No"))</f>
        <v/>
      </c>
      <c r="N501" s="36">
        <f>IF(A501="","",IF(J501=0,"Sin detalle",IF(M501=0,"Pagada","Pendiente")))</f>
        <v/>
      </c>
      <c r="O501" s="36" t="n"/>
    </row>
    <row r="502">
      <c r="A502" s="38" t="n"/>
      <c r="B502" s="41" t="n"/>
      <c r="C502" s="38" t="n"/>
      <c r="D502" s="38" t="n"/>
      <c r="E502" s="38" t="n"/>
      <c r="F502" s="38" t="n"/>
      <c r="G502" s="39">
        <f>IF(A502="","",IFERROR(INDEX(Criterios!$B$4:$C$83,MATCH(D502,Criterios!$A$4:$A$83,0),IF(E502="Dentro horario",1,2)),""))</f>
        <v/>
      </c>
      <c r="H502" s="39" t="n"/>
      <c r="I502" s="39">
        <f>IF(A502="","",IF(OR(F502="",G502=""),"",F502*G502+N(H502)))</f>
        <v/>
      </c>
      <c r="J502" s="38">
        <f>IF(A502="","",COUNTIF(Detalle_Pagos!$A$5:$A$2004,A502))</f>
        <v/>
      </c>
      <c r="K502" s="39">
        <f>IF(A502="","",IF(OR(J502=0,I502=""),"",I502/J502))</f>
        <v/>
      </c>
      <c r="L502" s="39">
        <f>IF(A502="","",SUMIF(Detalle_Pagos!$A$5:$A$2004,A502,Detalle_Pagos!$I$5:$I$2004))</f>
        <v/>
      </c>
      <c r="M502" s="39">
        <f>IF(A502="","",SUMIFS(Detalle_Pagos!$I$5:$I$2004,Detalle_Pagos!$A$5:$A$2004,A502,Detalle_Pagos!$J$5:$J$2004,"No"))</f>
        <v/>
      </c>
      <c r="N502" s="38">
        <f>IF(A502="","",IF(J502=0,"Sin detalle",IF(M502=0,"Pagada","Pendiente")))</f>
        <v/>
      </c>
      <c r="O502" s="38" t="n"/>
    </row>
    <row r="503">
      <c r="A503" s="36" t="n"/>
      <c r="B503" s="40" t="n"/>
      <c r="C503" s="36" t="n"/>
      <c r="D503" s="36" t="n"/>
      <c r="E503" s="36" t="n"/>
      <c r="F503" s="36" t="n"/>
      <c r="G503" s="37">
        <f>IF(A503="","",IFERROR(INDEX(Criterios!$B$4:$C$83,MATCH(D503,Criterios!$A$4:$A$83,0),IF(E503="Dentro horario",1,2)),""))</f>
        <v/>
      </c>
      <c r="H503" s="37" t="n"/>
      <c r="I503" s="37">
        <f>IF(A503="","",IF(OR(F503="",G503=""),"",F503*G503+N(H503)))</f>
        <v/>
      </c>
      <c r="J503" s="36">
        <f>IF(A503="","",COUNTIF(Detalle_Pagos!$A$5:$A$2004,A503))</f>
        <v/>
      </c>
      <c r="K503" s="37">
        <f>IF(A503="","",IF(OR(J503=0,I503=""),"",I503/J503))</f>
        <v/>
      </c>
      <c r="L503" s="37">
        <f>IF(A503="","",SUMIF(Detalle_Pagos!$A$5:$A$2004,A503,Detalle_Pagos!$I$5:$I$2004))</f>
        <v/>
      </c>
      <c r="M503" s="37">
        <f>IF(A503="","",SUMIFS(Detalle_Pagos!$I$5:$I$2004,Detalle_Pagos!$A$5:$A$2004,A503,Detalle_Pagos!$J$5:$J$2004,"No"))</f>
        <v/>
      </c>
      <c r="N503" s="36">
        <f>IF(A503="","",IF(J503=0,"Sin detalle",IF(M503=0,"Pagada","Pendiente")))</f>
        <v/>
      </c>
      <c r="O503" s="36" t="n"/>
    </row>
    <row r="504">
      <c r="A504" s="38" t="n"/>
      <c r="B504" s="41" t="n"/>
      <c r="C504" s="38" t="n"/>
      <c r="D504" s="38" t="n"/>
      <c r="E504" s="38" t="n"/>
      <c r="F504" s="38" t="n"/>
      <c r="G504" s="39">
        <f>IF(A504="","",IFERROR(INDEX(Criterios!$B$4:$C$83,MATCH(D504,Criterios!$A$4:$A$83,0),IF(E504="Dentro horario",1,2)),""))</f>
        <v/>
      </c>
      <c r="H504" s="39" t="n"/>
      <c r="I504" s="39">
        <f>IF(A504="","",IF(OR(F504="",G504=""),"",F504*G504+N(H504)))</f>
        <v/>
      </c>
      <c r="J504" s="38">
        <f>IF(A504="","",COUNTIF(Detalle_Pagos!$A$5:$A$2004,A504))</f>
        <v/>
      </c>
      <c r="K504" s="39">
        <f>IF(A504="","",IF(OR(J504=0,I504=""),"",I504/J504))</f>
        <v/>
      </c>
      <c r="L504" s="39">
        <f>IF(A504="","",SUMIF(Detalle_Pagos!$A$5:$A$2004,A504,Detalle_Pagos!$I$5:$I$2004))</f>
        <v/>
      </c>
      <c r="M504" s="39">
        <f>IF(A504="","",SUMIFS(Detalle_Pagos!$I$5:$I$2004,Detalle_Pagos!$A$5:$A$2004,A504,Detalle_Pagos!$J$5:$J$2004,"No"))</f>
        <v/>
      </c>
      <c r="N504" s="38">
        <f>IF(A504="","",IF(J504=0,"Sin detalle",IF(M504=0,"Pagada","Pendiente")))</f>
        <v/>
      </c>
      <c r="O504" s="38" t="n"/>
    </row>
  </sheetData>
  <autoFilter ref="A4:O504"/>
  <mergeCells count="1">
    <mergeCell ref="A1:O1"/>
  </mergeCells>
  <conditionalFormatting sqref="N5:N504">
    <cfRule type="expression" priority="1" dxfId="0">
      <formula>N5="Pendiente"</formula>
    </cfRule>
    <cfRule type="expression" priority="2" dxfId="1">
      <formula>N5="Pagada"</formula>
    </cfRule>
  </conditionalFormatting>
  <dataValidations count="2">
    <dataValidation sqref="D5:D504" showDropDown="0" showInputMessage="0" showErrorMessage="0" allowBlank="1" type="list">
      <formula1>=Criterios!$A$4:$A$83</formula1>
    </dataValidation>
    <dataValidation sqref="E5:E504" showDropDown="0" showInputMessage="0" showErrorMessage="0" allowBlank="1" type="list">
      <formula1>"Dentro horario,Fuera horario"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6" customWidth="1" min="4" max="4"/>
    <col width="25" customWidth="1" min="5" max="5"/>
    <col width="16" customWidth="1" min="6" max="6"/>
    <col width="15" customWidth="1" min="7" max="7"/>
    <col width="13" customWidth="1" min="8" max="8"/>
    <col width="14" customWidth="1" min="9" max="9"/>
    <col width="11" customWidth="1" min="10" max="10"/>
    <col width="13" customWidth="1" min="11" max="11"/>
    <col width="32" customWidth="1" min="12" max="12"/>
    <col hidden="1" width="13" customWidth="1" min="13" max="13"/>
  </cols>
  <sheetData>
    <row r="1">
      <c r="A1" s="28" t="inlineStr">
        <is>
          <t>DETALLE DE PAGOS POR TRABAJADOR</t>
        </is>
      </c>
    </row>
    <row r="4">
      <c r="A4" s="31" t="inlineStr">
        <is>
          <t>No. maniobra</t>
        </is>
      </c>
      <c r="B4" s="31" t="inlineStr">
        <is>
          <t>Fecha</t>
        </is>
      </c>
      <c r="C4" s="31" t="inlineStr">
        <is>
          <t>Mes</t>
        </is>
      </c>
      <c r="D4" s="31" t="inlineStr">
        <is>
          <t>Producto</t>
        </is>
      </c>
      <c r="E4" s="31" t="inlineStr">
        <is>
          <t>Trabajador</t>
        </is>
      </c>
      <c r="F4" s="31" t="inlineStr">
        <is>
          <t>Importe sugerido</t>
        </is>
      </c>
      <c r="G4" s="31" t="inlineStr">
        <is>
          <t>Importe manual</t>
        </is>
      </c>
      <c r="H4" s="31" t="inlineStr">
        <is>
          <t>Extra manual</t>
        </is>
      </c>
      <c r="I4" s="31" t="inlineStr">
        <is>
          <t>Total a pagar</t>
        </is>
      </c>
      <c r="J4" s="31" t="inlineStr">
        <is>
          <t>Pagado?</t>
        </is>
      </c>
      <c r="K4" s="31" t="inlineStr">
        <is>
          <t>Fecha cobro</t>
        </is>
      </c>
      <c r="L4" s="31" t="inlineStr">
        <is>
          <t>Notas/Firma</t>
        </is>
      </c>
    </row>
    <row r="5">
      <c r="A5" s="36" t="n"/>
      <c r="B5" s="40">
        <f>IF(A5="","",IFERROR(INDEX(Maniobras!$B$5:$B$504,MATCH(A5,Maniobras!$A$5:$A$504,0)),""))</f>
        <v/>
      </c>
      <c r="C5" s="36">
        <f>IF(B5="","",TEXT(B5,"yyyy-mm"))</f>
        <v/>
      </c>
      <c r="D5" s="36">
        <f>IF(A5="","",IFERROR(INDEX(Maniobras!$D$5:$D$504,MATCH(A5,Maniobras!$A$5:$A$504,0)),""))</f>
        <v/>
      </c>
      <c r="E5" s="36" t="n"/>
      <c r="F5" s="37">
        <f>IF(A5="","",IFERROR(INDEX(Maniobras!$K$5:$K$504,MATCH(A5,Maniobras!$A$5:$A$504,0)),""))</f>
        <v/>
      </c>
      <c r="G5" s="37" t="n"/>
      <c r="H5" s="37" t="n"/>
      <c r="I5" s="37">
        <f>IF(G5="","",G5+N(H5))</f>
        <v/>
      </c>
      <c r="J5" s="36" t="n"/>
      <c r="K5" s="40" t="n"/>
      <c r="L5" s="36" t="n"/>
      <c r="M5">
        <f>IF($A5=Ficha!$B$3,COUNTIF($A$5:$A5,Ficha!$B$3),"")</f>
        <v/>
      </c>
    </row>
    <row r="6">
      <c r="A6" s="38" t="n"/>
      <c r="B6" s="41">
        <f>IF(A6="","",IFERROR(INDEX(Maniobras!$B$5:$B$504,MATCH(A6,Maniobras!$A$5:$A$504,0)),""))</f>
        <v/>
      </c>
      <c r="C6" s="38">
        <f>IF(B6="","",TEXT(B6,"yyyy-mm"))</f>
        <v/>
      </c>
      <c r="D6" s="38">
        <f>IF(A6="","",IFERROR(INDEX(Maniobras!$D$5:$D$504,MATCH(A6,Maniobras!$A$5:$A$504,0)),""))</f>
        <v/>
      </c>
      <c r="E6" s="38" t="n"/>
      <c r="F6" s="39">
        <f>IF(A6="","",IFERROR(INDEX(Maniobras!$K$5:$K$504,MATCH(A6,Maniobras!$A$5:$A$504,0)),""))</f>
        <v/>
      </c>
      <c r="G6" s="39" t="n"/>
      <c r="H6" s="39" t="n"/>
      <c r="I6" s="39">
        <f>IF(G6="","",G6+N(H6))</f>
        <v/>
      </c>
      <c r="J6" s="38" t="n"/>
      <c r="K6" s="41" t="n"/>
      <c r="L6" s="38" t="n"/>
      <c r="M6">
        <f>IF($A6=Ficha!$B$3,COUNTIF($A$5:$A6,Ficha!$B$3),"")</f>
        <v/>
      </c>
    </row>
    <row r="7">
      <c r="A7" s="36" t="n"/>
      <c r="B7" s="40">
        <f>IF(A7="","",IFERROR(INDEX(Maniobras!$B$5:$B$504,MATCH(A7,Maniobras!$A$5:$A$504,0)),""))</f>
        <v/>
      </c>
      <c r="C7" s="36">
        <f>IF(B7="","",TEXT(B7,"yyyy-mm"))</f>
        <v/>
      </c>
      <c r="D7" s="36">
        <f>IF(A7="","",IFERROR(INDEX(Maniobras!$D$5:$D$504,MATCH(A7,Maniobras!$A$5:$A$504,0)),""))</f>
        <v/>
      </c>
      <c r="E7" s="36" t="n"/>
      <c r="F7" s="37">
        <f>IF(A7="","",IFERROR(INDEX(Maniobras!$K$5:$K$504,MATCH(A7,Maniobras!$A$5:$A$504,0)),""))</f>
        <v/>
      </c>
      <c r="G7" s="37" t="n"/>
      <c r="H7" s="37" t="n"/>
      <c r="I7" s="37">
        <f>IF(G7="","",G7+N(H7))</f>
        <v/>
      </c>
      <c r="J7" s="36" t="n"/>
      <c r="K7" s="40" t="n"/>
      <c r="L7" s="36" t="n"/>
      <c r="M7">
        <f>IF($A7=Ficha!$B$3,COUNTIF($A$5:$A7,Ficha!$B$3),"")</f>
        <v/>
      </c>
    </row>
    <row r="8">
      <c r="A8" s="38" t="n"/>
      <c r="B8" s="41">
        <f>IF(A8="","",IFERROR(INDEX(Maniobras!$B$5:$B$504,MATCH(A8,Maniobras!$A$5:$A$504,0)),""))</f>
        <v/>
      </c>
      <c r="C8" s="38">
        <f>IF(B8="","",TEXT(B8,"yyyy-mm"))</f>
        <v/>
      </c>
      <c r="D8" s="38">
        <f>IF(A8="","",IFERROR(INDEX(Maniobras!$D$5:$D$504,MATCH(A8,Maniobras!$A$5:$A$504,0)),""))</f>
        <v/>
      </c>
      <c r="E8" s="38" t="n"/>
      <c r="F8" s="39">
        <f>IF(A8="","",IFERROR(INDEX(Maniobras!$K$5:$K$504,MATCH(A8,Maniobras!$A$5:$A$504,0)),""))</f>
        <v/>
      </c>
      <c r="G8" s="39" t="n"/>
      <c r="H8" s="39" t="n"/>
      <c r="I8" s="39">
        <f>IF(G8="","",G8+N(H8))</f>
        <v/>
      </c>
      <c r="J8" s="38" t="n"/>
      <c r="K8" s="41" t="n"/>
      <c r="L8" s="38" t="n"/>
      <c r="M8">
        <f>IF($A8=Ficha!$B$3,COUNTIF($A$5:$A8,Ficha!$B$3),"")</f>
        <v/>
      </c>
    </row>
    <row r="9">
      <c r="A9" s="36" t="n"/>
      <c r="B9" s="40">
        <f>IF(A9="","",IFERROR(INDEX(Maniobras!$B$5:$B$504,MATCH(A9,Maniobras!$A$5:$A$504,0)),""))</f>
        <v/>
      </c>
      <c r="C9" s="36">
        <f>IF(B9="","",TEXT(B9,"yyyy-mm"))</f>
        <v/>
      </c>
      <c r="D9" s="36">
        <f>IF(A9="","",IFERROR(INDEX(Maniobras!$D$5:$D$504,MATCH(A9,Maniobras!$A$5:$A$504,0)),""))</f>
        <v/>
      </c>
      <c r="E9" s="36" t="n"/>
      <c r="F9" s="37">
        <f>IF(A9="","",IFERROR(INDEX(Maniobras!$K$5:$K$504,MATCH(A9,Maniobras!$A$5:$A$504,0)),""))</f>
        <v/>
      </c>
      <c r="G9" s="37" t="n"/>
      <c r="H9" s="37" t="n"/>
      <c r="I9" s="37">
        <f>IF(G9="","",G9+N(H9))</f>
        <v/>
      </c>
      <c r="J9" s="36" t="n"/>
      <c r="K9" s="40" t="n"/>
      <c r="L9" s="36" t="n"/>
      <c r="M9">
        <f>IF($A9=Ficha!$B$3,COUNTIF($A$5:$A9,Ficha!$B$3),"")</f>
        <v/>
      </c>
    </row>
    <row r="10">
      <c r="A10" s="38" t="n"/>
      <c r="B10" s="41">
        <f>IF(A10="","",IFERROR(INDEX(Maniobras!$B$5:$B$504,MATCH(A10,Maniobras!$A$5:$A$504,0)),""))</f>
        <v/>
      </c>
      <c r="C10" s="38">
        <f>IF(B10="","",TEXT(B10,"yyyy-mm"))</f>
        <v/>
      </c>
      <c r="D10" s="38">
        <f>IF(A10="","",IFERROR(INDEX(Maniobras!$D$5:$D$504,MATCH(A10,Maniobras!$A$5:$A$504,0)),""))</f>
        <v/>
      </c>
      <c r="E10" s="38" t="n"/>
      <c r="F10" s="39">
        <f>IF(A10="","",IFERROR(INDEX(Maniobras!$K$5:$K$504,MATCH(A10,Maniobras!$A$5:$A$504,0)),""))</f>
        <v/>
      </c>
      <c r="G10" s="39" t="n"/>
      <c r="H10" s="39" t="n"/>
      <c r="I10" s="39">
        <f>IF(G10="","",G10+N(H10))</f>
        <v/>
      </c>
      <c r="J10" s="38" t="n"/>
      <c r="K10" s="41" t="n"/>
      <c r="L10" s="38" t="n"/>
      <c r="M10">
        <f>IF($A10=Ficha!$B$3,COUNTIF($A$5:$A10,Ficha!$B$3),"")</f>
        <v/>
      </c>
    </row>
    <row r="11">
      <c r="A11" s="36" t="n"/>
      <c r="B11" s="40">
        <f>IF(A11="","",IFERROR(INDEX(Maniobras!$B$5:$B$504,MATCH(A11,Maniobras!$A$5:$A$504,0)),""))</f>
        <v/>
      </c>
      <c r="C11" s="36">
        <f>IF(B11="","",TEXT(B11,"yyyy-mm"))</f>
        <v/>
      </c>
      <c r="D11" s="36">
        <f>IF(A11="","",IFERROR(INDEX(Maniobras!$D$5:$D$504,MATCH(A11,Maniobras!$A$5:$A$504,0)),""))</f>
        <v/>
      </c>
      <c r="E11" s="36" t="n"/>
      <c r="F11" s="37">
        <f>IF(A11="","",IFERROR(INDEX(Maniobras!$K$5:$K$504,MATCH(A11,Maniobras!$A$5:$A$504,0)),""))</f>
        <v/>
      </c>
      <c r="G11" s="37" t="n"/>
      <c r="H11" s="37" t="n"/>
      <c r="I11" s="37">
        <f>IF(G11="","",G11+N(H11))</f>
        <v/>
      </c>
      <c r="J11" s="36" t="n"/>
      <c r="K11" s="40" t="n"/>
      <c r="L11" s="36" t="n"/>
      <c r="M11">
        <f>IF($A11=Ficha!$B$3,COUNTIF($A$5:$A11,Ficha!$B$3),"")</f>
        <v/>
      </c>
    </row>
    <row r="12">
      <c r="A12" s="38" t="n"/>
      <c r="B12" s="41">
        <f>IF(A12="","",IFERROR(INDEX(Maniobras!$B$5:$B$504,MATCH(A12,Maniobras!$A$5:$A$504,0)),""))</f>
        <v/>
      </c>
      <c r="C12" s="38">
        <f>IF(B12="","",TEXT(B12,"yyyy-mm"))</f>
        <v/>
      </c>
      <c r="D12" s="38">
        <f>IF(A12="","",IFERROR(INDEX(Maniobras!$D$5:$D$504,MATCH(A12,Maniobras!$A$5:$A$504,0)),""))</f>
        <v/>
      </c>
      <c r="E12" s="38" t="n"/>
      <c r="F12" s="39">
        <f>IF(A12="","",IFERROR(INDEX(Maniobras!$K$5:$K$504,MATCH(A12,Maniobras!$A$5:$A$504,0)),""))</f>
        <v/>
      </c>
      <c r="G12" s="39" t="n"/>
      <c r="H12" s="39" t="n"/>
      <c r="I12" s="39">
        <f>IF(G12="","",G12+N(H12))</f>
        <v/>
      </c>
      <c r="J12" s="38" t="n"/>
      <c r="K12" s="41" t="n"/>
      <c r="L12" s="38" t="n"/>
      <c r="M12">
        <f>IF($A12=Ficha!$B$3,COUNTIF($A$5:$A12,Ficha!$B$3),"")</f>
        <v/>
      </c>
    </row>
    <row r="13">
      <c r="A13" s="36" t="n"/>
      <c r="B13" s="40">
        <f>IF(A13="","",IFERROR(INDEX(Maniobras!$B$5:$B$504,MATCH(A13,Maniobras!$A$5:$A$504,0)),""))</f>
        <v/>
      </c>
      <c r="C13" s="36">
        <f>IF(B13="","",TEXT(B13,"yyyy-mm"))</f>
        <v/>
      </c>
      <c r="D13" s="36">
        <f>IF(A13="","",IFERROR(INDEX(Maniobras!$D$5:$D$504,MATCH(A13,Maniobras!$A$5:$A$504,0)),""))</f>
        <v/>
      </c>
      <c r="E13" s="36" t="n"/>
      <c r="F13" s="37">
        <f>IF(A13="","",IFERROR(INDEX(Maniobras!$K$5:$K$504,MATCH(A13,Maniobras!$A$5:$A$504,0)),""))</f>
        <v/>
      </c>
      <c r="G13" s="37" t="n"/>
      <c r="H13" s="37" t="n"/>
      <c r="I13" s="37">
        <f>IF(G13="","",G13+N(H13))</f>
        <v/>
      </c>
      <c r="J13" s="36" t="n"/>
      <c r="K13" s="40" t="n"/>
      <c r="L13" s="36" t="n"/>
      <c r="M13">
        <f>IF($A13=Ficha!$B$3,COUNTIF($A$5:$A13,Ficha!$B$3),"")</f>
        <v/>
      </c>
    </row>
    <row r="14">
      <c r="A14" s="38" t="n"/>
      <c r="B14" s="41">
        <f>IF(A14="","",IFERROR(INDEX(Maniobras!$B$5:$B$504,MATCH(A14,Maniobras!$A$5:$A$504,0)),""))</f>
        <v/>
      </c>
      <c r="C14" s="38">
        <f>IF(B14="","",TEXT(B14,"yyyy-mm"))</f>
        <v/>
      </c>
      <c r="D14" s="38">
        <f>IF(A14="","",IFERROR(INDEX(Maniobras!$D$5:$D$504,MATCH(A14,Maniobras!$A$5:$A$504,0)),""))</f>
        <v/>
      </c>
      <c r="E14" s="38" t="n"/>
      <c r="F14" s="39">
        <f>IF(A14="","",IFERROR(INDEX(Maniobras!$K$5:$K$504,MATCH(A14,Maniobras!$A$5:$A$504,0)),""))</f>
        <v/>
      </c>
      <c r="G14" s="39" t="n"/>
      <c r="H14" s="39" t="n"/>
      <c r="I14" s="39">
        <f>IF(G14="","",G14+N(H14))</f>
        <v/>
      </c>
      <c r="J14" s="38" t="n"/>
      <c r="K14" s="41" t="n"/>
      <c r="L14" s="38" t="n"/>
      <c r="M14">
        <f>IF($A14=Ficha!$B$3,COUNTIF($A$5:$A14,Ficha!$B$3),"")</f>
        <v/>
      </c>
    </row>
    <row r="15">
      <c r="A15" s="36" t="n"/>
      <c r="B15" s="40">
        <f>IF(A15="","",IFERROR(INDEX(Maniobras!$B$5:$B$504,MATCH(A15,Maniobras!$A$5:$A$504,0)),""))</f>
        <v/>
      </c>
      <c r="C15" s="36">
        <f>IF(B15="","",TEXT(B15,"yyyy-mm"))</f>
        <v/>
      </c>
      <c r="D15" s="36">
        <f>IF(A15="","",IFERROR(INDEX(Maniobras!$D$5:$D$504,MATCH(A15,Maniobras!$A$5:$A$504,0)),""))</f>
        <v/>
      </c>
      <c r="E15" s="36" t="n"/>
      <c r="F15" s="37">
        <f>IF(A15="","",IFERROR(INDEX(Maniobras!$K$5:$K$504,MATCH(A15,Maniobras!$A$5:$A$504,0)),""))</f>
        <v/>
      </c>
      <c r="G15" s="37" t="n"/>
      <c r="H15" s="37" t="n"/>
      <c r="I15" s="37">
        <f>IF(G15="","",G15+N(H15))</f>
        <v/>
      </c>
      <c r="J15" s="36" t="n"/>
      <c r="K15" s="40" t="n"/>
      <c r="L15" s="36" t="n"/>
      <c r="M15">
        <f>IF($A15=Ficha!$B$3,COUNTIF($A$5:$A15,Ficha!$B$3),"")</f>
        <v/>
      </c>
    </row>
    <row r="16">
      <c r="A16" s="38" t="n"/>
      <c r="B16" s="41">
        <f>IF(A16="","",IFERROR(INDEX(Maniobras!$B$5:$B$504,MATCH(A16,Maniobras!$A$5:$A$504,0)),""))</f>
        <v/>
      </c>
      <c r="C16" s="38">
        <f>IF(B16="","",TEXT(B16,"yyyy-mm"))</f>
        <v/>
      </c>
      <c r="D16" s="38">
        <f>IF(A16="","",IFERROR(INDEX(Maniobras!$D$5:$D$504,MATCH(A16,Maniobras!$A$5:$A$504,0)),""))</f>
        <v/>
      </c>
      <c r="E16" s="38" t="n"/>
      <c r="F16" s="39">
        <f>IF(A16="","",IFERROR(INDEX(Maniobras!$K$5:$K$504,MATCH(A16,Maniobras!$A$5:$A$504,0)),""))</f>
        <v/>
      </c>
      <c r="G16" s="39" t="n"/>
      <c r="H16" s="39" t="n"/>
      <c r="I16" s="39">
        <f>IF(G16="","",G16+N(H16))</f>
        <v/>
      </c>
      <c r="J16" s="38" t="n"/>
      <c r="K16" s="41" t="n"/>
      <c r="L16" s="38" t="n"/>
      <c r="M16">
        <f>IF($A16=Ficha!$B$3,COUNTIF($A$5:$A16,Ficha!$B$3),"")</f>
        <v/>
      </c>
    </row>
    <row r="17">
      <c r="A17" s="36" t="n"/>
      <c r="B17" s="40">
        <f>IF(A17="","",IFERROR(INDEX(Maniobras!$B$5:$B$504,MATCH(A17,Maniobras!$A$5:$A$504,0)),""))</f>
        <v/>
      </c>
      <c r="C17" s="36">
        <f>IF(B17="","",TEXT(B17,"yyyy-mm"))</f>
        <v/>
      </c>
      <c r="D17" s="36">
        <f>IF(A17="","",IFERROR(INDEX(Maniobras!$D$5:$D$504,MATCH(A17,Maniobras!$A$5:$A$504,0)),""))</f>
        <v/>
      </c>
      <c r="E17" s="36" t="n"/>
      <c r="F17" s="37">
        <f>IF(A17="","",IFERROR(INDEX(Maniobras!$K$5:$K$504,MATCH(A17,Maniobras!$A$5:$A$504,0)),""))</f>
        <v/>
      </c>
      <c r="G17" s="37" t="n"/>
      <c r="H17" s="37" t="n"/>
      <c r="I17" s="37">
        <f>IF(G17="","",G17+N(H17))</f>
        <v/>
      </c>
      <c r="J17" s="36" t="n"/>
      <c r="K17" s="40" t="n"/>
      <c r="L17" s="36" t="n"/>
      <c r="M17">
        <f>IF($A17=Ficha!$B$3,COUNTIF($A$5:$A17,Ficha!$B$3),"")</f>
        <v/>
      </c>
    </row>
    <row r="18">
      <c r="A18" s="38" t="n"/>
      <c r="B18" s="41">
        <f>IF(A18="","",IFERROR(INDEX(Maniobras!$B$5:$B$504,MATCH(A18,Maniobras!$A$5:$A$504,0)),""))</f>
        <v/>
      </c>
      <c r="C18" s="38">
        <f>IF(B18="","",TEXT(B18,"yyyy-mm"))</f>
        <v/>
      </c>
      <c r="D18" s="38">
        <f>IF(A18="","",IFERROR(INDEX(Maniobras!$D$5:$D$504,MATCH(A18,Maniobras!$A$5:$A$504,0)),""))</f>
        <v/>
      </c>
      <c r="E18" s="38" t="n"/>
      <c r="F18" s="39">
        <f>IF(A18="","",IFERROR(INDEX(Maniobras!$K$5:$K$504,MATCH(A18,Maniobras!$A$5:$A$504,0)),""))</f>
        <v/>
      </c>
      <c r="G18" s="39" t="n"/>
      <c r="H18" s="39" t="n"/>
      <c r="I18" s="39">
        <f>IF(G18="","",G18+N(H18))</f>
        <v/>
      </c>
      <c r="J18" s="38" t="n"/>
      <c r="K18" s="41" t="n"/>
      <c r="L18" s="38" t="n"/>
      <c r="M18">
        <f>IF($A18=Ficha!$B$3,COUNTIF($A$5:$A18,Ficha!$B$3),"")</f>
        <v/>
      </c>
    </row>
    <row r="19">
      <c r="A19" s="36" t="n"/>
      <c r="B19" s="40">
        <f>IF(A19="","",IFERROR(INDEX(Maniobras!$B$5:$B$504,MATCH(A19,Maniobras!$A$5:$A$504,0)),""))</f>
        <v/>
      </c>
      <c r="C19" s="36">
        <f>IF(B19="","",TEXT(B19,"yyyy-mm"))</f>
        <v/>
      </c>
      <c r="D19" s="36">
        <f>IF(A19="","",IFERROR(INDEX(Maniobras!$D$5:$D$504,MATCH(A19,Maniobras!$A$5:$A$504,0)),""))</f>
        <v/>
      </c>
      <c r="E19" s="36" t="n"/>
      <c r="F19" s="37">
        <f>IF(A19="","",IFERROR(INDEX(Maniobras!$K$5:$K$504,MATCH(A19,Maniobras!$A$5:$A$504,0)),""))</f>
        <v/>
      </c>
      <c r="G19" s="37" t="n"/>
      <c r="H19" s="37" t="n"/>
      <c r="I19" s="37">
        <f>IF(G19="","",G19+N(H19))</f>
        <v/>
      </c>
      <c r="J19" s="36" t="n"/>
      <c r="K19" s="40" t="n"/>
      <c r="L19" s="36" t="n"/>
      <c r="M19">
        <f>IF($A19=Ficha!$B$3,COUNTIF($A$5:$A19,Ficha!$B$3),"")</f>
        <v/>
      </c>
    </row>
    <row r="20">
      <c r="A20" s="38" t="n"/>
      <c r="B20" s="41">
        <f>IF(A20="","",IFERROR(INDEX(Maniobras!$B$5:$B$504,MATCH(A20,Maniobras!$A$5:$A$504,0)),""))</f>
        <v/>
      </c>
      <c r="C20" s="38">
        <f>IF(B20="","",TEXT(B20,"yyyy-mm"))</f>
        <v/>
      </c>
      <c r="D20" s="38">
        <f>IF(A20="","",IFERROR(INDEX(Maniobras!$D$5:$D$504,MATCH(A20,Maniobras!$A$5:$A$504,0)),""))</f>
        <v/>
      </c>
      <c r="E20" s="38" t="n"/>
      <c r="F20" s="39">
        <f>IF(A20="","",IFERROR(INDEX(Maniobras!$K$5:$K$504,MATCH(A20,Maniobras!$A$5:$A$504,0)),""))</f>
        <v/>
      </c>
      <c r="G20" s="39" t="n"/>
      <c r="H20" s="39" t="n"/>
      <c r="I20" s="39">
        <f>IF(G20="","",G20+N(H20))</f>
        <v/>
      </c>
      <c r="J20" s="38" t="n"/>
      <c r="K20" s="41" t="n"/>
      <c r="L20" s="38" t="n"/>
      <c r="M20">
        <f>IF($A20=Ficha!$B$3,COUNTIF($A$5:$A20,Ficha!$B$3),"")</f>
        <v/>
      </c>
    </row>
    <row r="21">
      <c r="A21" s="36" t="n"/>
      <c r="B21" s="40">
        <f>IF(A21="","",IFERROR(INDEX(Maniobras!$B$5:$B$504,MATCH(A21,Maniobras!$A$5:$A$504,0)),""))</f>
        <v/>
      </c>
      <c r="C21" s="36">
        <f>IF(B21="","",TEXT(B21,"yyyy-mm"))</f>
        <v/>
      </c>
      <c r="D21" s="36">
        <f>IF(A21="","",IFERROR(INDEX(Maniobras!$D$5:$D$504,MATCH(A21,Maniobras!$A$5:$A$504,0)),""))</f>
        <v/>
      </c>
      <c r="E21" s="36" t="n"/>
      <c r="F21" s="37">
        <f>IF(A21="","",IFERROR(INDEX(Maniobras!$K$5:$K$504,MATCH(A21,Maniobras!$A$5:$A$504,0)),""))</f>
        <v/>
      </c>
      <c r="G21" s="37" t="n"/>
      <c r="H21" s="37" t="n"/>
      <c r="I21" s="37">
        <f>IF(G21="","",G21+N(H21))</f>
        <v/>
      </c>
      <c r="J21" s="36" t="n"/>
      <c r="K21" s="40" t="n"/>
      <c r="L21" s="36" t="n"/>
      <c r="M21">
        <f>IF($A21=Ficha!$B$3,COUNTIF($A$5:$A21,Ficha!$B$3),"")</f>
        <v/>
      </c>
    </row>
    <row r="22">
      <c r="A22" s="38" t="n"/>
      <c r="B22" s="41">
        <f>IF(A22="","",IFERROR(INDEX(Maniobras!$B$5:$B$504,MATCH(A22,Maniobras!$A$5:$A$504,0)),""))</f>
        <v/>
      </c>
      <c r="C22" s="38">
        <f>IF(B22="","",TEXT(B22,"yyyy-mm"))</f>
        <v/>
      </c>
      <c r="D22" s="38">
        <f>IF(A22="","",IFERROR(INDEX(Maniobras!$D$5:$D$504,MATCH(A22,Maniobras!$A$5:$A$504,0)),""))</f>
        <v/>
      </c>
      <c r="E22" s="38" t="n"/>
      <c r="F22" s="39">
        <f>IF(A22="","",IFERROR(INDEX(Maniobras!$K$5:$K$504,MATCH(A22,Maniobras!$A$5:$A$504,0)),""))</f>
        <v/>
      </c>
      <c r="G22" s="39" t="n"/>
      <c r="H22" s="39" t="n"/>
      <c r="I22" s="39">
        <f>IF(G22="","",G22+N(H22))</f>
        <v/>
      </c>
      <c r="J22" s="38" t="n"/>
      <c r="K22" s="41" t="n"/>
      <c r="L22" s="38" t="n"/>
      <c r="M22">
        <f>IF($A22=Ficha!$B$3,COUNTIF($A$5:$A22,Ficha!$B$3),"")</f>
        <v/>
      </c>
    </row>
    <row r="23">
      <c r="A23" s="36" t="n"/>
      <c r="B23" s="40">
        <f>IF(A23="","",IFERROR(INDEX(Maniobras!$B$5:$B$504,MATCH(A23,Maniobras!$A$5:$A$504,0)),""))</f>
        <v/>
      </c>
      <c r="C23" s="36">
        <f>IF(B23="","",TEXT(B23,"yyyy-mm"))</f>
        <v/>
      </c>
      <c r="D23" s="36">
        <f>IF(A23="","",IFERROR(INDEX(Maniobras!$D$5:$D$504,MATCH(A23,Maniobras!$A$5:$A$504,0)),""))</f>
        <v/>
      </c>
      <c r="E23" s="36" t="n"/>
      <c r="F23" s="37">
        <f>IF(A23="","",IFERROR(INDEX(Maniobras!$K$5:$K$504,MATCH(A23,Maniobras!$A$5:$A$504,0)),""))</f>
        <v/>
      </c>
      <c r="G23" s="37" t="n"/>
      <c r="H23" s="37" t="n"/>
      <c r="I23" s="37">
        <f>IF(G23="","",G23+N(H23))</f>
        <v/>
      </c>
      <c r="J23" s="36" t="n"/>
      <c r="K23" s="40" t="n"/>
      <c r="L23" s="36" t="n"/>
      <c r="M23">
        <f>IF($A23=Ficha!$B$3,COUNTIF($A$5:$A23,Ficha!$B$3),"")</f>
        <v/>
      </c>
    </row>
    <row r="24">
      <c r="A24" s="38" t="n"/>
      <c r="B24" s="41">
        <f>IF(A24="","",IFERROR(INDEX(Maniobras!$B$5:$B$504,MATCH(A24,Maniobras!$A$5:$A$504,0)),""))</f>
        <v/>
      </c>
      <c r="C24" s="38">
        <f>IF(B24="","",TEXT(B24,"yyyy-mm"))</f>
        <v/>
      </c>
      <c r="D24" s="38">
        <f>IF(A24="","",IFERROR(INDEX(Maniobras!$D$5:$D$504,MATCH(A24,Maniobras!$A$5:$A$504,0)),""))</f>
        <v/>
      </c>
      <c r="E24" s="38" t="n"/>
      <c r="F24" s="39">
        <f>IF(A24="","",IFERROR(INDEX(Maniobras!$K$5:$K$504,MATCH(A24,Maniobras!$A$5:$A$504,0)),""))</f>
        <v/>
      </c>
      <c r="G24" s="39" t="n"/>
      <c r="H24" s="39" t="n"/>
      <c r="I24" s="39">
        <f>IF(G24="","",G24+N(H24))</f>
        <v/>
      </c>
      <c r="J24" s="38" t="n"/>
      <c r="K24" s="41" t="n"/>
      <c r="L24" s="38" t="n"/>
      <c r="M24">
        <f>IF($A24=Ficha!$B$3,COUNTIF($A$5:$A24,Ficha!$B$3),"")</f>
        <v/>
      </c>
    </row>
    <row r="25">
      <c r="A25" s="36" t="n"/>
      <c r="B25" s="40">
        <f>IF(A25="","",IFERROR(INDEX(Maniobras!$B$5:$B$504,MATCH(A25,Maniobras!$A$5:$A$504,0)),""))</f>
        <v/>
      </c>
      <c r="C25" s="36">
        <f>IF(B25="","",TEXT(B25,"yyyy-mm"))</f>
        <v/>
      </c>
      <c r="D25" s="36">
        <f>IF(A25="","",IFERROR(INDEX(Maniobras!$D$5:$D$504,MATCH(A25,Maniobras!$A$5:$A$504,0)),""))</f>
        <v/>
      </c>
      <c r="E25" s="36" t="n"/>
      <c r="F25" s="37">
        <f>IF(A25="","",IFERROR(INDEX(Maniobras!$K$5:$K$504,MATCH(A25,Maniobras!$A$5:$A$504,0)),""))</f>
        <v/>
      </c>
      <c r="G25" s="37" t="n"/>
      <c r="H25" s="37" t="n"/>
      <c r="I25" s="37">
        <f>IF(G25="","",G25+N(H25))</f>
        <v/>
      </c>
      <c r="J25" s="36" t="n"/>
      <c r="K25" s="40" t="n"/>
      <c r="L25" s="36" t="n"/>
      <c r="M25">
        <f>IF($A25=Ficha!$B$3,COUNTIF($A$5:$A25,Ficha!$B$3),"")</f>
        <v/>
      </c>
    </row>
    <row r="26">
      <c r="A26" s="38" t="n"/>
      <c r="B26" s="41">
        <f>IF(A26="","",IFERROR(INDEX(Maniobras!$B$5:$B$504,MATCH(A26,Maniobras!$A$5:$A$504,0)),""))</f>
        <v/>
      </c>
      <c r="C26" s="38">
        <f>IF(B26="","",TEXT(B26,"yyyy-mm"))</f>
        <v/>
      </c>
      <c r="D26" s="38">
        <f>IF(A26="","",IFERROR(INDEX(Maniobras!$D$5:$D$504,MATCH(A26,Maniobras!$A$5:$A$504,0)),""))</f>
        <v/>
      </c>
      <c r="E26" s="38" t="n"/>
      <c r="F26" s="39">
        <f>IF(A26="","",IFERROR(INDEX(Maniobras!$K$5:$K$504,MATCH(A26,Maniobras!$A$5:$A$504,0)),""))</f>
        <v/>
      </c>
      <c r="G26" s="39" t="n"/>
      <c r="H26" s="39" t="n"/>
      <c r="I26" s="39">
        <f>IF(G26="","",G26+N(H26))</f>
        <v/>
      </c>
      <c r="J26" s="38" t="n"/>
      <c r="K26" s="41" t="n"/>
      <c r="L26" s="38" t="n"/>
      <c r="M26">
        <f>IF($A26=Ficha!$B$3,COUNTIF($A$5:$A26,Ficha!$B$3),"")</f>
        <v/>
      </c>
    </row>
    <row r="27">
      <c r="A27" s="36" t="n"/>
      <c r="B27" s="40">
        <f>IF(A27="","",IFERROR(INDEX(Maniobras!$B$5:$B$504,MATCH(A27,Maniobras!$A$5:$A$504,0)),""))</f>
        <v/>
      </c>
      <c r="C27" s="36">
        <f>IF(B27="","",TEXT(B27,"yyyy-mm"))</f>
        <v/>
      </c>
      <c r="D27" s="36">
        <f>IF(A27="","",IFERROR(INDEX(Maniobras!$D$5:$D$504,MATCH(A27,Maniobras!$A$5:$A$504,0)),""))</f>
        <v/>
      </c>
      <c r="E27" s="36" t="n"/>
      <c r="F27" s="37">
        <f>IF(A27="","",IFERROR(INDEX(Maniobras!$K$5:$K$504,MATCH(A27,Maniobras!$A$5:$A$504,0)),""))</f>
        <v/>
      </c>
      <c r="G27" s="37" t="n"/>
      <c r="H27" s="37" t="n"/>
      <c r="I27" s="37">
        <f>IF(G27="","",G27+N(H27))</f>
        <v/>
      </c>
      <c r="J27" s="36" t="n"/>
      <c r="K27" s="40" t="n"/>
      <c r="L27" s="36" t="n"/>
      <c r="M27">
        <f>IF($A27=Ficha!$B$3,COUNTIF($A$5:$A27,Ficha!$B$3),"")</f>
        <v/>
      </c>
    </row>
    <row r="28">
      <c r="A28" s="38" t="n"/>
      <c r="B28" s="41">
        <f>IF(A28="","",IFERROR(INDEX(Maniobras!$B$5:$B$504,MATCH(A28,Maniobras!$A$5:$A$504,0)),""))</f>
        <v/>
      </c>
      <c r="C28" s="38">
        <f>IF(B28="","",TEXT(B28,"yyyy-mm"))</f>
        <v/>
      </c>
      <c r="D28" s="38">
        <f>IF(A28="","",IFERROR(INDEX(Maniobras!$D$5:$D$504,MATCH(A28,Maniobras!$A$5:$A$504,0)),""))</f>
        <v/>
      </c>
      <c r="E28" s="38" t="n"/>
      <c r="F28" s="39">
        <f>IF(A28="","",IFERROR(INDEX(Maniobras!$K$5:$K$504,MATCH(A28,Maniobras!$A$5:$A$504,0)),""))</f>
        <v/>
      </c>
      <c r="G28" s="39" t="n"/>
      <c r="H28" s="39" t="n"/>
      <c r="I28" s="39">
        <f>IF(G28="","",G28+N(H28))</f>
        <v/>
      </c>
      <c r="J28" s="38" t="n"/>
      <c r="K28" s="41" t="n"/>
      <c r="L28" s="38" t="n"/>
      <c r="M28">
        <f>IF($A28=Ficha!$B$3,COUNTIF($A$5:$A28,Ficha!$B$3),"")</f>
        <v/>
      </c>
    </row>
    <row r="29">
      <c r="A29" s="36" t="n"/>
      <c r="B29" s="40">
        <f>IF(A29="","",IFERROR(INDEX(Maniobras!$B$5:$B$504,MATCH(A29,Maniobras!$A$5:$A$504,0)),""))</f>
        <v/>
      </c>
      <c r="C29" s="36">
        <f>IF(B29="","",TEXT(B29,"yyyy-mm"))</f>
        <v/>
      </c>
      <c r="D29" s="36">
        <f>IF(A29="","",IFERROR(INDEX(Maniobras!$D$5:$D$504,MATCH(A29,Maniobras!$A$5:$A$504,0)),""))</f>
        <v/>
      </c>
      <c r="E29" s="36" t="n"/>
      <c r="F29" s="37">
        <f>IF(A29="","",IFERROR(INDEX(Maniobras!$K$5:$K$504,MATCH(A29,Maniobras!$A$5:$A$504,0)),""))</f>
        <v/>
      </c>
      <c r="G29" s="37" t="n"/>
      <c r="H29" s="37" t="n"/>
      <c r="I29" s="37">
        <f>IF(G29="","",G29+N(H29))</f>
        <v/>
      </c>
      <c r="J29" s="36" t="n"/>
      <c r="K29" s="40" t="n"/>
      <c r="L29" s="36" t="n"/>
      <c r="M29">
        <f>IF($A29=Ficha!$B$3,COUNTIF($A$5:$A29,Ficha!$B$3),"")</f>
        <v/>
      </c>
    </row>
    <row r="30">
      <c r="A30" s="38" t="n"/>
      <c r="B30" s="41">
        <f>IF(A30="","",IFERROR(INDEX(Maniobras!$B$5:$B$504,MATCH(A30,Maniobras!$A$5:$A$504,0)),""))</f>
        <v/>
      </c>
      <c r="C30" s="38">
        <f>IF(B30="","",TEXT(B30,"yyyy-mm"))</f>
        <v/>
      </c>
      <c r="D30" s="38">
        <f>IF(A30="","",IFERROR(INDEX(Maniobras!$D$5:$D$504,MATCH(A30,Maniobras!$A$5:$A$504,0)),""))</f>
        <v/>
      </c>
      <c r="E30" s="38" t="n"/>
      <c r="F30" s="39">
        <f>IF(A30="","",IFERROR(INDEX(Maniobras!$K$5:$K$504,MATCH(A30,Maniobras!$A$5:$A$504,0)),""))</f>
        <v/>
      </c>
      <c r="G30" s="39" t="n"/>
      <c r="H30" s="39" t="n"/>
      <c r="I30" s="39">
        <f>IF(G30="","",G30+N(H30))</f>
        <v/>
      </c>
      <c r="J30" s="38" t="n"/>
      <c r="K30" s="41" t="n"/>
      <c r="L30" s="38" t="n"/>
      <c r="M30">
        <f>IF($A30=Ficha!$B$3,COUNTIF($A$5:$A30,Ficha!$B$3),"")</f>
        <v/>
      </c>
    </row>
    <row r="31">
      <c r="A31" s="36" t="n"/>
      <c r="B31" s="40">
        <f>IF(A31="","",IFERROR(INDEX(Maniobras!$B$5:$B$504,MATCH(A31,Maniobras!$A$5:$A$504,0)),""))</f>
        <v/>
      </c>
      <c r="C31" s="36">
        <f>IF(B31="","",TEXT(B31,"yyyy-mm"))</f>
        <v/>
      </c>
      <c r="D31" s="36">
        <f>IF(A31="","",IFERROR(INDEX(Maniobras!$D$5:$D$504,MATCH(A31,Maniobras!$A$5:$A$504,0)),""))</f>
        <v/>
      </c>
      <c r="E31" s="36" t="n"/>
      <c r="F31" s="37">
        <f>IF(A31="","",IFERROR(INDEX(Maniobras!$K$5:$K$504,MATCH(A31,Maniobras!$A$5:$A$504,0)),""))</f>
        <v/>
      </c>
      <c r="G31" s="37" t="n"/>
      <c r="H31" s="37" t="n"/>
      <c r="I31" s="37">
        <f>IF(G31="","",G31+N(H31))</f>
        <v/>
      </c>
      <c r="J31" s="36" t="n"/>
      <c r="K31" s="40" t="n"/>
      <c r="L31" s="36" t="n"/>
      <c r="M31">
        <f>IF($A31=Ficha!$B$3,COUNTIF($A$5:$A31,Ficha!$B$3),"")</f>
        <v/>
      </c>
    </row>
    <row r="32">
      <c r="A32" s="38" t="n"/>
      <c r="B32" s="41">
        <f>IF(A32="","",IFERROR(INDEX(Maniobras!$B$5:$B$504,MATCH(A32,Maniobras!$A$5:$A$504,0)),""))</f>
        <v/>
      </c>
      <c r="C32" s="38">
        <f>IF(B32="","",TEXT(B32,"yyyy-mm"))</f>
        <v/>
      </c>
      <c r="D32" s="38">
        <f>IF(A32="","",IFERROR(INDEX(Maniobras!$D$5:$D$504,MATCH(A32,Maniobras!$A$5:$A$504,0)),""))</f>
        <v/>
      </c>
      <c r="E32" s="38" t="n"/>
      <c r="F32" s="39">
        <f>IF(A32="","",IFERROR(INDEX(Maniobras!$K$5:$K$504,MATCH(A32,Maniobras!$A$5:$A$504,0)),""))</f>
        <v/>
      </c>
      <c r="G32" s="39" t="n"/>
      <c r="H32" s="39" t="n"/>
      <c r="I32" s="39">
        <f>IF(G32="","",G32+N(H32))</f>
        <v/>
      </c>
      <c r="J32" s="38" t="n"/>
      <c r="K32" s="41" t="n"/>
      <c r="L32" s="38" t="n"/>
      <c r="M32">
        <f>IF($A32=Ficha!$B$3,COUNTIF($A$5:$A32,Ficha!$B$3),"")</f>
        <v/>
      </c>
    </row>
    <row r="33">
      <c r="A33" s="36" t="n"/>
      <c r="B33" s="40">
        <f>IF(A33="","",IFERROR(INDEX(Maniobras!$B$5:$B$504,MATCH(A33,Maniobras!$A$5:$A$504,0)),""))</f>
        <v/>
      </c>
      <c r="C33" s="36">
        <f>IF(B33="","",TEXT(B33,"yyyy-mm"))</f>
        <v/>
      </c>
      <c r="D33" s="36">
        <f>IF(A33="","",IFERROR(INDEX(Maniobras!$D$5:$D$504,MATCH(A33,Maniobras!$A$5:$A$504,0)),""))</f>
        <v/>
      </c>
      <c r="E33" s="36" t="n"/>
      <c r="F33" s="37">
        <f>IF(A33="","",IFERROR(INDEX(Maniobras!$K$5:$K$504,MATCH(A33,Maniobras!$A$5:$A$504,0)),""))</f>
        <v/>
      </c>
      <c r="G33" s="37" t="n"/>
      <c r="H33" s="37" t="n"/>
      <c r="I33" s="37">
        <f>IF(G33="","",G33+N(H33))</f>
        <v/>
      </c>
      <c r="J33" s="36" t="n"/>
      <c r="K33" s="40" t="n"/>
      <c r="L33" s="36" t="n"/>
      <c r="M33">
        <f>IF($A33=Ficha!$B$3,COUNTIF($A$5:$A33,Ficha!$B$3),"")</f>
        <v/>
      </c>
    </row>
    <row r="34">
      <c r="A34" s="38" t="n"/>
      <c r="B34" s="41">
        <f>IF(A34="","",IFERROR(INDEX(Maniobras!$B$5:$B$504,MATCH(A34,Maniobras!$A$5:$A$504,0)),""))</f>
        <v/>
      </c>
      <c r="C34" s="38">
        <f>IF(B34="","",TEXT(B34,"yyyy-mm"))</f>
        <v/>
      </c>
      <c r="D34" s="38">
        <f>IF(A34="","",IFERROR(INDEX(Maniobras!$D$5:$D$504,MATCH(A34,Maniobras!$A$5:$A$504,0)),""))</f>
        <v/>
      </c>
      <c r="E34" s="38" t="n"/>
      <c r="F34" s="39">
        <f>IF(A34="","",IFERROR(INDEX(Maniobras!$K$5:$K$504,MATCH(A34,Maniobras!$A$5:$A$504,0)),""))</f>
        <v/>
      </c>
      <c r="G34" s="39" t="n"/>
      <c r="H34" s="39" t="n"/>
      <c r="I34" s="39">
        <f>IF(G34="","",G34+N(H34))</f>
        <v/>
      </c>
      <c r="J34" s="38" t="n"/>
      <c r="K34" s="41" t="n"/>
      <c r="L34" s="38" t="n"/>
      <c r="M34">
        <f>IF($A34=Ficha!$B$3,COUNTIF($A$5:$A34,Ficha!$B$3),"")</f>
        <v/>
      </c>
    </row>
    <row r="35">
      <c r="A35" s="36" t="n"/>
      <c r="B35" s="40">
        <f>IF(A35="","",IFERROR(INDEX(Maniobras!$B$5:$B$504,MATCH(A35,Maniobras!$A$5:$A$504,0)),""))</f>
        <v/>
      </c>
      <c r="C35" s="36">
        <f>IF(B35="","",TEXT(B35,"yyyy-mm"))</f>
        <v/>
      </c>
      <c r="D35" s="36">
        <f>IF(A35="","",IFERROR(INDEX(Maniobras!$D$5:$D$504,MATCH(A35,Maniobras!$A$5:$A$504,0)),""))</f>
        <v/>
      </c>
      <c r="E35" s="36" t="n"/>
      <c r="F35" s="37">
        <f>IF(A35="","",IFERROR(INDEX(Maniobras!$K$5:$K$504,MATCH(A35,Maniobras!$A$5:$A$504,0)),""))</f>
        <v/>
      </c>
      <c r="G35" s="37" t="n"/>
      <c r="H35" s="37" t="n"/>
      <c r="I35" s="37">
        <f>IF(G35="","",G35+N(H35))</f>
        <v/>
      </c>
      <c r="J35" s="36" t="n"/>
      <c r="K35" s="40" t="n"/>
      <c r="L35" s="36" t="n"/>
      <c r="M35">
        <f>IF($A35=Ficha!$B$3,COUNTIF($A$5:$A35,Ficha!$B$3),"")</f>
        <v/>
      </c>
    </row>
    <row r="36">
      <c r="A36" s="38" t="n"/>
      <c r="B36" s="41">
        <f>IF(A36="","",IFERROR(INDEX(Maniobras!$B$5:$B$504,MATCH(A36,Maniobras!$A$5:$A$504,0)),""))</f>
        <v/>
      </c>
      <c r="C36" s="38">
        <f>IF(B36="","",TEXT(B36,"yyyy-mm"))</f>
        <v/>
      </c>
      <c r="D36" s="38">
        <f>IF(A36="","",IFERROR(INDEX(Maniobras!$D$5:$D$504,MATCH(A36,Maniobras!$A$5:$A$504,0)),""))</f>
        <v/>
      </c>
      <c r="E36" s="38" t="n"/>
      <c r="F36" s="39">
        <f>IF(A36="","",IFERROR(INDEX(Maniobras!$K$5:$K$504,MATCH(A36,Maniobras!$A$5:$A$504,0)),""))</f>
        <v/>
      </c>
      <c r="G36" s="39" t="n"/>
      <c r="H36" s="39" t="n"/>
      <c r="I36" s="39">
        <f>IF(G36="","",G36+N(H36))</f>
        <v/>
      </c>
      <c r="J36" s="38" t="n"/>
      <c r="K36" s="41" t="n"/>
      <c r="L36" s="38" t="n"/>
      <c r="M36">
        <f>IF($A36=Ficha!$B$3,COUNTIF($A$5:$A36,Ficha!$B$3),"")</f>
        <v/>
      </c>
    </row>
    <row r="37">
      <c r="A37" s="36" t="n"/>
      <c r="B37" s="40">
        <f>IF(A37="","",IFERROR(INDEX(Maniobras!$B$5:$B$504,MATCH(A37,Maniobras!$A$5:$A$504,0)),""))</f>
        <v/>
      </c>
      <c r="C37" s="36">
        <f>IF(B37="","",TEXT(B37,"yyyy-mm"))</f>
        <v/>
      </c>
      <c r="D37" s="36">
        <f>IF(A37="","",IFERROR(INDEX(Maniobras!$D$5:$D$504,MATCH(A37,Maniobras!$A$5:$A$504,0)),""))</f>
        <v/>
      </c>
      <c r="E37" s="36" t="n"/>
      <c r="F37" s="37">
        <f>IF(A37="","",IFERROR(INDEX(Maniobras!$K$5:$K$504,MATCH(A37,Maniobras!$A$5:$A$504,0)),""))</f>
        <v/>
      </c>
      <c r="G37" s="37" t="n"/>
      <c r="H37" s="37" t="n"/>
      <c r="I37" s="37">
        <f>IF(G37="","",G37+N(H37))</f>
        <v/>
      </c>
      <c r="J37" s="36" t="n"/>
      <c r="K37" s="40" t="n"/>
      <c r="L37" s="36" t="n"/>
      <c r="M37">
        <f>IF($A37=Ficha!$B$3,COUNTIF($A$5:$A37,Ficha!$B$3),"")</f>
        <v/>
      </c>
    </row>
    <row r="38">
      <c r="A38" s="38" t="n"/>
      <c r="B38" s="41">
        <f>IF(A38="","",IFERROR(INDEX(Maniobras!$B$5:$B$504,MATCH(A38,Maniobras!$A$5:$A$504,0)),""))</f>
        <v/>
      </c>
      <c r="C38" s="38">
        <f>IF(B38="","",TEXT(B38,"yyyy-mm"))</f>
        <v/>
      </c>
      <c r="D38" s="38">
        <f>IF(A38="","",IFERROR(INDEX(Maniobras!$D$5:$D$504,MATCH(A38,Maniobras!$A$5:$A$504,0)),""))</f>
        <v/>
      </c>
      <c r="E38" s="38" t="n"/>
      <c r="F38" s="39">
        <f>IF(A38="","",IFERROR(INDEX(Maniobras!$K$5:$K$504,MATCH(A38,Maniobras!$A$5:$A$504,0)),""))</f>
        <v/>
      </c>
      <c r="G38" s="39" t="n"/>
      <c r="H38" s="39" t="n"/>
      <c r="I38" s="39">
        <f>IF(G38="","",G38+N(H38))</f>
        <v/>
      </c>
      <c r="J38" s="38" t="n"/>
      <c r="K38" s="41" t="n"/>
      <c r="L38" s="38" t="n"/>
      <c r="M38">
        <f>IF($A38=Ficha!$B$3,COUNTIF($A$5:$A38,Ficha!$B$3),"")</f>
        <v/>
      </c>
    </row>
    <row r="39">
      <c r="A39" s="36" t="n"/>
      <c r="B39" s="40">
        <f>IF(A39="","",IFERROR(INDEX(Maniobras!$B$5:$B$504,MATCH(A39,Maniobras!$A$5:$A$504,0)),""))</f>
        <v/>
      </c>
      <c r="C39" s="36">
        <f>IF(B39="","",TEXT(B39,"yyyy-mm"))</f>
        <v/>
      </c>
      <c r="D39" s="36">
        <f>IF(A39="","",IFERROR(INDEX(Maniobras!$D$5:$D$504,MATCH(A39,Maniobras!$A$5:$A$504,0)),""))</f>
        <v/>
      </c>
      <c r="E39" s="36" t="n"/>
      <c r="F39" s="37">
        <f>IF(A39="","",IFERROR(INDEX(Maniobras!$K$5:$K$504,MATCH(A39,Maniobras!$A$5:$A$504,0)),""))</f>
        <v/>
      </c>
      <c r="G39" s="37" t="n"/>
      <c r="H39" s="37" t="n"/>
      <c r="I39" s="37">
        <f>IF(G39="","",G39+N(H39))</f>
        <v/>
      </c>
      <c r="J39" s="36" t="n"/>
      <c r="K39" s="40" t="n"/>
      <c r="L39" s="36" t="n"/>
      <c r="M39">
        <f>IF($A39=Ficha!$B$3,COUNTIF($A$5:$A39,Ficha!$B$3),"")</f>
        <v/>
      </c>
    </row>
    <row r="40">
      <c r="A40" s="38" t="n"/>
      <c r="B40" s="41">
        <f>IF(A40="","",IFERROR(INDEX(Maniobras!$B$5:$B$504,MATCH(A40,Maniobras!$A$5:$A$504,0)),""))</f>
        <v/>
      </c>
      <c r="C40" s="38">
        <f>IF(B40="","",TEXT(B40,"yyyy-mm"))</f>
        <v/>
      </c>
      <c r="D40" s="38">
        <f>IF(A40="","",IFERROR(INDEX(Maniobras!$D$5:$D$504,MATCH(A40,Maniobras!$A$5:$A$504,0)),""))</f>
        <v/>
      </c>
      <c r="E40" s="38" t="n"/>
      <c r="F40" s="39">
        <f>IF(A40="","",IFERROR(INDEX(Maniobras!$K$5:$K$504,MATCH(A40,Maniobras!$A$5:$A$504,0)),""))</f>
        <v/>
      </c>
      <c r="G40" s="39" t="n"/>
      <c r="H40" s="39" t="n"/>
      <c r="I40" s="39">
        <f>IF(G40="","",G40+N(H40))</f>
        <v/>
      </c>
      <c r="J40" s="38" t="n"/>
      <c r="K40" s="41" t="n"/>
      <c r="L40" s="38" t="n"/>
      <c r="M40">
        <f>IF($A40=Ficha!$B$3,COUNTIF($A$5:$A40,Ficha!$B$3),"")</f>
        <v/>
      </c>
    </row>
    <row r="41">
      <c r="A41" s="36" t="n"/>
      <c r="B41" s="40">
        <f>IF(A41="","",IFERROR(INDEX(Maniobras!$B$5:$B$504,MATCH(A41,Maniobras!$A$5:$A$504,0)),""))</f>
        <v/>
      </c>
      <c r="C41" s="36">
        <f>IF(B41="","",TEXT(B41,"yyyy-mm"))</f>
        <v/>
      </c>
      <c r="D41" s="36">
        <f>IF(A41="","",IFERROR(INDEX(Maniobras!$D$5:$D$504,MATCH(A41,Maniobras!$A$5:$A$504,0)),""))</f>
        <v/>
      </c>
      <c r="E41" s="36" t="n"/>
      <c r="F41" s="37">
        <f>IF(A41="","",IFERROR(INDEX(Maniobras!$K$5:$K$504,MATCH(A41,Maniobras!$A$5:$A$504,0)),""))</f>
        <v/>
      </c>
      <c r="G41" s="37" t="n"/>
      <c r="H41" s="37" t="n"/>
      <c r="I41" s="37">
        <f>IF(G41="","",G41+N(H41))</f>
        <v/>
      </c>
      <c r="J41" s="36" t="n"/>
      <c r="K41" s="40" t="n"/>
      <c r="L41" s="36" t="n"/>
      <c r="M41">
        <f>IF($A41=Ficha!$B$3,COUNTIF($A$5:$A41,Ficha!$B$3),"")</f>
        <v/>
      </c>
    </row>
    <row r="42">
      <c r="A42" s="38" t="n"/>
      <c r="B42" s="41">
        <f>IF(A42="","",IFERROR(INDEX(Maniobras!$B$5:$B$504,MATCH(A42,Maniobras!$A$5:$A$504,0)),""))</f>
        <v/>
      </c>
      <c r="C42" s="38">
        <f>IF(B42="","",TEXT(B42,"yyyy-mm"))</f>
        <v/>
      </c>
      <c r="D42" s="38">
        <f>IF(A42="","",IFERROR(INDEX(Maniobras!$D$5:$D$504,MATCH(A42,Maniobras!$A$5:$A$504,0)),""))</f>
        <v/>
      </c>
      <c r="E42" s="38" t="n"/>
      <c r="F42" s="39">
        <f>IF(A42="","",IFERROR(INDEX(Maniobras!$K$5:$K$504,MATCH(A42,Maniobras!$A$5:$A$504,0)),""))</f>
        <v/>
      </c>
      <c r="G42" s="39" t="n"/>
      <c r="H42" s="39" t="n"/>
      <c r="I42" s="39">
        <f>IF(G42="","",G42+N(H42))</f>
        <v/>
      </c>
      <c r="J42" s="38" t="n"/>
      <c r="K42" s="41" t="n"/>
      <c r="L42" s="38" t="n"/>
      <c r="M42">
        <f>IF($A42=Ficha!$B$3,COUNTIF($A$5:$A42,Ficha!$B$3),"")</f>
        <v/>
      </c>
    </row>
    <row r="43">
      <c r="A43" s="36" t="n"/>
      <c r="B43" s="40">
        <f>IF(A43="","",IFERROR(INDEX(Maniobras!$B$5:$B$504,MATCH(A43,Maniobras!$A$5:$A$504,0)),""))</f>
        <v/>
      </c>
      <c r="C43" s="36">
        <f>IF(B43="","",TEXT(B43,"yyyy-mm"))</f>
        <v/>
      </c>
      <c r="D43" s="36">
        <f>IF(A43="","",IFERROR(INDEX(Maniobras!$D$5:$D$504,MATCH(A43,Maniobras!$A$5:$A$504,0)),""))</f>
        <v/>
      </c>
      <c r="E43" s="36" t="n"/>
      <c r="F43" s="37">
        <f>IF(A43="","",IFERROR(INDEX(Maniobras!$K$5:$K$504,MATCH(A43,Maniobras!$A$5:$A$504,0)),""))</f>
        <v/>
      </c>
      <c r="G43" s="37" t="n"/>
      <c r="H43" s="37" t="n"/>
      <c r="I43" s="37">
        <f>IF(G43="","",G43+N(H43))</f>
        <v/>
      </c>
      <c r="J43" s="36" t="n"/>
      <c r="K43" s="40" t="n"/>
      <c r="L43" s="36" t="n"/>
      <c r="M43">
        <f>IF($A43=Ficha!$B$3,COUNTIF($A$5:$A43,Ficha!$B$3),"")</f>
        <v/>
      </c>
    </row>
    <row r="44">
      <c r="A44" s="38" t="n"/>
      <c r="B44" s="41">
        <f>IF(A44="","",IFERROR(INDEX(Maniobras!$B$5:$B$504,MATCH(A44,Maniobras!$A$5:$A$504,0)),""))</f>
        <v/>
      </c>
      <c r="C44" s="38">
        <f>IF(B44="","",TEXT(B44,"yyyy-mm"))</f>
        <v/>
      </c>
      <c r="D44" s="38">
        <f>IF(A44="","",IFERROR(INDEX(Maniobras!$D$5:$D$504,MATCH(A44,Maniobras!$A$5:$A$504,0)),""))</f>
        <v/>
      </c>
      <c r="E44" s="38" t="n"/>
      <c r="F44" s="39">
        <f>IF(A44="","",IFERROR(INDEX(Maniobras!$K$5:$K$504,MATCH(A44,Maniobras!$A$5:$A$504,0)),""))</f>
        <v/>
      </c>
      <c r="G44" s="39" t="n"/>
      <c r="H44" s="39" t="n"/>
      <c r="I44" s="39">
        <f>IF(G44="","",G44+N(H44))</f>
        <v/>
      </c>
      <c r="J44" s="38" t="n"/>
      <c r="K44" s="41" t="n"/>
      <c r="L44" s="38" t="n"/>
      <c r="M44">
        <f>IF($A44=Ficha!$B$3,COUNTIF($A$5:$A44,Ficha!$B$3),"")</f>
        <v/>
      </c>
    </row>
    <row r="45">
      <c r="A45" s="36" t="n"/>
      <c r="B45" s="40">
        <f>IF(A45="","",IFERROR(INDEX(Maniobras!$B$5:$B$504,MATCH(A45,Maniobras!$A$5:$A$504,0)),""))</f>
        <v/>
      </c>
      <c r="C45" s="36">
        <f>IF(B45="","",TEXT(B45,"yyyy-mm"))</f>
        <v/>
      </c>
      <c r="D45" s="36">
        <f>IF(A45="","",IFERROR(INDEX(Maniobras!$D$5:$D$504,MATCH(A45,Maniobras!$A$5:$A$504,0)),""))</f>
        <v/>
      </c>
      <c r="E45" s="36" t="n"/>
      <c r="F45" s="37">
        <f>IF(A45="","",IFERROR(INDEX(Maniobras!$K$5:$K$504,MATCH(A45,Maniobras!$A$5:$A$504,0)),""))</f>
        <v/>
      </c>
      <c r="G45" s="37" t="n"/>
      <c r="H45" s="37" t="n"/>
      <c r="I45" s="37">
        <f>IF(G45="","",G45+N(H45))</f>
        <v/>
      </c>
      <c r="J45" s="36" t="n"/>
      <c r="K45" s="40" t="n"/>
      <c r="L45" s="36" t="n"/>
      <c r="M45">
        <f>IF($A45=Ficha!$B$3,COUNTIF($A$5:$A45,Ficha!$B$3),"")</f>
        <v/>
      </c>
    </row>
    <row r="46">
      <c r="A46" s="38" t="n"/>
      <c r="B46" s="41">
        <f>IF(A46="","",IFERROR(INDEX(Maniobras!$B$5:$B$504,MATCH(A46,Maniobras!$A$5:$A$504,0)),""))</f>
        <v/>
      </c>
      <c r="C46" s="38">
        <f>IF(B46="","",TEXT(B46,"yyyy-mm"))</f>
        <v/>
      </c>
      <c r="D46" s="38">
        <f>IF(A46="","",IFERROR(INDEX(Maniobras!$D$5:$D$504,MATCH(A46,Maniobras!$A$5:$A$504,0)),""))</f>
        <v/>
      </c>
      <c r="E46" s="38" t="n"/>
      <c r="F46" s="39">
        <f>IF(A46="","",IFERROR(INDEX(Maniobras!$K$5:$K$504,MATCH(A46,Maniobras!$A$5:$A$504,0)),""))</f>
        <v/>
      </c>
      <c r="G46" s="39" t="n"/>
      <c r="H46" s="39" t="n"/>
      <c r="I46" s="39">
        <f>IF(G46="","",G46+N(H46))</f>
        <v/>
      </c>
      <c r="J46" s="38" t="n"/>
      <c r="K46" s="41" t="n"/>
      <c r="L46" s="38" t="n"/>
      <c r="M46">
        <f>IF($A46=Ficha!$B$3,COUNTIF($A$5:$A46,Ficha!$B$3),"")</f>
        <v/>
      </c>
    </row>
    <row r="47">
      <c r="A47" s="36" t="n"/>
      <c r="B47" s="40">
        <f>IF(A47="","",IFERROR(INDEX(Maniobras!$B$5:$B$504,MATCH(A47,Maniobras!$A$5:$A$504,0)),""))</f>
        <v/>
      </c>
      <c r="C47" s="36">
        <f>IF(B47="","",TEXT(B47,"yyyy-mm"))</f>
        <v/>
      </c>
      <c r="D47" s="36">
        <f>IF(A47="","",IFERROR(INDEX(Maniobras!$D$5:$D$504,MATCH(A47,Maniobras!$A$5:$A$504,0)),""))</f>
        <v/>
      </c>
      <c r="E47" s="36" t="n"/>
      <c r="F47" s="37">
        <f>IF(A47="","",IFERROR(INDEX(Maniobras!$K$5:$K$504,MATCH(A47,Maniobras!$A$5:$A$504,0)),""))</f>
        <v/>
      </c>
      <c r="G47" s="37" t="n"/>
      <c r="H47" s="37" t="n"/>
      <c r="I47" s="37">
        <f>IF(G47="","",G47+N(H47))</f>
        <v/>
      </c>
      <c r="J47" s="36" t="n"/>
      <c r="K47" s="40" t="n"/>
      <c r="L47" s="36" t="n"/>
      <c r="M47">
        <f>IF($A47=Ficha!$B$3,COUNTIF($A$5:$A47,Ficha!$B$3),"")</f>
        <v/>
      </c>
    </row>
    <row r="48">
      <c r="A48" s="38" t="n"/>
      <c r="B48" s="41">
        <f>IF(A48="","",IFERROR(INDEX(Maniobras!$B$5:$B$504,MATCH(A48,Maniobras!$A$5:$A$504,0)),""))</f>
        <v/>
      </c>
      <c r="C48" s="38">
        <f>IF(B48="","",TEXT(B48,"yyyy-mm"))</f>
        <v/>
      </c>
      <c r="D48" s="38">
        <f>IF(A48="","",IFERROR(INDEX(Maniobras!$D$5:$D$504,MATCH(A48,Maniobras!$A$5:$A$504,0)),""))</f>
        <v/>
      </c>
      <c r="E48" s="38" t="n"/>
      <c r="F48" s="39">
        <f>IF(A48="","",IFERROR(INDEX(Maniobras!$K$5:$K$504,MATCH(A48,Maniobras!$A$5:$A$504,0)),""))</f>
        <v/>
      </c>
      <c r="G48" s="39" t="n"/>
      <c r="H48" s="39" t="n"/>
      <c r="I48" s="39">
        <f>IF(G48="","",G48+N(H48))</f>
        <v/>
      </c>
      <c r="J48" s="38" t="n"/>
      <c r="K48" s="41" t="n"/>
      <c r="L48" s="38" t="n"/>
      <c r="M48">
        <f>IF($A48=Ficha!$B$3,COUNTIF($A$5:$A48,Ficha!$B$3),"")</f>
        <v/>
      </c>
    </row>
    <row r="49">
      <c r="A49" s="36" t="n"/>
      <c r="B49" s="40">
        <f>IF(A49="","",IFERROR(INDEX(Maniobras!$B$5:$B$504,MATCH(A49,Maniobras!$A$5:$A$504,0)),""))</f>
        <v/>
      </c>
      <c r="C49" s="36">
        <f>IF(B49="","",TEXT(B49,"yyyy-mm"))</f>
        <v/>
      </c>
      <c r="D49" s="36">
        <f>IF(A49="","",IFERROR(INDEX(Maniobras!$D$5:$D$504,MATCH(A49,Maniobras!$A$5:$A$504,0)),""))</f>
        <v/>
      </c>
      <c r="E49" s="36" t="n"/>
      <c r="F49" s="37">
        <f>IF(A49="","",IFERROR(INDEX(Maniobras!$K$5:$K$504,MATCH(A49,Maniobras!$A$5:$A$504,0)),""))</f>
        <v/>
      </c>
      <c r="G49" s="37" t="n"/>
      <c r="H49" s="37" t="n"/>
      <c r="I49" s="37">
        <f>IF(G49="","",G49+N(H49))</f>
        <v/>
      </c>
      <c r="J49" s="36" t="n"/>
      <c r="K49" s="40" t="n"/>
      <c r="L49" s="36" t="n"/>
      <c r="M49">
        <f>IF($A49=Ficha!$B$3,COUNTIF($A$5:$A49,Ficha!$B$3),"")</f>
        <v/>
      </c>
    </row>
    <row r="50">
      <c r="A50" s="38" t="n"/>
      <c r="B50" s="41">
        <f>IF(A50="","",IFERROR(INDEX(Maniobras!$B$5:$B$504,MATCH(A50,Maniobras!$A$5:$A$504,0)),""))</f>
        <v/>
      </c>
      <c r="C50" s="38">
        <f>IF(B50="","",TEXT(B50,"yyyy-mm"))</f>
        <v/>
      </c>
      <c r="D50" s="38">
        <f>IF(A50="","",IFERROR(INDEX(Maniobras!$D$5:$D$504,MATCH(A50,Maniobras!$A$5:$A$504,0)),""))</f>
        <v/>
      </c>
      <c r="E50" s="38" t="n"/>
      <c r="F50" s="39">
        <f>IF(A50="","",IFERROR(INDEX(Maniobras!$K$5:$K$504,MATCH(A50,Maniobras!$A$5:$A$504,0)),""))</f>
        <v/>
      </c>
      <c r="G50" s="39" t="n"/>
      <c r="H50" s="39" t="n"/>
      <c r="I50" s="39">
        <f>IF(G50="","",G50+N(H50))</f>
        <v/>
      </c>
      <c r="J50" s="38" t="n"/>
      <c r="K50" s="41" t="n"/>
      <c r="L50" s="38" t="n"/>
      <c r="M50">
        <f>IF($A50=Ficha!$B$3,COUNTIF($A$5:$A50,Ficha!$B$3),"")</f>
        <v/>
      </c>
    </row>
    <row r="51">
      <c r="A51" s="36" t="n"/>
      <c r="B51" s="40">
        <f>IF(A51="","",IFERROR(INDEX(Maniobras!$B$5:$B$504,MATCH(A51,Maniobras!$A$5:$A$504,0)),""))</f>
        <v/>
      </c>
      <c r="C51" s="36">
        <f>IF(B51="","",TEXT(B51,"yyyy-mm"))</f>
        <v/>
      </c>
      <c r="D51" s="36">
        <f>IF(A51="","",IFERROR(INDEX(Maniobras!$D$5:$D$504,MATCH(A51,Maniobras!$A$5:$A$504,0)),""))</f>
        <v/>
      </c>
      <c r="E51" s="36" t="n"/>
      <c r="F51" s="37">
        <f>IF(A51="","",IFERROR(INDEX(Maniobras!$K$5:$K$504,MATCH(A51,Maniobras!$A$5:$A$504,0)),""))</f>
        <v/>
      </c>
      <c r="G51" s="37" t="n"/>
      <c r="H51" s="37" t="n"/>
      <c r="I51" s="37">
        <f>IF(G51="","",G51+N(H51))</f>
        <v/>
      </c>
      <c r="J51" s="36" t="n"/>
      <c r="K51" s="40" t="n"/>
      <c r="L51" s="36" t="n"/>
      <c r="M51">
        <f>IF($A51=Ficha!$B$3,COUNTIF($A$5:$A51,Ficha!$B$3),"")</f>
        <v/>
      </c>
    </row>
    <row r="52">
      <c r="A52" s="38" t="n"/>
      <c r="B52" s="41">
        <f>IF(A52="","",IFERROR(INDEX(Maniobras!$B$5:$B$504,MATCH(A52,Maniobras!$A$5:$A$504,0)),""))</f>
        <v/>
      </c>
      <c r="C52" s="38">
        <f>IF(B52="","",TEXT(B52,"yyyy-mm"))</f>
        <v/>
      </c>
      <c r="D52" s="38">
        <f>IF(A52="","",IFERROR(INDEX(Maniobras!$D$5:$D$504,MATCH(A52,Maniobras!$A$5:$A$504,0)),""))</f>
        <v/>
      </c>
      <c r="E52" s="38" t="n"/>
      <c r="F52" s="39">
        <f>IF(A52="","",IFERROR(INDEX(Maniobras!$K$5:$K$504,MATCH(A52,Maniobras!$A$5:$A$504,0)),""))</f>
        <v/>
      </c>
      <c r="G52" s="39" t="n"/>
      <c r="H52" s="39" t="n"/>
      <c r="I52" s="39">
        <f>IF(G52="","",G52+N(H52))</f>
        <v/>
      </c>
      <c r="J52" s="38" t="n"/>
      <c r="K52" s="41" t="n"/>
      <c r="L52" s="38" t="n"/>
      <c r="M52">
        <f>IF($A52=Ficha!$B$3,COUNTIF($A$5:$A52,Ficha!$B$3),"")</f>
        <v/>
      </c>
    </row>
    <row r="53">
      <c r="A53" s="36" t="n"/>
      <c r="B53" s="40">
        <f>IF(A53="","",IFERROR(INDEX(Maniobras!$B$5:$B$504,MATCH(A53,Maniobras!$A$5:$A$504,0)),""))</f>
        <v/>
      </c>
      <c r="C53" s="36">
        <f>IF(B53="","",TEXT(B53,"yyyy-mm"))</f>
        <v/>
      </c>
      <c r="D53" s="36">
        <f>IF(A53="","",IFERROR(INDEX(Maniobras!$D$5:$D$504,MATCH(A53,Maniobras!$A$5:$A$504,0)),""))</f>
        <v/>
      </c>
      <c r="E53" s="36" t="n"/>
      <c r="F53" s="37">
        <f>IF(A53="","",IFERROR(INDEX(Maniobras!$K$5:$K$504,MATCH(A53,Maniobras!$A$5:$A$504,0)),""))</f>
        <v/>
      </c>
      <c r="G53" s="37" t="n"/>
      <c r="H53" s="37" t="n"/>
      <c r="I53" s="37">
        <f>IF(G53="","",G53+N(H53))</f>
        <v/>
      </c>
      <c r="J53" s="36" t="n"/>
      <c r="K53" s="40" t="n"/>
      <c r="L53" s="36" t="n"/>
      <c r="M53">
        <f>IF($A53=Ficha!$B$3,COUNTIF($A$5:$A53,Ficha!$B$3),"")</f>
        <v/>
      </c>
    </row>
    <row r="54">
      <c r="A54" s="38" t="n"/>
      <c r="B54" s="41">
        <f>IF(A54="","",IFERROR(INDEX(Maniobras!$B$5:$B$504,MATCH(A54,Maniobras!$A$5:$A$504,0)),""))</f>
        <v/>
      </c>
      <c r="C54" s="38">
        <f>IF(B54="","",TEXT(B54,"yyyy-mm"))</f>
        <v/>
      </c>
      <c r="D54" s="38">
        <f>IF(A54="","",IFERROR(INDEX(Maniobras!$D$5:$D$504,MATCH(A54,Maniobras!$A$5:$A$504,0)),""))</f>
        <v/>
      </c>
      <c r="E54" s="38" t="n"/>
      <c r="F54" s="39">
        <f>IF(A54="","",IFERROR(INDEX(Maniobras!$K$5:$K$504,MATCH(A54,Maniobras!$A$5:$A$504,0)),""))</f>
        <v/>
      </c>
      <c r="G54" s="39" t="n"/>
      <c r="H54" s="39" t="n"/>
      <c r="I54" s="39">
        <f>IF(G54="","",G54+N(H54))</f>
        <v/>
      </c>
      <c r="J54" s="38" t="n"/>
      <c r="K54" s="41" t="n"/>
      <c r="L54" s="38" t="n"/>
      <c r="M54">
        <f>IF($A54=Ficha!$B$3,COUNTIF($A$5:$A54,Ficha!$B$3),"")</f>
        <v/>
      </c>
    </row>
    <row r="55">
      <c r="A55" s="36" t="n"/>
      <c r="B55" s="40">
        <f>IF(A55="","",IFERROR(INDEX(Maniobras!$B$5:$B$504,MATCH(A55,Maniobras!$A$5:$A$504,0)),""))</f>
        <v/>
      </c>
      <c r="C55" s="36">
        <f>IF(B55="","",TEXT(B55,"yyyy-mm"))</f>
        <v/>
      </c>
      <c r="D55" s="36">
        <f>IF(A55="","",IFERROR(INDEX(Maniobras!$D$5:$D$504,MATCH(A55,Maniobras!$A$5:$A$504,0)),""))</f>
        <v/>
      </c>
      <c r="E55" s="36" t="n"/>
      <c r="F55" s="37">
        <f>IF(A55="","",IFERROR(INDEX(Maniobras!$K$5:$K$504,MATCH(A55,Maniobras!$A$5:$A$504,0)),""))</f>
        <v/>
      </c>
      <c r="G55" s="37" t="n"/>
      <c r="H55" s="37" t="n"/>
      <c r="I55" s="37">
        <f>IF(G55="","",G55+N(H55))</f>
        <v/>
      </c>
      <c r="J55" s="36" t="n"/>
      <c r="K55" s="40" t="n"/>
      <c r="L55" s="36" t="n"/>
      <c r="M55">
        <f>IF($A55=Ficha!$B$3,COUNTIF($A$5:$A55,Ficha!$B$3),"")</f>
        <v/>
      </c>
    </row>
    <row r="56">
      <c r="A56" s="38" t="n"/>
      <c r="B56" s="41">
        <f>IF(A56="","",IFERROR(INDEX(Maniobras!$B$5:$B$504,MATCH(A56,Maniobras!$A$5:$A$504,0)),""))</f>
        <v/>
      </c>
      <c r="C56" s="38">
        <f>IF(B56="","",TEXT(B56,"yyyy-mm"))</f>
        <v/>
      </c>
      <c r="D56" s="38">
        <f>IF(A56="","",IFERROR(INDEX(Maniobras!$D$5:$D$504,MATCH(A56,Maniobras!$A$5:$A$504,0)),""))</f>
        <v/>
      </c>
      <c r="E56" s="38" t="n"/>
      <c r="F56" s="39">
        <f>IF(A56="","",IFERROR(INDEX(Maniobras!$K$5:$K$504,MATCH(A56,Maniobras!$A$5:$A$504,0)),""))</f>
        <v/>
      </c>
      <c r="G56" s="39" t="n"/>
      <c r="H56" s="39" t="n"/>
      <c r="I56" s="39">
        <f>IF(G56="","",G56+N(H56))</f>
        <v/>
      </c>
      <c r="J56" s="38" t="n"/>
      <c r="K56" s="41" t="n"/>
      <c r="L56" s="38" t="n"/>
      <c r="M56">
        <f>IF($A56=Ficha!$B$3,COUNTIF($A$5:$A56,Ficha!$B$3),"")</f>
        <v/>
      </c>
    </row>
    <row r="57">
      <c r="A57" s="36" t="n"/>
      <c r="B57" s="40">
        <f>IF(A57="","",IFERROR(INDEX(Maniobras!$B$5:$B$504,MATCH(A57,Maniobras!$A$5:$A$504,0)),""))</f>
        <v/>
      </c>
      <c r="C57" s="36">
        <f>IF(B57="","",TEXT(B57,"yyyy-mm"))</f>
        <v/>
      </c>
      <c r="D57" s="36">
        <f>IF(A57="","",IFERROR(INDEX(Maniobras!$D$5:$D$504,MATCH(A57,Maniobras!$A$5:$A$504,0)),""))</f>
        <v/>
      </c>
      <c r="E57" s="36" t="n"/>
      <c r="F57" s="37">
        <f>IF(A57="","",IFERROR(INDEX(Maniobras!$K$5:$K$504,MATCH(A57,Maniobras!$A$5:$A$504,0)),""))</f>
        <v/>
      </c>
      <c r="G57" s="37" t="n"/>
      <c r="H57" s="37" t="n"/>
      <c r="I57" s="37">
        <f>IF(G57="","",G57+N(H57))</f>
        <v/>
      </c>
      <c r="J57" s="36" t="n"/>
      <c r="K57" s="40" t="n"/>
      <c r="L57" s="36" t="n"/>
      <c r="M57">
        <f>IF($A57=Ficha!$B$3,COUNTIF($A$5:$A57,Ficha!$B$3),"")</f>
        <v/>
      </c>
    </row>
    <row r="58">
      <c r="A58" s="38" t="n"/>
      <c r="B58" s="41">
        <f>IF(A58="","",IFERROR(INDEX(Maniobras!$B$5:$B$504,MATCH(A58,Maniobras!$A$5:$A$504,0)),""))</f>
        <v/>
      </c>
      <c r="C58" s="38">
        <f>IF(B58="","",TEXT(B58,"yyyy-mm"))</f>
        <v/>
      </c>
      <c r="D58" s="38">
        <f>IF(A58="","",IFERROR(INDEX(Maniobras!$D$5:$D$504,MATCH(A58,Maniobras!$A$5:$A$504,0)),""))</f>
        <v/>
      </c>
      <c r="E58" s="38" t="n"/>
      <c r="F58" s="39">
        <f>IF(A58="","",IFERROR(INDEX(Maniobras!$K$5:$K$504,MATCH(A58,Maniobras!$A$5:$A$504,0)),""))</f>
        <v/>
      </c>
      <c r="G58" s="39" t="n"/>
      <c r="H58" s="39" t="n"/>
      <c r="I58" s="39">
        <f>IF(G58="","",G58+N(H58))</f>
        <v/>
      </c>
      <c r="J58" s="38" t="n"/>
      <c r="K58" s="41" t="n"/>
      <c r="L58" s="38" t="n"/>
      <c r="M58">
        <f>IF($A58=Ficha!$B$3,COUNTIF($A$5:$A58,Ficha!$B$3),"")</f>
        <v/>
      </c>
    </row>
    <row r="59">
      <c r="A59" s="36" t="n"/>
      <c r="B59" s="40">
        <f>IF(A59="","",IFERROR(INDEX(Maniobras!$B$5:$B$504,MATCH(A59,Maniobras!$A$5:$A$504,0)),""))</f>
        <v/>
      </c>
      <c r="C59" s="36">
        <f>IF(B59="","",TEXT(B59,"yyyy-mm"))</f>
        <v/>
      </c>
      <c r="D59" s="36">
        <f>IF(A59="","",IFERROR(INDEX(Maniobras!$D$5:$D$504,MATCH(A59,Maniobras!$A$5:$A$504,0)),""))</f>
        <v/>
      </c>
      <c r="E59" s="36" t="n"/>
      <c r="F59" s="37">
        <f>IF(A59="","",IFERROR(INDEX(Maniobras!$K$5:$K$504,MATCH(A59,Maniobras!$A$5:$A$504,0)),""))</f>
        <v/>
      </c>
      <c r="G59" s="37" t="n"/>
      <c r="H59" s="37" t="n"/>
      <c r="I59" s="37">
        <f>IF(G59="","",G59+N(H59))</f>
        <v/>
      </c>
      <c r="J59" s="36" t="n"/>
      <c r="K59" s="40" t="n"/>
      <c r="L59" s="36" t="n"/>
      <c r="M59">
        <f>IF($A59=Ficha!$B$3,COUNTIF($A$5:$A59,Ficha!$B$3),"")</f>
        <v/>
      </c>
    </row>
    <row r="60">
      <c r="A60" s="38" t="n"/>
      <c r="B60" s="41">
        <f>IF(A60="","",IFERROR(INDEX(Maniobras!$B$5:$B$504,MATCH(A60,Maniobras!$A$5:$A$504,0)),""))</f>
        <v/>
      </c>
      <c r="C60" s="38">
        <f>IF(B60="","",TEXT(B60,"yyyy-mm"))</f>
        <v/>
      </c>
      <c r="D60" s="38">
        <f>IF(A60="","",IFERROR(INDEX(Maniobras!$D$5:$D$504,MATCH(A60,Maniobras!$A$5:$A$504,0)),""))</f>
        <v/>
      </c>
      <c r="E60" s="38" t="n"/>
      <c r="F60" s="39">
        <f>IF(A60="","",IFERROR(INDEX(Maniobras!$K$5:$K$504,MATCH(A60,Maniobras!$A$5:$A$504,0)),""))</f>
        <v/>
      </c>
      <c r="G60" s="39" t="n"/>
      <c r="H60" s="39" t="n"/>
      <c r="I60" s="39">
        <f>IF(G60="","",G60+N(H60))</f>
        <v/>
      </c>
      <c r="J60" s="38" t="n"/>
      <c r="K60" s="41" t="n"/>
      <c r="L60" s="38" t="n"/>
      <c r="M60">
        <f>IF($A60=Ficha!$B$3,COUNTIF($A$5:$A60,Ficha!$B$3),"")</f>
        <v/>
      </c>
    </row>
    <row r="61">
      <c r="A61" s="36" t="n"/>
      <c r="B61" s="40">
        <f>IF(A61="","",IFERROR(INDEX(Maniobras!$B$5:$B$504,MATCH(A61,Maniobras!$A$5:$A$504,0)),""))</f>
        <v/>
      </c>
      <c r="C61" s="36">
        <f>IF(B61="","",TEXT(B61,"yyyy-mm"))</f>
        <v/>
      </c>
      <c r="D61" s="36">
        <f>IF(A61="","",IFERROR(INDEX(Maniobras!$D$5:$D$504,MATCH(A61,Maniobras!$A$5:$A$504,0)),""))</f>
        <v/>
      </c>
      <c r="E61" s="36" t="n"/>
      <c r="F61" s="37">
        <f>IF(A61="","",IFERROR(INDEX(Maniobras!$K$5:$K$504,MATCH(A61,Maniobras!$A$5:$A$504,0)),""))</f>
        <v/>
      </c>
      <c r="G61" s="37" t="n"/>
      <c r="H61" s="37" t="n"/>
      <c r="I61" s="37">
        <f>IF(G61="","",G61+N(H61))</f>
        <v/>
      </c>
      <c r="J61" s="36" t="n"/>
      <c r="K61" s="40" t="n"/>
      <c r="L61" s="36" t="n"/>
      <c r="M61">
        <f>IF($A61=Ficha!$B$3,COUNTIF($A$5:$A61,Ficha!$B$3),"")</f>
        <v/>
      </c>
    </row>
    <row r="62">
      <c r="A62" s="38" t="n"/>
      <c r="B62" s="41">
        <f>IF(A62="","",IFERROR(INDEX(Maniobras!$B$5:$B$504,MATCH(A62,Maniobras!$A$5:$A$504,0)),""))</f>
        <v/>
      </c>
      <c r="C62" s="38">
        <f>IF(B62="","",TEXT(B62,"yyyy-mm"))</f>
        <v/>
      </c>
      <c r="D62" s="38">
        <f>IF(A62="","",IFERROR(INDEX(Maniobras!$D$5:$D$504,MATCH(A62,Maniobras!$A$5:$A$504,0)),""))</f>
        <v/>
      </c>
      <c r="E62" s="38" t="n"/>
      <c r="F62" s="39">
        <f>IF(A62="","",IFERROR(INDEX(Maniobras!$K$5:$K$504,MATCH(A62,Maniobras!$A$5:$A$504,0)),""))</f>
        <v/>
      </c>
      <c r="G62" s="39" t="n"/>
      <c r="H62" s="39" t="n"/>
      <c r="I62" s="39">
        <f>IF(G62="","",G62+N(H62))</f>
        <v/>
      </c>
      <c r="J62" s="38" t="n"/>
      <c r="K62" s="41" t="n"/>
      <c r="L62" s="38" t="n"/>
      <c r="M62">
        <f>IF($A62=Ficha!$B$3,COUNTIF($A$5:$A62,Ficha!$B$3),"")</f>
        <v/>
      </c>
    </row>
    <row r="63">
      <c r="A63" s="36" t="n"/>
      <c r="B63" s="40">
        <f>IF(A63="","",IFERROR(INDEX(Maniobras!$B$5:$B$504,MATCH(A63,Maniobras!$A$5:$A$504,0)),""))</f>
        <v/>
      </c>
      <c r="C63" s="36">
        <f>IF(B63="","",TEXT(B63,"yyyy-mm"))</f>
        <v/>
      </c>
      <c r="D63" s="36">
        <f>IF(A63="","",IFERROR(INDEX(Maniobras!$D$5:$D$504,MATCH(A63,Maniobras!$A$5:$A$504,0)),""))</f>
        <v/>
      </c>
      <c r="E63" s="36" t="n"/>
      <c r="F63" s="37">
        <f>IF(A63="","",IFERROR(INDEX(Maniobras!$K$5:$K$504,MATCH(A63,Maniobras!$A$5:$A$504,0)),""))</f>
        <v/>
      </c>
      <c r="G63" s="37" t="n"/>
      <c r="H63" s="37" t="n"/>
      <c r="I63" s="37">
        <f>IF(G63="","",G63+N(H63))</f>
        <v/>
      </c>
      <c r="J63" s="36" t="n"/>
      <c r="K63" s="40" t="n"/>
      <c r="L63" s="36" t="n"/>
      <c r="M63">
        <f>IF($A63=Ficha!$B$3,COUNTIF($A$5:$A63,Ficha!$B$3),"")</f>
        <v/>
      </c>
    </row>
    <row r="64">
      <c r="A64" s="38" t="n"/>
      <c r="B64" s="41">
        <f>IF(A64="","",IFERROR(INDEX(Maniobras!$B$5:$B$504,MATCH(A64,Maniobras!$A$5:$A$504,0)),""))</f>
        <v/>
      </c>
      <c r="C64" s="38">
        <f>IF(B64="","",TEXT(B64,"yyyy-mm"))</f>
        <v/>
      </c>
      <c r="D64" s="38">
        <f>IF(A64="","",IFERROR(INDEX(Maniobras!$D$5:$D$504,MATCH(A64,Maniobras!$A$5:$A$504,0)),""))</f>
        <v/>
      </c>
      <c r="E64" s="38" t="n"/>
      <c r="F64" s="39">
        <f>IF(A64="","",IFERROR(INDEX(Maniobras!$K$5:$K$504,MATCH(A64,Maniobras!$A$5:$A$504,0)),""))</f>
        <v/>
      </c>
      <c r="G64" s="39" t="n"/>
      <c r="H64" s="39" t="n"/>
      <c r="I64" s="39">
        <f>IF(G64="","",G64+N(H64))</f>
        <v/>
      </c>
      <c r="J64" s="38" t="n"/>
      <c r="K64" s="41" t="n"/>
      <c r="L64" s="38" t="n"/>
      <c r="M64">
        <f>IF($A64=Ficha!$B$3,COUNTIF($A$5:$A64,Ficha!$B$3),"")</f>
        <v/>
      </c>
    </row>
    <row r="65">
      <c r="A65" s="36" t="n"/>
      <c r="B65" s="40">
        <f>IF(A65="","",IFERROR(INDEX(Maniobras!$B$5:$B$504,MATCH(A65,Maniobras!$A$5:$A$504,0)),""))</f>
        <v/>
      </c>
      <c r="C65" s="36">
        <f>IF(B65="","",TEXT(B65,"yyyy-mm"))</f>
        <v/>
      </c>
      <c r="D65" s="36">
        <f>IF(A65="","",IFERROR(INDEX(Maniobras!$D$5:$D$504,MATCH(A65,Maniobras!$A$5:$A$504,0)),""))</f>
        <v/>
      </c>
      <c r="E65" s="36" t="n"/>
      <c r="F65" s="37">
        <f>IF(A65="","",IFERROR(INDEX(Maniobras!$K$5:$K$504,MATCH(A65,Maniobras!$A$5:$A$504,0)),""))</f>
        <v/>
      </c>
      <c r="G65" s="37" t="n"/>
      <c r="H65" s="37" t="n"/>
      <c r="I65" s="37">
        <f>IF(G65="","",G65+N(H65))</f>
        <v/>
      </c>
      <c r="J65" s="36" t="n"/>
      <c r="K65" s="40" t="n"/>
      <c r="L65" s="36" t="n"/>
      <c r="M65">
        <f>IF($A65=Ficha!$B$3,COUNTIF($A$5:$A65,Ficha!$B$3),"")</f>
        <v/>
      </c>
    </row>
    <row r="66">
      <c r="A66" s="38" t="n"/>
      <c r="B66" s="41">
        <f>IF(A66="","",IFERROR(INDEX(Maniobras!$B$5:$B$504,MATCH(A66,Maniobras!$A$5:$A$504,0)),""))</f>
        <v/>
      </c>
      <c r="C66" s="38">
        <f>IF(B66="","",TEXT(B66,"yyyy-mm"))</f>
        <v/>
      </c>
      <c r="D66" s="38">
        <f>IF(A66="","",IFERROR(INDEX(Maniobras!$D$5:$D$504,MATCH(A66,Maniobras!$A$5:$A$504,0)),""))</f>
        <v/>
      </c>
      <c r="E66" s="38" t="n"/>
      <c r="F66" s="39">
        <f>IF(A66="","",IFERROR(INDEX(Maniobras!$K$5:$K$504,MATCH(A66,Maniobras!$A$5:$A$504,0)),""))</f>
        <v/>
      </c>
      <c r="G66" s="39" t="n"/>
      <c r="H66" s="39" t="n"/>
      <c r="I66" s="39">
        <f>IF(G66="","",G66+N(H66))</f>
        <v/>
      </c>
      <c r="J66" s="38" t="n"/>
      <c r="K66" s="41" t="n"/>
      <c r="L66" s="38" t="n"/>
      <c r="M66">
        <f>IF($A66=Ficha!$B$3,COUNTIF($A$5:$A66,Ficha!$B$3),"")</f>
        <v/>
      </c>
    </row>
    <row r="67">
      <c r="A67" s="36" t="n"/>
      <c r="B67" s="40">
        <f>IF(A67="","",IFERROR(INDEX(Maniobras!$B$5:$B$504,MATCH(A67,Maniobras!$A$5:$A$504,0)),""))</f>
        <v/>
      </c>
      <c r="C67" s="36">
        <f>IF(B67="","",TEXT(B67,"yyyy-mm"))</f>
        <v/>
      </c>
      <c r="D67" s="36">
        <f>IF(A67="","",IFERROR(INDEX(Maniobras!$D$5:$D$504,MATCH(A67,Maniobras!$A$5:$A$504,0)),""))</f>
        <v/>
      </c>
      <c r="E67" s="36" t="n"/>
      <c r="F67" s="37">
        <f>IF(A67="","",IFERROR(INDEX(Maniobras!$K$5:$K$504,MATCH(A67,Maniobras!$A$5:$A$504,0)),""))</f>
        <v/>
      </c>
      <c r="G67" s="37" t="n"/>
      <c r="H67" s="37" t="n"/>
      <c r="I67" s="37">
        <f>IF(G67="","",G67+N(H67))</f>
        <v/>
      </c>
      <c r="J67" s="36" t="n"/>
      <c r="K67" s="40" t="n"/>
      <c r="L67" s="36" t="n"/>
      <c r="M67">
        <f>IF($A67=Ficha!$B$3,COUNTIF($A$5:$A67,Ficha!$B$3),"")</f>
        <v/>
      </c>
    </row>
    <row r="68">
      <c r="A68" s="38" t="n"/>
      <c r="B68" s="41">
        <f>IF(A68="","",IFERROR(INDEX(Maniobras!$B$5:$B$504,MATCH(A68,Maniobras!$A$5:$A$504,0)),""))</f>
        <v/>
      </c>
      <c r="C68" s="38">
        <f>IF(B68="","",TEXT(B68,"yyyy-mm"))</f>
        <v/>
      </c>
      <c r="D68" s="38">
        <f>IF(A68="","",IFERROR(INDEX(Maniobras!$D$5:$D$504,MATCH(A68,Maniobras!$A$5:$A$504,0)),""))</f>
        <v/>
      </c>
      <c r="E68" s="38" t="n"/>
      <c r="F68" s="39">
        <f>IF(A68="","",IFERROR(INDEX(Maniobras!$K$5:$K$504,MATCH(A68,Maniobras!$A$5:$A$504,0)),""))</f>
        <v/>
      </c>
      <c r="G68" s="39" t="n"/>
      <c r="H68" s="39" t="n"/>
      <c r="I68" s="39">
        <f>IF(G68="","",G68+N(H68))</f>
        <v/>
      </c>
      <c r="J68" s="38" t="n"/>
      <c r="K68" s="41" t="n"/>
      <c r="L68" s="38" t="n"/>
      <c r="M68">
        <f>IF($A68=Ficha!$B$3,COUNTIF($A$5:$A68,Ficha!$B$3),"")</f>
        <v/>
      </c>
    </row>
    <row r="69">
      <c r="A69" s="36" t="n"/>
      <c r="B69" s="40">
        <f>IF(A69="","",IFERROR(INDEX(Maniobras!$B$5:$B$504,MATCH(A69,Maniobras!$A$5:$A$504,0)),""))</f>
        <v/>
      </c>
      <c r="C69" s="36">
        <f>IF(B69="","",TEXT(B69,"yyyy-mm"))</f>
        <v/>
      </c>
      <c r="D69" s="36">
        <f>IF(A69="","",IFERROR(INDEX(Maniobras!$D$5:$D$504,MATCH(A69,Maniobras!$A$5:$A$504,0)),""))</f>
        <v/>
      </c>
      <c r="E69" s="36" t="n"/>
      <c r="F69" s="37">
        <f>IF(A69="","",IFERROR(INDEX(Maniobras!$K$5:$K$504,MATCH(A69,Maniobras!$A$5:$A$504,0)),""))</f>
        <v/>
      </c>
      <c r="G69" s="37" t="n"/>
      <c r="H69" s="37" t="n"/>
      <c r="I69" s="37">
        <f>IF(G69="","",G69+N(H69))</f>
        <v/>
      </c>
      <c r="J69" s="36" t="n"/>
      <c r="K69" s="40" t="n"/>
      <c r="L69" s="36" t="n"/>
      <c r="M69">
        <f>IF($A69=Ficha!$B$3,COUNTIF($A$5:$A69,Ficha!$B$3),"")</f>
        <v/>
      </c>
    </row>
    <row r="70">
      <c r="A70" s="38" t="n"/>
      <c r="B70" s="41">
        <f>IF(A70="","",IFERROR(INDEX(Maniobras!$B$5:$B$504,MATCH(A70,Maniobras!$A$5:$A$504,0)),""))</f>
        <v/>
      </c>
      <c r="C70" s="38">
        <f>IF(B70="","",TEXT(B70,"yyyy-mm"))</f>
        <v/>
      </c>
      <c r="D70" s="38">
        <f>IF(A70="","",IFERROR(INDEX(Maniobras!$D$5:$D$504,MATCH(A70,Maniobras!$A$5:$A$504,0)),""))</f>
        <v/>
      </c>
      <c r="E70" s="38" t="n"/>
      <c r="F70" s="39">
        <f>IF(A70="","",IFERROR(INDEX(Maniobras!$K$5:$K$504,MATCH(A70,Maniobras!$A$5:$A$504,0)),""))</f>
        <v/>
      </c>
      <c r="G70" s="39" t="n"/>
      <c r="H70" s="39" t="n"/>
      <c r="I70" s="39">
        <f>IF(G70="","",G70+N(H70))</f>
        <v/>
      </c>
      <c r="J70" s="38" t="n"/>
      <c r="K70" s="41" t="n"/>
      <c r="L70" s="38" t="n"/>
      <c r="M70">
        <f>IF($A70=Ficha!$B$3,COUNTIF($A$5:$A70,Ficha!$B$3),"")</f>
        <v/>
      </c>
    </row>
    <row r="71">
      <c r="A71" s="36" t="n"/>
      <c r="B71" s="40">
        <f>IF(A71="","",IFERROR(INDEX(Maniobras!$B$5:$B$504,MATCH(A71,Maniobras!$A$5:$A$504,0)),""))</f>
        <v/>
      </c>
      <c r="C71" s="36">
        <f>IF(B71="","",TEXT(B71,"yyyy-mm"))</f>
        <v/>
      </c>
      <c r="D71" s="36">
        <f>IF(A71="","",IFERROR(INDEX(Maniobras!$D$5:$D$504,MATCH(A71,Maniobras!$A$5:$A$504,0)),""))</f>
        <v/>
      </c>
      <c r="E71" s="36" t="n"/>
      <c r="F71" s="37">
        <f>IF(A71="","",IFERROR(INDEX(Maniobras!$K$5:$K$504,MATCH(A71,Maniobras!$A$5:$A$504,0)),""))</f>
        <v/>
      </c>
      <c r="G71" s="37" t="n"/>
      <c r="H71" s="37" t="n"/>
      <c r="I71" s="37">
        <f>IF(G71="","",G71+N(H71))</f>
        <v/>
      </c>
      <c r="J71" s="36" t="n"/>
      <c r="K71" s="40" t="n"/>
      <c r="L71" s="36" t="n"/>
      <c r="M71">
        <f>IF($A71=Ficha!$B$3,COUNTIF($A$5:$A71,Ficha!$B$3),"")</f>
        <v/>
      </c>
    </row>
    <row r="72">
      <c r="A72" s="38" t="n"/>
      <c r="B72" s="41">
        <f>IF(A72="","",IFERROR(INDEX(Maniobras!$B$5:$B$504,MATCH(A72,Maniobras!$A$5:$A$504,0)),""))</f>
        <v/>
      </c>
      <c r="C72" s="38">
        <f>IF(B72="","",TEXT(B72,"yyyy-mm"))</f>
        <v/>
      </c>
      <c r="D72" s="38">
        <f>IF(A72="","",IFERROR(INDEX(Maniobras!$D$5:$D$504,MATCH(A72,Maniobras!$A$5:$A$504,0)),""))</f>
        <v/>
      </c>
      <c r="E72" s="38" t="n"/>
      <c r="F72" s="39">
        <f>IF(A72="","",IFERROR(INDEX(Maniobras!$K$5:$K$504,MATCH(A72,Maniobras!$A$5:$A$504,0)),""))</f>
        <v/>
      </c>
      <c r="G72" s="39" t="n"/>
      <c r="H72" s="39" t="n"/>
      <c r="I72" s="39">
        <f>IF(G72="","",G72+N(H72))</f>
        <v/>
      </c>
      <c r="J72" s="38" t="n"/>
      <c r="K72" s="41" t="n"/>
      <c r="L72" s="38" t="n"/>
      <c r="M72">
        <f>IF($A72=Ficha!$B$3,COUNTIF($A$5:$A72,Ficha!$B$3),"")</f>
        <v/>
      </c>
    </row>
    <row r="73">
      <c r="A73" s="36" t="n"/>
      <c r="B73" s="40">
        <f>IF(A73="","",IFERROR(INDEX(Maniobras!$B$5:$B$504,MATCH(A73,Maniobras!$A$5:$A$504,0)),""))</f>
        <v/>
      </c>
      <c r="C73" s="36">
        <f>IF(B73="","",TEXT(B73,"yyyy-mm"))</f>
        <v/>
      </c>
      <c r="D73" s="36">
        <f>IF(A73="","",IFERROR(INDEX(Maniobras!$D$5:$D$504,MATCH(A73,Maniobras!$A$5:$A$504,0)),""))</f>
        <v/>
      </c>
      <c r="E73" s="36" t="n"/>
      <c r="F73" s="37">
        <f>IF(A73="","",IFERROR(INDEX(Maniobras!$K$5:$K$504,MATCH(A73,Maniobras!$A$5:$A$504,0)),""))</f>
        <v/>
      </c>
      <c r="G73" s="37" t="n"/>
      <c r="H73" s="37" t="n"/>
      <c r="I73" s="37">
        <f>IF(G73="","",G73+N(H73))</f>
        <v/>
      </c>
      <c r="J73" s="36" t="n"/>
      <c r="K73" s="40" t="n"/>
      <c r="L73" s="36" t="n"/>
      <c r="M73">
        <f>IF($A73=Ficha!$B$3,COUNTIF($A$5:$A73,Ficha!$B$3),"")</f>
        <v/>
      </c>
    </row>
    <row r="74">
      <c r="A74" s="38" t="n"/>
      <c r="B74" s="41">
        <f>IF(A74="","",IFERROR(INDEX(Maniobras!$B$5:$B$504,MATCH(A74,Maniobras!$A$5:$A$504,0)),""))</f>
        <v/>
      </c>
      <c r="C74" s="38">
        <f>IF(B74="","",TEXT(B74,"yyyy-mm"))</f>
        <v/>
      </c>
      <c r="D74" s="38">
        <f>IF(A74="","",IFERROR(INDEX(Maniobras!$D$5:$D$504,MATCH(A74,Maniobras!$A$5:$A$504,0)),""))</f>
        <v/>
      </c>
      <c r="E74" s="38" t="n"/>
      <c r="F74" s="39">
        <f>IF(A74="","",IFERROR(INDEX(Maniobras!$K$5:$K$504,MATCH(A74,Maniobras!$A$5:$A$504,0)),""))</f>
        <v/>
      </c>
      <c r="G74" s="39" t="n"/>
      <c r="H74" s="39" t="n"/>
      <c r="I74" s="39">
        <f>IF(G74="","",G74+N(H74))</f>
        <v/>
      </c>
      <c r="J74" s="38" t="n"/>
      <c r="K74" s="41" t="n"/>
      <c r="L74" s="38" t="n"/>
      <c r="M74">
        <f>IF($A74=Ficha!$B$3,COUNTIF($A$5:$A74,Ficha!$B$3),"")</f>
        <v/>
      </c>
    </row>
    <row r="75">
      <c r="A75" s="36" t="n"/>
      <c r="B75" s="40">
        <f>IF(A75="","",IFERROR(INDEX(Maniobras!$B$5:$B$504,MATCH(A75,Maniobras!$A$5:$A$504,0)),""))</f>
        <v/>
      </c>
      <c r="C75" s="36">
        <f>IF(B75="","",TEXT(B75,"yyyy-mm"))</f>
        <v/>
      </c>
      <c r="D75" s="36">
        <f>IF(A75="","",IFERROR(INDEX(Maniobras!$D$5:$D$504,MATCH(A75,Maniobras!$A$5:$A$504,0)),""))</f>
        <v/>
      </c>
      <c r="E75" s="36" t="n"/>
      <c r="F75" s="37">
        <f>IF(A75="","",IFERROR(INDEX(Maniobras!$K$5:$K$504,MATCH(A75,Maniobras!$A$5:$A$504,0)),""))</f>
        <v/>
      </c>
      <c r="G75" s="37" t="n"/>
      <c r="H75" s="37" t="n"/>
      <c r="I75" s="37">
        <f>IF(G75="","",G75+N(H75))</f>
        <v/>
      </c>
      <c r="J75" s="36" t="n"/>
      <c r="K75" s="40" t="n"/>
      <c r="L75" s="36" t="n"/>
      <c r="M75">
        <f>IF($A75=Ficha!$B$3,COUNTIF($A$5:$A75,Ficha!$B$3),"")</f>
        <v/>
      </c>
    </row>
    <row r="76">
      <c r="A76" s="38" t="n"/>
      <c r="B76" s="41">
        <f>IF(A76="","",IFERROR(INDEX(Maniobras!$B$5:$B$504,MATCH(A76,Maniobras!$A$5:$A$504,0)),""))</f>
        <v/>
      </c>
      <c r="C76" s="38">
        <f>IF(B76="","",TEXT(B76,"yyyy-mm"))</f>
        <v/>
      </c>
      <c r="D76" s="38">
        <f>IF(A76="","",IFERROR(INDEX(Maniobras!$D$5:$D$504,MATCH(A76,Maniobras!$A$5:$A$504,0)),""))</f>
        <v/>
      </c>
      <c r="E76" s="38" t="n"/>
      <c r="F76" s="39">
        <f>IF(A76="","",IFERROR(INDEX(Maniobras!$K$5:$K$504,MATCH(A76,Maniobras!$A$5:$A$504,0)),""))</f>
        <v/>
      </c>
      <c r="G76" s="39" t="n"/>
      <c r="H76" s="39" t="n"/>
      <c r="I76" s="39">
        <f>IF(G76="","",G76+N(H76))</f>
        <v/>
      </c>
      <c r="J76" s="38" t="n"/>
      <c r="K76" s="41" t="n"/>
      <c r="L76" s="38" t="n"/>
      <c r="M76">
        <f>IF($A76=Ficha!$B$3,COUNTIF($A$5:$A76,Ficha!$B$3),"")</f>
        <v/>
      </c>
    </row>
    <row r="77">
      <c r="A77" s="36" t="n"/>
      <c r="B77" s="40">
        <f>IF(A77="","",IFERROR(INDEX(Maniobras!$B$5:$B$504,MATCH(A77,Maniobras!$A$5:$A$504,0)),""))</f>
        <v/>
      </c>
      <c r="C77" s="36">
        <f>IF(B77="","",TEXT(B77,"yyyy-mm"))</f>
        <v/>
      </c>
      <c r="D77" s="36">
        <f>IF(A77="","",IFERROR(INDEX(Maniobras!$D$5:$D$504,MATCH(A77,Maniobras!$A$5:$A$504,0)),""))</f>
        <v/>
      </c>
      <c r="E77" s="36" t="n"/>
      <c r="F77" s="37">
        <f>IF(A77="","",IFERROR(INDEX(Maniobras!$K$5:$K$504,MATCH(A77,Maniobras!$A$5:$A$504,0)),""))</f>
        <v/>
      </c>
      <c r="G77" s="37" t="n"/>
      <c r="H77" s="37" t="n"/>
      <c r="I77" s="37">
        <f>IF(G77="","",G77+N(H77))</f>
        <v/>
      </c>
      <c r="J77" s="36" t="n"/>
      <c r="K77" s="40" t="n"/>
      <c r="L77" s="36" t="n"/>
      <c r="M77">
        <f>IF($A77=Ficha!$B$3,COUNTIF($A$5:$A77,Ficha!$B$3),"")</f>
        <v/>
      </c>
    </row>
    <row r="78">
      <c r="A78" s="38" t="n"/>
      <c r="B78" s="41">
        <f>IF(A78="","",IFERROR(INDEX(Maniobras!$B$5:$B$504,MATCH(A78,Maniobras!$A$5:$A$504,0)),""))</f>
        <v/>
      </c>
      <c r="C78" s="38">
        <f>IF(B78="","",TEXT(B78,"yyyy-mm"))</f>
        <v/>
      </c>
      <c r="D78" s="38">
        <f>IF(A78="","",IFERROR(INDEX(Maniobras!$D$5:$D$504,MATCH(A78,Maniobras!$A$5:$A$504,0)),""))</f>
        <v/>
      </c>
      <c r="E78" s="38" t="n"/>
      <c r="F78" s="39">
        <f>IF(A78="","",IFERROR(INDEX(Maniobras!$K$5:$K$504,MATCH(A78,Maniobras!$A$5:$A$504,0)),""))</f>
        <v/>
      </c>
      <c r="G78" s="39" t="n"/>
      <c r="H78" s="39" t="n"/>
      <c r="I78" s="39">
        <f>IF(G78="","",G78+N(H78))</f>
        <v/>
      </c>
      <c r="J78" s="38" t="n"/>
      <c r="K78" s="41" t="n"/>
      <c r="L78" s="38" t="n"/>
      <c r="M78">
        <f>IF($A78=Ficha!$B$3,COUNTIF($A$5:$A78,Ficha!$B$3),"")</f>
        <v/>
      </c>
    </row>
    <row r="79">
      <c r="A79" s="36" t="n"/>
      <c r="B79" s="40">
        <f>IF(A79="","",IFERROR(INDEX(Maniobras!$B$5:$B$504,MATCH(A79,Maniobras!$A$5:$A$504,0)),""))</f>
        <v/>
      </c>
      <c r="C79" s="36">
        <f>IF(B79="","",TEXT(B79,"yyyy-mm"))</f>
        <v/>
      </c>
      <c r="D79" s="36">
        <f>IF(A79="","",IFERROR(INDEX(Maniobras!$D$5:$D$504,MATCH(A79,Maniobras!$A$5:$A$504,0)),""))</f>
        <v/>
      </c>
      <c r="E79" s="36" t="n"/>
      <c r="F79" s="37">
        <f>IF(A79="","",IFERROR(INDEX(Maniobras!$K$5:$K$504,MATCH(A79,Maniobras!$A$5:$A$504,0)),""))</f>
        <v/>
      </c>
      <c r="G79" s="37" t="n"/>
      <c r="H79" s="37" t="n"/>
      <c r="I79" s="37">
        <f>IF(G79="","",G79+N(H79))</f>
        <v/>
      </c>
      <c r="J79" s="36" t="n"/>
      <c r="K79" s="40" t="n"/>
      <c r="L79" s="36" t="n"/>
      <c r="M79">
        <f>IF($A79=Ficha!$B$3,COUNTIF($A$5:$A79,Ficha!$B$3),"")</f>
        <v/>
      </c>
    </row>
    <row r="80">
      <c r="A80" s="38" t="n"/>
      <c r="B80" s="41">
        <f>IF(A80="","",IFERROR(INDEX(Maniobras!$B$5:$B$504,MATCH(A80,Maniobras!$A$5:$A$504,0)),""))</f>
        <v/>
      </c>
      <c r="C80" s="38">
        <f>IF(B80="","",TEXT(B80,"yyyy-mm"))</f>
        <v/>
      </c>
      <c r="D80" s="38">
        <f>IF(A80="","",IFERROR(INDEX(Maniobras!$D$5:$D$504,MATCH(A80,Maniobras!$A$5:$A$504,0)),""))</f>
        <v/>
      </c>
      <c r="E80" s="38" t="n"/>
      <c r="F80" s="39">
        <f>IF(A80="","",IFERROR(INDEX(Maniobras!$K$5:$K$504,MATCH(A80,Maniobras!$A$5:$A$504,0)),""))</f>
        <v/>
      </c>
      <c r="G80" s="39" t="n"/>
      <c r="H80" s="39" t="n"/>
      <c r="I80" s="39">
        <f>IF(G80="","",G80+N(H80))</f>
        <v/>
      </c>
      <c r="J80" s="38" t="n"/>
      <c r="K80" s="41" t="n"/>
      <c r="L80" s="38" t="n"/>
      <c r="M80">
        <f>IF($A80=Ficha!$B$3,COUNTIF($A$5:$A80,Ficha!$B$3),"")</f>
        <v/>
      </c>
    </row>
    <row r="81">
      <c r="A81" s="36" t="n"/>
      <c r="B81" s="40">
        <f>IF(A81="","",IFERROR(INDEX(Maniobras!$B$5:$B$504,MATCH(A81,Maniobras!$A$5:$A$504,0)),""))</f>
        <v/>
      </c>
      <c r="C81" s="36">
        <f>IF(B81="","",TEXT(B81,"yyyy-mm"))</f>
        <v/>
      </c>
      <c r="D81" s="36">
        <f>IF(A81="","",IFERROR(INDEX(Maniobras!$D$5:$D$504,MATCH(A81,Maniobras!$A$5:$A$504,0)),""))</f>
        <v/>
      </c>
      <c r="E81" s="36" t="n"/>
      <c r="F81" s="37">
        <f>IF(A81="","",IFERROR(INDEX(Maniobras!$K$5:$K$504,MATCH(A81,Maniobras!$A$5:$A$504,0)),""))</f>
        <v/>
      </c>
      <c r="G81" s="37" t="n"/>
      <c r="H81" s="37" t="n"/>
      <c r="I81" s="37">
        <f>IF(G81="","",G81+N(H81))</f>
        <v/>
      </c>
      <c r="J81" s="36" t="n"/>
      <c r="K81" s="40" t="n"/>
      <c r="L81" s="36" t="n"/>
      <c r="M81">
        <f>IF($A81=Ficha!$B$3,COUNTIF($A$5:$A81,Ficha!$B$3),"")</f>
        <v/>
      </c>
    </row>
    <row r="82">
      <c r="A82" s="38" t="n"/>
      <c r="B82" s="41">
        <f>IF(A82="","",IFERROR(INDEX(Maniobras!$B$5:$B$504,MATCH(A82,Maniobras!$A$5:$A$504,0)),""))</f>
        <v/>
      </c>
      <c r="C82" s="38">
        <f>IF(B82="","",TEXT(B82,"yyyy-mm"))</f>
        <v/>
      </c>
      <c r="D82" s="38">
        <f>IF(A82="","",IFERROR(INDEX(Maniobras!$D$5:$D$504,MATCH(A82,Maniobras!$A$5:$A$504,0)),""))</f>
        <v/>
      </c>
      <c r="E82" s="38" t="n"/>
      <c r="F82" s="39">
        <f>IF(A82="","",IFERROR(INDEX(Maniobras!$K$5:$K$504,MATCH(A82,Maniobras!$A$5:$A$504,0)),""))</f>
        <v/>
      </c>
      <c r="G82" s="39" t="n"/>
      <c r="H82" s="39" t="n"/>
      <c r="I82" s="39">
        <f>IF(G82="","",G82+N(H82))</f>
        <v/>
      </c>
      <c r="J82" s="38" t="n"/>
      <c r="K82" s="41" t="n"/>
      <c r="L82" s="38" t="n"/>
      <c r="M82">
        <f>IF($A82=Ficha!$B$3,COUNTIF($A$5:$A82,Ficha!$B$3),"")</f>
        <v/>
      </c>
    </row>
    <row r="83">
      <c r="A83" s="36" t="n"/>
      <c r="B83" s="40">
        <f>IF(A83="","",IFERROR(INDEX(Maniobras!$B$5:$B$504,MATCH(A83,Maniobras!$A$5:$A$504,0)),""))</f>
        <v/>
      </c>
      <c r="C83" s="36">
        <f>IF(B83="","",TEXT(B83,"yyyy-mm"))</f>
        <v/>
      </c>
      <c r="D83" s="36">
        <f>IF(A83="","",IFERROR(INDEX(Maniobras!$D$5:$D$504,MATCH(A83,Maniobras!$A$5:$A$504,0)),""))</f>
        <v/>
      </c>
      <c r="E83" s="36" t="n"/>
      <c r="F83" s="37">
        <f>IF(A83="","",IFERROR(INDEX(Maniobras!$K$5:$K$504,MATCH(A83,Maniobras!$A$5:$A$504,0)),""))</f>
        <v/>
      </c>
      <c r="G83" s="37" t="n"/>
      <c r="H83" s="37" t="n"/>
      <c r="I83" s="37">
        <f>IF(G83="","",G83+N(H83))</f>
        <v/>
      </c>
      <c r="J83" s="36" t="n"/>
      <c r="K83" s="40" t="n"/>
      <c r="L83" s="36" t="n"/>
      <c r="M83">
        <f>IF($A83=Ficha!$B$3,COUNTIF($A$5:$A83,Ficha!$B$3),"")</f>
        <v/>
      </c>
    </row>
    <row r="84">
      <c r="A84" s="38" t="n"/>
      <c r="B84" s="41">
        <f>IF(A84="","",IFERROR(INDEX(Maniobras!$B$5:$B$504,MATCH(A84,Maniobras!$A$5:$A$504,0)),""))</f>
        <v/>
      </c>
      <c r="C84" s="38">
        <f>IF(B84="","",TEXT(B84,"yyyy-mm"))</f>
        <v/>
      </c>
      <c r="D84" s="38">
        <f>IF(A84="","",IFERROR(INDEX(Maniobras!$D$5:$D$504,MATCH(A84,Maniobras!$A$5:$A$504,0)),""))</f>
        <v/>
      </c>
      <c r="E84" s="38" t="n"/>
      <c r="F84" s="39">
        <f>IF(A84="","",IFERROR(INDEX(Maniobras!$K$5:$K$504,MATCH(A84,Maniobras!$A$5:$A$504,0)),""))</f>
        <v/>
      </c>
      <c r="G84" s="39" t="n"/>
      <c r="H84" s="39" t="n"/>
      <c r="I84" s="39">
        <f>IF(G84="","",G84+N(H84))</f>
        <v/>
      </c>
      <c r="J84" s="38" t="n"/>
      <c r="K84" s="41" t="n"/>
      <c r="L84" s="38" t="n"/>
      <c r="M84">
        <f>IF($A84=Ficha!$B$3,COUNTIF($A$5:$A84,Ficha!$B$3),"")</f>
        <v/>
      </c>
    </row>
    <row r="85">
      <c r="A85" s="36" t="n"/>
      <c r="B85" s="40">
        <f>IF(A85="","",IFERROR(INDEX(Maniobras!$B$5:$B$504,MATCH(A85,Maniobras!$A$5:$A$504,0)),""))</f>
        <v/>
      </c>
      <c r="C85" s="36">
        <f>IF(B85="","",TEXT(B85,"yyyy-mm"))</f>
        <v/>
      </c>
      <c r="D85" s="36">
        <f>IF(A85="","",IFERROR(INDEX(Maniobras!$D$5:$D$504,MATCH(A85,Maniobras!$A$5:$A$504,0)),""))</f>
        <v/>
      </c>
      <c r="E85" s="36" t="n"/>
      <c r="F85" s="37">
        <f>IF(A85="","",IFERROR(INDEX(Maniobras!$K$5:$K$504,MATCH(A85,Maniobras!$A$5:$A$504,0)),""))</f>
        <v/>
      </c>
      <c r="G85" s="37" t="n"/>
      <c r="H85" s="37" t="n"/>
      <c r="I85" s="37">
        <f>IF(G85="","",G85+N(H85))</f>
        <v/>
      </c>
      <c r="J85" s="36" t="n"/>
      <c r="K85" s="40" t="n"/>
      <c r="L85" s="36" t="n"/>
      <c r="M85">
        <f>IF($A85=Ficha!$B$3,COUNTIF($A$5:$A85,Ficha!$B$3),"")</f>
        <v/>
      </c>
    </row>
    <row r="86">
      <c r="A86" s="38" t="n"/>
      <c r="B86" s="41">
        <f>IF(A86="","",IFERROR(INDEX(Maniobras!$B$5:$B$504,MATCH(A86,Maniobras!$A$5:$A$504,0)),""))</f>
        <v/>
      </c>
      <c r="C86" s="38">
        <f>IF(B86="","",TEXT(B86,"yyyy-mm"))</f>
        <v/>
      </c>
      <c r="D86" s="38">
        <f>IF(A86="","",IFERROR(INDEX(Maniobras!$D$5:$D$504,MATCH(A86,Maniobras!$A$5:$A$504,0)),""))</f>
        <v/>
      </c>
      <c r="E86" s="38" t="n"/>
      <c r="F86" s="39">
        <f>IF(A86="","",IFERROR(INDEX(Maniobras!$K$5:$K$504,MATCH(A86,Maniobras!$A$5:$A$504,0)),""))</f>
        <v/>
      </c>
      <c r="G86" s="39" t="n"/>
      <c r="H86" s="39" t="n"/>
      <c r="I86" s="39">
        <f>IF(G86="","",G86+N(H86))</f>
        <v/>
      </c>
      <c r="J86" s="38" t="n"/>
      <c r="K86" s="41" t="n"/>
      <c r="L86" s="38" t="n"/>
      <c r="M86">
        <f>IF($A86=Ficha!$B$3,COUNTIF($A$5:$A86,Ficha!$B$3),"")</f>
        <v/>
      </c>
    </row>
    <row r="87">
      <c r="A87" s="36" t="n"/>
      <c r="B87" s="40">
        <f>IF(A87="","",IFERROR(INDEX(Maniobras!$B$5:$B$504,MATCH(A87,Maniobras!$A$5:$A$504,0)),""))</f>
        <v/>
      </c>
      <c r="C87" s="36">
        <f>IF(B87="","",TEXT(B87,"yyyy-mm"))</f>
        <v/>
      </c>
      <c r="D87" s="36">
        <f>IF(A87="","",IFERROR(INDEX(Maniobras!$D$5:$D$504,MATCH(A87,Maniobras!$A$5:$A$504,0)),""))</f>
        <v/>
      </c>
      <c r="E87" s="36" t="n"/>
      <c r="F87" s="37">
        <f>IF(A87="","",IFERROR(INDEX(Maniobras!$K$5:$K$504,MATCH(A87,Maniobras!$A$5:$A$504,0)),""))</f>
        <v/>
      </c>
      <c r="G87" s="37" t="n"/>
      <c r="H87" s="37" t="n"/>
      <c r="I87" s="37">
        <f>IF(G87="","",G87+N(H87))</f>
        <v/>
      </c>
      <c r="J87" s="36" t="n"/>
      <c r="K87" s="40" t="n"/>
      <c r="L87" s="36" t="n"/>
      <c r="M87">
        <f>IF($A87=Ficha!$B$3,COUNTIF($A$5:$A87,Ficha!$B$3),"")</f>
        <v/>
      </c>
    </row>
    <row r="88">
      <c r="A88" s="38" t="n"/>
      <c r="B88" s="41">
        <f>IF(A88="","",IFERROR(INDEX(Maniobras!$B$5:$B$504,MATCH(A88,Maniobras!$A$5:$A$504,0)),""))</f>
        <v/>
      </c>
      <c r="C88" s="38">
        <f>IF(B88="","",TEXT(B88,"yyyy-mm"))</f>
        <v/>
      </c>
      <c r="D88" s="38">
        <f>IF(A88="","",IFERROR(INDEX(Maniobras!$D$5:$D$504,MATCH(A88,Maniobras!$A$5:$A$504,0)),""))</f>
        <v/>
      </c>
      <c r="E88" s="38" t="n"/>
      <c r="F88" s="39">
        <f>IF(A88="","",IFERROR(INDEX(Maniobras!$K$5:$K$504,MATCH(A88,Maniobras!$A$5:$A$504,0)),""))</f>
        <v/>
      </c>
      <c r="G88" s="39" t="n"/>
      <c r="H88" s="39" t="n"/>
      <c r="I88" s="39">
        <f>IF(G88="","",G88+N(H88))</f>
        <v/>
      </c>
      <c r="J88" s="38" t="n"/>
      <c r="K88" s="41" t="n"/>
      <c r="L88" s="38" t="n"/>
      <c r="M88">
        <f>IF($A88=Ficha!$B$3,COUNTIF($A$5:$A88,Ficha!$B$3),"")</f>
        <v/>
      </c>
    </row>
    <row r="89">
      <c r="A89" s="36" t="n"/>
      <c r="B89" s="40">
        <f>IF(A89="","",IFERROR(INDEX(Maniobras!$B$5:$B$504,MATCH(A89,Maniobras!$A$5:$A$504,0)),""))</f>
        <v/>
      </c>
      <c r="C89" s="36">
        <f>IF(B89="","",TEXT(B89,"yyyy-mm"))</f>
        <v/>
      </c>
      <c r="D89" s="36">
        <f>IF(A89="","",IFERROR(INDEX(Maniobras!$D$5:$D$504,MATCH(A89,Maniobras!$A$5:$A$504,0)),""))</f>
        <v/>
      </c>
      <c r="E89" s="36" t="n"/>
      <c r="F89" s="37">
        <f>IF(A89="","",IFERROR(INDEX(Maniobras!$K$5:$K$504,MATCH(A89,Maniobras!$A$5:$A$504,0)),""))</f>
        <v/>
      </c>
      <c r="G89" s="37" t="n"/>
      <c r="H89" s="37" t="n"/>
      <c r="I89" s="37">
        <f>IF(G89="","",G89+N(H89))</f>
        <v/>
      </c>
      <c r="J89" s="36" t="n"/>
      <c r="K89" s="40" t="n"/>
      <c r="L89" s="36" t="n"/>
      <c r="M89">
        <f>IF($A89=Ficha!$B$3,COUNTIF($A$5:$A89,Ficha!$B$3),"")</f>
        <v/>
      </c>
    </row>
    <row r="90">
      <c r="A90" s="38" t="n"/>
      <c r="B90" s="41">
        <f>IF(A90="","",IFERROR(INDEX(Maniobras!$B$5:$B$504,MATCH(A90,Maniobras!$A$5:$A$504,0)),""))</f>
        <v/>
      </c>
      <c r="C90" s="38">
        <f>IF(B90="","",TEXT(B90,"yyyy-mm"))</f>
        <v/>
      </c>
      <c r="D90" s="38">
        <f>IF(A90="","",IFERROR(INDEX(Maniobras!$D$5:$D$504,MATCH(A90,Maniobras!$A$5:$A$504,0)),""))</f>
        <v/>
      </c>
      <c r="E90" s="38" t="n"/>
      <c r="F90" s="39">
        <f>IF(A90="","",IFERROR(INDEX(Maniobras!$K$5:$K$504,MATCH(A90,Maniobras!$A$5:$A$504,0)),""))</f>
        <v/>
      </c>
      <c r="G90" s="39" t="n"/>
      <c r="H90" s="39" t="n"/>
      <c r="I90" s="39">
        <f>IF(G90="","",G90+N(H90))</f>
        <v/>
      </c>
      <c r="J90" s="38" t="n"/>
      <c r="K90" s="41" t="n"/>
      <c r="L90" s="38" t="n"/>
      <c r="M90">
        <f>IF($A90=Ficha!$B$3,COUNTIF($A$5:$A90,Ficha!$B$3),"")</f>
        <v/>
      </c>
    </row>
    <row r="91">
      <c r="A91" s="36" t="n"/>
      <c r="B91" s="40">
        <f>IF(A91="","",IFERROR(INDEX(Maniobras!$B$5:$B$504,MATCH(A91,Maniobras!$A$5:$A$504,0)),""))</f>
        <v/>
      </c>
      <c r="C91" s="36">
        <f>IF(B91="","",TEXT(B91,"yyyy-mm"))</f>
        <v/>
      </c>
      <c r="D91" s="36">
        <f>IF(A91="","",IFERROR(INDEX(Maniobras!$D$5:$D$504,MATCH(A91,Maniobras!$A$5:$A$504,0)),""))</f>
        <v/>
      </c>
      <c r="E91" s="36" t="n"/>
      <c r="F91" s="37">
        <f>IF(A91="","",IFERROR(INDEX(Maniobras!$K$5:$K$504,MATCH(A91,Maniobras!$A$5:$A$504,0)),""))</f>
        <v/>
      </c>
      <c r="G91" s="37" t="n"/>
      <c r="H91" s="37" t="n"/>
      <c r="I91" s="37">
        <f>IF(G91="","",G91+N(H91))</f>
        <v/>
      </c>
      <c r="J91" s="36" t="n"/>
      <c r="K91" s="40" t="n"/>
      <c r="L91" s="36" t="n"/>
      <c r="M91">
        <f>IF($A91=Ficha!$B$3,COUNTIF($A$5:$A91,Ficha!$B$3),"")</f>
        <v/>
      </c>
    </row>
    <row r="92">
      <c r="A92" s="38" t="n"/>
      <c r="B92" s="41">
        <f>IF(A92="","",IFERROR(INDEX(Maniobras!$B$5:$B$504,MATCH(A92,Maniobras!$A$5:$A$504,0)),""))</f>
        <v/>
      </c>
      <c r="C92" s="38">
        <f>IF(B92="","",TEXT(B92,"yyyy-mm"))</f>
        <v/>
      </c>
      <c r="D92" s="38">
        <f>IF(A92="","",IFERROR(INDEX(Maniobras!$D$5:$D$504,MATCH(A92,Maniobras!$A$5:$A$504,0)),""))</f>
        <v/>
      </c>
      <c r="E92" s="38" t="n"/>
      <c r="F92" s="39">
        <f>IF(A92="","",IFERROR(INDEX(Maniobras!$K$5:$K$504,MATCH(A92,Maniobras!$A$5:$A$504,0)),""))</f>
        <v/>
      </c>
      <c r="G92" s="39" t="n"/>
      <c r="H92" s="39" t="n"/>
      <c r="I92" s="39">
        <f>IF(G92="","",G92+N(H92))</f>
        <v/>
      </c>
      <c r="J92" s="38" t="n"/>
      <c r="K92" s="41" t="n"/>
      <c r="L92" s="38" t="n"/>
      <c r="M92">
        <f>IF($A92=Ficha!$B$3,COUNTIF($A$5:$A92,Ficha!$B$3),"")</f>
        <v/>
      </c>
    </row>
    <row r="93">
      <c r="A93" s="36" t="n"/>
      <c r="B93" s="40">
        <f>IF(A93="","",IFERROR(INDEX(Maniobras!$B$5:$B$504,MATCH(A93,Maniobras!$A$5:$A$504,0)),""))</f>
        <v/>
      </c>
      <c r="C93" s="36">
        <f>IF(B93="","",TEXT(B93,"yyyy-mm"))</f>
        <v/>
      </c>
      <c r="D93" s="36">
        <f>IF(A93="","",IFERROR(INDEX(Maniobras!$D$5:$D$504,MATCH(A93,Maniobras!$A$5:$A$504,0)),""))</f>
        <v/>
      </c>
      <c r="E93" s="36" t="n"/>
      <c r="F93" s="37">
        <f>IF(A93="","",IFERROR(INDEX(Maniobras!$K$5:$K$504,MATCH(A93,Maniobras!$A$5:$A$504,0)),""))</f>
        <v/>
      </c>
      <c r="G93" s="37" t="n"/>
      <c r="H93" s="37" t="n"/>
      <c r="I93" s="37">
        <f>IF(G93="","",G93+N(H93))</f>
        <v/>
      </c>
      <c r="J93" s="36" t="n"/>
      <c r="K93" s="40" t="n"/>
      <c r="L93" s="36" t="n"/>
      <c r="M93">
        <f>IF($A93=Ficha!$B$3,COUNTIF($A$5:$A93,Ficha!$B$3),"")</f>
        <v/>
      </c>
    </row>
    <row r="94">
      <c r="A94" s="38" t="n"/>
      <c r="B94" s="41">
        <f>IF(A94="","",IFERROR(INDEX(Maniobras!$B$5:$B$504,MATCH(A94,Maniobras!$A$5:$A$504,0)),""))</f>
        <v/>
      </c>
      <c r="C94" s="38">
        <f>IF(B94="","",TEXT(B94,"yyyy-mm"))</f>
        <v/>
      </c>
      <c r="D94" s="38">
        <f>IF(A94="","",IFERROR(INDEX(Maniobras!$D$5:$D$504,MATCH(A94,Maniobras!$A$5:$A$504,0)),""))</f>
        <v/>
      </c>
      <c r="E94" s="38" t="n"/>
      <c r="F94" s="39">
        <f>IF(A94="","",IFERROR(INDEX(Maniobras!$K$5:$K$504,MATCH(A94,Maniobras!$A$5:$A$504,0)),""))</f>
        <v/>
      </c>
      <c r="G94" s="39" t="n"/>
      <c r="H94" s="39" t="n"/>
      <c r="I94" s="39">
        <f>IF(G94="","",G94+N(H94))</f>
        <v/>
      </c>
      <c r="J94" s="38" t="n"/>
      <c r="K94" s="41" t="n"/>
      <c r="L94" s="38" t="n"/>
      <c r="M94">
        <f>IF($A94=Ficha!$B$3,COUNTIF($A$5:$A94,Ficha!$B$3),"")</f>
        <v/>
      </c>
    </row>
    <row r="95">
      <c r="A95" s="36" t="n"/>
      <c r="B95" s="40">
        <f>IF(A95="","",IFERROR(INDEX(Maniobras!$B$5:$B$504,MATCH(A95,Maniobras!$A$5:$A$504,0)),""))</f>
        <v/>
      </c>
      <c r="C95" s="36">
        <f>IF(B95="","",TEXT(B95,"yyyy-mm"))</f>
        <v/>
      </c>
      <c r="D95" s="36">
        <f>IF(A95="","",IFERROR(INDEX(Maniobras!$D$5:$D$504,MATCH(A95,Maniobras!$A$5:$A$504,0)),""))</f>
        <v/>
      </c>
      <c r="E95" s="36" t="n"/>
      <c r="F95" s="37">
        <f>IF(A95="","",IFERROR(INDEX(Maniobras!$K$5:$K$504,MATCH(A95,Maniobras!$A$5:$A$504,0)),""))</f>
        <v/>
      </c>
      <c r="G95" s="37" t="n"/>
      <c r="H95" s="37" t="n"/>
      <c r="I95" s="37">
        <f>IF(G95="","",G95+N(H95))</f>
        <v/>
      </c>
      <c r="J95" s="36" t="n"/>
      <c r="K95" s="40" t="n"/>
      <c r="L95" s="36" t="n"/>
      <c r="M95">
        <f>IF($A95=Ficha!$B$3,COUNTIF($A$5:$A95,Ficha!$B$3),"")</f>
        <v/>
      </c>
    </row>
    <row r="96">
      <c r="A96" s="38" t="n"/>
      <c r="B96" s="41">
        <f>IF(A96="","",IFERROR(INDEX(Maniobras!$B$5:$B$504,MATCH(A96,Maniobras!$A$5:$A$504,0)),""))</f>
        <v/>
      </c>
      <c r="C96" s="38">
        <f>IF(B96="","",TEXT(B96,"yyyy-mm"))</f>
        <v/>
      </c>
      <c r="D96" s="38">
        <f>IF(A96="","",IFERROR(INDEX(Maniobras!$D$5:$D$504,MATCH(A96,Maniobras!$A$5:$A$504,0)),""))</f>
        <v/>
      </c>
      <c r="E96" s="38" t="n"/>
      <c r="F96" s="39">
        <f>IF(A96="","",IFERROR(INDEX(Maniobras!$K$5:$K$504,MATCH(A96,Maniobras!$A$5:$A$504,0)),""))</f>
        <v/>
      </c>
      <c r="G96" s="39" t="n"/>
      <c r="H96" s="39" t="n"/>
      <c r="I96" s="39">
        <f>IF(G96="","",G96+N(H96))</f>
        <v/>
      </c>
      <c r="J96" s="38" t="n"/>
      <c r="K96" s="41" t="n"/>
      <c r="L96" s="38" t="n"/>
      <c r="M96">
        <f>IF($A96=Ficha!$B$3,COUNTIF($A$5:$A96,Ficha!$B$3),"")</f>
        <v/>
      </c>
    </row>
    <row r="97">
      <c r="A97" s="36" t="n"/>
      <c r="B97" s="40">
        <f>IF(A97="","",IFERROR(INDEX(Maniobras!$B$5:$B$504,MATCH(A97,Maniobras!$A$5:$A$504,0)),""))</f>
        <v/>
      </c>
      <c r="C97" s="36">
        <f>IF(B97="","",TEXT(B97,"yyyy-mm"))</f>
        <v/>
      </c>
      <c r="D97" s="36">
        <f>IF(A97="","",IFERROR(INDEX(Maniobras!$D$5:$D$504,MATCH(A97,Maniobras!$A$5:$A$504,0)),""))</f>
        <v/>
      </c>
      <c r="E97" s="36" t="n"/>
      <c r="F97" s="37">
        <f>IF(A97="","",IFERROR(INDEX(Maniobras!$K$5:$K$504,MATCH(A97,Maniobras!$A$5:$A$504,0)),""))</f>
        <v/>
      </c>
      <c r="G97" s="37" t="n"/>
      <c r="H97" s="37" t="n"/>
      <c r="I97" s="37">
        <f>IF(G97="","",G97+N(H97))</f>
        <v/>
      </c>
      <c r="J97" s="36" t="n"/>
      <c r="K97" s="40" t="n"/>
      <c r="L97" s="36" t="n"/>
      <c r="M97">
        <f>IF($A97=Ficha!$B$3,COUNTIF($A$5:$A97,Ficha!$B$3),"")</f>
        <v/>
      </c>
    </row>
    <row r="98">
      <c r="A98" s="38" t="n"/>
      <c r="B98" s="41">
        <f>IF(A98="","",IFERROR(INDEX(Maniobras!$B$5:$B$504,MATCH(A98,Maniobras!$A$5:$A$504,0)),""))</f>
        <v/>
      </c>
      <c r="C98" s="38">
        <f>IF(B98="","",TEXT(B98,"yyyy-mm"))</f>
        <v/>
      </c>
      <c r="D98" s="38">
        <f>IF(A98="","",IFERROR(INDEX(Maniobras!$D$5:$D$504,MATCH(A98,Maniobras!$A$5:$A$504,0)),""))</f>
        <v/>
      </c>
      <c r="E98" s="38" t="n"/>
      <c r="F98" s="39">
        <f>IF(A98="","",IFERROR(INDEX(Maniobras!$K$5:$K$504,MATCH(A98,Maniobras!$A$5:$A$504,0)),""))</f>
        <v/>
      </c>
      <c r="G98" s="39" t="n"/>
      <c r="H98" s="39" t="n"/>
      <c r="I98" s="39">
        <f>IF(G98="","",G98+N(H98))</f>
        <v/>
      </c>
      <c r="J98" s="38" t="n"/>
      <c r="K98" s="41" t="n"/>
      <c r="L98" s="38" t="n"/>
      <c r="M98">
        <f>IF($A98=Ficha!$B$3,COUNTIF($A$5:$A98,Ficha!$B$3),"")</f>
        <v/>
      </c>
    </row>
    <row r="99">
      <c r="A99" s="36" t="n"/>
      <c r="B99" s="40">
        <f>IF(A99="","",IFERROR(INDEX(Maniobras!$B$5:$B$504,MATCH(A99,Maniobras!$A$5:$A$504,0)),""))</f>
        <v/>
      </c>
      <c r="C99" s="36">
        <f>IF(B99="","",TEXT(B99,"yyyy-mm"))</f>
        <v/>
      </c>
      <c r="D99" s="36">
        <f>IF(A99="","",IFERROR(INDEX(Maniobras!$D$5:$D$504,MATCH(A99,Maniobras!$A$5:$A$504,0)),""))</f>
        <v/>
      </c>
      <c r="E99" s="36" t="n"/>
      <c r="F99" s="37">
        <f>IF(A99="","",IFERROR(INDEX(Maniobras!$K$5:$K$504,MATCH(A99,Maniobras!$A$5:$A$504,0)),""))</f>
        <v/>
      </c>
      <c r="G99" s="37" t="n"/>
      <c r="H99" s="37" t="n"/>
      <c r="I99" s="37">
        <f>IF(G99="","",G99+N(H99))</f>
        <v/>
      </c>
      <c r="J99" s="36" t="n"/>
      <c r="K99" s="40" t="n"/>
      <c r="L99" s="36" t="n"/>
      <c r="M99">
        <f>IF($A99=Ficha!$B$3,COUNTIF($A$5:$A99,Ficha!$B$3),"")</f>
        <v/>
      </c>
    </row>
    <row r="100">
      <c r="A100" s="38" t="n"/>
      <c r="B100" s="41">
        <f>IF(A100="","",IFERROR(INDEX(Maniobras!$B$5:$B$504,MATCH(A100,Maniobras!$A$5:$A$504,0)),""))</f>
        <v/>
      </c>
      <c r="C100" s="38">
        <f>IF(B100="","",TEXT(B100,"yyyy-mm"))</f>
        <v/>
      </c>
      <c r="D100" s="38">
        <f>IF(A100="","",IFERROR(INDEX(Maniobras!$D$5:$D$504,MATCH(A100,Maniobras!$A$5:$A$504,0)),""))</f>
        <v/>
      </c>
      <c r="E100" s="38" t="n"/>
      <c r="F100" s="39">
        <f>IF(A100="","",IFERROR(INDEX(Maniobras!$K$5:$K$504,MATCH(A100,Maniobras!$A$5:$A$504,0)),""))</f>
        <v/>
      </c>
      <c r="G100" s="39" t="n"/>
      <c r="H100" s="39" t="n"/>
      <c r="I100" s="39">
        <f>IF(G100="","",G100+N(H100))</f>
        <v/>
      </c>
      <c r="J100" s="38" t="n"/>
      <c r="K100" s="41" t="n"/>
      <c r="L100" s="38" t="n"/>
      <c r="M100">
        <f>IF($A100=Ficha!$B$3,COUNTIF($A$5:$A100,Ficha!$B$3),"")</f>
        <v/>
      </c>
    </row>
    <row r="101">
      <c r="A101" s="36" t="n"/>
      <c r="B101" s="40">
        <f>IF(A101="","",IFERROR(INDEX(Maniobras!$B$5:$B$504,MATCH(A101,Maniobras!$A$5:$A$504,0)),""))</f>
        <v/>
      </c>
      <c r="C101" s="36">
        <f>IF(B101="","",TEXT(B101,"yyyy-mm"))</f>
        <v/>
      </c>
      <c r="D101" s="36">
        <f>IF(A101="","",IFERROR(INDEX(Maniobras!$D$5:$D$504,MATCH(A101,Maniobras!$A$5:$A$504,0)),""))</f>
        <v/>
      </c>
      <c r="E101" s="36" t="n"/>
      <c r="F101" s="37">
        <f>IF(A101="","",IFERROR(INDEX(Maniobras!$K$5:$K$504,MATCH(A101,Maniobras!$A$5:$A$504,0)),""))</f>
        <v/>
      </c>
      <c r="G101" s="37" t="n"/>
      <c r="H101" s="37" t="n"/>
      <c r="I101" s="37">
        <f>IF(G101="","",G101+N(H101))</f>
        <v/>
      </c>
      <c r="J101" s="36" t="n"/>
      <c r="K101" s="40" t="n"/>
      <c r="L101" s="36" t="n"/>
      <c r="M101">
        <f>IF($A101=Ficha!$B$3,COUNTIF($A$5:$A101,Ficha!$B$3),"")</f>
        <v/>
      </c>
    </row>
    <row r="102">
      <c r="A102" s="38" t="n"/>
      <c r="B102" s="41">
        <f>IF(A102="","",IFERROR(INDEX(Maniobras!$B$5:$B$504,MATCH(A102,Maniobras!$A$5:$A$504,0)),""))</f>
        <v/>
      </c>
      <c r="C102" s="38">
        <f>IF(B102="","",TEXT(B102,"yyyy-mm"))</f>
        <v/>
      </c>
      <c r="D102" s="38">
        <f>IF(A102="","",IFERROR(INDEX(Maniobras!$D$5:$D$504,MATCH(A102,Maniobras!$A$5:$A$504,0)),""))</f>
        <v/>
      </c>
      <c r="E102" s="38" t="n"/>
      <c r="F102" s="39">
        <f>IF(A102="","",IFERROR(INDEX(Maniobras!$K$5:$K$504,MATCH(A102,Maniobras!$A$5:$A$504,0)),""))</f>
        <v/>
      </c>
      <c r="G102" s="39" t="n"/>
      <c r="H102" s="39" t="n"/>
      <c r="I102" s="39">
        <f>IF(G102="","",G102+N(H102))</f>
        <v/>
      </c>
      <c r="J102" s="38" t="n"/>
      <c r="K102" s="41" t="n"/>
      <c r="L102" s="38" t="n"/>
      <c r="M102">
        <f>IF($A102=Ficha!$B$3,COUNTIF($A$5:$A102,Ficha!$B$3),"")</f>
        <v/>
      </c>
    </row>
    <row r="103">
      <c r="A103" s="36" t="n"/>
      <c r="B103" s="40">
        <f>IF(A103="","",IFERROR(INDEX(Maniobras!$B$5:$B$504,MATCH(A103,Maniobras!$A$5:$A$504,0)),""))</f>
        <v/>
      </c>
      <c r="C103" s="36">
        <f>IF(B103="","",TEXT(B103,"yyyy-mm"))</f>
        <v/>
      </c>
      <c r="D103" s="36">
        <f>IF(A103="","",IFERROR(INDEX(Maniobras!$D$5:$D$504,MATCH(A103,Maniobras!$A$5:$A$504,0)),""))</f>
        <v/>
      </c>
      <c r="E103" s="36" t="n"/>
      <c r="F103" s="37">
        <f>IF(A103="","",IFERROR(INDEX(Maniobras!$K$5:$K$504,MATCH(A103,Maniobras!$A$5:$A$504,0)),""))</f>
        <v/>
      </c>
      <c r="G103" s="37" t="n"/>
      <c r="H103" s="37" t="n"/>
      <c r="I103" s="37">
        <f>IF(G103="","",G103+N(H103))</f>
        <v/>
      </c>
      <c r="J103" s="36" t="n"/>
      <c r="K103" s="40" t="n"/>
      <c r="L103" s="36" t="n"/>
      <c r="M103">
        <f>IF($A103=Ficha!$B$3,COUNTIF($A$5:$A103,Ficha!$B$3),"")</f>
        <v/>
      </c>
    </row>
    <row r="104">
      <c r="A104" s="38" t="n"/>
      <c r="B104" s="41">
        <f>IF(A104="","",IFERROR(INDEX(Maniobras!$B$5:$B$504,MATCH(A104,Maniobras!$A$5:$A$504,0)),""))</f>
        <v/>
      </c>
      <c r="C104" s="38">
        <f>IF(B104="","",TEXT(B104,"yyyy-mm"))</f>
        <v/>
      </c>
      <c r="D104" s="38">
        <f>IF(A104="","",IFERROR(INDEX(Maniobras!$D$5:$D$504,MATCH(A104,Maniobras!$A$5:$A$504,0)),""))</f>
        <v/>
      </c>
      <c r="E104" s="38" t="n"/>
      <c r="F104" s="39">
        <f>IF(A104="","",IFERROR(INDEX(Maniobras!$K$5:$K$504,MATCH(A104,Maniobras!$A$5:$A$504,0)),""))</f>
        <v/>
      </c>
      <c r="G104" s="39" t="n"/>
      <c r="H104" s="39" t="n"/>
      <c r="I104" s="39">
        <f>IF(G104="","",G104+N(H104))</f>
        <v/>
      </c>
      <c r="J104" s="38" t="n"/>
      <c r="K104" s="41" t="n"/>
      <c r="L104" s="38" t="n"/>
      <c r="M104">
        <f>IF($A104=Ficha!$B$3,COUNTIF($A$5:$A104,Ficha!$B$3),"")</f>
        <v/>
      </c>
    </row>
    <row r="105">
      <c r="A105" s="36" t="n"/>
      <c r="B105" s="40">
        <f>IF(A105="","",IFERROR(INDEX(Maniobras!$B$5:$B$504,MATCH(A105,Maniobras!$A$5:$A$504,0)),""))</f>
        <v/>
      </c>
      <c r="C105" s="36">
        <f>IF(B105="","",TEXT(B105,"yyyy-mm"))</f>
        <v/>
      </c>
      <c r="D105" s="36">
        <f>IF(A105="","",IFERROR(INDEX(Maniobras!$D$5:$D$504,MATCH(A105,Maniobras!$A$5:$A$504,0)),""))</f>
        <v/>
      </c>
      <c r="E105" s="36" t="n"/>
      <c r="F105" s="37">
        <f>IF(A105="","",IFERROR(INDEX(Maniobras!$K$5:$K$504,MATCH(A105,Maniobras!$A$5:$A$504,0)),""))</f>
        <v/>
      </c>
      <c r="G105" s="37" t="n"/>
      <c r="H105" s="37" t="n"/>
      <c r="I105" s="37">
        <f>IF(G105="","",G105+N(H105))</f>
        <v/>
      </c>
      <c r="J105" s="36" t="n"/>
      <c r="K105" s="40" t="n"/>
      <c r="L105" s="36" t="n"/>
      <c r="M105">
        <f>IF($A105=Ficha!$B$3,COUNTIF($A$5:$A105,Ficha!$B$3),"")</f>
        <v/>
      </c>
    </row>
    <row r="106">
      <c r="A106" s="38" t="n"/>
      <c r="B106" s="41">
        <f>IF(A106="","",IFERROR(INDEX(Maniobras!$B$5:$B$504,MATCH(A106,Maniobras!$A$5:$A$504,0)),""))</f>
        <v/>
      </c>
      <c r="C106" s="38">
        <f>IF(B106="","",TEXT(B106,"yyyy-mm"))</f>
        <v/>
      </c>
      <c r="D106" s="38">
        <f>IF(A106="","",IFERROR(INDEX(Maniobras!$D$5:$D$504,MATCH(A106,Maniobras!$A$5:$A$504,0)),""))</f>
        <v/>
      </c>
      <c r="E106" s="38" t="n"/>
      <c r="F106" s="39">
        <f>IF(A106="","",IFERROR(INDEX(Maniobras!$K$5:$K$504,MATCH(A106,Maniobras!$A$5:$A$504,0)),""))</f>
        <v/>
      </c>
      <c r="G106" s="39" t="n"/>
      <c r="H106" s="39" t="n"/>
      <c r="I106" s="39">
        <f>IF(G106="","",G106+N(H106))</f>
        <v/>
      </c>
      <c r="J106" s="38" t="n"/>
      <c r="K106" s="41" t="n"/>
      <c r="L106" s="38" t="n"/>
      <c r="M106">
        <f>IF($A106=Ficha!$B$3,COUNTIF($A$5:$A106,Ficha!$B$3),"")</f>
        <v/>
      </c>
    </row>
    <row r="107">
      <c r="A107" s="36" t="n"/>
      <c r="B107" s="40">
        <f>IF(A107="","",IFERROR(INDEX(Maniobras!$B$5:$B$504,MATCH(A107,Maniobras!$A$5:$A$504,0)),""))</f>
        <v/>
      </c>
      <c r="C107" s="36">
        <f>IF(B107="","",TEXT(B107,"yyyy-mm"))</f>
        <v/>
      </c>
      <c r="D107" s="36">
        <f>IF(A107="","",IFERROR(INDEX(Maniobras!$D$5:$D$504,MATCH(A107,Maniobras!$A$5:$A$504,0)),""))</f>
        <v/>
      </c>
      <c r="E107" s="36" t="n"/>
      <c r="F107" s="37">
        <f>IF(A107="","",IFERROR(INDEX(Maniobras!$K$5:$K$504,MATCH(A107,Maniobras!$A$5:$A$504,0)),""))</f>
        <v/>
      </c>
      <c r="G107" s="37" t="n"/>
      <c r="H107" s="37" t="n"/>
      <c r="I107" s="37">
        <f>IF(G107="","",G107+N(H107))</f>
        <v/>
      </c>
      <c r="J107" s="36" t="n"/>
      <c r="K107" s="40" t="n"/>
      <c r="L107" s="36" t="n"/>
      <c r="M107">
        <f>IF($A107=Ficha!$B$3,COUNTIF($A$5:$A107,Ficha!$B$3),"")</f>
        <v/>
      </c>
    </row>
    <row r="108">
      <c r="A108" s="38" t="n"/>
      <c r="B108" s="41">
        <f>IF(A108="","",IFERROR(INDEX(Maniobras!$B$5:$B$504,MATCH(A108,Maniobras!$A$5:$A$504,0)),""))</f>
        <v/>
      </c>
      <c r="C108" s="38">
        <f>IF(B108="","",TEXT(B108,"yyyy-mm"))</f>
        <v/>
      </c>
      <c r="D108" s="38">
        <f>IF(A108="","",IFERROR(INDEX(Maniobras!$D$5:$D$504,MATCH(A108,Maniobras!$A$5:$A$504,0)),""))</f>
        <v/>
      </c>
      <c r="E108" s="38" t="n"/>
      <c r="F108" s="39">
        <f>IF(A108="","",IFERROR(INDEX(Maniobras!$K$5:$K$504,MATCH(A108,Maniobras!$A$5:$A$504,0)),""))</f>
        <v/>
      </c>
      <c r="G108" s="39" t="n"/>
      <c r="H108" s="39" t="n"/>
      <c r="I108" s="39">
        <f>IF(G108="","",G108+N(H108))</f>
        <v/>
      </c>
      <c r="J108" s="38" t="n"/>
      <c r="K108" s="41" t="n"/>
      <c r="L108" s="38" t="n"/>
      <c r="M108">
        <f>IF($A108=Ficha!$B$3,COUNTIF($A$5:$A108,Ficha!$B$3),"")</f>
        <v/>
      </c>
    </row>
    <row r="109">
      <c r="A109" s="36" t="n"/>
      <c r="B109" s="40">
        <f>IF(A109="","",IFERROR(INDEX(Maniobras!$B$5:$B$504,MATCH(A109,Maniobras!$A$5:$A$504,0)),""))</f>
        <v/>
      </c>
      <c r="C109" s="36">
        <f>IF(B109="","",TEXT(B109,"yyyy-mm"))</f>
        <v/>
      </c>
      <c r="D109" s="36">
        <f>IF(A109="","",IFERROR(INDEX(Maniobras!$D$5:$D$504,MATCH(A109,Maniobras!$A$5:$A$504,0)),""))</f>
        <v/>
      </c>
      <c r="E109" s="36" t="n"/>
      <c r="F109" s="37">
        <f>IF(A109="","",IFERROR(INDEX(Maniobras!$K$5:$K$504,MATCH(A109,Maniobras!$A$5:$A$504,0)),""))</f>
        <v/>
      </c>
      <c r="G109" s="37" t="n"/>
      <c r="H109" s="37" t="n"/>
      <c r="I109" s="37">
        <f>IF(G109="","",G109+N(H109))</f>
        <v/>
      </c>
      <c r="J109" s="36" t="n"/>
      <c r="K109" s="40" t="n"/>
      <c r="L109" s="36" t="n"/>
      <c r="M109">
        <f>IF($A109=Ficha!$B$3,COUNTIF($A$5:$A109,Ficha!$B$3),"")</f>
        <v/>
      </c>
    </row>
    <row r="110">
      <c r="A110" s="38" t="n"/>
      <c r="B110" s="41">
        <f>IF(A110="","",IFERROR(INDEX(Maniobras!$B$5:$B$504,MATCH(A110,Maniobras!$A$5:$A$504,0)),""))</f>
        <v/>
      </c>
      <c r="C110" s="38">
        <f>IF(B110="","",TEXT(B110,"yyyy-mm"))</f>
        <v/>
      </c>
      <c r="D110" s="38">
        <f>IF(A110="","",IFERROR(INDEX(Maniobras!$D$5:$D$504,MATCH(A110,Maniobras!$A$5:$A$504,0)),""))</f>
        <v/>
      </c>
      <c r="E110" s="38" t="n"/>
      <c r="F110" s="39">
        <f>IF(A110="","",IFERROR(INDEX(Maniobras!$K$5:$K$504,MATCH(A110,Maniobras!$A$5:$A$504,0)),""))</f>
        <v/>
      </c>
      <c r="G110" s="39" t="n"/>
      <c r="H110" s="39" t="n"/>
      <c r="I110" s="39">
        <f>IF(G110="","",G110+N(H110))</f>
        <v/>
      </c>
      <c r="J110" s="38" t="n"/>
      <c r="K110" s="41" t="n"/>
      <c r="L110" s="38" t="n"/>
      <c r="M110">
        <f>IF($A110=Ficha!$B$3,COUNTIF($A$5:$A110,Ficha!$B$3),"")</f>
        <v/>
      </c>
    </row>
    <row r="111">
      <c r="A111" s="36" t="n"/>
      <c r="B111" s="40">
        <f>IF(A111="","",IFERROR(INDEX(Maniobras!$B$5:$B$504,MATCH(A111,Maniobras!$A$5:$A$504,0)),""))</f>
        <v/>
      </c>
      <c r="C111" s="36">
        <f>IF(B111="","",TEXT(B111,"yyyy-mm"))</f>
        <v/>
      </c>
      <c r="D111" s="36">
        <f>IF(A111="","",IFERROR(INDEX(Maniobras!$D$5:$D$504,MATCH(A111,Maniobras!$A$5:$A$504,0)),""))</f>
        <v/>
      </c>
      <c r="E111" s="36" t="n"/>
      <c r="F111" s="37">
        <f>IF(A111="","",IFERROR(INDEX(Maniobras!$K$5:$K$504,MATCH(A111,Maniobras!$A$5:$A$504,0)),""))</f>
        <v/>
      </c>
      <c r="G111" s="37" t="n"/>
      <c r="H111" s="37" t="n"/>
      <c r="I111" s="37">
        <f>IF(G111="","",G111+N(H111))</f>
        <v/>
      </c>
      <c r="J111" s="36" t="n"/>
      <c r="K111" s="40" t="n"/>
      <c r="L111" s="36" t="n"/>
      <c r="M111">
        <f>IF($A111=Ficha!$B$3,COUNTIF($A$5:$A111,Ficha!$B$3),"")</f>
        <v/>
      </c>
    </row>
    <row r="112">
      <c r="A112" s="38" t="n"/>
      <c r="B112" s="41">
        <f>IF(A112="","",IFERROR(INDEX(Maniobras!$B$5:$B$504,MATCH(A112,Maniobras!$A$5:$A$504,0)),""))</f>
        <v/>
      </c>
      <c r="C112" s="38">
        <f>IF(B112="","",TEXT(B112,"yyyy-mm"))</f>
        <v/>
      </c>
      <c r="D112" s="38">
        <f>IF(A112="","",IFERROR(INDEX(Maniobras!$D$5:$D$504,MATCH(A112,Maniobras!$A$5:$A$504,0)),""))</f>
        <v/>
      </c>
      <c r="E112" s="38" t="n"/>
      <c r="F112" s="39">
        <f>IF(A112="","",IFERROR(INDEX(Maniobras!$K$5:$K$504,MATCH(A112,Maniobras!$A$5:$A$504,0)),""))</f>
        <v/>
      </c>
      <c r="G112" s="39" t="n"/>
      <c r="H112" s="39" t="n"/>
      <c r="I112" s="39">
        <f>IF(G112="","",G112+N(H112))</f>
        <v/>
      </c>
      <c r="J112" s="38" t="n"/>
      <c r="K112" s="41" t="n"/>
      <c r="L112" s="38" t="n"/>
      <c r="M112">
        <f>IF($A112=Ficha!$B$3,COUNTIF($A$5:$A112,Ficha!$B$3),"")</f>
        <v/>
      </c>
    </row>
    <row r="113">
      <c r="A113" s="36" t="n"/>
      <c r="B113" s="40">
        <f>IF(A113="","",IFERROR(INDEX(Maniobras!$B$5:$B$504,MATCH(A113,Maniobras!$A$5:$A$504,0)),""))</f>
        <v/>
      </c>
      <c r="C113" s="36">
        <f>IF(B113="","",TEXT(B113,"yyyy-mm"))</f>
        <v/>
      </c>
      <c r="D113" s="36">
        <f>IF(A113="","",IFERROR(INDEX(Maniobras!$D$5:$D$504,MATCH(A113,Maniobras!$A$5:$A$504,0)),""))</f>
        <v/>
      </c>
      <c r="E113" s="36" t="n"/>
      <c r="F113" s="37">
        <f>IF(A113="","",IFERROR(INDEX(Maniobras!$K$5:$K$504,MATCH(A113,Maniobras!$A$5:$A$504,0)),""))</f>
        <v/>
      </c>
      <c r="G113" s="37" t="n"/>
      <c r="H113" s="37" t="n"/>
      <c r="I113" s="37">
        <f>IF(G113="","",G113+N(H113))</f>
        <v/>
      </c>
      <c r="J113" s="36" t="n"/>
      <c r="K113" s="40" t="n"/>
      <c r="L113" s="36" t="n"/>
      <c r="M113">
        <f>IF($A113=Ficha!$B$3,COUNTIF($A$5:$A113,Ficha!$B$3),"")</f>
        <v/>
      </c>
    </row>
    <row r="114">
      <c r="A114" s="38" t="n"/>
      <c r="B114" s="41">
        <f>IF(A114="","",IFERROR(INDEX(Maniobras!$B$5:$B$504,MATCH(A114,Maniobras!$A$5:$A$504,0)),""))</f>
        <v/>
      </c>
      <c r="C114" s="38">
        <f>IF(B114="","",TEXT(B114,"yyyy-mm"))</f>
        <v/>
      </c>
      <c r="D114" s="38">
        <f>IF(A114="","",IFERROR(INDEX(Maniobras!$D$5:$D$504,MATCH(A114,Maniobras!$A$5:$A$504,0)),""))</f>
        <v/>
      </c>
      <c r="E114" s="38" t="n"/>
      <c r="F114" s="39">
        <f>IF(A114="","",IFERROR(INDEX(Maniobras!$K$5:$K$504,MATCH(A114,Maniobras!$A$5:$A$504,0)),""))</f>
        <v/>
      </c>
      <c r="G114" s="39" t="n"/>
      <c r="H114" s="39" t="n"/>
      <c r="I114" s="39">
        <f>IF(G114="","",G114+N(H114))</f>
        <v/>
      </c>
      <c r="J114" s="38" t="n"/>
      <c r="K114" s="41" t="n"/>
      <c r="L114" s="38" t="n"/>
      <c r="M114">
        <f>IF($A114=Ficha!$B$3,COUNTIF($A$5:$A114,Ficha!$B$3),"")</f>
        <v/>
      </c>
    </row>
    <row r="115">
      <c r="A115" s="36" t="n"/>
      <c r="B115" s="40">
        <f>IF(A115="","",IFERROR(INDEX(Maniobras!$B$5:$B$504,MATCH(A115,Maniobras!$A$5:$A$504,0)),""))</f>
        <v/>
      </c>
      <c r="C115" s="36">
        <f>IF(B115="","",TEXT(B115,"yyyy-mm"))</f>
        <v/>
      </c>
      <c r="D115" s="36">
        <f>IF(A115="","",IFERROR(INDEX(Maniobras!$D$5:$D$504,MATCH(A115,Maniobras!$A$5:$A$504,0)),""))</f>
        <v/>
      </c>
      <c r="E115" s="36" t="n"/>
      <c r="F115" s="37">
        <f>IF(A115="","",IFERROR(INDEX(Maniobras!$K$5:$K$504,MATCH(A115,Maniobras!$A$5:$A$504,0)),""))</f>
        <v/>
      </c>
      <c r="G115" s="37" t="n"/>
      <c r="H115" s="37" t="n"/>
      <c r="I115" s="37">
        <f>IF(G115="","",G115+N(H115))</f>
        <v/>
      </c>
      <c r="J115" s="36" t="n"/>
      <c r="K115" s="40" t="n"/>
      <c r="L115" s="36" t="n"/>
      <c r="M115">
        <f>IF($A115=Ficha!$B$3,COUNTIF($A$5:$A115,Ficha!$B$3),"")</f>
        <v/>
      </c>
    </row>
    <row r="116">
      <c r="A116" s="38" t="n"/>
      <c r="B116" s="41">
        <f>IF(A116="","",IFERROR(INDEX(Maniobras!$B$5:$B$504,MATCH(A116,Maniobras!$A$5:$A$504,0)),""))</f>
        <v/>
      </c>
      <c r="C116" s="38">
        <f>IF(B116="","",TEXT(B116,"yyyy-mm"))</f>
        <v/>
      </c>
      <c r="D116" s="38">
        <f>IF(A116="","",IFERROR(INDEX(Maniobras!$D$5:$D$504,MATCH(A116,Maniobras!$A$5:$A$504,0)),""))</f>
        <v/>
      </c>
      <c r="E116" s="38" t="n"/>
      <c r="F116" s="39">
        <f>IF(A116="","",IFERROR(INDEX(Maniobras!$K$5:$K$504,MATCH(A116,Maniobras!$A$5:$A$504,0)),""))</f>
        <v/>
      </c>
      <c r="G116" s="39" t="n"/>
      <c r="H116" s="39" t="n"/>
      <c r="I116" s="39">
        <f>IF(G116="","",G116+N(H116))</f>
        <v/>
      </c>
      <c r="J116" s="38" t="n"/>
      <c r="K116" s="41" t="n"/>
      <c r="L116" s="38" t="n"/>
      <c r="M116">
        <f>IF($A116=Ficha!$B$3,COUNTIF($A$5:$A116,Ficha!$B$3),"")</f>
        <v/>
      </c>
    </row>
    <row r="117">
      <c r="A117" s="36" t="n"/>
      <c r="B117" s="40">
        <f>IF(A117="","",IFERROR(INDEX(Maniobras!$B$5:$B$504,MATCH(A117,Maniobras!$A$5:$A$504,0)),""))</f>
        <v/>
      </c>
      <c r="C117" s="36">
        <f>IF(B117="","",TEXT(B117,"yyyy-mm"))</f>
        <v/>
      </c>
      <c r="D117" s="36">
        <f>IF(A117="","",IFERROR(INDEX(Maniobras!$D$5:$D$504,MATCH(A117,Maniobras!$A$5:$A$504,0)),""))</f>
        <v/>
      </c>
      <c r="E117" s="36" t="n"/>
      <c r="F117" s="37">
        <f>IF(A117="","",IFERROR(INDEX(Maniobras!$K$5:$K$504,MATCH(A117,Maniobras!$A$5:$A$504,0)),""))</f>
        <v/>
      </c>
      <c r="G117" s="37" t="n"/>
      <c r="H117" s="37" t="n"/>
      <c r="I117" s="37">
        <f>IF(G117="","",G117+N(H117))</f>
        <v/>
      </c>
      <c r="J117" s="36" t="n"/>
      <c r="K117" s="40" t="n"/>
      <c r="L117" s="36" t="n"/>
      <c r="M117">
        <f>IF($A117=Ficha!$B$3,COUNTIF($A$5:$A117,Ficha!$B$3),"")</f>
        <v/>
      </c>
    </row>
    <row r="118">
      <c r="A118" s="38" t="n"/>
      <c r="B118" s="41">
        <f>IF(A118="","",IFERROR(INDEX(Maniobras!$B$5:$B$504,MATCH(A118,Maniobras!$A$5:$A$504,0)),""))</f>
        <v/>
      </c>
      <c r="C118" s="38">
        <f>IF(B118="","",TEXT(B118,"yyyy-mm"))</f>
        <v/>
      </c>
      <c r="D118" s="38">
        <f>IF(A118="","",IFERROR(INDEX(Maniobras!$D$5:$D$504,MATCH(A118,Maniobras!$A$5:$A$504,0)),""))</f>
        <v/>
      </c>
      <c r="E118" s="38" t="n"/>
      <c r="F118" s="39">
        <f>IF(A118="","",IFERROR(INDEX(Maniobras!$K$5:$K$504,MATCH(A118,Maniobras!$A$5:$A$504,0)),""))</f>
        <v/>
      </c>
      <c r="G118" s="39" t="n"/>
      <c r="H118" s="39" t="n"/>
      <c r="I118" s="39">
        <f>IF(G118="","",G118+N(H118))</f>
        <v/>
      </c>
      <c r="J118" s="38" t="n"/>
      <c r="K118" s="41" t="n"/>
      <c r="L118" s="38" t="n"/>
      <c r="M118">
        <f>IF($A118=Ficha!$B$3,COUNTIF($A$5:$A118,Ficha!$B$3),"")</f>
        <v/>
      </c>
    </row>
    <row r="119">
      <c r="A119" s="36" t="n"/>
      <c r="B119" s="40">
        <f>IF(A119="","",IFERROR(INDEX(Maniobras!$B$5:$B$504,MATCH(A119,Maniobras!$A$5:$A$504,0)),""))</f>
        <v/>
      </c>
      <c r="C119" s="36">
        <f>IF(B119="","",TEXT(B119,"yyyy-mm"))</f>
        <v/>
      </c>
      <c r="D119" s="36">
        <f>IF(A119="","",IFERROR(INDEX(Maniobras!$D$5:$D$504,MATCH(A119,Maniobras!$A$5:$A$504,0)),""))</f>
        <v/>
      </c>
      <c r="E119" s="36" t="n"/>
      <c r="F119" s="37">
        <f>IF(A119="","",IFERROR(INDEX(Maniobras!$K$5:$K$504,MATCH(A119,Maniobras!$A$5:$A$504,0)),""))</f>
        <v/>
      </c>
      <c r="G119" s="37" t="n"/>
      <c r="H119" s="37" t="n"/>
      <c r="I119" s="37">
        <f>IF(G119="","",G119+N(H119))</f>
        <v/>
      </c>
      <c r="J119" s="36" t="n"/>
      <c r="K119" s="40" t="n"/>
      <c r="L119" s="36" t="n"/>
      <c r="M119">
        <f>IF($A119=Ficha!$B$3,COUNTIF($A$5:$A119,Ficha!$B$3),"")</f>
        <v/>
      </c>
    </row>
    <row r="120">
      <c r="A120" s="38" t="n"/>
      <c r="B120" s="41">
        <f>IF(A120="","",IFERROR(INDEX(Maniobras!$B$5:$B$504,MATCH(A120,Maniobras!$A$5:$A$504,0)),""))</f>
        <v/>
      </c>
      <c r="C120" s="38">
        <f>IF(B120="","",TEXT(B120,"yyyy-mm"))</f>
        <v/>
      </c>
      <c r="D120" s="38">
        <f>IF(A120="","",IFERROR(INDEX(Maniobras!$D$5:$D$504,MATCH(A120,Maniobras!$A$5:$A$504,0)),""))</f>
        <v/>
      </c>
      <c r="E120" s="38" t="n"/>
      <c r="F120" s="39">
        <f>IF(A120="","",IFERROR(INDEX(Maniobras!$K$5:$K$504,MATCH(A120,Maniobras!$A$5:$A$504,0)),""))</f>
        <v/>
      </c>
      <c r="G120" s="39" t="n"/>
      <c r="H120" s="39" t="n"/>
      <c r="I120" s="39">
        <f>IF(G120="","",G120+N(H120))</f>
        <v/>
      </c>
      <c r="J120" s="38" t="n"/>
      <c r="K120" s="41" t="n"/>
      <c r="L120" s="38" t="n"/>
      <c r="M120">
        <f>IF($A120=Ficha!$B$3,COUNTIF($A$5:$A120,Ficha!$B$3),"")</f>
        <v/>
      </c>
    </row>
    <row r="121">
      <c r="A121" s="36" t="n"/>
      <c r="B121" s="40">
        <f>IF(A121="","",IFERROR(INDEX(Maniobras!$B$5:$B$504,MATCH(A121,Maniobras!$A$5:$A$504,0)),""))</f>
        <v/>
      </c>
      <c r="C121" s="36">
        <f>IF(B121="","",TEXT(B121,"yyyy-mm"))</f>
        <v/>
      </c>
      <c r="D121" s="36">
        <f>IF(A121="","",IFERROR(INDEX(Maniobras!$D$5:$D$504,MATCH(A121,Maniobras!$A$5:$A$504,0)),""))</f>
        <v/>
      </c>
      <c r="E121" s="36" t="n"/>
      <c r="F121" s="37">
        <f>IF(A121="","",IFERROR(INDEX(Maniobras!$K$5:$K$504,MATCH(A121,Maniobras!$A$5:$A$504,0)),""))</f>
        <v/>
      </c>
      <c r="G121" s="37" t="n"/>
      <c r="H121" s="37" t="n"/>
      <c r="I121" s="37">
        <f>IF(G121="","",G121+N(H121))</f>
        <v/>
      </c>
      <c r="J121" s="36" t="n"/>
      <c r="K121" s="40" t="n"/>
      <c r="L121" s="36" t="n"/>
      <c r="M121">
        <f>IF($A121=Ficha!$B$3,COUNTIF($A$5:$A121,Ficha!$B$3),"")</f>
        <v/>
      </c>
    </row>
    <row r="122">
      <c r="A122" s="38" t="n"/>
      <c r="B122" s="41">
        <f>IF(A122="","",IFERROR(INDEX(Maniobras!$B$5:$B$504,MATCH(A122,Maniobras!$A$5:$A$504,0)),""))</f>
        <v/>
      </c>
      <c r="C122" s="38">
        <f>IF(B122="","",TEXT(B122,"yyyy-mm"))</f>
        <v/>
      </c>
      <c r="D122" s="38">
        <f>IF(A122="","",IFERROR(INDEX(Maniobras!$D$5:$D$504,MATCH(A122,Maniobras!$A$5:$A$504,0)),""))</f>
        <v/>
      </c>
      <c r="E122" s="38" t="n"/>
      <c r="F122" s="39">
        <f>IF(A122="","",IFERROR(INDEX(Maniobras!$K$5:$K$504,MATCH(A122,Maniobras!$A$5:$A$504,0)),""))</f>
        <v/>
      </c>
      <c r="G122" s="39" t="n"/>
      <c r="H122" s="39" t="n"/>
      <c r="I122" s="39">
        <f>IF(G122="","",G122+N(H122))</f>
        <v/>
      </c>
      <c r="J122" s="38" t="n"/>
      <c r="K122" s="41" t="n"/>
      <c r="L122" s="38" t="n"/>
      <c r="M122">
        <f>IF($A122=Ficha!$B$3,COUNTIF($A$5:$A122,Ficha!$B$3),"")</f>
        <v/>
      </c>
    </row>
    <row r="123">
      <c r="A123" s="36" t="n"/>
      <c r="B123" s="40">
        <f>IF(A123="","",IFERROR(INDEX(Maniobras!$B$5:$B$504,MATCH(A123,Maniobras!$A$5:$A$504,0)),""))</f>
        <v/>
      </c>
      <c r="C123" s="36">
        <f>IF(B123="","",TEXT(B123,"yyyy-mm"))</f>
        <v/>
      </c>
      <c r="D123" s="36">
        <f>IF(A123="","",IFERROR(INDEX(Maniobras!$D$5:$D$504,MATCH(A123,Maniobras!$A$5:$A$504,0)),""))</f>
        <v/>
      </c>
      <c r="E123" s="36" t="n"/>
      <c r="F123" s="37">
        <f>IF(A123="","",IFERROR(INDEX(Maniobras!$K$5:$K$504,MATCH(A123,Maniobras!$A$5:$A$504,0)),""))</f>
        <v/>
      </c>
      <c r="G123" s="37" t="n"/>
      <c r="H123" s="37" t="n"/>
      <c r="I123" s="37">
        <f>IF(G123="","",G123+N(H123))</f>
        <v/>
      </c>
      <c r="J123" s="36" t="n"/>
      <c r="K123" s="40" t="n"/>
      <c r="L123" s="36" t="n"/>
      <c r="M123">
        <f>IF($A123=Ficha!$B$3,COUNTIF($A$5:$A123,Ficha!$B$3),"")</f>
        <v/>
      </c>
    </row>
    <row r="124">
      <c r="A124" s="38" t="n"/>
      <c r="B124" s="41">
        <f>IF(A124="","",IFERROR(INDEX(Maniobras!$B$5:$B$504,MATCH(A124,Maniobras!$A$5:$A$504,0)),""))</f>
        <v/>
      </c>
      <c r="C124" s="38">
        <f>IF(B124="","",TEXT(B124,"yyyy-mm"))</f>
        <v/>
      </c>
      <c r="D124" s="38">
        <f>IF(A124="","",IFERROR(INDEX(Maniobras!$D$5:$D$504,MATCH(A124,Maniobras!$A$5:$A$504,0)),""))</f>
        <v/>
      </c>
      <c r="E124" s="38" t="n"/>
      <c r="F124" s="39">
        <f>IF(A124="","",IFERROR(INDEX(Maniobras!$K$5:$K$504,MATCH(A124,Maniobras!$A$5:$A$504,0)),""))</f>
        <v/>
      </c>
      <c r="G124" s="39" t="n"/>
      <c r="H124" s="39" t="n"/>
      <c r="I124" s="39">
        <f>IF(G124="","",G124+N(H124))</f>
        <v/>
      </c>
      <c r="J124" s="38" t="n"/>
      <c r="K124" s="41" t="n"/>
      <c r="L124" s="38" t="n"/>
      <c r="M124">
        <f>IF($A124=Ficha!$B$3,COUNTIF($A$5:$A124,Ficha!$B$3),"")</f>
        <v/>
      </c>
    </row>
    <row r="125">
      <c r="A125" s="36" t="n"/>
      <c r="B125" s="40">
        <f>IF(A125="","",IFERROR(INDEX(Maniobras!$B$5:$B$504,MATCH(A125,Maniobras!$A$5:$A$504,0)),""))</f>
        <v/>
      </c>
      <c r="C125" s="36">
        <f>IF(B125="","",TEXT(B125,"yyyy-mm"))</f>
        <v/>
      </c>
      <c r="D125" s="36">
        <f>IF(A125="","",IFERROR(INDEX(Maniobras!$D$5:$D$504,MATCH(A125,Maniobras!$A$5:$A$504,0)),""))</f>
        <v/>
      </c>
      <c r="E125" s="36" t="n"/>
      <c r="F125" s="37">
        <f>IF(A125="","",IFERROR(INDEX(Maniobras!$K$5:$K$504,MATCH(A125,Maniobras!$A$5:$A$504,0)),""))</f>
        <v/>
      </c>
      <c r="G125" s="37" t="n"/>
      <c r="H125" s="37" t="n"/>
      <c r="I125" s="37">
        <f>IF(G125="","",G125+N(H125))</f>
        <v/>
      </c>
      <c r="J125" s="36" t="n"/>
      <c r="K125" s="40" t="n"/>
      <c r="L125" s="36" t="n"/>
      <c r="M125">
        <f>IF($A125=Ficha!$B$3,COUNTIF($A$5:$A125,Ficha!$B$3),"")</f>
        <v/>
      </c>
    </row>
    <row r="126">
      <c r="A126" s="38" t="n"/>
      <c r="B126" s="41">
        <f>IF(A126="","",IFERROR(INDEX(Maniobras!$B$5:$B$504,MATCH(A126,Maniobras!$A$5:$A$504,0)),""))</f>
        <v/>
      </c>
      <c r="C126" s="38">
        <f>IF(B126="","",TEXT(B126,"yyyy-mm"))</f>
        <v/>
      </c>
      <c r="D126" s="38">
        <f>IF(A126="","",IFERROR(INDEX(Maniobras!$D$5:$D$504,MATCH(A126,Maniobras!$A$5:$A$504,0)),""))</f>
        <v/>
      </c>
      <c r="E126" s="38" t="n"/>
      <c r="F126" s="39">
        <f>IF(A126="","",IFERROR(INDEX(Maniobras!$K$5:$K$504,MATCH(A126,Maniobras!$A$5:$A$504,0)),""))</f>
        <v/>
      </c>
      <c r="G126" s="39" t="n"/>
      <c r="H126" s="39" t="n"/>
      <c r="I126" s="39">
        <f>IF(G126="","",G126+N(H126))</f>
        <v/>
      </c>
      <c r="J126" s="38" t="n"/>
      <c r="K126" s="41" t="n"/>
      <c r="L126" s="38" t="n"/>
      <c r="M126">
        <f>IF($A126=Ficha!$B$3,COUNTIF($A$5:$A126,Ficha!$B$3),"")</f>
        <v/>
      </c>
    </row>
    <row r="127">
      <c r="A127" s="36" t="n"/>
      <c r="B127" s="40">
        <f>IF(A127="","",IFERROR(INDEX(Maniobras!$B$5:$B$504,MATCH(A127,Maniobras!$A$5:$A$504,0)),""))</f>
        <v/>
      </c>
      <c r="C127" s="36">
        <f>IF(B127="","",TEXT(B127,"yyyy-mm"))</f>
        <v/>
      </c>
      <c r="D127" s="36">
        <f>IF(A127="","",IFERROR(INDEX(Maniobras!$D$5:$D$504,MATCH(A127,Maniobras!$A$5:$A$504,0)),""))</f>
        <v/>
      </c>
      <c r="E127" s="36" t="n"/>
      <c r="F127" s="37">
        <f>IF(A127="","",IFERROR(INDEX(Maniobras!$K$5:$K$504,MATCH(A127,Maniobras!$A$5:$A$504,0)),""))</f>
        <v/>
      </c>
      <c r="G127" s="37" t="n"/>
      <c r="H127" s="37" t="n"/>
      <c r="I127" s="37">
        <f>IF(G127="","",G127+N(H127))</f>
        <v/>
      </c>
      <c r="J127" s="36" t="n"/>
      <c r="K127" s="40" t="n"/>
      <c r="L127" s="36" t="n"/>
      <c r="M127">
        <f>IF($A127=Ficha!$B$3,COUNTIF($A$5:$A127,Ficha!$B$3),"")</f>
        <v/>
      </c>
    </row>
    <row r="128">
      <c r="A128" s="38" t="n"/>
      <c r="B128" s="41">
        <f>IF(A128="","",IFERROR(INDEX(Maniobras!$B$5:$B$504,MATCH(A128,Maniobras!$A$5:$A$504,0)),""))</f>
        <v/>
      </c>
      <c r="C128" s="38">
        <f>IF(B128="","",TEXT(B128,"yyyy-mm"))</f>
        <v/>
      </c>
      <c r="D128" s="38">
        <f>IF(A128="","",IFERROR(INDEX(Maniobras!$D$5:$D$504,MATCH(A128,Maniobras!$A$5:$A$504,0)),""))</f>
        <v/>
      </c>
      <c r="E128" s="38" t="n"/>
      <c r="F128" s="39">
        <f>IF(A128="","",IFERROR(INDEX(Maniobras!$K$5:$K$504,MATCH(A128,Maniobras!$A$5:$A$504,0)),""))</f>
        <v/>
      </c>
      <c r="G128" s="39" t="n"/>
      <c r="H128" s="39" t="n"/>
      <c r="I128" s="39">
        <f>IF(G128="","",G128+N(H128))</f>
        <v/>
      </c>
      <c r="J128" s="38" t="n"/>
      <c r="K128" s="41" t="n"/>
      <c r="L128" s="38" t="n"/>
      <c r="M128">
        <f>IF($A128=Ficha!$B$3,COUNTIF($A$5:$A128,Ficha!$B$3),"")</f>
        <v/>
      </c>
    </row>
    <row r="129">
      <c r="A129" s="36" t="n"/>
      <c r="B129" s="40">
        <f>IF(A129="","",IFERROR(INDEX(Maniobras!$B$5:$B$504,MATCH(A129,Maniobras!$A$5:$A$504,0)),""))</f>
        <v/>
      </c>
      <c r="C129" s="36">
        <f>IF(B129="","",TEXT(B129,"yyyy-mm"))</f>
        <v/>
      </c>
      <c r="D129" s="36">
        <f>IF(A129="","",IFERROR(INDEX(Maniobras!$D$5:$D$504,MATCH(A129,Maniobras!$A$5:$A$504,0)),""))</f>
        <v/>
      </c>
      <c r="E129" s="36" t="n"/>
      <c r="F129" s="37">
        <f>IF(A129="","",IFERROR(INDEX(Maniobras!$K$5:$K$504,MATCH(A129,Maniobras!$A$5:$A$504,0)),""))</f>
        <v/>
      </c>
      <c r="G129" s="37" t="n"/>
      <c r="H129" s="37" t="n"/>
      <c r="I129" s="37">
        <f>IF(G129="","",G129+N(H129))</f>
        <v/>
      </c>
      <c r="J129" s="36" t="n"/>
      <c r="K129" s="40" t="n"/>
      <c r="L129" s="36" t="n"/>
      <c r="M129">
        <f>IF($A129=Ficha!$B$3,COUNTIF($A$5:$A129,Ficha!$B$3),"")</f>
        <v/>
      </c>
    </row>
    <row r="130">
      <c r="A130" s="38" t="n"/>
      <c r="B130" s="41">
        <f>IF(A130="","",IFERROR(INDEX(Maniobras!$B$5:$B$504,MATCH(A130,Maniobras!$A$5:$A$504,0)),""))</f>
        <v/>
      </c>
      <c r="C130" s="38">
        <f>IF(B130="","",TEXT(B130,"yyyy-mm"))</f>
        <v/>
      </c>
      <c r="D130" s="38">
        <f>IF(A130="","",IFERROR(INDEX(Maniobras!$D$5:$D$504,MATCH(A130,Maniobras!$A$5:$A$504,0)),""))</f>
        <v/>
      </c>
      <c r="E130" s="38" t="n"/>
      <c r="F130" s="39">
        <f>IF(A130="","",IFERROR(INDEX(Maniobras!$K$5:$K$504,MATCH(A130,Maniobras!$A$5:$A$504,0)),""))</f>
        <v/>
      </c>
      <c r="G130" s="39" t="n"/>
      <c r="H130" s="39" t="n"/>
      <c r="I130" s="39">
        <f>IF(G130="","",G130+N(H130))</f>
        <v/>
      </c>
      <c r="J130" s="38" t="n"/>
      <c r="K130" s="41" t="n"/>
      <c r="L130" s="38" t="n"/>
      <c r="M130">
        <f>IF($A130=Ficha!$B$3,COUNTIF($A$5:$A130,Ficha!$B$3),"")</f>
        <v/>
      </c>
    </row>
    <row r="131">
      <c r="A131" s="36" t="n"/>
      <c r="B131" s="40">
        <f>IF(A131="","",IFERROR(INDEX(Maniobras!$B$5:$B$504,MATCH(A131,Maniobras!$A$5:$A$504,0)),""))</f>
        <v/>
      </c>
      <c r="C131" s="36">
        <f>IF(B131="","",TEXT(B131,"yyyy-mm"))</f>
        <v/>
      </c>
      <c r="D131" s="36">
        <f>IF(A131="","",IFERROR(INDEX(Maniobras!$D$5:$D$504,MATCH(A131,Maniobras!$A$5:$A$504,0)),""))</f>
        <v/>
      </c>
      <c r="E131" s="36" t="n"/>
      <c r="F131" s="37">
        <f>IF(A131="","",IFERROR(INDEX(Maniobras!$K$5:$K$504,MATCH(A131,Maniobras!$A$5:$A$504,0)),""))</f>
        <v/>
      </c>
      <c r="G131" s="37" t="n"/>
      <c r="H131" s="37" t="n"/>
      <c r="I131" s="37">
        <f>IF(G131="","",G131+N(H131))</f>
        <v/>
      </c>
      <c r="J131" s="36" t="n"/>
      <c r="K131" s="40" t="n"/>
      <c r="L131" s="36" t="n"/>
      <c r="M131">
        <f>IF($A131=Ficha!$B$3,COUNTIF($A$5:$A131,Ficha!$B$3),"")</f>
        <v/>
      </c>
    </row>
    <row r="132">
      <c r="A132" s="38" t="n"/>
      <c r="B132" s="41">
        <f>IF(A132="","",IFERROR(INDEX(Maniobras!$B$5:$B$504,MATCH(A132,Maniobras!$A$5:$A$504,0)),""))</f>
        <v/>
      </c>
      <c r="C132" s="38">
        <f>IF(B132="","",TEXT(B132,"yyyy-mm"))</f>
        <v/>
      </c>
      <c r="D132" s="38">
        <f>IF(A132="","",IFERROR(INDEX(Maniobras!$D$5:$D$504,MATCH(A132,Maniobras!$A$5:$A$504,0)),""))</f>
        <v/>
      </c>
      <c r="E132" s="38" t="n"/>
      <c r="F132" s="39">
        <f>IF(A132="","",IFERROR(INDEX(Maniobras!$K$5:$K$504,MATCH(A132,Maniobras!$A$5:$A$504,0)),""))</f>
        <v/>
      </c>
      <c r="G132" s="39" t="n"/>
      <c r="H132" s="39" t="n"/>
      <c r="I132" s="39">
        <f>IF(G132="","",G132+N(H132))</f>
        <v/>
      </c>
      <c r="J132" s="38" t="n"/>
      <c r="K132" s="41" t="n"/>
      <c r="L132" s="38" t="n"/>
      <c r="M132">
        <f>IF($A132=Ficha!$B$3,COUNTIF($A$5:$A132,Ficha!$B$3),"")</f>
        <v/>
      </c>
    </row>
    <row r="133">
      <c r="A133" s="36" t="n"/>
      <c r="B133" s="40">
        <f>IF(A133="","",IFERROR(INDEX(Maniobras!$B$5:$B$504,MATCH(A133,Maniobras!$A$5:$A$504,0)),""))</f>
        <v/>
      </c>
      <c r="C133" s="36">
        <f>IF(B133="","",TEXT(B133,"yyyy-mm"))</f>
        <v/>
      </c>
      <c r="D133" s="36">
        <f>IF(A133="","",IFERROR(INDEX(Maniobras!$D$5:$D$504,MATCH(A133,Maniobras!$A$5:$A$504,0)),""))</f>
        <v/>
      </c>
      <c r="E133" s="36" t="n"/>
      <c r="F133" s="37">
        <f>IF(A133="","",IFERROR(INDEX(Maniobras!$K$5:$K$504,MATCH(A133,Maniobras!$A$5:$A$504,0)),""))</f>
        <v/>
      </c>
      <c r="G133" s="37" t="n"/>
      <c r="H133" s="37" t="n"/>
      <c r="I133" s="37">
        <f>IF(G133="","",G133+N(H133))</f>
        <v/>
      </c>
      <c r="J133" s="36" t="n"/>
      <c r="K133" s="40" t="n"/>
      <c r="L133" s="36" t="n"/>
      <c r="M133">
        <f>IF($A133=Ficha!$B$3,COUNTIF($A$5:$A133,Ficha!$B$3),"")</f>
        <v/>
      </c>
    </row>
    <row r="134">
      <c r="A134" s="38" t="n"/>
      <c r="B134" s="41">
        <f>IF(A134="","",IFERROR(INDEX(Maniobras!$B$5:$B$504,MATCH(A134,Maniobras!$A$5:$A$504,0)),""))</f>
        <v/>
      </c>
      <c r="C134" s="38">
        <f>IF(B134="","",TEXT(B134,"yyyy-mm"))</f>
        <v/>
      </c>
      <c r="D134" s="38">
        <f>IF(A134="","",IFERROR(INDEX(Maniobras!$D$5:$D$504,MATCH(A134,Maniobras!$A$5:$A$504,0)),""))</f>
        <v/>
      </c>
      <c r="E134" s="38" t="n"/>
      <c r="F134" s="39">
        <f>IF(A134="","",IFERROR(INDEX(Maniobras!$K$5:$K$504,MATCH(A134,Maniobras!$A$5:$A$504,0)),""))</f>
        <v/>
      </c>
      <c r="G134" s="39" t="n"/>
      <c r="H134" s="39" t="n"/>
      <c r="I134" s="39">
        <f>IF(G134="","",G134+N(H134))</f>
        <v/>
      </c>
      <c r="J134" s="38" t="n"/>
      <c r="K134" s="41" t="n"/>
      <c r="L134" s="38" t="n"/>
      <c r="M134">
        <f>IF($A134=Ficha!$B$3,COUNTIF($A$5:$A134,Ficha!$B$3),"")</f>
        <v/>
      </c>
    </row>
    <row r="135">
      <c r="A135" s="36" t="n"/>
      <c r="B135" s="40">
        <f>IF(A135="","",IFERROR(INDEX(Maniobras!$B$5:$B$504,MATCH(A135,Maniobras!$A$5:$A$504,0)),""))</f>
        <v/>
      </c>
      <c r="C135" s="36">
        <f>IF(B135="","",TEXT(B135,"yyyy-mm"))</f>
        <v/>
      </c>
      <c r="D135" s="36">
        <f>IF(A135="","",IFERROR(INDEX(Maniobras!$D$5:$D$504,MATCH(A135,Maniobras!$A$5:$A$504,0)),""))</f>
        <v/>
      </c>
      <c r="E135" s="36" t="n"/>
      <c r="F135" s="37">
        <f>IF(A135="","",IFERROR(INDEX(Maniobras!$K$5:$K$504,MATCH(A135,Maniobras!$A$5:$A$504,0)),""))</f>
        <v/>
      </c>
      <c r="G135" s="37" t="n"/>
      <c r="H135" s="37" t="n"/>
      <c r="I135" s="37">
        <f>IF(G135="","",G135+N(H135))</f>
        <v/>
      </c>
      <c r="J135" s="36" t="n"/>
      <c r="K135" s="40" t="n"/>
      <c r="L135" s="36" t="n"/>
      <c r="M135">
        <f>IF($A135=Ficha!$B$3,COUNTIF($A$5:$A135,Ficha!$B$3),"")</f>
        <v/>
      </c>
    </row>
    <row r="136">
      <c r="A136" s="38" t="n"/>
      <c r="B136" s="41">
        <f>IF(A136="","",IFERROR(INDEX(Maniobras!$B$5:$B$504,MATCH(A136,Maniobras!$A$5:$A$504,0)),""))</f>
        <v/>
      </c>
      <c r="C136" s="38">
        <f>IF(B136="","",TEXT(B136,"yyyy-mm"))</f>
        <v/>
      </c>
      <c r="D136" s="38">
        <f>IF(A136="","",IFERROR(INDEX(Maniobras!$D$5:$D$504,MATCH(A136,Maniobras!$A$5:$A$504,0)),""))</f>
        <v/>
      </c>
      <c r="E136" s="38" t="n"/>
      <c r="F136" s="39">
        <f>IF(A136="","",IFERROR(INDEX(Maniobras!$K$5:$K$504,MATCH(A136,Maniobras!$A$5:$A$504,0)),""))</f>
        <v/>
      </c>
      <c r="G136" s="39" t="n"/>
      <c r="H136" s="39" t="n"/>
      <c r="I136" s="39">
        <f>IF(G136="","",G136+N(H136))</f>
        <v/>
      </c>
      <c r="J136" s="38" t="n"/>
      <c r="K136" s="41" t="n"/>
      <c r="L136" s="38" t="n"/>
      <c r="M136">
        <f>IF($A136=Ficha!$B$3,COUNTIF($A$5:$A136,Ficha!$B$3),"")</f>
        <v/>
      </c>
    </row>
    <row r="137">
      <c r="A137" s="36" t="n"/>
      <c r="B137" s="40">
        <f>IF(A137="","",IFERROR(INDEX(Maniobras!$B$5:$B$504,MATCH(A137,Maniobras!$A$5:$A$504,0)),""))</f>
        <v/>
      </c>
      <c r="C137" s="36">
        <f>IF(B137="","",TEXT(B137,"yyyy-mm"))</f>
        <v/>
      </c>
      <c r="D137" s="36">
        <f>IF(A137="","",IFERROR(INDEX(Maniobras!$D$5:$D$504,MATCH(A137,Maniobras!$A$5:$A$504,0)),""))</f>
        <v/>
      </c>
      <c r="E137" s="36" t="n"/>
      <c r="F137" s="37">
        <f>IF(A137="","",IFERROR(INDEX(Maniobras!$K$5:$K$504,MATCH(A137,Maniobras!$A$5:$A$504,0)),""))</f>
        <v/>
      </c>
      <c r="G137" s="37" t="n"/>
      <c r="H137" s="37" t="n"/>
      <c r="I137" s="37">
        <f>IF(G137="","",G137+N(H137))</f>
        <v/>
      </c>
      <c r="J137" s="36" t="n"/>
      <c r="K137" s="40" t="n"/>
      <c r="L137" s="36" t="n"/>
      <c r="M137">
        <f>IF($A137=Ficha!$B$3,COUNTIF($A$5:$A137,Ficha!$B$3),"")</f>
        <v/>
      </c>
    </row>
    <row r="138">
      <c r="A138" s="38" t="n"/>
      <c r="B138" s="41">
        <f>IF(A138="","",IFERROR(INDEX(Maniobras!$B$5:$B$504,MATCH(A138,Maniobras!$A$5:$A$504,0)),""))</f>
        <v/>
      </c>
      <c r="C138" s="38">
        <f>IF(B138="","",TEXT(B138,"yyyy-mm"))</f>
        <v/>
      </c>
      <c r="D138" s="38">
        <f>IF(A138="","",IFERROR(INDEX(Maniobras!$D$5:$D$504,MATCH(A138,Maniobras!$A$5:$A$504,0)),""))</f>
        <v/>
      </c>
      <c r="E138" s="38" t="n"/>
      <c r="F138" s="39">
        <f>IF(A138="","",IFERROR(INDEX(Maniobras!$K$5:$K$504,MATCH(A138,Maniobras!$A$5:$A$504,0)),""))</f>
        <v/>
      </c>
      <c r="G138" s="39" t="n"/>
      <c r="H138" s="39" t="n"/>
      <c r="I138" s="39">
        <f>IF(G138="","",G138+N(H138))</f>
        <v/>
      </c>
      <c r="J138" s="38" t="n"/>
      <c r="K138" s="41" t="n"/>
      <c r="L138" s="38" t="n"/>
      <c r="M138">
        <f>IF($A138=Ficha!$B$3,COUNTIF($A$5:$A138,Ficha!$B$3),"")</f>
        <v/>
      </c>
    </row>
    <row r="139">
      <c r="A139" s="36" t="n"/>
      <c r="B139" s="40">
        <f>IF(A139="","",IFERROR(INDEX(Maniobras!$B$5:$B$504,MATCH(A139,Maniobras!$A$5:$A$504,0)),""))</f>
        <v/>
      </c>
      <c r="C139" s="36">
        <f>IF(B139="","",TEXT(B139,"yyyy-mm"))</f>
        <v/>
      </c>
      <c r="D139" s="36">
        <f>IF(A139="","",IFERROR(INDEX(Maniobras!$D$5:$D$504,MATCH(A139,Maniobras!$A$5:$A$504,0)),""))</f>
        <v/>
      </c>
      <c r="E139" s="36" t="n"/>
      <c r="F139" s="37">
        <f>IF(A139="","",IFERROR(INDEX(Maniobras!$K$5:$K$504,MATCH(A139,Maniobras!$A$5:$A$504,0)),""))</f>
        <v/>
      </c>
      <c r="G139" s="37" t="n"/>
      <c r="H139" s="37" t="n"/>
      <c r="I139" s="37">
        <f>IF(G139="","",G139+N(H139))</f>
        <v/>
      </c>
      <c r="J139" s="36" t="n"/>
      <c r="K139" s="40" t="n"/>
      <c r="L139" s="36" t="n"/>
      <c r="M139">
        <f>IF($A139=Ficha!$B$3,COUNTIF($A$5:$A139,Ficha!$B$3),"")</f>
        <v/>
      </c>
    </row>
    <row r="140">
      <c r="A140" s="38" t="n"/>
      <c r="B140" s="41">
        <f>IF(A140="","",IFERROR(INDEX(Maniobras!$B$5:$B$504,MATCH(A140,Maniobras!$A$5:$A$504,0)),""))</f>
        <v/>
      </c>
      <c r="C140" s="38">
        <f>IF(B140="","",TEXT(B140,"yyyy-mm"))</f>
        <v/>
      </c>
      <c r="D140" s="38">
        <f>IF(A140="","",IFERROR(INDEX(Maniobras!$D$5:$D$504,MATCH(A140,Maniobras!$A$5:$A$504,0)),""))</f>
        <v/>
      </c>
      <c r="E140" s="38" t="n"/>
      <c r="F140" s="39">
        <f>IF(A140="","",IFERROR(INDEX(Maniobras!$K$5:$K$504,MATCH(A140,Maniobras!$A$5:$A$504,0)),""))</f>
        <v/>
      </c>
      <c r="G140" s="39" t="n"/>
      <c r="H140" s="39" t="n"/>
      <c r="I140" s="39">
        <f>IF(G140="","",G140+N(H140))</f>
        <v/>
      </c>
      <c r="J140" s="38" t="n"/>
      <c r="K140" s="41" t="n"/>
      <c r="L140" s="38" t="n"/>
      <c r="M140">
        <f>IF($A140=Ficha!$B$3,COUNTIF($A$5:$A140,Ficha!$B$3),"")</f>
        <v/>
      </c>
    </row>
    <row r="141">
      <c r="A141" s="36" t="n"/>
      <c r="B141" s="40">
        <f>IF(A141="","",IFERROR(INDEX(Maniobras!$B$5:$B$504,MATCH(A141,Maniobras!$A$5:$A$504,0)),""))</f>
        <v/>
      </c>
      <c r="C141" s="36">
        <f>IF(B141="","",TEXT(B141,"yyyy-mm"))</f>
        <v/>
      </c>
      <c r="D141" s="36">
        <f>IF(A141="","",IFERROR(INDEX(Maniobras!$D$5:$D$504,MATCH(A141,Maniobras!$A$5:$A$504,0)),""))</f>
        <v/>
      </c>
      <c r="E141" s="36" t="n"/>
      <c r="F141" s="37">
        <f>IF(A141="","",IFERROR(INDEX(Maniobras!$K$5:$K$504,MATCH(A141,Maniobras!$A$5:$A$504,0)),""))</f>
        <v/>
      </c>
      <c r="G141" s="37" t="n"/>
      <c r="H141" s="37" t="n"/>
      <c r="I141" s="37">
        <f>IF(G141="","",G141+N(H141))</f>
        <v/>
      </c>
      <c r="J141" s="36" t="n"/>
      <c r="K141" s="40" t="n"/>
      <c r="L141" s="36" t="n"/>
      <c r="M141">
        <f>IF($A141=Ficha!$B$3,COUNTIF($A$5:$A141,Ficha!$B$3),"")</f>
        <v/>
      </c>
    </row>
    <row r="142">
      <c r="A142" s="38" t="n"/>
      <c r="B142" s="41">
        <f>IF(A142="","",IFERROR(INDEX(Maniobras!$B$5:$B$504,MATCH(A142,Maniobras!$A$5:$A$504,0)),""))</f>
        <v/>
      </c>
      <c r="C142" s="38">
        <f>IF(B142="","",TEXT(B142,"yyyy-mm"))</f>
        <v/>
      </c>
      <c r="D142" s="38">
        <f>IF(A142="","",IFERROR(INDEX(Maniobras!$D$5:$D$504,MATCH(A142,Maniobras!$A$5:$A$504,0)),""))</f>
        <v/>
      </c>
      <c r="E142" s="38" t="n"/>
      <c r="F142" s="39">
        <f>IF(A142="","",IFERROR(INDEX(Maniobras!$K$5:$K$504,MATCH(A142,Maniobras!$A$5:$A$504,0)),""))</f>
        <v/>
      </c>
      <c r="G142" s="39" t="n"/>
      <c r="H142" s="39" t="n"/>
      <c r="I142" s="39">
        <f>IF(G142="","",G142+N(H142))</f>
        <v/>
      </c>
      <c r="J142" s="38" t="n"/>
      <c r="K142" s="41" t="n"/>
      <c r="L142" s="38" t="n"/>
      <c r="M142">
        <f>IF($A142=Ficha!$B$3,COUNTIF($A$5:$A142,Ficha!$B$3),"")</f>
        <v/>
      </c>
    </row>
    <row r="143">
      <c r="A143" s="36" t="n"/>
      <c r="B143" s="40">
        <f>IF(A143="","",IFERROR(INDEX(Maniobras!$B$5:$B$504,MATCH(A143,Maniobras!$A$5:$A$504,0)),""))</f>
        <v/>
      </c>
      <c r="C143" s="36">
        <f>IF(B143="","",TEXT(B143,"yyyy-mm"))</f>
        <v/>
      </c>
      <c r="D143" s="36">
        <f>IF(A143="","",IFERROR(INDEX(Maniobras!$D$5:$D$504,MATCH(A143,Maniobras!$A$5:$A$504,0)),""))</f>
        <v/>
      </c>
      <c r="E143" s="36" t="n"/>
      <c r="F143" s="37">
        <f>IF(A143="","",IFERROR(INDEX(Maniobras!$K$5:$K$504,MATCH(A143,Maniobras!$A$5:$A$504,0)),""))</f>
        <v/>
      </c>
      <c r="G143" s="37" t="n"/>
      <c r="H143" s="37" t="n"/>
      <c r="I143" s="37">
        <f>IF(G143="","",G143+N(H143))</f>
        <v/>
      </c>
      <c r="J143" s="36" t="n"/>
      <c r="K143" s="40" t="n"/>
      <c r="L143" s="36" t="n"/>
      <c r="M143">
        <f>IF($A143=Ficha!$B$3,COUNTIF($A$5:$A143,Ficha!$B$3),"")</f>
        <v/>
      </c>
    </row>
    <row r="144">
      <c r="A144" s="38" t="n"/>
      <c r="B144" s="41">
        <f>IF(A144="","",IFERROR(INDEX(Maniobras!$B$5:$B$504,MATCH(A144,Maniobras!$A$5:$A$504,0)),""))</f>
        <v/>
      </c>
      <c r="C144" s="38">
        <f>IF(B144="","",TEXT(B144,"yyyy-mm"))</f>
        <v/>
      </c>
      <c r="D144" s="38">
        <f>IF(A144="","",IFERROR(INDEX(Maniobras!$D$5:$D$504,MATCH(A144,Maniobras!$A$5:$A$504,0)),""))</f>
        <v/>
      </c>
      <c r="E144" s="38" t="n"/>
      <c r="F144" s="39">
        <f>IF(A144="","",IFERROR(INDEX(Maniobras!$K$5:$K$504,MATCH(A144,Maniobras!$A$5:$A$504,0)),""))</f>
        <v/>
      </c>
      <c r="G144" s="39" t="n"/>
      <c r="H144" s="39" t="n"/>
      <c r="I144" s="39">
        <f>IF(G144="","",G144+N(H144))</f>
        <v/>
      </c>
      <c r="J144" s="38" t="n"/>
      <c r="K144" s="41" t="n"/>
      <c r="L144" s="38" t="n"/>
      <c r="M144">
        <f>IF($A144=Ficha!$B$3,COUNTIF($A$5:$A144,Ficha!$B$3),"")</f>
        <v/>
      </c>
    </row>
    <row r="145">
      <c r="A145" s="36" t="n"/>
      <c r="B145" s="40">
        <f>IF(A145="","",IFERROR(INDEX(Maniobras!$B$5:$B$504,MATCH(A145,Maniobras!$A$5:$A$504,0)),""))</f>
        <v/>
      </c>
      <c r="C145" s="36">
        <f>IF(B145="","",TEXT(B145,"yyyy-mm"))</f>
        <v/>
      </c>
      <c r="D145" s="36">
        <f>IF(A145="","",IFERROR(INDEX(Maniobras!$D$5:$D$504,MATCH(A145,Maniobras!$A$5:$A$504,0)),""))</f>
        <v/>
      </c>
      <c r="E145" s="36" t="n"/>
      <c r="F145" s="37">
        <f>IF(A145="","",IFERROR(INDEX(Maniobras!$K$5:$K$504,MATCH(A145,Maniobras!$A$5:$A$504,0)),""))</f>
        <v/>
      </c>
      <c r="G145" s="37" t="n"/>
      <c r="H145" s="37" t="n"/>
      <c r="I145" s="37">
        <f>IF(G145="","",G145+N(H145))</f>
        <v/>
      </c>
      <c r="J145" s="36" t="n"/>
      <c r="K145" s="40" t="n"/>
      <c r="L145" s="36" t="n"/>
      <c r="M145">
        <f>IF($A145=Ficha!$B$3,COUNTIF($A$5:$A145,Ficha!$B$3),"")</f>
        <v/>
      </c>
    </row>
    <row r="146">
      <c r="A146" s="38" t="n"/>
      <c r="B146" s="41">
        <f>IF(A146="","",IFERROR(INDEX(Maniobras!$B$5:$B$504,MATCH(A146,Maniobras!$A$5:$A$504,0)),""))</f>
        <v/>
      </c>
      <c r="C146" s="38">
        <f>IF(B146="","",TEXT(B146,"yyyy-mm"))</f>
        <v/>
      </c>
      <c r="D146" s="38">
        <f>IF(A146="","",IFERROR(INDEX(Maniobras!$D$5:$D$504,MATCH(A146,Maniobras!$A$5:$A$504,0)),""))</f>
        <v/>
      </c>
      <c r="E146" s="38" t="n"/>
      <c r="F146" s="39">
        <f>IF(A146="","",IFERROR(INDEX(Maniobras!$K$5:$K$504,MATCH(A146,Maniobras!$A$5:$A$504,0)),""))</f>
        <v/>
      </c>
      <c r="G146" s="39" t="n"/>
      <c r="H146" s="39" t="n"/>
      <c r="I146" s="39">
        <f>IF(G146="","",G146+N(H146))</f>
        <v/>
      </c>
      <c r="J146" s="38" t="n"/>
      <c r="K146" s="41" t="n"/>
      <c r="L146" s="38" t="n"/>
      <c r="M146">
        <f>IF($A146=Ficha!$B$3,COUNTIF($A$5:$A146,Ficha!$B$3),"")</f>
        <v/>
      </c>
    </row>
    <row r="147">
      <c r="A147" s="36" t="n"/>
      <c r="B147" s="40">
        <f>IF(A147="","",IFERROR(INDEX(Maniobras!$B$5:$B$504,MATCH(A147,Maniobras!$A$5:$A$504,0)),""))</f>
        <v/>
      </c>
      <c r="C147" s="36">
        <f>IF(B147="","",TEXT(B147,"yyyy-mm"))</f>
        <v/>
      </c>
      <c r="D147" s="36">
        <f>IF(A147="","",IFERROR(INDEX(Maniobras!$D$5:$D$504,MATCH(A147,Maniobras!$A$5:$A$504,0)),""))</f>
        <v/>
      </c>
      <c r="E147" s="36" t="n"/>
      <c r="F147" s="37">
        <f>IF(A147="","",IFERROR(INDEX(Maniobras!$K$5:$K$504,MATCH(A147,Maniobras!$A$5:$A$504,0)),""))</f>
        <v/>
      </c>
      <c r="G147" s="37" t="n"/>
      <c r="H147" s="37" t="n"/>
      <c r="I147" s="37">
        <f>IF(G147="","",G147+N(H147))</f>
        <v/>
      </c>
      <c r="J147" s="36" t="n"/>
      <c r="K147" s="40" t="n"/>
      <c r="L147" s="36" t="n"/>
      <c r="M147">
        <f>IF($A147=Ficha!$B$3,COUNTIF($A$5:$A147,Ficha!$B$3),"")</f>
        <v/>
      </c>
    </row>
    <row r="148">
      <c r="A148" s="38" t="n"/>
      <c r="B148" s="41">
        <f>IF(A148="","",IFERROR(INDEX(Maniobras!$B$5:$B$504,MATCH(A148,Maniobras!$A$5:$A$504,0)),""))</f>
        <v/>
      </c>
      <c r="C148" s="38">
        <f>IF(B148="","",TEXT(B148,"yyyy-mm"))</f>
        <v/>
      </c>
      <c r="D148" s="38">
        <f>IF(A148="","",IFERROR(INDEX(Maniobras!$D$5:$D$504,MATCH(A148,Maniobras!$A$5:$A$504,0)),""))</f>
        <v/>
      </c>
      <c r="E148" s="38" t="n"/>
      <c r="F148" s="39">
        <f>IF(A148="","",IFERROR(INDEX(Maniobras!$K$5:$K$504,MATCH(A148,Maniobras!$A$5:$A$504,0)),""))</f>
        <v/>
      </c>
      <c r="G148" s="39" t="n"/>
      <c r="H148" s="39" t="n"/>
      <c r="I148" s="39">
        <f>IF(G148="","",G148+N(H148))</f>
        <v/>
      </c>
      <c r="J148" s="38" t="n"/>
      <c r="K148" s="41" t="n"/>
      <c r="L148" s="38" t="n"/>
      <c r="M148">
        <f>IF($A148=Ficha!$B$3,COUNTIF($A$5:$A148,Ficha!$B$3),"")</f>
        <v/>
      </c>
    </row>
    <row r="149">
      <c r="A149" s="36" t="n"/>
      <c r="B149" s="40">
        <f>IF(A149="","",IFERROR(INDEX(Maniobras!$B$5:$B$504,MATCH(A149,Maniobras!$A$5:$A$504,0)),""))</f>
        <v/>
      </c>
      <c r="C149" s="36">
        <f>IF(B149="","",TEXT(B149,"yyyy-mm"))</f>
        <v/>
      </c>
      <c r="D149" s="36">
        <f>IF(A149="","",IFERROR(INDEX(Maniobras!$D$5:$D$504,MATCH(A149,Maniobras!$A$5:$A$504,0)),""))</f>
        <v/>
      </c>
      <c r="E149" s="36" t="n"/>
      <c r="F149" s="37">
        <f>IF(A149="","",IFERROR(INDEX(Maniobras!$K$5:$K$504,MATCH(A149,Maniobras!$A$5:$A$504,0)),""))</f>
        <v/>
      </c>
      <c r="G149" s="37" t="n"/>
      <c r="H149" s="37" t="n"/>
      <c r="I149" s="37">
        <f>IF(G149="","",G149+N(H149))</f>
        <v/>
      </c>
      <c r="J149" s="36" t="n"/>
      <c r="K149" s="40" t="n"/>
      <c r="L149" s="36" t="n"/>
      <c r="M149">
        <f>IF($A149=Ficha!$B$3,COUNTIF($A$5:$A149,Ficha!$B$3),"")</f>
        <v/>
      </c>
    </row>
    <row r="150">
      <c r="A150" s="38" t="n"/>
      <c r="B150" s="41">
        <f>IF(A150="","",IFERROR(INDEX(Maniobras!$B$5:$B$504,MATCH(A150,Maniobras!$A$5:$A$504,0)),""))</f>
        <v/>
      </c>
      <c r="C150" s="38">
        <f>IF(B150="","",TEXT(B150,"yyyy-mm"))</f>
        <v/>
      </c>
      <c r="D150" s="38">
        <f>IF(A150="","",IFERROR(INDEX(Maniobras!$D$5:$D$504,MATCH(A150,Maniobras!$A$5:$A$504,0)),""))</f>
        <v/>
      </c>
      <c r="E150" s="38" t="n"/>
      <c r="F150" s="39">
        <f>IF(A150="","",IFERROR(INDEX(Maniobras!$K$5:$K$504,MATCH(A150,Maniobras!$A$5:$A$504,0)),""))</f>
        <v/>
      </c>
      <c r="G150" s="39" t="n"/>
      <c r="H150" s="39" t="n"/>
      <c r="I150" s="39">
        <f>IF(G150="","",G150+N(H150))</f>
        <v/>
      </c>
      <c r="J150" s="38" t="n"/>
      <c r="K150" s="41" t="n"/>
      <c r="L150" s="38" t="n"/>
      <c r="M150">
        <f>IF($A150=Ficha!$B$3,COUNTIF($A$5:$A150,Ficha!$B$3),"")</f>
        <v/>
      </c>
    </row>
    <row r="151">
      <c r="A151" s="36" t="n"/>
      <c r="B151" s="40">
        <f>IF(A151="","",IFERROR(INDEX(Maniobras!$B$5:$B$504,MATCH(A151,Maniobras!$A$5:$A$504,0)),""))</f>
        <v/>
      </c>
      <c r="C151" s="36">
        <f>IF(B151="","",TEXT(B151,"yyyy-mm"))</f>
        <v/>
      </c>
      <c r="D151" s="36">
        <f>IF(A151="","",IFERROR(INDEX(Maniobras!$D$5:$D$504,MATCH(A151,Maniobras!$A$5:$A$504,0)),""))</f>
        <v/>
      </c>
      <c r="E151" s="36" t="n"/>
      <c r="F151" s="37">
        <f>IF(A151="","",IFERROR(INDEX(Maniobras!$K$5:$K$504,MATCH(A151,Maniobras!$A$5:$A$504,0)),""))</f>
        <v/>
      </c>
      <c r="G151" s="37" t="n"/>
      <c r="H151" s="37" t="n"/>
      <c r="I151" s="37">
        <f>IF(G151="","",G151+N(H151))</f>
        <v/>
      </c>
      <c r="J151" s="36" t="n"/>
      <c r="K151" s="40" t="n"/>
      <c r="L151" s="36" t="n"/>
      <c r="M151">
        <f>IF($A151=Ficha!$B$3,COUNTIF($A$5:$A151,Ficha!$B$3),"")</f>
        <v/>
      </c>
    </row>
    <row r="152">
      <c r="A152" s="38" t="n"/>
      <c r="B152" s="41">
        <f>IF(A152="","",IFERROR(INDEX(Maniobras!$B$5:$B$504,MATCH(A152,Maniobras!$A$5:$A$504,0)),""))</f>
        <v/>
      </c>
      <c r="C152" s="38">
        <f>IF(B152="","",TEXT(B152,"yyyy-mm"))</f>
        <v/>
      </c>
      <c r="D152" s="38">
        <f>IF(A152="","",IFERROR(INDEX(Maniobras!$D$5:$D$504,MATCH(A152,Maniobras!$A$5:$A$504,0)),""))</f>
        <v/>
      </c>
      <c r="E152" s="38" t="n"/>
      <c r="F152" s="39">
        <f>IF(A152="","",IFERROR(INDEX(Maniobras!$K$5:$K$504,MATCH(A152,Maniobras!$A$5:$A$504,0)),""))</f>
        <v/>
      </c>
      <c r="G152" s="39" t="n"/>
      <c r="H152" s="39" t="n"/>
      <c r="I152" s="39">
        <f>IF(G152="","",G152+N(H152))</f>
        <v/>
      </c>
      <c r="J152" s="38" t="n"/>
      <c r="K152" s="41" t="n"/>
      <c r="L152" s="38" t="n"/>
      <c r="M152">
        <f>IF($A152=Ficha!$B$3,COUNTIF($A$5:$A152,Ficha!$B$3),"")</f>
        <v/>
      </c>
    </row>
    <row r="153">
      <c r="A153" s="36" t="n"/>
      <c r="B153" s="40">
        <f>IF(A153="","",IFERROR(INDEX(Maniobras!$B$5:$B$504,MATCH(A153,Maniobras!$A$5:$A$504,0)),""))</f>
        <v/>
      </c>
      <c r="C153" s="36">
        <f>IF(B153="","",TEXT(B153,"yyyy-mm"))</f>
        <v/>
      </c>
      <c r="D153" s="36">
        <f>IF(A153="","",IFERROR(INDEX(Maniobras!$D$5:$D$504,MATCH(A153,Maniobras!$A$5:$A$504,0)),""))</f>
        <v/>
      </c>
      <c r="E153" s="36" t="n"/>
      <c r="F153" s="37">
        <f>IF(A153="","",IFERROR(INDEX(Maniobras!$K$5:$K$504,MATCH(A153,Maniobras!$A$5:$A$504,0)),""))</f>
        <v/>
      </c>
      <c r="G153" s="37" t="n"/>
      <c r="H153" s="37" t="n"/>
      <c r="I153" s="37">
        <f>IF(G153="","",G153+N(H153))</f>
        <v/>
      </c>
      <c r="J153" s="36" t="n"/>
      <c r="K153" s="40" t="n"/>
      <c r="L153" s="36" t="n"/>
      <c r="M153">
        <f>IF($A153=Ficha!$B$3,COUNTIF($A$5:$A153,Ficha!$B$3),"")</f>
        <v/>
      </c>
    </row>
    <row r="154">
      <c r="A154" s="38" t="n"/>
      <c r="B154" s="41">
        <f>IF(A154="","",IFERROR(INDEX(Maniobras!$B$5:$B$504,MATCH(A154,Maniobras!$A$5:$A$504,0)),""))</f>
        <v/>
      </c>
      <c r="C154" s="38">
        <f>IF(B154="","",TEXT(B154,"yyyy-mm"))</f>
        <v/>
      </c>
      <c r="D154" s="38">
        <f>IF(A154="","",IFERROR(INDEX(Maniobras!$D$5:$D$504,MATCH(A154,Maniobras!$A$5:$A$504,0)),""))</f>
        <v/>
      </c>
      <c r="E154" s="38" t="n"/>
      <c r="F154" s="39">
        <f>IF(A154="","",IFERROR(INDEX(Maniobras!$K$5:$K$504,MATCH(A154,Maniobras!$A$5:$A$504,0)),""))</f>
        <v/>
      </c>
      <c r="G154" s="39" t="n"/>
      <c r="H154" s="39" t="n"/>
      <c r="I154" s="39">
        <f>IF(G154="","",G154+N(H154))</f>
        <v/>
      </c>
      <c r="J154" s="38" t="n"/>
      <c r="K154" s="41" t="n"/>
      <c r="L154" s="38" t="n"/>
      <c r="M154">
        <f>IF($A154=Ficha!$B$3,COUNTIF($A$5:$A154,Ficha!$B$3),"")</f>
        <v/>
      </c>
    </row>
    <row r="155">
      <c r="A155" s="36" t="n"/>
      <c r="B155" s="40">
        <f>IF(A155="","",IFERROR(INDEX(Maniobras!$B$5:$B$504,MATCH(A155,Maniobras!$A$5:$A$504,0)),""))</f>
        <v/>
      </c>
      <c r="C155" s="36">
        <f>IF(B155="","",TEXT(B155,"yyyy-mm"))</f>
        <v/>
      </c>
      <c r="D155" s="36">
        <f>IF(A155="","",IFERROR(INDEX(Maniobras!$D$5:$D$504,MATCH(A155,Maniobras!$A$5:$A$504,0)),""))</f>
        <v/>
      </c>
      <c r="E155" s="36" t="n"/>
      <c r="F155" s="37">
        <f>IF(A155="","",IFERROR(INDEX(Maniobras!$K$5:$K$504,MATCH(A155,Maniobras!$A$5:$A$504,0)),""))</f>
        <v/>
      </c>
      <c r="G155" s="37" t="n"/>
      <c r="H155" s="37" t="n"/>
      <c r="I155" s="37">
        <f>IF(G155="","",G155+N(H155))</f>
        <v/>
      </c>
      <c r="J155" s="36" t="n"/>
      <c r="K155" s="40" t="n"/>
      <c r="L155" s="36" t="n"/>
      <c r="M155">
        <f>IF($A155=Ficha!$B$3,COUNTIF($A$5:$A155,Ficha!$B$3),"")</f>
        <v/>
      </c>
    </row>
    <row r="156">
      <c r="A156" s="38" t="n"/>
      <c r="B156" s="41">
        <f>IF(A156="","",IFERROR(INDEX(Maniobras!$B$5:$B$504,MATCH(A156,Maniobras!$A$5:$A$504,0)),""))</f>
        <v/>
      </c>
      <c r="C156" s="38">
        <f>IF(B156="","",TEXT(B156,"yyyy-mm"))</f>
        <v/>
      </c>
      <c r="D156" s="38">
        <f>IF(A156="","",IFERROR(INDEX(Maniobras!$D$5:$D$504,MATCH(A156,Maniobras!$A$5:$A$504,0)),""))</f>
        <v/>
      </c>
      <c r="E156" s="38" t="n"/>
      <c r="F156" s="39">
        <f>IF(A156="","",IFERROR(INDEX(Maniobras!$K$5:$K$504,MATCH(A156,Maniobras!$A$5:$A$504,0)),""))</f>
        <v/>
      </c>
      <c r="G156" s="39" t="n"/>
      <c r="H156" s="39" t="n"/>
      <c r="I156" s="39">
        <f>IF(G156="","",G156+N(H156))</f>
        <v/>
      </c>
      <c r="J156" s="38" t="n"/>
      <c r="K156" s="41" t="n"/>
      <c r="L156" s="38" t="n"/>
      <c r="M156">
        <f>IF($A156=Ficha!$B$3,COUNTIF($A$5:$A156,Ficha!$B$3),"")</f>
        <v/>
      </c>
    </row>
    <row r="157">
      <c r="A157" s="36" t="n"/>
      <c r="B157" s="40">
        <f>IF(A157="","",IFERROR(INDEX(Maniobras!$B$5:$B$504,MATCH(A157,Maniobras!$A$5:$A$504,0)),""))</f>
        <v/>
      </c>
      <c r="C157" s="36">
        <f>IF(B157="","",TEXT(B157,"yyyy-mm"))</f>
        <v/>
      </c>
      <c r="D157" s="36">
        <f>IF(A157="","",IFERROR(INDEX(Maniobras!$D$5:$D$504,MATCH(A157,Maniobras!$A$5:$A$504,0)),""))</f>
        <v/>
      </c>
      <c r="E157" s="36" t="n"/>
      <c r="F157" s="37">
        <f>IF(A157="","",IFERROR(INDEX(Maniobras!$K$5:$K$504,MATCH(A157,Maniobras!$A$5:$A$504,0)),""))</f>
        <v/>
      </c>
      <c r="G157" s="37" t="n"/>
      <c r="H157" s="37" t="n"/>
      <c r="I157" s="37">
        <f>IF(G157="","",G157+N(H157))</f>
        <v/>
      </c>
      <c r="J157" s="36" t="n"/>
      <c r="K157" s="40" t="n"/>
      <c r="L157" s="36" t="n"/>
      <c r="M157">
        <f>IF($A157=Ficha!$B$3,COUNTIF($A$5:$A157,Ficha!$B$3),"")</f>
        <v/>
      </c>
    </row>
    <row r="158">
      <c r="A158" s="38" t="n"/>
      <c r="B158" s="41">
        <f>IF(A158="","",IFERROR(INDEX(Maniobras!$B$5:$B$504,MATCH(A158,Maniobras!$A$5:$A$504,0)),""))</f>
        <v/>
      </c>
      <c r="C158" s="38">
        <f>IF(B158="","",TEXT(B158,"yyyy-mm"))</f>
        <v/>
      </c>
      <c r="D158" s="38">
        <f>IF(A158="","",IFERROR(INDEX(Maniobras!$D$5:$D$504,MATCH(A158,Maniobras!$A$5:$A$504,0)),""))</f>
        <v/>
      </c>
      <c r="E158" s="38" t="n"/>
      <c r="F158" s="39">
        <f>IF(A158="","",IFERROR(INDEX(Maniobras!$K$5:$K$504,MATCH(A158,Maniobras!$A$5:$A$504,0)),""))</f>
        <v/>
      </c>
      <c r="G158" s="39" t="n"/>
      <c r="H158" s="39" t="n"/>
      <c r="I158" s="39">
        <f>IF(G158="","",G158+N(H158))</f>
        <v/>
      </c>
      <c r="J158" s="38" t="n"/>
      <c r="K158" s="41" t="n"/>
      <c r="L158" s="38" t="n"/>
      <c r="M158">
        <f>IF($A158=Ficha!$B$3,COUNTIF($A$5:$A158,Ficha!$B$3),"")</f>
        <v/>
      </c>
    </row>
    <row r="159">
      <c r="A159" s="36" t="n"/>
      <c r="B159" s="40">
        <f>IF(A159="","",IFERROR(INDEX(Maniobras!$B$5:$B$504,MATCH(A159,Maniobras!$A$5:$A$504,0)),""))</f>
        <v/>
      </c>
      <c r="C159" s="36">
        <f>IF(B159="","",TEXT(B159,"yyyy-mm"))</f>
        <v/>
      </c>
      <c r="D159" s="36">
        <f>IF(A159="","",IFERROR(INDEX(Maniobras!$D$5:$D$504,MATCH(A159,Maniobras!$A$5:$A$504,0)),""))</f>
        <v/>
      </c>
      <c r="E159" s="36" t="n"/>
      <c r="F159" s="37">
        <f>IF(A159="","",IFERROR(INDEX(Maniobras!$K$5:$K$504,MATCH(A159,Maniobras!$A$5:$A$504,0)),""))</f>
        <v/>
      </c>
      <c r="G159" s="37" t="n"/>
      <c r="H159" s="37" t="n"/>
      <c r="I159" s="37">
        <f>IF(G159="","",G159+N(H159))</f>
        <v/>
      </c>
      <c r="J159" s="36" t="n"/>
      <c r="K159" s="40" t="n"/>
      <c r="L159" s="36" t="n"/>
      <c r="M159">
        <f>IF($A159=Ficha!$B$3,COUNTIF($A$5:$A159,Ficha!$B$3),"")</f>
        <v/>
      </c>
    </row>
    <row r="160">
      <c r="A160" s="38" t="n"/>
      <c r="B160" s="41">
        <f>IF(A160="","",IFERROR(INDEX(Maniobras!$B$5:$B$504,MATCH(A160,Maniobras!$A$5:$A$504,0)),""))</f>
        <v/>
      </c>
      <c r="C160" s="38">
        <f>IF(B160="","",TEXT(B160,"yyyy-mm"))</f>
        <v/>
      </c>
      <c r="D160" s="38">
        <f>IF(A160="","",IFERROR(INDEX(Maniobras!$D$5:$D$504,MATCH(A160,Maniobras!$A$5:$A$504,0)),""))</f>
        <v/>
      </c>
      <c r="E160" s="38" t="n"/>
      <c r="F160" s="39">
        <f>IF(A160="","",IFERROR(INDEX(Maniobras!$K$5:$K$504,MATCH(A160,Maniobras!$A$5:$A$504,0)),""))</f>
        <v/>
      </c>
      <c r="G160" s="39" t="n"/>
      <c r="H160" s="39" t="n"/>
      <c r="I160" s="39">
        <f>IF(G160="","",G160+N(H160))</f>
        <v/>
      </c>
      <c r="J160" s="38" t="n"/>
      <c r="K160" s="41" t="n"/>
      <c r="L160" s="38" t="n"/>
      <c r="M160">
        <f>IF($A160=Ficha!$B$3,COUNTIF($A$5:$A160,Ficha!$B$3),"")</f>
        <v/>
      </c>
    </row>
    <row r="161">
      <c r="A161" s="36" t="n"/>
      <c r="B161" s="40">
        <f>IF(A161="","",IFERROR(INDEX(Maniobras!$B$5:$B$504,MATCH(A161,Maniobras!$A$5:$A$504,0)),""))</f>
        <v/>
      </c>
      <c r="C161" s="36">
        <f>IF(B161="","",TEXT(B161,"yyyy-mm"))</f>
        <v/>
      </c>
      <c r="D161" s="36">
        <f>IF(A161="","",IFERROR(INDEX(Maniobras!$D$5:$D$504,MATCH(A161,Maniobras!$A$5:$A$504,0)),""))</f>
        <v/>
      </c>
      <c r="E161" s="36" t="n"/>
      <c r="F161" s="37">
        <f>IF(A161="","",IFERROR(INDEX(Maniobras!$K$5:$K$504,MATCH(A161,Maniobras!$A$5:$A$504,0)),""))</f>
        <v/>
      </c>
      <c r="G161" s="37" t="n"/>
      <c r="H161" s="37" t="n"/>
      <c r="I161" s="37">
        <f>IF(G161="","",G161+N(H161))</f>
        <v/>
      </c>
      <c r="J161" s="36" t="n"/>
      <c r="K161" s="40" t="n"/>
      <c r="L161" s="36" t="n"/>
      <c r="M161">
        <f>IF($A161=Ficha!$B$3,COUNTIF($A$5:$A161,Ficha!$B$3),"")</f>
        <v/>
      </c>
    </row>
    <row r="162">
      <c r="A162" s="38" t="n"/>
      <c r="B162" s="41">
        <f>IF(A162="","",IFERROR(INDEX(Maniobras!$B$5:$B$504,MATCH(A162,Maniobras!$A$5:$A$504,0)),""))</f>
        <v/>
      </c>
      <c r="C162" s="38">
        <f>IF(B162="","",TEXT(B162,"yyyy-mm"))</f>
        <v/>
      </c>
      <c r="D162" s="38">
        <f>IF(A162="","",IFERROR(INDEX(Maniobras!$D$5:$D$504,MATCH(A162,Maniobras!$A$5:$A$504,0)),""))</f>
        <v/>
      </c>
      <c r="E162" s="38" t="n"/>
      <c r="F162" s="39">
        <f>IF(A162="","",IFERROR(INDEX(Maniobras!$K$5:$K$504,MATCH(A162,Maniobras!$A$5:$A$504,0)),""))</f>
        <v/>
      </c>
      <c r="G162" s="39" t="n"/>
      <c r="H162" s="39" t="n"/>
      <c r="I162" s="39">
        <f>IF(G162="","",G162+N(H162))</f>
        <v/>
      </c>
      <c r="J162" s="38" t="n"/>
      <c r="K162" s="41" t="n"/>
      <c r="L162" s="38" t="n"/>
      <c r="M162">
        <f>IF($A162=Ficha!$B$3,COUNTIF($A$5:$A162,Ficha!$B$3),"")</f>
        <v/>
      </c>
    </row>
    <row r="163">
      <c r="A163" s="36" t="n"/>
      <c r="B163" s="40">
        <f>IF(A163="","",IFERROR(INDEX(Maniobras!$B$5:$B$504,MATCH(A163,Maniobras!$A$5:$A$504,0)),""))</f>
        <v/>
      </c>
      <c r="C163" s="36">
        <f>IF(B163="","",TEXT(B163,"yyyy-mm"))</f>
        <v/>
      </c>
      <c r="D163" s="36">
        <f>IF(A163="","",IFERROR(INDEX(Maniobras!$D$5:$D$504,MATCH(A163,Maniobras!$A$5:$A$504,0)),""))</f>
        <v/>
      </c>
      <c r="E163" s="36" t="n"/>
      <c r="F163" s="37">
        <f>IF(A163="","",IFERROR(INDEX(Maniobras!$K$5:$K$504,MATCH(A163,Maniobras!$A$5:$A$504,0)),""))</f>
        <v/>
      </c>
      <c r="G163" s="37" t="n"/>
      <c r="H163" s="37" t="n"/>
      <c r="I163" s="37">
        <f>IF(G163="","",G163+N(H163))</f>
        <v/>
      </c>
      <c r="J163" s="36" t="n"/>
      <c r="K163" s="40" t="n"/>
      <c r="L163" s="36" t="n"/>
      <c r="M163">
        <f>IF($A163=Ficha!$B$3,COUNTIF($A$5:$A163,Ficha!$B$3),"")</f>
        <v/>
      </c>
    </row>
    <row r="164">
      <c r="A164" s="38" t="n"/>
      <c r="B164" s="41">
        <f>IF(A164="","",IFERROR(INDEX(Maniobras!$B$5:$B$504,MATCH(A164,Maniobras!$A$5:$A$504,0)),""))</f>
        <v/>
      </c>
      <c r="C164" s="38">
        <f>IF(B164="","",TEXT(B164,"yyyy-mm"))</f>
        <v/>
      </c>
      <c r="D164" s="38">
        <f>IF(A164="","",IFERROR(INDEX(Maniobras!$D$5:$D$504,MATCH(A164,Maniobras!$A$5:$A$504,0)),""))</f>
        <v/>
      </c>
      <c r="E164" s="38" t="n"/>
      <c r="F164" s="39">
        <f>IF(A164="","",IFERROR(INDEX(Maniobras!$K$5:$K$504,MATCH(A164,Maniobras!$A$5:$A$504,0)),""))</f>
        <v/>
      </c>
      <c r="G164" s="39" t="n"/>
      <c r="H164" s="39" t="n"/>
      <c r="I164" s="39">
        <f>IF(G164="","",G164+N(H164))</f>
        <v/>
      </c>
      <c r="J164" s="38" t="n"/>
      <c r="K164" s="41" t="n"/>
      <c r="L164" s="38" t="n"/>
      <c r="M164">
        <f>IF($A164=Ficha!$B$3,COUNTIF($A$5:$A164,Ficha!$B$3),"")</f>
        <v/>
      </c>
    </row>
    <row r="165">
      <c r="A165" s="36" t="n"/>
      <c r="B165" s="40">
        <f>IF(A165="","",IFERROR(INDEX(Maniobras!$B$5:$B$504,MATCH(A165,Maniobras!$A$5:$A$504,0)),""))</f>
        <v/>
      </c>
      <c r="C165" s="36">
        <f>IF(B165="","",TEXT(B165,"yyyy-mm"))</f>
        <v/>
      </c>
      <c r="D165" s="36">
        <f>IF(A165="","",IFERROR(INDEX(Maniobras!$D$5:$D$504,MATCH(A165,Maniobras!$A$5:$A$504,0)),""))</f>
        <v/>
      </c>
      <c r="E165" s="36" t="n"/>
      <c r="F165" s="37">
        <f>IF(A165="","",IFERROR(INDEX(Maniobras!$K$5:$K$504,MATCH(A165,Maniobras!$A$5:$A$504,0)),""))</f>
        <v/>
      </c>
      <c r="G165" s="37" t="n"/>
      <c r="H165" s="37" t="n"/>
      <c r="I165" s="37">
        <f>IF(G165="","",G165+N(H165))</f>
        <v/>
      </c>
      <c r="J165" s="36" t="n"/>
      <c r="K165" s="40" t="n"/>
      <c r="L165" s="36" t="n"/>
      <c r="M165">
        <f>IF($A165=Ficha!$B$3,COUNTIF($A$5:$A165,Ficha!$B$3),"")</f>
        <v/>
      </c>
    </row>
    <row r="166">
      <c r="A166" s="38" t="n"/>
      <c r="B166" s="41">
        <f>IF(A166="","",IFERROR(INDEX(Maniobras!$B$5:$B$504,MATCH(A166,Maniobras!$A$5:$A$504,0)),""))</f>
        <v/>
      </c>
      <c r="C166" s="38">
        <f>IF(B166="","",TEXT(B166,"yyyy-mm"))</f>
        <v/>
      </c>
      <c r="D166" s="38">
        <f>IF(A166="","",IFERROR(INDEX(Maniobras!$D$5:$D$504,MATCH(A166,Maniobras!$A$5:$A$504,0)),""))</f>
        <v/>
      </c>
      <c r="E166" s="38" t="n"/>
      <c r="F166" s="39">
        <f>IF(A166="","",IFERROR(INDEX(Maniobras!$K$5:$K$504,MATCH(A166,Maniobras!$A$5:$A$504,0)),""))</f>
        <v/>
      </c>
      <c r="G166" s="39" t="n"/>
      <c r="H166" s="39" t="n"/>
      <c r="I166" s="39">
        <f>IF(G166="","",G166+N(H166))</f>
        <v/>
      </c>
      <c r="J166" s="38" t="n"/>
      <c r="K166" s="41" t="n"/>
      <c r="L166" s="38" t="n"/>
      <c r="M166">
        <f>IF($A166=Ficha!$B$3,COUNTIF($A$5:$A166,Ficha!$B$3),"")</f>
        <v/>
      </c>
    </row>
    <row r="167">
      <c r="A167" s="36" t="n"/>
      <c r="B167" s="40">
        <f>IF(A167="","",IFERROR(INDEX(Maniobras!$B$5:$B$504,MATCH(A167,Maniobras!$A$5:$A$504,0)),""))</f>
        <v/>
      </c>
      <c r="C167" s="36">
        <f>IF(B167="","",TEXT(B167,"yyyy-mm"))</f>
        <v/>
      </c>
      <c r="D167" s="36">
        <f>IF(A167="","",IFERROR(INDEX(Maniobras!$D$5:$D$504,MATCH(A167,Maniobras!$A$5:$A$504,0)),""))</f>
        <v/>
      </c>
      <c r="E167" s="36" t="n"/>
      <c r="F167" s="37">
        <f>IF(A167="","",IFERROR(INDEX(Maniobras!$K$5:$K$504,MATCH(A167,Maniobras!$A$5:$A$504,0)),""))</f>
        <v/>
      </c>
      <c r="G167" s="37" t="n"/>
      <c r="H167" s="37" t="n"/>
      <c r="I167" s="37">
        <f>IF(G167="","",G167+N(H167))</f>
        <v/>
      </c>
      <c r="J167" s="36" t="n"/>
      <c r="K167" s="40" t="n"/>
      <c r="L167" s="36" t="n"/>
      <c r="M167">
        <f>IF($A167=Ficha!$B$3,COUNTIF($A$5:$A167,Ficha!$B$3),"")</f>
        <v/>
      </c>
    </row>
    <row r="168">
      <c r="A168" s="38" t="n"/>
      <c r="B168" s="41">
        <f>IF(A168="","",IFERROR(INDEX(Maniobras!$B$5:$B$504,MATCH(A168,Maniobras!$A$5:$A$504,0)),""))</f>
        <v/>
      </c>
      <c r="C168" s="38">
        <f>IF(B168="","",TEXT(B168,"yyyy-mm"))</f>
        <v/>
      </c>
      <c r="D168" s="38">
        <f>IF(A168="","",IFERROR(INDEX(Maniobras!$D$5:$D$504,MATCH(A168,Maniobras!$A$5:$A$504,0)),""))</f>
        <v/>
      </c>
      <c r="E168" s="38" t="n"/>
      <c r="F168" s="39">
        <f>IF(A168="","",IFERROR(INDEX(Maniobras!$K$5:$K$504,MATCH(A168,Maniobras!$A$5:$A$504,0)),""))</f>
        <v/>
      </c>
      <c r="G168" s="39" t="n"/>
      <c r="H168" s="39" t="n"/>
      <c r="I168" s="39">
        <f>IF(G168="","",G168+N(H168))</f>
        <v/>
      </c>
      <c r="J168" s="38" t="n"/>
      <c r="K168" s="41" t="n"/>
      <c r="L168" s="38" t="n"/>
      <c r="M168">
        <f>IF($A168=Ficha!$B$3,COUNTIF($A$5:$A168,Ficha!$B$3),"")</f>
        <v/>
      </c>
    </row>
    <row r="169">
      <c r="A169" s="36" t="n"/>
      <c r="B169" s="40">
        <f>IF(A169="","",IFERROR(INDEX(Maniobras!$B$5:$B$504,MATCH(A169,Maniobras!$A$5:$A$504,0)),""))</f>
        <v/>
      </c>
      <c r="C169" s="36">
        <f>IF(B169="","",TEXT(B169,"yyyy-mm"))</f>
        <v/>
      </c>
      <c r="D169" s="36">
        <f>IF(A169="","",IFERROR(INDEX(Maniobras!$D$5:$D$504,MATCH(A169,Maniobras!$A$5:$A$504,0)),""))</f>
        <v/>
      </c>
      <c r="E169" s="36" t="n"/>
      <c r="F169" s="37">
        <f>IF(A169="","",IFERROR(INDEX(Maniobras!$K$5:$K$504,MATCH(A169,Maniobras!$A$5:$A$504,0)),""))</f>
        <v/>
      </c>
      <c r="G169" s="37" t="n"/>
      <c r="H169" s="37" t="n"/>
      <c r="I169" s="37">
        <f>IF(G169="","",G169+N(H169))</f>
        <v/>
      </c>
      <c r="J169" s="36" t="n"/>
      <c r="K169" s="40" t="n"/>
      <c r="L169" s="36" t="n"/>
      <c r="M169">
        <f>IF($A169=Ficha!$B$3,COUNTIF($A$5:$A169,Ficha!$B$3),"")</f>
        <v/>
      </c>
    </row>
    <row r="170">
      <c r="A170" s="38" t="n"/>
      <c r="B170" s="41">
        <f>IF(A170="","",IFERROR(INDEX(Maniobras!$B$5:$B$504,MATCH(A170,Maniobras!$A$5:$A$504,0)),""))</f>
        <v/>
      </c>
      <c r="C170" s="38">
        <f>IF(B170="","",TEXT(B170,"yyyy-mm"))</f>
        <v/>
      </c>
      <c r="D170" s="38">
        <f>IF(A170="","",IFERROR(INDEX(Maniobras!$D$5:$D$504,MATCH(A170,Maniobras!$A$5:$A$504,0)),""))</f>
        <v/>
      </c>
      <c r="E170" s="38" t="n"/>
      <c r="F170" s="39">
        <f>IF(A170="","",IFERROR(INDEX(Maniobras!$K$5:$K$504,MATCH(A170,Maniobras!$A$5:$A$504,0)),""))</f>
        <v/>
      </c>
      <c r="G170" s="39" t="n"/>
      <c r="H170" s="39" t="n"/>
      <c r="I170" s="39">
        <f>IF(G170="","",G170+N(H170))</f>
        <v/>
      </c>
      <c r="J170" s="38" t="n"/>
      <c r="K170" s="41" t="n"/>
      <c r="L170" s="38" t="n"/>
      <c r="M170">
        <f>IF($A170=Ficha!$B$3,COUNTIF($A$5:$A170,Ficha!$B$3),"")</f>
        <v/>
      </c>
    </row>
    <row r="171">
      <c r="A171" s="36" t="n"/>
      <c r="B171" s="40">
        <f>IF(A171="","",IFERROR(INDEX(Maniobras!$B$5:$B$504,MATCH(A171,Maniobras!$A$5:$A$504,0)),""))</f>
        <v/>
      </c>
      <c r="C171" s="36">
        <f>IF(B171="","",TEXT(B171,"yyyy-mm"))</f>
        <v/>
      </c>
      <c r="D171" s="36">
        <f>IF(A171="","",IFERROR(INDEX(Maniobras!$D$5:$D$504,MATCH(A171,Maniobras!$A$5:$A$504,0)),""))</f>
        <v/>
      </c>
      <c r="E171" s="36" t="n"/>
      <c r="F171" s="37">
        <f>IF(A171="","",IFERROR(INDEX(Maniobras!$K$5:$K$504,MATCH(A171,Maniobras!$A$5:$A$504,0)),""))</f>
        <v/>
      </c>
      <c r="G171" s="37" t="n"/>
      <c r="H171" s="37" t="n"/>
      <c r="I171" s="37">
        <f>IF(G171="","",G171+N(H171))</f>
        <v/>
      </c>
      <c r="J171" s="36" t="n"/>
      <c r="K171" s="40" t="n"/>
      <c r="L171" s="36" t="n"/>
      <c r="M171">
        <f>IF($A171=Ficha!$B$3,COUNTIF($A$5:$A171,Ficha!$B$3),"")</f>
        <v/>
      </c>
    </row>
    <row r="172">
      <c r="A172" s="38" t="n"/>
      <c r="B172" s="41">
        <f>IF(A172="","",IFERROR(INDEX(Maniobras!$B$5:$B$504,MATCH(A172,Maniobras!$A$5:$A$504,0)),""))</f>
        <v/>
      </c>
      <c r="C172" s="38">
        <f>IF(B172="","",TEXT(B172,"yyyy-mm"))</f>
        <v/>
      </c>
      <c r="D172" s="38">
        <f>IF(A172="","",IFERROR(INDEX(Maniobras!$D$5:$D$504,MATCH(A172,Maniobras!$A$5:$A$504,0)),""))</f>
        <v/>
      </c>
      <c r="E172" s="38" t="n"/>
      <c r="F172" s="39">
        <f>IF(A172="","",IFERROR(INDEX(Maniobras!$K$5:$K$504,MATCH(A172,Maniobras!$A$5:$A$504,0)),""))</f>
        <v/>
      </c>
      <c r="G172" s="39" t="n"/>
      <c r="H172" s="39" t="n"/>
      <c r="I172" s="39">
        <f>IF(G172="","",G172+N(H172))</f>
        <v/>
      </c>
      <c r="J172" s="38" t="n"/>
      <c r="K172" s="41" t="n"/>
      <c r="L172" s="38" t="n"/>
      <c r="M172">
        <f>IF($A172=Ficha!$B$3,COUNTIF($A$5:$A172,Ficha!$B$3),"")</f>
        <v/>
      </c>
    </row>
    <row r="173">
      <c r="A173" s="36" t="n"/>
      <c r="B173" s="40">
        <f>IF(A173="","",IFERROR(INDEX(Maniobras!$B$5:$B$504,MATCH(A173,Maniobras!$A$5:$A$504,0)),""))</f>
        <v/>
      </c>
      <c r="C173" s="36">
        <f>IF(B173="","",TEXT(B173,"yyyy-mm"))</f>
        <v/>
      </c>
      <c r="D173" s="36">
        <f>IF(A173="","",IFERROR(INDEX(Maniobras!$D$5:$D$504,MATCH(A173,Maniobras!$A$5:$A$504,0)),""))</f>
        <v/>
      </c>
      <c r="E173" s="36" t="n"/>
      <c r="F173" s="37">
        <f>IF(A173="","",IFERROR(INDEX(Maniobras!$K$5:$K$504,MATCH(A173,Maniobras!$A$5:$A$504,0)),""))</f>
        <v/>
      </c>
      <c r="G173" s="37" t="n"/>
      <c r="H173" s="37" t="n"/>
      <c r="I173" s="37">
        <f>IF(G173="","",G173+N(H173))</f>
        <v/>
      </c>
      <c r="J173" s="36" t="n"/>
      <c r="K173" s="40" t="n"/>
      <c r="L173" s="36" t="n"/>
      <c r="M173">
        <f>IF($A173=Ficha!$B$3,COUNTIF($A$5:$A173,Ficha!$B$3),"")</f>
        <v/>
      </c>
    </row>
    <row r="174">
      <c r="A174" s="38" t="n"/>
      <c r="B174" s="41">
        <f>IF(A174="","",IFERROR(INDEX(Maniobras!$B$5:$B$504,MATCH(A174,Maniobras!$A$5:$A$504,0)),""))</f>
        <v/>
      </c>
      <c r="C174" s="38">
        <f>IF(B174="","",TEXT(B174,"yyyy-mm"))</f>
        <v/>
      </c>
      <c r="D174" s="38">
        <f>IF(A174="","",IFERROR(INDEX(Maniobras!$D$5:$D$504,MATCH(A174,Maniobras!$A$5:$A$504,0)),""))</f>
        <v/>
      </c>
      <c r="E174" s="38" t="n"/>
      <c r="F174" s="39">
        <f>IF(A174="","",IFERROR(INDEX(Maniobras!$K$5:$K$504,MATCH(A174,Maniobras!$A$5:$A$504,0)),""))</f>
        <v/>
      </c>
      <c r="G174" s="39" t="n"/>
      <c r="H174" s="39" t="n"/>
      <c r="I174" s="39">
        <f>IF(G174="","",G174+N(H174))</f>
        <v/>
      </c>
      <c r="J174" s="38" t="n"/>
      <c r="K174" s="41" t="n"/>
      <c r="L174" s="38" t="n"/>
      <c r="M174">
        <f>IF($A174=Ficha!$B$3,COUNTIF($A$5:$A174,Ficha!$B$3),"")</f>
        <v/>
      </c>
    </row>
    <row r="175">
      <c r="A175" s="36" t="n"/>
      <c r="B175" s="40">
        <f>IF(A175="","",IFERROR(INDEX(Maniobras!$B$5:$B$504,MATCH(A175,Maniobras!$A$5:$A$504,0)),""))</f>
        <v/>
      </c>
      <c r="C175" s="36">
        <f>IF(B175="","",TEXT(B175,"yyyy-mm"))</f>
        <v/>
      </c>
      <c r="D175" s="36">
        <f>IF(A175="","",IFERROR(INDEX(Maniobras!$D$5:$D$504,MATCH(A175,Maniobras!$A$5:$A$504,0)),""))</f>
        <v/>
      </c>
      <c r="E175" s="36" t="n"/>
      <c r="F175" s="37">
        <f>IF(A175="","",IFERROR(INDEX(Maniobras!$K$5:$K$504,MATCH(A175,Maniobras!$A$5:$A$504,0)),""))</f>
        <v/>
      </c>
      <c r="G175" s="37" t="n"/>
      <c r="H175" s="37" t="n"/>
      <c r="I175" s="37">
        <f>IF(G175="","",G175+N(H175))</f>
        <v/>
      </c>
      <c r="J175" s="36" t="n"/>
      <c r="K175" s="40" t="n"/>
      <c r="L175" s="36" t="n"/>
      <c r="M175">
        <f>IF($A175=Ficha!$B$3,COUNTIF($A$5:$A175,Ficha!$B$3),"")</f>
        <v/>
      </c>
    </row>
    <row r="176">
      <c r="A176" s="38" t="n"/>
      <c r="B176" s="41">
        <f>IF(A176="","",IFERROR(INDEX(Maniobras!$B$5:$B$504,MATCH(A176,Maniobras!$A$5:$A$504,0)),""))</f>
        <v/>
      </c>
      <c r="C176" s="38">
        <f>IF(B176="","",TEXT(B176,"yyyy-mm"))</f>
        <v/>
      </c>
      <c r="D176" s="38">
        <f>IF(A176="","",IFERROR(INDEX(Maniobras!$D$5:$D$504,MATCH(A176,Maniobras!$A$5:$A$504,0)),""))</f>
        <v/>
      </c>
      <c r="E176" s="38" t="n"/>
      <c r="F176" s="39">
        <f>IF(A176="","",IFERROR(INDEX(Maniobras!$K$5:$K$504,MATCH(A176,Maniobras!$A$5:$A$504,0)),""))</f>
        <v/>
      </c>
      <c r="G176" s="39" t="n"/>
      <c r="H176" s="39" t="n"/>
      <c r="I176" s="39">
        <f>IF(G176="","",G176+N(H176))</f>
        <v/>
      </c>
      <c r="J176" s="38" t="n"/>
      <c r="K176" s="41" t="n"/>
      <c r="L176" s="38" t="n"/>
      <c r="M176">
        <f>IF($A176=Ficha!$B$3,COUNTIF($A$5:$A176,Ficha!$B$3),"")</f>
        <v/>
      </c>
    </row>
    <row r="177">
      <c r="A177" s="36" t="n"/>
      <c r="B177" s="40">
        <f>IF(A177="","",IFERROR(INDEX(Maniobras!$B$5:$B$504,MATCH(A177,Maniobras!$A$5:$A$504,0)),""))</f>
        <v/>
      </c>
      <c r="C177" s="36">
        <f>IF(B177="","",TEXT(B177,"yyyy-mm"))</f>
        <v/>
      </c>
      <c r="D177" s="36">
        <f>IF(A177="","",IFERROR(INDEX(Maniobras!$D$5:$D$504,MATCH(A177,Maniobras!$A$5:$A$504,0)),""))</f>
        <v/>
      </c>
      <c r="E177" s="36" t="n"/>
      <c r="F177" s="37">
        <f>IF(A177="","",IFERROR(INDEX(Maniobras!$K$5:$K$504,MATCH(A177,Maniobras!$A$5:$A$504,0)),""))</f>
        <v/>
      </c>
      <c r="G177" s="37" t="n"/>
      <c r="H177" s="37" t="n"/>
      <c r="I177" s="37">
        <f>IF(G177="","",G177+N(H177))</f>
        <v/>
      </c>
      <c r="J177" s="36" t="n"/>
      <c r="K177" s="40" t="n"/>
      <c r="L177" s="36" t="n"/>
      <c r="M177">
        <f>IF($A177=Ficha!$B$3,COUNTIF($A$5:$A177,Ficha!$B$3),"")</f>
        <v/>
      </c>
    </row>
    <row r="178">
      <c r="A178" s="38" t="n"/>
      <c r="B178" s="41">
        <f>IF(A178="","",IFERROR(INDEX(Maniobras!$B$5:$B$504,MATCH(A178,Maniobras!$A$5:$A$504,0)),""))</f>
        <v/>
      </c>
      <c r="C178" s="38">
        <f>IF(B178="","",TEXT(B178,"yyyy-mm"))</f>
        <v/>
      </c>
      <c r="D178" s="38">
        <f>IF(A178="","",IFERROR(INDEX(Maniobras!$D$5:$D$504,MATCH(A178,Maniobras!$A$5:$A$504,0)),""))</f>
        <v/>
      </c>
      <c r="E178" s="38" t="n"/>
      <c r="F178" s="39">
        <f>IF(A178="","",IFERROR(INDEX(Maniobras!$K$5:$K$504,MATCH(A178,Maniobras!$A$5:$A$504,0)),""))</f>
        <v/>
      </c>
      <c r="G178" s="39" t="n"/>
      <c r="H178" s="39" t="n"/>
      <c r="I178" s="39">
        <f>IF(G178="","",G178+N(H178))</f>
        <v/>
      </c>
      <c r="J178" s="38" t="n"/>
      <c r="K178" s="41" t="n"/>
      <c r="L178" s="38" t="n"/>
      <c r="M178">
        <f>IF($A178=Ficha!$B$3,COUNTIF($A$5:$A178,Ficha!$B$3),"")</f>
        <v/>
      </c>
    </row>
    <row r="179">
      <c r="A179" s="36" t="n"/>
      <c r="B179" s="40">
        <f>IF(A179="","",IFERROR(INDEX(Maniobras!$B$5:$B$504,MATCH(A179,Maniobras!$A$5:$A$504,0)),""))</f>
        <v/>
      </c>
      <c r="C179" s="36">
        <f>IF(B179="","",TEXT(B179,"yyyy-mm"))</f>
        <v/>
      </c>
      <c r="D179" s="36">
        <f>IF(A179="","",IFERROR(INDEX(Maniobras!$D$5:$D$504,MATCH(A179,Maniobras!$A$5:$A$504,0)),""))</f>
        <v/>
      </c>
      <c r="E179" s="36" t="n"/>
      <c r="F179" s="37">
        <f>IF(A179="","",IFERROR(INDEX(Maniobras!$K$5:$K$504,MATCH(A179,Maniobras!$A$5:$A$504,0)),""))</f>
        <v/>
      </c>
      <c r="G179" s="37" t="n"/>
      <c r="H179" s="37" t="n"/>
      <c r="I179" s="37">
        <f>IF(G179="","",G179+N(H179))</f>
        <v/>
      </c>
      <c r="J179" s="36" t="n"/>
      <c r="K179" s="40" t="n"/>
      <c r="L179" s="36" t="n"/>
      <c r="M179">
        <f>IF($A179=Ficha!$B$3,COUNTIF($A$5:$A179,Ficha!$B$3),"")</f>
        <v/>
      </c>
    </row>
    <row r="180">
      <c r="A180" s="38" t="n"/>
      <c r="B180" s="41">
        <f>IF(A180="","",IFERROR(INDEX(Maniobras!$B$5:$B$504,MATCH(A180,Maniobras!$A$5:$A$504,0)),""))</f>
        <v/>
      </c>
      <c r="C180" s="38">
        <f>IF(B180="","",TEXT(B180,"yyyy-mm"))</f>
        <v/>
      </c>
      <c r="D180" s="38">
        <f>IF(A180="","",IFERROR(INDEX(Maniobras!$D$5:$D$504,MATCH(A180,Maniobras!$A$5:$A$504,0)),""))</f>
        <v/>
      </c>
      <c r="E180" s="38" t="n"/>
      <c r="F180" s="39">
        <f>IF(A180="","",IFERROR(INDEX(Maniobras!$K$5:$K$504,MATCH(A180,Maniobras!$A$5:$A$504,0)),""))</f>
        <v/>
      </c>
      <c r="G180" s="39" t="n"/>
      <c r="H180" s="39" t="n"/>
      <c r="I180" s="39">
        <f>IF(G180="","",G180+N(H180))</f>
        <v/>
      </c>
      <c r="J180" s="38" t="n"/>
      <c r="K180" s="41" t="n"/>
      <c r="L180" s="38" t="n"/>
      <c r="M180">
        <f>IF($A180=Ficha!$B$3,COUNTIF($A$5:$A180,Ficha!$B$3),"")</f>
        <v/>
      </c>
    </row>
    <row r="181">
      <c r="A181" s="36" t="n"/>
      <c r="B181" s="40">
        <f>IF(A181="","",IFERROR(INDEX(Maniobras!$B$5:$B$504,MATCH(A181,Maniobras!$A$5:$A$504,0)),""))</f>
        <v/>
      </c>
      <c r="C181" s="36">
        <f>IF(B181="","",TEXT(B181,"yyyy-mm"))</f>
        <v/>
      </c>
      <c r="D181" s="36">
        <f>IF(A181="","",IFERROR(INDEX(Maniobras!$D$5:$D$504,MATCH(A181,Maniobras!$A$5:$A$504,0)),""))</f>
        <v/>
      </c>
      <c r="E181" s="36" t="n"/>
      <c r="F181" s="37">
        <f>IF(A181="","",IFERROR(INDEX(Maniobras!$K$5:$K$504,MATCH(A181,Maniobras!$A$5:$A$504,0)),""))</f>
        <v/>
      </c>
      <c r="G181" s="37" t="n"/>
      <c r="H181" s="37" t="n"/>
      <c r="I181" s="37">
        <f>IF(G181="","",G181+N(H181))</f>
        <v/>
      </c>
      <c r="J181" s="36" t="n"/>
      <c r="K181" s="40" t="n"/>
      <c r="L181" s="36" t="n"/>
      <c r="M181">
        <f>IF($A181=Ficha!$B$3,COUNTIF($A$5:$A181,Ficha!$B$3),"")</f>
        <v/>
      </c>
    </row>
    <row r="182">
      <c r="A182" s="38" t="n"/>
      <c r="B182" s="41">
        <f>IF(A182="","",IFERROR(INDEX(Maniobras!$B$5:$B$504,MATCH(A182,Maniobras!$A$5:$A$504,0)),""))</f>
        <v/>
      </c>
      <c r="C182" s="38">
        <f>IF(B182="","",TEXT(B182,"yyyy-mm"))</f>
        <v/>
      </c>
      <c r="D182" s="38">
        <f>IF(A182="","",IFERROR(INDEX(Maniobras!$D$5:$D$504,MATCH(A182,Maniobras!$A$5:$A$504,0)),""))</f>
        <v/>
      </c>
      <c r="E182" s="38" t="n"/>
      <c r="F182" s="39">
        <f>IF(A182="","",IFERROR(INDEX(Maniobras!$K$5:$K$504,MATCH(A182,Maniobras!$A$5:$A$504,0)),""))</f>
        <v/>
      </c>
      <c r="G182" s="39" t="n"/>
      <c r="H182" s="39" t="n"/>
      <c r="I182" s="39">
        <f>IF(G182="","",G182+N(H182))</f>
        <v/>
      </c>
      <c r="J182" s="38" t="n"/>
      <c r="K182" s="41" t="n"/>
      <c r="L182" s="38" t="n"/>
      <c r="M182">
        <f>IF($A182=Ficha!$B$3,COUNTIF($A$5:$A182,Ficha!$B$3),"")</f>
        <v/>
      </c>
    </row>
    <row r="183">
      <c r="A183" s="36" t="n"/>
      <c r="B183" s="40">
        <f>IF(A183="","",IFERROR(INDEX(Maniobras!$B$5:$B$504,MATCH(A183,Maniobras!$A$5:$A$504,0)),""))</f>
        <v/>
      </c>
      <c r="C183" s="36">
        <f>IF(B183="","",TEXT(B183,"yyyy-mm"))</f>
        <v/>
      </c>
      <c r="D183" s="36">
        <f>IF(A183="","",IFERROR(INDEX(Maniobras!$D$5:$D$504,MATCH(A183,Maniobras!$A$5:$A$504,0)),""))</f>
        <v/>
      </c>
      <c r="E183" s="36" t="n"/>
      <c r="F183" s="37">
        <f>IF(A183="","",IFERROR(INDEX(Maniobras!$K$5:$K$504,MATCH(A183,Maniobras!$A$5:$A$504,0)),""))</f>
        <v/>
      </c>
      <c r="G183" s="37" t="n"/>
      <c r="H183" s="37" t="n"/>
      <c r="I183" s="37">
        <f>IF(G183="","",G183+N(H183))</f>
        <v/>
      </c>
      <c r="J183" s="36" t="n"/>
      <c r="K183" s="40" t="n"/>
      <c r="L183" s="36" t="n"/>
      <c r="M183">
        <f>IF($A183=Ficha!$B$3,COUNTIF($A$5:$A183,Ficha!$B$3),"")</f>
        <v/>
      </c>
    </row>
    <row r="184">
      <c r="A184" s="38" t="n"/>
      <c r="B184" s="41">
        <f>IF(A184="","",IFERROR(INDEX(Maniobras!$B$5:$B$504,MATCH(A184,Maniobras!$A$5:$A$504,0)),""))</f>
        <v/>
      </c>
      <c r="C184" s="38">
        <f>IF(B184="","",TEXT(B184,"yyyy-mm"))</f>
        <v/>
      </c>
      <c r="D184" s="38">
        <f>IF(A184="","",IFERROR(INDEX(Maniobras!$D$5:$D$504,MATCH(A184,Maniobras!$A$5:$A$504,0)),""))</f>
        <v/>
      </c>
      <c r="E184" s="38" t="n"/>
      <c r="F184" s="39">
        <f>IF(A184="","",IFERROR(INDEX(Maniobras!$K$5:$K$504,MATCH(A184,Maniobras!$A$5:$A$504,0)),""))</f>
        <v/>
      </c>
      <c r="G184" s="39" t="n"/>
      <c r="H184" s="39" t="n"/>
      <c r="I184" s="39">
        <f>IF(G184="","",G184+N(H184))</f>
        <v/>
      </c>
      <c r="J184" s="38" t="n"/>
      <c r="K184" s="41" t="n"/>
      <c r="L184" s="38" t="n"/>
      <c r="M184">
        <f>IF($A184=Ficha!$B$3,COUNTIF($A$5:$A184,Ficha!$B$3),"")</f>
        <v/>
      </c>
    </row>
    <row r="185">
      <c r="A185" s="36" t="n"/>
      <c r="B185" s="40">
        <f>IF(A185="","",IFERROR(INDEX(Maniobras!$B$5:$B$504,MATCH(A185,Maniobras!$A$5:$A$504,0)),""))</f>
        <v/>
      </c>
      <c r="C185" s="36">
        <f>IF(B185="","",TEXT(B185,"yyyy-mm"))</f>
        <v/>
      </c>
      <c r="D185" s="36">
        <f>IF(A185="","",IFERROR(INDEX(Maniobras!$D$5:$D$504,MATCH(A185,Maniobras!$A$5:$A$504,0)),""))</f>
        <v/>
      </c>
      <c r="E185" s="36" t="n"/>
      <c r="F185" s="37">
        <f>IF(A185="","",IFERROR(INDEX(Maniobras!$K$5:$K$504,MATCH(A185,Maniobras!$A$5:$A$504,0)),""))</f>
        <v/>
      </c>
      <c r="G185" s="37" t="n"/>
      <c r="H185" s="37" t="n"/>
      <c r="I185" s="37">
        <f>IF(G185="","",G185+N(H185))</f>
        <v/>
      </c>
      <c r="J185" s="36" t="n"/>
      <c r="K185" s="40" t="n"/>
      <c r="L185" s="36" t="n"/>
      <c r="M185">
        <f>IF($A185=Ficha!$B$3,COUNTIF($A$5:$A185,Ficha!$B$3),"")</f>
        <v/>
      </c>
    </row>
    <row r="186">
      <c r="A186" s="38" t="n"/>
      <c r="B186" s="41">
        <f>IF(A186="","",IFERROR(INDEX(Maniobras!$B$5:$B$504,MATCH(A186,Maniobras!$A$5:$A$504,0)),""))</f>
        <v/>
      </c>
      <c r="C186" s="38">
        <f>IF(B186="","",TEXT(B186,"yyyy-mm"))</f>
        <v/>
      </c>
      <c r="D186" s="38">
        <f>IF(A186="","",IFERROR(INDEX(Maniobras!$D$5:$D$504,MATCH(A186,Maniobras!$A$5:$A$504,0)),""))</f>
        <v/>
      </c>
      <c r="E186" s="38" t="n"/>
      <c r="F186" s="39">
        <f>IF(A186="","",IFERROR(INDEX(Maniobras!$K$5:$K$504,MATCH(A186,Maniobras!$A$5:$A$504,0)),""))</f>
        <v/>
      </c>
      <c r="G186" s="39" t="n"/>
      <c r="H186" s="39" t="n"/>
      <c r="I186" s="39">
        <f>IF(G186="","",G186+N(H186))</f>
        <v/>
      </c>
      <c r="J186" s="38" t="n"/>
      <c r="K186" s="41" t="n"/>
      <c r="L186" s="38" t="n"/>
      <c r="M186">
        <f>IF($A186=Ficha!$B$3,COUNTIF($A$5:$A186,Ficha!$B$3),"")</f>
        <v/>
      </c>
    </row>
    <row r="187">
      <c r="A187" s="36" t="n"/>
      <c r="B187" s="40">
        <f>IF(A187="","",IFERROR(INDEX(Maniobras!$B$5:$B$504,MATCH(A187,Maniobras!$A$5:$A$504,0)),""))</f>
        <v/>
      </c>
      <c r="C187" s="36">
        <f>IF(B187="","",TEXT(B187,"yyyy-mm"))</f>
        <v/>
      </c>
      <c r="D187" s="36">
        <f>IF(A187="","",IFERROR(INDEX(Maniobras!$D$5:$D$504,MATCH(A187,Maniobras!$A$5:$A$504,0)),""))</f>
        <v/>
      </c>
      <c r="E187" s="36" t="n"/>
      <c r="F187" s="37">
        <f>IF(A187="","",IFERROR(INDEX(Maniobras!$K$5:$K$504,MATCH(A187,Maniobras!$A$5:$A$504,0)),""))</f>
        <v/>
      </c>
      <c r="G187" s="37" t="n"/>
      <c r="H187" s="37" t="n"/>
      <c r="I187" s="37">
        <f>IF(G187="","",G187+N(H187))</f>
        <v/>
      </c>
      <c r="J187" s="36" t="n"/>
      <c r="K187" s="40" t="n"/>
      <c r="L187" s="36" t="n"/>
      <c r="M187">
        <f>IF($A187=Ficha!$B$3,COUNTIF($A$5:$A187,Ficha!$B$3),"")</f>
        <v/>
      </c>
    </row>
    <row r="188">
      <c r="A188" s="38" t="n"/>
      <c r="B188" s="41">
        <f>IF(A188="","",IFERROR(INDEX(Maniobras!$B$5:$B$504,MATCH(A188,Maniobras!$A$5:$A$504,0)),""))</f>
        <v/>
      </c>
      <c r="C188" s="38">
        <f>IF(B188="","",TEXT(B188,"yyyy-mm"))</f>
        <v/>
      </c>
      <c r="D188" s="38">
        <f>IF(A188="","",IFERROR(INDEX(Maniobras!$D$5:$D$504,MATCH(A188,Maniobras!$A$5:$A$504,0)),""))</f>
        <v/>
      </c>
      <c r="E188" s="38" t="n"/>
      <c r="F188" s="39">
        <f>IF(A188="","",IFERROR(INDEX(Maniobras!$K$5:$K$504,MATCH(A188,Maniobras!$A$5:$A$504,0)),""))</f>
        <v/>
      </c>
      <c r="G188" s="39" t="n"/>
      <c r="H188" s="39" t="n"/>
      <c r="I188" s="39">
        <f>IF(G188="","",G188+N(H188))</f>
        <v/>
      </c>
      <c r="J188" s="38" t="n"/>
      <c r="K188" s="41" t="n"/>
      <c r="L188" s="38" t="n"/>
      <c r="M188">
        <f>IF($A188=Ficha!$B$3,COUNTIF($A$5:$A188,Ficha!$B$3),"")</f>
        <v/>
      </c>
    </row>
    <row r="189">
      <c r="A189" s="36" t="n"/>
      <c r="B189" s="40">
        <f>IF(A189="","",IFERROR(INDEX(Maniobras!$B$5:$B$504,MATCH(A189,Maniobras!$A$5:$A$504,0)),""))</f>
        <v/>
      </c>
      <c r="C189" s="36">
        <f>IF(B189="","",TEXT(B189,"yyyy-mm"))</f>
        <v/>
      </c>
      <c r="D189" s="36">
        <f>IF(A189="","",IFERROR(INDEX(Maniobras!$D$5:$D$504,MATCH(A189,Maniobras!$A$5:$A$504,0)),""))</f>
        <v/>
      </c>
      <c r="E189" s="36" t="n"/>
      <c r="F189" s="37">
        <f>IF(A189="","",IFERROR(INDEX(Maniobras!$K$5:$K$504,MATCH(A189,Maniobras!$A$5:$A$504,0)),""))</f>
        <v/>
      </c>
      <c r="G189" s="37" t="n"/>
      <c r="H189" s="37" t="n"/>
      <c r="I189" s="37">
        <f>IF(G189="","",G189+N(H189))</f>
        <v/>
      </c>
      <c r="J189" s="36" t="n"/>
      <c r="K189" s="40" t="n"/>
      <c r="L189" s="36" t="n"/>
      <c r="M189">
        <f>IF($A189=Ficha!$B$3,COUNTIF($A$5:$A189,Ficha!$B$3),"")</f>
        <v/>
      </c>
    </row>
    <row r="190">
      <c r="A190" s="38" t="n"/>
      <c r="B190" s="41">
        <f>IF(A190="","",IFERROR(INDEX(Maniobras!$B$5:$B$504,MATCH(A190,Maniobras!$A$5:$A$504,0)),""))</f>
        <v/>
      </c>
      <c r="C190" s="38">
        <f>IF(B190="","",TEXT(B190,"yyyy-mm"))</f>
        <v/>
      </c>
      <c r="D190" s="38">
        <f>IF(A190="","",IFERROR(INDEX(Maniobras!$D$5:$D$504,MATCH(A190,Maniobras!$A$5:$A$504,0)),""))</f>
        <v/>
      </c>
      <c r="E190" s="38" t="n"/>
      <c r="F190" s="39">
        <f>IF(A190="","",IFERROR(INDEX(Maniobras!$K$5:$K$504,MATCH(A190,Maniobras!$A$5:$A$504,0)),""))</f>
        <v/>
      </c>
      <c r="G190" s="39" t="n"/>
      <c r="H190" s="39" t="n"/>
      <c r="I190" s="39">
        <f>IF(G190="","",G190+N(H190))</f>
        <v/>
      </c>
      <c r="J190" s="38" t="n"/>
      <c r="K190" s="41" t="n"/>
      <c r="L190" s="38" t="n"/>
      <c r="M190">
        <f>IF($A190=Ficha!$B$3,COUNTIF($A$5:$A190,Ficha!$B$3),"")</f>
        <v/>
      </c>
    </row>
    <row r="191">
      <c r="A191" s="36" t="n"/>
      <c r="B191" s="40">
        <f>IF(A191="","",IFERROR(INDEX(Maniobras!$B$5:$B$504,MATCH(A191,Maniobras!$A$5:$A$504,0)),""))</f>
        <v/>
      </c>
      <c r="C191" s="36">
        <f>IF(B191="","",TEXT(B191,"yyyy-mm"))</f>
        <v/>
      </c>
      <c r="D191" s="36">
        <f>IF(A191="","",IFERROR(INDEX(Maniobras!$D$5:$D$504,MATCH(A191,Maniobras!$A$5:$A$504,0)),""))</f>
        <v/>
      </c>
      <c r="E191" s="36" t="n"/>
      <c r="F191" s="37">
        <f>IF(A191="","",IFERROR(INDEX(Maniobras!$K$5:$K$504,MATCH(A191,Maniobras!$A$5:$A$504,0)),""))</f>
        <v/>
      </c>
      <c r="G191" s="37" t="n"/>
      <c r="H191" s="37" t="n"/>
      <c r="I191" s="37">
        <f>IF(G191="","",G191+N(H191))</f>
        <v/>
      </c>
      <c r="J191" s="36" t="n"/>
      <c r="K191" s="40" t="n"/>
      <c r="L191" s="36" t="n"/>
      <c r="M191">
        <f>IF($A191=Ficha!$B$3,COUNTIF($A$5:$A191,Ficha!$B$3),"")</f>
        <v/>
      </c>
    </row>
    <row r="192">
      <c r="A192" s="38" t="n"/>
      <c r="B192" s="41">
        <f>IF(A192="","",IFERROR(INDEX(Maniobras!$B$5:$B$504,MATCH(A192,Maniobras!$A$5:$A$504,0)),""))</f>
        <v/>
      </c>
      <c r="C192" s="38">
        <f>IF(B192="","",TEXT(B192,"yyyy-mm"))</f>
        <v/>
      </c>
      <c r="D192" s="38">
        <f>IF(A192="","",IFERROR(INDEX(Maniobras!$D$5:$D$504,MATCH(A192,Maniobras!$A$5:$A$504,0)),""))</f>
        <v/>
      </c>
      <c r="E192" s="38" t="n"/>
      <c r="F192" s="39">
        <f>IF(A192="","",IFERROR(INDEX(Maniobras!$K$5:$K$504,MATCH(A192,Maniobras!$A$5:$A$504,0)),""))</f>
        <v/>
      </c>
      <c r="G192" s="39" t="n"/>
      <c r="H192" s="39" t="n"/>
      <c r="I192" s="39">
        <f>IF(G192="","",G192+N(H192))</f>
        <v/>
      </c>
      <c r="J192" s="38" t="n"/>
      <c r="K192" s="41" t="n"/>
      <c r="L192" s="38" t="n"/>
      <c r="M192">
        <f>IF($A192=Ficha!$B$3,COUNTIF($A$5:$A192,Ficha!$B$3),"")</f>
        <v/>
      </c>
    </row>
    <row r="193">
      <c r="A193" s="36" t="n"/>
      <c r="B193" s="40">
        <f>IF(A193="","",IFERROR(INDEX(Maniobras!$B$5:$B$504,MATCH(A193,Maniobras!$A$5:$A$504,0)),""))</f>
        <v/>
      </c>
      <c r="C193" s="36">
        <f>IF(B193="","",TEXT(B193,"yyyy-mm"))</f>
        <v/>
      </c>
      <c r="D193" s="36">
        <f>IF(A193="","",IFERROR(INDEX(Maniobras!$D$5:$D$504,MATCH(A193,Maniobras!$A$5:$A$504,0)),""))</f>
        <v/>
      </c>
      <c r="E193" s="36" t="n"/>
      <c r="F193" s="37">
        <f>IF(A193="","",IFERROR(INDEX(Maniobras!$K$5:$K$504,MATCH(A193,Maniobras!$A$5:$A$504,0)),""))</f>
        <v/>
      </c>
      <c r="G193" s="37" t="n"/>
      <c r="H193" s="37" t="n"/>
      <c r="I193" s="37">
        <f>IF(G193="","",G193+N(H193))</f>
        <v/>
      </c>
      <c r="J193" s="36" t="n"/>
      <c r="K193" s="40" t="n"/>
      <c r="L193" s="36" t="n"/>
      <c r="M193">
        <f>IF($A193=Ficha!$B$3,COUNTIF($A$5:$A193,Ficha!$B$3),"")</f>
        <v/>
      </c>
    </row>
    <row r="194">
      <c r="A194" s="38" t="n"/>
      <c r="B194" s="41">
        <f>IF(A194="","",IFERROR(INDEX(Maniobras!$B$5:$B$504,MATCH(A194,Maniobras!$A$5:$A$504,0)),""))</f>
        <v/>
      </c>
      <c r="C194" s="38">
        <f>IF(B194="","",TEXT(B194,"yyyy-mm"))</f>
        <v/>
      </c>
      <c r="D194" s="38">
        <f>IF(A194="","",IFERROR(INDEX(Maniobras!$D$5:$D$504,MATCH(A194,Maniobras!$A$5:$A$504,0)),""))</f>
        <v/>
      </c>
      <c r="E194" s="38" t="n"/>
      <c r="F194" s="39">
        <f>IF(A194="","",IFERROR(INDEX(Maniobras!$K$5:$K$504,MATCH(A194,Maniobras!$A$5:$A$504,0)),""))</f>
        <v/>
      </c>
      <c r="G194" s="39" t="n"/>
      <c r="H194" s="39" t="n"/>
      <c r="I194" s="39">
        <f>IF(G194="","",G194+N(H194))</f>
        <v/>
      </c>
      <c r="J194" s="38" t="n"/>
      <c r="K194" s="41" t="n"/>
      <c r="L194" s="38" t="n"/>
      <c r="M194">
        <f>IF($A194=Ficha!$B$3,COUNTIF($A$5:$A194,Ficha!$B$3),"")</f>
        <v/>
      </c>
    </row>
    <row r="195">
      <c r="A195" s="36" t="n"/>
      <c r="B195" s="40">
        <f>IF(A195="","",IFERROR(INDEX(Maniobras!$B$5:$B$504,MATCH(A195,Maniobras!$A$5:$A$504,0)),""))</f>
        <v/>
      </c>
      <c r="C195" s="36">
        <f>IF(B195="","",TEXT(B195,"yyyy-mm"))</f>
        <v/>
      </c>
      <c r="D195" s="36">
        <f>IF(A195="","",IFERROR(INDEX(Maniobras!$D$5:$D$504,MATCH(A195,Maniobras!$A$5:$A$504,0)),""))</f>
        <v/>
      </c>
      <c r="E195" s="36" t="n"/>
      <c r="F195" s="37">
        <f>IF(A195="","",IFERROR(INDEX(Maniobras!$K$5:$K$504,MATCH(A195,Maniobras!$A$5:$A$504,0)),""))</f>
        <v/>
      </c>
      <c r="G195" s="37" t="n"/>
      <c r="H195" s="37" t="n"/>
      <c r="I195" s="37">
        <f>IF(G195="","",G195+N(H195))</f>
        <v/>
      </c>
      <c r="J195" s="36" t="n"/>
      <c r="K195" s="40" t="n"/>
      <c r="L195" s="36" t="n"/>
      <c r="M195">
        <f>IF($A195=Ficha!$B$3,COUNTIF($A$5:$A195,Ficha!$B$3),"")</f>
        <v/>
      </c>
    </row>
    <row r="196">
      <c r="A196" s="38" t="n"/>
      <c r="B196" s="41">
        <f>IF(A196="","",IFERROR(INDEX(Maniobras!$B$5:$B$504,MATCH(A196,Maniobras!$A$5:$A$504,0)),""))</f>
        <v/>
      </c>
      <c r="C196" s="38">
        <f>IF(B196="","",TEXT(B196,"yyyy-mm"))</f>
        <v/>
      </c>
      <c r="D196" s="38">
        <f>IF(A196="","",IFERROR(INDEX(Maniobras!$D$5:$D$504,MATCH(A196,Maniobras!$A$5:$A$504,0)),""))</f>
        <v/>
      </c>
      <c r="E196" s="38" t="n"/>
      <c r="F196" s="39">
        <f>IF(A196="","",IFERROR(INDEX(Maniobras!$K$5:$K$504,MATCH(A196,Maniobras!$A$5:$A$504,0)),""))</f>
        <v/>
      </c>
      <c r="G196" s="39" t="n"/>
      <c r="H196" s="39" t="n"/>
      <c r="I196" s="39">
        <f>IF(G196="","",G196+N(H196))</f>
        <v/>
      </c>
      <c r="J196" s="38" t="n"/>
      <c r="K196" s="41" t="n"/>
      <c r="L196" s="38" t="n"/>
      <c r="M196">
        <f>IF($A196=Ficha!$B$3,COUNTIF($A$5:$A196,Ficha!$B$3),"")</f>
        <v/>
      </c>
    </row>
    <row r="197">
      <c r="A197" s="36" t="n"/>
      <c r="B197" s="40">
        <f>IF(A197="","",IFERROR(INDEX(Maniobras!$B$5:$B$504,MATCH(A197,Maniobras!$A$5:$A$504,0)),""))</f>
        <v/>
      </c>
      <c r="C197" s="36">
        <f>IF(B197="","",TEXT(B197,"yyyy-mm"))</f>
        <v/>
      </c>
      <c r="D197" s="36">
        <f>IF(A197="","",IFERROR(INDEX(Maniobras!$D$5:$D$504,MATCH(A197,Maniobras!$A$5:$A$504,0)),""))</f>
        <v/>
      </c>
      <c r="E197" s="36" t="n"/>
      <c r="F197" s="37">
        <f>IF(A197="","",IFERROR(INDEX(Maniobras!$K$5:$K$504,MATCH(A197,Maniobras!$A$5:$A$504,0)),""))</f>
        <v/>
      </c>
      <c r="G197" s="37" t="n"/>
      <c r="H197" s="37" t="n"/>
      <c r="I197" s="37">
        <f>IF(G197="","",G197+N(H197))</f>
        <v/>
      </c>
      <c r="J197" s="36" t="n"/>
      <c r="K197" s="40" t="n"/>
      <c r="L197" s="36" t="n"/>
      <c r="M197">
        <f>IF($A197=Ficha!$B$3,COUNTIF($A$5:$A197,Ficha!$B$3),"")</f>
        <v/>
      </c>
    </row>
    <row r="198">
      <c r="A198" s="38" t="n"/>
      <c r="B198" s="41">
        <f>IF(A198="","",IFERROR(INDEX(Maniobras!$B$5:$B$504,MATCH(A198,Maniobras!$A$5:$A$504,0)),""))</f>
        <v/>
      </c>
      <c r="C198" s="38">
        <f>IF(B198="","",TEXT(B198,"yyyy-mm"))</f>
        <v/>
      </c>
      <c r="D198" s="38">
        <f>IF(A198="","",IFERROR(INDEX(Maniobras!$D$5:$D$504,MATCH(A198,Maniobras!$A$5:$A$504,0)),""))</f>
        <v/>
      </c>
      <c r="E198" s="38" t="n"/>
      <c r="F198" s="39">
        <f>IF(A198="","",IFERROR(INDEX(Maniobras!$K$5:$K$504,MATCH(A198,Maniobras!$A$5:$A$504,0)),""))</f>
        <v/>
      </c>
      <c r="G198" s="39" t="n"/>
      <c r="H198" s="39" t="n"/>
      <c r="I198" s="39">
        <f>IF(G198="","",G198+N(H198))</f>
        <v/>
      </c>
      <c r="J198" s="38" t="n"/>
      <c r="K198" s="41" t="n"/>
      <c r="L198" s="38" t="n"/>
      <c r="M198">
        <f>IF($A198=Ficha!$B$3,COUNTIF($A$5:$A198,Ficha!$B$3),"")</f>
        <v/>
      </c>
    </row>
    <row r="199">
      <c r="A199" s="36" t="n"/>
      <c r="B199" s="40">
        <f>IF(A199="","",IFERROR(INDEX(Maniobras!$B$5:$B$504,MATCH(A199,Maniobras!$A$5:$A$504,0)),""))</f>
        <v/>
      </c>
      <c r="C199" s="36">
        <f>IF(B199="","",TEXT(B199,"yyyy-mm"))</f>
        <v/>
      </c>
      <c r="D199" s="36">
        <f>IF(A199="","",IFERROR(INDEX(Maniobras!$D$5:$D$504,MATCH(A199,Maniobras!$A$5:$A$504,0)),""))</f>
        <v/>
      </c>
      <c r="E199" s="36" t="n"/>
      <c r="F199" s="37">
        <f>IF(A199="","",IFERROR(INDEX(Maniobras!$K$5:$K$504,MATCH(A199,Maniobras!$A$5:$A$504,0)),""))</f>
        <v/>
      </c>
      <c r="G199" s="37" t="n"/>
      <c r="H199" s="37" t="n"/>
      <c r="I199" s="37">
        <f>IF(G199="","",G199+N(H199))</f>
        <v/>
      </c>
      <c r="J199" s="36" t="n"/>
      <c r="K199" s="40" t="n"/>
      <c r="L199" s="36" t="n"/>
      <c r="M199">
        <f>IF($A199=Ficha!$B$3,COUNTIF($A$5:$A199,Ficha!$B$3),"")</f>
        <v/>
      </c>
    </row>
    <row r="200">
      <c r="A200" s="38" t="n"/>
      <c r="B200" s="41">
        <f>IF(A200="","",IFERROR(INDEX(Maniobras!$B$5:$B$504,MATCH(A200,Maniobras!$A$5:$A$504,0)),""))</f>
        <v/>
      </c>
      <c r="C200" s="38">
        <f>IF(B200="","",TEXT(B200,"yyyy-mm"))</f>
        <v/>
      </c>
      <c r="D200" s="38">
        <f>IF(A200="","",IFERROR(INDEX(Maniobras!$D$5:$D$504,MATCH(A200,Maniobras!$A$5:$A$504,0)),""))</f>
        <v/>
      </c>
      <c r="E200" s="38" t="n"/>
      <c r="F200" s="39">
        <f>IF(A200="","",IFERROR(INDEX(Maniobras!$K$5:$K$504,MATCH(A200,Maniobras!$A$5:$A$504,0)),""))</f>
        <v/>
      </c>
      <c r="G200" s="39" t="n"/>
      <c r="H200" s="39" t="n"/>
      <c r="I200" s="39">
        <f>IF(G200="","",G200+N(H200))</f>
        <v/>
      </c>
      <c r="J200" s="38" t="n"/>
      <c r="K200" s="41" t="n"/>
      <c r="L200" s="38" t="n"/>
      <c r="M200">
        <f>IF($A200=Ficha!$B$3,COUNTIF($A$5:$A200,Ficha!$B$3),"")</f>
        <v/>
      </c>
    </row>
    <row r="201">
      <c r="A201" s="36" t="n"/>
      <c r="B201" s="40">
        <f>IF(A201="","",IFERROR(INDEX(Maniobras!$B$5:$B$504,MATCH(A201,Maniobras!$A$5:$A$504,0)),""))</f>
        <v/>
      </c>
      <c r="C201" s="36">
        <f>IF(B201="","",TEXT(B201,"yyyy-mm"))</f>
        <v/>
      </c>
      <c r="D201" s="36">
        <f>IF(A201="","",IFERROR(INDEX(Maniobras!$D$5:$D$504,MATCH(A201,Maniobras!$A$5:$A$504,0)),""))</f>
        <v/>
      </c>
      <c r="E201" s="36" t="n"/>
      <c r="F201" s="37">
        <f>IF(A201="","",IFERROR(INDEX(Maniobras!$K$5:$K$504,MATCH(A201,Maniobras!$A$5:$A$504,0)),""))</f>
        <v/>
      </c>
      <c r="G201" s="37" t="n"/>
      <c r="H201" s="37" t="n"/>
      <c r="I201" s="37">
        <f>IF(G201="","",G201+N(H201))</f>
        <v/>
      </c>
      <c r="J201" s="36" t="n"/>
      <c r="K201" s="40" t="n"/>
      <c r="L201" s="36" t="n"/>
      <c r="M201">
        <f>IF($A201=Ficha!$B$3,COUNTIF($A$5:$A201,Ficha!$B$3),"")</f>
        <v/>
      </c>
    </row>
    <row r="202">
      <c r="A202" s="38" t="n"/>
      <c r="B202" s="41">
        <f>IF(A202="","",IFERROR(INDEX(Maniobras!$B$5:$B$504,MATCH(A202,Maniobras!$A$5:$A$504,0)),""))</f>
        <v/>
      </c>
      <c r="C202" s="38">
        <f>IF(B202="","",TEXT(B202,"yyyy-mm"))</f>
        <v/>
      </c>
      <c r="D202" s="38">
        <f>IF(A202="","",IFERROR(INDEX(Maniobras!$D$5:$D$504,MATCH(A202,Maniobras!$A$5:$A$504,0)),""))</f>
        <v/>
      </c>
      <c r="E202" s="38" t="n"/>
      <c r="F202" s="39">
        <f>IF(A202="","",IFERROR(INDEX(Maniobras!$K$5:$K$504,MATCH(A202,Maniobras!$A$5:$A$504,0)),""))</f>
        <v/>
      </c>
      <c r="G202" s="39" t="n"/>
      <c r="H202" s="39" t="n"/>
      <c r="I202" s="39">
        <f>IF(G202="","",G202+N(H202))</f>
        <v/>
      </c>
      <c r="J202" s="38" t="n"/>
      <c r="K202" s="41" t="n"/>
      <c r="L202" s="38" t="n"/>
      <c r="M202">
        <f>IF($A202=Ficha!$B$3,COUNTIF($A$5:$A202,Ficha!$B$3),"")</f>
        <v/>
      </c>
    </row>
    <row r="203">
      <c r="A203" s="36" t="n"/>
      <c r="B203" s="40">
        <f>IF(A203="","",IFERROR(INDEX(Maniobras!$B$5:$B$504,MATCH(A203,Maniobras!$A$5:$A$504,0)),""))</f>
        <v/>
      </c>
      <c r="C203" s="36">
        <f>IF(B203="","",TEXT(B203,"yyyy-mm"))</f>
        <v/>
      </c>
      <c r="D203" s="36">
        <f>IF(A203="","",IFERROR(INDEX(Maniobras!$D$5:$D$504,MATCH(A203,Maniobras!$A$5:$A$504,0)),""))</f>
        <v/>
      </c>
      <c r="E203" s="36" t="n"/>
      <c r="F203" s="37">
        <f>IF(A203="","",IFERROR(INDEX(Maniobras!$K$5:$K$504,MATCH(A203,Maniobras!$A$5:$A$504,0)),""))</f>
        <v/>
      </c>
      <c r="G203" s="37" t="n"/>
      <c r="H203" s="37" t="n"/>
      <c r="I203" s="37">
        <f>IF(G203="","",G203+N(H203))</f>
        <v/>
      </c>
      <c r="J203" s="36" t="n"/>
      <c r="K203" s="40" t="n"/>
      <c r="L203" s="36" t="n"/>
      <c r="M203">
        <f>IF($A203=Ficha!$B$3,COUNTIF($A$5:$A203,Ficha!$B$3),"")</f>
        <v/>
      </c>
    </row>
    <row r="204">
      <c r="A204" s="38" t="n"/>
      <c r="B204" s="41">
        <f>IF(A204="","",IFERROR(INDEX(Maniobras!$B$5:$B$504,MATCH(A204,Maniobras!$A$5:$A$504,0)),""))</f>
        <v/>
      </c>
      <c r="C204" s="38">
        <f>IF(B204="","",TEXT(B204,"yyyy-mm"))</f>
        <v/>
      </c>
      <c r="D204" s="38">
        <f>IF(A204="","",IFERROR(INDEX(Maniobras!$D$5:$D$504,MATCH(A204,Maniobras!$A$5:$A$504,0)),""))</f>
        <v/>
      </c>
      <c r="E204" s="38" t="n"/>
      <c r="F204" s="39">
        <f>IF(A204="","",IFERROR(INDEX(Maniobras!$K$5:$K$504,MATCH(A204,Maniobras!$A$5:$A$504,0)),""))</f>
        <v/>
      </c>
      <c r="G204" s="39" t="n"/>
      <c r="H204" s="39" t="n"/>
      <c r="I204" s="39">
        <f>IF(G204="","",G204+N(H204))</f>
        <v/>
      </c>
      <c r="J204" s="38" t="n"/>
      <c r="K204" s="41" t="n"/>
      <c r="L204" s="38" t="n"/>
      <c r="M204">
        <f>IF($A204=Ficha!$B$3,COUNTIF($A$5:$A204,Ficha!$B$3),"")</f>
        <v/>
      </c>
    </row>
    <row r="205">
      <c r="A205" s="36" t="n"/>
      <c r="B205" s="40">
        <f>IF(A205="","",IFERROR(INDEX(Maniobras!$B$5:$B$504,MATCH(A205,Maniobras!$A$5:$A$504,0)),""))</f>
        <v/>
      </c>
      <c r="C205" s="36">
        <f>IF(B205="","",TEXT(B205,"yyyy-mm"))</f>
        <v/>
      </c>
      <c r="D205" s="36">
        <f>IF(A205="","",IFERROR(INDEX(Maniobras!$D$5:$D$504,MATCH(A205,Maniobras!$A$5:$A$504,0)),""))</f>
        <v/>
      </c>
      <c r="E205" s="36" t="n"/>
      <c r="F205" s="37">
        <f>IF(A205="","",IFERROR(INDEX(Maniobras!$K$5:$K$504,MATCH(A205,Maniobras!$A$5:$A$504,0)),""))</f>
        <v/>
      </c>
      <c r="G205" s="37" t="n"/>
      <c r="H205" s="37" t="n"/>
      <c r="I205" s="37">
        <f>IF(G205="","",G205+N(H205))</f>
        <v/>
      </c>
      <c r="J205" s="36" t="n"/>
      <c r="K205" s="40" t="n"/>
      <c r="L205" s="36" t="n"/>
      <c r="M205">
        <f>IF($A205=Ficha!$B$3,COUNTIF($A$5:$A205,Ficha!$B$3),"")</f>
        <v/>
      </c>
    </row>
    <row r="206">
      <c r="A206" s="38" t="n"/>
      <c r="B206" s="41">
        <f>IF(A206="","",IFERROR(INDEX(Maniobras!$B$5:$B$504,MATCH(A206,Maniobras!$A$5:$A$504,0)),""))</f>
        <v/>
      </c>
      <c r="C206" s="38">
        <f>IF(B206="","",TEXT(B206,"yyyy-mm"))</f>
        <v/>
      </c>
      <c r="D206" s="38">
        <f>IF(A206="","",IFERROR(INDEX(Maniobras!$D$5:$D$504,MATCH(A206,Maniobras!$A$5:$A$504,0)),""))</f>
        <v/>
      </c>
      <c r="E206" s="38" t="n"/>
      <c r="F206" s="39">
        <f>IF(A206="","",IFERROR(INDEX(Maniobras!$K$5:$K$504,MATCH(A206,Maniobras!$A$5:$A$504,0)),""))</f>
        <v/>
      </c>
      <c r="G206" s="39" t="n"/>
      <c r="H206" s="39" t="n"/>
      <c r="I206" s="39">
        <f>IF(G206="","",G206+N(H206))</f>
        <v/>
      </c>
      <c r="J206" s="38" t="n"/>
      <c r="K206" s="41" t="n"/>
      <c r="L206" s="38" t="n"/>
      <c r="M206">
        <f>IF($A206=Ficha!$B$3,COUNTIF($A$5:$A206,Ficha!$B$3),"")</f>
        <v/>
      </c>
    </row>
    <row r="207">
      <c r="A207" s="36" t="n"/>
      <c r="B207" s="40">
        <f>IF(A207="","",IFERROR(INDEX(Maniobras!$B$5:$B$504,MATCH(A207,Maniobras!$A$5:$A$504,0)),""))</f>
        <v/>
      </c>
      <c r="C207" s="36">
        <f>IF(B207="","",TEXT(B207,"yyyy-mm"))</f>
        <v/>
      </c>
      <c r="D207" s="36">
        <f>IF(A207="","",IFERROR(INDEX(Maniobras!$D$5:$D$504,MATCH(A207,Maniobras!$A$5:$A$504,0)),""))</f>
        <v/>
      </c>
      <c r="E207" s="36" t="n"/>
      <c r="F207" s="37">
        <f>IF(A207="","",IFERROR(INDEX(Maniobras!$K$5:$K$504,MATCH(A207,Maniobras!$A$5:$A$504,0)),""))</f>
        <v/>
      </c>
      <c r="G207" s="37" t="n"/>
      <c r="H207" s="37" t="n"/>
      <c r="I207" s="37">
        <f>IF(G207="","",G207+N(H207))</f>
        <v/>
      </c>
      <c r="J207" s="36" t="n"/>
      <c r="K207" s="40" t="n"/>
      <c r="L207" s="36" t="n"/>
      <c r="M207">
        <f>IF($A207=Ficha!$B$3,COUNTIF($A$5:$A207,Ficha!$B$3),"")</f>
        <v/>
      </c>
    </row>
    <row r="208">
      <c r="A208" s="38" t="n"/>
      <c r="B208" s="41">
        <f>IF(A208="","",IFERROR(INDEX(Maniobras!$B$5:$B$504,MATCH(A208,Maniobras!$A$5:$A$504,0)),""))</f>
        <v/>
      </c>
      <c r="C208" s="38">
        <f>IF(B208="","",TEXT(B208,"yyyy-mm"))</f>
        <v/>
      </c>
      <c r="D208" s="38">
        <f>IF(A208="","",IFERROR(INDEX(Maniobras!$D$5:$D$504,MATCH(A208,Maniobras!$A$5:$A$504,0)),""))</f>
        <v/>
      </c>
      <c r="E208" s="38" t="n"/>
      <c r="F208" s="39">
        <f>IF(A208="","",IFERROR(INDEX(Maniobras!$K$5:$K$504,MATCH(A208,Maniobras!$A$5:$A$504,0)),""))</f>
        <v/>
      </c>
      <c r="G208" s="39" t="n"/>
      <c r="H208" s="39" t="n"/>
      <c r="I208" s="39">
        <f>IF(G208="","",G208+N(H208))</f>
        <v/>
      </c>
      <c r="J208" s="38" t="n"/>
      <c r="K208" s="41" t="n"/>
      <c r="L208" s="38" t="n"/>
      <c r="M208">
        <f>IF($A208=Ficha!$B$3,COUNTIF($A$5:$A208,Ficha!$B$3),"")</f>
        <v/>
      </c>
    </row>
    <row r="209">
      <c r="A209" s="36" t="n"/>
      <c r="B209" s="40">
        <f>IF(A209="","",IFERROR(INDEX(Maniobras!$B$5:$B$504,MATCH(A209,Maniobras!$A$5:$A$504,0)),""))</f>
        <v/>
      </c>
      <c r="C209" s="36">
        <f>IF(B209="","",TEXT(B209,"yyyy-mm"))</f>
        <v/>
      </c>
      <c r="D209" s="36">
        <f>IF(A209="","",IFERROR(INDEX(Maniobras!$D$5:$D$504,MATCH(A209,Maniobras!$A$5:$A$504,0)),""))</f>
        <v/>
      </c>
      <c r="E209" s="36" t="n"/>
      <c r="F209" s="37">
        <f>IF(A209="","",IFERROR(INDEX(Maniobras!$K$5:$K$504,MATCH(A209,Maniobras!$A$5:$A$504,0)),""))</f>
        <v/>
      </c>
      <c r="G209" s="37" t="n"/>
      <c r="H209" s="37" t="n"/>
      <c r="I209" s="37">
        <f>IF(G209="","",G209+N(H209))</f>
        <v/>
      </c>
      <c r="J209" s="36" t="n"/>
      <c r="K209" s="40" t="n"/>
      <c r="L209" s="36" t="n"/>
      <c r="M209">
        <f>IF($A209=Ficha!$B$3,COUNTIF($A$5:$A209,Ficha!$B$3),"")</f>
        <v/>
      </c>
    </row>
    <row r="210">
      <c r="A210" s="38" t="n"/>
      <c r="B210" s="41">
        <f>IF(A210="","",IFERROR(INDEX(Maniobras!$B$5:$B$504,MATCH(A210,Maniobras!$A$5:$A$504,0)),""))</f>
        <v/>
      </c>
      <c r="C210" s="38">
        <f>IF(B210="","",TEXT(B210,"yyyy-mm"))</f>
        <v/>
      </c>
      <c r="D210" s="38">
        <f>IF(A210="","",IFERROR(INDEX(Maniobras!$D$5:$D$504,MATCH(A210,Maniobras!$A$5:$A$504,0)),""))</f>
        <v/>
      </c>
      <c r="E210" s="38" t="n"/>
      <c r="F210" s="39">
        <f>IF(A210="","",IFERROR(INDEX(Maniobras!$K$5:$K$504,MATCH(A210,Maniobras!$A$5:$A$504,0)),""))</f>
        <v/>
      </c>
      <c r="G210" s="39" t="n"/>
      <c r="H210" s="39" t="n"/>
      <c r="I210" s="39">
        <f>IF(G210="","",G210+N(H210))</f>
        <v/>
      </c>
      <c r="J210" s="38" t="n"/>
      <c r="K210" s="41" t="n"/>
      <c r="L210" s="38" t="n"/>
      <c r="M210">
        <f>IF($A210=Ficha!$B$3,COUNTIF($A$5:$A210,Ficha!$B$3),"")</f>
        <v/>
      </c>
    </row>
    <row r="211">
      <c r="A211" s="36" t="n"/>
      <c r="B211" s="40">
        <f>IF(A211="","",IFERROR(INDEX(Maniobras!$B$5:$B$504,MATCH(A211,Maniobras!$A$5:$A$504,0)),""))</f>
        <v/>
      </c>
      <c r="C211" s="36">
        <f>IF(B211="","",TEXT(B211,"yyyy-mm"))</f>
        <v/>
      </c>
      <c r="D211" s="36">
        <f>IF(A211="","",IFERROR(INDEX(Maniobras!$D$5:$D$504,MATCH(A211,Maniobras!$A$5:$A$504,0)),""))</f>
        <v/>
      </c>
      <c r="E211" s="36" t="n"/>
      <c r="F211" s="37">
        <f>IF(A211="","",IFERROR(INDEX(Maniobras!$K$5:$K$504,MATCH(A211,Maniobras!$A$5:$A$504,0)),""))</f>
        <v/>
      </c>
      <c r="G211" s="37" t="n"/>
      <c r="H211" s="37" t="n"/>
      <c r="I211" s="37">
        <f>IF(G211="","",G211+N(H211))</f>
        <v/>
      </c>
      <c r="J211" s="36" t="n"/>
      <c r="K211" s="40" t="n"/>
      <c r="L211" s="36" t="n"/>
      <c r="M211">
        <f>IF($A211=Ficha!$B$3,COUNTIF($A$5:$A211,Ficha!$B$3),"")</f>
        <v/>
      </c>
    </row>
    <row r="212">
      <c r="A212" s="38" t="n"/>
      <c r="B212" s="41">
        <f>IF(A212="","",IFERROR(INDEX(Maniobras!$B$5:$B$504,MATCH(A212,Maniobras!$A$5:$A$504,0)),""))</f>
        <v/>
      </c>
      <c r="C212" s="38">
        <f>IF(B212="","",TEXT(B212,"yyyy-mm"))</f>
        <v/>
      </c>
      <c r="D212" s="38">
        <f>IF(A212="","",IFERROR(INDEX(Maniobras!$D$5:$D$504,MATCH(A212,Maniobras!$A$5:$A$504,0)),""))</f>
        <v/>
      </c>
      <c r="E212" s="38" t="n"/>
      <c r="F212" s="39">
        <f>IF(A212="","",IFERROR(INDEX(Maniobras!$K$5:$K$504,MATCH(A212,Maniobras!$A$5:$A$504,0)),""))</f>
        <v/>
      </c>
      <c r="G212" s="39" t="n"/>
      <c r="H212" s="39" t="n"/>
      <c r="I212" s="39">
        <f>IF(G212="","",G212+N(H212))</f>
        <v/>
      </c>
      <c r="J212" s="38" t="n"/>
      <c r="K212" s="41" t="n"/>
      <c r="L212" s="38" t="n"/>
      <c r="M212">
        <f>IF($A212=Ficha!$B$3,COUNTIF($A$5:$A212,Ficha!$B$3),"")</f>
        <v/>
      </c>
    </row>
    <row r="213">
      <c r="A213" s="36" t="n"/>
      <c r="B213" s="40">
        <f>IF(A213="","",IFERROR(INDEX(Maniobras!$B$5:$B$504,MATCH(A213,Maniobras!$A$5:$A$504,0)),""))</f>
        <v/>
      </c>
      <c r="C213" s="36">
        <f>IF(B213="","",TEXT(B213,"yyyy-mm"))</f>
        <v/>
      </c>
      <c r="D213" s="36">
        <f>IF(A213="","",IFERROR(INDEX(Maniobras!$D$5:$D$504,MATCH(A213,Maniobras!$A$5:$A$504,0)),""))</f>
        <v/>
      </c>
      <c r="E213" s="36" t="n"/>
      <c r="F213" s="37">
        <f>IF(A213="","",IFERROR(INDEX(Maniobras!$K$5:$K$504,MATCH(A213,Maniobras!$A$5:$A$504,0)),""))</f>
        <v/>
      </c>
      <c r="G213" s="37" t="n"/>
      <c r="H213" s="37" t="n"/>
      <c r="I213" s="37">
        <f>IF(G213="","",G213+N(H213))</f>
        <v/>
      </c>
      <c r="J213" s="36" t="n"/>
      <c r="K213" s="40" t="n"/>
      <c r="L213" s="36" t="n"/>
      <c r="M213">
        <f>IF($A213=Ficha!$B$3,COUNTIF($A$5:$A213,Ficha!$B$3),"")</f>
        <v/>
      </c>
    </row>
    <row r="214">
      <c r="A214" s="38" t="n"/>
      <c r="B214" s="41">
        <f>IF(A214="","",IFERROR(INDEX(Maniobras!$B$5:$B$504,MATCH(A214,Maniobras!$A$5:$A$504,0)),""))</f>
        <v/>
      </c>
      <c r="C214" s="38">
        <f>IF(B214="","",TEXT(B214,"yyyy-mm"))</f>
        <v/>
      </c>
      <c r="D214" s="38">
        <f>IF(A214="","",IFERROR(INDEX(Maniobras!$D$5:$D$504,MATCH(A214,Maniobras!$A$5:$A$504,0)),""))</f>
        <v/>
      </c>
      <c r="E214" s="38" t="n"/>
      <c r="F214" s="39">
        <f>IF(A214="","",IFERROR(INDEX(Maniobras!$K$5:$K$504,MATCH(A214,Maniobras!$A$5:$A$504,0)),""))</f>
        <v/>
      </c>
      <c r="G214" s="39" t="n"/>
      <c r="H214" s="39" t="n"/>
      <c r="I214" s="39">
        <f>IF(G214="","",G214+N(H214))</f>
        <v/>
      </c>
      <c r="J214" s="38" t="n"/>
      <c r="K214" s="41" t="n"/>
      <c r="L214" s="38" t="n"/>
      <c r="M214">
        <f>IF($A214=Ficha!$B$3,COUNTIF($A$5:$A214,Ficha!$B$3),"")</f>
        <v/>
      </c>
    </row>
    <row r="215">
      <c r="A215" s="36" t="n"/>
      <c r="B215" s="40">
        <f>IF(A215="","",IFERROR(INDEX(Maniobras!$B$5:$B$504,MATCH(A215,Maniobras!$A$5:$A$504,0)),""))</f>
        <v/>
      </c>
      <c r="C215" s="36">
        <f>IF(B215="","",TEXT(B215,"yyyy-mm"))</f>
        <v/>
      </c>
      <c r="D215" s="36">
        <f>IF(A215="","",IFERROR(INDEX(Maniobras!$D$5:$D$504,MATCH(A215,Maniobras!$A$5:$A$504,0)),""))</f>
        <v/>
      </c>
      <c r="E215" s="36" t="n"/>
      <c r="F215" s="37">
        <f>IF(A215="","",IFERROR(INDEX(Maniobras!$K$5:$K$504,MATCH(A215,Maniobras!$A$5:$A$504,0)),""))</f>
        <v/>
      </c>
      <c r="G215" s="37" t="n"/>
      <c r="H215" s="37" t="n"/>
      <c r="I215" s="37">
        <f>IF(G215="","",G215+N(H215))</f>
        <v/>
      </c>
      <c r="J215" s="36" t="n"/>
      <c r="K215" s="40" t="n"/>
      <c r="L215" s="36" t="n"/>
      <c r="M215">
        <f>IF($A215=Ficha!$B$3,COUNTIF($A$5:$A215,Ficha!$B$3),"")</f>
        <v/>
      </c>
    </row>
    <row r="216">
      <c r="A216" s="38" t="n"/>
      <c r="B216" s="41">
        <f>IF(A216="","",IFERROR(INDEX(Maniobras!$B$5:$B$504,MATCH(A216,Maniobras!$A$5:$A$504,0)),""))</f>
        <v/>
      </c>
      <c r="C216" s="38">
        <f>IF(B216="","",TEXT(B216,"yyyy-mm"))</f>
        <v/>
      </c>
      <c r="D216" s="38">
        <f>IF(A216="","",IFERROR(INDEX(Maniobras!$D$5:$D$504,MATCH(A216,Maniobras!$A$5:$A$504,0)),""))</f>
        <v/>
      </c>
      <c r="E216" s="38" t="n"/>
      <c r="F216" s="39">
        <f>IF(A216="","",IFERROR(INDEX(Maniobras!$K$5:$K$504,MATCH(A216,Maniobras!$A$5:$A$504,0)),""))</f>
        <v/>
      </c>
      <c r="G216" s="39" t="n"/>
      <c r="H216" s="39" t="n"/>
      <c r="I216" s="39">
        <f>IF(G216="","",G216+N(H216))</f>
        <v/>
      </c>
      <c r="J216" s="38" t="n"/>
      <c r="K216" s="41" t="n"/>
      <c r="L216" s="38" t="n"/>
      <c r="M216">
        <f>IF($A216=Ficha!$B$3,COUNTIF($A$5:$A216,Ficha!$B$3),"")</f>
        <v/>
      </c>
    </row>
    <row r="217">
      <c r="A217" s="36" t="n"/>
      <c r="B217" s="40">
        <f>IF(A217="","",IFERROR(INDEX(Maniobras!$B$5:$B$504,MATCH(A217,Maniobras!$A$5:$A$504,0)),""))</f>
        <v/>
      </c>
      <c r="C217" s="36">
        <f>IF(B217="","",TEXT(B217,"yyyy-mm"))</f>
        <v/>
      </c>
      <c r="D217" s="36">
        <f>IF(A217="","",IFERROR(INDEX(Maniobras!$D$5:$D$504,MATCH(A217,Maniobras!$A$5:$A$504,0)),""))</f>
        <v/>
      </c>
      <c r="E217" s="36" t="n"/>
      <c r="F217" s="37">
        <f>IF(A217="","",IFERROR(INDEX(Maniobras!$K$5:$K$504,MATCH(A217,Maniobras!$A$5:$A$504,0)),""))</f>
        <v/>
      </c>
      <c r="G217" s="37" t="n"/>
      <c r="H217" s="37" t="n"/>
      <c r="I217" s="37">
        <f>IF(G217="","",G217+N(H217))</f>
        <v/>
      </c>
      <c r="J217" s="36" t="n"/>
      <c r="K217" s="40" t="n"/>
      <c r="L217" s="36" t="n"/>
      <c r="M217">
        <f>IF($A217=Ficha!$B$3,COUNTIF($A$5:$A217,Ficha!$B$3),"")</f>
        <v/>
      </c>
    </row>
    <row r="218">
      <c r="A218" s="38" t="n"/>
      <c r="B218" s="41">
        <f>IF(A218="","",IFERROR(INDEX(Maniobras!$B$5:$B$504,MATCH(A218,Maniobras!$A$5:$A$504,0)),""))</f>
        <v/>
      </c>
      <c r="C218" s="38">
        <f>IF(B218="","",TEXT(B218,"yyyy-mm"))</f>
        <v/>
      </c>
      <c r="D218" s="38">
        <f>IF(A218="","",IFERROR(INDEX(Maniobras!$D$5:$D$504,MATCH(A218,Maniobras!$A$5:$A$504,0)),""))</f>
        <v/>
      </c>
      <c r="E218" s="38" t="n"/>
      <c r="F218" s="39">
        <f>IF(A218="","",IFERROR(INDEX(Maniobras!$K$5:$K$504,MATCH(A218,Maniobras!$A$5:$A$504,0)),""))</f>
        <v/>
      </c>
      <c r="G218" s="39" t="n"/>
      <c r="H218" s="39" t="n"/>
      <c r="I218" s="39">
        <f>IF(G218="","",G218+N(H218))</f>
        <v/>
      </c>
      <c r="J218" s="38" t="n"/>
      <c r="K218" s="41" t="n"/>
      <c r="L218" s="38" t="n"/>
      <c r="M218">
        <f>IF($A218=Ficha!$B$3,COUNTIF($A$5:$A218,Ficha!$B$3),"")</f>
        <v/>
      </c>
    </row>
    <row r="219">
      <c r="A219" s="36" t="n"/>
      <c r="B219" s="40">
        <f>IF(A219="","",IFERROR(INDEX(Maniobras!$B$5:$B$504,MATCH(A219,Maniobras!$A$5:$A$504,0)),""))</f>
        <v/>
      </c>
      <c r="C219" s="36">
        <f>IF(B219="","",TEXT(B219,"yyyy-mm"))</f>
        <v/>
      </c>
      <c r="D219" s="36">
        <f>IF(A219="","",IFERROR(INDEX(Maniobras!$D$5:$D$504,MATCH(A219,Maniobras!$A$5:$A$504,0)),""))</f>
        <v/>
      </c>
      <c r="E219" s="36" t="n"/>
      <c r="F219" s="37">
        <f>IF(A219="","",IFERROR(INDEX(Maniobras!$K$5:$K$504,MATCH(A219,Maniobras!$A$5:$A$504,0)),""))</f>
        <v/>
      </c>
      <c r="G219" s="37" t="n"/>
      <c r="H219" s="37" t="n"/>
      <c r="I219" s="37">
        <f>IF(G219="","",G219+N(H219))</f>
        <v/>
      </c>
      <c r="J219" s="36" t="n"/>
      <c r="K219" s="40" t="n"/>
      <c r="L219" s="36" t="n"/>
      <c r="M219">
        <f>IF($A219=Ficha!$B$3,COUNTIF($A$5:$A219,Ficha!$B$3),"")</f>
        <v/>
      </c>
    </row>
    <row r="220">
      <c r="A220" s="38" t="n"/>
      <c r="B220" s="41">
        <f>IF(A220="","",IFERROR(INDEX(Maniobras!$B$5:$B$504,MATCH(A220,Maniobras!$A$5:$A$504,0)),""))</f>
        <v/>
      </c>
      <c r="C220" s="38">
        <f>IF(B220="","",TEXT(B220,"yyyy-mm"))</f>
        <v/>
      </c>
      <c r="D220" s="38">
        <f>IF(A220="","",IFERROR(INDEX(Maniobras!$D$5:$D$504,MATCH(A220,Maniobras!$A$5:$A$504,0)),""))</f>
        <v/>
      </c>
      <c r="E220" s="38" t="n"/>
      <c r="F220" s="39">
        <f>IF(A220="","",IFERROR(INDEX(Maniobras!$K$5:$K$504,MATCH(A220,Maniobras!$A$5:$A$504,0)),""))</f>
        <v/>
      </c>
      <c r="G220" s="39" t="n"/>
      <c r="H220" s="39" t="n"/>
      <c r="I220" s="39">
        <f>IF(G220="","",G220+N(H220))</f>
        <v/>
      </c>
      <c r="J220" s="38" t="n"/>
      <c r="K220" s="41" t="n"/>
      <c r="L220" s="38" t="n"/>
      <c r="M220">
        <f>IF($A220=Ficha!$B$3,COUNTIF($A$5:$A220,Ficha!$B$3),"")</f>
        <v/>
      </c>
    </row>
    <row r="221">
      <c r="A221" s="36" t="n"/>
      <c r="B221" s="40">
        <f>IF(A221="","",IFERROR(INDEX(Maniobras!$B$5:$B$504,MATCH(A221,Maniobras!$A$5:$A$504,0)),""))</f>
        <v/>
      </c>
      <c r="C221" s="36">
        <f>IF(B221="","",TEXT(B221,"yyyy-mm"))</f>
        <v/>
      </c>
      <c r="D221" s="36">
        <f>IF(A221="","",IFERROR(INDEX(Maniobras!$D$5:$D$504,MATCH(A221,Maniobras!$A$5:$A$504,0)),""))</f>
        <v/>
      </c>
      <c r="E221" s="36" t="n"/>
      <c r="F221" s="37">
        <f>IF(A221="","",IFERROR(INDEX(Maniobras!$K$5:$K$504,MATCH(A221,Maniobras!$A$5:$A$504,0)),""))</f>
        <v/>
      </c>
      <c r="G221" s="37" t="n"/>
      <c r="H221" s="37" t="n"/>
      <c r="I221" s="37">
        <f>IF(G221="","",G221+N(H221))</f>
        <v/>
      </c>
      <c r="J221" s="36" t="n"/>
      <c r="K221" s="40" t="n"/>
      <c r="L221" s="36" t="n"/>
      <c r="M221">
        <f>IF($A221=Ficha!$B$3,COUNTIF($A$5:$A221,Ficha!$B$3),"")</f>
        <v/>
      </c>
    </row>
    <row r="222">
      <c r="A222" s="38" t="n"/>
      <c r="B222" s="41">
        <f>IF(A222="","",IFERROR(INDEX(Maniobras!$B$5:$B$504,MATCH(A222,Maniobras!$A$5:$A$504,0)),""))</f>
        <v/>
      </c>
      <c r="C222" s="38">
        <f>IF(B222="","",TEXT(B222,"yyyy-mm"))</f>
        <v/>
      </c>
      <c r="D222" s="38">
        <f>IF(A222="","",IFERROR(INDEX(Maniobras!$D$5:$D$504,MATCH(A222,Maniobras!$A$5:$A$504,0)),""))</f>
        <v/>
      </c>
      <c r="E222" s="38" t="n"/>
      <c r="F222" s="39">
        <f>IF(A222="","",IFERROR(INDEX(Maniobras!$K$5:$K$504,MATCH(A222,Maniobras!$A$5:$A$504,0)),""))</f>
        <v/>
      </c>
      <c r="G222" s="39" t="n"/>
      <c r="H222" s="39" t="n"/>
      <c r="I222" s="39">
        <f>IF(G222="","",G222+N(H222))</f>
        <v/>
      </c>
      <c r="J222" s="38" t="n"/>
      <c r="K222" s="41" t="n"/>
      <c r="L222" s="38" t="n"/>
      <c r="M222">
        <f>IF($A222=Ficha!$B$3,COUNTIF($A$5:$A222,Ficha!$B$3),"")</f>
        <v/>
      </c>
    </row>
    <row r="223">
      <c r="A223" s="36" t="n"/>
      <c r="B223" s="40">
        <f>IF(A223="","",IFERROR(INDEX(Maniobras!$B$5:$B$504,MATCH(A223,Maniobras!$A$5:$A$504,0)),""))</f>
        <v/>
      </c>
      <c r="C223" s="36">
        <f>IF(B223="","",TEXT(B223,"yyyy-mm"))</f>
        <v/>
      </c>
      <c r="D223" s="36">
        <f>IF(A223="","",IFERROR(INDEX(Maniobras!$D$5:$D$504,MATCH(A223,Maniobras!$A$5:$A$504,0)),""))</f>
        <v/>
      </c>
      <c r="E223" s="36" t="n"/>
      <c r="F223" s="37">
        <f>IF(A223="","",IFERROR(INDEX(Maniobras!$K$5:$K$504,MATCH(A223,Maniobras!$A$5:$A$504,0)),""))</f>
        <v/>
      </c>
      <c r="G223" s="37" t="n"/>
      <c r="H223" s="37" t="n"/>
      <c r="I223" s="37">
        <f>IF(G223="","",G223+N(H223))</f>
        <v/>
      </c>
      <c r="J223" s="36" t="n"/>
      <c r="K223" s="40" t="n"/>
      <c r="L223" s="36" t="n"/>
      <c r="M223">
        <f>IF($A223=Ficha!$B$3,COUNTIF($A$5:$A223,Ficha!$B$3),"")</f>
        <v/>
      </c>
    </row>
    <row r="224">
      <c r="A224" s="38" t="n"/>
      <c r="B224" s="41">
        <f>IF(A224="","",IFERROR(INDEX(Maniobras!$B$5:$B$504,MATCH(A224,Maniobras!$A$5:$A$504,0)),""))</f>
        <v/>
      </c>
      <c r="C224" s="38">
        <f>IF(B224="","",TEXT(B224,"yyyy-mm"))</f>
        <v/>
      </c>
      <c r="D224" s="38">
        <f>IF(A224="","",IFERROR(INDEX(Maniobras!$D$5:$D$504,MATCH(A224,Maniobras!$A$5:$A$504,0)),""))</f>
        <v/>
      </c>
      <c r="E224" s="38" t="n"/>
      <c r="F224" s="39">
        <f>IF(A224="","",IFERROR(INDEX(Maniobras!$K$5:$K$504,MATCH(A224,Maniobras!$A$5:$A$504,0)),""))</f>
        <v/>
      </c>
      <c r="G224" s="39" t="n"/>
      <c r="H224" s="39" t="n"/>
      <c r="I224" s="39">
        <f>IF(G224="","",G224+N(H224))</f>
        <v/>
      </c>
      <c r="J224" s="38" t="n"/>
      <c r="K224" s="41" t="n"/>
      <c r="L224" s="38" t="n"/>
      <c r="M224">
        <f>IF($A224=Ficha!$B$3,COUNTIF($A$5:$A224,Ficha!$B$3),"")</f>
        <v/>
      </c>
    </row>
    <row r="225">
      <c r="A225" s="36" t="n"/>
      <c r="B225" s="40">
        <f>IF(A225="","",IFERROR(INDEX(Maniobras!$B$5:$B$504,MATCH(A225,Maniobras!$A$5:$A$504,0)),""))</f>
        <v/>
      </c>
      <c r="C225" s="36">
        <f>IF(B225="","",TEXT(B225,"yyyy-mm"))</f>
        <v/>
      </c>
      <c r="D225" s="36">
        <f>IF(A225="","",IFERROR(INDEX(Maniobras!$D$5:$D$504,MATCH(A225,Maniobras!$A$5:$A$504,0)),""))</f>
        <v/>
      </c>
      <c r="E225" s="36" t="n"/>
      <c r="F225" s="37">
        <f>IF(A225="","",IFERROR(INDEX(Maniobras!$K$5:$K$504,MATCH(A225,Maniobras!$A$5:$A$504,0)),""))</f>
        <v/>
      </c>
      <c r="G225" s="37" t="n"/>
      <c r="H225" s="37" t="n"/>
      <c r="I225" s="37">
        <f>IF(G225="","",G225+N(H225))</f>
        <v/>
      </c>
      <c r="J225" s="36" t="n"/>
      <c r="K225" s="40" t="n"/>
      <c r="L225" s="36" t="n"/>
      <c r="M225">
        <f>IF($A225=Ficha!$B$3,COUNTIF($A$5:$A225,Ficha!$B$3),"")</f>
        <v/>
      </c>
    </row>
    <row r="226">
      <c r="A226" s="38" t="n"/>
      <c r="B226" s="41">
        <f>IF(A226="","",IFERROR(INDEX(Maniobras!$B$5:$B$504,MATCH(A226,Maniobras!$A$5:$A$504,0)),""))</f>
        <v/>
      </c>
      <c r="C226" s="38">
        <f>IF(B226="","",TEXT(B226,"yyyy-mm"))</f>
        <v/>
      </c>
      <c r="D226" s="38">
        <f>IF(A226="","",IFERROR(INDEX(Maniobras!$D$5:$D$504,MATCH(A226,Maniobras!$A$5:$A$504,0)),""))</f>
        <v/>
      </c>
      <c r="E226" s="38" t="n"/>
      <c r="F226" s="39">
        <f>IF(A226="","",IFERROR(INDEX(Maniobras!$K$5:$K$504,MATCH(A226,Maniobras!$A$5:$A$504,0)),""))</f>
        <v/>
      </c>
      <c r="G226" s="39" t="n"/>
      <c r="H226" s="39" t="n"/>
      <c r="I226" s="39">
        <f>IF(G226="","",G226+N(H226))</f>
        <v/>
      </c>
      <c r="J226" s="38" t="n"/>
      <c r="K226" s="41" t="n"/>
      <c r="L226" s="38" t="n"/>
      <c r="M226">
        <f>IF($A226=Ficha!$B$3,COUNTIF($A$5:$A226,Ficha!$B$3),"")</f>
        <v/>
      </c>
    </row>
    <row r="227">
      <c r="A227" s="36" t="n"/>
      <c r="B227" s="40">
        <f>IF(A227="","",IFERROR(INDEX(Maniobras!$B$5:$B$504,MATCH(A227,Maniobras!$A$5:$A$504,0)),""))</f>
        <v/>
      </c>
      <c r="C227" s="36">
        <f>IF(B227="","",TEXT(B227,"yyyy-mm"))</f>
        <v/>
      </c>
      <c r="D227" s="36">
        <f>IF(A227="","",IFERROR(INDEX(Maniobras!$D$5:$D$504,MATCH(A227,Maniobras!$A$5:$A$504,0)),""))</f>
        <v/>
      </c>
      <c r="E227" s="36" t="n"/>
      <c r="F227" s="37">
        <f>IF(A227="","",IFERROR(INDEX(Maniobras!$K$5:$K$504,MATCH(A227,Maniobras!$A$5:$A$504,0)),""))</f>
        <v/>
      </c>
      <c r="G227" s="37" t="n"/>
      <c r="H227" s="37" t="n"/>
      <c r="I227" s="37">
        <f>IF(G227="","",G227+N(H227))</f>
        <v/>
      </c>
      <c r="J227" s="36" t="n"/>
      <c r="K227" s="40" t="n"/>
      <c r="L227" s="36" t="n"/>
      <c r="M227">
        <f>IF($A227=Ficha!$B$3,COUNTIF($A$5:$A227,Ficha!$B$3),"")</f>
        <v/>
      </c>
    </row>
    <row r="228">
      <c r="A228" s="38" t="n"/>
      <c r="B228" s="41">
        <f>IF(A228="","",IFERROR(INDEX(Maniobras!$B$5:$B$504,MATCH(A228,Maniobras!$A$5:$A$504,0)),""))</f>
        <v/>
      </c>
      <c r="C228" s="38">
        <f>IF(B228="","",TEXT(B228,"yyyy-mm"))</f>
        <v/>
      </c>
      <c r="D228" s="38">
        <f>IF(A228="","",IFERROR(INDEX(Maniobras!$D$5:$D$504,MATCH(A228,Maniobras!$A$5:$A$504,0)),""))</f>
        <v/>
      </c>
      <c r="E228" s="38" t="n"/>
      <c r="F228" s="39">
        <f>IF(A228="","",IFERROR(INDEX(Maniobras!$K$5:$K$504,MATCH(A228,Maniobras!$A$5:$A$504,0)),""))</f>
        <v/>
      </c>
      <c r="G228" s="39" t="n"/>
      <c r="H228" s="39" t="n"/>
      <c r="I228" s="39">
        <f>IF(G228="","",G228+N(H228))</f>
        <v/>
      </c>
      <c r="J228" s="38" t="n"/>
      <c r="K228" s="41" t="n"/>
      <c r="L228" s="38" t="n"/>
      <c r="M228">
        <f>IF($A228=Ficha!$B$3,COUNTIF($A$5:$A228,Ficha!$B$3),"")</f>
        <v/>
      </c>
    </row>
    <row r="229">
      <c r="A229" s="36" t="n"/>
      <c r="B229" s="40">
        <f>IF(A229="","",IFERROR(INDEX(Maniobras!$B$5:$B$504,MATCH(A229,Maniobras!$A$5:$A$504,0)),""))</f>
        <v/>
      </c>
      <c r="C229" s="36">
        <f>IF(B229="","",TEXT(B229,"yyyy-mm"))</f>
        <v/>
      </c>
      <c r="D229" s="36">
        <f>IF(A229="","",IFERROR(INDEX(Maniobras!$D$5:$D$504,MATCH(A229,Maniobras!$A$5:$A$504,0)),""))</f>
        <v/>
      </c>
      <c r="E229" s="36" t="n"/>
      <c r="F229" s="37">
        <f>IF(A229="","",IFERROR(INDEX(Maniobras!$K$5:$K$504,MATCH(A229,Maniobras!$A$5:$A$504,0)),""))</f>
        <v/>
      </c>
      <c r="G229" s="37" t="n"/>
      <c r="H229" s="37" t="n"/>
      <c r="I229" s="37">
        <f>IF(G229="","",G229+N(H229))</f>
        <v/>
      </c>
      <c r="J229" s="36" t="n"/>
      <c r="K229" s="40" t="n"/>
      <c r="L229" s="36" t="n"/>
      <c r="M229">
        <f>IF($A229=Ficha!$B$3,COUNTIF($A$5:$A229,Ficha!$B$3),"")</f>
        <v/>
      </c>
    </row>
    <row r="230">
      <c r="A230" s="38" t="n"/>
      <c r="B230" s="41">
        <f>IF(A230="","",IFERROR(INDEX(Maniobras!$B$5:$B$504,MATCH(A230,Maniobras!$A$5:$A$504,0)),""))</f>
        <v/>
      </c>
      <c r="C230" s="38">
        <f>IF(B230="","",TEXT(B230,"yyyy-mm"))</f>
        <v/>
      </c>
      <c r="D230" s="38">
        <f>IF(A230="","",IFERROR(INDEX(Maniobras!$D$5:$D$504,MATCH(A230,Maniobras!$A$5:$A$504,0)),""))</f>
        <v/>
      </c>
      <c r="E230" s="38" t="n"/>
      <c r="F230" s="39">
        <f>IF(A230="","",IFERROR(INDEX(Maniobras!$K$5:$K$504,MATCH(A230,Maniobras!$A$5:$A$504,0)),""))</f>
        <v/>
      </c>
      <c r="G230" s="39" t="n"/>
      <c r="H230" s="39" t="n"/>
      <c r="I230" s="39">
        <f>IF(G230="","",G230+N(H230))</f>
        <v/>
      </c>
      <c r="J230" s="38" t="n"/>
      <c r="K230" s="41" t="n"/>
      <c r="L230" s="38" t="n"/>
      <c r="M230">
        <f>IF($A230=Ficha!$B$3,COUNTIF($A$5:$A230,Ficha!$B$3),"")</f>
        <v/>
      </c>
    </row>
    <row r="231">
      <c r="A231" s="36" t="n"/>
      <c r="B231" s="40">
        <f>IF(A231="","",IFERROR(INDEX(Maniobras!$B$5:$B$504,MATCH(A231,Maniobras!$A$5:$A$504,0)),""))</f>
        <v/>
      </c>
      <c r="C231" s="36">
        <f>IF(B231="","",TEXT(B231,"yyyy-mm"))</f>
        <v/>
      </c>
      <c r="D231" s="36">
        <f>IF(A231="","",IFERROR(INDEX(Maniobras!$D$5:$D$504,MATCH(A231,Maniobras!$A$5:$A$504,0)),""))</f>
        <v/>
      </c>
      <c r="E231" s="36" t="n"/>
      <c r="F231" s="37">
        <f>IF(A231="","",IFERROR(INDEX(Maniobras!$K$5:$K$504,MATCH(A231,Maniobras!$A$5:$A$504,0)),""))</f>
        <v/>
      </c>
      <c r="G231" s="37" t="n"/>
      <c r="H231" s="37" t="n"/>
      <c r="I231" s="37">
        <f>IF(G231="","",G231+N(H231))</f>
        <v/>
      </c>
      <c r="J231" s="36" t="n"/>
      <c r="K231" s="40" t="n"/>
      <c r="L231" s="36" t="n"/>
      <c r="M231">
        <f>IF($A231=Ficha!$B$3,COUNTIF($A$5:$A231,Ficha!$B$3),"")</f>
        <v/>
      </c>
    </row>
    <row r="232">
      <c r="A232" s="38" t="n"/>
      <c r="B232" s="41">
        <f>IF(A232="","",IFERROR(INDEX(Maniobras!$B$5:$B$504,MATCH(A232,Maniobras!$A$5:$A$504,0)),""))</f>
        <v/>
      </c>
      <c r="C232" s="38">
        <f>IF(B232="","",TEXT(B232,"yyyy-mm"))</f>
        <v/>
      </c>
      <c r="D232" s="38">
        <f>IF(A232="","",IFERROR(INDEX(Maniobras!$D$5:$D$504,MATCH(A232,Maniobras!$A$5:$A$504,0)),""))</f>
        <v/>
      </c>
      <c r="E232" s="38" t="n"/>
      <c r="F232" s="39">
        <f>IF(A232="","",IFERROR(INDEX(Maniobras!$K$5:$K$504,MATCH(A232,Maniobras!$A$5:$A$504,0)),""))</f>
        <v/>
      </c>
      <c r="G232" s="39" t="n"/>
      <c r="H232" s="39" t="n"/>
      <c r="I232" s="39">
        <f>IF(G232="","",G232+N(H232))</f>
        <v/>
      </c>
      <c r="J232" s="38" t="n"/>
      <c r="K232" s="41" t="n"/>
      <c r="L232" s="38" t="n"/>
      <c r="M232">
        <f>IF($A232=Ficha!$B$3,COUNTIF($A$5:$A232,Ficha!$B$3),"")</f>
        <v/>
      </c>
    </row>
    <row r="233">
      <c r="A233" s="36" t="n"/>
      <c r="B233" s="40">
        <f>IF(A233="","",IFERROR(INDEX(Maniobras!$B$5:$B$504,MATCH(A233,Maniobras!$A$5:$A$504,0)),""))</f>
        <v/>
      </c>
      <c r="C233" s="36">
        <f>IF(B233="","",TEXT(B233,"yyyy-mm"))</f>
        <v/>
      </c>
      <c r="D233" s="36">
        <f>IF(A233="","",IFERROR(INDEX(Maniobras!$D$5:$D$504,MATCH(A233,Maniobras!$A$5:$A$504,0)),""))</f>
        <v/>
      </c>
      <c r="E233" s="36" t="n"/>
      <c r="F233" s="37">
        <f>IF(A233="","",IFERROR(INDEX(Maniobras!$K$5:$K$504,MATCH(A233,Maniobras!$A$5:$A$504,0)),""))</f>
        <v/>
      </c>
      <c r="G233" s="37" t="n"/>
      <c r="H233" s="37" t="n"/>
      <c r="I233" s="37">
        <f>IF(G233="","",G233+N(H233))</f>
        <v/>
      </c>
      <c r="J233" s="36" t="n"/>
      <c r="K233" s="40" t="n"/>
      <c r="L233" s="36" t="n"/>
      <c r="M233">
        <f>IF($A233=Ficha!$B$3,COUNTIF($A$5:$A233,Ficha!$B$3),"")</f>
        <v/>
      </c>
    </row>
    <row r="234">
      <c r="A234" s="38" t="n"/>
      <c r="B234" s="41">
        <f>IF(A234="","",IFERROR(INDEX(Maniobras!$B$5:$B$504,MATCH(A234,Maniobras!$A$5:$A$504,0)),""))</f>
        <v/>
      </c>
      <c r="C234" s="38">
        <f>IF(B234="","",TEXT(B234,"yyyy-mm"))</f>
        <v/>
      </c>
      <c r="D234" s="38">
        <f>IF(A234="","",IFERROR(INDEX(Maniobras!$D$5:$D$504,MATCH(A234,Maniobras!$A$5:$A$504,0)),""))</f>
        <v/>
      </c>
      <c r="E234" s="38" t="n"/>
      <c r="F234" s="39">
        <f>IF(A234="","",IFERROR(INDEX(Maniobras!$K$5:$K$504,MATCH(A234,Maniobras!$A$5:$A$504,0)),""))</f>
        <v/>
      </c>
      <c r="G234" s="39" t="n"/>
      <c r="H234" s="39" t="n"/>
      <c r="I234" s="39">
        <f>IF(G234="","",G234+N(H234))</f>
        <v/>
      </c>
      <c r="J234" s="38" t="n"/>
      <c r="K234" s="41" t="n"/>
      <c r="L234" s="38" t="n"/>
      <c r="M234">
        <f>IF($A234=Ficha!$B$3,COUNTIF($A$5:$A234,Ficha!$B$3),"")</f>
        <v/>
      </c>
    </row>
    <row r="235">
      <c r="A235" s="36" t="n"/>
      <c r="B235" s="40">
        <f>IF(A235="","",IFERROR(INDEX(Maniobras!$B$5:$B$504,MATCH(A235,Maniobras!$A$5:$A$504,0)),""))</f>
        <v/>
      </c>
      <c r="C235" s="36">
        <f>IF(B235="","",TEXT(B235,"yyyy-mm"))</f>
        <v/>
      </c>
      <c r="D235" s="36">
        <f>IF(A235="","",IFERROR(INDEX(Maniobras!$D$5:$D$504,MATCH(A235,Maniobras!$A$5:$A$504,0)),""))</f>
        <v/>
      </c>
      <c r="E235" s="36" t="n"/>
      <c r="F235" s="37">
        <f>IF(A235="","",IFERROR(INDEX(Maniobras!$K$5:$K$504,MATCH(A235,Maniobras!$A$5:$A$504,0)),""))</f>
        <v/>
      </c>
      <c r="G235" s="37" t="n"/>
      <c r="H235" s="37" t="n"/>
      <c r="I235" s="37">
        <f>IF(G235="","",G235+N(H235))</f>
        <v/>
      </c>
      <c r="J235" s="36" t="n"/>
      <c r="K235" s="40" t="n"/>
      <c r="L235" s="36" t="n"/>
      <c r="M235">
        <f>IF($A235=Ficha!$B$3,COUNTIF($A$5:$A235,Ficha!$B$3),"")</f>
        <v/>
      </c>
    </row>
    <row r="236">
      <c r="A236" s="38" t="n"/>
      <c r="B236" s="41">
        <f>IF(A236="","",IFERROR(INDEX(Maniobras!$B$5:$B$504,MATCH(A236,Maniobras!$A$5:$A$504,0)),""))</f>
        <v/>
      </c>
      <c r="C236" s="38">
        <f>IF(B236="","",TEXT(B236,"yyyy-mm"))</f>
        <v/>
      </c>
      <c r="D236" s="38">
        <f>IF(A236="","",IFERROR(INDEX(Maniobras!$D$5:$D$504,MATCH(A236,Maniobras!$A$5:$A$504,0)),""))</f>
        <v/>
      </c>
      <c r="E236" s="38" t="n"/>
      <c r="F236" s="39">
        <f>IF(A236="","",IFERROR(INDEX(Maniobras!$K$5:$K$504,MATCH(A236,Maniobras!$A$5:$A$504,0)),""))</f>
        <v/>
      </c>
      <c r="G236" s="39" t="n"/>
      <c r="H236" s="39" t="n"/>
      <c r="I236" s="39">
        <f>IF(G236="","",G236+N(H236))</f>
        <v/>
      </c>
      <c r="J236" s="38" t="n"/>
      <c r="K236" s="41" t="n"/>
      <c r="L236" s="38" t="n"/>
      <c r="M236">
        <f>IF($A236=Ficha!$B$3,COUNTIF($A$5:$A236,Ficha!$B$3),"")</f>
        <v/>
      </c>
    </row>
    <row r="237">
      <c r="A237" s="36" t="n"/>
      <c r="B237" s="40">
        <f>IF(A237="","",IFERROR(INDEX(Maniobras!$B$5:$B$504,MATCH(A237,Maniobras!$A$5:$A$504,0)),""))</f>
        <v/>
      </c>
      <c r="C237" s="36">
        <f>IF(B237="","",TEXT(B237,"yyyy-mm"))</f>
        <v/>
      </c>
      <c r="D237" s="36">
        <f>IF(A237="","",IFERROR(INDEX(Maniobras!$D$5:$D$504,MATCH(A237,Maniobras!$A$5:$A$504,0)),""))</f>
        <v/>
      </c>
      <c r="E237" s="36" t="n"/>
      <c r="F237" s="37">
        <f>IF(A237="","",IFERROR(INDEX(Maniobras!$K$5:$K$504,MATCH(A237,Maniobras!$A$5:$A$504,0)),""))</f>
        <v/>
      </c>
      <c r="G237" s="37" t="n"/>
      <c r="H237" s="37" t="n"/>
      <c r="I237" s="37">
        <f>IF(G237="","",G237+N(H237))</f>
        <v/>
      </c>
      <c r="J237" s="36" t="n"/>
      <c r="K237" s="40" t="n"/>
      <c r="L237" s="36" t="n"/>
      <c r="M237">
        <f>IF($A237=Ficha!$B$3,COUNTIF($A$5:$A237,Ficha!$B$3),"")</f>
        <v/>
      </c>
    </row>
    <row r="238">
      <c r="A238" s="38" t="n"/>
      <c r="B238" s="41">
        <f>IF(A238="","",IFERROR(INDEX(Maniobras!$B$5:$B$504,MATCH(A238,Maniobras!$A$5:$A$504,0)),""))</f>
        <v/>
      </c>
      <c r="C238" s="38">
        <f>IF(B238="","",TEXT(B238,"yyyy-mm"))</f>
        <v/>
      </c>
      <c r="D238" s="38">
        <f>IF(A238="","",IFERROR(INDEX(Maniobras!$D$5:$D$504,MATCH(A238,Maniobras!$A$5:$A$504,0)),""))</f>
        <v/>
      </c>
      <c r="E238" s="38" t="n"/>
      <c r="F238" s="39">
        <f>IF(A238="","",IFERROR(INDEX(Maniobras!$K$5:$K$504,MATCH(A238,Maniobras!$A$5:$A$504,0)),""))</f>
        <v/>
      </c>
      <c r="G238" s="39" t="n"/>
      <c r="H238" s="39" t="n"/>
      <c r="I238" s="39">
        <f>IF(G238="","",G238+N(H238))</f>
        <v/>
      </c>
      <c r="J238" s="38" t="n"/>
      <c r="K238" s="41" t="n"/>
      <c r="L238" s="38" t="n"/>
      <c r="M238">
        <f>IF($A238=Ficha!$B$3,COUNTIF($A$5:$A238,Ficha!$B$3),"")</f>
        <v/>
      </c>
    </row>
    <row r="239">
      <c r="A239" s="36" t="n"/>
      <c r="B239" s="40">
        <f>IF(A239="","",IFERROR(INDEX(Maniobras!$B$5:$B$504,MATCH(A239,Maniobras!$A$5:$A$504,0)),""))</f>
        <v/>
      </c>
      <c r="C239" s="36">
        <f>IF(B239="","",TEXT(B239,"yyyy-mm"))</f>
        <v/>
      </c>
      <c r="D239" s="36">
        <f>IF(A239="","",IFERROR(INDEX(Maniobras!$D$5:$D$504,MATCH(A239,Maniobras!$A$5:$A$504,0)),""))</f>
        <v/>
      </c>
      <c r="E239" s="36" t="n"/>
      <c r="F239" s="37">
        <f>IF(A239="","",IFERROR(INDEX(Maniobras!$K$5:$K$504,MATCH(A239,Maniobras!$A$5:$A$504,0)),""))</f>
        <v/>
      </c>
      <c r="G239" s="37" t="n"/>
      <c r="H239" s="37" t="n"/>
      <c r="I239" s="37">
        <f>IF(G239="","",G239+N(H239))</f>
        <v/>
      </c>
      <c r="J239" s="36" t="n"/>
      <c r="K239" s="40" t="n"/>
      <c r="L239" s="36" t="n"/>
      <c r="M239">
        <f>IF($A239=Ficha!$B$3,COUNTIF($A$5:$A239,Ficha!$B$3),"")</f>
        <v/>
      </c>
    </row>
    <row r="240">
      <c r="A240" s="38" t="n"/>
      <c r="B240" s="41">
        <f>IF(A240="","",IFERROR(INDEX(Maniobras!$B$5:$B$504,MATCH(A240,Maniobras!$A$5:$A$504,0)),""))</f>
        <v/>
      </c>
      <c r="C240" s="38">
        <f>IF(B240="","",TEXT(B240,"yyyy-mm"))</f>
        <v/>
      </c>
      <c r="D240" s="38">
        <f>IF(A240="","",IFERROR(INDEX(Maniobras!$D$5:$D$504,MATCH(A240,Maniobras!$A$5:$A$504,0)),""))</f>
        <v/>
      </c>
      <c r="E240" s="38" t="n"/>
      <c r="F240" s="39">
        <f>IF(A240="","",IFERROR(INDEX(Maniobras!$K$5:$K$504,MATCH(A240,Maniobras!$A$5:$A$504,0)),""))</f>
        <v/>
      </c>
      <c r="G240" s="39" t="n"/>
      <c r="H240" s="39" t="n"/>
      <c r="I240" s="39">
        <f>IF(G240="","",G240+N(H240))</f>
        <v/>
      </c>
      <c r="J240" s="38" t="n"/>
      <c r="K240" s="41" t="n"/>
      <c r="L240" s="38" t="n"/>
      <c r="M240">
        <f>IF($A240=Ficha!$B$3,COUNTIF($A$5:$A240,Ficha!$B$3),"")</f>
        <v/>
      </c>
    </row>
    <row r="241">
      <c r="A241" s="36" t="n"/>
      <c r="B241" s="40">
        <f>IF(A241="","",IFERROR(INDEX(Maniobras!$B$5:$B$504,MATCH(A241,Maniobras!$A$5:$A$504,0)),""))</f>
        <v/>
      </c>
      <c r="C241" s="36">
        <f>IF(B241="","",TEXT(B241,"yyyy-mm"))</f>
        <v/>
      </c>
      <c r="D241" s="36">
        <f>IF(A241="","",IFERROR(INDEX(Maniobras!$D$5:$D$504,MATCH(A241,Maniobras!$A$5:$A$504,0)),""))</f>
        <v/>
      </c>
      <c r="E241" s="36" t="n"/>
      <c r="F241" s="37">
        <f>IF(A241="","",IFERROR(INDEX(Maniobras!$K$5:$K$504,MATCH(A241,Maniobras!$A$5:$A$504,0)),""))</f>
        <v/>
      </c>
      <c r="G241" s="37" t="n"/>
      <c r="H241" s="37" t="n"/>
      <c r="I241" s="37">
        <f>IF(G241="","",G241+N(H241))</f>
        <v/>
      </c>
      <c r="J241" s="36" t="n"/>
      <c r="K241" s="40" t="n"/>
      <c r="L241" s="36" t="n"/>
      <c r="M241">
        <f>IF($A241=Ficha!$B$3,COUNTIF($A$5:$A241,Ficha!$B$3),"")</f>
        <v/>
      </c>
    </row>
    <row r="242">
      <c r="A242" s="38" t="n"/>
      <c r="B242" s="41">
        <f>IF(A242="","",IFERROR(INDEX(Maniobras!$B$5:$B$504,MATCH(A242,Maniobras!$A$5:$A$504,0)),""))</f>
        <v/>
      </c>
      <c r="C242" s="38">
        <f>IF(B242="","",TEXT(B242,"yyyy-mm"))</f>
        <v/>
      </c>
      <c r="D242" s="38">
        <f>IF(A242="","",IFERROR(INDEX(Maniobras!$D$5:$D$504,MATCH(A242,Maniobras!$A$5:$A$504,0)),""))</f>
        <v/>
      </c>
      <c r="E242" s="38" t="n"/>
      <c r="F242" s="39">
        <f>IF(A242="","",IFERROR(INDEX(Maniobras!$K$5:$K$504,MATCH(A242,Maniobras!$A$5:$A$504,0)),""))</f>
        <v/>
      </c>
      <c r="G242" s="39" t="n"/>
      <c r="H242" s="39" t="n"/>
      <c r="I242" s="39">
        <f>IF(G242="","",G242+N(H242))</f>
        <v/>
      </c>
      <c r="J242" s="38" t="n"/>
      <c r="K242" s="41" t="n"/>
      <c r="L242" s="38" t="n"/>
      <c r="M242">
        <f>IF($A242=Ficha!$B$3,COUNTIF($A$5:$A242,Ficha!$B$3),"")</f>
        <v/>
      </c>
    </row>
    <row r="243">
      <c r="A243" s="36" t="n"/>
      <c r="B243" s="40">
        <f>IF(A243="","",IFERROR(INDEX(Maniobras!$B$5:$B$504,MATCH(A243,Maniobras!$A$5:$A$504,0)),""))</f>
        <v/>
      </c>
      <c r="C243" s="36">
        <f>IF(B243="","",TEXT(B243,"yyyy-mm"))</f>
        <v/>
      </c>
      <c r="D243" s="36">
        <f>IF(A243="","",IFERROR(INDEX(Maniobras!$D$5:$D$504,MATCH(A243,Maniobras!$A$5:$A$504,0)),""))</f>
        <v/>
      </c>
      <c r="E243" s="36" t="n"/>
      <c r="F243" s="37">
        <f>IF(A243="","",IFERROR(INDEX(Maniobras!$K$5:$K$504,MATCH(A243,Maniobras!$A$5:$A$504,0)),""))</f>
        <v/>
      </c>
      <c r="G243" s="37" t="n"/>
      <c r="H243" s="37" t="n"/>
      <c r="I243" s="37">
        <f>IF(G243="","",G243+N(H243))</f>
        <v/>
      </c>
      <c r="J243" s="36" t="n"/>
      <c r="K243" s="40" t="n"/>
      <c r="L243" s="36" t="n"/>
      <c r="M243">
        <f>IF($A243=Ficha!$B$3,COUNTIF($A$5:$A243,Ficha!$B$3),"")</f>
        <v/>
      </c>
    </row>
    <row r="244">
      <c r="A244" s="38" t="n"/>
      <c r="B244" s="41">
        <f>IF(A244="","",IFERROR(INDEX(Maniobras!$B$5:$B$504,MATCH(A244,Maniobras!$A$5:$A$504,0)),""))</f>
        <v/>
      </c>
      <c r="C244" s="38">
        <f>IF(B244="","",TEXT(B244,"yyyy-mm"))</f>
        <v/>
      </c>
      <c r="D244" s="38">
        <f>IF(A244="","",IFERROR(INDEX(Maniobras!$D$5:$D$504,MATCH(A244,Maniobras!$A$5:$A$504,0)),""))</f>
        <v/>
      </c>
      <c r="E244" s="38" t="n"/>
      <c r="F244" s="39">
        <f>IF(A244="","",IFERROR(INDEX(Maniobras!$K$5:$K$504,MATCH(A244,Maniobras!$A$5:$A$504,0)),""))</f>
        <v/>
      </c>
      <c r="G244" s="39" t="n"/>
      <c r="H244" s="39" t="n"/>
      <c r="I244" s="39">
        <f>IF(G244="","",G244+N(H244))</f>
        <v/>
      </c>
      <c r="J244" s="38" t="n"/>
      <c r="K244" s="41" t="n"/>
      <c r="L244" s="38" t="n"/>
      <c r="M244">
        <f>IF($A244=Ficha!$B$3,COUNTIF($A$5:$A244,Ficha!$B$3),"")</f>
        <v/>
      </c>
    </row>
    <row r="245">
      <c r="A245" s="36" t="n"/>
      <c r="B245" s="40">
        <f>IF(A245="","",IFERROR(INDEX(Maniobras!$B$5:$B$504,MATCH(A245,Maniobras!$A$5:$A$504,0)),""))</f>
        <v/>
      </c>
      <c r="C245" s="36">
        <f>IF(B245="","",TEXT(B245,"yyyy-mm"))</f>
        <v/>
      </c>
      <c r="D245" s="36">
        <f>IF(A245="","",IFERROR(INDEX(Maniobras!$D$5:$D$504,MATCH(A245,Maniobras!$A$5:$A$504,0)),""))</f>
        <v/>
      </c>
      <c r="E245" s="36" t="n"/>
      <c r="F245" s="37">
        <f>IF(A245="","",IFERROR(INDEX(Maniobras!$K$5:$K$504,MATCH(A245,Maniobras!$A$5:$A$504,0)),""))</f>
        <v/>
      </c>
      <c r="G245" s="37" t="n"/>
      <c r="H245" s="37" t="n"/>
      <c r="I245" s="37">
        <f>IF(G245="","",G245+N(H245))</f>
        <v/>
      </c>
      <c r="J245" s="36" t="n"/>
      <c r="K245" s="40" t="n"/>
      <c r="L245" s="36" t="n"/>
      <c r="M245">
        <f>IF($A245=Ficha!$B$3,COUNTIF($A$5:$A245,Ficha!$B$3),"")</f>
        <v/>
      </c>
    </row>
    <row r="246">
      <c r="A246" s="38" t="n"/>
      <c r="B246" s="41">
        <f>IF(A246="","",IFERROR(INDEX(Maniobras!$B$5:$B$504,MATCH(A246,Maniobras!$A$5:$A$504,0)),""))</f>
        <v/>
      </c>
      <c r="C246" s="38">
        <f>IF(B246="","",TEXT(B246,"yyyy-mm"))</f>
        <v/>
      </c>
      <c r="D246" s="38">
        <f>IF(A246="","",IFERROR(INDEX(Maniobras!$D$5:$D$504,MATCH(A246,Maniobras!$A$5:$A$504,0)),""))</f>
        <v/>
      </c>
      <c r="E246" s="38" t="n"/>
      <c r="F246" s="39">
        <f>IF(A246="","",IFERROR(INDEX(Maniobras!$K$5:$K$504,MATCH(A246,Maniobras!$A$5:$A$504,0)),""))</f>
        <v/>
      </c>
      <c r="G246" s="39" t="n"/>
      <c r="H246" s="39" t="n"/>
      <c r="I246" s="39">
        <f>IF(G246="","",G246+N(H246))</f>
        <v/>
      </c>
      <c r="J246" s="38" t="n"/>
      <c r="K246" s="41" t="n"/>
      <c r="L246" s="38" t="n"/>
      <c r="M246">
        <f>IF($A246=Ficha!$B$3,COUNTIF($A$5:$A246,Ficha!$B$3),"")</f>
        <v/>
      </c>
    </row>
    <row r="247">
      <c r="A247" s="36" t="n"/>
      <c r="B247" s="40">
        <f>IF(A247="","",IFERROR(INDEX(Maniobras!$B$5:$B$504,MATCH(A247,Maniobras!$A$5:$A$504,0)),""))</f>
        <v/>
      </c>
      <c r="C247" s="36">
        <f>IF(B247="","",TEXT(B247,"yyyy-mm"))</f>
        <v/>
      </c>
      <c r="D247" s="36">
        <f>IF(A247="","",IFERROR(INDEX(Maniobras!$D$5:$D$504,MATCH(A247,Maniobras!$A$5:$A$504,0)),""))</f>
        <v/>
      </c>
      <c r="E247" s="36" t="n"/>
      <c r="F247" s="37">
        <f>IF(A247="","",IFERROR(INDEX(Maniobras!$K$5:$K$504,MATCH(A247,Maniobras!$A$5:$A$504,0)),""))</f>
        <v/>
      </c>
      <c r="G247" s="37" t="n"/>
      <c r="H247" s="37" t="n"/>
      <c r="I247" s="37">
        <f>IF(G247="","",G247+N(H247))</f>
        <v/>
      </c>
      <c r="J247" s="36" t="n"/>
      <c r="K247" s="40" t="n"/>
      <c r="L247" s="36" t="n"/>
      <c r="M247">
        <f>IF($A247=Ficha!$B$3,COUNTIF($A$5:$A247,Ficha!$B$3),"")</f>
        <v/>
      </c>
    </row>
    <row r="248">
      <c r="A248" s="38" t="n"/>
      <c r="B248" s="41">
        <f>IF(A248="","",IFERROR(INDEX(Maniobras!$B$5:$B$504,MATCH(A248,Maniobras!$A$5:$A$504,0)),""))</f>
        <v/>
      </c>
      <c r="C248" s="38">
        <f>IF(B248="","",TEXT(B248,"yyyy-mm"))</f>
        <v/>
      </c>
      <c r="D248" s="38">
        <f>IF(A248="","",IFERROR(INDEX(Maniobras!$D$5:$D$504,MATCH(A248,Maniobras!$A$5:$A$504,0)),""))</f>
        <v/>
      </c>
      <c r="E248" s="38" t="n"/>
      <c r="F248" s="39">
        <f>IF(A248="","",IFERROR(INDEX(Maniobras!$K$5:$K$504,MATCH(A248,Maniobras!$A$5:$A$504,0)),""))</f>
        <v/>
      </c>
      <c r="G248" s="39" t="n"/>
      <c r="H248" s="39" t="n"/>
      <c r="I248" s="39">
        <f>IF(G248="","",G248+N(H248))</f>
        <v/>
      </c>
      <c r="J248" s="38" t="n"/>
      <c r="K248" s="41" t="n"/>
      <c r="L248" s="38" t="n"/>
      <c r="M248">
        <f>IF($A248=Ficha!$B$3,COUNTIF($A$5:$A248,Ficha!$B$3),"")</f>
        <v/>
      </c>
    </row>
    <row r="249">
      <c r="A249" s="36" t="n"/>
      <c r="B249" s="40">
        <f>IF(A249="","",IFERROR(INDEX(Maniobras!$B$5:$B$504,MATCH(A249,Maniobras!$A$5:$A$504,0)),""))</f>
        <v/>
      </c>
      <c r="C249" s="36">
        <f>IF(B249="","",TEXT(B249,"yyyy-mm"))</f>
        <v/>
      </c>
      <c r="D249" s="36">
        <f>IF(A249="","",IFERROR(INDEX(Maniobras!$D$5:$D$504,MATCH(A249,Maniobras!$A$5:$A$504,0)),""))</f>
        <v/>
      </c>
      <c r="E249" s="36" t="n"/>
      <c r="F249" s="37">
        <f>IF(A249="","",IFERROR(INDEX(Maniobras!$K$5:$K$504,MATCH(A249,Maniobras!$A$5:$A$504,0)),""))</f>
        <v/>
      </c>
      <c r="G249" s="37" t="n"/>
      <c r="H249" s="37" t="n"/>
      <c r="I249" s="37">
        <f>IF(G249="","",G249+N(H249))</f>
        <v/>
      </c>
      <c r="J249" s="36" t="n"/>
      <c r="K249" s="40" t="n"/>
      <c r="L249" s="36" t="n"/>
      <c r="M249">
        <f>IF($A249=Ficha!$B$3,COUNTIF($A$5:$A249,Ficha!$B$3),"")</f>
        <v/>
      </c>
    </row>
    <row r="250">
      <c r="A250" s="38" t="n"/>
      <c r="B250" s="41">
        <f>IF(A250="","",IFERROR(INDEX(Maniobras!$B$5:$B$504,MATCH(A250,Maniobras!$A$5:$A$504,0)),""))</f>
        <v/>
      </c>
      <c r="C250" s="38">
        <f>IF(B250="","",TEXT(B250,"yyyy-mm"))</f>
        <v/>
      </c>
      <c r="D250" s="38">
        <f>IF(A250="","",IFERROR(INDEX(Maniobras!$D$5:$D$504,MATCH(A250,Maniobras!$A$5:$A$504,0)),""))</f>
        <v/>
      </c>
      <c r="E250" s="38" t="n"/>
      <c r="F250" s="39">
        <f>IF(A250="","",IFERROR(INDEX(Maniobras!$K$5:$K$504,MATCH(A250,Maniobras!$A$5:$A$504,0)),""))</f>
        <v/>
      </c>
      <c r="G250" s="39" t="n"/>
      <c r="H250" s="39" t="n"/>
      <c r="I250" s="39">
        <f>IF(G250="","",G250+N(H250))</f>
        <v/>
      </c>
      <c r="J250" s="38" t="n"/>
      <c r="K250" s="41" t="n"/>
      <c r="L250" s="38" t="n"/>
      <c r="M250">
        <f>IF($A250=Ficha!$B$3,COUNTIF($A$5:$A250,Ficha!$B$3),"")</f>
        <v/>
      </c>
    </row>
    <row r="251">
      <c r="A251" s="36" t="n"/>
      <c r="B251" s="40">
        <f>IF(A251="","",IFERROR(INDEX(Maniobras!$B$5:$B$504,MATCH(A251,Maniobras!$A$5:$A$504,0)),""))</f>
        <v/>
      </c>
      <c r="C251" s="36">
        <f>IF(B251="","",TEXT(B251,"yyyy-mm"))</f>
        <v/>
      </c>
      <c r="D251" s="36">
        <f>IF(A251="","",IFERROR(INDEX(Maniobras!$D$5:$D$504,MATCH(A251,Maniobras!$A$5:$A$504,0)),""))</f>
        <v/>
      </c>
      <c r="E251" s="36" t="n"/>
      <c r="F251" s="37">
        <f>IF(A251="","",IFERROR(INDEX(Maniobras!$K$5:$K$504,MATCH(A251,Maniobras!$A$5:$A$504,0)),""))</f>
        <v/>
      </c>
      <c r="G251" s="37" t="n"/>
      <c r="H251" s="37" t="n"/>
      <c r="I251" s="37">
        <f>IF(G251="","",G251+N(H251))</f>
        <v/>
      </c>
      <c r="J251" s="36" t="n"/>
      <c r="K251" s="40" t="n"/>
      <c r="L251" s="36" t="n"/>
      <c r="M251">
        <f>IF($A251=Ficha!$B$3,COUNTIF($A$5:$A251,Ficha!$B$3),"")</f>
        <v/>
      </c>
    </row>
    <row r="252">
      <c r="A252" s="38" t="n"/>
      <c r="B252" s="41">
        <f>IF(A252="","",IFERROR(INDEX(Maniobras!$B$5:$B$504,MATCH(A252,Maniobras!$A$5:$A$504,0)),""))</f>
        <v/>
      </c>
      <c r="C252" s="38">
        <f>IF(B252="","",TEXT(B252,"yyyy-mm"))</f>
        <v/>
      </c>
      <c r="D252" s="38">
        <f>IF(A252="","",IFERROR(INDEX(Maniobras!$D$5:$D$504,MATCH(A252,Maniobras!$A$5:$A$504,0)),""))</f>
        <v/>
      </c>
      <c r="E252" s="38" t="n"/>
      <c r="F252" s="39">
        <f>IF(A252="","",IFERROR(INDEX(Maniobras!$K$5:$K$504,MATCH(A252,Maniobras!$A$5:$A$504,0)),""))</f>
        <v/>
      </c>
      <c r="G252" s="39" t="n"/>
      <c r="H252" s="39" t="n"/>
      <c r="I252" s="39">
        <f>IF(G252="","",G252+N(H252))</f>
        <v/>
      </c>
      <c r="J252" s="38" t="n"/>
      <c r="K252" s="41" t="n"/>
      <c r="L252" s="38" t="n"/>
      <c r="M252">
        <f>IF($A252=Ficha!$B$3,COUNTIF($A$5:$A252,Ficha!$B$3),"")</f>
        <v/>
      </c>
    </row>
    <row r="253">
      <c r="A253" s="36" t="n"/>
      <c r="B253" s="40">
        <f>IF(A253="","",IFERROR(INDEX(Maniobras!$B$5:$B$504,MATCH(A253,Maniobras!$A$5:$A$504,0)),""))</f>
        <v/>
      </c>
      <c r="C253" s="36">
        <f>IF(B253="","",TEXT(B253,"yyyy-mm"))</f>
        <v/>
      </c>
      <c r="D253" s="36">
        <f>IF(A253="","",IFERROR(INDEX(Maniobras!$D$5:$D$504,MATCH(A253,Maniobras!$A$5:$A$504,0)),""))</f>
        <v/>
      </c>
      <c r="E253" s="36" t="n"/>
      <c r="F253" s="37">
        <f>IF(A253="","",IFERROR(INDEX(Maniobras!$K$5:$K$504,MATCH(A253,Maniobras!$A$5:$A$504,0)),""))</f>
        <v/>
      </c>
      <c r="G253" s="37" t="n"/>
      <c r="H253" s="37" t="n"/>
      <c r="I253" s="37">
        <f>IF(G253="","",G253+N(H253))</f>
        <v/>
      </c>
      <c r="J253" s="36" t="n"/>
      <c r="K253" s="40" t="n"/>
      <c r="L253" s="36" t="n"/>
      <c r="M253">
        <f>IF($A253=Ficha!$B$3,COUNTIF($A$5:$A253,Ficha!$B$3),"")</f>
        <v/>
      </c>
    </row>
    <row r="254">
      <c r="A254" s="38" t="n"/>
      <c r="B254" s="41">
        <f>IF(A254="","",IFERROR(INDEX(Maniobras!$B$5:$B$504,MATCH(A254,Maniobras!$A$5:$A$504,0)),""))</f>
        <v/>
      </c>
      <c r="C254" s="38">
        <f>IF(B254="","",TEXT(B254,"yyyy-mm"))</f>
        <v/>
      </c>
      <c r="D254" s="38">
        <f>IF(A254="","",IFERROR(INDEX(Maniobras!$D$5:$D$504,MATCH(A254,Maniobras!$A$5:$A$504,0)),""))</f>
        <v/>
      </c>
      <c r="E254" s="38" t="n"/>
      <c r="F254" s="39">
        <f>IF(A254="","",IFERROR(INDEX(Maniobras!$K$5:$K$504,MATCH(A254,Maniobras!$A$5:$A$504,0)),""))</f>
        <v/>
      </c>
      <c r="G254" s="39" t="n"/>
      <c r="H254" s="39" t="n"/>
      <c r="I254" s="39">
        <f>IF(G254="","",G254+N(H254))</f>
        <v/>
      </c>
      <c r="J254" s="38" t="n"/>
      <c r="K254" s="41" t="n"/>
      <c r="L254" s="38" t="n"/>
      <c r="M254">
        <f>IF($A254=Ficha!$B$3,COUNTIF($A$5:$A254,Ficha!$B$3),"")</f>
        <v/>
      </c>
    </row>
    <row r="255">
      <c r="A255" s="36" t="n"/>
      <c r="B255" s="40">
        <f>IF(A255="","",IFERROR(INDEX(Maniobras!$B$5:$B$504,MATCH(A255,Maniobras!$A$5:$A$504,0)),""))</f>
        <v/>
      </c>
      <c r="C255" s="36">
        <f>IF(B255="","",TEXT(B255,"yyyy-mm"))</f>
        <v/>
      </c>
      <c r="D255" s="36">
        <f>IF(A255="","",IFERROR(INDEX(Maniobras!$D$5:$D$504,MATCH(A255,Maniobras!$A$5:$A$504,0)),""))</f>
        <v/>
      </c>
      <c r="E255" s="36" t="n"/>
      <c r="F255" s="37">
        <f>IF(A255="","",IFERROR(INDEX(Maniobras!$K$5:$K$504,MATCH(A255,Maniobras!$A$5:$A$504,0)),""))</f>
        <v/>
      </c>
      <c r="G255" s="37" t="n"/>
      <c r="H255" s="37" t="n"/>
      <c r="I255" s="37">
        <f>IF(G255="","",G255+N(H255))</f>
        <v/>
      </c>
      <c r="J255" s="36" t="n"/>
      <c r="K255" s="40" t="n"/>
      <c r="L255" s="36" t="n"/>
      <c r="M255">
        <f>IF($A255=Ficha!$B$3,COUNTIF($A$5:$A255,Ficha!$B$3),"")</f>
        <v/>
      </c>
    </row>
    <row r="256">
      <c r="A256" s="38" t="n"/>
      <c r="B256" s="41">
        <f>IF(A256="","",IFERROR(INDEX(Maniobras!$B$5:$B$504,MATCH(A256,Maniobras!$A$5:$A$504,0)),""))</f>
        <v/>
      </c>
      <c r="C256" s="38">
        <f>IF(B256="","",TEXT(B256,"yyyy-mm"))</f>
        <v/>
      </c>
      <c r="D256" s="38">
        <f>IF(A256="","",IFERROR(INDEX(Maniobras!$D$5:$D$504,MATCH(A256,Maniobras!$A$5:$A$504,0)),""))</f>
        <v/>
      </c>
      <c r="E256" s="38" t="n"/>
      <c r="F256" s="39">
        <f>IF(A256="","",IFERROR(INDEX(Maniobras!$K$5:$K$504,MATCH(A256,Maniobras!$A$5:$A$504,0)),""))</f>
        <v/>
      </c>
      <c r="G256" s="39" t="n"/>
      <c r="H256" s="39" t="n"/>
      <c r="I256" s="39">
        <f>IF(G256="","",G256+N(H256))</f>
        <v/>
      </c>
      <c r="J256" s="38" t="n"/>
      <c r="K256" s="41" t="n"/>
      <c r="L256" s="38" t="n"/>
      <c r="M256">
        <f>IF($A256=Ficha!$B$3,COUNTIF($A$5:$A256,Ficha!$B$3),"")</f>
        <v/>
      </c>
    </row>
    <row r="257">
      <c r="A257" s="36" t="n"/>
      <c r="B257" s="40">
        <f>IF(A257="","",IFERROR(INDEX(Maniobras!$B$5:$B$504,MATCH(A257,Maniobras!$A$5:$A$504,0)),""))</f>
        <v/>
      </c>
      <c r="C257" s="36">
        <f>IF(B257="","",TEXT(B257,"yyyy-mm"))</f>
        <v/>
      </c>
      <c r="D257" s="36">
        <f>IF(A257="","",IFERROR(INDEX(Maniobras!$D$5:$D$504,MATCH(A257,Maniobras!$A$5:$A$504,0)),""))</f>
        <v/>
      </c>
      <c r="E257" s="36" t="n"/>
      <c r="F257" s="37">
        <f>IF(A257="","",IFERROR(INDEX(Maniobras!$K$5:$K$504,MATCH(A257,Maniobras!$A$5:$A$504,0)),""))</f>
        <v/>
      </c>
      <c r="G257" s="37" t="n"/>
      <c r="H257" s="37" t="n"/>
      <c r="I257" s="37">
        <f>IF(G257="","",G257+N(H257))</f>
        <v/>
      </c>
      <c r="J257" s="36" t="n"/>
      <c r="K257" s="40" t="n"/>
      <c r="L257" s="36" t="n"/>
      <c r="M257">
        <f>IF($A257=Ficha!$B$3,COUNTIF($A$5:$A257,Ficha!$B$3),"")</f>
        <v/>
      </c>
    </row>
    <row r="258">
      <c r="A258" s="38" t="n"/>
      <c r="B258" s="41">
        <f>IF(A258="","",IFERROR(INDEX(Maniobras!$B$5:$B$504,MATCH(A258,Maniobras!$A$5:$A$504,0)),""))</f>
        <v/>
      </c>
      <c r="C258" s="38">
        <f>IF(B258="","",TEXT(B258,"yyyy-mm"))</f>
        <v/>
      </c>
      <c r="D258" s="38">
        <f>IF(A258="","",IFERROR(INDEX(Maniobras!$D$5:$D$504,MATCH(A258,Maniobras!$A$5:$A$504,0)),""))</f>
        <v/>
      </c>
      <c r="E258" s="38" t="n"/>
      <c r="F258" s="39">
        <f>IF(A258="","",IFERROR(INDEX(Maniobras!$K$5:$K$504,MATCH(A258,Maniobras!$A$5:$A$504,0)),""))</f>
        <v/>
      </c>
      <c r="G258" s="39" t="n"/>
      <c r="H258" s="39" t="n"/>
      <c r="I258" s="39">
        <f>IF(G258="","",G258+N(H258))</f>
        <v/>
      </c>
      <c r="J258" s="38" t="n"/>
      <c r="K258" s="41" t="n"/>
      <c r="L258" s="38" t="n"/>
      <c r="M258">
        <f>IF($A258=Ficha!$B$3,COUNTIF($A$5:$A258,Ficha!$B$3),"")</f>
        <v/>
      </c>
    </row>
    <row r="259">
      <c r="A259" s="36" t="n"/>
      <c r="B259" s="40">
        <f>IF(A259="","",IFERROR(INDEX(Maniobras!$B$5:$B$504,MATCH(A259,Maniobras!$A$5:$A$504,0)),""))</f>
        <v/>
      </c>
      <c r="C259" s="36">
        <f>IF(B259="","",TEXT(B259,"yyyy-mm"))</f>
        <v/>
      </c>
      <c r="D259" s="36">
        <f>IF(A259="","",IFERROR(INDEX(Maniobras!$D$5:$D$504,MATCH(A259,Maniobras!$A$5:$A$504,0)),""))</f>
        <v/>
      </c>
      <c r="E259" s="36" t="n"/>
      <c r="F259" s="37">
        <f>IF(A259="","",IFERROR(INDEX(Maniobras!$K$5:$K$504,MATCH(A259,Maniobras!$A$5:$A$504,0)),""))</f>
        <v/>
      </c>
      <c r="G259" s="37" t="n"/>
      <c r="H259" s="37" t="n"/>
      <c r="I259" s="37">
        <f>IF(G259="","",G259+N(H259))</f>
        <v/>
      </c>
      <c r="J259" s="36" t="n"/>
      <c r="K259" s="40" t="n"/>
      <c r="L259" s="36" t="n"/>
      <c r="M259">
        <f>IF($A259=Ficha!$B$3,COUNTIF($A$5:$A259,Ficha!$B$3),"")</f>
        <v/>
      </c>
    </row>
    <row r="260">
      <c r="A260" s="38" t="n"/>
      <c r="B260" s="41">
        <f>IF(A260="","",IFERROR(INDEX(Maniobras!$B$5:$B$504,MATCH(A260,Maniobras!$A$5:$A$504,0)),""))</f>
        <v/>
      </c>
      <c r="C260" s="38">
        <f>IF(B260="","",TEXT(B260,"yyyy-mm"))</f>
        <v/>
      </c>
      <c r="D260" s="38">
        <f>IF(A260="","",IFERROR(INDEX(Maniobras!$D$5:$D$504,MATCH(A260,Maniobras!$A$5:$A$504,0)),""))</f>
        <v/>
      </c>
      <c r="E260" s="38" t="n"/>
      <c r="F260" s="39">
        <f>IF(A260="","",IFERROR(INDEX(Maniobras!$K$5:$K$504,MATCH(A260,Maniobras!$A$5:$A$504,0)),""))</f>
        <v/>
      </c>
      <c r="G260" s="39" t="n"/>
      <c r="H260" s="39" t="n"/>
      <c r="I260" s="39">
        <f>IF(G260="","",G260+N(H260))</f>
        <v/>
      </c>
      <c r="J260" s="38" t="n"/>
      <c r="K260" s="41" t="n"/>
      <c r="L260" s="38" t="n"/>
      <c r="M260">
        <f>IF($A260=Ficha!$B$3,COUNTIF($A$5:$A260,Ficha!$B$3),"")</f>
        <v/>
      </c>
    </row>
    <row r="261">
      <c r="A261" s="36" t="n"/>
      <c r="B261" s="40">
        <f>IF(A261="","",IFERROR(INDEX(Maniobras!$B$5:$B$504,MATCH(A261,Maniobras!$A$5:$A$504,0)),""))</f>
        <v/>
      </c>
      <c r="C261" s="36">
        <f>IF(B261="","",TEXT(B261,"yyyy-mm"))</f>
        <v/>
      </c>
      <c r="D261" s="36">
        <f>IF(A261="","",IFERROR(INDEX(Maniobras!$D$5:$D$504,MATCH(A261,Maniobras!$A$5:$A$504,0)),""))</f>
        <v/>
      </c>
      <c r="E261" s="36" t="n"/>
      <c r="F261" s="37">
        <f>IF(A261="","",IFERROR(INDEX(Maniobras!$K$5:$K$504,MATCH(A261,Maniobras!$A$5:$A$504,0)),""))</f>
        <v/>
      </c>
      <c r="G261" s="37" t="n"/>
      <c r="H261" s="37" t="n"/>
      <c r="I261" s="37">
        <f>IF(G261="","",G261+N(H261))</f>
        <v/>
      </c>
      <c r="J261" s="36" t="n"/>
      <c r="K261" s="40" t="n"/>
      <c r="L261" s="36" t="n"/>
      <c r="M261">
        <f>IF($A261=Ficha!$B$3,COUNTIF($A$5:$A261,Ficha!$B$3),"")</f>
        <v/>
      </c>
    </row>
    <row r="262">
      <c r="A262" s="38" t="n"/>
      <c r="B262" s="41">
        <f>IF(A262="","",IFERROR(INDEX(Maniobras!$B$5:$B$504,MATCH(A262,Maniobras!$A$5:$A$504,0)),""))</f>
        <v/>
      </c>
      <c r="C262" s="38">
        <f>IF(B262="","",TEXT(B262,"yyyy-mm"))</f>
        <v/>
      </c>
      <c r="D262" s="38">
        <f>IF(A262="","",IFERROR(INDEX(Maniobras!$D$5:$D$504,MATCH(A262,Maniobras!$A$5:$A$504,0)),""))</f>
        <v/>
      </c>
      <c r="E262" s="38" t="n"/>
      <c r="F262" s="39">
        <f>IF(A262="","",IFERROR(INDEX(Maniobras!$K$5:$K$504,MATCH(A262,Maniobras!$A$5:$A$504,0)),""))</f>
        <v/>
      </c>
      <c r="G262" s="39" t="n"/>
      <c r="H262" s="39" t="n"/>
      <c r="I262" s="39">
        <f>IF(G262="","",G262+N(H262))</f>
        <v/>
      </c>
      <c r="J262" s="38" t="n"/>
      <c r="K262" s="41" t="n"/>
      <c r="L262" s="38" t="n"/>
      <c r="M262">
        <f>IF($A262=Ficha!$B$3,COUNTIF($A$5:$A262,Ficha!$B$3),"")</f>
        <v/>
      </c>
    </row>
    <row r="263">
      <c r="A263" s="36" t="n"/>
      <c r="B263" s="40">
        <f>IF(A263="","",IFERROR(INDEX(Maniobras!$B$5:$B$504,MATCH(A263,Maniobras!$A$5:$A$504,0)),""))</f>
        <v/>
      </c>
      <c r="C263" s="36">
        <f>IF(B263="","",TEXT(B263,"yyyy-mm"))</f>
        <v/>
      </c>
      <c r="D263" s="36">
        <f>IF(A263="","",IFERROR(INDEX(Maniobras!$D$5:$D$504,MATCH(A263,Maniobras!$A$5:$A$504,0)),""))</f>
        <v/>
      </c>
      <c r="E263" s="36" t="n"/>
      <c r="F263" s="37">
        <f>IF(A263="","",IFERROR(INDEX(Maniobras!$K$5:$K$504,MATCH(A263,Maniobras!$A$5:$A$504,0)),""))</f>
        <v/>
      </c>
      <c r="G263" s="37" t="n"/>
      <c r="H263" s="37" t="n"/>
      <c r="I263" s="37">
        <f>IF(G263="","",G263+N(H263))</f>
        <v/>
      </c>
      <c r="J263" s="36" t="n"/>
      <c r="K263" s="40" t="n"/>
      <c r="L263" s="36" t="n"/>
      <c r="M263">
        <f>IF($A263=Ficha!$B$3,COUNTIF($A$5:$A263,Ficha!$B$3),"")</f>
        <v/>
      </c>
    </row>
    <row r="264">
      <c r="A264" s="38" t="n"/>
      <c r="B264" s="41">
        <f>IF(A264="","",IFERROR(INDEX(Maniobras!$B$5:$B$504,MATCH(A264,Maniobras!$A$5:$A$504,0)),""))</f>
        <v/>
      </c>
      <c r="C264" s="38">
        <f>IF(B264="","",TEXT(B264,"yyyy-mm"))</f>
        <v/>
      </c>
      <c r="D264" s="38">
        <f>IF(A264="","",IFERROR(INDEX(Maniobras!$D$5:$D$504,MATCH(A264,Maniobras!$A$5:$A$504,0)),""))</f>
        <v/>
      </c>
      <c r="E264" s="38" t="n"/>
      <c r="F264" s="39">
        <f>IF(A264="","",IFERROR(INDEX(Maniobras!$K$5:$K$504,MATCH(A264,Maniobras!$A$5:$A$504,0)),""))</f>
        <v/>
      </c>
      <c r="G264" s="39" t="n"/>
      <c r="H264" s="39" t="n"/>
      <c r="I264" s="39">
        <f>IF(G264="","",G264+N(H264))</f>
        <v/>
      </c>
      <c r="J264" s="38" t="n"/>
      <c r="K264" s="41" t="n"/>
      <c r="L264" s="38" t="n"/>
      <c r="M264">
        <f>IF($A264=Ficha!$B$3,COUNTIF($A$5:$A264,Ficha!$B$3),"")</f>
        <v/>
      </c>
    </row>
    <row r="265">
      <c r="A265" s="36" t="n"/>
      <c r="B265" s="40">
        <f>IF(A265="","",IFERROR(INDEX(Maniobras!$B$5:$B$504,MATCH(A265,Maniobras!$A$5:$A$504,0)),""))</f>
        <v/>
      </c>
      <c r="C265" s="36">
        <f>IF(B265="","",TEXT(B265,"yyyy-mm"))</f>
        <v/>
      </c>
      <c r="D265" s="36">
        <f>IF(A265="","",IFERROR(INDEX(Maniobras!$D$5:$D$504,MATCH(A265,Maniobras!$A$5:$A$504,0)),""))</f>
        <v/>
      </c>
      <c r="E265" s="36" t="n"/>
      <c r="F265" s="37">
        <f>IF(A265="","",IFERROR(INDEX(Maniobras!$K$5:$K$504,MATCH(A265,Maniobras!$A$5:$A$504,0)),""))</f>
        <v/>
      </c>
      <c r="G265" s="37" t="n"/>
      <c r="H265" s="37" t="n"/>
      <c r="I265" s="37">
        <f>IF(G265="","",G265+N(H265))</f>
        <v/>
      </c>
      <c r="J265" s="36" t="n"/>
      <c r="K265" s="40" t="n"/>
      <c r="L265" s="36" t="n"/>
      <c r="M265">
        <f>IF($A265=Ficha!$B$3,COUNTIF($A$5:$A265,Ficha!$B$3),"")</f>
        <v/>
      </c>
    </row>
    <row r="266">
      <c r="A266" s="38" t="n"/>
      <c r="B266" s="41">
        <f>IF(A266="","",IFERROR(INDEX(Maniobras!$B$5:$B$504,MATCH(A266,Maniobras!$A$5:$A$504,0)),""))</f>
        <v/>
      </c>
      <c r="C266" s="38">
        <f>IF(B266="","",TEXT(B266,"yyyy-mm"))</f>
        <v/>
      </c>
      <c r="D266" s="38">
        <f>IF(A266="","",IFERROR(INDEX(Maniobras!$D$5:$D$504,MATCH(A266,Maniobras!$A$5:$A$504,0)),""))</f>
        <v/>
      </c>
      <c r="E266" s="38" t="n"/>
      <c r="F266" s="39">
        <f>IF(A266="","",IFERROR(INDEX(Maniobras!$K$5:$K$504,MATCH(A266,Maniobras!$A$5:$A$504,0)),""))</f>
        <v/>
      </c>
      <c r="G266" s="39" t="n"/>
      <c r="H266" s="39" t="n"/>
      <c r="I266" s="39">
        <f>IF(G266="","",G266+N(H266))</f>
        <v/>
      </c>
      <c r="J266" s="38" t="n"/>
      <c r="K266" s="41" t="n"/>
      <c r="L266" s="38" t="n"/>
      <c r="M266">
        <f>IF($A266=Ficha!$B$3,COUNTIF($A$5:$A266,Ficha!$B$3),"")</f>
        <v/>
      </c>
    </row>
    <row r="267">
      <c r="A267" s="36" t="n"/>
      <c r="B267" s="40">
        <f>IF(A267="","",IFERROR(INDEX(Maniobras!$B$5:$B$504,MATCH(A267,Maniobras!$A$5:$A$504,0)),""))</f>
        <v/>
      </c>
      <c r="C267" s="36">
        <f>IF(B267="","",TEXT(B267,"yyyy-mm"))</f>
        <v/>
      </c>
      <c r="D267" s="36">
        <f>IF(A267="","",IFERROR(INDEX(Maniobras!$D$5:$D$504,MATCH(A267,Maniobras!$A$5:$A$504,0)),""))</f>
        <v/>
      </c>
      <c r="E267" s="36" t="n"/>
      <c r="F267" s="37">
        <f>IF(A267="","",IFERROR(INDEX(Maniobras!$K$5:$K$504,MATCH(A267,Maniobras!$A$5:$A$504,0)),""))</f>
        <v/>
      </c>
      <c r="G267" s="37" t="n"/>
      <c r="H267" s="37" t="n"/>
      <c r="I267" s="37">
        <f>IF(G267="","",G267+N(H267))</f>
        <v/>
      </c>
      <c r="J267" s="36" t="n"/>
      <c r="K267" s="40" t="n"/>
      <c r="L267" s="36" t="n"/>
      <c r="M267">
        <f>IF($A267=Ficha!$B$3,COUNTIF($A$5:$A267,Ficha!$B$3),"")</f>
        <v/>
      </c>
    </row>
    <row r="268">
      <c r="A268" s="38" t="n"/>
      <c r="B268" s="41">
        <f>IF(A268="","",IFERROR(INDEX(Maniobras!$B$5:$B$504,MATCH(A268,Maniobras!$A$5:$A$504,0)),""))</f>
        <v/>
      </c>
      <c r="C268" s="38">
        <f>IF(B268="","",TEXT(B268,"yyyy-mm"))</f>
        <v/>
      </c>
      <c r="D268" s="38">
        <f>IF(A268="","",IFERROR(INDEX(Maniobras!$D$5:$D$504,MATCH(A268,Maniobras!$A$5:$A$504,0)),""))</f>
        <v/>
      </c>
      <c r="E268" s="38" t="n"/>
      <c r="F268" s="39">
        <f>IF(A268="","",IFERROR(INDEX(Maniobras!$K$5:$K$504,MATCH(A268,Maniobras!$A$5:$A$504,0)),""))</f>
        <v/>
      </c>
      <c r="G268" s="39" t="n"/>
      <c r="H268" s="39" t="n"/>
      <c r="I268" s="39">
        <f>IF(G268="","",G268+N(H268))</f>
        <v/>
      </c>
      <c r="J268" s="38" t="n"/>
      <c r="K268" s="41" t="n"/>
      <c r="L268" s="38" t="n"/>
      <c r="M268">
        <f>IF($A268=Ficha!$B$3,COUNTIF($A$5:$A268,Ficha!$B$3),"")</f>
        <v/>
      </c>
    </row>
    <row r="269">
      <c r="A269" s="36" t="n"/>
      <c r="B269" s="40">
        <f>IF(A269="","",IFERROR(INDEX(Maniobras!$B$5:$B$504,MATCH(A269,Maniobras!$A$5:$A$504,0)),""))</f>
        <v/>
      </c>
      <c r="C269" s="36">
        <f>IF(B269="","",TEXT(B269,"yyyy-mm"))</f>
        <v/>
      </c>
      <c r="D269" s="36">
        <f>IF(A269="","",IFERROR(INDEX(Maniobras!$D$5:$D$504,MATCH(A269,Maniobras!$A$5:$A$504,0)),""))</f>
        <v/>
      </c>
      <c r="E269" s="36" t="n"/>
      <c r="F269" s="37">
        <f>IF(A269="","",IFERROR(INDEX(Maniobras!$K$5:$K$504,MATCH(A269,Maniobras!$A$5:$A$504,0)),""))</f>
        <v/>
      </c>
      <c r="G269" s="37" t="n"/>
      <c r="H269" s="37" t="n"/>
      <c r="I269" s="37">
        <f>IF(G269="","",G269+N(H269))</f>
        <v/>
      </c>
      <c r="J269" s="36" t="n"/>
      <c r="K269" s="40" t="n"/>
      <c r="L269" s="36" t="n"/>
      <c r="M269">
        <f>IF($A269=Ficha!$B$3,COUNTIF($A$5:$A269,Ficha!$B$3),"")</f>
        <v/>
      </c>
    </row>
    <row r="270">
      <c r="A270" s="38" t="n"/>
      <c r="B270" s="41">
        <f>IF(A270="","",IFERROR(INDEX(Maniobras!$B$5:$B$504,MATCH(A270,Maniobras!$A$5:$A$504,0)),""))</f>
        <v/>
      </c>
      <c r="C270" s="38">
        <f>IF(B270="","",TEXT(B270,"yyyy-mm"))</f>
        <v/>
      </c>
      <c r="D270" s="38">
        <f>IF(A270="","",IFERROR(INDEX(Maniobras!$D$5:$D$504,MATCH(A270,Maniobras!$A$5:$A$504,0)),""))</f>
        <v/>
      </c>
      <c r="E270" s="38" t="n"/>
      <c r="F270" s="39">
        <f>IF(A270="","",IFERROR(INDEX(Maniobras!$K$5:$K$504,MATCH(A270,Maniobras!$A$5:$A$504,0)),""))</f>
        <v/>
      </c>
      <c r="G270" s="39" t="n"/>
      <c r="H270" s="39" t="n"/>
      <c r="I270" s="39">
        <f>IF(G270="","",G270+N(H270))</f>
        <v/>
      </c>
      <c r="J270" s="38" t="n"/>
      <c r="K270" s="41" t="n"/>
      <c r="L270" s="38" t="n"/>
      <c r="M270">
        <f>IF($A270=Ficha!$B$3,COUNTIF($A$5:$A270,Ficha!$B$3),"")</f>
        <v/>
      </c>
    </row>
    <row r="271">
      <c r="A271" s="36" t="n"/>
      <c r="B271" s="40">
        <f>IF(A271="","",IFERROR(INDEX(Maniobras!$B$5:$B$504,MATCH(A271,Maniobras!$A$5:$A$504,0)),""))</f>
        <v/>
      </c>
      <c r="C271" s="36">
        <f>IF(B271="","",TEXT(B271,"yyyy-mm"))</f>
        <v/>
      </c>
      <c r="D271" s="36">
        <f>IF(A271="","",IFERROR(INDEX(Maniobras!$D$5:$D$504,MATCH(A271,Maniobras!$A$5:$A$504,0)),""))</f>
        <v/>
      </c>
      <c r="E271" s="36" t="n"/>
      <c r="F271" s="37">
        <f>IF(A271="","",IFERROR(INDEX(Maniobras!$K$5:$K$504,MATCH(A271,Maniobras!$A$5:$A$504,0)),""))</f>
        <v/>
      </c>
      <c r="G271" s="37" t="n"/>
      <c r="H271" s="37" t="n"/>
      <c r="I271" s="37">
        <f>IF(G271="","",G271+N(H271))</f>
        <v/>
      </c>
      <c r="J271" s="36" t="n"/>
      <c r="K271" s="40" t="n"/>
      <c r="L271" s="36" t="n"/>
      <c r="M271">
        <f>IF($A271=Ficha!$B$3,COUNTIF($A$5:$A271,Ficha!$B$3),"")</f>
        <v/>
      </c>
    </row>
    <row r="272">
      <c r="A272" s="38" t="n"/>
      <c r="B272" s="41">
        <f>IF(A272="","",IFERROR(INDEX(Maniobras!$B$5:$B$504,MATCH(A272,Maniobras!$A$5:$A$504,0)),""))</f>
        <v/>
      </c>
      <c r="C272" s="38">
        <f>IF(B272="","",TEXT(B272,"yyyy-mm"))</f>
        <v/>
      </c>
      <c r="D272" s="38">
        <f>IF(A272="","",IFERROR(INDEX(Maniobras!$D$5:$D$504,MATCH(A272,Maniobras!$A$5:$A$504,0)),""))</f>
        <v/>
      </c>
      <c r="E272" s="38" t="n"/>
      <c r="F272" s="39">
        <f>IF(A272="","",IFERROR(INDEX(Maniobras!$K$5:$K$504,MATCH(A272,Maniobras!$A$5:$A$504,0)),""))</f>
        <v/>
      </c>
      <c r="G272" s="39" t="n"/>
      <c r="H272" s="39" t="n"/>
      <c r="I272" s="39">
        <f>IF(G272="","",G272+N(H272))</f>
        <v/>
      </c>
      <c r="J272" s="38" t="n"/>
      <c r="K272" s="41" t="n"/>
      <c r="L272" s="38" t="n"/>
      <c r="M272">
        <f>IF($A272=Ficha!$B$3,COUNTIF($A$5:$A272,Ficha!$B$3),"")</f>
        <v/>
      </c>
    </row>
    <row r="273">
      <c r="A273" s="36" t="n"/>
      <c r="B273" s="40">
        <f>IF(A273="","",IFERROR(INDEX(Maniobras!$B$5:$B$504,MATCH(A273,Maniobras!$A$5:$A$504,0)),""))</f>
        <v/>
      </c>
      <c r="C273" s="36">
        <f>IF(B273="","",TEXT(B273,"yyyy-mm"))</f>
        <v/>
      </c>
      <c r="D273" s="36">
        <f>IF(A273="","",IFERROR(INDEX(Maniobras!$D$5:$D$504,MATCH(A273,Maniobras!$A$5:$A$504,0)),""))</f>
        <v/>
      </c>
      <c r="E273" s="36" t="n"/>
      <c r="F273" s="37">
        <f>IF(A273="","",IFERROR(INDEX(Maniobras!$K$5:$K$504,MATCH(A273,Maniobras!$A$5:$A$504,0)),""))</f>
        <v/>
      </c>
      <c r="G273" s="37" t="n"/>
      <c r="H273" s="37" t="n"/>
      <c r="I273" s="37">
        <f>IF(G273="","",G273+N(H273))</f>
        <v/>
      </c>
      <c r="J273" s="36" t="n"/>
      <c r="K273" s="40" t="n"/>
      <c r="L273" s="36" t="n"/>
      <c r="M273">
        <f>IF($A273=Ficha!$B$3,COUNTIF($A$5:$A273,Ficha!$B$3),"")</f>
        <v/>
      </c>
    </row>
    <row r="274">
      <c r="A274" s="38" t="n"/>
      <c r="B274" s="41">
        <f>IF(A274="","",IFERROR(INDEX(Maniobras!$B$5:$B$504,MATCH(A274,Maniobras!$A$5:$A$504,0)),""))</f>
        <v/>
      </c>
      <c r="C274" s="38">
        <f>IF(B274="","",TEXT(B274,"yyyy-mm"))</f>
        <v/>
      </c>
      <c r="D274" s="38">
        <f>IF(A274="","",IFERROR(INDEX(Maniobras!$D$5:$D$504,MATCH(A274,Maniobras!$A$5:$A$504,0)),""))</f>
        <v/>
      </c>
      <c r="E274" s="38" t="n"/>
      <c r="F274" s="39">
        <f>IF(A274="","",IFERROR(INDEX(Maniobras!$K$5:$K$504,MATCH(A274,Maniobras!$A$5:$A$504,0)),""))</f>
        <v/>
      </c>
      <c r="G274" s="39" t="n"/>
      <c r="H274" s="39" t="n"/>
      <c r="I274" s="39">
        <f>IF(G274="","",G274+N(H274))</f>
        <v/>
      </c>
      <c r="J274" s="38" t="n"/>
      <c r="K274" s="41" t="n"/>
      <c r="L274" s="38" t="n"/>
      <c r="M274">
        <f>IF($A274=Ficha!$B$3,COUNTIF($A$5:$A274,Ficha!$B$3),"")</f>
        <v/>
      </c>
    </row>
    <row r="275">
      <c r="A275" s="36" t="n"/>
      <c r="B275" s="40">
        <f>IF(A275="","",IFERROR(INDEX(Maniobras!$B$5:$B$504,MATCH(A275,Maniobras!$A$5:$A$504,0)),""))</f>
        <v/>
      </c>
      <c r="C275" s="36">
        <f>IF(B275="","",TEXT(B275,"yyyy-mm"))</f>
        <v/>
      </c>
      <c r="D275" s="36">
        <f>IF(A275="","",IFERROR(INDEX(Maniobras!$D$5:$D$504,MATCH(A275,Maniobras!$A$5:$A$504,0)),""))</f>
        <v/>
      </c>
      <c r="E275" s="36" t="n"/>
      <c r="F275" s="37">
        <f>IF(A275="","",IFERROR(INDEX(Maniobras!$K$5:$K$504,MATCH(A275,Maniobras!$A$5:$A$504,0)),""))</f>
        <v/>
      </c>
      <c r="G275" s="37" t="n"/>
      <c r="H275" s="37" t="n"/>
      <c r="I275" s="37">
        <f>IF(G275="","",G275+N(H275))</f>
        <v/>
      </c>
      <c r="J275" s="36" t="n"/>
      <c r="K275" s="40" t="n"/>
      <c r="L275" s="36" t="n"/>
      <c r="M275">
        <f>IF($A275=Ficha!$B$3,COUNTIF($A$5:$A275,Ficha!$B$3),"")</f>
        <v/>
      </c>
    </row>
    <row r="276">
      <c r="A276" s="38" t="n"/>
      <c r="B276" s="41">
        <f>IF(A276="","",IFERROR(INDEX(Maniobras!$B$5:$B$504,MATCH(A276,Maniobras!$A$5:$A$504,0)),""))</f>
        <v/>
      </c>
      <c r="C276" s="38">
        <f>IF(B276="","",TEXT(B276,"yyyy-mm"))</f>
        <v/>
      </c>
      <c r="D276" s="38">
        <f>IF(A276="","",IFERROR(INDEX(Maniobras!$D$5:$D$504,MATCH(A276,Maniobras!$A$5:$A$504,0)),""))</f>
        <v/>
      </c>
      <c r="E276" s="38" t="n"/>
      <c r="F276" s="39">
        <f>IF(A276="","",IFERROR(INDEX(Maniobras!$K$5:$K$504,MATCH(A276,Maniobras!$A$5:$A$504,0)),""))</f>
        <v/>
      </c>
      <c r="G276" s="39" t="n"/>
      <c r="H276" s="39" t="n"/>
      <c r="I276" s="39">
        <f>IF(G276="","",G276+N(H276))</f>
        <v/>
      </c>
      <c r="J276" s="38" t="n"/>
      <c r="K276" s="41" t="n"/>
      <c r="L276" s="38" t="n"/>
      <c r="M276">
        <f>IF($A276=Ficha!$B$3,COUNTIF($A$5:$A276,Ficha!$B$3),"")</f>
        <v/>
      </c>
    </row>
    <row r="277">
      <c r="A277" s="36" t="n"/>
      <c r="B277" s="40">
        <f>IF(A277="","",IFERROR(INDEX(Maniobras!$B$5:$B$504,MATCH(A277,Maniobras!$A$5:$A$504,0)),""))</f>
        <v/>
      </c>
      <c r="C277" s="36">
        <f>IF(B277="","",TEXT(B277,"yyyy-mm"))</f>
        <v/>
      </c>
      <c r="D277" s="36">
        <f>IF(A277="","",IFERROR(INDEX(Maniobras!$D$5:$D$504,MATCH(A277,Maniobras!$A$5:$A$504,0)),""))</f>
        <v/>
      </c>
      <c r="E277" s="36" t="n"/>
      <c r="F277" s="37">
        <f>IF(A277="","",IFERROR(INDEX(Maniobras!$K$5:$K$504,MATCH(A277,Maniobras!$A$5:$A$504,0)),""))</f>
        <v/>
      </c>
      <c r="G277" s="37" t="n"/>
      <c r="H277" s="37" t="n"/>
      <c r="I277" s="37">
        <f>IF(G277="","",G277+N(H277))</f>
        <v/>
      </c>
      <c r="J277" s="36" t="n"/>
      <c r="K277" s="40" t="n"/>
      <c r="L277" s="36" t="n"/>
      <c r="M277">
        <f>IF($A277=Ficha!$B$3,COUNTIF($A$5:$A277,Ficha!$B$3),"")</f>
        <v/>
      </c>
    </row>
    <row r="278">
      <c r="A278" s="38" t="n"/>
      <c r="B278" s="41">
        <f>IF(A278="","",IFERROR(INDEX(Maniobras!$B$5:$B$504,MATCH(A278,Maniobras!$A$5:$A$504,0)),""))</f>
        <v/>
      </c>
      <c r="C278" s="38">
        <f>IF(B278="","",TEXT(B278,"yyyy-mm"))</f>
        <v/>
      </c>
      <c r="D278" s="38">
        <f>IF(A278="","",IFERROR(INDEX(Maniobras!$D$5:$D$504,MATCH(A278,Maniobras!$A$5:$A$504,0)),""))</f>
        <v/>
      </c>
      <c r="E278" s="38" t="n"/>
      <c r="F278" s="39">
        <f>IF(A278="","",IFERROR(INDEX(Maniobras!$K$5:$K$504,MATCH(A278,Maniobras!$A$5:$A$504,0)),""))</f>
        <v/>
      </c>
      <c r="G278" s="39" t="n"/>
      <c r="H278" s="39" t="n"/>
      <c r="I278" s="39">
        <f>IF(G278="","",G278+N(H278))</f>
        <v/>
      </c>
      <c r="J278" s="38" t="n"/>
      <c r="K278" s="41" t="n"/>
      <c r="L278" s="38" t="n"/>
      <c r="M278">
        <f>IF($A278=Ficha!$B$3,COUNTIF($A$5:$A278,Ficha!$B$3),"")</f>
        <v/>
      </c>
    </row>
    <row r="279">
      <c r="A279" s="36" t="n"/>
      <c r="B279" s="40">
        <f>IF(A279="","",IFERROR(INDEX(Maniobras!$B$5:$B$504,MATCH(A279,Maniobras!$A$5:$A$504,0)),""))</f>
        <v/>
      </c>
      <c r="C279" s="36">
        <f>IF(B279="","",TEXT(B279,"yyyy-mm"))</f>
        <v/>
      </c>
      <c r="D279" s="36">
        <f>IF(A279="","",IFERROR(INDEX(Maniobras!$D$5:$D$504,MATCH(A279,Maniobras!$A$5:$A$504,0)),""))</f>
        <v/>
      </c>
      <c r="E279" s="36" t="n"/>
      <c r="F279" s="37">
        <f>IF(A279="","",IFERROR(INDEX(Maniobras!$K$5:$K$504,MATCH(A279,Maniobras!$A$5:$A$504,0)),""))</f>
        <v/>
      </c>
      <c r="G279" s="37" t="n"/>
      <c r="H279" s="37" t="n"/>
      <c r="I279" s="37">
        <f>IF(G279="","",G279+N(H279))</f>
        <v/>
      </c>
      <c r="J279" s="36" t="n"/>
      <c r="K279" s="40" t="n"/>
      <c r="L279" s="36" t="n"/>
      <c r="M279">
        <f>IF($A279=Ficha!$B$3,COUNTIF($A$5:$A279,Ficha!$B$3),"")</f>
        <v/>
      </c>
    </row>
    <row r="280">
      <c r="A280" s="38" t="n"/>
      <c r="B280" s="41">
        <f>IF(A280="","",IFERROR(INDEX(Maniobras!$B$5:$B$504,MATCH(A280,Maniobras!$A$5:$A$504,0)),""))</f>
        <v/>
      </c>
      <c r="C280" s="38">
        <f>IF(B280="","",TEXT(B280,"yyyy-mm"))</f>
        <v/>
      </c>
      <c r="D280" s="38">
        <f>IF(A280="","",IFERROR(INDEX(Maniobras!$D$5:$D$504,MATCH(A280,Maniobras!$A$5:$A$504,0)),""))</f>
        <v/>
      </c>
      <c r="E280" s="38" t="n"/>
      <c r="F280" s="39">
        <f>IF(A280="","",IFERROR(INDEX(Maniobras!$K$5:$K$504,MATCH(A280,Maniobras!$A$5:$A$504,0)),""))</f>
        <v/>
      </c>
      <c r="G280" s="39" t="n"/>
      <c r="H280" s="39" t="n"/>
      <c r="I280" s="39">
        <f>IF(G280="","",G280+N(H280))</f>
        <v/>
      </c>
      <c r="J280" s="38" t="n"/>
      <c r="K280" s="41" t="n"/>
      <c r="L280" s="38" t="n"/>
      <c r="M280">
        <f>IF($A280=Ficha!$B$3,COUNTIF($A$5:$A280,Ficha!$B$3),"")</f>
        <v/>
      </c>
    </row>
    <row r="281">
      <c r="A281" s="36" t="n"/>
      <c r="B281" s="40">
        <f>IF(A281="","",IFERROR(INDEX(Maniobras!$B$5:$B$504,MATCH(A281,Maniobras!$A$5:$A$504,0)),""))</f>
        <v/>
      </c>
      <c r="C281" s="36">
        <f>IF(B281="","",TEXT(B281,"yyyy-mm"))</f>
        <v/>
      </c>
      <c r="D281" s="36">
        <f>IF(A281="","",IFERROR(INDEX(Maniobras!$D$5:$D$504,MATCH(A281,Maniobras!$A$5:$A$504,0)),""))</f>
        <v/>
      </c>
      <c r="E281" s="36" t="n"/>
      <c r="F281" s="37">
        <f>IF(A281="","",IFERROR(INDEX(Maniobras!$K$5:$K$504,MATCH(A281,Maniobras!$A$5:$A$504,0)),""))</f>
        <v/>
      </c>
      <c r="G281" s="37" t="n"/>
      <c r="H281" s="37" t="n"/>
      <c r="I281" s="37">
        <f>IF(G281="","",G281+N(H281))</f>
        <v/>
      </c>
      <c r="J281" s="36" t="n"/>
      <c r="K281" s="40" t="n"/>
      <c r="L281" s="36" t="n"/>
      <c r="M281">
        <f>IF($A281=Ficha!$B$3,COUNTIF($A$5:$A281,Ficha!$B$3),"")</f>
        <v/>
      </c>
    </row>
    <row r="282">
      <c r="A282" s="38" t="n"/>
      <c r="B282" s="41">
        <f>IF(A282="","",IFERROR(INDEX(Maniobras!$B$5:$B$504,MATCH(A282,Maniobras!$A$5:$A$504,0)),""))</f>
        <v/>
      </c>
      <c r="C282" s="38">
        <f>IF(B282="","",TEXT(B282,"yyyy-mm"))</f>
        <v/>
      </c>
      <c r="D282" s="38">
        <f>IF(A282="","",IFERROR(INDEX(Maniobras!$D$5:$D$504,MATCH(A282,Maniobras!$A$5:$A$504,0)),""))</f>
        <v/>
      </c>
      <c r="E282" s="38" t="n"/>
      <c r="F282" s="39">
        <f>IF(A282="","",IFERROR(INDEX(Maniobras!$K$5:$K$504,MATCH(A282,Maniobras!$A$5:$A$504,0)),""))</f>
        <v/>
      </c>
      <c r="G282" s="39" t="n"/>
      <c r="H282" s="39" t="n"/>
      <c r="I282" s="39">
        <f>IF(G282="","",G282+N(H282))</f>
        <v/>
      </c>
      <c r="J282" s="38" t="n"/>
      <c r="K282" s="41" t="n"/>
      <c r="L282" s="38" t="n"/>
      <c r="M282">
        <f>IF($A282=Ficha!$B$3,COUNTIF($A$5:$A282,Ficha!$B$3),"")</f>
        <v/>
      </c>
    </row>
    <row r="283">
      <c r="A283" s="36" t="n"/>
      <c r="B283" s="40">
        <f>IF(A283="","",IFERROR(INDEX(Maniobras!$B$5:$B$504,MATCH(A283,Maniobras!$A$5:$A$504,0)),""))</f>
        <v/>
      </c>
      <c r="C283" s="36">
        <f>IF(B283="","",TEXT(B283,"yyyy-mm"))</f>
        <v/>
      </c>
      <c r="D283" s="36">
        <f>IF(A283="","",IFERROR(INDEX(Maniobras!$D$5:$D$504,MATCH(A283,Maniobras!$A$5:$A$504,0)),""))</f>
        <v/>
      </c>
      <c r="E283" s="36" t="n"/>
      <c r="F283" s="37">
        <f>IF(A283="","",IFERROR(INDEX(Maniobras!$K$5:$K$504,MATCH(A283,Maniobras!$A$5:$A$504,0)),""))</f>
        <v/>
      </c>
      <c r="G283" s="37" t="n"/>
      <c r="H283" s="37" t="n"/>
      <c r="I283" s="37">
        <f>IF(G283="","",G283+N(H283))</f>
        <v/>
      </c>
      <c r="J283" s="36" t="n"/>
      <c r="K283" s="40" t="n"/>
      <c r="L283" s="36" t="n"/>
      <c r="M283">
        <f>IF($A283=Ficha!$B$3,COUNTIF($A$5:$A283,Ficha!$B$3),"")</f>
        <v/>
      </c>
    </row>
    <row r="284">
      <c r="A284" s="38" t="n"/>
      <c r="B284" s="41">
        <f>IF(A284="","",IFERROR(INDEX(Maniobras!$B$5:$B$504,MATCH(A284,Maniobras!$A$5:$A$504,0)),""))</f>
        <v/>
      </c>
      <c r="C284" s="38">
        <f>IF(B284="","",TEXT(B284,"yyyy-mm"))</f>
        <v/>
      </c>
      <c r="D284" s="38">
        <f>IF(A284="","",IFERROR(INDEX(Maniobras!$D$5:$D$504,MATCH(A284,Maniobras!$A$5:$A$504,0)),""))</f>
        <v/>
      </c>
      <c r="E284" s="38" t="n"/>
      <c r="F284" s="39">
        <f>IF(A284="","",IFERROR(INDEX(Maniobras!$K$5:$K$504,MATCH(A284,Maniobras!$A$5:$A$504,0)),""))</f>
        <v/>
      </c>
      <c r="G284" s="39" t="n"/>
      <c r="H284" s="39" t="n"/>
      <c r="I284" s="39">
        <f>IF(G284="","",G284+N(H284))</f>
        <v/>
      </c>
      <c r="J284" s="38" t="n"/>
      <c r="K284" s="41" t="n"/>
      <c r="L284" s="38" t="n"/>
      <c r="M284">
        <f>IF($A284=Ficha!$B$3,COUNTIF($A$5:$A284,Ficha!$B$3),"")</f>
        <v/>
      </c>
    </row>
    <row r="285">
      <c r="A285" s="36" t="n"/>
      <c r="B285" s="40">
        <f>IF(A285="","",IFERROR(INDEX(Maniobras!$B$5:$B$504,MATCH(A285,Maniobras!$A$5:$A$504,0)),""))</f>
        <v/>
      </c>
      <c r="C285" s="36">
        <f>IF(B285="","",TEXT(B285,"yyyy-mm"))</f>
        <v/>
      </c>
      <c r="D285" s="36">
        <f>IF(A285="","",IFERROR(INDEX(Maniobras!$D$5:$D$504,MATCH(A285,Maniobras!$A$5:$A$504,0)),""))</f>
        <v/>
      </c>
      <c r="E285" s="36" t="n"/>
      <c r="F285" s="37">
        <f>IF(A285="","",IFERROR(INDEX(Maniobras!$K$5:$K$504,MATCH(A285,Maniobras!$A$5:$A$504,0)),""))</f>
        <v/>
      </c>
      <c r="G285" s="37" t="n"/>
      <c r="H285" s="37" t="n"/>
      <c r="I285" s="37">
        <f>IF(G285="","",G285+N(H285))</f>
        <v/>
      </c>
      <c r="J285" s="36" t="n"/>
      <c r="K285" s="40" t="n"/>
      <c r="L285" s="36" t="n"/>
      <c r="M285">
        <f>IF($A285=Ficha!$B$3,COUNTIF($A$5:$A285,Ficha!$B$3),"")</f>
        <v/>
      </c>
    </row>
    <row r="286">
      <c r="A286" s="38" t="n"/>
      <c r="B286" s="41">
        <f>IF(A286="","",IFERROR(INDEX(Maniobras!$B$5:$B$504,MATCH(A286,Maniobras!$A$5:$A$504,0)),""))</f>
        <v/>
      </c>
      <c r="C286" s="38">
        <f>IF(B286="","",TEXT(B286,"yyyy-mm"))</f>
        <v/>
      </c>
      <c r="D286" s="38">
        <f>IF(A286="","",IFERROR(INDEX(Maniobras!$D$5:$D$504,MATCH(A286,Maniobras!$A$5:$A$504,0)),""))</f>
        <v/>
      </c>
      <c r="E286" s="38" t="n"/>
      <c r="F286" s="39">
        <f>IF(A286="","",IFERROR(INDEX(Maniobras!$K$5:$K$504,MATCH(A286,Maniobras!$A$5:$A$504,0)),""))</f>
        <v/>
      </c>
      <c r="G286" s="39" t="n"/>
      <c r="H286" s="39" t="n"/>
      <c r="I286" s="39">
        <f>IF(G286="","",G286+N(H286))</f>
        <v/>
      </c>
      <c r="J286" s="38" t="n"/>
      <c r="K286" s="41" t="n"/>
      <c r="L286" s="38" t="n"/>
      <c r="M286">
        <f>IF($A286=Ficha!$B$3,COUNTIF($A$5:$A286,Ficha!$B$3),"")</f>
        <v/>
      </c>
    </row>
    <row r="287">
      <c r="A287" s="36" t="n"/>
      <c r="B287" s="40">
        <f>IF(A287="","",IFERROR(INDEX(Maniobras!$B$5:$B$504,MATCH(A287,Maniobras!$A$5:$A$504,0)),""))</f>
        <v/>
      </c>
      <c r="C287" s="36">
        <f>IF(B287="","",TEXT(B287,"yyyy-mm"))</f>
        <v/>
      </c>
      <c r="D287" s="36">
        <f>IF(A287="","",IFERROR(INDEX(Maniobras!$D$5:$D$504,MATCH(A287,Maniobras!$A$5:$A$504,0)),""))</f>
        <v/>
      </c>
      <c r="E287" s="36" t="n"/>
      <c r="F287" s="37">
        <f>IF(A287="","",IFERROR(INDEX(Maniobras!$K$5:$K$504,MATCH(A287,Maniobras!$A$5:$A$504,0)),""))</f>
        <v/>
      </c>
      <c r="G287" s="37" t="n"/>
      <c r="H287" s="37" t="n"/>
      <c r="I287" s="37">
        <f>IF(G287="","",G287+N(H287))</f>
        <v/>
      </c>
      <c r="J287" s="36" t="n"/>
      <c r="K287" s="40" t="n"/>
      <c r="L287" s="36" t="n"/>
      <c r="M287">
        <f>IF($A287=Ficha!$B$3,COUNTIF($A$5:$A287,Ficha!$B$3),"")</f>
        <v/>
      </c>
    </row>
    <row r="288">
      <c r="A288" s="38" t="n"/>
      <c r="B288" s="41">
        <f>IF(A288="","",IFERROR(INDEX(Maniobras!$B$5:$B$504,MATCH(A288,Maniobras!$A$5:$A$504,0)),""))</f>
        <v/>
      </c>
      <c r="C288" s="38">
        <f>IF(B288="","",TEXT(B288,"yyyy-mm"))</f>
        <v/>
      </c>
      <c r="D288" s="38">
        <f>IF(A288="","",IFERROR(INDEX(Maniobras!$D$5:$D$504,MATCH(A288,Maniobras!$A$5:$A$504,0)),""))</f>
        <v/>
      </c>
      <c r="E288" s="38" t="n"/>
      <c r="F288" s="39">
        <f>IF(A288="","",IFERROR(INDEX(Maniobras!$K$5:$K$504,MATCH(A288,Maniobras!$A$5:$A$504,0)),""))</f>
        <v/>
      </c>
      <c r="G288" s="39" t="n"/>
      <c r="H288" s="39" t="n"/>
      <c r="I288" s="39">
        <f>IF(G288="","",G288+N(H288))</f>
        <v/>
      </c>
      <c r="J288" s="38" t="n"/>
      <c r="K288" s="41" t="n"/>
      <c r="L288" s="38" t="n"/>
      <c r="M288">
        <f>IF($A288=Ficha!$B$3,COUNTIF($A$5:$A288,Ficha!$B$3),"")</f>
        <v/>
      </c>
    </row>
    <row r="289">
      <c r="A289" s="36" t="n"/>
      <c r="B289" s="40">
        <f>IF(A289="","",IFERROR(INDEX(Maniobras!$B$5:$B$504,MATCH(A289,Maniobras!$A$5:$A$504,0)),""))</f>
        <v/>
      </c>
      <c r="C289" s="36">
        <f>IF(B289="","",TEXT(B289,"yyyy-mm"))</f>
        <v/>
      </c>
      <c r="D289" s="36">
        <f>IF(A289="","",IFERROR(INDEX(Maniobras!$D$5:$D$504,MATCH(A289,Maniobras!$A$5:$A$504,0)),""))</f>
        <v/>
      </c>
      <c r="E289" s="36" t="n"/>
      <c r="F289" s="37">
        <f>IF(A289="","",IFERROR(INDEX(Maniobras!$K$5:$K$504,MATCH(A289,Maniobras!$A$5:$A$504,0)),""))</f>
        <v/>
      </c>
      <c r="G289" s="37" t="n"/>
      <c r="H289" s="37" t="n"/>
      <c r="I289" s="37">
        <f>IF(G289="","",G289+N(H289))</f>
        <v/>
      </c>
      <c r="J289" s="36" t="n"/>
      <c r="K289" s="40" t="n"/>
      <c r="L289" s="36" t="n"/>
      <c r="M289">
        <f>IF($A289=Ficha!$B$3,COUNTIF($A$5:$A289,Ficha!$B$3),"")</f>
        <v/>
      </c>
    </row>
    <row r="290">
      <c r="A290" s="38" t="n"/>
      <c r="B290" s="41">
        <f>IF(A290="","",IFERROR(INDEX(Maniobras!$B$5:$B$504,MATCH(A290,Maniobras!$A$5:$A$504,0)),""))</f>
        <v/>
      </c>
      <c r="C290" s="38">
        <f>IF(B290="","",TEXT(B290,"yyyy-mm"))</f>
        <v/>
      </c>
      <c r="D290" s="38">
        <f>IF(A290="","",IFERROR(INDEX(Maniobras!$D$5:$D$504,MATCH(A290,Maniobras!$A$5:$A$504,0)),""))</f>
        <v/>
      </c>
      <c r="E290" s="38" t="n"/>
      <c r="F290" s="39">
        <f>IF(A290="","",IFERROR(INDEX(Maniobras!$K$5:$K$504,MATCH(A290,Maniobras!$A$5:$A$504,0)),""))</f>
        <v/>
      </c>
      <c r="G290" s="39" t="n"/>
      <c r="H290" s="39" t="n"/>
      <c r="I290" s="39">
        <f>IF(G290="","",G290+N(H290))</f>
        <v/>
      </c>
      <c r="J290" s="38" t="n"/>
      <c r="K290" s="41" t="n"/>
      <c r="L290" s="38" t="n"/>
      <c r="M290">
        <f>IF($A290=Ficha!$B$3,COUNTIF($A$5:$A290,Ficha!$B$3),"")</f>
        <v/>
      </c>
    </row>
    <row r="291">
      <c r="A291" s="36" t="n"/>
      <c r="B291" s="40">
        <f>IF(A291="","",IFERROR(INDEX(Maniobras!$B$5:$B$504,MATCH(A291,Maniobras!$A$5:$A$504,0)),""))</f>
        <v/>
      </c>
      <c r="C291" s="36">
        <f>IF(B291="","",TEXT(B291,"yyyy-mm"))</f>
        <v/>
      </c>
      <c r="D291" s="36">
        <f>IF(A291="","",IFERROR(INDEX(Maniobras!$D$5:$D$504,MATCH(A291,Maniobras!$A$5:$A$504,0)),""))</f>
        <v/>
      </c>
      <c r="E291" s="36" t="n"/>
      <c r="F291" s="37">
        <f>IF(A291="","",IFERROR(INDEX(Maniobras!$K$5:$K$504,MATCH(A291,Maniobras!$A$5:$A$504,0)),""))</f>
        <v/>
      </c>
      <c r="G291" s="37" t="n"/>
      <c r="H291" s="37" t="n"/>
      <c r="I291" s="37">
        <f>IF(G291="","",G291+N(H291))</f>
        <v/>
      </c>
      <c r="J291" s="36" t="n"/>
      <c r="K291" s="40" t="n"/>
      <c r="L291" s="36" t="n"/>
      <c r="M291">
        <f>IF($A291=Ficha!$B$3,COUNTIF($A$5:$A291,Ficha!$B$3),"")</f>
        <v/>
      </c>
    </row>
    <row r="292">
      <c r="A292" s="38" t="n"/>
      <c r="B292" s="41">
        <f>IF(A292="","",IFERROR(INDEX(Maniobras!$B$5:$B$504,MATCH(A292,Maniobras!$A$5:$A$504,0)),""))</f>
        <v/>
      </c>
      <c r="C292" s="38">
        <f>IF(B292="","",TEXT(B292,"yyyy-mm"))</f>
        <v/>
      </c>
      <c r="D292" s="38">
        <f>IF(A292="","",IFERROR(INDEX(Maniobras!$D$5:$D$504,MATCH(A292,Maniobras!$A$5:$A$504,0)),""))</f>
        <v/>
      </c>
      <c r="E292" s="38" t="n"/>
      <c r="F292" s="39">
        <f>IF(A292="","",IFERROR(INDEX(Maniobras!$K$5:$K$504,MATCH(A292,Maniobras!$A$5:$A$504,0)),""))</f>
        <v/>
      </c>
      <c r="G292" s="39" t="n"/>
      <c r="H292" s="39" t="n"/>
      <c r="I292" s="39">
        <f>IF(G292="","",G292+N(H292))</f>
        <v/>
      </c>
      <c r="J292" s="38" t="n"/>
      <c r="K292" s="41" t="n"/>
      <c r="L292" s="38" t="n"/>
      <c r="M292">
        <f>IF($A292=Ficha!$B$3,COUNTIF($A$5:$A292,Ficha!$B$3),"")</f>
        <v/>
      </c>
    </row>
    <row r="293">
      <c r="A293" s="36" t="n"/>
      <c r="B293" s="40">
        <f>IF(A293="","",IFERROR(INDEX(Maniobras!$B$5:$B$504,MATCH(A293,Maniobras!$A$5:$A$504,0)),""))</f>
        <v/>
      </c>
      <c r="C293" s="36">
        <f>IF(B293="","",TEXT(B293,"yyyy-mm"))</f>
        <v/>
      </c>
      <c r="D293" s="36">
        <f>IF(A293="","",IFERROR(INDEX(Maniobras!$D$5:$D$504,MATCH(A293,Maniobras!$A$5:$A$504,0)),""))</f>
        <v/>
      </c>
      <c r="E293" s="36" t="n"/>
      <c r="F293" s="37">
        <f>IF(A293="","",IFERROR(INDEX(Maniobras!$K$5:$K$504,MATCH(A293,Maniobras!$A$5:$A$504,0)),""))</f>
        <v/>
      </c>
      <c r="G293" s="37" t="n"/>
      <c r="H293" s="37" t="n"/>
      <c r="I293" s="37">
        <f>IF(G293="","",G293+N(H293))</f>
        <v/>
      </c>
      <c r="J293" s="36" t="n"/>
      <c r="K293" s="40" t="n"/>
      <c r="L293" s="36" t="n"/>
      <c r="M293">
        <f>IF($A293=Ficha!$B$3,COUNTIF($A$5:$A293,Ficha!$B$3),"")</f>
        <v/>
      </c>
    </row>
    <row r="294">
      <c r="A294" s="38" t="n"/>
      <c r="B294" s="41">
        <f>IF(A294="","",IFERROR(INDEX(Maniobras!$B$5:$B$504,MATCH(A294,Maniobras!$A$5:$A$504,0)),""))</f>
        <v/>
      </c>
      <c r="C294" s="38">
        <f>IF(B294="","",TEXT(B294,"yyyy-mm"))</f>
        <v/>
      </c>
      <c r="D294" s="38">
        <f>IF(A294="","",IFERROR(INDEX(Maniobras!$D$5:$D$504,MATCH(A294,Maniobras!$A$5:$A$504,0)),""))</f>
        <v/>
      </c>
      <c r="E294" s="38" t="n"/>
      <c r="F294" s="39">
        <f>IF(A294="","",IFERROR(INDEX(Maniobras!$K$5:$K$504,MATCH(A294,Maniobras!$A$5:$A$504,0)),""))</f>
        <v/>
      </c>
      <c r="G294" s="39" t="n"/>
      <c r="H294" s="39" t="n"/>
      <c r="I294" s="39">
        <f>IF(G294="","",G294+N(H294))</f>
        <v/>
      </c>
      <c r="J294" s="38" t="n"/>
      <c r="K294" s="41" t="n"/>
      <c r="L294" s="38" t="n"/>
      <c r="M294">
        <f>IF($A294=Ficha!$B$3,COUNTIF($A$5:$A294,Ficha!$B$3),"")</f>
        <v/>
      </c>
    </row>
    <row r="295">
      <c r="A295" s="36" t="n"/>
      <c r="B295" s="40">
        <f>IF(A295="","",IFERROR(INDEX(Maniobras!$B$5:$B$504,MATCH(A295,Maniobras!$A$5:$A$504,0)),""))</f>
        <v/>
      </c>
      <c r="C295" s="36">
        <f>IF(B295="","",TEXT(B295,"yyyy-mm"))</f>
        <v/>
      </c>
      <c r="D295" s="36">
        <f>IF(A295="","",IFERROR(INDEX(Maniobras!$D$5:$D$504,MATCH(A295,Maniobras!$A$5:$A$504,0)),""))</f>
        <v/>
      </c>
      <c r="E295" s="36" t="n"/>
      <c r="F295" s="37">
        <f>IF(A295="","",IFERROR(INDEX(Maniobras!$K$5:$K$504,MATCH(A295,Maniobras!$A$5:$A$504,0)),""))</f>
        <v/>
      </c>
      <c r="G295" s="37" t="n"/>
      <c r="H295" s="37" t="n"/>
      <c r="I295" s="37">
        <f>IF(G295="","",G295+N(H295))</f>
        <v/>
      </c>
      <c r="J295" s="36" t="n"/>
      <c r="K295" s="40" t="n"/>
      <c r="L295" s="36" t="n"/>
      <c r="M295">
        <f>IF($A295=Ficha!$B$3,COUNTIF($A$5:$A295,Ficha!$B$3),"")</f>
        <v/>
      </c>
    </row>
    <row r="296">
      <c r="A296" s="38" t="n"/>
      <c r="B296" s="41">
        <f>IF(A296="","",IFERROR(INDEX(Maniobras!$B$5:$B$504,MATCH(A296,Maniobras!$A$5:$A$504,0)),""))</f>
        <v/>
      </c>
      <c r="C296" s="38">
        <f>IF(B296="","",TEXT(B296,"yyyy-mm"))</f>
        <v/>
      </c>
      <c r="D296" s="38">
        <f>IF(A296="","",IFERROR(INDEX(Maniobras!$D$5:$D$504,MATCH(A296,Maniobras!$A$5:$A$504,0)),""))</f>
        <v/>
      </c>
      <c r="E296" s="38" t="n"/>
      <c r="F296" s="39">
        <f>IF(A296="","",IFERROR(INDEX(Maniobras!$K$5:$K$504,MATCH(A296,Maniobras!$A$5:$A$504,0)),""))</f>
        <v/>
      </c>
      <c r="G296" s="39" t="n"/>
      <c r="H296" s="39" t="n"/>
      <c r="I296" s="39">
        <f>IF(G296="","",G296+N(H296))</f>
        <v/>
      </c>
      <c r="J296" s="38" t="n"/>
      <c r="K296" s="41" t="n"/>
      <c r="L296" s="38" t="n"/>
      <c r="M296">
        <f>IF($A296=Ficha!$B$3,COUNTIF($A$5:$A296,Ficha!$B$3),"")</f>
        <v/>
      </c>
    </row>
    <row r="297">
      <c r="A297" s="36" t="n"/>
      <c r="B297" s="40">
        <f>IF(A297="","",IFERROR(INDEX(Maniobras!$B$5:$B$504,MATCH(A297,Maniobras!$A$5:$A$504,0)),""))</f>
        <v/>
      </c>
      <c r="C297" s="36">
        <f>IF(B297="","",TEXT(B297,"yyyy-mm"))</f>
        <v/>
      </c>
      <c r="D297" s="36">
        <f>IF(A297="","",IFERROR(INDEX(Maniobras!$D$5:$D$504,MATCH(A297,Maniobras!$A$5:$A$504,0)),""))</f>
        <v/>
      </c>
      <c r="E297" s="36" t="n"/>
      <c r="F297" s="37">
        <f>IF(A297="","",IFERROR(INDEX(Maniobras!$K$5:$K$504,MATCH(A297,Maniobras!$A$5:$A$504,0)),""))</f>
        <v/>
      </c>
      <c r="G297" s="37" t="n"/>
      <c r="H297" s="37" t="n"/>
      <c r="I297" s="37">
        <f>IF(G297="","",G297+N(H297))</f>
        <v/>
      </c>
      <c r="J297" s="36" t="n"/>
      <c r="K297" s="40" t="n"/>
      <c r="L297" s="36" t="n"/>
      <c r="M297">
        <f>IF($A297=Ficha!$B$3,COUNTIF($A$5:$A297,Ficha!$B$3),"")</f>
        <v/>
      </c>
    </row>
    <row r="298">
      <c r="A298" s="38" t="n"/>
      <c r="B298" s="41">
        <f>IF(A298="","",IFERROR(INDEX(Maniobras!$B$5:$B$504,MATCH(A298,Maniobras!$A$5:$A$504,0)),""))</f>
        <v/>
      </c>
      <c r="C298" s="38">
        <f>IF(B298="","",TEXT(B298,"yyyy-mm"))</f>
        <v/>
      </c>
      <c r="D298" s="38">
        <f>IF(A298="","",IFERROR(INDEX(Maniobras!$D$5:$D$504,MATCH(A298,Maniobras!$A$5:$A$504,0)),""))</f>
        <v/>
      </c>
      <c r="E298" s="38" t="n"/>
      <c r="F298" s="39">
        <f>IF(A298="","",IFERROR(INDEX(Maniobras!$K$5:$K$504,MATCH(A298,Maniobras!$A$5:$A$504,0)),""))</f>
        <v/>
      </c>
      <c r="G298" s="39" t="n"/>
      <c r="H298" s="39" t="n"/>
      <c r="I298" s="39">
        <f>IF(G298="","",G298+N(H298))</f>
        <v/>
      </c>
      <c r="J298" s="38" t="n"/>
      <c r="K298" s="41" t="n"/>
      <c r="L298" s="38" t="n"/>
      <c r="M298">
        <f>IF($A298=Ficha!$B$3,COUNTIF($A$5:$A298,Ficha!$B$3),"")</f>
        <v/>
      </c>
    </row>
    <row r="299">
      <c r="A299" s="36" t="n"/>
      <c r="B299" s="40">
        <f>IF(A299="","",IFERROR(INDEX(Maniobras!$B$5:$B$504,MATCH(A299,Maniobras!$A$5:$A$504,0)),""))</f>
        <v/>
      </c>
      <c r="C299" s="36">
        <f>IF(B299="","",TEXT(B299,"yyyy-mm"))</f>
        <v/>
      </c>
      <c r="D299" s="36">
        <f>IF(A299="","",IFERROR(INDEX(Maniobras!$D$5:$D$504,MATCH(A299,Maniobras!$A$5:$A$504,0)),""))</f>
        <v/>
      </c>
      <c r="E299" s="36" t="n"/>
      <c r="F299" s="37">
        <f>IF(A299="","",IFERROR(INDEX(Maniobras!$K$5:$K$504,MATCH(A299,Maniobras!$A$5:$A$504,0)),""))</f>
        <v/>
      </c>
      <c r="G299" s="37" t="n"/>
      <c r="H299" s="37" t="n"/>
      <c r="I299" s="37">
        <f>IF(G299="","",G299+N(H299))</f>
        <v/>
      </c>
      <c r="J299" s="36" t="n"/>
      <c r="K299" s="40" t="n"/>
      <c r="L299" s="36" t="n"/>
      <c r="M299">
        <f>IF($A299=Ficha!$B$3,COUNTIF($A$5:$A299,Ficha!$B$3),"")</f>
        <v/>
      </c>
    </row>
    <row r="300">
      <c r="A300" s="38" t="n"/>
      <c r="B300" s="41">
        <f>IF(A300="","",IFERROR(INDEX(Maniobras!$B$5:$B$504,MATCH(A300,Maniobras!$A$5:$A$504,0)),""))</f>
        <v/>
      </c>
      <c r="C300" s="38">
        <f>IF(B300="","",TEXT(B300,"yyyy-mm"))</f>
        <v/>
      </c>
      <c r="D300" s="38">
        <f>IF(A300="","",IFERROR(INDEX(Maniobras!$D$5:$D$504,MATCH(A300,Maniobras!$A$5:$A$504,0)),""))</f>
        <v/>
      </c>
      <c r="E300" s="38" t="n"/>
      <c r="F300" s="39">
        <f>IF(A300="","",IFERROR(INDEX(Maniobras!$K$5:$K$504,MATCH(A300,Maniobras!$A$5:$A$504,0)),""))</f>
        <v/>
      </c>
      <c r="G300" s="39" t="n"/>
      <c r="H300" s="39" t="n"/>
      <c r="I300" s="39">
        <f>IF(G300="","",G300+N(H300))</f>
        <v/>
      </c>
      <c r="J300" s="38" t="n"/>
      <c r="K300" s="41" t="n"/>
      <c r="L300" s="38" t="n"/>
      <c r="M300">
        <f>IF($A300=Ficha!$B$3,COUNTIF($A$5:$A300,Ficha!$B$3),"")</f>
        <v/>
      </c>
    </row>
    <row r="301">
      <c r="A301" s="36" t="n"/>
      <c r="B301" s="40">
        <f>IF(A301="","",IFERROR(INDEX(Maniobras!$B$5:$B$504,MATCH(A301,Maniobras!$A$5:$A$504,0)),""))</f>
        <v/>
      </c>
      <c r="C301" s="36">
        <f>IF(B301="","",TEXT(B301,"yyyy-mm"))</f>
        <v/>
      </c>
      <c r="D301" s="36">
        <f>IF(A301="","",IFERROR(INDEX(Maniobras!$D$5:$D$504,MATCH(A301,Maniobras!$A$5:$A$504,0)),""))</f>
        <v/>
      </c>
      <c r="E301" s="36" t="n"/>
      <c r="F301" s="37">
        <f>IF(A301="","",IFERROR(INDEX(Maniobras!$K$5:$K$504,MATCH(A301,Maniobras!$A$5:$A$504,0)),""))</f>
        <v/>
      </c>
      <c r="G301" s="37" t="n"/>
      <c r="H301" s="37" t="n"/>
      <c r="I301" s="37">
        <f>IF(G301="","",G301+N(H301))</f>
        <v/>
      </c>
      <c r="J301" s="36" t="n"/>
      <c r="K301" s="40" t="n"/>
      <c r="L301" s="36" t="n"/>
      <c r="M301">
        <f>IF($A301=Ficha!$B$3,COUNTIF($A$5:$A301,Ficha!$B$3),"")</f>
        <v/>
      </c>
    </row>
    <row r="302">
      <c r="A302" s="38" t="n"/>
      <c r="B302" s="41">
        <f>IF(A302="","",IFERROR(INDEX(Maniobras!$B$5:$B$504,MATCH(A302,Maniobras!$A$5:$A$504,0)),""))</f>
        <v/>
      </c>
      <c r="C302" s="38">
        <f>IF(B302="","",TEXT(B302,"yyyy-mm"))</f>
        <v/>
      </c>
      <c r="D302" s="38">
        <f>IF(A302="","",IFERROR(INDEX(Maniobras!$D$5:$D$504,MATCH(A302,Maniobras!$A$5:$A$504,0)),""))</f>
        <v/>
      </c>
      <c r="E302" s="38" t="n"/>
      <c r="F302" s="39">
        <f>IF(A302="","",IFERROR(INDEX(Maniobras!$K$5:$K$504,MATCH(A302,Maniobras!$A$5:$A$504,0)),""))</f>
        <v/>
      </c>
      <c r="G302" s="39" t="n"/>
      <c r="H302" s="39" t="n"/>
      <c r="I302" s="39">
        <f>IF(G302="","",G302+N(H302))</f>
        <v/>
      </c>
      <c r="J302" s="38" t="n"/>
      <c r="K302" s="41" t="n"/>
      <c r="L302" s="38" t="n"/>
      <c r="M302">
        <f>IF($A302=Ficha!$B$3,COUNTIF($A$5:$A302,Ficha!$B$3),"")</f>
        <v/>
      </c>
    </row>
    <row r="303">
      <c r="A303" s="36" t="n"/>
      <c r="B303" s="40">
        <f>IF(A303="","",IFERROR(INDEX(Maniobras!$B$5:$B$504,MATCH(A303,Maniobras!$A$5:$A$504,0)),""))</f>
        <v/>
      </c>
      <c r="C303" s="36">
        <f>IF(B303="","",TEXT(B303,"yyyy-mm"))</f>
        <v/>
      </c>
      <c r="D303" s="36">
        <f>IF(A303="","",IFERROR(INDEX(Maniobras!$D$5:$D$504,MATCH(A303,Maniobras!$A$5:$A$504,0)),""))</f>
        <v/>
      </c>
      <c r="E303" s="36" t="n"/>
      <c r="F303" s="37">
        <f>IF(A303="","",IFERROR(INDEX(Maniobras!$K$5:$K$504,MATCH(A303,Maniobras!$A$5:$A$504,0)),""))</f>
        <v/>
      </c>
      <c r="G303" s="37" t="n"/>
      <c r="H303" s="37" t="n"/>
      <c r="I303" s="37">
        <f>IF(G303="","",G303+N(H303))</f>
        <v/>
      </c>
      <c r="J303" s="36" t="n"/>
      <c r="K303" s="40" t="n"/>
      <c r="L303" s="36" t="n"/>
      <c r="M303">
        <f>IF($A303=Ficha!$B$3,COUNTIF($A$5:$A303,Ficha!$B$3),"")</f>
        <v/>
      </c>
    </row>
    <row r="304">
      <c r="A304" s="38" t="n"/>
      <c r="B304" s="41">
        <f>IF(A304="","",IFERROR(INDEX(Maniobras!$B$5:$B$504,MATCH(A304,Maniobras!$A$5:$A$504,0)),""))</f>
        <v/>
      </c>
      <c r="C304" s="38">
        <f>IF(B304="","",TEXT(B304,"yyyy-mm"))</f>
        <v/>
      </c>
      <c r="D304" s="38">
        <f>IF(A304="","",IFERROR(INDEX(Maniobras!$D$5:$D$504,MATCH(A304,Maniobras!$A$5:$A$504,0)),""))</f>
        <v/>
      </c>
      <c r="E304" s="38" t="n"/>
      <c r="F304" s="39">
        <f>IF(A304="","",IFERROR(INDEX(Maniobras!$K$5:$K$504,MATCH(A304,Maniobras!$A$5:$A$504,0)),""))</f>
        <v/>
      </c>
      <c r="G304" s="39" t="n"/>
      <c r="H304" s="39" t="n"/>
      <c r="I304" s="39">
        <f>IF(G304="","",G304+N(H304))</f>
        <v/>
      </c>
      <c r="J304" s="38" t="n"/>
      <c r="K304" s="41" t="n"/>
      <c r="L304" s="38" t="n"/>
      <c r="M304">
        <f>IF($A304=Ficha!$B$3,COUNTIF($A$5:$A304,Ficha!$B$3),"")</f>
        <v/>
      </c>
    </row>
    <row r="305">
      <c r="A305" s="36" t="n"/>
      <c r="B305" s="40">
        <f>IF(A305="","",IFERROR(INDEX(Maniobras!$B$5:$B$504,MATCH(A305,Maniobras!$A$5:$A$504,0)),""))</f>
        <v/>
      </c>
      <c r="C305" s="36">
        <f>IF(B305="","",TEXT(B305,"yyyy-mm"))</f>
        <v/>
      </c>
      <c r="D305" s="36">
        <f>IF(A305="","",IFERROR(INDEX(Maniobras!$D$5:$D$504,MATCH(A305,Maniobras!$A$5:$A$504,0)),""))</f>
        <v/>
      </c>
      <c r="E305" s="36" t="n"/>
      <c r="F305" s="37">
        <f>IF(A305="","",IFERROR(INDEX(Maniobras!$K$5:$K$504,MATCH(A305,Maniobras!$A$5:$A$504,0)),""))</f>
        <v/>
      </c>
      <c r="G305" s="37" t="n"/>
      <c r="H305" s="37" t="n"/>
      <c r="I305" s="37">
        <f>IF(G305="","",G305+N(H305))</f>
        <v/>
      </c>
      <c r="J305" s="36" t="n"/>
      <c r="K305" s="40" t="n"/>
      <c r="L305" s="36" t="n"/>
      <c r="M305">
        <f>IF($A305=Ficha!$B$3,COUNTIF($A$5:$A305,Ficha!$B$3),"")</f>
        <v/>
      </c>
    </row>
    <row r="306">
      <c r="A306" s="38" t="n"/>
      <c r="B306" s="41">
        <f>IF(A306="","",IFERROR(INDEX(Maniobras!$B$5:$B$504,MATCH(A306,Maniobras!$A$5:$A$504,0)),""))</f>
        <v/>
      </c>
      <c r="C306" s="38">
        <f>IF(B306="","",TEXT(B306,"yyyy-mm"))</f>
        <v/>
      </c>
      <c r="D306" s="38">
        <f>IF(A306="","",IFERROR(INDEX(Maniobras!$D$5:$D$504,MATCH(A306,Maniobras!$A$5:$A$504,0)),""))</f>
        <v/>
      </c>
      <c r="E306" s="38" t="n"/>
      <c r="F306" s="39">
        <f>IF(A306="","",IFERROR(INDEX(Maniobras!$K$5:$K$504,MATCH(A306,Maniobras!$A$5:$A$504,0)),""))</f>
        <v/>
      </c>
      <c r="G306" s="39" t="n"/>
      <c r="H306" s="39" t="n"/>
      <c r="I306" s="39">
        <f>IF(G306="","",G306+N(H306))</f>
        <v/>
      </c>
      <c r="J306" s="38" t="n"/>
      <c r="K306" s="41" t="n"/>
      <c r="L306" s="38" t="n"/>
      <c r="M306">
        <f>IF($A306=Ficha!$B$3,COUNTIF($A$5:$A306,Ficha!$B$3),"")</f>
        <v/>
      </c>
    </row>
    <row r="307">
      <c r="A307" s="36" t="n"/>
      <c r="B307" s="40">
        <f>IF(A307="","",IFERROR(INDEX(Maniobras!$B$5:$B$504,MATCH(A307,Maniobras!$A$5:$A$504,0)),""))</f>
        <v/>
      </c>
      <c r="C307" s="36">
        <f>IF(B307="","",TEXT(B307,"yyyy-mm"))</f>
        <v/>
      </c>
      <c r="D307" s="36">
        <f>IF(A307="","",IFERROR(INDEX(Maniobras!$D$5:$D$504,MATCH(A307,Maniobras!$A$5:$A$504,0)),""))</f>
        <v/>
      </c>
      <c r="E307" s="36" t="n"/>
      <c r="F307" s="37">
        <f>IF(A307="","",IFERROR(INDEX(Maniobras!$K$5:$K$504,MATCH(A307,Maniobras!$A$5:$A$504,0)),""))</f>
        <v/>
      </c>
      <c r="G307" s="37" t="n"/>
      <c r="H307" s="37" t="n"/>
      <c r="I307" s="37">
        <f>IF(G307="","",G307+N(H307))</f>
        <v/>
      </c>
      <c r="J307" s="36" t="n"/>
      <c r="K307" s="40" t="n"/>
      <c r="L307" s="36" t="n"/>
      <c r="M307">
        <f>IF($A307=Ficha!$B$3,COUNTIF($A$5:$A307,Ficha!$B$3),"")</f>
        <v/>
      </c>
    </row>
    <row r="308">
      <c r="A308" s="38" t="n"/>
      <c r="B308" s="41">
        <f>IF(A308="","",IFERROR(INDEX(Maniobras!$B$5:$B$504,MATCH(A308,Maniobras!$A$5:$A$504,0)),""))</f>
        <v/>
      </c>
      <c r="C308" s="38">
        <f>IF(B308="","",TEXT(B308,"yyyy-mm"))</f>
        <v/>
      </c>
      <c r="D308" s="38">
        <f>IF(A308="","",IFERROR(INDEX(Maniobras!$D$5:$D$504,MATCH(A308,Maniobras!$A$5:$A$504,0)),""))</f>
        <v/>
      </c>
      <c r="E308" s="38" t="n"/>
      <c r="F308" s="39">
        <f>IF(A308="","",IFERROR(INDEX(Maniobras!$K$5:$K$504,MATCH(A308,Maniobras!$A$5:$A$504,0)),""))</f>
        <v/>
      </c>
      <c r="G308" s="39" t="n"/>
      <c r="H308" s="39" t="n"/>
      <c r="I308" s="39">
        <f>IF(G308="","",G308+N(H308))</f>
        <v/>
      </c>
      <c r="J308" s="38" t="n"/>
      <c r="K308" s="41" t="n"/>
      <c r="L308" s="38" t="n"/>
      <c r="M308">
        <f>IF($A308=Ficha!$B$3,COUNTIF($A$5:$A308,Ficha!$B$3),"")</f>
        <v/>
      </c>
    </row>
    <row r="309">
      <c r="A309" s="36" t="n"/>
      <c r="B309" s="40">
        <f>IF(A309="","",IFERROR(INDEX(Maniobras!$B$5:$B$504,MATCH(A309,Maniobras!$A$5:$A$504,0)),""))</f>
        <v/>
      </c>
      <c r="C309" s="36">
        <f>IF(B309="","",TEXT(B309,"yyyy-mm"))</f>
        <v/>
      </c>
      <c r="D309" s="36">
        <f>IF(A309="","",IFERROR(INDEX(Maniobras!$D$5:$D$504,MATCH(A309,Maniobras!$A$5:$A$504,0)),""))</f>
        <v/>
      </c>
      <c r="E309" s="36" t="n"/>
      <c r="F309" s="37">
        <f>IF(A309="","",IFERROR(INDEX(Maniobras!$K$5:$K$504,MATCH(A309,Maniobras!$A$5:$A$504,0)),""))</f>
        <v/>
      </c>
      <c r="G309" s="37" t="n"/>
      <c r="H309" s="37" t="n"/>
      <c r="I309" s="37">
        <f>IF(G309="","",G309+N(H309))</f>
        <v/>
      </c>
      <c r="J309" s="36" t="n"/>
      <c r="K309" s="40" t="n"/>
      <c r="L309" s="36" t="n"/>
      <c r="M309">
        <f>IF($A309=Ficha!$B$3,COUNTIF($A$5:$A309,Ficha!$B$3),"")</f>
        <v/>
      </c>
    </row>
    <row r="310">
      <c r="A310" s="38" t="n"/>
      <c r="B310" s="41">
        <f>IF(A310="","",IFERROR(INDEX(Maniobras!$B$5:$B$504,MATCH(A310,Maniobras!$A$5:$A$504,0)),""))</f>
        <v/>
      </c>
      <c r="C310" s="38">
        <f>IF(B310="","",TEXT(B310,"yyyy-mm"))</f>
        <v/>
      </c>
      <c r="D310" s="38">
        <f>IF(A310="","",IFERROR(INDEX(Maniobras!$D$5:$D$504,MATCH(A310,Maniobras!$A$5:$A$504,0)),""))</f>
        <v/>
      </c>
      <c r="E310" s="38" t="n"/>
      <c r="F310" s="39">
        <f>IF(A310="","",IFERROR(INDEX(Maniobras!$K$5:$K$504,MATCH(A310,Maniobras!$A$5:$A$504,0)),""))</f>
        <v/>
      </c>
      <c r="G310" s="39" t="n"/>
      <c r="H310" s="39" t="n"/>
      <c r="I310" s="39">
        <f>IF(G310="","",G310+N(H310))</f>
        <v/>
      </c>
      <c r="J310" s="38" t="n"/>
      <c r="K310" s="41" t="n"/>
      <c r="L310" s="38" t="n"/>
      <c r="M310">
        <f>IF($A310=Ficha!$B$3,COUNTIF($A$5:$A310,Ficha!$B$3),"")</f>
        <v/>
      </c>
    </row>
    <row r="311">
      <c r="A311" s="36" t="n"/>
      <c r="B311" s="40">
        <f>IF(A311="","",IFERROR(INDEX(Maniobras!$B$5:$B$504,MATCH(A311,Maniobras!$A$5:$A$504,0)),""))</f>
        <v/>
      </c>
      <c r="C311" s="36">
        <f>IF(B311="","",TEXT(B311,"yyyy-mm"))</f>
        <v/>
      </c>
      <c r="D311" s="36">
        <f>IF(A311="","",IFERROR(INDEX(Maniobras!$D$5:$D$504,MATCH(A311,Maniobras!$A$5:$A$504,0)),""))</f>
        <v/>
      </c>
      <c r="E311" s="36" t="n"/>
      <c r="F311" s="37">
        <f>IF(A311="","",IFERROR(INDEX(Maniobras!$K$5:$K$504,MATCH(A311,Maniobras!$A$5:$A$504,0)),""))</f>
        <v/>
      </c>
      <c r="G311" s="37" t="n"/>
      <c r="H311" s="37" t="n"/>
      <c r="I311" s="37">
        <f>IF(G311="","",G311+N(H311))</f>
        <v/>
      </c>
      <c r="J311" s="36" t="n"/>
      <c r="K311" s="40" t="n"/>
      <c r="L311" s="36" t="n"/>
      <c r="M311">
        <f>IF($A311=Ficha!$B$3,COUNTIF($A$5:$A311,Ficha!$B$3),"")</f>
        <v/>
      </c>
    </row>
    <row r="312">
      <c r="A312" s="38" t="n"/>
      <c r="B312" s="41">
        <f>IF(A312="","",IFERROR(INDEX(Maniobras!$B$5:$B$504,MATCH(A312,Maniobras!$A$5:$A$504,0)),""))</f>
        <v/>
      </c>
      <c r="C312" s="38">
        <f>IF(B312="","",TEXT(B312,"yyyy-mm"))</f>
        <v/>
      </c>
      <c r="D312" s="38">
        <f>IF(A312="","",IFERROR(INDEX(Maniobras!$D$5:$D$504,MATCH(A312,Maniobras!$A$5:$A$504,0)),""))</f>
        <v/>
      </c>
      <c r="E312" s="38" t="n"/>
      <c r="F312" s="39">
        <f>IF(A312="","",IFERROR(INDEX(Maniobras!$K$5:$K$504,MATCH(A312,Maniobras!$A$5:$A$504,0)),""))</f>
        <v/>
      </c>
      <c r="G312" s="39" t="n"/>
      <c r="H312" s="39" t="n"/>
      <c r="I312" s="39">
        <f>IF(G312="","",G312+N(H312))</f>
        <v/>
      </c>
      <c r="J312" s="38" t="n"/>
      <c r="K312" s="41" t="n"/>
      <c r="L312" s="38" t="n"/>
      <c r="M312">
        <f>IF($A312=Ficha!$B$3,COUNTIF($A$5:$A312,Ficha!$B$3),"")</f>
        <v/>
      </c>
    </row>
    <row r="313">
      <c r="A313" s="36" t="n"/>
      <c r="B313" s="40">
        <f>IF(A313="","",IFERROR(INDEX(Maniobras!$B$5:$B$504,MATCH(A313,Maniobras!$A$5:$A$504,0)),""))</f>
        <v/>
      </c>
      <c r="C313" s="36">
        <f>IF(B313="","",TEXT(B313,"yyyy-mm"))</f>
        <v/>
      </c>
      <c r="D313" s="36">
        <f>IF(A313="","",IFERROR(INDEX(Maniobras!$D$5:$D$504,MATCH(A313,Maniobras!$A$5:$A$504,0)),""))</f>
        <v/>
      </c>
      <c r="E313" s="36" t="n"/>
      <c r="F313" s="37">
        <f>IF(A313="","",IFERROR(INDEX(Maniobras!$K$5:$K$504,MATCH(A313,Maniobras!$A$5:$A$504,0)),""))</f>
        <v/>
      </c>
      <c r="G313" s="37" t="n"/>
      <c r="H313" s="37" t="n"/>
      <c r="I313" s="37">
        <f>IF(G313="","",G313+N(H313))</f>
        <v/>
      </c>
      <c r="J313" s="36" t="n"/>
      <c r="K313" s="40" t="n"/>
      <c r="L313" s="36" t="n"/>
      <c r="M313">
        <f>IF($A313=Ficha!$B$3,COUNTIF($A$5:$A313,Ficha!$B$3),"")</f>
        <v/>
      </c>
    </row>
    <row r="314">
      <c r="A314" s="38" t="n"/>
      <c r="B314" s="41">
        <f>IF(A314="","",IFERROR(INDEX(Maniobras!$B$5:$B$504,MATCH(A314,Maniobras!$A$5:$A$504,0)),""))</f>
        <v/>
      </c>
      <c r="C314" s="38">
        <f>IF(B314="","",TEXT(B314,"yyyy-mm"))</f>
        <v/>
      </c>
      <c r="D314" s="38">
        <f>IF(A314="","",IFERROR(INDEX(Maniobras!$D$5:$D$504,MATCH(A314,Maniobras!$A$5:$A$504,0)),""))</f>
        <v/>
      </c>
      <c r="E314" s="38" t="n"/>
      <c r="F314" s="39">
        <f>IF(A314="","",IFERROR(INDEX(Maniobras!$K$5:$K$504,MATCH(A314,Maniobras!$A$5:$A$504,0)),""))</f>
        <v/>
      </c>
      <c r="G314" s="39" t="n"/>
      <c r="H314" s="39" t="n"/>
      <c r="I314" s="39">
        <f>IF(G314="","",G314+N(H314))</f>
        <v/>
      </c>
      <c r="J314" s="38" t="n"/>
      <c r="K314" s="41" t="n"/>
      <c r="L314" s="38" t="n"/>
      <c r="M314">
        <f>IF($A314=Ficha!$B$3,COUNTIF($A$5:$A314,Ficha!$B$3),"")</f>
        <v/>
      </c>
    </row>
    <row r="315">
      <c r="A315" s="36" t="n"/>
      <c r="B315" s="40">
        <f>IF(A315="","",IFERROR(INDEX(Maniobras!$B$5:$B$504,MATCH(A315,Maniobras!$A$5:$A$504,0)),""))</f>
        <v/>
      </c>
      <c r="C315" s="36">
        <f>IF(B315="","",TEXT(B315,"yyyy-mm"))</f>
        <v/>
      </c>
      <c r="D315" s="36">
        <f>IF(A315="","",IFERROR(INDEX(Maniobras!$D$5:$D$504,MATCH(A315,Maniobras!$A$5:$A$504,0)),""))</f>
        <v/>
      </c>
      <c r="E315" s="36" t="n"/>
      <c r="F315" s="37">
        <f>IF(A315="","",IFERROR(INDEX(Maniobras!$K$5:$K$504,MATCH(A315,Maniobras!$A$5:$A$504,0)),""))</f>
        <v/>
      </c>
      <c r="G315" s="37" t="n"/>
      <c r="H315" s="37" t="n"/>
      <c r="I315" s="37">
        <f>IF(G315="","",G315+N(H315))</f>
        <v/>
      </c>
      <c r="J315" s="36" t="n"/>
      <c r="K315" s="40" t="n"/>
      <c r="L315" s="36" t="n"/>
      <c r="M315">
        <f>IF($A315=Ficha!$B$3,COUNTIF($A$5:$A315,Ficha!$B$3),"")</f>
        <v/>
      </c>
    </row>
    <row r="316">
      <c r="A316" s="38" t="n"/>
      <c r="B316" s="41">
        <f>IF(A316="","",IFERROR(INDEX(Maniobras!$B$5:$B$504,MATCH(A316,Maniobras!$A$5:$A$504,0)),""))</f>
        <v/>
      </c>
      <c r="C316" s="38">
        <f>IF(B316="","",TEXT(B316,"yyyy-mm"))</f>
        <v/>
      </c>
      <c r="D316" s="38">
        <f>IF(A316="","",IFERROR(INDEX(Maniobras!$D$5:$D$504,MATCH(A316,Maniobras!$A$5:$A$504,0)),""))</f>
        <v/>
      </c>
      <c r="E316" s="38" t="n"/>
      <c r="F316" s="39">
        <f>IF(A316="","",IFERROR(INDEX(Maniobras!$K$5:$K$504,MATCH(A316,Maniobras!$A$5:$A$504,0)),""))</f>
        <v/>
      </c>
      <c r="G316" s="39" t="n"/>
      <c r="H316" s="39" t="n"/>
      <c r="I316" s="39">
        <f>IF(G316="","",G316+N(H316))</f>
        <v/>
      </c>
      <c r="J316" s="38" t="n"/>
      <c r="K316" s="41" t="n"/>
      <c r="L316" s="38" t="n"/>
      <c r="M316">
        <f>IF($A316=Ficha!$B$3,COUNTIF($A$5:$A316,Ficha!$B$3),"")</f>
        <v/>
      </c>
    </row>
    <row r="317">
      <c r="A317" s="36" t="n"/>
      <c r="B317" s="40">
        <f>IF(A317="","",IFERROR(INDEX(Maniobras!$B$5:$B$504,MATCH(A317,Maniobras!$A$5:$A$504,0)),""))</f>
        <v/>
      </c>
      <c r="C317" s="36">
        <f>IF(B317="","",TEXT(B317,"yyyy-mm"))</f>
        <v/>
      </c>
      <c r="D317" s="36">
        <f>IF(A317="","",IFERROR(INDEX(Maniobras!$D$5:$D$504,MATCH(A317,Maniobras!$A$5:$A$504,0)),""))</f>
        <v/>
      </c>
      <c r="E317" s="36" t="n"/>
      <c r="F317" s="37">
        <f>IF(A317="","",IFERROR(INDEX(Maniobras!$K$5:$K$504,MATCH(A317,Maniobras!$A$5:$A$504,0)),""))</f>
        <v/>
      </c>
      <c r="G317" s="37" t="n"/>
      <c r="H317" s="37" t="n"/>
      <c r="I317" s="37">
        <f>IF(G317="","",G317+N(H317))</f>
        <v/>
      </c>
      <c r="J317" s="36" t="n"/>
      <c r="K317" s="40" t="n"/>
      <c r="L317" s="36" t="n"/>
      <c r="M317">
        <f>IF($A317=Ficha!$B$3,COUNTIF($A$5:$A317,Ficha!$B$3),"")</f>
        <v/>
      </c>
    </row>
    <row r="318">
      <c r="A318" s="38" t="n"/>
      <c r="B318" s="41">
        <f>IF(A318="","",IFERROR(INDEX(Maniobras!$B$5:$B$504,MATCH(A318,Maniobras!$A$5:$A$504,0)),""))</f>
        <v/>
      </c>
      <c r="C318" s="38">
        <f>IF(B318="","",TEXT(B318,"yyyy-mm"))</f>
        <v/>
      </c>
      <c r="D318" s="38">
        <f>IF(A318="","",IFERROR(INDEX(Maniobras!$D$5:$D$504,MATCH(A318,Maniobras!$A$5:$A$504,0)),""))</f>
        <v/>
      </c>
      <c r="E318" s="38" t="n"/>
      <c r="F318" s="39">
        <f>IF(A318="","",IFERROR(INDEX(Maniobras!$K$5:$K$504,MATCH(A318,Maniobras!$A$5:$A$504,0)),""))</f>
        <v/>
      </c>
      <c r="G318" s="39" t="n"/>
      <c r="H318" s="39" t="n"/>
      <c r="I318" s="39">
        <f>IF(G318="","",G318+N(H318))</f>
        <v/>
      </c>
      <c r="J318" s="38" t="n"/>
      <c r="K318" s="41" t="n"/>
      <c r="L318" s="38" t="n"/>
      <c r="M318">
        <f>IF($A318=Ficha!$B$3,COUNTIF($A$5:$A318,Ficha!$B$3),"")</f>
        <v/>
      </c>
    </row>
    <row r="319">
      <c r="A319" s="36" t="n"/>
      <c r="B319" s="40">
        <f>IF(A319="","",IFERROR(INDEX(Maniobras!$B$5:$B$504,MATCH(A319,Maniobras!$A$5:$A$504,0)),""))</f>
        <v/>
      </c>
      <c r="C319" s="36">
        <f>IF(B319="","",TEXT(B319,"yyyy-mm"))</f>
        <v/>
      </c>
      <c r="D319" s="36">
        <f>IF(A319="","",IFERROR(INDEX(Maniobras!$D$5:$D$504,MATCH(A319,Maniobras!$A$5:$A$504,0)),""))</f>
        <v/>
      </c>
      <c r="E319" s="36" t="n"/>
      <c r="F319" s="37">
        <f>IF(A319="","",IFERROR(INDEX(Maniobras!$K$5:$K$504,MATCH(A319,Maniobras!$A$5:$A$504,0)),""))</f>
        <v/>
      </c>
      <c r="G319" s="37" t="n"/>
      <c r="H319" s="37" t="n"/>
      <c r="I319" s="37">
        <f>IF(G319="","",G319+N(H319))</f>
        <v/>
      </c>
      <c r="J319" s="36" t="n"/>
      <c r="K319" s="40" t="n"/>
      <c r="L319" s="36" t="n"/>
      <c r="M319">
        <f>IF($A319=Ficha!$B$3,COUNTIF($A$5:$A319,Ficha!$B$3),"")</f>
        <v/>
      </c>
    </row>
    <row r="320">
      <c r="A320" s="38" t="n"/>
      <c r="B320" s="41">
        <f>IF(A320="","",IFERROR(INDEX(Maniobras!$B$5:$B$504,MATCH(A320,Maniobras!$A$5:$A$504,0)),""))</f>
        <v/>
      </c>
      <c r="C320" s="38">
        <f>IF(B320="","",TEXT(B320,"yyyy-mm"))</f>
        <v/>
      </c>
      <c r="D320" s="38">
        <f>IF(A320="","",IFERROR(INDEX(Maniobras!$D$5:$D$504,MATCH(A320,Maniobras!$A$5:$A$504,0)),""))</f>
        <v/>
      </c>
      <c r="E320" s="38" t="n"/>
      <c r="F320" s="39">
        <f>IF(A320="","",IFERROR(INDEX(Maniobras!$K$5:$K$504,MATCH(A320,Maniobras!$A$5:$A$504,0)),""))</f>
        <v/>
      </c>
      <c r="G320" s="39" t="n"/>
      <c r="H320" s="39" t="n"/>
      <c r="I320" s="39">
        <f>IF(G320="","",G320+N(H320))</f>
        <v/>
      </c>
      <c r="J320" s="38" t="n"/>
      <c r="K320" s="41" t="n"/>
      <c r="L320" s="38" t="n"/>
      <c r="M320">
        <f>IF($A320=Ficha!$B$3,COUNTIF($A$5:$A320,Ficha!$B$3),"")</f>
        <v/>
      </c>
    </row>
    <row r="321">
      <c r="A321" s="36" t="n"/>
      <c r="B321" s="40">
        <f>IF(A321="","",IFERROR(INDEX(Maniobras!$B$5:$B$504,MATCH(A321,Maniobras!$A$5:$A$504,0)),""))</f>
        <v/>
      </c>
      <c r="C321" s="36">
        <f>IF(B321="","",TEXT(B321,"yyyy-mm"))</f>
        <v/>
      </c>
      <c r="D321" s="36">
        <f>IF(A321="","",IFERROR(INDEX(Maniobras!$D$5:$D$504,MATCH(A321,Maniobras!$A$5:$A$504,0)),""))</f>
        <v/>
      </c>
      <c r="E321" s="36" t="n"/>
      <c r="F321" s="37">
        <f>IF(A321="","",IFERROR(INDEX(Maniobras!$K$5:$K$504,MATCH(A321,Maniobras!$A$5:$A$504,0)),""))</f>
        <v/>
      </c>
      <c r="G321" s="37" t="n"/>
      <c r="H321" s="37" t="n"/>
      <c r="I321" s="37">
        <f>IF(G321="","",G321+N(H321))</f>
        <v/>
      </c>
      <c r="J321" s="36" t="n"/>
      <c r="K321" s="40" t="n"/>
      <c r="L321" s="36" t="n"/>
      <c r="M321">
        <f>IF($A321=Ficha!$B$3,COUNTIF($A$5:$A321,Ficha!$B$3),"")</f>
        <v/>
      </c>
    </row>
    <row r="322">
      <c r="A322" s="38" t="n"/>
      <c r="B322" s="41">
        <f>IF(A322="","",IFERROR(INDEX(Maniobras!$B$5:$B$504,MATCH(A322,Maniobras!$A$5:$A$504,0)),""))</f>
        <v/>
      </c>
      <c r="C322" s="38">
        <f>IF(B322="","",TEXT(B322,"yyyy-mm"))</f>
        <v/>
      </c>
      <c r="D322" s="38">
        <f>IF(A322="","",IFERROR(INDEX(Maniobras!$D$5:$D$504,MATCH(A322,Maniobras!$A$5:$A$504,0)),""))</f>
        <v/>
      </c>
      <c r="E322" s="38" t="n"/>
      <c r="F322" s="39">
        <f>IF(A322="","",IFERROR(INDEX(Maniobras!$K$5:$K$504,MATCH(A322,Maniobras!$A$5:$A$504,0)),""))</f>
        <v/>
      </c>
      <c r="G322" s="39" t="n"/>
      <c r="H322" s="39" t="n"/>
      <c r="I322" s="39">
        <f>IF(G322="","",G322+N(H322))</f>
        <v/>
      </c>
      <c r="J322" s="38" t="n"/>
      <c r="K322" s="41" t="n"/>
      <c r="L322" s="38" t="n"/>
      <c r="M322">
        <f>IF($A322=Ficha!$B$3,COUNTIF($A$5:$A322,Ficha!$B$3),"")</f>
        <v/>
      </c>
    </row>
    <row r="323">
      <c r="A323" s="36" t="n"/>
      <c r="B323" s="40">
        <f>IF(A323="","",IFERROR(INDEX(Maniobras!$B$5:$B$504,MATCH(A323,Maniobras!$A$5:$A$504,0)),""))</f>
        <v/>
      </c>
      <c r="C323" s="36">
        <f>IF(B323="","",TEXT(B323,"yyyy-mm"))</f>
        <v/>
      </c>
      <c r="D323" s="36">
        <f>IF(A323="","",IFERROR(INDEX(Maniobras!$D$5:$D$504,MATCH(A323,Maniobras!$A$5:$A$504,0)),""))</f>
        <v/>
      </c>
      <c r="E323" s="36" t="n"/>
      <c r="F323" s="37">
        <f>IF(A323="","",IFERROR(INDEX(Maniobras!$K$5:$K$504,MATCH(A323,Maniobras!$A$5:$A$504,0)),""))</f>
        <v/>
      </c>
      <c r="G323" s="37" t="n"/>
      <c r="H323" s="37" t="n"/>
      <c r="I323" s="37">
        <f>IF(G323="","",G323+N(H323))</f>
        <v/>
      </c>
      <c r="J323" s="36" t="n"/>
      <c r="K323" s="40" t="n"/>
      <c r="L323" s="36" t="n"/>
      <c r="M323">
        <f>IF($A323=Ficha!$B$3,COUNTIF($A$5:$A323,Ficha!$B$3),"")</f>
        <v/>
      </c>
    </row>
    <row r="324">
      <c r="A324" s="38" t="n"/>
      <c r="B324" s="41">
        <f>IF(A324="","",IFERROR(INDEX(Maniobras!$B$5:$B$504,MATCH(A324,Maniobras!$A$5:$A$504,0)),""))</f>
        <v/>
      </c>
      <c r="C324" s="38">
        <f>IF(B324="","",TEXT(B324,"yyyy-mm"))</f>
        <v/>
      </c>
      <c r="D324" s="38">
        <f>IF(A324="","",IFERROR(INDEX(Maniobras!$D$5:$D$504,MATCH(A324,Maniobras!$A$5:$A$504,0)),""))</f>
        <v/>
      </c>
      <c r="E324" s="38" t="n"/>
      <c r="F324" s="39">
        <f>IF(A324="","",IFERROR(INDEX(Maniobras!$K$5:$K$504,MATCH(A324,Maniobras!$A$5:$A$504,0)),""))</f>
        <v/>
      </c>
      <c r="G324" s="39" t="n"/>
      <c r="H324" s="39" t="n"/>
      <c r="I324" s="39">
        <f>IF(G324="","",G324+N(H324))</f>
        <v/>
      </c>
      <c r="J324" s="38" t="n"/>
      <c r="K324" s="41" t="n"/>
      <c r="L324" s="38" t="n"/>
      <c r="M324">
        <f>IF($A324=Ficha!$B$3,COUNTIF($A$5:$A324,Ficha!$B$3),"")</f>
        <v/>
      </c>
    </row>
    <row r="325">
      <c r="A325" s="36" t="n"/>
      <c r="B325" s="40">
        <f>IF(A325="","",IFERROR(INDEX(Maniobras!$B$5:$B$504,MATCH(A325,Maniobras!$A$5:$A$504,0)),""))</f>
        <v/>
      </c>
      <c r="C325" s="36">
        <f>IF(B325="","",TEXT(B325,"yyyy-mm"))</f>
        <v/>
      </c>
      <c r="D325" s="36">
        <f>IF(A325="","",IFERROR(INDEX(Maniobras!$D$5:$D$504,MATCH(A325,Maniobras!$A$5:$A$504,0)),""))</f>
        <v/>
      </c>
      <c r="E325" s="36" t="n"/>
      <c r="F325" s="37">
        <f>IF(A325="","",IFERROR(INDEX(Maniobras!$K$5:$K$504,MATCH(A325,Maniobras!$A$5:$A$504,0)),""))</f>
        <v/>
      </c>
      <c r="G325" s="37" t="n"/>
      <c r="H325" s="37" t="n"/>
      <c r="I325" s="37">
        <f>IF(G325="","",G325+N(H325))</f>
        <v/>
      </c>
      <c r="J325" s="36" t="n"/>
      <c r="K325" s="40" t="n"/>
      <c r="L325" s="36" t="n"/>
      <c r="M325">
        <f>IF($A325=Ficha!$B$3,COUNTIF($A$5:$A325,Ficha!$B$3),"")</f>
        <v/>
      </c>
    </row>
    <row r="326">
      <c r="A326" s="38" t="n"/>
      <c r="B326" s="41">
        <f>IF(A326="","",IFERROR(INDEX(Maniobras!$B$5:$B$504,MATCH(A326,Maniobras!$A$5:$A$504,0)),""))</f>
        <v/>
      </c>
      <c r="C326" s="38">
        <f>IF(B326="","",TEXT(B326,"yyyy-mm"))</f>
        <v/>
      </c>
      <c r="D326" s="38">
        <f>IF(A326="","",IFERROR(INDEX(Maniobras!$D$5:$D$504,MATCH(A326,Maniobras!$A$5:$A$504,0)),""))</f>
        <v/>
      </c>
      <c r="E326" s="38" t="n"/>
      <c r="F326" s="39">
        <f>IF(A326="","",IFERROR(INDEX(Maniobras!$K$5:$K$504,MATCH(A326,Maniobras!$A$5:$A$504,0)),""))</f>
        <v/>
      </c>
      <c r="G326" s="39" t="n"/>
      <c r="H326" s="39" t="n"/>
      <c r="I326" s="39">
        <f>IF(G326="","",G326+N(H326))</f>
        <v/>
      </c>
      <c r="J326" s="38" t="n"/>
      <c r="K326" s="41" t="n"/>
      <c r="L326" s="38" t="n"/>
      <c r="M326">
        <f>IF($A326=Ficha!$B$3,COUNTIF($A$5:$A326,Ficha!$B$3),"")</f>
        <v/>
      </c>
    </row>
    <row r="327">
      <c r="A327" s="36" t="n"/>
      <c r="B327" s="40">
        <f>IF(A327="","",IFERROR(INDEX(Maniobras!$B$5:$B$504,MATCH(A327,Maniobras!$A$5:$A$504,0)),""))</f>
        <v/>
      </c>
      <c r="C327" s="36">
        <f>IF(B327="","",TEXT(B327,"yyyy-mm"))</f>
        <v/>
      </c>
      <c r="D327" s="36">
        <f>IF(A327="","",IFERROR(INDEX(Maniobras!$D$5:$D$504,MATCH(A327,Maniobras!$A$5:$A$504,0)),""))</f>
        <v/>
      </c>
      <c r="E327" s="36" t="n"/>
      <c r="F327" s="37">
        <f>IF(A327="","",IFERROR(INDEX(Maniobras!$K$5:$K$504,MATCH(A327,Maniobras!$A$5:$A$504,0)),""))</f>
        <v/>
      </c>
      <c r="G327" s="37" t="n"/>
      <c r="H327" s="37" t="n"/>
      <c r="I327" s="37">
        <f>IF(G327="","",G327+N(H327))</f>
        <v/>
      </c>
      <c r="J327" s="36" t="n"/>
      <c r="K327" s="40" t="n"/>
      <c r="L327" s="36" t="n"/>
      <c r="M327">
        <f>IF($A327=Ficha!$B$3,COUNTIF($A$5:$A327,Ficha!$B$3),"")</f>
        <v/>
      </c>
    </row>
    <row r="328">
      <c r="A328" s="38" t="n"/>
      <c r="B328" s="41">
        <f>IF(A328="","",IFERROR(INDEX(Maniobras!$B$5:$B$504,MATCH(A328,Maniobras!$A$5:$A$504,0)),""))</f>
        <v/>
      </c>
      <c r="C328" s="38">
        <f>IF(B328="","",TEXT(B328,"yyyy-mm"))</f>
        <v/>
      </c>
      <c r="D328" s="38">
        <f>IF(A328="","",IFERROR(INDEX(Maniobras!$D$5:$D$504,MATCH(A328,Maniobras!$A$5:$A$504,0)),""))</f>
        <v/>
      </c>
      <c r="E328" s="38" t="n"/>
      <c r="F328" s="39">
        <f>IF(A328="","",IFERROR(INDEX(Maniobras!$K$5:$K$504,MATCH(A328,Maniobras!$A$5:$A$504,0)),""))</f>
        <v/>
      </c>
      <c r="G328" s="39" t="n"/>
      <c r="H328" s="39" t="n"/>
      <c r="I328" s="39">
        <f>IF(G328="","",G328+N(H328))</f>
        <v/>
      </c>
      <c r="J328" s="38" t="n"/>
      <c r="K328" s="41" t="n"/>
      <c r="L328" s="38" t="n"/>
      <c r="M328">
        <f>IF($A328=Ficha!$B$3,COUNTIF($A$5:$A328,Ficha!$B$3),"")</f>
        <v/>
      </c>
    </row>
    <row r="329">
      <c r="A329" s="36" t="n"/>
      <c r="B329" s="40">
        <f>IF(A329="","",IFERROR(INDEX(Maniobras!$B$5:$B$504,MATCH(A329,Maniobras!$A$5:$A$504,0)),""))</f>
        <v/>
      </c>
      <c r="C329" s="36">
        <f>IF(B329="","",TEXT(B329,"yyyy-mm"))</f>
        <v/>
      </c>
      <c r="D329" s="36">
        <f>IF(A329="","",IFERROR(INDEX(Maniobras!$D$5:$D$504,MATCH(A329,Maniobras!$A$5:$A$504,0)),""))</f>
        <v/>
      </c>
      <c r="E329" s="36" t="n"/>
      <c r="F329" s="37">
        <f>IF(A329="","",IFERROR(INDEX(Maniobras!$K$5:$K$504,MATCH(A329,Maniobras!$A$5:$A$504,0)),""))</f>
        <v/>
      </c>
      <c r="G329" s="37" t="n"/>
      <c r="H329" s="37" t="n"/>
      <c r="I329" s="37">
        <f>IF(G329="","",G329+N(H329))</f>
        <v/>
      </c>
      <c r="J329" s="36" t="n"/>
      <c r="K329" s="40" t="n"/>
      <c r="L329" s="36" t="n"/>
      <c r="M329">
        <f>IF($A329=Ficha!$B$3,COUNTIF($A$5:$A329,Ficha!$B$3),"")</f>
        <v/>
      </c>
    </row>
    <row r="330">
      <c r="A330" s="38" t="n"/>
      <c r="B330" s="41">
        <f>IF(A330="","",IFERROR(INDEX(Maniobras!$B$5:$B$504,MATCH(A330,Maniobras!$A$5:$A$504,0)),""))</f>
        <v/>
      </c>
      <c r="C330" s="38">
        <f>IF(B330="","",TEXT(B330,"yyyy-mm"))</f>
        <v/>
      </c>
      <c r="D330" s="38">
        <f>IF(A330="","",IFERROR(INDEX(Maniobras!$D$5:$D$504,MATCH(A330,Maniobras!$A$5:$A$504,0)),""))</f>
        <v/>
      </c>
      <c r="E330" s="38" t="n"/>
      <c r="F330" s="39">
        <f>IF(A330="","",IFERROR(INDEX(Maniobras!$K$5:$K$504,MATCH(A330,Maniobras!$A$5:$A$504,0)),""))</f>
        <v/>
      </c>
      <c r="G330" s="39" t="n"/>
      <c r="H330" s="39" t="n"/>
      <c r="I330" s="39">
        <f>IF(G330="","",G330+N(H330))</f>
        <v/>
      </c>
      <c r="J330" s="38" t="n"/>
      <c r="K330" s="41" t="n"/>
      <c r="L330" s="38" t="n"/>
      <c r="M330">
        <f>IF($A330=Ficha!$B$3,COUNTIF($A$5:$A330,Ficha!$B$3),"")</f>
        <v/>
      </c>
    </row>
    <row r="331">
      <c r="A331" s="36" t="n"/>
      <c r="B331" s="40">
        <f>IF(A331="","",IFERROR(INDEX(Maniobras!$B$5:$B$504,MATCH(A331,Maniobras!$A$5:$A$504,0)),""))</f>
        <v/>
      </c>
      <c r="C331" s="36">
        <f>IF(B331="","",TEXT(B331,"yyyy-mm"))</f>
        <v/>
      </c>
      <c r="D331" s="36">
        <f>IF(A331="","",IFERROR(INDEX(Maniobras!$D$5:$D$504,MATCH(A331,Maniobras!$A$5:$A$504,0)),""))</f>
        <v/>
      </c>
      <c r="E331" s="36" t="n"/>
      <c r="F331" s="37">
        <f>IF(A331="","",IFERROR(INDEX(Maniobras!$K$5:$K$504,MATCH(A331,Maniobras!$A$5:$A$504,0)),""))</f>
        <v/>
      </c>
      <c r="G331" s="37" t="n"/>
      <c r="H331" s="37" t="n"/>
      <c r="I331" s="37">
        <f>IF(G331="","",G331+N(H331))</f>
        <v/>
      </c>
      <c r="J331" s="36" t="n"/>
      <c r="K331" s="40" t="n"/>
      <c r="L331" s="36" t="n"/>
      <c r="M331">
        <f>IF($A331=Ficha!$B$3,COUNTIF($A$5:$A331,Ficha!$B$3),"")</f>
        <v/>
      </c>
    </row>
    <row r="332">
      <c r="A332" s="38" t="n"/>
      <c r="B332" s="41">
        <f>IF(A332="","",IFERROR(INDEX(Maniobras!$B$5:$B$504,MATCH(A332,Maniobras!$A$5:$A$504,0)),""))</f>
        <v/>
      </c>
      <c r="C332" s="38">
        <f>IF(B332="","",TEXT(B332,"yyyy-mm"))</f>
        <v/>
      </c>
      <c r="D332" s="38">
        <f>IF(A332="","",IFERROR(INDEX(Maniobras!$D$5:$D$504,MATCH(A332,Maniobras!$A$5:$A$504,0)),""))</f>
        <v/>
      </c>
      <c r="E332" s="38" t="n"/>
      <c r="F332" s="39">
        <f>IF(A332="","",IFERROR(INDEX(Maniobras!$K$5:$K$504,MATCH(A332,Maniobras!$A$5:$A$504,0)),""))</f>
        <v/>
      </c>
      <c r="G332" s="39" t="n"/>
      <c r="H332" s="39" t="n"/>
      <c r="I332" s="39">
        <f>IF(G332="","",G332+N(H332))</f>
        <v/>
      </c>
      <c r="J332" s="38" t="n"/>
      <c r="K332" s="41" t="n"/>
      <c r="L332" s="38" t="n"/>
      <c r="M332">
        <f>IF($A332=Ficha!$B$3,COUNTIF($A$5:$A332,Ficha!$B$3),"")</f>
        <v/>
      </c>
    </row>
    <row r="333">
      <c r="A333" s="36" t="n"/>
      <c r="B333" s="40">
        <f>IF(A333="","",IFERROR(INDEX(Maniobras!$B$5:$B$504,MATCH(A333,Maniobras!$A$5:$A$504,0)),""))</f>
        <v/>
      </c>
      <c r="C333" s="36">
        <f>IF(B333="","",TEXT(B333,"yyyy-mm"))</f>
        <v/>
      </c>
      <c r="D333" s="36">
        <f>IF(A333="","",IFERROR(INDEX(Maniobras!$D$5:$D$504,MATCH(A333,Maniobras!$A$5:$A$504,0)),""))</f>
        <v/>
      </c>
      <c r="E333" s="36" t="n"/>
      <c r="F333" s="37">
        <f>IF(A333="","",IFERROR(INDEX(Maniobras!$K$5:$K$504,MATCH(A333,Maniobras!$A$5:$A$504,0)),""))</f>
        <v/>
      </c>
      <c r="G333" s="37" t="n"/>
      <c r="H333" s="37" t="n"/>
      <c r="I333" s="37">
        <f>IF(G333="","",G333+N(H333))</f>
        <v/>
      </c>
      <c r="J333" s="36" t="n"/>
      <c r="K333" s="40" t="n"/>
      <c r="L333" s="36" t="n"/>
      <c r="M333">
        <f>IF($A333=Ficha!$B$3,COUNTIF($A$5:$A333,Ficha!$B$3),"")</f>
        <v/>
      </c>
    </row>
    <row r="334">
      <c r="A334" s="38" t="n"/>
      <c r="B334" s="41">
        <f>IF(A334="","",IFERROR(INDEX(Maniobras!$B$5:$B$504,MATCH(A334,Maniobras!$A$5:$A$504,0)),""))</f>
        <v/>
      </c>
      <c r="C334" s="38">
        <f>IF(B334="","",TEXT(B334,"yyyy-mm"))</f>
        <v/>
      </c>
      <c r="D334" s="38">
        <f>IF(A334="","",IFERROR(INDEX(Maniobras!$D$5:$D$504,MATCH(A334,Maniobras!$A$5:$A$504,0)),""))</f>
        <v/>
      </c>
      <c r="E334" s="38" t="n"/>
      <c r="F334" s="39">
        <f>IF(A334="","",IFERROR(INDEX(Maniobras!$K$5:$K$504,MATCH(A334,Maniobras!$A$5:$A$504,0)),""))</f>
        <v/>
      </c>
      <c r="G334" s="39" t="n"/>
      <c r="H334" s="39" t="n"/>
      <c r="I334" s="39">
        <f>IF(G334="","",G334+N(H334))</f>
        <v/>
      </c>
      <c r="J334" s="38" t="n"/>
      <c r="K334" s="41" t="n"/>
      <c r="L334" s="38" t="n"/>
      <c r="M334">
        <f>IF($A334=Ficha!$B$3,COUNTIF($A$5:$A334,Ficha!$B$3),"")</f>
        <v/>
      </c>
    </row>
    <row r="335">
      <c r="A335" s="36" t="n"/>
      <c r="B335" s="40">
        <f>IF(A335="","",IFERROR(INDEX(Maniobras!$B$5:$B$504,MATCH(A335,Maniobras!$A$5:$A$504,0)),""))</f>
        <v/>
      </c>
      <c r="C335" s="36">
        <f>IF(B335="","",TEXT(B335,"yyyy-mm"))</f>
        <v/>
      </c>
      <c r="D335" s="36">
        <f>IF(A335="","",IFERROR(INDEX(Maniobras!$D$5:$D$504,MATCH(A335,Maniobras!$A$5:$A$504,0)),""))</f>
        <v/>
      </c>
      <c r="E335" s="36" t="n"/>
      <c r="F335" s="37">
        <f>IF(A335="","",IFERROR(INDEX(Maniobras!$K$5:$K$504,MATCH(A335,Maniobras!$A$5:$A$504,0)),""))</f>
        <v/>
      </c>
      <c r="G335" s="37" t="n"/>
      <c r="H335" s="37" t="n"/>
      <c r="I335" s="37">
        <f>IF(G335="","",G335+N(H335))</f>
        <v/>
      </c>
      <c r="J335" s="36" t="n"/>
      <c r="K335" s="40" t="n"/>
      <c r="L335" s="36" t="n"/>
      <c r="M335">
        <f>IF($A335=Ficha!$B$3,COUNTIF($A$5:$A335,Ficha!$B$3),"")</f>
        <v/>
      </c>
    </row>
    <row r="336">
      <c r="A336" s="38" t="n"/>
      <c r="B336" s="41">
        <f>IF(A336="","",IFERROR(INDEX(Maniobras!$B$5:$B$504,MATCH(A336,Maniobras!$A$5:$A$504,0)),""))</f>
        <v/>
      </c>
      <c r="C336" s="38">
        <f>IF(B336="","",TEXT(B336,"yyyy-mm"))</f>
        <v/>
      </c>
      <c r="D336" s="38">
        <f>IF(A336="","",IFERROR(INDEX(Maniobras!$D$5:$D$504,MATCH(A336,Maniobras!$A$5:$A$504,0)),""))</f>
        <v/>
      </c>
      <c r="E336" s="38" t="n"/>
      <c r="F336" s="39">
        <f>IF(A336="","",IFERROR(INDEX(Maniobras!$K$5:$K$504,MATCH(A336,Maniobras!$A$5:$A$504,0)),""))</f>
        <v/>
      </c>
      <c r="G336" s="39" t="n"/>
      <c r="H336" s="39" t="n"/>
      <c r="I336" s="39">
        <f>IF(G336="","",G336+N(H336))</f>
        <v/>
      </c>
      <c r="J336" s="38" t="n"/>
      <c r="K336" s="41" t="n"/>
      <c r="L336" s="38" t="n"/>
      <c r="M336">
        <f>IF($A336=Ficha!$B$3,COUNTIF($A$5:$A336,Ficha!$B$3),"")</f>
        <v/>
      </c>
    </row>
    <row r="337">
      <c r="A337" s="36" t="n"/>
      <c r="B337" s="40">
        <f>IF(A337="","",IFERROR(INDEX(Maniobras!$B$5:$B$504,MATCH(A337,Maniobras!$A$5:$A$504,0)),""))</f>
        <v/>
      </c>
      <c r="C337" s="36">
        <f>IF(B337="","",TEXT(B337,"yyyy-mm"))</f>
        <v/>
      </c>
      <c r="D337" s="36">
        <f>IF(A337="","",IFERROR(INDEX(Maniobras!$D$5:$D$504,MATCH(A337,Maniobras!$A$5:$A$504,0)),""))</f>
        <v/>
      </c>
      <c r="E337" s="36" t="n"/>
      <c r="F337" s="37">
        <f>IF(A337="","",IFERROR(INDEX(Maniobras!$K$5:$K$504,MATCH(A337,Maniobras!$A$5:$A$504,0)),""))</f>
        <v/>
      </c>
      <c r="G337" s="37" t="n"/>
      <c r="H337" s="37" t="n"/>
      <c r="I337" s="37">
        <f>IF(G337="","",G337+N(H337))</f>
        <v/>
      </c>
      <c r="J337" s="36" t="n"/>
      <c r="K337" s="40" t="n"/>
      <c r="L337" s="36" t="n"/>
      <c r="M337">
        <f>IF($A337=Ficha!$B$3,COUNTIF($A$5:$A337,Ficha!$B$3),"")</f>
        <v/>
      </c>
    </row>
    <row r="338">
      <c r="A338" s="38" t="n"/>
      <c r="B338" s="41">
        <f>IF(A338="","",IFERROR(INDEX(Maniobras!$B$5:$B$504,MATCH(A338,Maniobras!$A$5:$A$504,0)),""))</f>
        <v/>
      </c>
      <c r="C338" s="38">
        <f>IF(B338="","",TEXT(B338,"yyyy-mm"))</f>
        <v/>
      </c>
      <c r="D338" s="38">
        <f>IF(A338="","",IFERROR(INDEX(Maniobras!$D$5:$D$504,MATCH(A338,Maniobras!$A$5:$A$504,0)),""))</f>
        <v/>
      </c>
      <c r="E338" s="38" t="n"/>
      <c r="F338" s="39">
        <f>IF(A338="","",IFERROR(INDEX(Maniobras!$K$5:$K$504,MATCH(A338,Maniobras!$A$5:$A$504,0)),""))</f>
        <v/>
      </c>
      <c r="G338" s="39" t="n"/>
      <c r="H338" s="39" t="n"/>
      <c r="I338" s="39">
        <f>IF(G338="","",G338+N(H338))</f>
        <v/>
      </c>
      <c r="J338" s="38" t="n"/>
      <c r="K338" s="41" t="n"/>
      <c r="L338" s="38" t="n"/>
      <c r="M338">
        <f>IF($A338=Ficha!$B$3,COUNTIF($A$5:$A338,Ficha!$B$3),"")</f>
        <v/>
      </c>
    </row>
    <row r="339">
      <c r="A339" s="36" t="n"/>
      <c r="B339" s="40">
        <f>IF(A339="","",IFERROR(INDEX(Maniobras!$B$5:$B$504,MATCH(A339,Maniobras!$A$5:$A$504,0)),""))</f>
        <v/>
      </c>
      <c r="C339" s="36">
        <f>IF(B339="","",TEXT(B339,"yyyy-mm"))</f>
        <v/>
      </c>
      <c r="D339" s="36">
        <f>IF(A339="","",IFERROR(INDEX(Maniobras!$D$5:$D$504,MATCH(A339,Maniobras!$A$5:$A$504,0)),""))</f>
        <v/>
      </c>
      <c r="E339" s="36" t="n"/>
      <c r="F339" s="37">
        <f>IF(A339="","",IFERROR(INDEX(Maniobras!$K$5:$K$504,MATCH(A339,Maniobras!$A$5:$A$504,0)),""))</f>
        <v/>
      </c>
      <c r="G339" s="37" t="n"/>
      <c r="H339" s="37" t="n"/>
      <c r="I339" s="37">
        <f>IF(G339="","",G339+N(H339))</f>
        <v/>
      </c>
      <c r="J339" s="36" t="n"/>
      <c r="K339" s="40" t="n"/>
      <c r="L339" s="36" t="n"/>
      <c r="M339">
        <f>IF($A339=Ficha!$B$3,COUNTIF($A$5:$A339,Ficha!$B$3),"")</f>
        <v/>
      </c>
    </row>
    <row r="340">
      <c r="A340" s="38" t="n"/>
      <c r="B340" s="41">
        <f>IF(A340="","",IFERROR(INDEX(Maniobras!$B$5:$B$504,MATCH(A340,Maniobras!$A$5:$A$504,0)),""))</f>
        <v/>
      </c>
      <c r="C340" s="38">
        <f>IF(B340="","",TEXT(B340,"yyyy-mm"))</f>
        <v/>
      </c>
      <c r="D340" s="38">
        <f>IF(A340="","",IFERROR(INDEX(Maniobras!$D$5:$D$504,MATCH(A340,Maniobras!$A$5:$A$504,0)),""))</f>
        <v/>
      </c>
      <c r="E340" s="38" t="n"/>
      <c r="F340" s="39">
        <f>IF(A340="","",IFERROR(INDEX(Maniobras!$K$5:$K$504,MATCH(A340,Maniobras!$A$5:$A$504,0)),""))</f>
        <v/>
      </c>
      <c r="G340" s="39" t="n"/>
      <c r="H340" s="39" t="n"/>
      <c r="I340" s="39">
        <f>IF(G340="","",G340+N(H340))</f>
        <v/>
      </c>
      <c r="J340" s="38" t="n"/>
      <c r="K340" s="41" t="n"/>
      <c r="L340" s="38" t="n"/>
      <c r="M340">
        <f>IF($A340=Ficha!$B$3,COUNTIF($A$5:$A340,Ficha!$B$3),"")</f>
        <v/>
      </c>
    </row>
    <row r="341">
      <c r="A341" s="36" t="n"/>
      <c r="B341" s="40">
        <f>IF(A341="","",IFERROR(INDEX(Maniobras!$B$5:$B$504,MATCH(A341,Maniobras!$A$5:$A$504,0)),""))</f>
        <v/>
      </c>
      <c r="C341" s="36">
        <f>IF(B341="","",TEXT(B341,"yyyy-mm"))</f>
        <v/>
      </c>
      <c r="D341" s="36">
        <f>IF(A341="","",IFERROR(INDEX(Maniobras!$D$5:$D$504,MATCH(A341,Maniobras!$A$5:$A$504,0)),""))</f>
        <v/>
      </c>
      <c r="E341" s="36" t="n"/>
      <c r="F341" s="37">
        <f>IF(A341="","",IFERROR(INDEX(Maniobras!$K$5:$K$504,MATCH(A341,Maniobras!$A$5:$A$504,0)),""))</f>
        <v/>
      </c>
      <c r="G341" s="37" t="n"/>
      <c r="H341" s="37" t="n"/>
      <c r="I341" s="37">
        <f>IF(G341="","",G341+N(H341))</f>
        <v/>
      </c>
      <c r="J341" s="36" t="n"/>
      <c r="K341" s="40" t="n"/>
      <c r="L341" s="36" t="n"/>
      <c r="M341">
        <f>IF($A341=Ficha!$B$3,COUNTIF($A$5:$A341,Ficha!$B$3),"")</f>
        <v/>
      </c>
    </row>
    <row r="342">
      <c r="A342" s="38" t="n"/>
      <c r="B342" s="41">
        <f>IF(A342="","",IFERROR(INDEX(Maniobras!$B$5:$B$504,MATCH(A342,Maniobras!$A$5:$A$504,0)),""))</f>
        <v/>
      </c>
      <c r="C342" s="38">
        <f>IF(B342="","",TEXT(B342,"yyyy-mm"))</f>
        <v/>
      </c>
      <c r="D342" s="38">
        <f>IF(A342="","",IFERROR(INDEX(Maniobras!$D$5:$D$504,MATCH(A342,Maniobras!$A$5:$A$504,0)),""))</f>
        <v/>
      </c>
      <c r="E342" s="38" t="n"/>
      <c r="F342" s="39">
        <f>IF(A342="","",IFERROR(INDEX(Maniobras!$K$5:$K$504,MATCH(A342,Maniobras!$A$5:$A$504,0)),""))</f>
        <v/>
      </c>
      <c r="G342" s="39" t="n"/>
      <c r="H342" s="39" t="n"/>
      <c r="I342" s="39">
        <f>IF(G342="","",G342+N(H342))</f>
        <v/>
      </c>
      <c r="J342" s="38" t="n"/>
      <c r="K342" s="41" t="n"/>
      <c r="L342" s="38" t="n"/>
      <c r="M342">
        <f>IF($A342=Ficha!$B$3,COUNTIF($A$5:$A342,Ficha!$B$3),"")</f>
        <v/>
      </c>
    </row>
    <row r="343">
      <c r="A343" s="36" t="n"/>
      <c r="B343" s="40">
        <f>IF(A343="","",IFERROR(INDEX(Maniobras!$B$5:$B$504,MATCH(A343,Maniobras!$A$5:$A$504,0)),""))</f>
        <v/>
      </c>
      <c r="C343" s="36">
        <f>IF(B343="","",TEXT(B343,"yyyy-mm"))</f>
        <v/>
      </c>
      <c r="D343" s="36">
        <f>IF(A343="","",IFERROR(INDEX(Maniobras!$D$5:$D$504,MATCH(A343,Maniobras!$A$5:$A$504,0)),""))</f>
        <v/>
      </c>
      <c r="E343" s="36" t="n"/>
      <c r="F343" s="37">
        <f>IF(A343="","",IFERROR(INDEX(Maniobras!$K$5:$K$504,MATCH(A343,Maniobras!$A$5:$A$504,0)),""))</f>
        <v/>
      </c>
      <c r="G343" s="37" t="n"/>
      <c r="H343" s="37" t="n"/>
      <c r="I343" s="37">
        <f>IF(G343="","",G343+N(H343))</f>
        <v/>
      </c>
      <c r="J343" s="36" t="n"/>
      <c r="K343" s="40" t="n"/>
      <c r="L343" s="36" t="n"/>
      <c r="M343">
        <f>IF($A343=Ficha!$B$3,COUNTIF($A$5:$A343,Ficha!$B$3),"")</f>
        <v/>
      </c>
    </row>
    <row r="344">
      <c r="A344" s="38" t="n"/>
      <c r="B344" s="41">
        <f>IF(A344="","",IFERROR(INDEX(Maniobras!$B$5:$B$504,MATCH(A344,Maniobras!$A$5:$A$504,0)),""))</f>
        <v/>
      </c>
      <c r="C344" s="38">
        <f>IF(B344="","",TEXT(B344,"yyyy-mm"))</f>
        <v/>
      </c>
      <c r="D344" s="38">
        <f>IF(A344="","",IFERROR(INDEX(Maniobras!$D$5:$D$504,MATCH(A344,Maniobras!$A$5:$A$504,0)),""))</f>
        <v/>
      </c>
      <c r="E344" s="38" t="n"/>
      <c r="F344" s="39">
        <f>IF(A344="","",IFERROR(INDEX(Maniobras!$K$5:$K$504,MATCH(A344,Maniobras!$A$5:$A$504,0)),""))</f>
        <v/>
      </c>
      <c r="G344" s="39" t="n"/>
      <c r="H344" s="39" t="n"/>
      <c r="I344" s="39">
        <f>IF(G344="","",G344+N(H344))</f>
        <v/>
      </c>
      <c r="J344" s="38" t="n"/>
      <c r="K344" s="41" t="n"/>
      <c r="L344" s="38" t="n"/>
      <c r="M344">
        <f>IF($A344=Ficha!$B$3,COUNTIF($A$5:$A344,Ficha!$B$3),"")</f>
        <v/>
      </c>
    </row>
    <row r="345">
      <c r="A345" s="36" t="n"/>
      <c r="B345" s="40">
        <f>IF(A345="","",IFERROR(INDEX(Maniobras!$B$5:$B$504,MATCH(A345,Maniobras!$A$5:$A$504,0)),""))</f>
        <v/>
      </c>
      <c r="C345" s="36">
        <f>IF(B345="","",TEXT(B345,"yyyy-mm"))</f>
        <v/>
      </c>
      <c r="D345" s="36">
        <f>IF(A345="","",IFERROR(INDEX(Maniobras!$D$5:$D$504,MATCH(A345,Maniobras!$A$5:$A$504,0)),""))</f>
        <v/>
      </c>
      <c r="E345" s="36" t="n"/>
      <c r="F345" s="37">
        <f>IF(A345="","",IFERROR(INDEX(Maniobras!$K$5:$K$504,MATCH(A345,Maniobras!$A$5:$A$504,0)),""))</f>
        <v/>
      </c>
      <c r="G345" s="37" t="n"/>
      <c r="H345" s="37" t="n"/>
      <c r="I345" s="37">
        <f>IF(G345="","",G345+N(H345))</f>
        <v/>
      </c>
      <c r="J345" s="36" t="n"/>
      <c r="K345" s="40" t="n"/>
      <c r="L345" s="36" t="n"/>
      <c r="M345">
        <f>IF($A345=Ficha!$B$3,COUNTIF($A$5:$A345,Ficha!$B$3),"")</f>
        <v/>
      </c>
    </row>
    <row r="346">
      <c r="A346" s="38" t="n"/>
      <c r="B346" s="41">
        <f>IF(A346="","",IFERROR(INDEX(Maniobras!$B$5:$B$504,MATCH(A346,Maniobras!$A$5:$A$504,0)),""))</f>
        <v/>
      </c>
      <c r="C346" s="38">
        <f>IF(B346="","",TEXT(B346,"yyyy-mm"))</f>
        <v/>
      </c>
      <c r="D346" s="38">
        <f>IF(A346="","",IFERROR(INDEX(Maniobras!$D$5:$D$504,MATCH(A346,Maniobras!$A$5:$A$504,0)),""))</f>
        <v/>
      </c>
      <c r="E346" s="38" t="n"/>
      <c r="F346" s="39">
        <f>IF(A346="","",IFERROR(INDEX(Maniobras!$K$5:$K$504,MATCH(A346,Maniobras!$A$5:$A$504,0)),""))</f>
        <v/>
      </c>
      <c r="G346" s="39" t="n"/>
      <c r="H346" s="39" t="n"/>
      <c r="I346" s="39">
        <f>IF(G346="","",G346+N(H346))</f>
        <v/>
      </c>
      <c r="J346" s="38" t="n"/>
      <c r="K346" s="41" t="n"/>
      <c r="L346" s="38" t="n"/>
      <c r="M346">
        <f>IF($A346=Ficha!$B$3,COUNTIF($A$5:$A346,Ficha!$B$3),"")</f>
        <v/>
      </c>
    </row>
    <row r="347">
      <c r="A347" s="36" t="n"/>
      <c r="B347" s="40">
        <f>IF(A347="","",IFERROR(INDEX(Maniobras!$B$5:$B$504,MATCH(A347,Maniobras!$A$5:$A$504,0)),""))</f>
        <v/>
      </c>
      <c r="C347" s="36">
        <f>IF(B347="","",TEXT(B347,"yyyy-mm"))</f>
        <v/>
      </c>
      <c r="D347" s="36">
        <f>IF(A347="","",IFERROR(INDEX(Maniobras!$D$5:$D$504,MATCH(A347,Maniobras!$A$5:$A$504,0)),""))</f>
        <v/>
      </c>
      <c r="E347" s="36" t="n"/>
      <c r="F347" s="37">
        <f>IF(A347="","",IFERROR(INDEX(Maniobras!$K$5:$K$504,MATCH(A347,Maniobras!$A$5:$A$504,0)),""))</f>
        <v/>
      </c>
      <c r="G347" s="37" t="n"/>
      <c r="H347" s="37" t="n"/>
      <c r="I347" s="37">
        <f>IF(G347="","",G347+N(H347))</f>
        <v/>
      </c>
      <c r="J347" s="36" t="n"/>
      <c r="K347" s="40" t="n"/>
      <c r="L347" s="36" t="n"/>
      <c r="M347">
        <f>IF($A347=Ficha!$B$3,COUNTIF($A$5:$A347,Ficha!$B$3),"")</f>
        <v/>
      </c>
    </row>
    <row r="348">
      <c r="A348" s="38" t="n"/>
      <c r="B348" s="41">
        <f>IF(A348="","",IFERROR(INDEX(Maniobras!$B$5:$B$504,MATCH(A348,Maniobras!$A$5:$A$504,0)),""))</f>
        <v/>
      </c>
      <c r="C348" s="38">
        <f>IF(B348="","",TEXT(B348,"yyyy-mm"))</f>
        <v/>
      </c>
      <c r="D348" s="38">
        <f>IF(A348="","",IFERROR(INDEX(Maniobras!$D$5:$D$504,MATCH(A348,Maniobras!$A$5:$A$504,0)),""))</f>
        <v/>
      </c>
      <c r="E348" s="38" t="n"/>
      <c r="F348" s="39">
        <f>IF(A348="","",IFERROR(INDEX(Maniobras!$K$5:$K$504,MATCH(A348,Maniobras!$A$5:$A$504,0)),""))</f>
        <v/>
      </c>
      <c r="G348" s="39" t="n"/>
      <c r="H348" s="39" t="n"/>
      <c r="I348" s="39">
        <f>IF(G348="","",G348+N(H348))</f>
        <v/>
      </c>
      <c r="J348" s="38" t="n"/>
      <c r="K348" s="41" t="n"/>
      <c r="L348" s="38" t="n"/>
      <c r="M348">
        <f>IF($A348=Ficha!$B$3,COUNTIF($A$5:$A348,Ficha!$B$3),"")</f>
        <v/>
      </c>
    </row>
    <row r="349">
      <c r="A349" s="36" t="n"/>
      <c r="B349" s="40">
        <f>IF(A349="","",IFERROR(INDEX(Maniobras!$B$5:$B$504,MATCH(A349,Maniobras!$A$5:$A$504,0)),""))</f>
        <v/>
      </c>
      <c r="C349" s="36">
        <f>IF(B349="","",TEXT(B349,"yyyy-mm"))</f>
        <v/>
      </c>
      <c r="D349" s="36">
        <f>IF(A349="","",IFERROR(INDEX(Maniobras!$D$5:$D$504,MATCH(A349,Maniobras!$A$5:$A$504,0)),""))</f>
        <v/>
      </c>
      <c r="E349" s="36" t="n"/>
      <c r="F349" s="37">
        <f>IF(A349="","",IFERROR(INDEX(Maniobras!$K$5:$K$504,MATCH(A349,Maniobras!$A$5:$A$504,0)),""))</f>
        <v/>
      </c>
      <c r="G349" s="37" t="n"/>
      <c r="H349" s="37" t="n"/>
      <c r="I349" s="37">
        <f>IF(G349="","",G349+N(H349))</f>
        <v/>
      </c>
      <c r="J349" s="36" t="n"/>
      <c r="K349" s="40" t="n"/>
      <c r="L349" s="36" t="n"/>
      <c r="M349">
        <f>IF($A349=Ficha!$B$3,COUNTIF($A$5:$A349,Ficha!$B$3),"")</f>
        <v/>
      </c>
    </row>
    <row r="350">
      <c r="A350" s="38" t="n"/>
      <c r="B350" s="41">
        <f>IF(A350="","",IFERROR(INDEX(Maniobras!$B$5:$B$504,MATCH(A350,Maniobras!$A$5:$A$504,0)),""))</f>
        <v/>
      </c>
      <c r="C350" s="38">
        <f>IF(B350="","",TEXT(B350,"yyyy-mm"))</f>
        <v/>
      </c>
      <c r="D350" s="38">
        <f>IF(A350="","",IFERROR(INDEX(Maniobras!$D$5:$D$504,MATCH(A350,Maniobras!$A$5:$A$504,0)),""))</f>
        <v/>
      </c>
      <c r="E350" s="38" t="n"/>
      <c r="F350" s="39">
        <f>IF(A350="","",IFERROR(INDEX(Maniobras!$K$5:$K$504,MATCH(A350,Maniobras!$A$5:$A$504,0)),""))</f>
        <v/>
      </c>
      <c r="G350" s="39" t="n"/>
      <c r="H350" s="39" t="n"/>
      <c r="I350" s="39">
        <f>IF(G350="","",G350+N(H350))</f>
        <v/>
      </c>
      <c r="J350" s="38" t="n"/>
      <c r="K350" s="41" t="n"/>
      <c r="L350" s="38" t="n"/>
      <c r="M350">
        <f>IF($A350=Ficha!$B$3,COUNTIF($A$5:$A350,Ficha!$B$3),"")</f>
        <v/>
      </c>
    </row>
    <row r="351">
      <c r="A351" s="36" t="n"/>
      <c r="B351" s="40">
        <f>IF(A351="","",IFERROR(INDEX(Maniobras!$B$5:$B$504,MATCH(A351,Maniobras!$A$5:$A$504,0)),""))</f>
        <v/>
      </c>
      <c r="C351" s="36">
        <f>IF(B351="","",TEXT(B351,"yyyy-mm"))</f>
        <v/>
      </c>
      <c r="D351" s="36">
        <f>IF(A351="","",IFERROR(INDEX(Maniobras!$D$5:$D$504,MATCH(A351,Maniobras!$A$5:$A$504,0)),""))</f>
        <v/>
      </c>
      <c r="E351" s="36" t="n"/>
      <c r="F351" s="37">
        <f>IF(A351="","",IFERROR(INDEX(Maniobras!$K$5:$K$504,MATCH(A351,Maniobras!$A$5:$A$504,0)),""))</f>
        <v/>
      </c>
      <c r="G351" s="37" t="n"/>
      <c r="H351" s="37" t="n"/>
      <c r="I351" s="37">
        <f>IF(G351="","",G351+N(H351))</f>
        <v/>
      </c>
      <c r="J351" s="36" t="n"/>
      <c r="K351" s="40" t="n"/>
      <c r="L351" s="36" t="n"/>
      <c r="M351">
        <f>IF($A351=Ficha!$B$3,COUNTIF($A$5:$A351,Ficha!$B$3),"")</f>
        <v/>
      </c>
    </row>
    <row r="352">
      <c r="A352" s="38" t="n"/>
      <c r="B352" s="41">
        <f>IF(A352="","",IFERROR(INDEX(Maniobras!$B$5:$B$504,MATCH(A352,Maniobras!$A$5:$A$504,0)),""))</f>
        <v/>
      </c>
      <c r="C352" s="38">
        <f>IF(B352="","",TEXT(B352,"yyyy-mm"))</f>
        <v/>
      </c>
      <c r="D352" s="38">
        <f>IF(A352="","",IFERROR(INDEX(Maniobras!$D$5:$D$504,MATCH(A352,Maniobras!$A$5:$A$504,0)),""))</f>
        <v/>
      </c>
      <c r="E352" s="38" t="n"/>
      <c r="F352" s="39">
        <f>IF(A352="","",IFERROR(INDEX(Maniobras!$K$5:$K$504,MATCH(A352,Maniobras!$A$5:$A$504,0)),""))</f>
        <v/>
      </c>
      <c r="G352" s="39" t="n"/>
      <c r="H352" s="39" t="n"/>
      <c r="I352" s="39">
        <f>IF(G352="","",G352+N(H352))</f>
        <v/>
      </c>
      <c r="J352" s="38" t="n"/>
      <c r="K352" s="41" t="n"/>
      <c r="L352" s="38" t="n"/>
      <c r="M352">
        <f>IF($A352=Ficha!$B$3,COUNTIF($A$5:$A352,Ficha!$B$3),"")</f>
        <v/>
      </c>
    </row>
    <row r="353">
      <c r="A353" s="36" t="n"/>
      <c r="B353" s="40">
        <f>IF(A353="","",IFERROR(INDEX(Maniobras!$B$5:$B$504,MATCH(A353,Maniobras!$A$5:$A$504,0)),""))</f>
        <v/>
      </c>
      <c r="C353" s="36">
        <f>IF(B353="","",TEXT(B353,"yyyy-mm"))</f>
        <v/>
      </c>
      <c r="D353" s="36">
        <f>IF(A353="","",IFERROR(INDEX(Maniobras!$D$5:$D$504,MATCH(A353,Maniobras!$A$5:$A$504,0)),""))</f>
        <v/>
      </c>
      <c r="E353" s="36" t="n"/>
      <c r="F353" s="37">
        <f>IF(A353="","",IFERROR(INDEX(Maniobras!$K$5:$K$504,MATCH(A353,Maniobras!$A$5:$A$504,0)),""))</f>
        <v/>
      </c>
      <c r="G353" s="37" t="n"/>
      <c r="H353" s="37" t="n"/>
      <c r="I353" s="37">
        <f>IF(G353="","",G353+N(H353))</f>
        <v/>
      </c>
      <c r="J353" s="36" t="n"/>
      <c r="K353" s="40" t="n"/>
      <c r="L353" s="36" t="n"/>
      <c r="M353">
        <f>IF($A353=Ficha!$B$3,COUNTIF($A$5:$A353,Ficha!$B$3),"")</f>
        <v/>
      </c>
    </row>
    <row r="354">
      <c r="A354" s="38" t="n"/>
      <c r="B354" s="41">
        <f>IF(A354="","",IFERROR(INDEX(Maniobras!$B$5:$B$504,MATCH(A354,Maniobras!$A$5:$A$504,0)),""))</f>
        <v/>
      </c>
      <c r="C354" s="38">
        <f>IF(B354="","",TEXT(B354,"yyyy-mm"))</f>
        <v/>
      </c>
      <c r="D354" s="38">
        <f>IF(A354="","",IFERROR(INDEX(Maniobras!$D$5:$D$504,MATCH(A354,Maniobras!$A$5:$A$504,0)),""))</f>
        <v/>
      </c>
      <c r="E354" s="38" t="n"/>
      <c r="F354" s="39">
        <f>IF(A354="","",IFERROR(INDEX(Maniobras!$K$5:$K$504,MATCH(A354,Maniobras!$A$5:$A$504,0)),""))</f>
        <v/>
      </c>
      <c r="G354" s="39" t="n"/>
      <c r="H354" s="39" t="n"/>
      <c r="I354" s="39">
        <f>IF(G354="","",G354+N(H354))</f>
        <v/>
      </c>
      <c r="J354" s="38" t="n"/>
      <c r="K354" s="41" t="n"/>
      <c r="L354" s="38" t="n"/>
      <c r="M354">
        <f>IF($A354=Ficha!$B$3,COUNTIF($A$5:$A354,Ficha!$B$3),"")</f>
        <v/>
      </c>
    </row>
    <row r="355">
      <c r="A355" s="36" t="n"/>
      <c r="B355" s="40">
        <f>IF(A355="","",IFERROR(INDEX(Maniobras!$B$5:$B$504,MATCH(A355,Maniobras!$A$5:$A$504,0)),""))</f>
        <v/>
      </c>
      <c r="C355" s="36">
        <f>IF(B355="","",TEXT(B355,"yyyy-mm"))</f>
        <v/>
      </c>
      <c r="D355" s="36">
        <f>IF(A355="","",IFERROR(INDEX(Maniobras!$D$5:$D$504,MATCH(A355,Maniobras!$A$5:$A$504,0)),""))</f>
        <v/>
      </c>
      <c r="E355" s="36" t="n"/>
      <c r="F355" s="37">
        <f>IF(A355="","",IFERROR(INDEX(Maniobras!$K$5:$K$504,MATCH(A355,Maniobras!$A$5:$A$504,0)),""))</f>
        <v/>
      </c>
      <c r="G355" s="37" t="n"/>
      <c r="H355" s="37" t="n"/>
      <c r="I355" s="37">
        <f>IF(G355="","",G355+N(H355))</f>
        <v/>
      </c>
      <c r="J355" s="36" t="n"/>
      <c r="K355" s="40" t="n"/>
      <c r="L355" s="36" t="n"/>
      <c r="M355">
        <f>IF($A355=Ficha!$B$3,COUNTIF($A$5:$A355,Ficha!$B$3),"")</f>
        <v/>
      </c>
    </row>
    <row r="356">
      <c r="A356" s="38" t="n"/>
      <c r="B356" s="41">
        <f>IF(A356="","",IFERROR(INDEX(Maniobras!$B$5:$B$504,MATCH(A356,Maniobras!$A$5:$A$504,0)),""))</f>
        <v/>
      </c>
      <c r="C356" s="38">
        <f>IF(B356="","",TEXT(B356,"yyyy-mm"))</f>
        <v/>
      </c>
      <c r="D356" s="38">
        <f>IF(A356="","",IFERROR(INDEX(Maniobras!$D$5:$D$504,MATCH(A356,Maniobras!$A$5:$A$504,0)),""))</f>
        <v/>
      </c>
      <c r="E356" s="38" t="n"/>
      <c r="F356" s="39">
        <f>IF(A356="","",IFERROR(INDEX(Maniobras!$K$5:$K$504,MATCH(A356,Maniobras!$A$5:$A$504,0)),""))</f>
        <v/>
      </c>
      <c r="G356" s="39" t="n"/>
      <c r="H356" s="39" t="n"/>
      <c r="I356" s="39">
        <f>IF(G356="","",G356+N(H356))</f>
        <v/>
      </c>
      <c r="J356" s="38" t="n"/>
      <c r="K356" s="41" t="n"/>
      <c r="L356" s="38" t="n"/>
      <c r="M356">
        <f>IF($A356=Ficha!$B$3,COUNTIF($A$5:$A356,Ficha!$B$3),"")</f>
        <v/>
      </c>
    </row>
    <row r="357">
      <c r="A357" s="36" t="n"/>
      <c r="B357" s="40">
        <f>IF(A357="","",IFERROR(INDEX(Maniobras!$B$5:$B$504,MATCH(A357,Maniobras!$A$5:$A$504,0)),""))</f>
        <v/>
      </c>
      <c r="C357" s="36">
        <f>IF(B357="","",TEXT(B357,"yyyy-mm"))</f>
        <v/>
      </c>
      <c r="D357" s="36">
        <f>IF(A357="","",IFERROR(INDEX(Maniobras!$D$5:$D$504,MATCH(A357,Maniobras!$A$5:$A$504,0)),""))</f>
        <v/>
      </c>
      <c r="E357" s="36" t="n"/>
      <c r="F357" s="37">
        <f>IF(A357="","",IFERROR(INDEX(Maniobras!$K$5:$K$504,MATCH(A357,Maniobras!$A$5:$A$504,0)),""))</f>
        <v/>
      </c>
      <c r="G357" s="37" t="n"/>
      <c r="H357" s="37" t="n"/>
      <c r="I357" s="37">
        <f>IF(G357="","",G357+N(H357))</f>
        <v/>
      </c>
      <c r="J357" s="36" t="n"/>
      <c r="K357" s="40" t="n"/>
      <c r="L357" s="36" t="n"/>
      <c r="M357">
        <f>IF($A357=Ficha!$B$3,COUNTIF($A$5:$A357,Ficha!$B$3),"")</f>
        <v/>
      </c>
    </row>
    <row r="358">
      <c r="A358" s="38" t="n"/>
      <c r="B358" s="41">
        <f>IF(A358="","",IFERROR(INDEX(Maniobras!$B$5:$B$504,MATCH(A358,Maniobras!$A$5:$A$504,0)),""))</f>
        <v/>
      </c>
      <c r="C358" s="38">
        <f>IF(B358="","",TEXT(B358,"yyyy-mm"))</f>
        <v/>
      </c>
      <c r="D358" s="38">
        <f>IF(A358="","",IFERROR(INDEX(Maniobras!$D$5:$D$504,MATCH(A358,Maniobras!$A$5:$A$504,0)),""))</f>
        <v/>
      </c>
      <c r="E358" s="38" t="n"/>
      <c r="F358" s="39">
        <f>IF(A358="","",IFERROR(INDEX(Maniobras!$K$5:$K$504,MATCH(A358,Maniobras!$A$5:$A$504,0)),""))</f>
        <v/>
      </c>
      <c r="G358" s="39" t="n"/>
      <c r="H358" s="39" t="n"/>
      <c r="I358" s="39">
        <f>IF(G358="","",G358+N(H358))</f>
        <v/>
      </c>
      <c r="J358" s="38" t="n"/>
      <c r="K358" s="41" t="n"/>
      <c r="L358" s="38" t="n"/>
      <c r="M358">
        <f>IF($A358=Ficha!$B$3,COUNTIF($A$5:$A358,Ficha!$B$3),"")</f>
        <v/>
      </c>
    </row>
    <row r="359">
      <c r="A359" s="36" t="n"/>
      <c r="B359" s="40">
        <f>IF(A359="","",IFERROR(INDEX(Maniobras!$B$5:$B$504,MATCH(A359,Maniobras!$A$5:$A$504,0)),""))</f>
        <v/>
      </c>
      <c r="C359" s="36">
        <f>IF(B359="","",TEXT(B359,"yyyy-mm"))</f>
        <v/>
      </c>
      <c r="D359" s="36">
        <f>IF(A359="","",IFERROR(INDEX(Maniobras!$D$5:$D$504,MATCH(A359,Maniobras!$A$5:$A$504,0)),""))</f>
        <v/>
      </c>
      <c r="E359" s="36" t="n"/>
      <c r="F359" s="37">
        <f>IF(A359="","",IFERROR(INDEX(Maniobras!$K$5:$K$504,MATCH(A359,Maniobras!$A$5:$A$504,0)),""))</f>
        <v/>
      </c>
      <c r="G359" s="37" t="n"/>
      <c r="H359" s="37" t="n"/>
      <c r="I359" s="37">
        <f>IF(G359="","",G359+N(H359))</f>
        <v/>
      </c>
      <c r="J359" s="36" t="n"/>
      <c r="K359" s="40" t="n"/>
      <c r="L359" s="36" t="n"/>
      <c r="M359">
        <f>IF($A359=Ficha!$B$3,COUNTIF($A$5:$A359,Ficha!$B$3),"")</f>
        <v/>
      </c>
    </row>
    <row r="360">
      <c r="A360" s="38" t="n"/>
      <c r="B360" s="41">
        <f>IF(A360="","",IFERROR(INDEX(Maniobras!$B$5:$B$504,MATCH(A360,Maniobras!$A$5:$A$504,0)),""))</f>
        <v/>
      </c>
      <c r="C360" s="38">
        <f>IF(B360="","",TEXT(B360,"yyyy-mm"))</f>
        <v/>
      </c>
      <c r="D360" s="38">
        <f>IF(A360="","",IFERROR(INDEX(Maniobras!$D$5:$D$504,MATCH(A360,Maniobras!$A$5:$A$504,0)),""))</f>
        <v/>
      </c>
      <c r="E360" s="38" t="n"/>
      <c r="F360" s="39">
        <f>IF(A360="","",IFERROR(INDEX(Maniobras!$K$5:$K$504,MATCH(A360,Maniobras!$A$5:$A$504,0)),""))</f>
        <v/>
      </c>
      <c r="G360" s="39" t="n"/>
      <c r="H360" s="39" t="n"/>
      <c r="I360" s="39">
        <f>IF(G360="","",G360+N(H360))</f>
        <v/>
      </c>
      <c r="J360" s="38" t="n"/>
      <c r="K360" s="41" t="n"/>
      <c r="L360" s="38" t="n"/>
      <c r="M360">
        <f>IF($A360=Ficha!$B$3,COUNTIF($A$5:$A360,Ficha!$B$3),"")</f>
        <v/>
      </c>
    </row>
    <row r="361">
      <c r="A361" s="36" t="n"/>
      <c r="B361" s="40">
        <f>IF(A361="","",IFERROR(INDEX(Maniobras!$B$5:$B$504,MATCH(A361,Maniobras!$A$5:$A$504,0)),""))</f>
        <v/>
      </c>
      <c r="C361" s="36">
        <f>IF(B361="","",TEXT(B361,"yyyy-mm"))</f>
        <v/>
      </c>
      <c r="D361" s="36">
        <f>IF(A361="","",IFERROR(INDEX(Maniobras!$D$5:$D$504,MATCH(A361,Maniobras!$A$5:$A$504,0)),""))</f>
        <v/>
      </c>
      <c r="E361" s="36" t="n"/>
      <c r="F361" s="37">
        <f>IF(A361="","",IFERROR(INDEX(Maniobras!$K$5:$K$504,MATCH(A361,Maniobras!$A$5:$A$504,0)),""))</f>
        <v/>
      </c>
      <c r="G361" s="37" t="n"/>
      <c r="H361" s="37" t="n"/>
      <c r="I361" s="37">
        <f>IF(G361="","",G361+N(H361))</f>
        <v/>
      </c>
      <c r="J361" s="36" t="n"/>
      <c r="K361" s="40" t="n"/>
      <c r="L361" s="36" t="n"/>
      <c r="M361">
        <f>IF($A361=Ficha!$B$3,COUNTIF($A$5:$A361,Ficha!$B$3),"")</f>
        <v/>
      </c>
    </row>
    <row r="362">
      <c r="A362" s="38" t="n"/>
      <c r="B362" s="41">
        <f>IF(A362="","",IFERROR(INDEX(Maniobras!$B$5:$B$504,MATCH(A362,Maniobras!$A$5:$A$504,0)),""))</f>
        <v/>
      </c>
      <c r="C362" s="38">
        <f>IF(B362="","",TEXT(B362,"yyyy-mm"))</f>
        <v/>
      </c>
      <c r="D362" s="38">
        <f>IF(A362="","",IFERROR(INDEX(Maniobras!$D$5:$D$504,MATCH(A362,Maniobras!$A$5:$A$504,0)),""))</f>
        <v/>
      </c>
      <c r="E362" s="38" t="n"/>
      <c r="F362" s="39">
        <f>IF(A362="","",IFERROR(INDEX(Maniobras!$K$5:$K$504,MATCH(A362,Maniobras!$A$5:$A$504,0)),""))</f>
        <v/>
      </c>
      <c r="G362" s="39" t="n"/>
      <c r="H362" s="39" t="n"/>
      <c r="I362" s="39">
        <f>IF(G362="","",G362+N(H362))</f>
        <v/>
      </c>
      <c r="J362" s="38" t="n"/>
      <c r="K362" s="41" t="n"/>
      <c r="L362" s="38" t="n"/>
      <c r="M362">
        <f>IF($A362=Ficha!$B$3,COUNTIF($A$5:$A362,Ficha!$B$3),"")</f>
        <v/>
      </c>
    </row>
    <row r="363">
      <c r="A363" s="36" t="n"/>
      <c r="B363" s="40">
        <f>IF(A363="","",IFERROR(INDEX(Maniobras!$B$5:$B$504,MATCH(A363,Maniobras!$A$5:$A$504,0)),""))</f>
        <v/>
      </c>
      <c r="C363" s="36">
        <f>IF(B363="","",TEXT(B363,"yyyy-mm"))</f>
        <v/>
      </c>
      <c r="D363" s="36">
        <f>IF(A363="","",IFERROR(INDEX(Maniobras!$D$5:$D$504,MATCH(A363,Maniobras!$A$5:$A$504,0)),""))</f>
        <v/>
      </c>
      <c r="E363" s="36" t="n"/>
      <c r="F363" s="37">
        <f>IF(A363="","",IFERROR(INDEX(Maniobras!$K$5:$K$504,MATCH(A363,Maniobras!$A$5:$A$504,0)),""))</f>
        <v/>
      </c>
      <c r="G363" s="37" t="n"/>
      <c r="H363" s="37" t="n"/>
      <c r="I363" s="37">
        <f>IF(G363="","",G363+N(H363))</f>
        <v/>
      </c>
      <c r="J363" s="36" t="n"/>
      <c r="K363" s="40" t="n"/>
      <c r="L363" s="36" t="n"/>
      <c r="M363">
        <f>IF($A363=Ficha!$B$3,COUNTIF($A$5:$A363,Ficha!$B$3),"")</f>
        <v/>
      </c>
    </row>
    <row r="364">
      <c r="A364" s="38" t="n"/>
      <c r="B364" s="41">
        <f>IF(A364="","",IFERROR(INDEX(Maniobras!$B$5:$B$504,MATCH(A364,Maniobras!$A$5:$A$504,0)),""))</f>
        <v/>
      </c>
      <c r="C364" s="38">
        <f>IF(B364="","",TEXT(B364,"yyyy-mm"))</f>
        <v/>
      </c>
      <c r="D364" s="38">
        <f>IF(A364="","",IFERROR(INDEX(Maniobras!$D$5:$D$504,MATCH(A364,Maniobras!$A$5:$A$504,0)),""))</f>
        <v/>
      </c>
      <c r="E364" s="38" t="n"/>
      <c r="F364" s="39">
        <f>IF(A364="","",IFERROR(INDEX(Maniobras!$K$5:$K$504,MATCH(A364,Maniobras!$A$5:$A$504,0)),""))</f>
        <v/>
      </c>
      <c r="G364" s="39" t="n"/>
      <c r="H364" s="39" t="n"/>
      <c r="I364" s="39">
        <f>IF(G364="","",G364+N(H364))</f>
        <v/>
      </c>
      <c r="J364" s="38" t="n"/>
      <c r="K364" s="41" t="n"/>
      <c r="L364" s="38" t="n"/>
      <c r="M364">
        <f>IF($A364=Ficha!$B$3,COUNTIF($A$5:$A364,Ficha!$B$3),"")</f>
        <v/>
      </c>
    </row>
    <row r="365">
      <c r="A365" s="36" t="n"/>
      <c r="B365" s="40">
        <f>IF(A365="","",IFERROR(INDEX(Maniobras!$B$5:$B$504,MATCH(A365,Maniobras!$A$5:$A$504,0)),""))</f>
        <v/>
      </c>
      <c r="C365" s="36">
        <f>IF(B365="","",TEXT(B365,"yyyy-mm"))</f>
        <v/>
      </c>
      <c r="D365" s="36">
        <f>IF(A365="","",IFERROR(INDEX(Maniobras!$D$5:$D$504,MATCH(A365,Maniobras!$A$5:$A$504,0)),""))</f>
        <v/>
      </c>
      <c r="E365" s="36" t="n"/>
      <c r="F365" s="37">
        <f>IF(A365="","",IFERROR(INDEX(Maniobras!$K$5:$K$504,MATCH(A365,Maniobras!$A$5:$A$504,0)),""))</f>
        <v/>
      </c>
      <c r="G365" s="37" t="n"/>
      <c r="H365" s="37" t="n"/>
      <c r="I365" s="37">
        <f>IF(G365="","",G365+N(H365))</f>
        <v/>
      </c>
      <c r="J365" s="36" t="n"/>
      <c r="K365" s="40" t="n"/>
      <c r="L365" s="36" t="n"/>
      <c r="M365">
        <f>IF($A365=Ficha!$B$3,COUNTIF($A$5:$A365,Ficha!$B$3),"")</f>
        <v/>
      </c>
    </row>
    <row r="366">
      <c r="A366" s="38" t="n"/>
      <c r="B366" s="41">
        <f>IF(A366="","",IFERROR(INDEX(Maniobras!$B$5:$B$504,MATCH(A366,Maniobras!$A$5:$A$504,0)),""))</f>
        <v/>
      </c>
      <c r="C366" s="38">
        <f>IF(B366="","",TEXT(B366,"yyyy-mm"))</f>
        <v/>
      </c>
      <c r="D366" s="38">
        <f>IF(A366="","",IFERROR(INDEX(Maniobras!$D$5:$D$504,MATCH(A366,Maniobras!$A$5:$A$504,0)),""))</f>
        <v/>
      </c>
      <c r="E366" s="38" t="n"/>
      <c r="F366" s="39">
        <f>IF(A366="","",IFERROR(INDEX(Maniobras!$K$5:$K$504,MATCH(A366,Maniobras!$A$5:$A$504,0)),""))</f>
        <v/>
      </c>
      <c r="G366" s="39" t="n"/>
      <c r="H366" s="39" t="n"/>
      <c r="I366" s="39">
        <f>IF(G366="","",G366+N(H366))</f>
        <v/>
      </c>
      <c r="J366" s="38" t="n"/>
      <c r="K366" s="41" t="n"/>
      <c r="L366" s="38" t="n"/>
      <c r="M366">
        <f>IF($A366=Ficha!$B$3,COUNTIF($A$5:$A366,Ficha!$B$3),"")</f>
        <v/>
      </c>
    </row>
    <row r="367">
      <c r="A367" s="36" t="n"/>
      <c r="B367" s="40">
        <f>IF(A367="","",IFERROR(INDEX(Maniobras!$B$5:$B$504,MATCH(A367,Maniobras!$A$5:$A$504,0)),""))</f>
        <v/>
      </c>
      <c r="C367" s="36">
        <f>IF(B367="","",TEXT(B367,"yyyy-mm"))</f>
        <v/>
      </c>
      <c r="D367" s="36">
        <f>IF(A367="","",IFERROR(INDEX(Maniobras!$D$5:$D$504,MATCH(A367,Maniobras!$A$5:$A$504,0)),""))</f>
        <v/>
      </c>
      <c r="E367" s="36" t="n"/>
      <c r="F367" s="37">
        <f>IF(A367="","",IFERROR(INDEX(Maniobras!$K$5:$K$504,MATCH(A367,Maniobras!$A$5:$A$504,0)),""))</f>
        <v/>
      </c>
      <c r="G367" s="37" t="n"/>
      <c r="H367" s="37" t="n"/>
      <c r="I367" s="37">
        <f>IF(G367="","",G367+N(H367))</f>
        <v/>
      </c>
      <c r="J367" s="36" t="n"/>
      <c r="K367" s="40" t="n"/>
      <c r="L367" s="36" t="n"/>
      <c r="M367">
        <f>IF($A367=Ficha!$B$3,COUNTIF($A$5:$A367,Ficha!$B$3),"")</f>
        <v/>
      </c>
    </row>
    <row r="368">
      <c r="A368" s="38" t="n"/>
      <c r="B368" s="41">
        <f>IF(A368="","",IFERROR(INDEX(Maniobras!$B$5:$B$504,MATCH(A368,Maniobras!$A$5:$A$504,0)),""))</f>
        <v/>
      </c>
      <c r="C368" s="38">
        <f>IF(B368="","",TEXT(B368,"yyyy-mm"))</f>
        <v/>
      </c>
      <c r="D368" s="38">
        <f>IF(A368="","",IFERROR(INDEX(Maniobras!$D$5:$D$504,MATCH(A368,Maniobras!$A$5:$A$504,0)),""))</f>
        <v/>
      </c>
      <c r="E368" s="38" t="n"/>
      <c r="F368" s="39">
        <f>IF(A368="","",IFERROR(INDEX(Maniobras!$K$5:$K$504,MATCH(A368,Maniobras!$A$5:$A$504,0)),""))</f>
        <v/>
      </c>
      <c r="G368" s="39" t="n"/>
      <c r="H368" s="39" t="n"/>
      <c r="I368" s="39">
        <f>IF(G368="","",G368+N(H368))</f>
        <v/>
      </c>
      <c r="J368" s="38" t="n"/>
      <c r="K368" s="41" t="n"/>
      <c r="L368" s="38" t="n"/>
      <c r="M368">
        <f>IF($A368=Ficha!$B$3,COUNTIF($A$5:$A368,Ficha!$B$3),"")</f>
        <v/>
      </c>
    </row>
    <row r="369">
      <c r="A369" s="36" t="n"/>
      <c r="B369" s="40">
        <f>IF(A369="","",IFERROR(INDEX(Maniobras!$B$5:$B$504,MATCH(A369,Maniobras!$A$5:$A$504,0)),""))</f>
        <v/>
      </c>
      <c r="C369" s="36">
        <f>IF(B369="","",TEXT(B369,"yyyy-mm"))</f>
        <v/>
      </c>
      <c r="D369" s="36">
        <f>IF(A369="","",IFERROR(INDEX(Maniobras!$D$5:$D$504,MATCH(A369,Maniobras!$A$5:$A$504,0)),""))</f>
        <v/>
      </c>
      <c r="E369" s="36" t="n"/>
      <c r="F369" s="37">
        <f>IF(A369="","",IFERROR(INDEX(Maniobras!$K$5:$K$504,MATCH(A369,Maniobras!$A$5:$A$504,0)),""))</f>
        <v/>
      </c>
      <c r="G369" s="37" t="n"/>
      <c r="H369" s="37" t="n"/>
      <c r="I369" s="37">
        <f>IF(G369="","",G369+N(H369))</f>
        <v/>
      </c>
      <c r="J369" s="36" t="n"/>
      <c r="K369" s="40" t="n"/>
      <c r="L369" s="36" t="n"/>
      <c r="M369">
        <f>IF($A369=Ficha!$B$3,COUNTIF($A$5:$A369,Ficha!$B$3),"")</f>
        <v/>
      </c>
    </row>
    <row r="370">
      <c r="A370" s="38" t="n"/>
      <c r="B370" s="41">
        <f>IF(A370="","",IFERROR(INDEX(Maniobras!$B$5:$B$504,MATCH(A370,Maniobras!$A$5:$A$504,0)),""))</f>
        <v/>
      </c>
      <c r="C370" s="38">
        <f>IF(B370="","",TEXT(B370,"yyyy-mm"))</f>
        <v/>
      </c>
      <c r="D370" s="38">
        <f>IF(A370="","",IFERROR(INDEX(Maniobras!$D$5:$D$504,MATCH(A370,Maniobras!$A$5:$A$504,0)),""))</f>
        <v/>
      </c>
      <c r="E370" s="38" t="n"/>
      <c r="F370" s="39">
        <f>IF(A370="","",IFERROR(INDEX(Maniobras!$K$5:$K$504,MATCH(A370,Maniobras!$A$5:$A$504,0)),""))</f>
        <v/>
      </c>
      <c r="G370" s="39" t="n"/>
      <c r="H370" s="39" t="n"/>
      <c r="I370" s="39">
        <f>IF(G370="","",G370+N(H370))</f>
        <v/>
      </c>
      <c r="J370" s="38" t="n"/>
      <c r="K370" s="41" t="n"/>
      <c r="L370" s="38" t="n"/>
      <c r="M370">
        <f>IF($A370=Ficha!$B$3,COUNTIF($A$5:$A370,Ficha!$B$3),"")</f>
        <v/>
      </c>
    </row>
    <row r="371">
      <c r="A371" s="36" t="n"/>
      <c r="B371" s="40">
        <f>IF(A371="","",IFERROR(INDEX(Maniobras!$B$5:$B$504,MATCH(A371,Maniobras!$A$5:$A$504,0)),""))</f>
        <v/>
      </c>
      <c r="C371" s="36">
        <f>IF(B371="","",TEXT(B371,"yyyy-mm"))</f>
        <v/>
      </c>
      <c r="D371" s="36">
        <f>IF(A371="","",IFERROR(INDEX(Maniobras!$D$5:$D$504,MATCH(A371,Maniobras!$A$5:$A$504,0)),""))</f>
        <v/>
      </c>
      <c r="E371" s="36" t="n"/>
      <c r="F371" s="37">
        <f>IF(A371="","",IFERROR(INDEX(Maniobras!$K$5:$K$504,MATCH(A371,Maniobras!$A$5:$A$504,0)),""))</f>
        <v/>
      </c>
      <c r="G371" s="37" t="n"/>
      <c r="H371" s="37" t="n"/>
      <c r="I371" s="37">
        <f>IF(G371="","",G371+N(H371))</f>
        <v/>
      </c>
      <c r="J371" s="36" t="n"/>
      <c r="K371" s="40" t="n"/>
      <c r="L371" s="36" t="n"/>
      <c r="M371">
        <f>IF($A371=Ficha!$B$3,COUNTIF($A$5:$A371,Ficha!$B$3),"")</f>
        <v/>
      </c>
    </row>
    <row r="372">
      <c r="A372" s="38" t="n"/>
      <c r="B372" s="41">
        <f>IF(A372="","",IFERROR(INDEX(Maniobras!$B$5:$B$504,MATCH(A372,Maniobras!$A$5:$A$504,0)),""))</f>
        <v/>
      </c>
      <c r="C372" s="38">
        <f>IF(B372="","",TEXT(B372,"yyyy-mm"))</f>
        <v/>
      </c>
      <c r="D372" s="38">
        <f>IF(A372="","",IFERROR(INDEX(Maniobras!$D$5:$D$504,MATCH(A372,Maniobras!$A$5:$A$504,0)),""))</f>
        <v/>
      </c>
      <c r="E372" s="38" t="n"/>
      <c r="F372" s="39">
        <f>IF(A372="","",IFERROR(INDEX(Maniobras!$K$5:$K$504,MATCH(A372,Maniobras!$A$5:$A$504,0)),""))</f>
        <v/>
      </c>
      <c r="G372" s="39" t="n"/>
      <c r="H372" s="39" t="n"/>
      <c r="I372" s="39">
        <f>IF(G372="","",G372+N(H372))</f>
        <v/>
      </c>
      <c r="J372" s="38" t="n"/>
      <c r="K372" s="41" t="n"/>
      <c r="L372" s="38" t="n"/>
      <c r="M372">
        <f>IF($A372=Ficha!$B$3,COUNTIF($A$5:$A372,Ficha!$B$3),"")</f>
        <v/>
      </c>
    </row>
    <row r="373">
      <c r="A373" s="36" t="n"/>
      <c r="B373" s="40">
        <f>IF(A373="","",IFERROR(INDEX(Maniobras!$B$5:$B$504,MATCH(A373,Maniobras!$A$5:$A$504,0)),""))</f>
        <v/>
      </c>
      <c r="C373" s="36">
        <f>IF(B373="","",TEXT(B373,"yyyy-mm"))</f>
        <v/>
      </c>
      <c r="D373" s="36">
        <f>IF(A373="","",IFERROR(INDEX(Maniobras!$D$5:$D$504,MATCH(A373,Maniobras!$A$5:$A$504,0)),""))</f>
        <v/>
      </c>
      <c r="E373" s="36" t="n"/>
      <c r="F373" s="37">
        <f>IF(A373="","",IFERROR(INDEX(Maniobras!$K$5:$K$504,MATCH(A373,Maniobras!$A$5:$A$504,0)),""))</f>
        <v/>
      </c>
      <c r="G373" s="37" t="n"/>
      <c r="H373" s="37" t="n"/>
      <c r="I373" s="37">
        <f>IF(G373="","",G373+N(H373))</f>
        <v/>
      </c>
      <c r="J373" s="36" t="n"/>
      <c r="K373" s="40" t="n"/>
      <c r="L373" s="36" t="n"/>
      <c r="M373">
        <f>IF($A373=Ficha!$B$3,COUNTIF($A$5:$A373,Ficha!$B$3),"")</f>
        <v/>
      </c>
    </row>
    <row r="374">
      <c r="A374" s="38" t="n"/>
      <c r="B374" s="41">
        <f>IF(A374="","",IFERROR(INDEX(Maniobras!$B$5:$B$504,MATCH(A374,Maniobras!$A$5:$A$504,0)),""))</f>
        <v/>
      </c>
      <c r="C374" s="38">
        <f>IF(B374="","",TEXT(B374,"yyyy-mm"))</f>
        <v/>
      </c>
      <c r="D374" s="38">
        <f>IF(A374="","",IFERROR(INDEX(Maniobras!$D$5:$D$504,MATCH(A374,Maniobras!$A$5:$A$504,0)),""))</f>
        <v/>
      </c>
      <c r="E374" s="38" t="n"/>
      <c r="F374" s="39">
        <f>IF(A374="","",IFERROR(INDEX(Maniobras!$K$5:$K$504,MATCH(A374,Maniobras!$A$5:$A$504,0)),""))</f>
        <v/>
      </c>
      <c r="G374" s="39" t="n"/>
      <c r="H374" s="39" t="n"/>
      <c r="I374" s="39">
        <f>IF(G374="","",G374+N(H374))</f>
        <v/>
      </c>
      <c r="J374" s="38" t="n"/>
      <c r="K374" s="41" t="n"/>
      <c r="L374" s="38" t="n"/>
      <c r="M374">
        <f>IF($A374=Ficha!$B$3,COUNTIF($A$5:$A374,Ficha!$B$3),"")</f>
        <v/>
      </c>
    </row>
    <row r="375">
      <c r="A375" s="36" t="n"/>
      <c r="B375" s="40">
        <f>IF(A375="","",IFERROR(INDEX(Maniobras!$B$5:$B$504,MATCH(A375,Maniobras!$A$5:$A$504,0)),""))</f>
        <v/>
      </c>
      <c r="C375" s="36">
        <f>IF(B375="","",TEXT(B375,"yyyy-mm"))</f>
        <v/>
      </c>
      <c r="D375" s="36">
        <f>IF(A375="","",IFERROR(INDEX(Maniobras!$D$5:$D$504,MATCH(A375,Maniobras!$A$5:$A$504,0)),""))</f>
        <v/>
      </c>
      <c r="E375" s="36" t="n"/>
      <c r="F375" s="37">
        <f>IF(A375="","",IFERROR(INDEX(Maniobras!$K$5:$K$504,MATCH(A375,Maniobras!$A$5:$A$504,0)),""))</f>
        <v/>
      </c>
      <c r="G375" s="37" t="n"/>
      <c r="H375" s="37" t="n"/>
      <c r="I375" s="37">
        <f>IF(G375="","",G375+N(H375))</f>
        <v/>
      </c>
      <c r="J375" s="36" t="n"/>
      <c r="K375" s="40" t="n"/>
      <c r="L375" s="36" t="n"/>
      <c r="M375">
        <f>IF($A375=Ficha!$B$3,COUNTIF($A$5:$A375,Ficha!$B$3),"")</f>
        <v/>
      </c>
    </row>
    <row r="376">
      <c r="A376" s="38" t="n"/>
      <c r="B376" s="41">
        <f>IF(A376="","",IFERROR(INDEX(Maniobras!$B$5:$B$504,MATCH(A376,Maniobras!$A$5:$A$504,0)),""))</f>
        <v/>
      </c>
      <c r="C376" s="38">
        <f>IF(B376="","",TEXT(B376,"yyyy-mm"))</f>
        <v/>
      </c>
      <c r="D376" s="38">
        <f>IF(A376="","",IFERROR(INDEX(Maniobras!$D$5:$D$504,MATCH(A376,Maniobras!$A$5:$A$504,0)),""))</f>
        <v/>
      </c>
      <c r="E376" s="38" t="n"/>
      <c r="F376" s="39">
        <f>IF(A376="","",IFERROR(INDEX(Maniobras!$K$5:$K$504,MATCH(A376,Maniobras!$A$5:$A$504,0)),""))</f>
        <v/>
      </c>
      <c r="G376" s="39" t="n"/>
      <c r="H376" s="39" t="n"/>
      <c r="I376" s="39">
        <f>IF(G376="","",G376+N(H376))</f>
        <v/>
      </c>
      <c r="J376" s="38" t="n"/>
      <c r="K376" s="41" t="n"/>
      <c r="L376" s="38" t="n"/>
      <c r="M376">
        <f>IF($A376=Ficha!$B$3,COUNTIF($A$5:$A376,Ficha!$B$3),"")</f>
        <v/>
      </c>
    </row>
    <row r="377">
      <c r="A377" s="36" t="n"/>
      <c r="B377" s="40">
        <f>IF(A377="","",IFERROR(INDEX(Maniobras!$B$5:$B$504,MATCH(A377,Maniobras!$A$5:$A$504,0)),""))</f>
        <v/>
      </c>
      <c r="C377" s="36">
        <f>IF(B377="","",TEXT(B377,"yyyy-mm"))</f>
        <v/>
      </c>
      <c r="D377" s="36">
        <f>IF(A377="","",IFERROR(INDEX(Maniobras!$D$5:$D$504,MATCH(A377,Maniobras!$A$5:$A$504,0)),""))</f>
        <v/>
      </c>
      <c r="E377" s="36" t="n"/>
      <c r="F377" s="37">
        <f>IF(A377="","",IFERROR(INDEX(Maniobras!$K$5:$K$504,MATCH(A377,Maniobras!$A$5:$A$504,0)),""))</f>
        <v/>
      </c>
      <c r="G377" s="37" t="n"/>
      <c r="H377" s="37" t="n"/>
      <c r="I377" s="37">
        <f>IF(G377="","",G377+N(H377))</f>
        <v/>
      </c>
      <c r="J377" s="36" t="n"/>
      <c r="K377" s="40" t="n"/>
      <c r="L377" s="36" t="n"/>
      <c r="M377">
        <f>IF($A377=Ficha!$B$3,COUNTIF($A$5:$A377,Ficha!$B$3),"")</f>
        <v/>
      </c>
    </row>
    <row r="378">
      <c r="A378" s="38" t="n"/>
      <c r="B378" s="41">
        <f>IF(A378="","",IFERROR(INDEX(Maniobras!$B$5:$B$504,MATCH(A378,Maniobras!$A$5:$A$504,0)),""))</f>
        <v/>
      </c>
      <c r="C378" s="38">
        <f>IF(B378="","",TEXT(B378,"yyyy-mm"))</f>
        <v/>
      </c>
      <c r="D378" s="38">
        <f>IF(A378="","",IFERROR(INDEX(Maniobras!$D$5:$D$504,MATCH(A378,Maniobras!$A$5:$A$504,0)),""))</f>
        <v/>
      </c>
      <c r="E378" s="38" t="n"/>
      <c r="F378" s="39">
        <f>IF(A378="","",IFERROR(INDEX(Maniobras!$K$5:$K$504,MATCH(A378,Maniobras!$A$5:$A$504,0)),""))</f>
        <v/>
      </c>
      <c r="G378" s="39" t="n"/>
      <c r="H378" s="39" t="n"/>
      <c r="I378" s="39">
        <f>IF(G378="","",G378+N(H378))</f>
        <v/>
      </c>
      <c r="J378" s="38" t="n"/>
      <c r="K378" s="41" t="n"/>
      <c r="L378" s="38" t="n"/>
      <c r="M378">
        <f>IF($A378=Ficha!$B$3,COUNTIF($A$5:$A378,Ficha!$B$3),"")</f>
        <v/>
      </c>
    </row>
    <row r="379">
      <c r="A379" s="36" t="n"/>
      <c r="B379" s="40">
        <f>IF(A379="","",IFERROR(INDEX(Maniobras!$B$5:$B$504,MATCH(A379,Maniobras!$A$5:$A$504,0)),""))</f>
        <v/>
      </c>
      <c r="C379" s="36">
        <f>IF(B379="","",TEXT(B379,"yyyy-mm"))</f>
        <v/>
      </c>
      <c r="D379" s="36">
        <f>IF(A379="","",IFERROR(INDEX(Maniobras!$D$5:$D$504,MATCH(A379,Maniobras!$A$5:$A$504,0)),""))</f>
        <v/>
      </c>
      <c r="E379" s="36" t="n"/>
      <c r="F379" s="37">
        <f>IF(A379="","",IFERROR(INDEX(Maniobras!$K$5:$K$504,MATCH(A379,Maniobras!$A$5:$A$504,0)),""))</f>
        <v/>
      </c>
      <c r="G379" s="37" t="n"/>
      <c r="H379" s="37" t="n"/>
      <c r="I379" s="37">
        <f>IF(G379="","",G379+N(H379))</f>
        <v/>
      </c>
      <c r="J379" s="36" t="n"/>
      <c r="K379" s="40" t="n"/>
      <c r="L379" s="36" t="n"/>
      <c r="M379">
        <f>IF($A379=Ficha!$B$3,COUNTIF($A$5:$A379,Ficha!$B$3),"")</f>
        <v/>
      </c>
    </row>
    <row r="380">
      <c r="A380" s="38" t="n"/>
      <c r="B380" s="41">
        <f>IF(A380="","",IFERROR(INDEX(Maniobras!$B$5:$B$504,MATCH(A380,Maniobras!$A$5:$A$504,0)),""))</f>
        <v/>
      </c>
      <c r="C380" s="38">
        <f>IF(B380="","",TEXT(B380,"yyyy-mm"))</f>
        <v/>
      </c>
      <c r="D380" s="38">
        <f>IF(A380="","",IFERROR(INDEX(Maniobras!$D$5:$D$504,MATCH(A380,Maniobras!$A$5:$A$504,0)),""))</f>
        <v/>
      </c>
      <c r="E380" s="38" t="n"/>
      <c r="F380" s="39">
        <f>IF(A380="","",IFERROR(INDEX(Maniobras!$K$5:$K$504,MATCH(A380,Maniobras!$A$5:$A$504,0)),""))</f>
        <v/>
      </c>
      <c r="G380" s="39" t="n"/>
      <c r="H380" s="39" t="n"/>
      <c r="I380" s="39">
        <f>IF(G380="","",G380+N(H380))</f>
        <v/>
      </c>
      <c r="J380" s="38" t="n"/>
      <c r="K380" s="41" t="n"/>
      <c r="L380" s="38" t="n"/>
      <c r="M380">
        <f>IF($A380=Ficha!$B$3,COUNTIF($A$5:$A380,Ficha!$B$3),"")</f>
        <v/>
      </c>
    </row>
    <row r="381">
      <c r="A381" s="36" t="n"/>
      <c r="B381" s="40">
        <f>IF(A381="","",IFERROR(INDEX(Maniobras!$B$5:$B$504,MATCH(A381,Maniobras!$A$5:$A$504,0)),""))</f>
        <v/>
      </c>
      <c r="C381" s="36">
        <f>IF(B381="","",TEXT(B381,"yyyy-mm"))</f>
        <v/>
      </c>
      <c r="D381" s="36">
        <f>IF(A381="","",IFERROR(INDEX(Maniobras!$D$5:$D$504,MATCH(A381,Maniobras!$A$5:$A$504,0)),""))</f>
        <v/>
      </c>
      <c r="E381" s="36" t="n"/>
      <c r="F381" s="37">
        <f>IF(A381="","",IFERROR(INDEX(Maniobras!$K$5:$K$504,MATCH(A381,Maniobras!$A$5:$A$504,0)),""))</f>
        <v/>
      </c>
      <c r="G381" s="37" t="n"/>
      <c r="H381" s="37" t="n"/>
      <c r="I381" s="37">
        <f>IF(G381="","",G381+N(H381))</f>
        <v/>
      </c>
      <c r="J381" s="36" t="n"/>
      <c r="K381" s="40" t="n"/>
      <c r="L381" s="36" t="n"/>
      <c r="M381">
        <f>IF($A381=Ficha!$B$3,COUNTIF($A$5:$A381,Ficha!$B$3),"")</f>
        <v/>
      </c>
    </row>
    <row r="382">
      <c r="A382" s="38" t="n"/>
      <c r="B382" s="41">
        <f>IF(A382="","",IFERROR(INDEX(Maniobras!$B$5:$B$504,MATCH(A382,Maniobras!$A$5:$A$504,0)),""))</f>
        <v/>
      </c>
      <c r="C382" s="38">
        <f>IF(B382="","",TEXT(B382,"yyyy-mm"))</f>
        <v/>
      </c>
      <c r="D382" s="38">
        <f>IF(A382="","",IFERROR(INDEX(Maniobras!$D$5:$D$504,MATCH(A382,Maniobras!$A$5:$A$504,0)),""))</f>
        <v/>
      </c>
      <c r="E382" s="38" t="n"/>
      <c r="F382" s="39">
        <f>IF(A382="","",IFERROR(INDEX(Maniobras!$K$5:$K$504,MATCH(A382,Maniobras!$A$5:$A$504,0)),""))</f>
        <v/>
      </c>
      <c r="G382" s="39" t="n"/>
      <c r="H382" s="39" t="n"/>
      <c r="I382" s="39">
        <f>IF(G382="","",G382+N(H382))</f>
        <v/>
      </c>
      <c r="J382" s="38" t="n"/>
      <c r="K382" s="41" t="n"/>
      <c r="L382" s="38" t="n"/>
      <c r="M382">
        <f>IF($A382=Ficha!$B$3,COUNTIF($A$5:$A382,Ficha!$B$3),"")</f>
        <v/>
      </c>
    </row>
    <row r="383">
      <c r="A383" s="36" t="n"/>
      <c r="B383" s="40">
        <f>IF(A383="","",IFERROR(INDEX(Maniobras!$B$5:$B$504,MATCH(A383,Maniobras!$A$5:$A$504,0)),""))</f>
        <v/>
      </c>
      <c r="C383" s="36">
        <f>IF(B383="","",TEXT(B383,"yyyy-mm"))</f>
        <v/>
      </c>
      <c r="D383" s="36">
        <f>IF(A383="","",IFERROR(INDEX(Maniobras!$D$5:$D$504,MATCH(A383,Maniobras!$A$5:$A$504,0)),""))</f>
        <v/>
      </c>
      <c r="E383" s="36" t="n"/>
      <c r="F383" s="37">
        <f>IF(A383="","",IFERROR(INDEX(Maniobras!$K$5:$K$504,MATCH(A383,Maniobras!$A$5:$A$504,0)),""))</f>
        <v/>
      </c>
      <c r="G383" s="37" t="n"/>
      <c r="H383" s="37" t="n"/>
      <c r="I383" s="37">
        <f>IF(G383="","",G383+N(H383))</f>
        <v/>
      </c>
      <c r="J383" s="36" t="n"/>
      <c r="K383" s="40" t="n"/>
      <c r="L383" s="36" t="n"/>
      <c r="M383">
        <f>IF($A383=Ficha!$B$3,COUNTIF($A$5:$A383,Ficha!$B$3),"")</f>
        <v/>
      </c>
    </row>
    <row r="384">
      <c r="A384" s="38" t="n"/>
      <c r="B384" s="41">
        <f>IF(A384="","",IFERROR(INDEX(Maniobras!$B$5:$B$504,MATCH(A384,Maniobras!$A$5:$A$504,0)),""))</f>
        <v/>
      </c>
      <c r="C384" s="38">
        <f>IF(B384="","",TEXT(B384,"yyyy-mm"))</f>
        <v/>
      </c>
      <c r="D384" s="38">
        <f>IF(A384="","",IFERROR(INDEX(Maniobras!$D$5:$D$504,MATCH(A384,Maniobras!$A$5:$A$504,0)),""))</f>
        <v/>
      </c>
      <c r="E384" s="38" t="n"/>
      <c r="F384" s="39">
        <f>IF(A384="","",IFERROR(INDEX(Maniobras!$K$5:$K$504,MATCH(A384,Maniobras!$A$5:$A$504,0)),""))</f>
        <v/>
      </c>
      <c r="G384" s="39" t="n"/>
      <c r="H384" s="39" t="n"/>
      <c r="I384" s="39">
        <f>IF(G384="","",G384+N(H384))</f>
        <v/>
      </c>
      <c r="J384" s="38" t="n"/>
      <c r="K384" s="41" t="n"/>
      <c r="L384" s="38" t="n"/>
      <c r="M384">
        <f>IF($A384=Ficha!$B$3,COUNTIF($A$5:$A384,Ficha!$B$3),"")</f>
        <v/>
      </c>
    </row>
    <row r="385">
      <c r="A385" s="36" t="n"/>
      <c r="B385" s="40">
        <f>IF(A385="","",IFERROR(INDEX(Maniobras!$B$5:$B$504,MATCH(A385,Maniobras!$A$5:$A$504,0)),""))</f>
        <v/>
      </c>
      <c r="C385" s="36">
        <f>IF(B385="","",TEXT(B385,"yyyy-mm"))</f>
        <v/>
      </c>
      <c r="D385" s="36">
        <f>IF(A385="","",IFERROR(INDEX(Maniobras!$D$5:$D$504,MATCH(A385,Maniobras!$A$5:$A$504,0)),""))</f>
        <v/>
      </c>
      <c r="E385" s="36" t="n"/>
      <c r="F385" s="37">
        <f>IF(A385="","",IFERROR(INDEX(Maniobras!$K$5:$K$504,MATCH(A385,Maniobras!$A$5:$A$504,0)),""))</f>
        <v/>
      </c>
      <c r="G385" s="37" t="n"/>
      <c r="H385" s="37" t="n"/>
      <c r="I385" s="37">
        <f>IF(G385="","",G385+N(H385))</f>
        <v/>
      </c>
      <c r="J385" s="36" t="n"/>
      <c r="K385" s="40" t="n"/>
      <c r="L385" s="36" t="n"/>
      <c r="M385">
        <f>IF($A385=Ficha!$B$3,COUNTIF($A$5:$A385,Ficha!$B$3),"")</f>
        <v/>
      </c>
    </row>
    <row r="386">
      <c r="A386" s="38" t="n"/>
      <c r="B386" s="41">
        <f>IF(A386="","",IFERROR(INDEX(Maniobras!$B$5:$B$504,MATCH(A386,Maniobras!$A$5:$A$504,0)),""))</f>
        <v/>
      </c>
      <c r="C386" s="38">
        <f>IF(B386="","",TEXT(B386,"yyyy-mm"))</f>
        <v/>
      </c>
      <c r="D386" s="38">
        <f>IF(A386="","",IFERROR(INDEX(Maniobras!$D$5:$D$504,MATCH(A386,Maniobras!$A$5:$A$504,0)),""))</f>
        <v/>
      </c>
      <c r="E386" s="38" t="n"/>
      <c r="F386" s="39">
        <f>IF(A386="","",IFERROR(INDEX(Maniobras!$K$5:$K$504,MATCH(A386,Maniobras!$A$5:$A$504,0)),""))</f>
        <v/>
      </c>
      <c r="G386" s="39" t="n"/>
      <c r="H386" s="39" t="n"/>
      <c r="I386" s="39">
        <f>IF(G386="","",G386+N(H386))</f>
        <v/>
      </c>
      <c r="J386" s="38" t="n"/>
      <c r="K386" s="41" t="n"/>
      <c r="L386" s="38" t="n"/>
      <c r="M386">
        <f>IF($A386=Ficha!$B$3,COUNTIF($A$5:$A386,Ficha!$B$3),"")</f>
        <v/>
      </c>
    </row>
    <row r="387">
      <c r="A387" s="36" t="n"/>
      <c r="B387" s="40">
        <f>IF(A387="","",IFERROR(INDEX(Maniobras!$B$5:$B$504,MATCH(A387,Maniobras!$A$5:$A$504,0)),""))</f>
        <v/>
      </c>
      <c r="C387" s="36">
        <f>IF(B387="","",TEXT(B387,"yyyy-mm"))</f>
        <v/>
      </c>
      <c r="D387" s="36">
        <f>IF(A387="","",IFERROR(INDEX(Maniobras!$D$5:$D$504,MATCH(A387,Maniobras!$A$5:$A$504,0)),""))</f>
        <v/>
      </c>
      <c r="E387" s="36" t="n"/>
      <c r="F387" s="37">
        <f>IF(A387="","",IFERROR(INDEX(Maniobras!$K$5:$K$504,MATCH(A387,Maniobras!$A$5:$A$504,0)),""))</f>
        <v/>
      </c>
      <c r="G387" s="37" t="n"/>
      <c r="H387" s="37" t="n"/>
      <c r="I387" s="37">
        <f>IF(G387="","",G387+N(H387))</f>
        <v/>
      </c>
      <c r="J387" s="36" t="n"/>
      <c r="K387" s="40" t="n"/>
      <c r="L387" s="36" t="n"/>
      <c r="M387">
        <f>IF($A387=Ficha!$B$3,COUNTIF($A$5:$A387,Ficha!$B$3),"")</f>
        <v/>
      </c>
    </row>
    <row r="388">
      <c r="A388" s="38" t="n"/>
      <c r="B388" s="41">
        <f>IF(A388="","",IFERROR(INDEX(Maniobras!$B$5:$B$504,MATCH(A388,Maniobras!$A$5:$A$504,0)),""))</f>
        <v/>
      </c>
      <c r="C388" s="38">
        <f>IF(B388="","",TEXT(B388,"yyyy-mm"))</f>
        <v/>
      </c>
      <c r="D388" s="38">
        <f>IF(A388="","",IFERROR(INDEX(Maniobras!$D$5:$D$504,MATCH(A388,Maniobras!$A$5:$A$504,0)),""))</f>
        <v/>
      </c>
      <c r="E388" s="38" t="n"/>
      <c r="F388" s="39">
        <f>IF(A388="","",IFERROR(INDEX(Maniobras!$K$5:$K$504,MATCH(A388,Maniobras!$A$5:$A$504,0)),""))</f>
        <v/>
      </c>
      <c r="G388" s="39" t="n"/>
      <c r="H388" s="39" t="n"/>
      <c r="I388" s="39">
        <f>IF(G388="","",G388+N(H388))</f>
        <v/>
      </c>
      <c r="J388" s="38" t="n"/>
      <c r="K388" s="41" t="n"/>
      <c r="L388" s="38" t="n"/>
      <c r="M388">
        <f>IF($A388=Ficha!$B$3,COUNTIF($A$5:$A388,Ficha!$B$3),"")</f>
        <v/>
      </c>
    </row>
    <row r="389">
      <c r="A389" s="36" t="n"/>
      <c r="B389" s="40">
        <f>IF(A389="","",IFERROR(INDEX(Maniobras!$B$5:$B$504,MATCH(A389,Maniobras!$A$5:$A$504,0)),""))</f>
        <v/>
      </c>
      <c r="C389" s="36">
        <f>IF(B389="","",TEXT(B389,"yyyy-mm"))</f>
        <v/>
      </c>
      <c r="D389" s="36">
        <f>IF(A389="","",IFERROR(INDEX(Maniobras!$D$5:$D$504,MATCH(A389,Maniobras!$A$5:$A$504,0)),""))</f>
        <v/>
      </c>
      <c r="E389" s="36" t="n"/>
      <c r="F389" s="37">
        <f>IF(A389="","",IFERROR(INDEX(Maniobras!$K$5:$K$504,MATCH(A389,Maniobras!$A$5:$A$504,0)),""))</f>
        <v/>
      </c>
      <c r="G389" s="37" t="n"/>
      <c r="H389" s="37" t="n"/>
      <c r="I389" s="37">
        <f>IF(G389="","",G389+N(H389))</f>
        <v/>
      </c>
      <c r="J389" s="36" t="n"/>
      <c r="K389" s="40" t="n"/>
      <c r="L389" s="36" t="n"/>
      <c r="M389">
        <f>IF($A389=Ficha!$B$3,COUNTIF($A$5:$A389,Ficha!$B$3),"")</f>
        <v/>
      </c>
    </row>
    <row r="390">
      <c r="A390" s="38" t="n"/>
      <c r="B390" s="41">
        <f>IF(A390="","",IFERROR(INDEX(Maniobras!$B$5:$B$504,MATCH(A390,Maniobras!$A$5:$A$504,0)),""))</f>
        <v/>
      </c>
      <c r="C390" s="38">
        <f>IF(B390="","",TEXT(B390,"yyyy-mm"))</f>
        <v/>
      </c>
      <c r="D390" s="38">
        <f>IF(A390="","",IFERROR(INDEX(Maniobras!$D$5:$D$504,MATCH(A390,Maniobras!$A$5:$A$504,0)),""))</f>
        <v/>
      </c>
      <c r="E390" s="38" t="n"/>
      <c r="F390" s="39">
        <f>IF(A390="","",IFERROR(INDEX(Maniobras!$K$5:$K$504,MATCH(A390,Maniobras!$A$5:$A$504,0)),""))</f>
        <v/>
      </c>
      <c r="G390" s="39" t="n"/>
      <c r="H390" s="39" t="n"/>
      <c r="I390" s="39">
        <f>IF(G390="","",G390+N(H390))</f>
        <v/>
      </c>
      <c r="J390" s="38" t="n"/>
      <c r="K390" s="41" t="n"/>
      <c r="L390" s="38" t="n"/>
      <c r="M390">
        <f>IF($A390=Ficha!$B$3,COUNTIF($A$5:$A390,Ficha!$B$3),"")</f>
        <v/>
      </c>
    </row>
    <row r="391">
      <c r="A391" s="36" t="n"/>
      <c r="B391" s="40">
        <f>IF(A391="","",IFERROR(INDEX(Maniobras!$B$5:$B$504,MATCH(A391,Maniobras!$A$5:$A$504,0)),""))</f>
        <v/>
      </c>
      <c r="C391" s="36">
        <f>IF(B391="","",TEXT(B391,"yyyy-mm"))</f>
        <v/>
      </c>
      <c r="D391" s="36">
        <f>IF(A391="","",IFERROR(INDEX(Maniobras!$D$5:$D$504,MATCH(A391,Maniobras!$A$5:$A$504,0)),""))</f>
        <v/>
      </c>
      <c r="E391" s="36" t="n"/>
      <c r="F391" s="37">
        <f>IF(A391="","",IFERROR(INDEX(Maniobras!$K$5:$K$504,MATCH(A391,Maniobras!$A$5:$A$504,0)),""))</f>
        <v/>
      </c>
      <c r="G391" s="37" t="n"/>
      <c r="H391" s="37" t="n"/>
      <c r="I391" s="37">
        <f>IF(G391="","",G391+N(H391))</f>
        <v/>
      </c>
      <c r="J391" s="36" t="n"/>
      <c r="K391" s="40" t="n"/>
      <c r="L391" s="36" t="n"/>
      <c r="M391">
        <f>IF($A391=Ficha!$B$3,COUNTIF($A$5:$A391,Ficha!$B$3),"")</f>
        <v/>
      </c>
    </row>
    <row r="392">
      <c r="A392" s="38" t="n"/>
      <c r="B392" s="41">
        <f>IF(A392="","",IFERROR(INDEX(Maniobras!$B$5:$B$504,MATCH(A392,Maniobras!$A$5:$A$504,0)),""))</f>
        <v/>
      </c>
      <c r="C392" s="38">
        <f>IF(B392="","",TEXT(B392,"yyyy-mm"))</f>
        <v/>
      </c>
      <c r="D392" s="38">
        <f>IF(A392="","",IFERROR(INDEX(Maniobras!$D$5:$D$504,MATCH(A392,Maniobras!$A$5:$A$504,0)),""))</f>
        <v/>
      </c>
      <c r="E392" s="38" t="n"/>
      <c r="F392" s="39">
        <f>IF(A392="","",IFERROR(INDEX(Maniobras!$K$5:$K$504,MATCH(A392,Maniobras!$A$5:$A$504,0)),""))</f>
        <v/>
      </c>
      <c r="G392" s="39" t="n"/>
      <c r="H392" s="39" t="n"/>
      <c r="I392" s="39">
        <f>IF(G392="","",G392+N(H392))</f>
        <v/>
      </c>
      <c r="J392" s="38" t="n"/>
      <c r="K392" s="41" t="n"/>
      <c r="L392" s="38" t="n"/>
      <c r="M392">
        <f>IF($A392=Ficha!$B$3,COUNTIF($A$5:$A392,Ficha!$B$3),"")</f>
        <v/>
      </c>
    </row>
    <row r="393">
      <c r="A393" s="36" t="n"/>
      <c r="B393" s="40">
        <f>IF(A393="","",IFERROR(INDEX(Maniobras!$B$5:$B$504,MATCH(A393,Maniobras!$A$5:$A$504,0)),""))</f>
        <v/>
      </c>
      <c r="C393" s="36">
        <f>IF(B393="","",TEXT(B393,"yyyy-mm"))</f>
        <v/>
      </c>
      <c r="D393" s="36">
        <f>IF(A393="","",IFERROR(INDEX(Maniobras!$D$5:$D$504,MATCH(A393,Maniobras!$A$5:$A$504,0)),""))</f>
        <v/>
      </c>
      <c r="E393" s="36" t="n"/>
      <c r="F393" s="37">
        <f>IF(A393="","",IFERROR(INDEX(Maniobras!$K$5:$K$504,MATCH(A393,Maniobras!$A$5:$A$504,0)),""))</f>
        <v/>
      </c>
      <c r="G393" s="37" t="n"/>
      <c r="H393" s="37" t="n"/>
      <c r="I393" s="37">
        <f>IF(G393="","",G393+N(H393))</f>
        <v/>
      </c>
      <c r="J393" s="36" t="n"/>
      <c r="K393" s="40" t="n"/>
      <c r="L393" s="36" t="n"/>
      <c r="M393">
        <f>IF($A393=Ficha!$B$3,COUNTIF($A$5:$A393,Ficha!$B$3),"")</f>
        <v/>
      </c>
    </row>
    <row r="394">
      <c r="A394" s="38" t="n"/>
      <c r="B394" s="41">
        <f>IF(A394="","",IFERROR(INDEX(Maniobras!$B$5:$B$504,MATCH(A394,Maniobras!$A$5:$A$504,0)),""))</f>
        <v/>
      </c>
      <c r="C394" s="38">
        <f>IF(B394="","",TEXT(B394,"yyyy-mm"))</f>
        <v/>
      </c>
      <c r="D394" s="38">
        <f>IF(A394="","",IFERROR(INDEX(Maniobras!$D$5:$D$504,MATCH(A394,Maniobras!$A$5:$A$504,0)),""))</f>
        <v/>
      </c>
      <c r="E394" s="38" t="n"/>
      <c r="F394" s="39">
        <f>IF(A394="","",IFERROR(INDEX(Maniobras!$K$5:$K$504,MATCH(A394,Maniobras!$A$5:$A$504,0)),""))</f>
        <v/>
      </c>
      <c r="G394" s="39" t="n"/>
      <c r="H394" s="39" t="n"/>
      <c r="I394" s="39">
        <f>IF(G394="","",G394+N(H394))</f>
        <v/>
      </c>
      <c r="J394" s="38" t="n"/>
      <c r="K394" s="41" t="n"/>
      <c r="L394" s="38" t="n"/>
      <c r="M394">
        <f>IF($A394=Ficha!$B$3,COUNTIF($A$5:$A394,Ficha!$B$3),"")</f>
        <v/>
      </c>
    </row>
    <row r="395">
      <c r="A395" s="36" t="n"/>
      <c r="B395" s="40">
        <f>IF(A395="","",IFERROR(INDEX(Maniobras!$B$5:$B$504,MATCH(A395,Maniobras!$A$5:$A$504,0)),""))</f>
        <v/>
      </c>
      <c r="C395" s="36">
        <f>IF(B395="","",TEXT(B395,"yyyy-mm"))</f>
        <v/>
      </c>
      <c r="D395" s="36">
        <f>IF(A395="","",IFERROR(INDEX(Maniobras!$D$5:$D$504,MATCH(A395,Maniobras!$A$5:$A$504,0)),""))</f>
        <v/>
      </c>
      <c r="E395" s="36" t="n"/>
      <c r="F395" s="37">
        <f>IF(A395="","",IFERROR(INDEX(Maniobras!$K$5:$K$504,MATCH(A395,Maniobras!$A$5:$A$504,0)),""))</f>
        <v/>
      </c>
      <c r="G395" s="37" t="n"/>
      <c r="H395" s="37" t="n"/>
      <c r="I395" s="37">
        <f>IF(G395="","",G395+N(H395))</f>
        <v/>
      </c>
      <c r="J395" s="36" t="n"/>
      <c r="K395" s="40" t="n"/>
      <c r="L395" s="36" t="n"/>
      <c r="M395">
        <f>IF($A395=Ficha!$B$3,COUNTIF($A$5:$A395,Ficha!$B$3),"")</f>
        <v/>
      </c>
    </row>
    <row r="396">
      <c r="A396" s="38" t="n"/>
      <c r="B396" s="41">
        <f>IF(A396="","",IFERROR(INDEX(Maniobras!$B$5:$B$504,MATCH(A396,Maniobras!$A$5:$A$504,0)),""))</f>
        <v/>
      </c>
      <c r="C396" s="38">
        <f>IF(B396="","",TEXT(B396,"yyyy-mm"))</f>
        <v/>
      </c>
      <c r="D396" s="38">
        <f>IF(A396="","",IFERROR(INDEX(Maniobras!$D$5:$D$504,MATCH(A396,Maniobras!$A$5:$A$504,0)),""))</f>
        <v/>
      </c>
      <c r="E396" s="38" t="n"/>
      <c r="F396" s="39">
        <f>IF(A396="","",IFERROR(INDEX(Maniobras!$K$5:$K$504,MATCH(A396,Maniobras!$A$5:$A$504,0)),""))</f>
        <v/>
      </c>
      <c r="G396" s="39" t="n"/>
      <c r="H396" s="39" t="n"/>
      <c r="I396" s="39">
        <f>IF(G396="","",G396+N(H396))</f>
        <v/>
      </c>
      <c r="J396" s="38" t="n"/>
      <c r="K396" s="41" t="n"/>
      <c r="L396" s="38" t="n"/>
      <c r="M396">
        <f>IF($A396=Ficha!$B$3,COUNTIF($A$5:$A396,Ficha!$B$3),"")</f>
        <v/>
      </c>
    </row>
    <row r="397">
      <c r="A397" s="36" t="n"/>
      <c r="B397" s="40">
        <f>IF(A397="","",IFERROR(INDEX(Maniobras!$B$5:$B$504,MATCH(A397,Maniobras!$A$5:$A$504,0)),""))</f>
        <v/>
      </c>
      <c r="C397" s="36">
        <f>IF(B397="","",TEXT(B397,"yyyy-mm"))</f>
        <v/>
      </c>
      <c r="D397" s="36">
        <f>IF(A397="","",IFERROR(INDEX(Maniobras!$D$5:$D$504,MATCH(A397,Maniobras!$A$5:$A$504,0)),""))</f>
        <v/>
      </c>
      <c r="E397" s="36" t="n"/>
      <c r="F397" s="37">
        <f>IF(A397="","",IFERROR(INDEX(Maniobras!$K$5:$K$504,MATCH(A397,Maniobras!$A$5:$A$504,0)),""))</f>
        <v/>
      </c>
      <c r="G397" s="37" t="n"/>
      <c r="H397" s="37" t="n"/>
      <c r="I397" s="37">
        <f>IF(G397="","",G397+N(H397))</f>
        <v/>
      </c>
      <c r="J397" s="36" t="n"/>
      <c r="K397" s="40" t="n"/>
      <c r="L397" s="36" t="n"/>
      <c r="M397">
        <f>IF($A397=Ficha!$B$3,COUNTIF($A$5:$A397,Ficha!$B$3),"")</f>
        <v/>
      </c>
    </row>
    <row r="398">
      <c r="A398" s="38" t="n"/>
      <c r="B398" s="41">
        <f>IF(A398="","",IFERROR(INDEX(Maniobras!$B$5:$B$504,MATCH(A398,Maniobras!$A$5:$A$504,0)),""))</f>
        <v/>
      </c>
      <c r="C398" s="38">
        <f>IF(B398="","",TEXT(B398,"yyyy-mm"))</f>
        <v/>
      </c>
      <c r="D398" s="38">
        <f>IF(A398="","",IFERROR(INDEX(Maniobras!$D$5:$D$504,MATCH(A398,Maniobras!$A$5:$A$504,0)),""))</f>
        <v/>
      </c>
      <c r="E398" s="38" t="n"/>
      <c r="F398" s="39">
        <f>IF(A398="","",IFERROR(INDEX(Maniobras!$K$5:$K$504,MATCH(A398,Maniobras!$A$5:$A$504,0)),""))</f>
        <v/>
      </c>
      <c r="G398" s="39" t="n"/>
      <c r="H398" s="39" t="n"/>
      <c r="I398" s="39">
        <f>IF(G398="","",G398+N(H398))</f>
        <v/>
      </c>
      <c r="J398" s="38" t="n"/>
      <c r="K398" s="41" t="n"/>
      <c r="L398" s="38" t="n"/>
      <c r="M398">
        <f>IF($A398=Ficha!$B$3,COUNTIF($A$5:$A398,Ficha!$B$3),"")</f>
        <v/>
      </c>
    </row>
    <row r="399">
      <c r="A399" s="36" t="n"/>
      <c r="B399" s="40">
        <f>IF(A399="","",IFERROR(INDEX(Maniobras!$B$5:$B$504,MATCH(A399,Maniobras!$A$5:$A$504,0)),""))</f>
        <v/>
      </c>
      <c r="C399" s="36">
        <f>IF(B399="","",TEXT(B399,"yyyy-mm"))</f>
        <v/>
      </c>
      <c r="D399" s="36">
        <f>IF(A399="","",IFERROR(INDEX(Maniobras!$D$5:$D$504,MATCH(A399,Maniobras!$A$5:$A$504,0)),""))</f>
        <v/>
      </c>
      <c r="E399" s="36" t="n"/>
      <c r="F399" s="37">
        <f>IF(A399="","",IFERROR(INDEX(Maniobras!$K$5:$K$504,MATCH(A399,Maniobras!$A$5:$A$504,0)),""))</f>
        <v/>
      </c>
      <c r="G399" s="37" t="n"/>
      <c r="H399" s="37" t="n"/>
      <c r="I399" s="37">
        <f>IF(G399="","",G399+N(H399))</f>
        <v/>
      </c>
      <c r="J399" s="36" t="n"/>
      <c r="K399" s="40" t="n"/>
      <c r="L399" s="36" t="n"/>
      <c r="M399">
        <f>IF($A399=Ficha!$B$3,COUNTIF($A$5:$A399,Ficha!$B$3),"")</f>
        <v/>
      </c>
    </row>
    <row r="400">
      <c r="A400" s="38" t="n"/>
      <c r="B400" s="41">
        <f>IF(A400="","",IFERROR(INDEX(Maniobras!$B$5:$B$504,MATCH(A400,Maniobras!$A$5:$A$504,0)),""))</f>
        <v/>
      </c>
      <c r="C400" s="38">
        <f>IF(B400="","",TEXT(B400,"yyyy-mm"))</f>
        <v/>
      </c>
      <c r="D400" s="38">
        <f>IF(A400="","",IFERROR(INDEX(Maniobras!$D$5:$D$504,MATCH(A400,Maniobras!$A$5:$A$504,0)),""))</f>
        <v/>
      </c>
      <c r="E400" s="38" t="n"/>
      <c r="F400" s="39">
        <f>IF(A400="","",IFERROR(INDEX(Maniobras!$K$5:$K$504,MATCH(A400,Maniobras!$A$5:$A$504,0)),""))</f>
        <v/>
      </c>
      <c r="G400" s="39" t="n"/>
      <c r="H400" s="39" t="n"/>
      <c r="I400" s="39">
        <f>IF(G400="","",G400+N(H400))</f>
        <v/>
      </c>
      <c r="J400" s="38" t="n"/>
      <c r="K400" s="41" t="n"/>
      <c r="L400" s="38" t="n"/>
      <c r="M400">
        <f>IF($A400=Ficha!$B$3,COUNTIF($A$5:$A400,Ficha!$B$3),"")</f>
        <v/>
      </c>
    </row>
    <row r="401">
      <c r="A401" s="36" t="n"/>
      <c r="B401" s="40">
        <f>IF(A401="","",IFERROR(INDEX(Maniobras!$B$5:$B$504,MATCH(A401,Maniobras!$A$5:$A$504,0)),""))</f>
        <v/>
      </c>
      <c r="C401" s="36">
        <f>IF(B401="","",TEXT(B401,"yyyy-mm"))</f>
        <v/>
      </c>
      <c r="D401" s="36">
        <f>IF(A401="","",IFERROR(INDEX(Maniobras!$D$5:$D$504,MATCH(A401,Maniobras!$A$5:$A$504,0)),""))</f>
        <v/>
      </c>
      <c r="E401" s="36" t="n"/>
      <c r="F401" s="37">
        <f>IF(A401="","",IFERROR(INDEX(Maniobras!$K$5:$K$504,MATCH(A401,Maniobras!$A$5:$A$504,0)),""))</f>
        <v/>
      </c>
      <c r="G401" s="37" t="n"/>
      <c r="H401" s="37" t="n"/>
      <c r="I401" s="37">
        <f>IF(G401="","",G401+N(H401))</f>
        <v/>
      </c>
      <c r="J401" s="36" t="n"/>
      <c r="K401" s="40" t="n"/>
      <c r="L401" s="36" t="n"/>
      <c r="M401">
        <f>IF($A401=Ficha!$B$3,COUNTIF($A$5:$A401,Ficha!$B$3),"")</f>
        <v/>
      </c>
    </row>
    <row r="402">
      <c r="A402" s="38" t="n"/>
      <c r="B402" s="41">
        <f>IF(A402="","",IFERROR(INDEX(Maniobras!$B$5:$B$504,MATCH(A402,Maniobras!$A$5:$A$504,0)),""))</f>
        <v/>
      </c>
      <c r="C402" s="38">
        <f>IF(B402="","",TEXT(B402,"yyyy-mm"))</f>
        <v/>
      </c>
      <c r="D402" s="38">
        <f>IF(A402="","",IFERROR(INDEX(Maniobras!$D$5:$D$504,MATCH(A402,Maniobras!$A$5:$A$504,0)),""))</f>
        <v/>
      </c>
      <c r="E402" s="38" t="n"/>
      <c r="F402" s="39">
        <f>IF(A402="","",IFERROR(INDEX(Maniobras!$K$5:$K$504,MATCH(A402,Maniobras!$A$5:$A$504,0)),""))</f>
        <v/>
      </c>
      <c r="G402" s="39" t="n"/>
      <c r="H402" s="39" t="n"/>
      <c r="I402" s="39">
        <f>IF(G402="","",G402+N(H402))</f>
        <v/>
      </c>
      <c r="J402" s="38" t="n"/>
      <c r="K402" s="41" t="n"/>
      <c r="L402" s="38" t="n"/>
      <c r="M402">
        <f>IF($A402=Ficha!$B$3,COUNTIF($A$5:$A402,Ficha!$B$3),"")</f>
        <v/>
      </c>
    </row>
    <row r="403">
      <c r="A403" s="36" t="n"/>
      <c r="B403" s="40">
        <f>IF(A403="","",IFERROR(INDEX(Maniobras!$B$5:$B$504,MATCH(A403,Maniobras!$A$5:$A$504,0)),""))</f>
        <v/>
      </c>
      <c r="C403" s="36">
        <f>IF(B403="","",TEXT(B403,"yyyy-mm"))</f>
        <v/>
      </c>
      <c r="D403" s="36">
        <f>IF(A403="","",IFERROR(INDEX(Maniobras!$D$5:$D$504,MATCH(A403,Maniobras!$A$5:$A$504,0)),""))</f>
        <v/>
      </c>
      <c r="E403" s="36" t="n"/>
      <c r="F403" s="37">
        <f>IF(A403="","",IFERROR(INDEX(Maniobras!$K$5:$K$504,MATCH(A403,Maniobras!$A$5:$A$504,0)),""))</f>
        <v/>
      </c>
      <c r="G403" s="37" t="n"/>
      <c r="H403" s="37" t="n"/>
      <c r="I403" s="37">
        <f>IF(G403="","",G403+N(H403))</f>
        <v/>
      </c>
      <c r="J403" s="36" t="n"/>
      <c r="K403" s="40" t="n"/>
      <c r="L403" s="36" t="n"/>
      <c r="M403">
        <f>IF($A403=Ficha!$B$3,COUNTIF($A$5:$A403,Ficha!$B$3),"")</f>
        <v/>
      </c>
    </row>
    <row r="404">
      <c r="A404" s="38" t="n"/>
      <c r="B404" s="41">
        <f>IF(A404="","",IFERROR(INDEX(Maniobras!$B$5:$B$504,MATCH(A404,Maniobras!$A$5:$A$504,0)),""))</f>
        <v/>
      </c>
      <c r="C404" s="38">
        <f>IF(B404="","",TEXT(B404,"yyyy-mm"))</f>
        <v/>
      </c>
      <c r="D404" s="38">
        <f>IF(A404="","",IFERROR(INDEX(Maniobras!$D$5:$D$504,MATCH(A404,Maniobras!$A$5:$A$504,0)),""))</f>
        <v/>
      </c>
      <c r="E404" s="38" t="n"/>
      <c r="F404" s="39">
        <f>IF(A404="","",IFERROR(INDEX(Maniobras!$K$5:$K$504,MATCH(A404,Maniobras!$A$5:$A$504,0)),""))</f>
        <v/>
      </c>
      <c r="G404" s="39" t="n"/>
      <c r="H404" s="39" t="n"/>
      <c r="I404" s="39">
        <f>IF(G404="","",G404+N(H404))</f>
        <v/>
      </c>
      <c r="J404" s="38" t="n"/>
      <c r="K404" s="41" t="n"/>
      <c r="L404" s="38" t="n"/>
      <c r="M404">
        <f>IF($A404=Ficha!$B$3,COUNTIF($A$5:$A404,Ficha!$B$3),"")</f>
        <v/>
      </c>
    </row>
    <row r="405">
      <c r="A405" s="36" t="n"/>
      <c r="B405" s="40">
        <f>IF(A405="","",IFERROR(INDEX(Maniobras!$B$5:$B$504,MATCH(A405,Maniobras!$A$5:$A$504,0)),""))</f>
        <v/>
      </c>
      <c r="C405" s="36">
        <f>IF(B405="","",TEXT(B405,"yyyy-mm"))</f>
        <v/>
      </c>
      <c r="D405" s="36">
        <f>IF(A405="","",IFERROR(INDEX(Maniobras!$D$5:$D$504,MATCH(A405,Maniobras!$A$5:$A$504,0)),""))</f>
        <v/>
      </c>
      <c r="E405" s="36" t="n"/>
      <c r="F405" s="37">
        <f>IF(A405="","",IFERROR(INDEX(Maniobras!$K$5:$K$504,MATCH(A405,Maniobras!$A$5:$A$504,0)),""))</f>
        <v/>
      </c>
      <c r="G405" s="37" t="n"/>
      <c r="H405" s="37" t="n"/>
      <c r="I405" s="37">
        <f>IF(G405="","",G405+N(H405))</f>
        <v/>
      </c>
      <c r="J405" s="36" t="n"/>
      <c r="K405" s="40" t="n"/>
      <c r="L405" s="36" t="n"/>
      <c r="M405">
        <f>IF($A405=Ficha!$B$3,COUNTIF($A$5:$A405,Ficha!$B$3),"")</f>
        <v/>
      </c>
    </row>
    <row r="406">
      <c r="A406" s="38" t="n"/>
      <c r="B406" s="41">
        <f>IF(A406="","",IFERROR(INDEX(Maniobras!$B$5:$B$504,MATCH(A406,Maniobras!$A$5:$A$504,0)),""))</f>
        <v/>
      </c>
      <c r="C406" s="38">
        <f>IF(B406="","",TEXT(B406,"yyyy-mm"))</f>
        <v/>
      </c>
      <c r="D406" s="38">
        <f>IF(A406="","",IFERROR(INDEX(Maniobras!$D$5:$D$504,MATCH(A406,Maniobras!$A$5:$A$504,0)),""))</f>
        <v/>
      </c>
      <c r="E406" s="38" t="n"/>
      <c r="F406" s="39">
        <f>IF(A406="","",IFERROR(INDEX(Maniobras!$K$5:$K$504,MATCH(A406,Maniobras!$A$5:$A$504,0)),""))</f>
        <v/>
      </c>
      <c r="G406" s="39" t="n"/>
      <c r="H406" s="39" t="n"/>
      <c r="I406" s="39">
        <f>IF(G406="","",G406+N(H406))</f>
        <v/>
      </c>
      <c r="J406" s="38" t="n"/>
      <c r="K406" s="41" t="n"/>
      <c r="L406" s="38" t="n"/>
      <c r="M406">
        <f>IF($A406=Ficha!$B$3,COUNTIF($A$5:$A406,Ficha!$B$3),"")</f>
        <v/>
      </c>
    </row>
    <row r="407">
      <c r="A407" s="36" t="n"/>
      <c r="B407" s="40">
        <f>IF(A407="","",IFERROR(INDEX(Maniobras!$B$5:$B$504,MATCH(A407,Maniobras!$A$5:$A$504,0)),""))</f>
        <v/>
      </c>
      <c r="C407" s="36">
        <f>IF(B407="","",TEXT(B407,"yyyy-mm"))</f>
        <v/>
      </c>
      <c r="D407" s="36">
        <f>IF(A407="","",IFERROR(INDEX(Maniobras!$D$5:$D$504,MATCH(A407,Maniobras!$A$5:$A$504,0)),""))</f>
        <v/>
      </c>
      <c r="E407" s="36" t="n"/>
      <c r="F407" s="37">
        <f>IF(A407="","",IFERROR(INDEX(Maniobras!$K$5:$K$504,MATCH(A407,Maniobras!$A$5:$A$504,0)),""))</f>
        <v/>
      </c>
      <c r="G407" s="37" t="n"/>
      <c r="H407" s="37" t="n"/>
      <c r="I407" s="37">
        <f>IF(G407="","",G407+N(H407))</f>
        <v/>
      </c>
      <c r="J407" s="36" t="n"/>
      <c r="K407" s="40" t="n"/>
      <c r="L407" s="36" t="n"/>
      <c r="M407">
        <f>IF($A407=Ficha!$B$3,COUNTIF($A$5:$A407,Ficha!$B$3),"")</f>
        <v/>
      </c>
    </row>
    <row r="408">
      <c r="A408" s="38" t="n"/>
      <c r="B408" s="41">
        <f>IF(A408="","",IFERROR(INDEX(Maniobras!$B$5:$B$504,MATCH(A408,Maniobras!$A$5:$A$504,0)),""))</f>
        <v/>
      </c>
      <c r="C408" s="38">
        <f>IF(B408="","",TEXT(B408,"yyyy-mm"))</f>
        <v/>
      </c>
      <c r="D408" s="38">
        <f>IF(A408="","",IFERROR(INDEX(Maniobras!$D$5:$D$504,MATCH(A408,Maniobras!$A$5:$A$504,0)),""))</f>
        <v/>
      </c>
      <c r="E408" s="38" t="n"/>
      <c r="F408" s="39">
        <f>IF(A408="","",IFERROR(INDEX(Maniobras!$K$5:$K$504,MATCH(A408,Maniobras!$A$5:$A$504,0)),""))</f>
        <v/>
      </c>
      <c r="G408" s="39" t="n"/>
      <c r="H408" s="39" t="n"/>
      <c r="I408" s="39">
        <f>IF(G408="","",G408+N(H408))</f>
        <v/>
      </c>
      <c r="J408" s="38" t="n"/>
      <c r="K408" s="41" t="n"/>
      <c r="L408" s="38" t="n"/>
      <c r="M408">
        <f>IF($A408=Ficha!$B$3,COUNTIF($A$5:$A408,Ficha!$B$3),"")</f>
        <v/>
      </c>
    </row>
    <row r="409">
      <c r="A409" s="36" t="n"/>
      <c r="B409" s="40">
        <f>IF(A409="","",IFERROR(INDEX(Maniobras!$B$5:$B$504,MATCH(A409,Maniobras!$A$5:$A$504,0)),""))</f>
        <v/>
      </c>
      <c r="C409" s="36">
        <f>IF(B409="","",TEXT(B409,"yyyy-mm"))</f>
        <v/>
      </c>
      <c r="D409" s="36">
        <f>IF(A409="","",IFERROR(INDEX(Maniobras!$D$5:$D$504,MATCH(A409,Maniobras!$A$5:$A$504,0)),""))</f>
        <v/>
      </c>
      <c r="E409" s="36" t="n"/>
      <c r="F409" s="37">
        <f>IF(A409="","",IFERROR(INDEX(Maniobras!$K$5:$K$504,MATCH(A409,Maniobras!$A$5:$A$504,0)),""))</f>
        <v/>
      </c>
      <c r="G409" s="37" t="n"/>
      <c r="H409" s="37" t="n"/>
      <c r="I409" s="37">
        <f>IF(G409="","",G409+N(H409))</f>
        <v/>
      </c>
      <c r="J409" s="36" t="n"/>
      <c r="K409" s="40" t="n"/>
      <c r="L409" s="36" t="n"/>
      <c r="M409">
        <f>IF($A409=Ficha!$B$3,COUNTIF($A$5:$A409,Ficha!$B$3),"")</f>
        <v/>
      </c>
    </row>
    <row r="410">
      <c r="A410" s="38" t="n"/>
      <c r="B410" s="41">
        <f>IF(A410="","",IFERROR(INDEX(Maniobras!$B$5:$B$504,MATCH(A410,Maniobras!$A$5:$A$504,0)),""))</f>
        <v/>
      </c>
      <c r="C410" s="38">
        <f>IF(B410="","",TEXT(B410,"yyyy-mm"))</f>
        <v/>
      </c>
      <c r="D410" s="38">
        <f>IF(A410="","",IFERROR(INDEX(Maniobras!$D$5:$D$504,MATCH(A410,Maniobras!$A$5:$A$504,0)),""))</f>
        <v/>
      </c>
      <c r="E410" s="38" t="n"/>
      <c r="F410" s="39">
        <f>IF(A410="","",IFERROR(INDEX(Maniobras!$K$5:$K$504,MATCH(A410,Maniobras!$A$5:$A$504,0)),""))</f>
        <v/>
      </c>
      <c r="G410" s="39" t="n"/>
      <c r="H410" s="39" t="n"/>
      <c r="I410" s="39">
        <f>IF(G410="","",G410+N(H410))</f>
        <v/>
      </c>
      <c r="J410" s="38" t="n"/>
      <c r="K410" s="41" t="n"/>
      <c r="L410" s="38" t="n"/>
      <c r="M410">
        <f>IF($A410=Ficha!$B$3,COUNTIF($A$5:$A410,Ficha!$B$3),"")</f>
        <v/>
      </c>
    </row>
    <row r="411">
      <c r="A411" s="36" t="n"/>
      <c r="B411" s="40">
        <f>IF(A411="","",IFERROR(INDEX(Maniobras!$B$5:$B$504,MATCH(A411,Maniobras!$A$5:$A$504,0)),""))</f>
        <v/>
      </c>
      <c r="C411" s="36">
        <f>IF(B411="","",TEXT(B411,"yyyy-mm"))</f>
        <v/>
      </c>
      <c r="D411" s="36">
        <f>IF(A411="","",IFERROR(INDEX(Maniobras!$D$5:$D$504,MATCH(A411,Maniobras!$A$5:$A$504,0)),""))</f>
        <v/>
      </c>
      <c r="E411" s="36" t="n"/>
      <c r="F411" s="37">
        <f>IF(A411="","",IFERROR(INDEX(Maniobras!$K$5:$K$504,MATCH(A411,Maniobras!$A$5:$A$504,0)),""))</f>
        <v/>
      </c>
      <c r="G411" s="37" t="n"/>
      <c r="H411" s="37" t="n"/>
      <c r="I411" s="37">
        <f>IF(G411="","",G411+N(H411))</f>
        <v/>
      </c>
      <c r="J411" s="36" t="n"/>
      <c r="K411" s="40" t="n"/>
      <c r="L411" s="36" t="n"/>
      <c r="M411">
        <f>IF($A411=Ficha!$B$3,COUNTIF($A$5:$A411,Ficha!$B$3),"")</f>
        <v/>
      </c>
    </row>
    <row r="412">
      <c r="A412" s="38" t="n"/>
      <c r="B412" s="41">
        <f>IF(A412="","",IFERROR(INDEX(Maniobras!$B$5:$B$504,MATCH(A412,Maniobras!$A$5:$A$504,0)),""))</f>
        <v/>
      </c>
      <c r="C412" s="38">
        <f>IF(B412="","",TEXT(B412,"yyyy-mm"))</f>
        <v/>
      </c>
      <c r="D412" s="38">
        <f>IF(A412="","",IFERROR(INDEX(Maniobras!$D$5:$D$504,MATCH(A412,Maniobras!$A$5:$A$504,0)),""))</f>
        <v/>
      </c>
      <c r="E412" s="38" t="n"/>
      <c r="F412" s="39">
        <f>IF(A412="","",IFERROR(INDEX(Maniobras!$K$5:$K$504,MATCH(A412,Maniobras!$A$5:$A$504,0)),""))</f>
        <v/>
      </c>
      <c r="G412" s="39" t="n"/>
      <c r="H412" s="39" t="n"/>
      <c r="I412" s="39">
        <f>IF(G412="","",G412+N(H412))</f>
        <v/>
      </c>
      <c r="J412" s="38" t="n"/>
      <c r="K412" s="41" t="n"/>
      <c r="L412" s="38" t="n"/>
      <c r="M412">
        <f>IF($A412=Ficha!$B$3,COUNTIF($A$5:$A412,Ficha!$B$3),"")</f>
        <v/>
      </c>
    </row>
    <row r="413">
      <c r="A413" s="36" t="n"/>
      <c r="B413" s="40">
        <f>IF(A413="","",IFERROR(INDEX(Maniobras!$B$5:$B$504,MATCH(A413,Maniobras!$A$5:$A$504,0)),""))</f>
        <v/>
      </c>
      <c r="C413" s="36">
        <f>IF(B413="","",TEXT(B413,"yyyy-mm"))</f>
        <v/>
      </c>
      <c r="D413" s="36">
        <f>IF(A413="","",IFERROR(INDEX(Maniobras!$D$5:$D$504,MATCH(A413,Maniobras!$A$5:$A$504,0)),""))</f>
        <v/>
      </c>
      <c r="E413" s="36" t="n"/>
      <c r="F413" s="37">
        <f>IF(A413="","",IFERROR(INDEX(Maniobras!$K$5:$K$504,MATCH(A413,Maniobras!$A$5:$A$504,0)),""))</f>
        <v/>
      </c>
      <c r="G413" s="37" t="n"/>
      <c r="H413" s="37" t="n"/>
      <c r="I413" s="37">
        <f>IF(G413="","",G413+N(H413))</f>
        <v/>
      </c>
      <c r="J413" s="36" t="n"/>
      <c r="K413" s="40" t="n"/>
      <c r="L413" s="36" t="n"/>
      <c r="M413">
        <f>IF($A413=Ficha!$B$3,COUNTIF($A$5:$A413,Ficha!$B$3),"")</f>
        <v/>
      </c>
    </row>
    <row r="414">
      <c r="A414" s="38" t="n"/>
      <c r="B414" s="41">
        <f>IF(A414="","",IFERROR(INDEX(Maniobras!$B$5:$B$504,MATCH(A414,Maniobras!$A$5:$A$504,0)),""))</f>
        <v/>
      </c>
      <c r="C414" s="38">
        <f>IF(B414="","",TEXT(B414,"yyyy-mm"))</f>
        <v/>
      </c>
      <c r="D414" s="38">
        <f>IF(A414="","",IFERROR(INDEX(Maniobras!$D$5:$D$504,MATCH(A414,Maniobras!$A$5:$A$504,0)),""))</f>
        <v/>
      </c>
      <c r="E414" s="38" t="n"/>
      <c r="F414" s="39">
        <f>IF(A414="","",IFERROR(INDEX(Maniobras!$K$5:$K$504,MATCH(A414,Maniobras!$A$5:$A$504,0)),""))</f>
        <v/>
      </c>
      <c r="G414" s="39" t="n"/>
      <c r="H414" s="39" t="n"/>
      <c r="I414" s="39">
        <f>IF(G414="","",G414+N(H414))</f>
        <v/>
      </c>
      <c r="J414" s="38" t="n"/>
      <c r="K414" s="41" t="n"/>
      <c r="L414" s="38" t="n"/>
      <c r="M414">
        <f>IF($A414=Ficha!$B$3,COUNTIF($A$5:$A414,Ficha!$B$3),"")</f>
        <v/>
      </c>
    </row>
    <row r="415">
      <c r="A415" s="36" t="n"/>
      <c r="B415" s="40">
        <f>IF(A415="","",IFERROR(INDEX(Maniobras!$B$5:$B$504,MATCH(A415,Maniobras!$A$5:$A$504,0)),""))</f>
        <v/>
      </c>
      <c r="C415" s="36">
        <f>IF(B415="","",TEXT(B415,"yyyy-mm"))</f>
        <v/>
      </c>
      <c r="D415" s="36">
        <f>IF(A415="","",IFERROR(INDEX(Maniobras!$D$5:$D$504,MATCH(A415,Maniobras!$A$5:$A$504,0)),""))</f>
        <v/>
      </c>
      <c r="E415" s="36" t="n"/>
      <c r="F415" s="37">
        <f>IF(A415="","",IFERROR(INDEX(Maniobras!$K$5:$K$504,MATCH(A415,Maniobras!$A$5:$A$504,0)),""))</f>
        <v/>
      </c>
      <c r="G415" s="37" t="n"/>
      <c r="H415" s="37" t="n"/>
      <c r="I415" s="37">
        <f>IF(G415="","",G415+N(H415))</f>
        <v/>
      </c>
      <c r="J415" s="36" t="n"/>
      <c r="K415" s="40" t="n"/>
      <c r="L415" s="36" t="n"/>
      <c r="M415">
        <f>IF($A415=Ficha!$B$3,COUNTIF($A$5:$A415,Ficha!$B$3),"")</f>
        <v/>
      </c>
    </row>
    <row r="416">
      <c r="A416" s="38" t="n"/>
      <c r="B416" s="41">
        <f>IF(A416="","",IFERROR(INDEX(Maniobras!$B$5:$B$504,MATCH(A416,Maniobras!$A$5:$A$504,0)),""))</f>
        <v/>
      </c>
      <c r="C416" s="38">
        <f>IF(B416="","",TEXT(B416,"yyyy-mm"))</f>
        <v/>
      </c>
      <c r="D416" s="38">
        <f>IF(A416="","",IFERROR(INDEX(Maniobras!$D$5:$D$504,MATCH(A416,Maniobras!$A$5:$A$504,0)),""))</f>
        <v/>
      </c>
      <c r="E416" s="38" t="n"/>
      <c r="F416" s="39">
        <f>IF(A416="","",IFERROR(INDEX(Maniobras!$K$5:$K$504,MATCH(A416,Maniobras!$A$5:$A$504,0)),""))</f>
        <v/>
      </c>
      <c r="G416" s="39" t="n"/>
      <c r="H416" s="39" t="n"/>
      <c r="I416" s="39">
        <f>IF(G416="","",G416+N(H416))</f>
        <v/>
      </c>
      <c r="J416" s="38" t="n"/>
      <c r="K416" s="41" t="n"/>
      <c r="L416" s="38" t="n"/>
      <c r="M416">
        <f>IF($A416=Ficha!$B$3,COUNTIF($A$5:$A416,Ficha!$B$3),"")</f>
        <v/>
      </c>
    </row>
    <row r="417">
      <c r="A417" s="36" t="n"/>
      <c r="B417" s="40">
        <f>IF(A417="","",IFERROR(INDEX(Maniobras!$B$5:$B$504,MATCH(A417,Maniobras!$A$5:$A$504,0)),""))</f>
        <v/>
      </c>
      <c r="C417" s="36">
        <f>IF(B417="","",TEXT(B417,"yyyy-mm"))</f>
        <v/>
      </c>
      <c r="D417" s="36">
        <f>IF(A417="","",IFERROR(INDEX(Maniobras!$D$5:$D$504,MATCH(A417,Maniobras!$A$5:$A$504,0)),""))</f>
        <v/>
      </c>
      <c r="E417" s="36" t="n"/>
      <c r="F417" s="37">
        <f>IF(A417="","",IFERROR(INDEX(Maniobras!$K$5:$K$504,MATCH(A417,Maniobras!$A$5:$A$504,0)),""))</f>
        <v/>
      </c>
      <c r="G417" s="37" t="n"/>
      <c r="H417" s="37" t="n"/>
      <c r="I417" s="37">
        <f>IF(G417="","",G417+N(H417))</f>
        <v/>
      </c>
      <c r="J417" s="36" t="n"/>
      <c r="K417" s="40" t="n"/>
      <c r="L417" s="36" t="n"/>
      <c r="M417">
        <f>IF($A417=Ficha!$B$3,COUNTIF($A$5:$A417,Ficha!$B$3),"")</f>
        <v/>
      </c>
    </row>
    <row r="418">
      <c r="A418" s="38" t="n"/>
      <c r="B418" s="41">
        <f>IF(A418="","",IFERROR(INDEX(Maniobras!$B$5:$B$504,MATCH(A418,Maniobras!$A$5:$A$504,0)),""))</f>
        <v/>
      </c>
      <c r="C418" s="38">
        <f>IF(B418="","",TEXT(B418,"yyyy-mm"))</f>
        <v/>
      </c>
      <c r="D418" s="38">
        <f>IF(A418="","",IFERROR(INDEX(Maniobras!$D$5:$D$504,MATCH(A418,Maniobras!$A$5:$A$504,0)),""))</f>
        <v/>
      </c>
      <c r="E418" s="38" t="n"/>
      <c r="F418" s="39">
        <f>IF(A418="","",IFERROR(INDEX(Maniobras!$K$5:$K$504,MATCH(A418,Maniobras!$A$5:$A$504,0)),""))</f>
        <v/>
      </c>
      <c r="G418" s="39" t="n"/>
      <c r="H418" s="39" t="n"/>
      <c r="I418" s="39">
        <f>IF(G418="","",G418+N(H418))</f>
        <v/>
      </c>
      <c r="J418" s="38" t="n"/>
      <c r="K418" s="41" t="n"/>
      <c r="L418" s="38" t="n"/>
      <c r="M418">
        <f>IF($A418=Ficha!$B$3,COUNTIF($A$5:$A418,Ficha!$B$3),"")</f>
        <v/>
      </c>
    </row>
    <row r="419">
      <c r="A419" s="36" t="n"/>
      <c r="B419" s="40">
        <f>IF(A419="","",IFERROR(INDEX(Maniobras!$B$5:$B$504,MATCH(A419,Maniobras!$A$5:$A$504,0)),""))</f>
        <v/>
      </c>
      <c r="C419" s="36">
        <f>IF(B419="","",TEXT(B419,"yyyy-mm"))</f>
        <v/>
      </c>
      <c r="D419" s="36">
        <f>IF(A419="","",IFERROR(INDEX(Maniobras!$D$5:$D$504,MATCH(A419,Maniobras!$A$5:$A$504,0)),""))</f>
        <v/>
      </c>
      <c r="E419" s="36" t="n"/>
      <c r="F419" s="37">
        <f>IF(A419="","",IFERROR(INDEX(Maniobras!$K$5:$K$504,MATCH(A419,Maniobras!$A$5:$A$504,0)),""))</f>
        <v/>
      </c>
      <c r="G419" s="37" t="n"/>
      <c r="H419" s="37" t="n"/>
      <c r="I419" s="37">
        <f>IF(G419="","",G419+N(H419))</f>
        <v/>
      </c>
      <c r="J419" s="36" t="n"/>
      <c r="K419" s="40" t="n"/>
      <c r="L419" s="36" t="n"/>
      <c r="M419">
        <f>IF($A419=Ficha!$B$3,COUNTIF($A$5:$A419,Ficha!$B$3),"")</f>
        <v/>
      </c>
    </row>
    <row r="420">
      <c r="A420" s="38" t="n"/>
      <c r="B420" s="41">
        <f>IF(A420="","",IFERROR(INDEX(Maniobras!$B$5:$B$504,MATCH(A420,Maniobras!$A$5:$A$504,0)),""))</f>
        <v/>
      </c>
      <c r="C420" s="38">
        <f>IF(B420="","",TEXT(B420,"yyyy-mm"))</f>
        <v/>
      </c>
      <c r="D420" s="38">
        <f>IF(A420="","",IFERROR(INDEX(Maniobras!$D$5:$D$504,MATCH(A420,Maniobras!$A$5:$A$504,0)),""))</f>
        <v/>
      </c>
      <c r="E420" s="38" t="n"/>
      <c r="F420" s="39">
        <f>IF(A420="","",IFERROR(INDEX(Maniobras!$K$5:$K$504,MATCH(A420,Maniobras!$A$5:$A$504,0)),""))</f>
        <v/>
      </c>
      <c r="G420" s="39" t="n"/>
      <c r="H420" s="39" t="n"/>
      <c r="I420" s="39">
        <f>IF(G420="","",G420+N(H420))</f>
        <v/>
      </c>
      <c r="J420" s="38" t="n"/>
      <c r="K420" s="41" t="n"/>
      <c r="L420" s="38" t="n"/>
      <c r="M420">
        <f>IF($A420=Ficha!$B$3,COUNTIF($A$5:$A420,Ficha!$B$3),"")</f>
        <v/>
      </c>
    </row>
    <row r="421">
      <c r="A421" s="36" t="n"/>
      <c r="B421" s="40">
        <f>IF(A421="","",IFERROR(INDEX(Maniobras!$B$5:$B$504,MATCH(A421,Maniobras!$A$5:$A$504,0)),""))</f>
        <v/>
      </c>
      <c r="C421" s="36">
        <f>IF(B421="","",TEXT(B421,"yyyy-mm"))</f>
        <v/>
      </c>
      <c r="D421" s="36">
        <f>IF(A421="","",IFERROR(INDEX(Maniobras!$D$5:$D$504,MATCH(A421,Maniobras!$A$5:$A$504,0)),""))</f>
        <v/>
      </c>
      <c r="E421" s="36" t="n"/>
      <c r="F421" s="37">
        <f>IF(A421="","",IFERROR(INDEX(Maniobras!$K$5:$K$504,MATCH(A421,Maniobras!$A$5:$A$504,0)),""))</f>
        <v/>
      </c>
      <c r="G421" s="37" t="n"/>
      <c r="H421" s="37" t="n"/>
      <c r="I421" s="37">
        <f>IF(G421="","",G421+N(H421))</f>
        <v/>
      </c>
      <c r="J421" s="36" t="n"/>
      <c r="K421" s="40" t="n"/>
      <c r="L421" s="36" t="n"/>
      <c r="M421">
        <f>IF($A421=Ficha!$B$3,COUNTIF($A$5:$A421,Ficha!$B$3),"")</f>
        <v/>
      </c>
    </row>
    <row r="422">
      <c r="A422" s="38" t="n"/>
      <c r="B422" s="41">
        <f>IF(A422="","",IFERROR(INDEX(Maniobras!$B$5:$B$504,MATCH(A422,Maniobras!$A$5:$A$504,0)),""))</f>
        <v/>
      </c>
      <c r="C422" s="38">
        <f>IF(B422="","",TEXT(B422,"yyyy-mm"))</f>
        <v/>
      </c>
      <c r="D422" s="38">
        <f>IF(A422="","",IFERROR(INDEX(Maniobras!$D$5:$D$504,MATCH(A422,Maniobras!$A$5:$A$504,0)),""))</f>
        <v/>
      </c>
      <c r="E422" s="38" t="n"/>
      <c r="F422" s="39">
        <f>IF(A422="","",IFERROR(INDEX(Maniobras!$K$5:$K$504,MATCH(A422,Maniobras!$A$5:$A$504,0)),""))</f>
        <v/>
      </c>
      <c r="G422" s="39" t="n"/>
      <c r="H422" s="39" t="n"/>
      <c r="I422" s="39">
        <f>IF(G422="","",G422+N(H422))</f>
        <v/>
      </c>
      <c r="J422" s="38" t="n"/>
      <c r="K422" s="41" t="n"/>
      <c r="L422" s="38" t="n"/>
      <c r="M422">
        <f>IF($A422=Ficha!$B$3,COUNTIF($A$5:$A422,Ficha!$B$3),"")</f>
        <v/>
      </c>
    </row>
    <row r="423">
      <c r="A423" s="36" t="n"/>
      <c r="B423" s="40">
        <f>IF(A423="","",IFERROR(INDEX(Maniobras!$B$5:$B$504,MATCH(A423,Maniobras!$A$5:$A$504,0)),""))</f>
        <v/>
      </c>
      <c r="C423" s="36">
        <f>IF(B423="","",TEXT(B423,"yyyy-mm"))</f>
        <v/>
      </c>
      <c r="D423" s="36">
        <f>IF(A423="","",IFERROR(INDEX(Maniobras!$D$5:$D$504,MATCH(A423,Maniobras!$A$5:$A$504,0)),""))</f>
        <v/>
      </c>
      <c r="E423" s="36" t="n"/>
      <c r="F423" s="37">
        <f>IF(A423="","",IFERROR(INDEX(Maniobras!$K$5:$K$504,MATCH(A423,Maniobras!$A$5:$A$504,0)),""))</f>
        <v/>
      </c>
      <c r="G423" s="37" t="n"/>
      <c r="H423" s="37" t="n"/>
      <c r="I423" s="37">
        <f>IF(G423="","",G423+N(H423))</f>
        <v/>
      </c>
      <c r="J423" s="36" t="n"/>
      <c r="K423" s="40" t="n"/>
      <c r="L423" s="36" t="n"/>
      <c r="M423">
        <f>IF($A423=Ficha!$B$3,COUNTIF($A$5:$A423,Ficha!$B$3),"")</f>
        <v/>
      </c>
    </row>
    <row r="424">
      <c r="A424" s="38" t="n"/>
      <c r="B424" s="41">
        <f>IF(A424="","",IFERROR(INDEX(Maniobras!$B$5:$B$504,MATCH(A424,Maniobras!$A$5:$A$504,0)),""))</f>
        <v/>
      </c>
      <c r="C424" s="38">
        <f>IF(B424="","",TEXT(B424,"yyyy-mm"))</f>
        <v/>
      </c>
      <c r="D424" s="38">
        <f>IF(A424="","",IFERROR(INDEX(Maniobras!$D$5:$D$504,MATCH(A424,Maniobras!$A$5:$A$504,0)),""))</f>
        <v/>
      </c>
      <c r="E424" s="38" t="n"/>
      <c r="F424" s="39">
        <f>IF(A424="","",IFERROR(INDEX(Maniobras!$K$5:$K$504,MATCH(A424,Maniobras!$A$5:$A$504,0)),""))</f>
        <v/>
      </c>
      <c r="G424" s="39" t="n"/>
      <c r="H424" s="39" t="n"/>
      <c r="I424" s="39">
        <f>IF(G424="","",G424+N(H424))</f>
        <v/>
      </c>
      <c r="J424" s="38" t="n"/>
      <c r="K424" s="41" t="n"/>
      <c r="L424" s="38" t="n"/>
      <c r="M424">
        <f>IF($A424=Ficha!$B$3,COUNTIF($A$5:$A424,Ficha!$B$3),"")</f>
        <v/>
      </c>
    </row>
    <row r="425">
      <c r="A425" s="36" t="n"/>
      <c r="B425" s="40">
        <f>IF(A425="","",IFERROR(INDEX(Maniobras!$B$5:$B$504,MATCH(A425,Maniobras!$A$5:$A$504,0)),""))</f>
        <v/>
      </c>
      <c r="C425" s="36">
        <f>IF(B425="","",TEXT(B425,"yyyy-mm"))</f>
        <v/>
      </c>
      <c r="D425" s="36">
        <f>IF(A425="","",IFERROR(INDEX(Maniobras!$D$5:$D$504,MATCH(A425,Maniobras!$A$5:$A$504,0)),""))</f>
        <v/>
      </c>
      <c r="E425" s="36" t="n"/>
      <c r="F425" s="37">
        <f>IF(A425="","",IFERROR(INDEX(Maniobras!$K$5:$K$504,MATCH(A425,Maniobras!$A$5:$A$504,0)),""))</f>
        <v/>
      </c>
      <c r="G425" s="37" t="n"/>
      <c r="H425" s="37" t="n"/>
      <c r="I425" s="37">
        <f>IF(G425="","",G425+N(H425))</f>
        <v/>
      </c>
      <c r="J425" s="36" t="n"/>
      <c r="K425" s="40" t="n"/>
      <c r="L425" s="36" t="n"/>
      <c r="M425">
        <f>IF($A425=Ficha!$B$3,COUNTIF($A$5:$A425,Ficha!$B$3),"")</f>
        <v/>
      </c>
    </row>
    <row r="426">
      <c r="A426" s="38" t="n"/>
      <c r="B426" s="41">
        <f>IF(A426="","",IFERROR(INDEX(Maniobras!$B$5:$B$504,MATCH(A426,Maniobras!$A$5:$A$504,0)),""))</f>
        <v/>
      </c>
      <c r="C426" s="38">
        <f>IF(B426="","",TEXT(B426,"yyyy-mm"))</f>
        <v/>
      </c>
      <c r="D426" s="38">
        <f>IF(A426="","",IFERROR(INDEX(Maniobras!$D$5:$D$504,MATCH(A426,Maniobras!$A$5:$A$504,0)),""))</f>
        <v/>
      </c>
      <c r="E426" s="38" t="n"/>
      <c r="F426" s="39">
        <f>IF(A426="","",IFERROR(INDEX(Maniobras!$K$5:$K$504,MATCH(A426,Maniobras!$A$5:$A$504,0)),""))</f>
        <v/>
      </c>
      <c r="G426" s="39" t="n"/>
      <c r="H426" s="39" t="n"/>
      <c r="I426" s="39">
        <f>IF(G426="","",G426+N(H426))</f>
        <v/>
      </c>
      <c r="J426" s="38" t="n"/>
      <c r="K426" s="41" t="n"/>
      <c r="L426" s="38" t="n"/>
      <c r="M426">
        <f>IF($A426=Ficha!$B$3,COUNTIF($A$5:$A426,Ficha!$B$3),"")</f>
        <v/>
      </c>
    </row>
    <row r="427">
      <c r="A427" s="36" t="n"/>
      <c r="B427" s="40">
        <f>IF(A427="","",IFERROR(INDEX(Maniobras!$B$5:$B$504,MATCH(A427,Maniobras!$A$5:$A$504,0)),""))</f>
        <v/>
      </c>
      <c r="C427" s="36">
        <f>IF(B427="","",TEXT(B427,"yyyy-mm"))</f>
        <v/>
      </c>
      <c r="D427" s="36">
        <f>IF(A427="","",IFERROR(INDEX(Maniobras!$D$5:$D$504,MATCH(A427,Maniobras!$A$5:$A$504,0)),""))</f>
        <v/>
      </c>
      <c r="E427" s="36" t="n"/>
      <c r="F427" s="37">
        <f>IF(A427="","",IFERROR(INDEX(Maniobras!$K$5:$K$504,MATCH(A427,Maniobras!$A$5:$A$504,0)),""))</f>
        <v/>
      </c>
      <c r="G427" s="37" t="n"/>
      <c r="H427" s="37" t="n"/>
      <c r="I427" s="37">
        <f>IF(G427="","",G427+N(H427))</f>
        <v/>
      </c>
      <c r="J427" s="36" t="n"/>
      <c r="K427" s="40" t="n"/>
      <c r="L427" s="36" t="n"/>
      <c r="M427">
        <f>IF($A427=Ficha!$B$3,COUNTIF($A$5:$A427,Ficha!$B$3),"")</f>
        <v/>
      </c>
    </row>
    <row r="428">
      <c r="A428" s="38" t="n"/>
      <c r="B428" s="41">
        <f>IF(A428="","",IFERROR(INDEX(Maniobras!$B$5:$B$504,MATCH(A428,Maniobras!$A$5:$A$504,0)),""))</f>
        <v/>
      </c>
      <c r="C428" s="38">
        <f>IF(B428="","",TEXT(B428,"yyyy-mm"))</f>
        <v/>
      </c>
      <c r="D428" s="38">
        <f>IF(A428="","",IFERROR(INDEX(Maniobras!$D$5:$D$504,MATCH(A428,Maniobras!$A$5:$A$504,0)),""))</f>
        <v/>
      </c>
      <c r="E428" s="38" t="n"/>
      <c r="F428" s="39">
        <f>IF(A428="","",IFERROR(INDEX(Maniobras!$K$5:$K$504,MATCH(A428,Maniobras!$A$5:$A$504,0)),""))</f>
        <v/>
      </c>
      <c r="G428" s="39" t="n"/>
      <c r="H428" s="39" t="n"/>
      <c r="I428" s="39">
        <f>IF(G428="","",G428+N(H428))</f>
        <v/>
      </c>
      <c r="J428" s="38" t="n"/>
      <c r="K428" s="41" t="n"/>
      <c r="L428" s="38" t="n"/>
      <c r="M428">
        <f>IF($A428=Ficha!$B$3,COUNTIF($A$5:$A428,Ficha!$B$3),"")</f>
        <v/>
      </c>
    </row>
    <row r="429">
      <c r="A429" s="36" t="n"/>
      <c r="B429" s="40">
        <f>IF(A429="","",IFERROR(INDEX(Maniobras!$B$5:$B$504,MATCH(A429,Maniobras!$A$5:$A$504,0)),""))</f>
        <v/>
      </c>
      <c r="C429" s="36">
        <f>IF(B429="","",TEXT(B429,"yyyy-mm"))</f>
        <v/>
      </c>
      <c r="D429" s="36">
        <f>IF(A429="","",IFERROR(INDEX(Maniobras!$D$5:$D$504,MATCH(A429,Maniobras!$A$5:$A$504,0)),""))</f>
        <v/>
      </c>
      <c r="E429" s="36" t="n"/>
      <c r="F429" s="37">
        <f>IF(A429="","",IFERROR(INDEX(Maniobras!$K$5:$K$504,MATCH(A429,Maniobras!$A$5:$A$504,0)),""))</f>
        <v/>
      </c>
      <c r="G429" s="37" t="n"/>
      <c r="H429" s="37" t="n"/>
      <c r="I429" s="37">
        <f>IF(G429="","",G429+N(H429))</f>
        <v/>
      </c>
      <c r="J429" s="36" t="n"/>
      <c r="K429" s="40" t="n"/>
      <c r="L429" s="36" t="n"/>
      <c r="M429">
        <f>IF($A429=Ficha!$B$3,COUNTIF($A$5:$A429,Ficha!$B$3),"")</f>
        <v/>
      </c>
    </row>
    <row r="430">
      <c r="A430" s="38" t="n"/>
      <c r="B430" s="41">
        <f>IF(A430="","",IFERROR(INDEX(Maniobras!$B$5:$B$504,MATCH(A430,Maniobras!$A$5:$A$504,0)),""))</f>
        <v/>
      </c>
      <c r="C430" s="38">
        <f>IF(B430="","",TEXT(B430,"yyyy-mm"))</f>
        <v/>
      </c>
      <c r="D430" s="38">
        <f>IF(A430="","",IFERROR(INDEX(Maniobras!$D$5:$D$504,MATCH(A430,Maniobras!$A$5:$A$504,0)),""))</f>
        <v/>
      </c>
      <c r="E430" s="38" t="n"/>
      <c r="F430" s="39">
        <f>IF(A430="","",IFERROR(INDEX(Maniobras!$K$5:$K$504,MATCH(A430,Maniobras!$A$5:$A$504,0)),""))</f>
        <v/>
      </c>
      <c r="G430" s="39" t="n"/>
      <c r="H430" s="39" t="n"/>
      <c r="I430" s="39">
        <f>IF(G430="","",G430+N(H430))</f>
        <v/>
      </c>
      <c r="J430" s="38" t="n"/>
      <c r="K430" s="41" t="n"/>
      <c r="L430" s="38" t="n"/>
      <c r="M430">
        <f>IF($A430=Ficha!$B$3,COUNTIF($A$5:$A430,Ficha!$B$3),"")</f>
        <v/>
      </c>
    </row>
    <row r="431">
      <c r="A431" s="36" t="n"/>
      <c r="B431" s="40">
        <f>IF(A431="","",IFERROR(INDEX(Maniobras!$B$5:$B$504,MATCH(A431,Maniobras!$A$5:$A$504,0)),""))</f>
        <v/>
      </c>
      <c r="C431" s="36">
        <f>IF(B431="","",TEXT(B431,"yyyy-mm"))</f>
        <v/>
      </c>
      <c r="D431" s="36">
        <f>IF(A431="","",IFERROR(INDEX(Maniobras!$D$5:$D$504,MATCH(A431,Maniobras!$A$5:$A$504,0)),""))</f>
        <v/>
      </c>
      <c r="E431" s="36" t="n"/>
      <c r="F431" s="37">
        <f>IF(A431="","",IFERROR(INDEX(Maniobras!$K$5:$K$504,MATCH(A431,Maniobras!$A$5:$A$504,0)),""))</f>
        <v/>
      </c>
      <c r="G431" s="37" t="n"/>
      <c r="H431" s="37" t="n"/>
      <c r="I431" s="37">
        <f>IF(G431="","",G431+N(H431))</f>
        <v/>
      </c>
      <c r="J431" s="36" t="n"/>
      <c r="K431" s="40" t="n"/>
      <c r="L431" s="36" t="n"/>
      <c r="M431">
        <f>IF($A431=Ficha!$B$3,COUNTIF($A$5:$A431,Ficha!$B$3),"")</f>
        <v/>
      </c>
    </row>
    <row r="432">
      <c r="A432" s="38" t="n"/>
      <c r="B432" s="41">
        <f>IF(A432="","",IFERROR(INDEX(Maniobras!$B$5:$B$504,MATCH(A432,Maniobras!$A$5:$A$504,0)),""))</f>
        <v/>
      </c>
      <c r="C432" s="38">
        <f>IF(B432="","",TEXT(B432,"yyyy-mm"))</f>
        <v/>
      </c>
      <c r="D432" s="38">
        <f>IF(A432="","",IFERROR(INDEX(Maniobras!$D$5:$D$504,MATCH(A432,Maniobras!$A$5:$A$504,0)),""))</f>
        <v/>
      </c>
      <c r="E432" s="38" t="n"/>
      <c r="F432" s="39">
        <f>IF(A432="","",IFERROR(INDEX(Maniobras!$K$5:$K$504,MATCH(A432,Maniobras!$A$5:$A$504,0)),""))</f>
        <v/>
      </c>
      <c r="G432" s="39" t="n"/>
      <c r="H432" s="39" t="n"/>
      <c r="I432" s="39">
        <f>IF(G432="","",G432+N(H432))</f>
        <v/>
      </c>
      <c r="J432" s="38" t="n"/>
      <c r="K432" s="41" t="n"/>
      <c r="L432" s="38" t="n"/>
      <c r="M432">
        <f>IF($A432=Ficha!$B$3,COUNTIF($A$5:$A432,Ficha!$B$3),"")</f>
        <v/>
      </c>
    </row>
    <row r="433">
      <c r="A433" s="36" t="n"/>
      <c r="B433" s="40">
        <f>IF(A433="","",IFERROR(INDEX(Maniobras!$B$5:$B$504,MATCH(A433,Maniobras!$A$5:$A$504,0)),""))</f>
        <v/>
      </c>
      <c r="C433" s="36">
        <f>IF(B433="","",TEXT(B433,"yyyy-mm"))</f>
        <v/>
      </c>
      <c r="D433" s="36">
        <f>IF(A433="","",IFERROR(INDEX(Maniobras!$D$5:$D$504,MATCH(A433,Maniobras!$A$5:$A$504,0)),""))</f>
        <v/>
      </c>
      <c r="E433" s="36" t="n"/>
      <c r="F433" s="37">
        <f>IF(A433="","",IFERROR(INDEX(Maniobras!$K$5:$K$504,MATCH(A433,Maniobras!$A$5:$A$504,0)),""))</f>
        <v/>
      </c>
      <c r="G433" s="37" t="n"/>
      <c r="H433" s="37" t="n"/>
      <c r="I433" s="37">
        <f>IF(G433="","",G433+N(H433))</f>
        <v/>
      </c>
      <c r="J433" s="36" t="n"/>
      <c r="K433" s="40" t="n"/>
      <c r="L433" s="36" t="n"/>
      <c r="M433">
        <f>IF($A433=Ficha!$B$3,COUNTIF($A$5:$A433,Ficha!$B$3),"")</f>
        <v/>
      </c>
    </row>
    <row r="434">
      <c r="A434" s="38" t="n"/>
      <c r="B434" s="41">
        <f>IF(A434="","",IFERROR(INDEX(Maniobras!$B$5:$B$504,MATCH(A434,Maniobras!$A$5:$A$504,0)),""))</f>
        <v/>
      </c>
      <c r="C434" s="38">
        <f>IF(B434="","",TEXT(B434,"yyyy-mm"))</f>
        <v/>
      </c>
      <c r="D434" s="38">
        <f>IF(A434="","",IFERROR(INDEX(Maniobras!$D$5:$D$504,MATCH(A434,Maniobras!$A$5:$A$504,0)),""))</f>
        <v/>
      </c>
      <c r="E434" s="38" t="n"/>
      <c r="F434" s="39">
        <f>IF(A434="","",IFERROR(INDEX(Maniobras!$K$5:$K$504,MATCH(A434,Maniobras!$A$5:$A$504,0)),""))</f>
        <v/>
      </c>
      <c r="G434" s="39" t="n"/>
      <c r="H434" s="39" t="n"/>
      <c r="I434" s="39">
        <f>IF(G434="","",G434+N(H434))</f>
        <v/>
      </c>
      <c r="J434" s="38" t="n"/>
      <c r="K434" s="41" t="n"/>
      <c r="L434" s="38" t="n"/>
      <c r="M434">
        <f>IF($A434=Ficha!$B$3,COUNTIF($A$5:$A434,Ficha!$B$3),"")</f>
        <v/>
      </c>
    </row>
    <row r="435">
      <c r="A435" s="36" t="n"/>
      <c r="B435" s="40">
        <f>IF(A435="","",IFERROR(INDEX(Maniobras!$B$5:$B$504,MATCH(A435,Maniobras!$A$5:$A$504,0)),""))</f>
        <v/>
      </c>
      <c r="C435" s="36">
        <f>IF(B435="","",TEXT(B435,"yyyy-mm"))</f>
        <v/>
      </c>
      <c r="D435" s="36">
        <f>IF(A435="","",IFERROR(INDEX(Maniobras!$D$5:$D$504,MATCH(A435,Maniobras!$A$5:$A$504,0)),""))</f>
        <v/>
      </c>
      <c r="E435" s="36" t="n"/>
      <c r="F435" s="37">
        <f>IF(A435="","",IFERROR(INDEX(Maniobras!$K$5:$K$504,MATCH(A435,Maniobras!$A$5:$A$504,0)),""))</f>
        <v/>
      </c>
      <c r="G435" s="37" t="n"/>
      <c r="H435" s="37" t="n"/>
      <c r="I435" s="37">
        <f>IF(G435="","",G435+N(H435))</f>
        <v/>
      </c>
      <c r="J435" s="36" t="n"/>
      <c r="K435" s="40" t="n"/>
      <c r="L435" s="36" t="n"/>
      <c r="M435">
        <f>IF($A435=Ficha!$B$3,COUNTIF($A$5:$A435,Ficha!$B$3),"")</f>
        <v/>
      </c>
    </row>
    <row r="436">
      <c r="A436" s="38" t="n"/>
      <c r="B436" s="41">
        <f>IF(A436="","",IFERROR(INDEX(Maniobras!$B$5:$B$504,MATCH(A436,Maniobras!$A$5:$A$504,0)),""))</f>
        <v/>
      </c>
      <c r="C436" s="38">
        <f>IF(B436="","",TEXT(B436,"yyyy-mm"))</f>
        <v/>
      </c>
      <c r="D436" s="38">
        <f>IF(A436="","",IFERROR(INDEX(Maniobras!$D$5:$D$504,MATCH(A436,Maniobras!$A$5:$A$504,0)),""))</f>
        <v/>
      </c>
      <c r="E436" s="38" t="n"/>
      <c r="F436" s="39">
        <f>IF(A436="","",IFERROR(INDEX(Maniobras!$K$5:$K$504,MATCH(A436,Maniobras!$A$5:$A$504,0)),""))</f>
        <v/>
      </c>
      <c r="G436" s="39" t="n"/>
      <c r="H436" s="39" t="n"/>
      <c r="I436" s="39">
        <f>IF(G436="","",G436+N(H436))</f>
        <v/>
      </c>
      <c r="J436" s="38" t="n"/>
      <c r="K436" s="41" t="n"/>
      <c r="L436" s="38" t="n"/>
      <c r="M436">
        <f>IF($A436=Ficha!$B$3,COUNTIF($A$5:$A436,Ficha!$B$3),"")</f>
        <v/>
      </c>
    </row>
    <row r="437">
      <c r="A437" s="36" t="n"/>
      <c r="B437" s="40">
        <f>IF(A437="","",IFERROR(INDEX(Maniobras!$B$5:$B$504,MATCH(A437,Maniobras!$A$5:$A$504,0)),""))</f>
        <v/>
      </c>
      <c r="C437" s="36">
        <f>IF(B437="","",TEXT(B437,"yyyy-mm"))</f>
        <v/>
      </c>
      <c r="D437" s="36">
        <f>IF(A437="","",IFERROR(INDEX(Maniobras!$D$5:$D$504,MATCH(A437,Maniobras!$A$5:$A$504,0)),""))</f>
        <v/>
      </c>
      <c r="E437" s="36" t="n"/>
      <c r="F437" s="37">
        <f>IF(A437="","",IFERROR(INDEX(Maniobras!$K$5:$K$504,MATCH(A437,Maniobras!$A$5:$A$504,0)),""))</f>
        <v/>
      </c>
      <c r="G437" s="37" t="n"/>
      <c r="H437" s="37" t="n"/>
      <c r="I437" s="37">
        <f>IF(G437="","",G437+N(H437))</f>
        <v/>
      </c>
      <c r="J437" s="36" t="n"/>
      <c r="K437" s="40" t="n"/>
      <c r="L437" s="36" t="n"/>
      <c r="M437">
        <f>IF($A437=Ficha!$B$3,COUNTIF($A$5:$A437,Ficha!$B$3),"")</f>
        <v/>
      </c>
    </row>
    <row r="438">
      <c r="A438" s="38" t="n"/>
      <c r="B438" s="41">
        <f>IF(A438="","",IFERROR(INDEX(Maniobras!$B$5:$B$504,MATCH(A438,Maniobras!$A$5:$A$504,0)),""))</f>
        <v/>
      </c>
      <c r="C438" s="38">
        <f>IF(B438="","",TEXT(B438,"yyyy-mm"))</f>
        <v/>
      </c>
      <c r="D438" s="38">
        <f>IF(A438="","",IFERROR(INDEX(Maniobras!$D$5:$D$504,MATCH(A438,Maniobras!$A$5:$A$504,0)),""))</f>
        <v/>
      </c>
      <c r="E438" s="38" t="n"/>
      <c r="F438" s="39">
        <f>IF(A438="","",IFERROR(INDEX(Maniobras!$K$5:$K$504,MATCH(A438,Maniobras!$A$5:$A$504,0)),""))</f>
        <v/>
      </c>
      <c r="G438" s="39" t="n"/>
      <c r="H438" s="39" t="n"/>
      <c r="I438" s="39">
        <f>IF(G438="","",G438+N(H438))</f>
        <v/>
      </c>
      <c r="J438" s="38" t="n"/>
      <c r="K438" s="41" t="n"/>
      <c r="L438" s="38" t="n"/>
      <c r="M438">
        <f>IF($A438=Ficha!$B$3,COUNTIF($A$5:$A438,Ficha!$B$3),"")</f>
        <v/>
      </c>
    </row>
    <row r="439">
      <c r="A439" s="36" t="n"/>
      <c r="B439" s="40">
        <f>IF(A439="","",IFERROR(INDEX(Maniobras!$B$5:$B$504,MATCH(A439,Maniobras!$A$5:$A$504,0)),""))</f>
        <v/>
      </c>
      <c r="C439" s="36">
        <f>IF(B439="","",TEXT(B439,"yyyy-mm"))</f>
        <v/>
      </c>
      <c r="D439" s="36">
        <f>IF(A439="","",IFERROR(INDEX(Maniobras!$D$5:$D$504,MATCH(A439,Maniobras!$A$5:$A$504,0)),""))</f>
        <v/>
      </c>
      <c r="E439" s="36" t="n"/>
      <c r="F439" s="37">
        <f>IF(A439="","",IFERROR(INDEX(Maniobras!$K$5:$K$504,MATCH(A439,Maniobras!$A$5:$A$504,0)),""))</f>
        <v/>
      </c>
      <c r="G439" s="37" t="n"/>
      <c r="H439" s="37" t="n"/>
      <c r="I439" s="37">
        <f>IF(G439="","",G439+N(H439))</f>
        <v/>
      </c>
      <c r="J439" s="36" t="n"/>
      <c r="K439" s="40" t="n"/>
      <c r="L439" s="36" t="n"/>
      <c r="M439">
        <f>IF($A439=Ficha!$B$3,COUNTIF($A$5:$A439,Ficha!$B$3),"")</f>
        <v/>
      </c>
    </row>
    <row r="440">
      <c r="A440" s="38" t="n"/>
      <c r="B440" s="41">
        <f>IF(A440="","",IFERROR(INDEX(Maniobras!$B$5:$B$504,MATCH(A440,Maniobras!$A$5:$A$504,0)),""))</f>
        <v/>
      </c>
      <c r="C440" s="38">
        <f>IF(B440="","",TEXT(B440,"yyyy-mm"))</f>
        <v/>
      </c>
      <c r="D440" s="38">
        <f>IF(A440="","",IFERROR(INDEX(Maniobras!$D$5:$D$504,MATCH(A440,Maniobras!$A$5:$A$504,0)),""))</f>
        <v/>
      </c>
      <c r="E440" s="38" t="n"/>
      <c r="F440" s="39">
        <f>IF(A440="","",IFERROR(INDEX(Maniobras!$K$5:$K$504,MATCH(A440,Maniobras!$A$5:$A$504,0)),""))</f>
        <v/>
      </c>
      <c r="G440" s="39" t="n"/>
      <c r="H440" s="39" t="n"/>
      <c r="I440" s="39">
        <f>IF(G440="","",G440+N(H440))</f>
        <v/>
      </c>
      <c r="J440" s="38" t="n"/>
      <c r="K440" s="41" t="n"/>
      <c r="L440" s="38" t="n"/>
      <c r="M440">
        <f>IF($A440=Ficha!$B$3,COUNTIF($A$5:$A440,Ficha!$B$3),"")</f>
        <v/>
      </c>
    </row>
    <row r="441">
      <c r="A441" s="36" t="n"/>
      <c r="B441" s="40">
        <f>IF(A441="","",IFERROR(INDEX(Maniobras!$B$5:$B$504,MATCH(A441,Maniobras!$A$5:$A$504,0)),""))</f>
        <v/>
      </c>
      <c r="C441" s="36">
        <f>IF(B441="","",TEXT(B441,"yyyy-mm"))</f>
        <v/>
      </c>
      <c r="D441" s="36">
        <f>IF(A441="","",IFERROR(INDEX(Maniobras!$D$5:$D$504,MATCH(A441,Maniobras!$A$5:$A$504,0)),""))</f>
        <v/>
      </c>
      <c r="E441" s="36" t="n"/>
      <c r="F441" s="37">
        <f>IF(A441="","",IFERROR(INDEX(Maniobras!$K$5:$K$504,MATCH(A441,Maniobras!$A$5:$A$504,0)),""))</f>
        <v/>
      </c>
      <c r="G441" s="37" t="n"/>
      <c r="H441" s="37" t="n"/>
      <c r="I441" s="37">
        <f>IF(G441="","",G441+N(H441))</f>
        <v/>
      </c>
      <c r="J441" s="36" t="n"/>
      <c r="K441" s="40" t="n"/>
      <c r="L441" s="36" t="n"/>
      <c r="M441">
        <f>IF($A441=Ficha!$B$3,COUNTIF($A$5:$A441,Ficha!$B$3),"")</f>
        <v/>
      </c>
    </row>
    <row r="442">
      <c r="A442" s="38" t="n"/>
      <c r="B442" s="41">
        <f>IF(A442="","",IFERROR(INDEX(Maniobras!$B$5:$B$504,MATCH(A442,Maniobras!$A$5:$A$504,0)),""))</f>
        <v/>
      </c>
      <c r="C442" s="38">
        <f>IF(B442="","",TEXT(B442,"yyyy-mm"))</f>
        <v/>
      </c>
      <c r="D442" s="38">
        <f>IF(A442="","",IFERROR(INDEX(Maniobras!$D$5:$D$504,MATCH(A442,Maniobras!$A$5:$A$504,0)),""))</f>
        <v/>
      </c>
      <c r="E442" s="38" t="n"/>
      <c r="F442" s="39">
        <f>IF(A442="","",IFERROR(INDEX(Maniobras!$K$5:$K$504,MATCH(A442,Maniobras!$A$5:$A$504,0)),""))</f>
        <v/>
      </c>
      <c r="G442" s="39" t="n"/>
      <c r="H442" s="39" t="n"/>
      <c r="I442" s="39">
        <f>IF(G442="","",G442+N(H442))</f>
        <v/>
      </c>
      <c r="J442" s="38" t="n"/>
      <c r="K442" s="41" t="n"/>
      <c r="L442" s="38" t="n"/>
      <c r="M442">
        <f>IF($A442=Ficha!$B$3,COUNTIF($A$5:$A442,Ficha!$B$3),"")</f>
        <v/>
      </c>
    </row>
    <row r="443">
      <c r="A443" s="36" t="n"/>
      <c r="B443" s="40">
        <f>IF(A443="","",IFERROR(INDEX(Maniobras!$B$5:$B$504,MATCH(A443,Maniobras!$A$5:$A$504,0)),""))</f>
        <v/>
      </c>
      <c r="C443" s="36">
        <f>IF(B443="","",TEXT(B443,"yyyy-mm"))</f>
        <v/>
      </c>
      <c r="D443" s="36">
        <f>IF(A443="","",IFERROR(INDEX(Maniobras!$D$5:$D$504,MATCH(A443,Maniobras!$A$5:$A$504,0)),""))</f>
        <v/>
      </c>
      <c r="E443" s="36" t="n"/>
      <c r="F443" s="37">
        <f>IF(A443="","",IFERROR(INDEX(Maniobras!$K$5:$K$504,MATCH(A443,Maniobras!$A$5:$A$504,0)),""))</f>
        <v/>
      </c>
      <c r="G443" s="37" t="n"/>
      <c r="H443" s="37" t="n"/>
      <c r="I443" s="37">
        <f>IF(G443="","",G443+N(H443))</f>
        <v/>
      </c>
      <c r="J443" s="36" t="n"/>
      <c r="K443" s="40" t="n"/>
      <c r="L443" s="36" t="n"/>
      <c r="M443">
        <f>IF($A443=Ficha!$B$3,COUNTIF($A$5:$A443,Ficha!$B$3),"")</f>
        <v/>
      </c>
    </row>
    <row r="444">
      <c r="A444" s="38" t="n"/>
      <c r="B444" s="41">
        <f>IF(A444="","",IFERROR(INDEX(Maniobras!$B$5:$B$504,MATCH(A444,Maniobras!$A$5:$A$504,0)),""))</f>
        <v/>
      </c>
      <c r="C444" s="38">
        <f>IF(B444="","",TEXT(B444,"yyyy-mm"))</f>
        <v/>
      </c>
      <c r="D444" s="38">
        <f>IF(A444="","",IFERROR(INDEX(Maniobras!$D$5:$D$504,MATCH(A444,Maniobras!$A$5:$A$504,0)),""))</f>
        <v/>
      </c>
      <c r="E444" s="38" t="n"/>
      <c r="F444" s="39">
        <f>IF(A444="","",IFERROR(INDEX(Maniobras!$K$5:$K$504,MATCH(A444,Maniobras!$A$5:$A$504,0)),""))</f>
        <v/>
      </c>
      <c r="G444" s="39" t="n"/>
      <c r="H444" s="39" t="n"/>
      <c r="I444" s="39">
        <f>IF(G444="","",G444+N(H444))</f>
        <v/>
      </c>
      <c r="J444" s="38" t="n"/>
      <c r="K444" s="41" t="n"/>
      <c r="L444" s="38" t="n"/>
      <c r="M444">
        <f>IF($A444=Ficha!$B$3,COUNTIF($A$5:$A444,Ficha!$B$3),"")</f>
        <v/>
      </c>
    </row>
    <row r="445">
      <c r="A445" s="36" t="n"/>
      <c r="B445" s="40">
        <f>IF(A445="","",IFERROR(INDEX(Maniobras!$B$5:$B$504,MATCH(A445,Maniobras!$A$5:$A$504,0)),""))</f>
        <v/>
      </c>
      <c r="C445" s="36">
        <f>IF(B445="","",TEXT(B445,"yyyy-mm"))</f>
        <v/>
      </c>
      <c r="D445" s="36">
        <f>IF(A445="","",IFERROR(INDEX(Maniobras!$D$5:$D$504,MATCH(A445,Maniobras!$A$5:$A$504,0)),""))</f>
        <v/>
      </c>
      <c r="E445" s="36" t="n"/>
      <c r="F445" s="37">
        <f>IF(A445="","",IFERROR(INDEX(Maniobras!$K$5:$K$504,MATCH(A445,Maniobras!$A$5:$A$504,0)),""))</f>
        <v/>
      </c>
      <c r="G445" s="37" t="n"/>
      <c r="H445" s="37" t="n"/>
      <c r="I445" s="37">
        <f>IF(G445="","",G445+N(H445))</f>
        <v/>
      </c>
      <c r="J445" s="36" t="n"/>
      <c r="K445" s="40" t="n"/>
      <c r="L445" s="36" t="n"/>
      <c r="M445">
        <f>IF($A445=Ficha!$B$3,COUNTIF($A$5:$A445,Ficha!$B$3),"")</f>
        <v/>
      </c>
    </row>
    <row r="446">
      <c r="A446" s="38" t="n"/>
      <c r="B446" s="41">
        <f>IF(A446="","",IFERROR(INDEX(Maniobras!$B$5:$B$504,MATCH(A446,Maniobras!$A$5:$A$504,0)),""))</f>
        <v/>
      </c>
      <c r="C446" s="38">
        <f>IF(B446="","",TEXT(B446,"yyyy-mm"))</f>
        <v/>
      </c>
      <c r="D446" s="38">
        <f>IF(A446="","",IFERROR(INDEX(Maniobras!$D$5:$D$504,MATCH(A446,Maniobras!$A$5:$A$504,0)),""))</f>
        <v/>
      </c>
      <c r="E446" s="38" t="n"/>
      <c r="F446" s="39">
        <f>IF(A446="","",IFERROR(INDEX(Maniobras!$K$5:$K$504,MATCH(A446,Maniobras!$A$5:$A$504,0)),""))</f>
        <v/>
      </c>
      <c r="G446" s="39" t="n"/>
      <c r="H446" s="39" t="n"/>
      <c r="I446" s="39">
        <f>IF(G446="","",G446+N(H446))</f>
        <v/>
      </c>
      <c r="J446" s="38" t="n"/>
      <c r="K446" s="41" t="n"/>
      <c r="L446" s="38" t="n"/>
      <c r="M446">
        <f>IF($A446=Ficha!$B$3,COUNTIF($A$5:$A446,Ficha!$B$3),"")</f>
        <v/>
      </c>
    </row>
    <row r="447">
      <c r="A447" s="36" t="n"/>
      <c r="B447" s="40">
        <f>IF(A447="","",IFERROR(INDEX(Maniobras!$B$5:$B$504,MATCH(A447,Maniobras!$A$5:$A$504,0)),""))</f>
        <v/>
      </c>
      <c r="C447" s="36">
        <f>IF(B447="","",TEXT(B447,"yyyy-mm"))</f>
        <v/>
      </c>
      <c r="D447" s="36">
        <f>IF(A447="","",IFERROR(INDEX(Maniobras!$D$5:$D$504,MATCH(A447,Maniobras!$A$5:$A$504,0)),""))</f>
        <v/>
      </c>
      <c r="E447" s="36" t="n"/>
      <c r="F447" s="37">
        <f>IF(A447="","",IFERROR(INDEX(Maniobras!$K$5:$K$504,MATCH(A447,Maniobras!$A$5:$A$504,0)),""))</f>
        <v/>
      </c>
      <c r="G447" s="37" t="n"/>
      <c r="H447" s="37" t="n"/>
      <c r="I447" s="37">
        <f>IF(G447="","",G447+N(H447))</f>
        <v/>
      </c>
      <c r="J447" s="36" t="n"/>
      <c r="K447" s="40" t="n"/>
      <c r="L447" s="36" t="n"/>
      <c r="M447">
        <f>IF($A447=Ficha!$B$3,COUNTIF($A$5:$A447,Ficha!$B$3),"")</f>
        <v/>
      </c>
    </row>
    <row r="448">
      <c r="A448" s="38" t="n"/>
      <c r="B448" s="41">
        <f>IF(A448="","",IFERROR(INDEX(Maniobras!$B$5:$B$504,MATCH(A448,Maniobras!$A$5:$A$504,0)),""))</f>
        <v/>
      </c>
      <c r="C448" s="38">
        <f>IF(B448="","",TEXT(B448,"yyyy-mm"))</f>
        <v/>
      </c>
      <c r="D448" s="38">
        <f>IF(A448="","",IFERROR(INDEX(Maniobras!$D$5:$D$504,MATCH(A448,Maniobras!$A$5:$A$504,0)),""))</f>
        <v/>
      </c>
      <c r="E448" s="38" t="n"/>
      <c r="F448" s="39">
        <f>IF(A448="","",IFERROR(INDEX(Maniobras!$K$5:$K$504,MATCH(A448,Maniobras!$A$5:$A$504,0)),""))</f>
        <v/>
      </c>
      <c r="G448" s="39" t="n"/>
      <c r="H448" s="39" t="n"/>
      <c r="I448" s="39">
        <f>IF(G448="","",G448+N(H448))</f>
        <v/>
      </c>
      <c r="J448" s="38" t="n"/>
      <c r="K448" s="41" t="n"/>
      <c r="L448" s="38" t="n"/>
      <c r="M448">
        <f>IF($A448=Ficha!$B$3,COUNTIF($A$5:$A448,Ficha!$B$3),"")</f>
        <v/>
      </c>
    </row>
    <row r="449">
      <c r="A449" s="36" t="n"/>
      <c r="B449" s="40">
        <f>IF(A449="","",IFERROR(INDEX(Maniobras!$B$5:$B$504,MATCH(A449,Maniobras!$A$5:$A$504,0)),""))</f>
        <v/>
      </c>
      <c r="C449" s="36">
        <f>IF(B449="","",TEXT(B449,"yyyy-mm"))</f>
        <v/>
      </c>
      <c r="D449" s="36">
        <f>IF(A449="","",IFERROR(INDEX(Maniobras!$D$5:$D$504,MATCH(A449,Maniobras!$A$5:$A$504,0)),""))</f>
        <v/>
      </c>
      <c r="E449" s="36" t="n"/>
      <c r="F449" s="37">
        <f>IF(A449="","",IFERROR(INDEX(Maniobras!$K$5:$K$504,MATCH(A449,Maniobras!$A$5:$A$504,0)),""))</f>
        <v/>
      </c>
      <c r="G449" s="37" t="n"/>
      <c r="H449" s="37" t="n"/>
      <c r="I449" s="37">
        <f>IF(G449="","",G449+N(H449))</f>
        <v/>
      </c>
      <c r="J449" s="36" t="n"/>
      <c r="K449" s="40" t="n"/>
      <c r="L449" s="36" t="n"/>
      <c r="M449">
        <f>IF($A449=Ficha!$B$3,COUNTIF($A$5:$A449,Ficha!$B$3),"")</f>
        <v/>
      </c>
    </row>
    <row r="450">
      <c r="A450" s="38" t="n"/>
      <c r="B450" s="41">
        <f>IF(A450="","",IFERROR(INDEX(Maniobras!$B$5:$B$504,MATCH(A450,Maniobras!$A$5:$A$504,0)),""))</f>
        <v/>
      </c>
      <c r="C450" s="38">
        <f>IF(B450="","",TEXT(B450,"yyyy-mm"))</f>
        <v/>
      </c>
      <c r="D450" s="38">
        <f>IF(A450="","",IFERROR(INDEX(Maniobras!$D$5:$D$504,MATCH(A450,Maniobras!$A$5:$A$504,0)),""))</f>
        <v/>
      </c>
      <c r="E450" s="38" t="n"/>
      <c r="F450" s="39">
        <f>IF(A450="","",IFERROR(INDEX(Maniobras!$K$5:$K$504,MATCH(A450,Maniobras!$A$5:$A$504,0)),""))</f>
        <v/>
      </c>
      <c r="G450" s="39" t="n"/>
      <c r="H450" s="39" t="n"/>
      <c r="I450" s="39">
        <f>IF(G450="","",G450+N(H450))</f>
        <v/>
      </c>
      <c r="J450" s="38" t="n"/>
      <c r="K450" s="41" t="n"/>
      <c r="L450" s="38" t="n"/>
      <c r="M450">
        <f>IF($A450=Ficha!$B$3,COUNTIF($A$5:$A450,Ficha!$B$3),"")</f>
        <v/>
      </c>
    </row>
    <row r="451">
      <c r="A451" s="36" t="n"/>
      <c r="B451" s="40">
        <f>IF(A451="","",IFERROR(INDEX(Maniobras!$B$5:$B$504,MATCH(A451,Maniobras!$A$5:$A$504,0)),""))</f>
        <v/>
      </c>
      <c r="C451" s="36">
        <f>IF(B451="","",TEXT(B451,"yyyy-mm"))</f>
        <v/>
      </c>
      <c r="D451" s="36">
        <f>IF(A451="","",IFERROR(INDEX(Maniobras!$D$5:$D$504,MATCH(A451,Maniobras!$A$5:$A$504,0)),""))</f>
        <v/>
      </c>
      <c r="E451" s="36" t="n"/>
      <c r="F451" s="37">
        <f>IF(A451="","",IFERROR(INDEX(Maniobras!$K$5:$K$504,MATCH(A451,Maniobras!$A$5:$A$504,0)),""))</f>
        <v/>
      </c>
      <c r="G451" s="37" t="n"/>
      <c r="H451" s="37" t="n"/>
      <c r="I451" s="37">
        <f>IF(G451="","",G451+N(H451))</f>
        <v/>
      </c>
      <c r="J451" s="36" t="n"/>
      <c r="K451" s="40" t="n"/>
      <c r="L451" s="36" t="n"/>
      <c r="M451">
        <f>IF($A451=Ficha!$B$3,COUNTIF($A$5:$A451,Ficha!$B$3),"")</f>
        <v/>
      </c>
    </row>
    <row r="452">
      <c r="A452" s="38" t="n"/>
      <c r="B452" s="41">
        <f>IF(A452="","",IFERROR(INDEX(Maniobras!$B$5:$B$504,MATCH(A452,Maniobras!$A$5:$A$504,0)),""))</f>
        <v/>
      </c>
      <c r="C452" s="38">
        <f>IF(B452="","",TEXT(B452,"yyyy-mm"))</f>
        <v/>
      </c>
      <c r="D452" s="38">
        <f>IF(A452="","",IFERROR(INDEX(Maniobras!$D$5:$D$504,MATCH(A452,Maniobras!$A$5:$A$504,0)),""))</f>
        <v/>
      </c>
      <c r="E452" s="38" t="n"/>
      <c r="F452" s="39">
        <f>IF(A452="","",IFERROR(INDEX(Maniobras!$K$5:$K$504,MATCH(A452,Maniobras!$A$5:$A$504,0)),""))</f>
        <v/>
      </c>
      <c r="G452" s="39" t="n"/>
      <c r="H452" s="39" t="n"/>
      <c r="I452" s="39">
        <f>IF(G452="","",G452+N(H452))</f>
        <v/>
      </c>
      <c r="J452" s="38" t="n"/>
      <c r="K452" s="41" t="n"/>
      <c r="L452" s="38" t="n"/>
      <c r="M452">
        <f>IF($A452=Ficha!$B$3,COUNTIF($A$5:$A452,Ficha!$B$3),"")</f>
        <v/>
      </c>
    </row>
    <row r="453">
      <c r="A453" s="36" t="n"/>
      <c r="B453" s="40">
        <f>IF(A453="","",IFERROR(INDEX(Maniobras!$B$5:$B$504,MATCH(A453,Maniobras!$A$5:$A$504,0)),""))</f>
        <v/>
      </c>
      <c r="C453" s="36">
        <f>IF(B453="","",TEXT(B453,"yyyy-mm"))</f>
        <v/>
      </c>
      <c r="D453" s="36">
        <f>IF(A453="","",IFERROR(INDEX(Maniobras!$D$5:$D$504,MATCH(A453,Maniobras!$A$5:$A$504,0)),""))</f>
        <v/>
      </c>
      <c r="E453" s="36" t="n"/>
      <c r="F453" s="37">
        <f>IF(A453="","",IFERROR(INDEX(Maniobras!$K$5:$K$504,MATCH(A453,Maniobras!$A$5:$A$504,0)),""))</f>
        <v/>
      </c>
      <c r="G453" s="37" t="n"/>
      <c r="H453" s="37" t="n"/>
      <c r="I453" s="37">
        <f>IF(G453="","",G453+N(H453))</f>
        <v/>
      </c>
      <c r="J453" s="36" t="n"/>
      <c r="K453" s="40" t="n"/>
      <c r="L453" s="36" t="n"/>
      <c r="M453">
        <f>IF($A453=Ficha!$B$3,COUNTIF($A$5:$A453,Ficha!$B$3),"")</f>
        <v/>
      </c>
    </row>
    <row r="454">
      <c r="A454" s="38" t="n"/>
      <c r="B454" s="41">
        <f>IF(A454="","",IFERROR(INDEX(Maniobras!$B$5:$B$504,MATCH(A454,Maniobras!$A$5:$A$504,0)),""))</f>
        <v/>
      </c>
      <c r="C454" s="38">
        <f>IF(B454="","",TEXT(B454,"yyyy-mm"))</f>
        <v/>
      </c>
      <c r="D454" s="38">
        <f>IF(A454="","",IFERROR(INDEX(Maniobras!$D$5:$D$504,MATCH(A454,Maniobras!$A$5:$A$504,0)),""))</f>
        <v/>
      </c>
      <c r="E454" s="38" t="n"/>
      <c r="F454" s="39">
        <f>IF(A454="","",IFERROR(INDEX(Maniobras!$K$5:$K$504,MATCH(A454,Maniobras!$A$5:$A$504,0)),""))</f>
        <v/>
      </c>
      <c r="G454" s="39" t="n"/>
      <c r="H454" s="39" t="n"/>
      <c r="I454" s="39">
        <f>IF(G454="","",G454+N(H454))</f>
        <v/>
      </c>
      <c r="J454" s="38" t="n"/>
      <c r="K454" s="41" t="n"/>
      <c r="L454" s="38" t="n"/>
      <c r="M454">
        <f>IF($A454=Ficha!$B$3,COUNTIF($A$5:$A454,Ficha!$B$3),"")</f>
        <v/>
      </c>
    </row>
    <row r="455">
      <c r="A455" s="36" t="n"/>
      <c r="B455" s="40">
        <f>IF(A455="","",IFERROR(INDEX(Maniobras!$B$5:$B$504,MATCH(A455,Maniobras!$A$5:$A$504,0)),""))</f>
        <v/>
      </c>
      <c r="C455" s="36">
        <f>IF(B455="","",TEXT(B455,"yyyy-mm"))</f>
        <v/>
      </c>
      <c r="D455" s="36">
        <f>IF(A455="","",IFERROR(INDEX(Maniobras!$D$5:$D$504,MATCH(A455,Maniobras!$A$5:$A$504,0)),""))</f>
        <v/>
      </c>
      <c r="E455" s="36" t="n"/>
      <c r="F455" s="37">
        <f>IF(A455="","",IFERROR(INDEX(Maniobras!$K$5:$K$504,MATCH(A455,Maniobras!$A$5:$A$504,0)),""))</f>
        <v/>
      </c>
      <c r="G455" s="37" t="n"/>
      <c r="H455" s="37" t="n"/>
      <c r="I455" s="37">
        <f>IF(G455="","",G455+N(H455))</f>
        <v/>
      </c>
      <c r="J455" s="36" t="n"/>
      <c r="K455" s="40" t="n"/>
      <c r="L455" s="36" t="n"/>
      <c r="M455">
        <f>IF($A455=Ficha!$B$3,COUNTIF($A$5:$A455,Ficha!$B$3),"")</f>
        <v/>
      </c>
    </row>
    <row r="456">
      <c r="A456" s="38" t="n"/>
      <c r="B456" s="41">
        <f>IF(A456="","",IFERROR(INDEX(Maniobras!$B$5:$B$504,MATCH(A456,Maniobras!$A$5:$A$504,0)),""))</f>
        <v/>
      </c>
      <c r="C456" s="38">
        <f>IF(B456="","",TEXT(B456,"yyyy-mm"))</f>
        <v/>
      </c>
      <c r="D456" s="38">
        <f>IF(A456="","",IFERROR(INDEX(Maniobras!$D$5:$D$504,MATCH(A456,Maniobras!$A$5:$A$504,0)),""))</f>
        <v/>
      </c>
      <c r="E456" s="38" t="n"/>
      <c r="F456" s="39">
        <f>IF(A456="","",IFERROR(INDEX(Maniobras!$K$5:$K$504,MATCH(A456,Maniobras!$A$5:$A$504,0)),""))</f>
        <v/>
      </c>
      <c r="G456" s="39" t="n"/>
      <c r="H456" s="39" t="n"/>
      <c r="I456" s="39">
        <f>IF(G456="","",G456+N(H456))</f>
        <v/>
      </c>
      <c r="J456" s="38" t="n"/>
      <c r="K456" s="41" t="n"/>
      <c r="L456" s="38" t="n"/>
      <c r="M456">
        <f>IF($A456=Ficha!$B$3,COUNTIF($A$5:$A456,Ficha!$B$3),"")</f>
        <v/>
      </c>
    </row>
    <row r="457">
      <c r="A457" s="36" t="n"/>
      <c r="B457" s="40">
        <f>IF(A457="","",IFERROR(INDEX(Maniobras!$B$5:$B$504,MATCH(A457,Maniobras!$A$5:$A$504,0)),""))</f>
        <v/>
      </c>
      <c r="C457" s="36">
        <f>IF(B457="","",TEXT(B457,"yyyy-mm"))</f>
        <v/>
      </c>
      <c r="D457" s="36">
        <f>IF(A457="","",IFERROR(INDEX(Maniobras!$D$5:$D$504,MATCH(A457,Maniobras!$A$5:$A$504,0)),""))</f>
        <v/>
      </c>
      <c r="E457" s="36" t="n"/>
      <c r="F457" s="37">
        <f>IF(A457="","",IFERROR(INDEX(Maniobras!$K$5:$K$504,MATCH(A457,Maniobras!$A$5:$A$504,0)),""))</f>
        <v/>
      </c>
      <c r="G457" s="37" t="n"/>
      <c r="H457" s="37" t="n"/>
      <c r="I457" s="37">
        <f>IF(G457="","",G457+N(H457))</f>
        <v/>
      </c>
      <c r="J457" s="36" t="n"/>
      <c r="K457" s="40" t="n"/>
      <c r="L457" s="36" t="n"/>
      <c r="M457">
        <f>IF($A457=Ficha!$B$3,COUNTIF($A$5:$A457,Ficha!$B$3),"")</f>
        <v/>
      </c>
    </row>
    <row r="458">
      <c r="A458" s="38" t="n"/>
      <c r="B458" s="41">
        <f>IF(A458="","",IFERROR(INDEX(Maniobras!$B$5:$B$504,MATCH(A458,Maniobras!$A$5:$A$504,0)),""))</f>
        <v/>
      </c>
      <c r="C458" s="38">
        <f>IF(B458="","",TEXT(B458,"yyyy-mm"))</f>
        <v/>
      </c>
      <c r="D458" s="38">
        <f>IF(A458="","",IFERROR(INDEX(Maniobras!$D$5:$D$504,MATCH(A458,Maniobras!$A$5:$A$504,0)),""))</f>
        <v/>
      </c>
      <c r="E458" s="38" t="n"/>
      <c r="F458" s="39">
        <f>IF(A458="","",IFERROR(INDEX(Maniobras!$K$5:$K$504,MATCH(A458,Maniobras!$A$5:$A$504,0)),""))</f>
        <v/>
      </c>
      <c r="G458" s="39" t="n"/>
      <c r="H458" s="39" t="n"/>
      <c r="I458" s="39">
        <f>IF(G458="","",G458+N(H458))</f>
        <v/>
      </c>
      <c r="J458" s="38" t="n"/>
      <c r="K458" s="41" t="n"/>
      <c r="L458" s="38" t="n"/>
      <c r="M458">
        <f>IF($A458=Ficha!$B$3,COUNTIF($A$5:$A458,Ficha!$B$3),"")</f>
        <v/>
      </c>
    </row>
    <row r="459">
      <c r="A459" s="36" t="n"/>
      <c r="B459" s="40">
        <f>IF(A459="","",IFERROR(INDEX(Maniobras!$B$5:$B$504,MATCH(A459,Maniobras!$A$5:$A$504,0)),""))</f>
        <v/>
      </c>
      <c r="C459" s="36">
        <f>IF(B459="","",TEXT(B459,"yyyy-mm"))</f>
        <v/>
      </c>
      <c r="D459" s="36">
        <f>IF(A459="","",IFERROR(INDEX(Maniobras!$D$5:$D$504,MATCH(A459,Maniobras!$A$5:$A$504,0)),""))</f>
        <v/>
      </c>
      <c r="E459" s="36" t="n"/>
      <c r="F459" s="37">
        <f>IF(A459="","",IFERROR(INDEX(Maniobras!$K$5:$K$504,MATCH(A459,Maniobras!$A$5:$A$504,0)),""))</f>
        <v/>
      </c>
      <c r="G459" s="37" t="n"/>
      <c r="H459" s="37" t="n"/>
      <c r="I459" s="37">
        <f>IF(G459="","",G459+N(H459))</f>
        <v/>
      </c>
      <c r="J459" s="36" t="n"/>
      <c r="K459" s="40" t="n"/>
      <c r="L459" s="36" t="n"/>
      <c r="M459">
        <f>IF($A459=Ficha!$B$3,COUNTIF($A$5:$A459,Ficha!$B$3),"")</f>
        <v/>
      </c>
    </row>
    <row r="460">
      <c r="A460" s="38" t="n"/>
      <c r="B460" s="41">
        <f>IF(A460="","",IFERROR(INDEX(Maniobras!$B$5:$B$504,MATCH(A460,Maniobras!$A$5:$A$504,0)),""))</f>
        <v/>
      </c>
      <c r="C460" s="38">
        <f>IF(B460="","",TEXT(B460,"yyyy-mm"))</f>
        <v/>
      </c>
      <c r="D460" s="38">
        <f>IF(A460="","",IFERROR(INDEX(Maniobras!$D$5:$D$504,MATCH(A460,Maniobras!$A$5:$A$504,0)),""))</f>
        <v/>
      </c>
      <c r="E460" s="38" t="n"/>
      <c r="F460" s="39">
        <f>IF(A460="","",IFERROR(INDEX(Maniobras!$K$5:$K$504,MATCH(A460,Maniobras!$A$5:$A$504,0)),""))</f>
        <v/>
      </c>
      <c r="G460" s="39" t="n"/>
      <c r="H460" s="39" t="n"/>
      <c r="I460" s="39">
        <f>IF(G460="","",G460+N(H460))</f>
        <v/>
      </c>
      <c r="J460" s="38" t="n"/>
      <c r="K460" s="41" t="n"/>
      <c r="L460" s="38" t="n"/>
      <c r="M460">
        <f>IF($A460=Ficha!$B$3,COUNTIF($A$5:$A460,Ficha!$B$3),"")</f>
        <v/>
      </c>
    </row>
    <row r="461">
      <c r="A461" s="36" t="n"/>
      <c r="B461" s="40">
        <f>IF(A461="","",IFERROR(INDEX(Maniobras!$B$5:$B$504,MATCH(A461,Maniobras!$A$5:$A$504,0)),""))</f>
        <v/>
      </c>
      <c r="C461" s="36">
        <f>IF(B461="","",TEXT(B461,"yyyy-mm"))</f>
        <v/>
      </c>
      <c r="D461" s="36">
        <f>IF(A461="","",IFERROR(INDEX(Maniobras!$D$5:$D$504,MATCH(A461,Maniobras!$A$5:$A$504,0)),""))</f>
        <v/>
      </c>
      <c r="E461" s="36" t="n"/>
      <c r="F461" s="37">
        <f>IF(A461="","",IFERROR(INDEX(Maniobras!$K$5:$K$504,MATCH(A461,Maniobras!$A$5:$A$504,0)),""))</f>
        <v/>
      </c>
      <c r="G461" s="37" t="n"/>
      <c r="H461" s="37" t="n"/>
      <c r="I461" s="37">
        <f>IF(G461="","",G461+N(H461))</f>
        <v/>
      </c>
      <c r="J461" s="36" t="n"/>
      <c r="K461" s="40" t="n"/>
      <c r="L461" s="36" t="n"/>
      <c r="M461">
        <f>IF($A461=Ficha!$B$3,COUNTIF($A$5:$A461,Ficha!$B$3),"")</f>
        <v/>
      </c>
    </row>
    <row r="462">
      <c r="A462" s="38" t="n"/>
      <c r="B462" s="41">
        <f>IF(A462="","",IFERROR(INDEX(Maniobras!$B$5:$B$504,MATCH(A462,Maniobras!$A$5:$A$504,0)),""))</f>
        <v/>
      </c>
      <c r="C462" s="38">
        <f>IF(B462="","",TEXT(B462,"yyyy-mm"))</f>
        <v/>
      </c>
      <c r="D462" s="38">
        <f>IF(A462="","",IFERROR(INDEX(Maniobras!$D$5:$D$504,MATCH(A462,Maniobras!$A$5:$A$504,0)),""))</f>
        <v/>
      </c>
      <c r="E462" s="38" t="n"/>
      <c r="F462" s="39">
        <f>IF(A462="","",IFERROR(INDEX(Maniobras!$K$5:$K$504,MATCH(A462,Maniobras!$A$5:$A$504,0)),""))</f>
        <v/>
      </c>
      <c r="G462" s="39" t="n"/>
      <c r="H462" s="39" t="n"/>
      <c r="I462" s="39">
        <f>IF(G462="","",G462+N(H462))</f>
        <v/>
      </c>
      <c r="J462" s="38" t="n"/>
      <c r="K462" s="41" t="n"/>
      <c r="L462" s="38" t="n"/>
      <c r="M462">
        <f>IF($A462=Ficha!$B$3,COUNTIF($A$5:$A462,Ficha!$B$3),"")</f>
        <v/>
      </c>
    </row>
    <row r="463">
      <c r="A463" s="36" t="n"/>
      <c r="B463" s="40">
        <f>IF(A463="","",IFERROR(INDEX(Maniobras!$B$5:$B$504,MATCH(A463,Maniobras!$A$5:$A$504,0)),""))</f>
        <v/>
      </c>
      <c r="C463" s="36">
        <f>IF(B463="","",TEXT(B463,"yyyy-mm"))</f>
        <v/>
      </c>
      <c r="D463" s="36">
        <f>IF(A463="","",IFERROR(INDEX(Maniobras!$D$5:$D$504,MATCH(A463,Maniobras!$A$5:$A$504,0)),""))</f>
        <v/>
      </c>
      <c r="E463" s="36" t="n"/>
      <c r="F463" s="37">
        <f>IF(A463="","",IFERROR(INDEX(Maniobras!$K$5:$K$504,MATCH(A463,Maniobras!$A$5:$A$504,0)),""))</f>
        <v/>
      </c>
      <c r="G463" s="37" t="n"/>
      <c r="H463" s="37" t="n"/>
      <c r="I463" s="37">
        <f>IF(G463="","",G463+N(H463))</f>
        <v/>
      </c>
      <c r="J463" s="36" t="n"/>
      <c r="K463" s="40" t="n"/>
      <c r="L463" s="36" t="n"/>
      <c r="M463">
        <f>IF($A463=Ficha!$B$3,COUNTIF($A$5:$A463,Ficha!$B$3),"")</f>
        <v/>
      </c>
    </row>
    <row r="464">
      <c r="A464" s="38" t="n"/>
      <c r="B464" s="41">
        <f>IF(A464="","",IFERROR(INDEX(Maniobras!$B$5:$B$504,MATCH(A464,Maniobras!$A$5:$A$504,0)),""))</f>
        <v/>
      </c>
      <c r="C464" s="38">
        <f>IF(B464="","",TEXT(B464,"yyyy-mm"))</f>
        <v/>
      </c>
      <c r="D464" s="38">
        <f>IF(A464="","",IFERROR(INDEX(Maniobras!$D$5:$D$504,MATCH(A464,Maniobras!$A$5:$A$504,0)),""))</f>
        <v/>
      </c>
      <c r="E464" s="38" t="n"/>
      <c r="F464" s="39">
        <f>IF(A464="","",IFERROR(INDEX(Maniobras!$K$5:$K$504,MATCH(A464,Maniobras!$A$5:$A$504,0)),""))</f>
        <v/>
      </c>
      <c r="G464" s="39" t="n"/>
      <c r="H464" s="39" t="n"/>
      <c r="I464" s="39">
        <f>IF(G464="","",G464+N(H464))</f>
        <v/>
      </c>
      <c r="J464" s="38" t="n"/>
      <c r="K464" s="41" t="n"/>
      <c r="L464" s="38" t="n"/>
      <c r="M464">
        <f>IF($A464=Ficha!$B$3,COUNTIF($A$5:$A464,Ficha!$B$3),"")</f>
        <v/>
      </c>
    </row>
    <row r="465">
      <c r="A465" s="36" t="n"/>
      <c r="B465" s="40">
        <f>IF(A465="","",IFERROR(INDEX(Maniobras!$B$5:$B$504,MATCH(A465,Maniobras!$A$5:$A$504,0)),""))</f>
        <v/>
      </c>
      <c r="C465" s="36">
        <f>IF(B465="","",TEXT(B465,"yyyy-mm"))</f>
        <v/>
      </c>
      <c r="D465" s="36">
        <f>IF(A465="","",IFERROR(INDEX(Maniobras!$D$5:$D$504,MATCH(A465,Maniobras!$A$5:$A$504,0)),""))</f>
        <v/>
      </c>
      <c r="E465" s="36" t="n"/>
      <c r="F465" s="37">
        <f>IF(A465="","",IFERROR(INDEX(Maniobras!$K$5:$K$504,MATCH(A465,Maniobras!$A$5:$A$504,0)),""))</f>
        <v/>
      </c>
      <c r="G465" s="37" t="n"/>
      <c r="H465" s="37" t="n"/>
      <c r="I465" s="37">
        <f>IF(G465="","",G465+N(H465))</f>
        <v/>
      </c>
      <c r="J465" s="36" t="n"/>
      <c r="K465" s="40" t="n"/>
      <c r="L465" s="36" t="n"/>
      <c r="M465">
        <f>IF($A465=Ficha!$B$3,COUNTIF($A$5:$A465,Ficha!$B$3),"")</f>
        <v/>
      </c>
    </row>
    <row r="466">
      <c r="A466" s="38" t="n"/>
      <c r="B466" s="41">
        <f>IF(A466="","",IFERROR(INDEX(Maniobras!$B$5:$B$504,MATCH(A466,Maniobras!$A$5:$A$504,0)),""))</f>
        <v/>
      </c>
      <c r="C466" s="38">
        <f>IF(B466="","",TEXT(B466,"yyyy-mm"))</f>
        <v/>
      </c>
      <c r="D466" s="38">
        <f>IF(A466="","",IFERROR(INDEX(Maniobras!$D$5:$D$504,MATCH(A466,Maniobras!$A$5:$A$504,0)),""))</f>
        <v/>
      </c>
      <c r="E466" s="38" t="n"/>
      <c r="F466" s="39">
        <f>IF(A466="","",IFERROR(INDEX(Maniobras!$K$5:$K$504,MATCH(A466,Maniobras!$A$5:$A$504,0)),""))</f>
        <v/>
      </c>
      <c r="G466" s="39" t="n"/>
      <c r="H466" s="39" t="n"/>
      <c r="I466" s="39">
        <f>IF(G466="","",G466+N(H466))</f>
        <v/>
      </c>
      <c r="J466" s="38" t="n"/>
      <c r="K466" s="41" t="n"/>
      <c r="L466" s="38" t="n"/>
      <c r="M466">
        <f>IF($A466=Ficha!$B$3,COUNTIF($A$5:$A466,Ficha!$B$3),"")</f>
        <v/>
      </c>
    </row>
    <row r="467">
      <c r="A467" s="36" t="n"/>
      <c r="B467" s="40">
        <f>IF(A467="","",IFERROR(INDEX(Maniobras!$B$5:$B$504,MATCH(A467,Maniobras!$A$5:$A$504,0)),""))</f>
        <v/>
      </c>
      <c r="C467" s="36">
        <f>IF(B467="","",TEXT(B467,"yyyy-mm"))</f>
        <v/>
      </c>
      <c r="D467" s="36">
        <f>IF(A467="","",IFERROR(INDEX(Maniobras!$D$5:$D$504,MATCH(A467,Maniobras!$A$5:$A$504,0)),""))</f>
        <v/>
      </c>
      <c r="E467" s="36" t="n"/>
      <c r="F467" s="37">
        <f>IF(A467="","",IFERROR(INDEX(Maniobras!$K$5:$K$504,MATCH(A467,Maniobras!$A$5:$A$504,0)),""))</f>
        <v/>
      </c>
      <c r="G467" s="37" t="n"/>
      <c r="H467" s="37" t="n"/>
      <c r="I467" s="37">
        <f>IF(G467="","",G467+N(H467))</f>
        <v/>
      </c>
      <c r="J467" s="36" t="n"/>
      <c r="K467" s="40" t="n"/>
      <c r="L467" s="36" t="n"/>
      <c r="M467">
        <f>IF($A467=Ficha!$B$3,COUNTIF($A$5:$A467,Ficha!$B$3),"")</f>
        <v/>
      </c>
    </row>
    <row r="468">
      <c r="A468" s="38" t="n"/>
      <c r="B468" s="41">
        <f>IF(A468="","",IFERROR(INDEX(Maniobras!$B$5:$B$504,MATCH(A468,Maniobras!$A$5:$A$504,0)),""))</f>
        <v/>
      </c>
      <c r="C468" s="38">
        <f>IF(B468="","",TEXT(B468,"yyyy-mm"))</f>
        <v/>
      </c>
      <c r="D468" s="38">
        <f>IF(A468="","",IFERROR(INDEX(Maniobras!$D$5:$D$504,MATCH(A468,Maniobras!$A$5:$A$504,0)),""))</f>
        <v/>
      </c>
      <c r="E468" s="38" t="n"/>
      <c r="F468" s="39">
        <f>IF(A468="","",IFERROR(INDEX(Maniobras!$K$5:$K$504,MATCH(A468,Maniobras!$A$5:$A$504,0)),""))</f>
        <v/>
      </c>
      <c r="G468" s="39" t="n"/>
      <c r="H468" s="39" t="n"/>
      <c r="I468" s="39">
        <f>IF(G468="","",G468+N(H468))</f>
        <v/>
      </c>
      <c r="J468" s="38" t="n"/>
      <c r="K468" s="41" t="n"/>
      <c r="L468" s="38" t="n"/>
      <c r="M468">
        <f>IF($A468=Ficha!$B$3,COUNTIF($A$5:$A468,Ficha!$B$3),"")</f>
        <v/>
      </c>
    </row>
    <row r="469">
      <c r="A469" s="36" t="n"/>
      <c r="B469" s="40">
        <f>IF(A469="","",IFERROR(INDEX(Maniobras!$B$5:$B$504,MATCH(A469,Maniobras!$A$5:$A$504,0)),""))</f>
        <v/>
      </c>
      <c r="C469" s="36">
        <f>IF(B469="","",TEXT(B469,"yyyy-mm"))</f>
        <v/>
      </c>
      <c r="D469" s="36">
        <f>IF(A469="","",IFERROR(INDEX(Maniobras!$D$5:$D$504,MATCH(A469,Maniobras!$A$5:$A$504,0)),""))</f>
        <v/>
      </c>
      <c r="E469" s="36" t="n"/>
      <c r="F469" s="37">
        <f>IF(A469="","",IFERROR(INDEX(Maniobras!$K$5:$K$504,MATCH(A469,Maniobras!$A$5:$A$504,0)),""))</f>
        <v/>
      </c>
      <c r="G469" s="37" t="n"/>
      <c r="H469" s="37" t="n"/>
      <c r="I469" s="37">
        <f>IF(G469="","",G469+N(H469))</f>
        <v/>
      </c>
      <c r="J469" s="36" t="n"/>
      <c r="K469" s="40" t="n"/>
      <c r="L469" s="36" t="n"/>
      <c r="M469">
        <f>IF($A469=Ficha!$B$3,COUNTIF($A$5:$A469,Ficha!$B$3),"")</f>
        <v/>
      </c>
    </row>
    <row r="470">
      <c r="A470" s="38" t="n"/>
      <c r="B470" s="41">
        <f>IF(A470="","",IFERROR(INDEX(Maniobras!$B$5:$B$504,MATCH(A470,Maniobras!$A$5:$A$504,0)),""))</f>
        <v/>
      </c>
      <c r="C470" s="38">
        <f>IF(B470="","",TEXT(B470,"yyyy-mm"))</f>
        <v/>
      </c>
      <c r="D470" s="38">
        <f>IF(A470="","",IFERROR(INDEX(Maniobras!$D$5:$D$504,MATCH(A470,Maniobras!$A$5:$A$504,0)),""))</f>
        <v/>
      </c>
      <c r="E470" s="38" t="n"/>
      <c r="F470" s="39">
        <f>IF(A470="","",IFERROR(INDEX(Maniobras!$K$5:$K$504,MATCH(A470,Maniobras!$A$5:$A$504,0)),""))</f>
        <v/>
      </c>
      <c r="G470" s="39" t="n"/>
      <c r="H470" s="39" t="n"/>
      <c r="I470" s="39">
        <f>IF(G470="","",G470+N(H470))</f>
        <v/>
      </c>
      <c r="J470" s="38" t="n"/>
      <c r="K470" s="41" t="n"/>
      <c r="L470" s="38" t="n"/>
      <c r="M470">
        <f>IF($A470=Ficha!$B$3,COUNTIF($A$5:$A470,Ficha!$B$3),"")</f>
        <v/>
      </c>
    </row>
    <row r="471">
      <c r="A471" s="36" t="n"/>
      <c r="B471" s="40">
        <f>IF(A471="","",IFERROR(INDEX(Maniobras!$B$5:$B$504,MATCH(A471,Maniobras!$A$5:$A$504,0)),""))</f>
        <v/>
      </c>
      <c r="C471" s="36">
        <f>IF(B471="","",TEXT(B471,"yyyy-mm"))</f>
        <v/>
      </c>
      <c r="D471" s="36">
        <f>IF(A471="","",IFERROR(INDEX(Maniobras!$D$5:$D$504,MATCH(A471,Maniobras!$A$5:$A$504,0)),""))</f>
        <v/>
      </c>
      <c r="E471" s="36" t="n"/>
      <c r="F471" s="37">
        <f>IF(A471="","",IFERROR(INDEX(Maniobras!$K$5:$K$504,MATCH(A471,Maniobras!$A$5:$A$504,0)),""))</f>
        <v/>
      </c>
      <c r="G471" s="37" t="n"/>
      <c r="H471" s="37" t="n"/>
      <c r="I471" s="37">
        <f>IF(G471="","",G471+N(H471))</f>
        <v/>
      </c>
      <c r="J471" s="36" t="n"/>
      <c r="K471" s="40" t="n"/>
      <c r="L471" s="36" t="n"/>
      <c r="M471">
        <f>IF($A471=Ficha!$B$3,COUNTIF($A$5:$A471,Ficha!$B$3),"")</f>
        <v/>
      </c>
    </row>
    <row r="472">
      <c r="A472" s="38" t="n"/>
      <c r="B472" s="41">
        <f>IF(A472="","",IFERROR(INDEX(Maniobras!$B$5:$B$504,MATCH(A472,Maniobras!$A$5:$A$504,0)),""))</f>
        <v/>
      </c>
      <c r="C472" s="38">
        <f>IF(B472="","",TEXT(B472,"yyyy-mm"))</f>
        <v/>
      </c>
      <c r="D472" s="38">
        <f>IF(A472="","",IFERROR(INDEX(Maniobras!$D$5:$D$504,MATCH(A472,Maniobras!$A$5:$A$504,0)),""))</f>
        <v/>
      </c>
      <c r="E472" s="38" t="n"/>
      <c r="F472" s="39">
        <f>IF(A472="","",IFERROR(INDEX(Maniobras!$K$5:$K$504,MATCH(A472,Maniobras!$A$5:$A$504,0)),""))</f>
        <v/>
      </c>
      <c r="G472" s="39" t="n"/>
      <c r="H472" s="39" t="n"/>
      <c r="I472" s="39">
        <f>IF(G472="","",G472+N(H472))</f>
        <v/>
      </c>
      <c r="J472" s="38" t="n"/>
      <c r="K472" s="41" t="n"/>
      <c r="L472" s="38" t="n"/>
      <c r="M472">
        <f>IF($A472=Ficha!$B$3,COUNTIF($A$5:$A472,Ficha!$B$3),"")</f>
        <v/>
      </c>
    </row>
    <row r="473">
      <c r="A473" s="36" t="n"/>
      <c r="B473" s="40">
        <f>IF(A473="","",IFERROR(INDEX(Maniobras!$B$5:$B$504,MATCH(A473,Maniobras!$A$5:$A$504,0)),""))</f>
        <v/>
      </c>
      <c r="C473" s="36">
        <f>IF(B473="","",TEXT(B473,"yyyy-mm"))</f>
        <v/>
      </c>
      <c r="D473" s="36">
        <f>IF(A473="","",IFERROR(INDEX(Maniobras!$D$5:$D$504,MATCH(A473,Maniobras!$A$5:$A$504,0)),""))</f>
        <v/>
      </c>
      <c r="E473" s="36" t="n"/>
      <c r="F473" s="37">
        <f>IF(A473="","",IFERROR(INDEX(Maniobras!$K$5:$K$504,MATCH(A473,Maniobras!$A$5:$A$504,0)),""))</f>
        <v/>
      </c>
      <c r="G473" s="37" t="n"/>
      <c r="H473" s="37" t="n"/>
      <c r="I473" s="37">
        <f>IF(G473="","",G473+N(H473))</f>
        <v/>
      </c>
      <c r="J473" s="36" t="n"/>
      <c r="K473" s="40" t="n"/>
      <c r="L473" s="36" t="n"/>
      <c r="M473">
        <f>IF($A473=Ficha!$B$3,COUNTIF($A$5:$A473,Ficha!$B$3),"")</f>
        <v/>
      </c>
    </row>
    <row r="474">
      <c r="A474" s="38" t="n"/>
      <c r="B474" s="41">
        <f>IF(A474="","",IFERROR(INDEX(Maniobras!$B$5:$B$504,MATCH(A474,Maniobras!$A$5:$A$504,0)),""))</f>
        <v/>
      </c>
      <c r="C474" s="38">
        <f>IF(B474="","",TEXT(B474,"yyyy-mm"))</f>
        <v/>
      </c>
      <c r="D474" s="38">
        <f>IF(A474="","",IFERROR(INDEX(Maniobras!$D$5:$D$504,MATCH(A474,Maniobras!$A$5:$A$504,0)),""))</f>
        <v/>
      </c>
      <c r="E474" s="38" t="n"/>
      <c r="F474" s="39">
        <f>IF(A474="","",IFERROR(INDEX(Maniobras!$K$5:$K$504,MATCH(A474,Maniobras!$A$5:$A$504,0)),""))</f>
        <v/>
      </c>
      <c r="G474" s="39" t="n"/>
      <c r="H474" s="39" t="n"/>
      <c r="I474" s="39">
        <f>IF(G474="","",G474+N(H474))</f>
        <v/>
      </c>
      <c r="J474" s="38" t="n"/>
      <c r="K474" s="41" t="n"/>
      <c r="L474" s="38" t="n"/>
      <c r="M474">
        <f>IF($A474=Ficha!$B$3,COUNTIF($A$5:$A474,Ficha!$B$3),"")</f>
        <v/>
      </c>
    </row>
    <row r="475">
      <c r="A475" s="36" t="n"/>
      <c r="B475" s="40">
        <f>IF(A475="","",IFERROR(INDEX(Maniobras!$B$5:$B$504,MATCH(A475,Maniobras!$A$5:$A$504,0)),""))</f>
        <v/>
      </c>
      <c r="C475" s="36">
        <f>IF(B475="","",TEXT(B475,"yyyy-mm"))</f>
        <v/>
      </c>
      <c r="D475" s="36">
        <f>IF(A475="","",IFERROR(INDEX(Maniobras!$D$5:$D$504,MATCH(A475,Maniobras!$A$5:$A$504,0)),""))</f>
        <v/>
      </c>
      <c r="E475" s="36" t="n"/>
      <c r="F475" s="37">
        <f>IF(A475="","",IFERROR(INDEX(Maniobras!$K$5:$K$504,MATCH(A475,Maniobras!$A$5:$A$504,0)),""))</f>
        <v/>
      </c>
      <c r="G475" s="37" t="n"/>
      <c r="H475" s="37" t="n"/>
      <c r="I475" s="37">
        <f>IF(G475="","",G475+N(H475))</f>
        <v/>
      </c>
      <c r="J475" s="36" t="n"/>
      <c r="K475" s="40" t="n"/>
      <c r="L475" s="36" t="n"/>
      <c r="M475">
        <f>IF($A475=Ficha!$B$3,COUNTIF($A$5:$A475,Ficha!$B$3),"")</f>
        <v/>
      </c>
    </row>
    <row r="476">
      <c r="A476" s="38" t="n"/>
      <c r="B476" s="41">
        <f>IF(A476="","",IFERROR(INDEX(Maniobras!$B$5:$B$504,MATCH(A476,Maniobras!$A$5:$A$504,0)),""))</f>
        <v/>
      </c>
      <c r="C476" s="38">
        <f>IF(B476="","",TEXT(B476,"yyyy-mm"))</f>
        <v/>
      </c>
      <c r="D476" s="38">
        <f>IF(A476="","",IFERROR(INDEX(Maniobras!$D$5:$D$504,MATCH(A476,Maniobras!$A$5:$A$504,0)),""))</f>
        <v/>
      </c>
      <c r="E476" s="38" t="n"/>
      <c r="F476" s="39">
        <f>IF(A476="","",IFERROR(INDEX(Maniobras!$K$5:$K$504,MATCH(A476,Maniobras!$A$5:$A$504,0)),""))</f>
        <v/>
      </c>
      <c r="G476" s="39" t="n"/>
      <c r="H476" s="39" t="n"/>
      <c r="I476" s="39">
        <f>IF(G476="","",G476+N(H476))</f>
        <v/>
      </c>
      <c r="J476" s="38" t="n"/>
      <c r="K476" s="41" t="n"/>
      <c r="L476" s="38" t="n"/>
      <c r="M476">
        <f>IF($A476=Ficha!$B$3,COUNTIF($A$5:$A476,Ficha!$B$3),"")</f>
        <v/>
      </c>
    </row>
    <row r="477">
      <c r="A477" s="36" t="n"/>
      <c r="B477" s="40">
        <f>IF(A477="","",IFERROR(INDEX(Maniobras!$B$5:$B$504,MATCH(A477,Maniobras!$A$5:$A$504,0)),""))</f>
        <v/>
      </c>
      <c r="C477" s="36">
        <f>IF(B477="","",TEXT(B477,"yyyy-mm"))</f>
        <v/>
      </c>
      <c r="D477" s="36">
        <f>IF(A477="","",IFERROR(INDEX(Maniobras!$D$5:$D$504,MATCH(A477,Maniobras!$A$5:$A$504,0)),""))</f>
        <v/>
      </c>
      <c r="E477" s="36" t="n"/>
      <c r="F477" s="37">
        <f>IF(A477="","",IFERROR(INDEX(Maniobras!$K$5:$K$504,MATCH(A477,Maniobras!$A$5:$A$504,0)),""))</f>
        <v/>
      </c>
      <c r="G477" s="37" t="n"/>
      <c r="H477" s="37" t="n"/>
      <c r="I477" s="37">
        <f>IF(G477="","",G477+N(H477))</f>
        <v/>
      </c>
      <c r="J477" s="36" t="n"/>
      <c r="K477" s="40" t="n"/>
      <c r="L477" s="36" t="n"/>
      <c r="M477">
        <f>IF($A477=Ficha!$B$3,COUNTIF($A$5:$A477,Ficha!$B$3),"")</f>
        <v/>
      </c>
    </row>
    <row r="478">
      <c r="A478" s="38" t="n"/>
      <c r="B478" s="41">
        <f>IF(A478="","",IFERROR(INDEX(Maniobras!$B$5:$B$504,MATCH(A478,Maniobras!$A$5:$A$504,0)),""))</f>
        <v/>
      </c>
      <c r="C478" s="38">
        <f>IF(B478="","",TEXT(B478,"yyyy-mm"))</f>
        <v/>
      </c>
      <c r="D478" s="38">
        <f>IF(A478="","",IFERROR(INDEX(Maniobras!$D$5:$D$504,MATCH(A478,Maniobras!$A$5:$A$504,0)),""))</f>
        <v/>
      </c>
      <c r="E478" s="38" t="n"/>
      <c r="F478" s="39">
        <f>IF(A478="","",IFERROR(INDEX(Maniobras!$K$5:$K$504,MATCH(A478,Maniobras!$A$5:$A$504,0)),""))</f>
        <v/>
      </c>
      <c r="G478" s="39" t="n"/>
      <c r="H478" s="39" t="n"/>
      <c r="I478" s="39">
        <f>IF(G478="","",G478+N(H478))</f>
        <v/>
      </c>
      <c r="J478" s="38" t="n"/>
      <c r="K478" s="41" t="n"/>
      <c r="L478" s="38" t="n"/>
      <c r="M478">
        <f>IF($A478=Ficha!$B$3,COUNTIF($A$5:$A478,Ficha!$B$3),"")</f>
        <v/>
      </c>
    </row>
    <row r="479">
      <c r="A479" s="36" t="n"/>
      <c r="B479" s="40">
        <f>IF(A479="","",IFERROR(INDEX(Maniobras!$B$5:$B$504,MATCH(A479,Maniobras!$A$5:$A$504,0)),""))</f>
        <v/>
      </c>
      <c r="C479" s="36">
        <f>IF(B479="","",TEXT(B479,"yyyy-mm"))</f>
        <v/>
      </c>
      <c r="D479" s="36">
        <f>IF(A479="","",IFERROR(INDEX(Maniobras!$D$5:$D$504,MATCH(A479,Maniobras!$A$5:$A$504,0)),""))</f>
        <v/>
      </c>
      <c r="E479" s="36" t="n"/>
      <c r="F479" s="37">
        <f>IF(A479="","",IFERROR(INDEX(Maniobras!$K$5:$K$504,MATCH(A479,Maniobras!$A$5:$A$504,0)),""))</f>
        <v/>
      </c>
      <c r="G479" s="37" t="n"/>
      <c r="H479" s="37" t="n"/>
      <c r="I479" s="37">
        <f>IF(G479="","",G479+N(H479))</f>
        <v/>
      </c>
      <c r="J479" s="36" t="n"/>
      <c r="K479" s="40" t="n"/>
      <c r="L479" s="36" t="n"/>
      <c r="M479">
        <f>IF($A479=Ficha!$B$3,COUNTIF($A$5:$A479,Ficha!$B$3),"")</f>
        <v/>
      </c>
    </row>
    <row r="480">
      <c r="A480" s="38" t="n"/>
      <c r="B480" s="41">
        <f>IF(A480="","",IFERROR(INDEX(Maniobras!$B$5:$B$504,MATCH(A480,Maniobras!$A$5:$A$504,0)),""))</f>
        <v/>
      </c>
      <c r="C480" s="38">
        <f>IF(B480="","",TEXT(B480,"yyyy-mm"))</f>
        <v/>
      </c>
      <c r="D480" s="38">
        <f>IF(A480="","",IFERROR(INDEX(Maniobras!$D$5:$D$504,MATCH(A480,Maniobras!$A$5:$A$504,0)),""))</f>
        <v/>
      </c>
      <c r="E480" s="38" t="n"/>
      <c r="F480" s="39">
        <f>IF(A480="","",IFERROR(INDEX(Maniobras!$K$5:$K$504,MATCH(A480,Maniobras!$A$5:$A$504,0)),""))</f>
        <v/>
      </c>
      <c r="G480" s="39" t="n"/>
      <c r="H480" s="39" t="n"/>
      <c r="I480" s="39">
        <f>IF(G480="","",G480+N(H480))</f>
        <v/>
      </c>
      <c r="J480" s="38" t="n"/>
      <c r="K480" s="41" t="n"/>
      <c r="L480" s="38" t="n"/>
      <c r="M480">
        <f>IF($A480=Ficha!$B$3,COUNTIF($A$5:$A480,Ficha!$B$3),"")</f>
        <v/>
      </c>
    </row>
    <row r="481">
      <c r="A481" s="36" t="n"/>
      <c r="B481" s="40">
        <f>IF(A481="","",IFERROR(INDEX(Maniobras!$B$5:$B$504,MATCH(A481,Maniobras!$A$5:$A$504,0)),""))</f>
        <v/>
      </c>
      <c r="C481" s="36">
        <f>IF(B481="","",TEXT(B481,"yyyy-mm"))</f>
        <v/>
      </c>
      <c r="D481" s="36">
        <f>IF(A481="","",IFERROR(INDEX(Maniobras!$D$5:$D$504,MATCH(A481,Maniobras!$A$5:$A$504,0)),""))</f>
        <v/>
      </c>
      <c r="E481" s="36" t="n"/>
      <c r="F481" s="37">
        <f>IF(A481="","",IFERROR(INDEX(Maniobras!$K$5:$K$504,MATCH(A481,Maniobras!$A$5:$A$504,0)),""))</f>
        <v/>
      </c>
      <c r="G481" s="37" t="n"/>
      <c r="H481" s="37" t="n"/>
      <c r="I481" s="37">
        <f>IF(G481="","",G481+N(H481))</f>
        <v/>
      </c>
      <c r="J481" s="36" t="n"/>
      <c r="K481" s="40" t="n"/>
      <c r="L481" s="36" t="n"/>
      <c r="M481">
        <f>IF($A481=Ficha!$B$3,COUNTIF($A$5:$A481,Ficha!$B$3),"")</f>
        <v/>
      </c>
    </row>
    <row r="482">
      <c r="A482" s="38" t="n"/>
      <c r="B482" s="41">
        <f>IF(A482="","",IFERROR(INDEX(Maniobras!$B$5:$B$504,MATCH(A482,Maniobras!$A$5:$A$504,0)),""))</f>
        <v/>
      </c>
      <c r="C482" s="38">
        <f>IF(B482="","",TEXT(B482,"yyyy-mm"))</f>
        <v/>
      </c>
      <c r="D482" s="38">
        <f>IF(A482="","",IFERROR(INDEX(Maniobras!$D$5:$D$504,MATCH(A482,Maniobras!$A$5:$A$504,0)),""))</f>
        <v/>
      </c>
      <c r="E482" s="38" t="n"/>
      <c r="F482" s="39">
        <f>IF(A482="","",IFERROR(INDEX(Maniobras!$K$5:$K$504,MATCH(A482,Maniobras!$A$5:$A$504,0)),""))</f>
        <v/>
      </c>
      <c r="G482" s="39" t="n"/>
      <c r="H482" s="39" t="n"/>
      <c r="I482" s="39">
        <f>IF(G482="","",G482+N(H482))</f>
        <v/>
      </c>
      <c r="J482" s="38" t="n"/>
      <c r="K482" s="41" t="n"/>
      <c r="L482" s="38" t="n"/>
      <c r="M482">
        <f>IF($A482=Ficha!$B$3,COUNTIF($A$5:$A482,Ficha!$B$3),"")</f>
        <v/>
      </c>
    </row>
    <row r="483">
      <c r="A483" s="36" t="n"/>
      <c r="B483" s="40">
        <f>IF(A483="","",IFERROR(INDEX(Maniobras!$B$5:$B$504,MATCH(A483,Maniobras!$A$5:$A$504,0)),""))</f>
        <v/>
      </c>
      <c r="C483" s="36">
        <f>IF(B483="","",TEXT(B483,"yyyy-mm"))</f>
        <v/>
      </c>
      <c r="D483" s="36">
        <f>IF(A483="","",IFERROR(INDEX(Maniobras!$D$5:$D$504,MATCH(A483,Maniobras!$A$5:$A$504,0)),""))</f>
        <v/>
      </c>
      <c r="E483" s="36" t="n"/>
      <c r="F483" s="37">
        <f>IF(A483="","",IFERROR(INDEX(Maniobras!$K$5:$K$504,MATCH(A483,Maniobras!$A$5:$A$504,0)),""))</f>
        <v/>
      </c>
      <c r="G483" s="37" t="n"/>
      <c r="H483" s="37" t="n"/>
      <c r="I483" s="37">
        <f>IF(G483="","",G483+N(H483))</f>
        <v/>
      </c>
      <c r="J483" s="36" t="n"/>
      <c r="K483" s="40" t="n"/>
      <c r="L483" s="36" t="n"/>
      <c r="M483">
        <f>IF($A483=Ficha!$B$3,COUNTIF($A$5:$A483,Ficha!$B$3),"")</f>
        <v/>
      </c>
    </row>
    <row r="484">
      <c r="A484" s="38" t="n"/>
      <c r="B484" s="41">
        <f>IF(A484="","",IFERROR(INDEX(Maniobras!$B$5:$B$504,MATCH(A484,Maniobras!$A$5:$A$504,0)),""))</f>
        <v/>
      </c>
      <c r="C484" s="38">
        <f>IF(B484="","",TEXT(B484,"yyyy-mm"))</f>
        <v/>
      </c>
      <c r="D484" s="38">
        <f>IF(A484="","",IFERROR(INDEX(Maniobras!$D$5:$D$504,MATCH(A484,Maniobras!$A$5:$A$504,0)),""))</f>
        <v/>
      </c>
      <c r="E484" s="38" t="n"/>
      <c r="F484" s="39">
        <f>IF(A484="","",IFERROR(INDEX(Maniobras!$K$5:$K$504,MATCH(A484,Maniobras!$A$5:$A$504,0)),""))</f>
        <v/>
      </c>
      <c r="G484" s="39" t="n"/>
      <c r="H484" s="39" t="n"/>
      <c r="I484" s="39">
        <f>IF(G484="","",G484+N(H484))</f>
        <v/>
      </c>
      <c r="J484" s="38" t="n"/>
      <c r="K484" s="41" t="n"/>
      <c r="L484" s="38" t="n"/>
      <c r="M484">
        <f>IF($A484=Ficha!$B$3,COUNTIF($A$5:$A484,Ficha!$B$3),"")</f>
        <v/>
      </c>
    </row>
    <row r="485">
      <c r="A485" s="36" t="n"/>
      <c r="B485" s="40">
        <f>IF(A485="","",IFERROR(INDEX(Maniobras!$B$5:$B$504,MATCH(A485,Maniobras!$A$5:$A$504,0)),""))</f>
        <v/>
      </c>
      <c r="C485" s="36">
        <f>IF(B485="","",TEXT(B485,"yyyy-mm"))</f>
        <v/>
      </c>
      <c r="D485" s="36">
        <f>IF(A485="","",IFERROR(INDEX(Maniobras!$D$5:$D$504,MATCH(A485,Maniobras!$A$5:$A$504,0)),""))</f>
        <v/>
      </c>
      <c r="E485" s="36" t="n"/>
      <c r="F485" s="37">
        <f>IF(A485="","",IFERROR(INDEX(Maniobras!$K$5:$K$504,MATCH(A485,Maniobras!$A$5:$A$504,0)),""))</f>
        <v/>
      </c>
      <c r="G485" s="37" t="n"/>
      <c r="H485" s="37" t="n"/>
      <c r="I485" s="37">
        <f>IF(G485="","",G485+N(H485))</f>
        <v/>
      </c>
      <c r="J485" s="36" t="n"/>
      <c r="K485" s="40" t="n"/>
      <c r="L485" s="36" t="n"/>
      <c r="M485">
        <f>IF($A485=Ficha!$B$3,COUNTIF($A$5:$A485,Ficha!$B$3),"")</f>
        <v/>
      </c>
    </row>
    <row r="486">
      <c r="A486" s="38" t="n"/>
      <c r="B486" s="41">
        <f>IF(A486="","",IFERROR(INDEX(Maniobras!$B$5:$B$504,MATCH(A486,Maniobras!$A$5:$A$504,0)),""))</f>
        <v/>
      </c>
      <c r="C486" s="38">
        <f>IF(B486="","",TEXT(B486,"yyyy-mm"))</f>
        <v/>
      </c>
      <c r="D486" s="38">
        <f>IF(A486="","",IFERROR(INDEX(Maniobras!$D$5:$D$504,MATCH(A486,Maniobras!$A$5:$A$504,0)),""))</f>
        <v/>
      </c>
      <c r="E486" s="38" t="n"/>
      <c r="F486" s="39">
        <f>IF(A486="","",IFERROR(INDEX(Maniobras!$K$5:$K$504,MATCH(A486,Maniobras!$A$5:$A$504,0)),""))</f>
        <v/>
      </c>
      <c r="G486" s="39" t="n"/>
      <c r="H486" s="39" t="n"/>
      <c r="I486" s="39">
        <f>IF(G486="","",G486+N(H486))</f>
        <v/>
      </c>
      <c r="J486" s="38" t="n"/>
      <c r="K486" s="41" t="n"/>
      <c r="L486" s="38" t="n"/>
      <c r="M486">
        <f>IF($A486=Ficha!$B$3,COUNTIF($A$5:$A486,Ficha!$B$3),"")</f>
        <v/>
      </c>
    </row>
    <row r="487">
      <c r="A487" s="36" t="n"/>
      <c r="B487" s="40">
        <f>IF(A487="","",IFERROR(INDEX(Maniobras!$B$5:$B$504,MATCH(A487,Maniobras!$A$5:$A$504,0)),""))</f>
        <v/>
      </c>
      <c r="C487" s="36">
        <f>IF(B487="","",TEXT(B487,"yyyy-mm"))</f>
        <v/>
      </c>
      <c r="D487" s="36">
        <f>IF(A487="","",IFERROR(INDEX(Maniobras!$D$5:$D$504,MATCH(A487,Maniobras!$A$5:$A$504,0)),""))</f>
        <v/>
      </c>
      <c r="E487" s="36" t="n"/>
      <c r="F487" s="37">
        <f>IF(A487="","",IFERROR(INDEX(Maniobras!$K$5:$K$504,MATCH(A487,Maniobras!$A$5:$A$504,0)),""))</f>
        <v/>
      </c>
      <c r="G487" s="37" t="n"/>
      <c r="H487" s="37" t="n"/>
      <c r="I487" s="37">
        <f>IF(G487="","",G487+N(H487))</f>
        <v/>
      </c>
      <c r="J487" s="36" t="n"/>
      <c r="K487" s="40" t="n"/>
      <c r="L487" s="36" t="n"/>
      <c r="M487">
        <f>IF($A487=Ficha!$B$3,COUNTIF($A$5:$A487,Ficha!$B$3),"")</f>
        <v/>
      </c>
    </row>
    <row r="488">
      <c r="A488" s="38" t="n"/>
      <c r="B488" s="41">
        <f>IF(A488="","",IFERROR(INDEX(Maniobras!$B$5:$B$504,MATCH(A488,Maniobras!$A$5:$A$504,0)),""))</f>
        <v/>
      </c>
      <c r="C488" s="38">
        <f>IF(B488="","",TEXT(B488,"yyyy-mm"))</f>
        <v/>
      </c>
      <c r="D488" s="38">
        <f>IF(A488="","",IFERROR(INDEX(Maniobras!$D$5:$D$504,MATCH(A488,Maniobras!$A$5:$A$504,0)),""))</f>
        <v/>
      </c>
      <c r="E488" s="38" t="n"/>
      <c r="F488" s="39">
        <f>IF(A488="","",IFERROR(INDEX(Maniobras!$K$5:$K$504,MATCH(A488,Maniobras!$A$5:$A$504,0)),""))</f>
        <v/>
      </c>
      <c r="G488" s="39" t="n"/>
      <c r="H488" s="39" t="n"/>
      <c r="I488" s="39">
        <f>IF(G488="","",G488+N(H488))</f>
        <v/>
      </c>
      <c r="J488" s="38" t="n"/>
      <c r="K488" s="41" t="n"/>
      <c r="L488" s="38" t="n"/>
      <c r="M488">
        <f>IF($A488=Ficha!$B$3,COUNTIF($A$5:$A488,Ficha!$B$3),"")</f>
        <v/>
      </c>
    </row>
    <row r="489">
      <c r="A489" s="36" t="n"/>
      <c r="B489" s="40">
        <f>IF(A489="","",IFERROR(INDEX(Maniobras!$B$5:$B$504,MATCH(A489,Maniobras!$A$5:$A$504,0)),""))</f>
        <v/>
      </c>
      <c r="C489" s="36">
        <f>IF(B489="","",TEXT(B489,"yyyy-mm"))</f>
        <v/>
      </c>
      <c r="D489" s="36">
        <f>IF(A489="","",IFERROR(INDEX(Maniobras!$D$5:$D$504,MATCH(A489,Maniobras!$A$5:$A$504,0)),""))</f>
        <v/>
      </c>
      <c r="E489" s="36" t="n"/>
      <c r="F489" s="37">
        <f>IF(A489="","",IFERROR(INDEX(Maniobras!$K$5:$K$504,MATCH(A489,Maniobras!$A$5:$A$504,0)),""))</f>
        <v/>
      </c>
      <c r="G489" s="37" t="n"/>
      <c r="H489" s="37" t="n"/>
      <c r="I489" s="37">
        <f>IF(G489="","",G489+N(H489))</f>
        <v/>
      </c>
      <c r="J489" s="36" t="n"/>
      <c r="K489" s="40" t="n"/>
      <c r="L489" s="36" t="n"/>
      <c r="M489">
        <f>IF($A489=Ficha!$B$3,COUNTIF($A$5:$A489,Ficha!$B$3),"")</f>
        <v/>
      </c>
    </row>
    <row r="490">
      <c r="A490" s="38" t="n"/>
      <c r="B490" s="41">
        <f>IF(A490="","",IFERROR(INDEX(Maniobras!$B$5:$B$504,MATCH(A490,Maniobras!$A$5:$A$504,0)),""))</f>
        <v/>
      </c>
      <c r="C490" s="38">
        <f>IF(B490="","",TEXT(B490,"yyyy-mm"))</f>
        <v/>
      </c>
      <c r="D490" s="38">
        <f>IF(A490="","",IFERROR(INDEX(Maniobras!$D$5:$D$504,MATCH(A490,Maniobras!$A$5:$A$504,0)),""))</f>
        <v/>
      </c>
      <c r="E490" s="38" t="n"/>
      <c r="F490" s="39">
        <f>IF(A490="","",IFERROR(INDEX(Maniobras!$K$5:$K$504,MATCH(A490,Maniobras!$A$5:$A$504,0)),""))</f>
        <v/>
      </c>
      <c r="G490" s="39" t="n"/>
      <c r="H490" s="39" t="n"/>
      <c r="I490" s="39">
        <f>IF(G490="","",G490+N(H490))</f>
        <v/>
      </c>
      <c r="J490" s="38" t="n"/>
      <c r="K490" s="41" t="n"/>
      <c r="L490" s="38" t="n"/>
      <c r="M490">
        <f>IF($A490=Ficha!$B$3,COUNTIF($A$5:$A490,Ficha!$B$3),"")</f>
        <v/>
      </c>
    </row>
    <row r="491">
      <c r="A491" s="36" t="n"/>
      <c r="B491" s="40">
        <f>IF(A491="","",IFERROR(INDEX(Maniobras!$B$5:$B$504,MATCH(A491,Maniobras!$A$5:$A$504,0)),""))</f>
        <v/>
      </c>
      <c r="C491" s="36">
        <f>IF(B491="","",TEXT(B491,"yyyy-mm"))</f>
        <v/>
      </c>
      <c r="D491" s="36">
        <f>IF(A491="","",IFERROR(INDEX(Maniobras!$D$5:$D$504,MATCH(A491,Maniobras!$A$5:$A$504,0)),""))</f>
        <v/>
      </c>
      <c r="E491" s="36" t="n"/>
      <c r="F491" s="37">
        <f>IF(A491="","",IFERROR(INDEX(Maniobras!$K$5:$K$504,MATCH(A491,Maniobras!$A$5:$A$504,0)),""))</f>
        <v/>
      </c>
      <c r="G491" s="37" t="n"/>
      <c r="H491" s="37" t="n"/>
      <c r="I491" s="37">
        <f>IF(G491="","",G491+N(H491))</f>
        <v/>
      </c>
      <c r="J491" s="36" t="n"/>
      <c r="K491" s="40" t="n"/>
      <c r="L491" s="36" t="n"/>
      <c r="M491">
        <f>IF($A491=Ficha!$B$3,COUNTIF($A$5:$A491,Ficha!$B$3),"")</f>
        <v/>
      </c>
    </row>
    <row r="492">
      <c r="A492" s="38" t="n"/>
      <c r="B492" s="41">
        <f>IF(A492="","",IFERROR(INDEX(Maniobras!$B$5:$B$504,MATCH(A492,Maniobras!$A$5:$A$504,0)),""))</f>
        <v/>
      </c>
      <c r="C492" s="38">
        <f>IF(B492="","",TEXT(B492,"yyyy-mm"))</f>
        <v/>
      </c>
      <c r="D492" s="38">
        <f>IF(A492="","",IFERROR(INDEX(Maniobras!$D$5:$D$504,MATCH(A492,Maniobras!$A$5:$A$504,0)),""))</f>
        <v/>
      </c>
      <c r="E492" s="38" t="n"/>
      <c r="F492" s="39">
        <f>IF(A492="","",IFERROR(INDEX(Maniobras!$K$5:$K$504,MATCH(A492,Maniobras!$A$5:$A$504,0)),""))</f>
        <v/>
      </c>
      <c r="G492" s="39" t="n"/>
      <c r="H492" s="39" t="n"/>
      <c r="I492" s="39">
        <f>IF(G492="","",G492+N(H492))</f>
        <v/>
      </c>
      <c r="J492" s="38" t="n"/>
      <c r="K492" s="41" t="n"/>
      <c r="L492" s="38" t="n"/>
      <c r="M492">
        <f>IF($A492=Ficha!$B$3,COUNTIF($A$5:$A492,Ficha!$B$3),"")</f>
        <v/>
      </c>
    </row>
    <row r="493">
      <c r="A493" s="36" t="n"/>
      <c r="B493" s="40">
        <f>IF(A493="","",IFERROR(INDEX(Maniobras!$B$5:$B$504,MATCH(A493,Maniobras!$A$5:$A$504,0)),""))</f>
        <v/>
      </c>
      <c r="C493" s="36">
        <f>IF(B493="","",TEXT(B493,"yyyy-mm"))</f>
        <v/>
      </c>
      <c r="D493" s="36">
        <f>IF(A493="","",IFERROR(INDEX(Maniobras!$D$5:$D$504,MATCH(A493,Maniobras!$A$5:$A$504,0)),""))</f>
        <v/>
      </c>
      <c r="E493" s="36" t="n"/>
      <c r="F493" s="37">
        <f>IF(A493="","",IFERROR(INDEX(Maniobras!$K$5:$K$504,MATCH(A493,Maniobras!$A$5:$A$504,0)),""))</f>
        <v/>
      </c>
      <c r="G493" s="37" t="n"/>
      <c r="H493" s="37" t="n"/>
      <c r="I493" s="37">
        <f>IF(G493="","",G493+N(H493))</f>
        <v/>
      </c>
      <c r="J493" s="36" t="n"/>
      <c r="K493" s="40" t="n"/>
      <c r="L493" s="36" t="n"/>
      <c r="M493">
        <f>IF($A493=Ficha!$B$3,COUNTIF($A$5:$A493,Ficha!$B$3),"")</f>
        <v/>
      </c>
    </row>
    <row r="494">
      <c r="A494" s="38" t="n"/>
      <c r="B494" s="41">
        <f>IF(A494="","",IFERROR(INDEX(Maniobras!$B$5:$B$504,MATCH(A494,Maniobras!$A$5:$A$504,0)),""))</f>
        <v/>
      </c>
      <c r="C494" s="38">
        <f>IF(B494="","",TEXT(B494,"yyyy-mm"))</f>
        <v/>
      </c>
      <c r="D494" s="38">
        <f>IF(A494="","",IFERROR(INDEX(Maniobras!$D$5:$D$504,MATCH(A494,Maniobras!$A$5:$A$504,0)),""))</f>
        <v/>
      </c>
      <c r="E494" s="38" t="n"/>
      <c r="F494" s="39">
        <f>IF(A494="","",IFERROR(INDEX(Maniobras!$K$5:$K$504,MATCH(A494,Maniobras!$A$5:$A$504,0)),""))</f>
        <v/>
      </c>
      <c r="G494" s="39" t="n"/>
      <c r="H494" s="39" t="n"/>
      <c r="I494" s="39">
        <f>IF(G494="","",G494+N(H494))</f>
        <v/>
      </c>
      <c r="J494" s="38" t="n"/>
      <c r="K494" s="41" t="n"/>
      <c r="L494" s="38" t="n"/>
      <c r="M494">
        <f>IF($A494=Ficha!$B$3,COUNTIF($A$5:$A494,Ficha!$B$3),"")</f>
        <v/>
      </c>
    </row>
    <row r="495">
      <c r="A495" s="36" t="n"/>
      <c r="B495" s="40">
        <f>IF(A495="","",IFERROR(INDEX(Maniobras!$B$5:$B$504,MATCH(A495,Maniobras!$A$5:$A$504,0)),""))</f>
        <v/>
      </c>
      <c r="C495" s="36">
        <f>IF(B495="","",TEXT(B495,"yyyy-mm"))</f>
        <v/>
      </c>
      <c r="D495" s="36">
        <f>IF(A495="","",IFERROR(INDEX(Maniobras!$D$5:$D$504,MATCH(A495,Maniobras!$A$5:$A$504,0)),""))</f>
        <v/>
      </c>
      <c r="E495" s="36" t="n"/>
      <c r="F495" s="37">
        <f>IF(A495="","",IFERROR(INDEX(Maniobras!$K$5:$K$504,MATCH(A495,Maniobras!$A$5:$A$504,0)),""))</f>
        <v/>
      </c>
      <c r="G495" s="37" t="n"/>
      <c r="H495" s="37" t="n"/>
      <c r="I495" s="37">
        <f>IF(G495="","",G495+N(H495))</f>
        <v/>
      </c>
      <c r="J495" s="36" t="n"/>
      <c r="K495" s="40" t="n"/>
      <c r="L495" s="36" t="n"/>
      <c r="M495">
        <f>IF($A495=Ficha!$B$3,COUNTIF($A$5:$A495,Ficha!$B$3),"")</f>
        <v/>
      </c>
    </row>
    <row r="496">
      <c r="A496" s="38" t="n"/>
      <c r="B496" s="41">
        <f>IF(A496="","",IFERROR(INDEX(Maniobras!$B$5:$B$504,MATCH(A496,Maniobras!$A$5:$A$504,0)),""))</f>
        <v/>
      </c>
      <c r="C496" s="38">
        <f>IF(B496="","",TEXT(B496,"yyyy-mm"))</f>
        <v/>
      </c>
      <c r="D496" s="38">
        <f>IF(A496="","",IFERROR(INDEX(Maniobras!$D$5:$D$504,MATCH(A496,Maniobras!$A$5:$A$504,0)),""))</f>
        <v/>
      </c>
      <c r="E496" s="38" t="n"/>
      <c r="F496" s="39">
        <f>IF(A496="","",IFERROR(INDEX(Maniobras!$K$5:$K$504,MATCH(A496,Maniobras!$A$5:$A$504,0)),""))</f>
        <v/>
      </c>
      <c r="G496" s="39" t="n"/>
      <c r="H496" s="39" t="n"/>
      <c r="I496" s="39">
        <f>IF(G496="","",G496+N(H496))</f>
        <v/>
      </c>
      <c r="J496" s="38" t="n"/>
      <c r="K496" s="41" t="n"/>
      <c r="L496" s="38" t="n"/>
      <c r="M496">
        <f>IF($A496=Ficha!$B$3,COUNTIF($A$5:$A496,Ficha!$B$3),"")</f>
        <v/>
      </c>
    </row>
    <row r="497">
      <c r="A497" s="36" t="n"/>
      <c r="B497" s="40">
        <f>IF(A497="","",IFERROR(INDEX(Maniobras!$B$5:$B$504,MATCH(A497,Maniobras!$A$5:$A$504,0)),""))</f>
        <v/>
      </c>
      <c r="C497" s="36">
        <f>IF(B497="","",TEXT(B497,"yyyy-mm"))</f>
        <v/>
      </c>
      <c r="D497" s="36">
        <f>IF(A497="","",IFERROR(INDEX(Maniobras!$D$5:$D$504,MATCH(A497,Maniobras!$A$5:$A$504,0)),""))</f>
        <v/>
      </c>
      <c r="E497" s="36" t="n"/>
      <c r="F497" s="37">
        <f>IF(A497="","",IFERROR(INDEX(Maniobras!$K$5:$K$504,MATCH(A497,Maniobras!$A$5:$A$504,0)),""))</f>
        <v/>
      </c>
      <c r="G497" s="37" t="n"/>
      <c r="H497" s="37" t="n"/>
      <c r="I497" s="37">
        <f>IF(G497="","",G497+N(H497))</f>
        <v/>
      </c>
      <c r="J497" s="36" t="n"/>
      <c r="K497" s="40" t="n"/>
      <c r="L497" s="36" t="n"/>
      <c r="M497">
        <f>IF($A497=Ficha!$B$3,COUNTIF($A$5:$A497,Ficha!$B$3),"")</f>
        <v/>
      </c>
    </row>
    <row r="498">
      <c r="A498" s="38" t="n"/>
      <c r="B498" s="41">
        <f>IF(A498="","",IFERROR(INDEX(Maniobras!$B$5:$B$504,MATCH(A498,Maniobras!$A$5:$A$504,0)),""))</f>
        <v/>
      </c>
      <c r="C498" s="38">
        <f>IF(B498="","",TEXT(B498,"yyyy-mm"))</f>
        <v/>
      </c>
      <c r="D498" s="38">
        <f>IF(A498="","",IFERROR(INDEX(Maniobras!$D$5:$D$504,MATCH(A498,Maniobras!$A$5:$A$504,0)),""))</f>
        <v/>
      </c>
      <c r="E498" s="38" t="n"/>
      <c r="F498" s="39">
        <f>IF(A498="","",IFERROR(INDEX(Maniobras!$K$5:$K$504,MATCH(A498,Maniobras!$A$5:$A$504,0)),""))</f>
        <v/>
      </c>
      <c r="G498" s="39" t="n"/>
      <c r="H498" s="39" t="n"/>
      <c r="I498" s="39">
        <f>IF(G498="","",G498+N(H498))</f>
        <v/>
      </c>
      <c r="J498" s="38" t="n"/>
      <c r="K498" s="41" t="n"/>
      <c r="L498" s="38" t="n"/>
      <c r="M498">
        <f>IF($A498=Ficha!$B$3,COUNTIF($A$5:$A498,Ficha!$B$3),"")</f>
        <v/>
      </c>
    </row>
    <row r="499">
      <c r="A499" s="36" t="n"/>
      <c r="B499" s="40">
        <f>IF(A499="","",IFERROR(INDEX(Maniobras!$B$5:$B$504,MATCH(A499,Maniobras!$A$5:$A$504,0)),""))</f>
        <v/>
      </c>
      <c r="C499" s="36">
        <f>IF(B499="","",TEXT(B499,"yyyy-mm"))</f>
        <v/>
      </c>
      <c r="D499" s="36">
        <f>IF(A499="","",IFERROR(INDEX(Maniobras!$D$5:$D$504,MATCH(A499,Maniobras!$A$5:$A$504,0)),""))</f>
        <v/>
      </c>
      <c r="E499" s="36" t="n"/>
      <c r="F499" s="37">
        <f>IF(A499="","",IFERROR(INDEX(Maniobras!$K$5:$K$504,MATCH(A499,Maniobras!$A$5:$A$504,0)),""))</f>
        <v/>
      </c>
      <c r="G499" s="37" t="n"/>
      <c r="H499" s="37" t="n"/>
      <c r="I499" s="37">
        <f>IF(G499="","",G499+N(H499))</f>
        <v/>
      </c>
      <c r="J499" s="36" t="n"/>
      <c r="K499" s="40" t="n"/>
      <c r="L499" s="36" t="n"/>
      <c r="M499">
        <f>IF($A499=Ficha!$B$3,COUNTIF($A$5:$A499,Ficha!$B$3),"")</f>
        <v/>
      </c>
    </row>
    <row r="500">
      <c r="A500" s="38" t="n"/>
      <c r="B500" s="41">
        <f>IF(A500="","",IFERROR(INDEX(Maniobras!$B$5:$B$504,MATCH(A500,Maniobras!$A$5:$A$504,0)),""))</f>
        <v/>
      </c>
      <c r="C500" s="38">
        <f>IF(B500="","",TEXT(B500,"yyyy-mm"))</f>
        <v/>
      </c>
      <c r="D500" s="38">
        <f>IF(A500="","",IFERROR(INDEX(Maniobras!$D$5:$D$504,MATCH(A500,Maniobras!$A$5:$A$504,0)),""))</f>
        <v/>
      </c>
      <c r="E500" s="38" t="n"/>
      <c r="F500" s="39">
        <f>IF(A500="","",IFERROR(INDEX(Maniobras!$K$5:$K$504,MATCH(A500,Maniobras!$A$5:$A$504,0)),""))</f>
        <v/>
      </c>
      <c r="G500" s="39" t="n"/>
      <c r="H500" s="39" t="n"/>
      <c r="I500" s="39">
        <f>IF(G500="","",G500+N(H500))</f>
        <v/>
      </c>
      <c r="J500" s="38" t="n"/>
      <c r="K500" s="41" t="n"/>
      <c r="L500" s="38" t="n"/>
      <c r="M500">
        <f>IF($A500=Ficha!$B$3,COUNTIF($A$5:$A500,Ficha!$B$3),"")</f>
        <v/>
      </c>
    </row>
    <row r="501">
      <c r="A501" s="36" t="n"/>
      <c r="B501" s="40">
        <f>IF(A501="","",IFERROR(INDEX(Maniobras!$B$5:$B$504,MATCH(A501,Maniobras!$A$5:$A$504,0)),""))</f>
        <v/>
      </c>
      <c r="C501" s="36">
        <f>IF(B501="","",TEXT(B501,"yyyy-mm"))</f>
        <v/>
      </c>
      <c r="D501" s="36">
        <f>IF(A501="","",IFERROR(INDEX(Maniobras!$D$5:$D$504,MATCH(A501,Maniobras!$A$5:$A$504,0)),""))</f>
        <v/>
      </c>
      <c r="E501" s="36" t="n"/>
      <c r="F501" s="37">
        <f>IF(A501="","",IFERROR(INDEX(Maniobras!$K$5:$K$504,MATCH(A501,Maniobras!$A$5:$A$504,0)),""))</f>
        <v/>
      </c>
      <c r="G501" s="37" t="n"/>
      <c r="H501" s="37" t="n"/>
      <c r="I501" s="37">
        <f>IF(G501="","",G501+N(H501))</f>
        <v/>
      </c>
      <c r="J501" s="36" t="n"/>
      <c r="K501" s="40" t="n"/>
      <c r="L501" s="36" t="n"/>
      <c r="M501">
        <f>IF($A501=Ficha!$B$3,COUNTIF($A$5:$A501,Ficha!$B$3),"")</f>
        <v/>
      </c>
    </row>
    <row r="502">
      <c r="A502" s="38" t="n"/>
      <c r="B502" s="41">
        <f>IF(A502="","",IFERROR(INDEX(Maniobras!$B$5:$B$504,MATCH(A502,Maniobras!$A$5:$A$504,0)),""))</f>
        <v/>
      </c>
      <c r="C502" s="38">
        <f>IF(B502="","",TEXT(B502,"yyyy-mm"))</f>
        <v/>
      </c>
      <c r="D502" s="38">
        <f>IF(A502="","",IFERROR(INDEX(Maniobras!$D$5:$D$504,MATCH(A502,Maniobras!$A$5:$A$504,0)),""))</f>
        <v/>
      </c>
      <c r="E502" s="38" t="n"/>
      <c r="F502" s="39">
        <f>IF(A502="","",IFERROR(INDEX(Maniobras!$K$5:$K$504,MATCH(A502,Maniobras!$A$5:$A$504,0)),""))</f>
        <v/>
      </c>
      <c r="G502" s="39" t="n"/>
      <c r="H502" s="39" t="n"/>
      <c r="I502" s="39">
        <f>IF(G502="","",G502+N(H502))</f>
        <v/>
      </c>
      <c r="J502" s="38" t="n"/>
      <c r="K502" s="41" t="n"/>
      <c r="L502" s="38" t="n"/>
      <c r="M502">
        <f>IF($A502=Ficha!$B$3,COUNTIF($A$5:$A502,Ficha!$B$3),"")</f>
        <v/>
      </c>
    </row>
    <row r="503">
      <c r="A503" s="36" t="n"/>
      <c r="B503" s="40">
        <f>IF(A503="","",IFERROR(INDEX(Maniobras!$B$5:$B$504,MATCH(A503,Maniobras!$A$5:$A$504,0)),""))</f>
        <v/>
      </c>
      <c r="C503" s="36">
        <f>IF(B503="","",TEXT(B503,"yyyy-mm"))</f>
        <v/>
      </c>
      <c r="D503" s="36">
        <f>IF(A503="","",IFERROR(INDEX(Maniobras!$D$5:$D$504,MATCH(A503,Maniobras!$A$5:$A$504,0)),""))</f>
        <v/>
      </c>
      <c r="E503" s="36" t="n"/>
      <c r="F503" s="37">
        <f>IF(A503="","",IFERROR(INDEX(Maniobras!$K$5:$K$504,MATCH(A503,Maniobras!$A$5:$A$504,0)),""))</f>
        <v/>
      </c>
      <c r="G503" s="37" t="n"/>
      <c r="H503" s="37" t="n"/>
      <c r="I503" s="37">
        <f>IF(G503="","",G503+N(H503))</f>
        <v/>
      </c>
      <c r="J503" s="36" t="n"/>
      <c r="K503" s="40" t="n"/>
      <c r="L503" s="36" t="n"/>
      <c r="M503">
        <f>IF($A503=Ficha!$B$3,COUNTIF($A$5:$A503,Ficha!$B$3),"")</f>
        <v/>
      </c>
    </row>
    <row r="504">
      <c r="A504" s="38" t="n"/>
      <c r="B504" s="41">
        <f>IF(A504="","",IFERROR(INDEX(Maniobras!$B$5:$B$504,MATCH(A504,Maniobras!$A$5:$A$504,0)),""))</f>
        <v/>
      </c>
      <c r="C504" s="38">
        <f>IF(B504="","",TEXT(B504,"yyyy-mm"))</f>
        <v/>
      </c>
      <c r="D504" s="38">
        <f>IF(A504="","",IFERROR(INDEX(Maniobras!$D$5:$D$504,MATCH(A504,Maniobras!$A$5:$A$504,0)),""))</f>
        <v/>
      </c>
      <c r="E504" s="38" t="n"/>
      <c r="F504" s="39">
        <f>IF(A504="","",IFERROR(INDEX(Maniobras!$K$5:$K$504,MATCH(A504,Maniobras!$A$5:$A$504,0)),""))</f>
        <v/>
      </c>
      <c r="G504" s="39" t="n"/>
      <c r="H504" s="39" t="n"/>
      <c r="I504" s="39">
        <f>IF(G504="","",G504+N(H504))</f>
        <v/>
      </c>
      <c r="J504" s="38" t="n"/>
      <c r="K504" s="41" t="n"/>
      <c r="L504" s="38" t="n"/>
      <c r="M504">
        <f>IF($A504=Ficha!$B$3,COUNTIF($A$5:$A504,Ficha!$B$3),"")</f>
        <v/>
      </c>
    </row>
    <row r="505">
      <c r="A505" s="36" t="n"/>
      <c r="B505" s="40">
        <f>IF(A505="","",IFERROR(INDEX(Maniobras!$B$5:$B$504,MATCH(A505,Maniobras!$A$5:$A$504,0)),""))</f>
        <v/>
      </c>
      <c r="C505" s="36">
        <f>IF(B505="","",TEXT(B505,"yyyy-mm"))</f>
        <v/>
      </c>
      <c r="D505" s="36">
        <f>IF(A505="","",IFERROR(INDEX(Maniobras!$D$5:$D$504,MATCH(A505,Maniobras!$A$5:$A$504,0)),""))</f>
        <v/>
      </c>
      <c r="E505" s="36" t="n"/>
      <c r="F505" s="37">
        <f>IF(A505="","",IFERROR(INDEX(Maniobras!$K$5:$K$504,MATCH(A505,Maniobras!$A$5:$A$504,0)),""))</f>
        <v/>
      </c>
      <c r="G505" s="37" t="n"/>
      <c r="H505" s="37" t="n"/>
      <c r="I505" s="37">
        <f>IF(G505="","",G505+N(H505))</f>
        <v/>
      </c>
      <c r="J505" s="36" t="n"/>
      <c r="K505" s="40" t="n"/>
      <c r="L505" s="36" t="n"/>
      <c r="M505">
        <f>IF($A505=Ficha!$B$3,COUNTIF($A$5:$A505,Ficha!$B$3),"")</f>
        <v/>
      </c>
    </row>
    <row r="506">
      <c r="A506" s="38" t="n"/>
      <c r="B506" s="41">
        <f>IF(A506="","",IFERROR(INDEX(Maniobras!$B$5:$B$504,MATCH(A506,Maniobras!$A$5:$A$504,0)),""))</f>
        <v/>
      </c>
      <c r="C506" s="38">
        <f>IF(B506="","",TEXT(B506,"yyyy-mm"))</f>
        <v/>
      </c>
      <c r="D506" s="38">
        <f>IF(A506="","",IFERROR(INDEX(Maniobras!$D$5:$D$504,MATCH(A506,Maniobras!$A$5:$A$504,0)),""))</f>
        <v/>
      </c>
      <c r="E506" s="38" t="n"/>
      <c r="F506" s="39">
        <f>IF(A506="","",IFERROR(INDEX(Maniobras!$K$5:$K$504,MATCH(A506,Maniobras!$A$5:$A$504,0)),""))</f>
        <v/>
      </c>
      <c r="G506" s="39" t="n"/>
      <c r="H506" s="39" t="n"/>
      <c r="I506" s="39">
        <f>IF(G506="","",G506+N(H506))</f>
        <v/>
      </c>
      <c r="J506" s="38" t="n"/>
      <c r="K506" s="41" t="n"/>
      <c r="L506" s="38" t="n"/>
      <c r="M506">
        <f>IF($A506=Ficha!$B$3,COUNTIF($A$5:$A506,Ficha!$B$3),"")</f>
        <v/>
      </c>
    </row>
    <row r="507">
      <c r="A507" s="36" t="n"/>
      <c r="B507" s="40">
        <f>IF(A507="","",IFERROR(INDEX(Maniobras!$B$5:$B$504,MATCH(A507,Maniobras!$A$5:$A$504,0)),""))</f>
        <v/>
      </c>
      <c r="C507" s="36">
        <f>IF(B507="","",TEXT(B507,"yyyy-mm"))</f>
        <v/>
      </c>
      <c r="D507" s="36">
        <f>IF(A507="","",IFERROR(INDEX(Maniobras!$D$5:$D$504,MATCH(A507,Maniobras!$A$5:$A$504,0)),""))</f>
        <v/>
      </c>
      <c r="E507" s="36" t="n"/>
      <c r="F507" s="37">
        <f>IF(A507="","",IFERROR(INDEX(Maniobras!$K$5:$K$504,MATCH(A507,Maniobras!$A$5:$A$504,0)),""))</f>
        <v/>
      </c>
      <c r="G507" s="37" t="n"/>
      <c r="H507" s="37" t="n"/>
      <c r="I507" s="37">
        <f>IF(G507="","",G507+N(H507))</f>
        <v/>
      </c>
      <c r="J507" s="36" t="n"/>
      <c r="K507" s="40" t="n"/>
      <c r="L507" s="36" t="n"/>
      <c r="M507">
        <f>IF($A507=Ficha!$B$3,COUNTIF($A$5:$A507,Ficha!$B$3),"")</f>
        <v/>
      </c>
    </row>
    <row r="508">
      <c r="A508" s="38" t="n"/>
      <c r="B508" s="41">
        <f>IF(A508="","",IFERROR(INDEX(Maniobras!$B$5:$B$504,MATCH(A508,Maniobras!$A$5:$A$504,0)),""))</f>
        <v/>
      </c>
      <c r="C508" s="38">
        <f>IF(B508="","",TEXT(B508,"yyyy-mm"))</f>
        <v/>
      </c>
      <c r="D508" s="38">
        <f>IF(A508="","",IFERROR(INDEX(Maniobras!$D$5:$D$504,MATCH(A508,Maniobras!$A$5:$A$504,0)),""))</f>
        <v/>
      </c>
      <c r="E508" s="38" t="n"/>
      <c r="F508" s="39">
        <f>IF(A508="","",IFERROR(INDEX(Maniobras!$K$5:$K$504,MATCH(A508,Maniobras!$A$5:$A$504,0)),""))</f>
        <v/>
      </c>
      <c r="G508" s="39" t="n"/>
      <c r="H508" s="39" t="n"/>
      <c r="I508" s="39">
        <f>IF(G508="","",G508+N(H508))</f>
        <v/>
      </c>
      <c r="J508" s="38" t="n"/>
      <c r="K508" s="41" t="n"/>
      <c r="L508" s="38" t="n"/>
      <c r="M508">
        <f>IF($A508=Ficha!$B$3,COUNTIF($A$5:$A508,Ficha!$B$3),"")</f>
        <v/>
      </c>
    </row>
    <row r="509">
      <c r="A509" s="36" t="n"/>
      <c r="B509" s="40">
        <f>IF(A509="","",IFERROR(INDEX(Maniobras!$B$5:$B$504,MATCH(A509,Maniobras!$A$5:$A$504,0)),""))</f>
        <v/>
      </c>
      <c r="C509" s="36">
        <f>IF(B509="","",TEXT(B509,"yyyy-mm"))</f>
        <v/>
      </c>
      <c r="D509" s="36">
        <f>IF(A509="","",IFERROR(INDEX(Maniobras!$D$5:$D$504,MATCH(A509,Maniobras!$A$5:$A$504,0)),""))</f>
        <v/>
      </c>
      <c r="E509" s="36" t="n"/>
      <c r="F509" s="37">
        <f>IF(A509="","",IFERROR(INDEX(Maniobras!$K$5:$K$504,MATCH(A509,Maniobras!$A$5:$A$504,0)),""))</f>
        <v/>
      </c>
      <c r="G509" s="37" t="n"/>
      <c r="H509" s="37" t="n"/>
      <c r="I509" s="37">
        <f>IF(G509="","",G509+N(H509))</f>
        <v/>
      </c>
      <c r="J509" s="36" t="n"/>
      <c r="K509" s="40" t="n"/>
      <c r="L509" s="36" t="n"/>
      <c r="M509">
        <f>IF($A509=Ficha!$B$3,COUNTIF($A$5:$A509,Ficha!$B$3),"")</f>
        <v/>
      </c>
    </row>
    <row r="510">
      <c r="A510" s="38" t="n"/>
      <c r="B510" s="41">
        <f>IF(A510="","",IFERROR(INDEX(Maniobras!$B$5:$B$504,MATCH(A510,Maniobras!$A$5:$A$504,0)),""))</f>
        <v/>
      </c>
      <c r="C510" s="38">
        <f>IF(B510="","",TEXT(B510,"yyyy-mm"))</f>
        <v/>
      </c>
      <c r="D510" s="38">
        <f>IF(A510="","",IFERROR(INDEX(Maniobras!$D$5:$D$504,MATCH(A510,Maniobras!$A$5:$A$504,0)),""))</f>
        <v/>
      </c>
      <c r="E510" s="38" t="n"/>
      <c r="F510" s="39">
        <f>IF(A510="","",IFERROR(INDEX(Maniobras!$K$5:$K$504,MATCH(A510,Maniobras!$A$5:$A$504,0)),""))</f>
        <v/>
      </c>
      <c r="G510" s="39" t="n"/>
      <c r="H510" s="39" t="n"/>
      <c r="I510" s="39">
        <f>IF(G510="","",G510+N(H510))</f>
        <v/>
      </c>
      <c r="J510" s="38" t="n"/>
      <c r="K510" s="41" t="n"/>
      <c r="L510" s="38" t="n"/>
      <c r="M510">
        <f>IF($A510=Ficha!$B$3,COUNTIF($A$5:$A510,Ficha!$B$3),"")</f>
        <v/>
      </c>
    </row>
    <row r="511">
      <c r="A511" s="36" t="n"/>
      <c r="B511" s="40">
        <f>IF(A511="","",IFERROR(INDEX(Maniobras!$B$5:$B$504,MATCH(A511,Maniobras!$A$5:$A$504,0)),""))</f>
        <v/>
      </c>
      <c r="C511" s="36">
        <f>IF(B511="","",TEXT(B511,"yyyy-mm"))</f>
        <v/>
      </c>
      <c r="D511" s="36">
        <f>IF(A511="","",IFERROR(INDEX(Maniobras!$D$5:$D$504,MATCH(A511,Maniobras!$A$5:$A$504,0)),""))</f>
        <v/>
      </c>
      <c r="E511" s="36" t="n"/>
      <c r="F511" s="37">
        <f>IF(A511="","",IFERROR(INDEX(Maniobras!$K$5:$K$504,MATCH(A511,Maniobras!$A$5:$A$504,0)),""))</f>
        <v/>
      </c>
      <c r="G511" s="37" t="n"/>
      <c r="H511" s="37" t="n"/>
      <c r="I511" s="37">
        <f>IF(G511="","",G511+N(H511))</f>
        <v/>
      </c>
      <c r="J511" s="36" t="n"/>
      <c r="K511" s="40" t="n"/>
      <c r="L511" s="36" t="n"/>
      <c r="M511">
        <f>IF($A511=Ficha!$B$3,COUNTIF($A$5:$A511,Ficha!$B$3),"")</f>
        <v/>
      </c>
    </row>
    <row r="512">
      <c r="A512" s="38" t="n"/>
      <c r="B512" s="41">
        <f>IF(A512="","",IFERROR(INDEX(Maniobras!$B$5:$B$504,MATCH(A512,Maniobras!$A$5:$A$504,0)),""))</f>
        <v/>
      </c>
      <c r="C512" s="38">
        <f>IF(B512="","",TEXT(B512,"yyyy-mm"))</f>
        <v/>
      </c>
      <c r="D512" s="38">
        <f>IF(A512="","",IFERROR(INDEX(Maniobras!$D$5:$D$504,MATCH(A512,Maniobras!$A$5:$A$504,0)),""))</f>
        <v/>
      </c>
      <c r="E512" s="38" t="n"/>
      <c r="F512" s="39">
        <f>IF(A512="","",IFERROR(INDEX(Maniobras!$K$5:$K$504,MATCH(A512,Maniobras!$A$5:$A$504,0)),""))</f>
        <v/>
      </c>
      <c r="G512" s="39" t="n"/>
      <c r="H512" s="39" t="n"/>
      <c r="I512" s="39">
        <f>IF(G512="","",G512+N(H512))</f>
        <v/>
      </c>
      <c r="J512" s="38" t="n"/>
      <c r="K512" s="41" t="n"/>
      <c r="L512" s="38" t="n"/>
      <c r="M512">
        <f>IF($A512=Ficha!$B$3,COUNTIF($A$5:$A512,Ficha!$B$3),"")</f>
        <v/>
      </c>
    </row>
    <row r="513">
      <c r="A513" s="36" t="n"/>
      <c r="B513" s="40">
        <f>IF(A513="","",IFERROR(INDEX(Maniobras!$B$5:$B$504,MATCH(A513,Maniobras!$A$5:$A$504,0)),""))</f>
        <v/>
      </c>
      <c r="C513" s="36">
        <f>IF(B513="","",TEXT(B513,"yyyy-mm"))</f>
        <v/>
      </c>
      <c r="D513" s="36">
        <f>IF(A513="","",IFERROR(INDEX(Maniobras!$D$5:$D$504,MATCH(A513,Maniobras!$A$5:$A$504,0)),""))</f>
        <v/>
      </c>
      <c r="E513" s="36" t="n"/>
      <c r="F513" s="37">
        <f>IF(A513="","",IFERROR(INDEX(Maniobras!$K$5:$K$504,MATCH(A513,Maniobras!$A$5:$A$504,0)),""))</f>
        <v/>
      </c>
      <c r="G513" s="37" t="n"/>
      <c r="H513" s="37" t="n"/>
      <c r="I513" s="37">
        <f>IF(G513="","",G513+N(H513))</f>
        <v/>
      </c>
      <c r="J513" s="36" t="n"/>
      <c r="K513" s="40" t="n"/>
      <c r="L513" s="36" t="n"/>
      <c r="M513">
        <f>IF($A513=Ficha!$B$3,COUNTIF($A$5:$A513,Ficha!$B$3),"")</f>
        <v/>
      </c>
    </row>
    <row r="514">
      <c r="A514" s="38" t="n"/>
      <c r="B514" s="41">
        <f>IF(A514="","",IFERROR(INDEX(Maniobras!$B$5:$B$504,MATCH(A514,Maniobras!$A$5:$A$504,0)),""))</f>
        <v/>
      </c>
      <c r="C514" s="38">
        <f>IF(B514="","",TEXT(B514,"yyyy-mm"))</f>
        <v/>
      </c>
      <c r="D514" s="38">
        <f>IF(A514="","",IFERROR(INDEX(Maniobras!$D$5:$D$504,MATCH(A514,Maniobras!$A$5:$A$504,0)),""))</f>
        <v/>
      </c>
      <c r="E514" s="38" t="n"/>
      <c r="F514" s="39">
        <f>IF(A514="","",IFERROR(INDEX(Maniobras!$K$5:$K$504,MATCH(A514,Maniobras!$A$5:$A$504,0)),""))</f>
        <v/>
      </c>
      <c r="G514" s="39" t="n"/>
      <c r="H514" s="39" t="n"/>
      <c r="I514" s="39">
        <f>IF(G514="","",G514+N(H514))</f>
        <v/>
      </c>
      <c r="J514" s="38" t="n"/>
      <c r="K514" s="41" t="n"/>
      <c r="L514" s="38" t="n"/>
      <c r="M514">
        <f>IF($A514=Ficha!$B$3,COUNTIF($A$5:$A514,Ficha!$B$3),"")</f>
        <v/>
      </c>
    </row>
    <row r="515">
      <c r="A515" s="36" t="n"/>
      <c r="B515" s="40">
        <f>IF(A515="","",IFERROR(INDEX(Maniobras!$B$5:$B$504,MATCH(A515,Maniobras!$A$5:$A$504,0)),""))</f>
        <v/>
      </c>
      <c r="C515" s="36">
        <f>IF(B515="","",TEXT(B515,"yyyy-mm"))</f>
        <v/>
      </c>
      <c r="D515" s="36">
        <f>IF(A515="","",IFERROR(INDEX(Maniobras!$D$5:$D$504,MATCH(A515,Maniobras!$A$5:$A$504,0)),""))</f>
        <v/>
      </c>
      <c r="E515" s="36" t="n"/>
      <c r="F515" s="37">
        <f>IF(A515="","",IFERROR(INDEX(Maniobras!$K$5:$K$504,MATCH(A515,Maniobras!$A$5:$A$504,0)),""))</f>
        <v/>
      </c>
      <c r="G515" s="37" t="n"/>
      <c r="H515" s="37" t="n"/>
      <c r="I515" s="37">
        <f>IF(G515="","",G515+N(H515))</f>
        <v/>
      </c>
      <c r="J515" s="36" t="n"/>
      <c r="K515" s="40" t="n"/>
      <c r="L515" s="36" t="n"/>
      <c r="M515">
        <f>IF($A515=Ficha!$B$3,COUNTIF($A$5:$A515,Ficha!$B$3),"")</f>
        <v/>
      </c>
    </row>
    <row r="516">
      <c r="A516" s="38" t="n"/>
      <c r="B516" s="41">
        <f>IF(A516="","",IFERROR(INDEX(Maniobras!$B$5:$B$504,MATCH(A516,Maniobras!$A$5:$A$504,0)),""))</f>
        <v/>
      </c>
      <c r="C516" s="38">
        <f>IF(B516="","",TEXT(B516,"yyyy-mm"))</f>
        <v/>
      </c>
      <c r="D516" s="38">
        <f>IF(A516="","",IFERROR(INDEX(Maniobras!$D$5:$D$504,MATCH(A516,Maniobras!$A$5:$A$504,0)),""))</f>
        <v/>
      </c>
      <c r="E516" s="38" t="n"/>
      <c r="F516" s="39">
        <f>IF(A516="","",IFERROR(INDEX(Maniobras!$K$5:$K$504,MATCH(A516,Maniobras!$A$5:$A$504,0)),""))</f>
        <v/>
      </c>
      <c r="G516" s="39" t="n"/>
      <c r="H516" s="39" t="n"/>
      <c r="I516" s="39">
        <f>IF(G516="","",G516+N(H516))</f>
        <v/>
      </c>
      <c r="J516" s="38" t="n"/>
      <c r="K516" s="41" t="n"/>
      <c r="L516" s="38" t="n"/>
      <c r="M516">
        <f>IF($A516=Ficha!$B$3,COUNTIF($A$5:$A516,Ficha!$B$3),"")</f>
        <v/>
      </c>
    </row>
    <row r="517">
      <c r="A517" s="36" t="n"/>
      <c r="B517" s="40">
        <f>IF(A517="","",IFERROR(INDEX(Maniobras!$B$5:$B$504,MATCH(A517,Maniobras!$A$5:$A$504,0)),""))</f>
        <v/>
      </c>
      <c r="C517" s="36">
        <f>IF(B517="","",TEXT(B517,"yyyy-mm"))</f>
        <v/>
      </c>
      <c r="D517" s="36">
        <f>IF(A517="","",IFERROR(INDEX(Maniobras!$D$5:$D$504,MATCH(A517,Maniobras!$A$5:$A$504,0)),""))</f>
        <v/>
      </c>
      <c r="E517" s="36" t="n"/>
      <c r="F517" s="37">
        <f>IF(A517="","",IFERROR(INDEX(Maniobras!$K$5:$K$504,MATCH(A517,Maniobras!$A$5:$A$504,0)),""))</f>
        <v/>
      </c>
      <c r="G517" s="37" t="n"/>
      <c r="H517" s="37" t="n"/>
      <c r="I517" s="37">
        <f>IF(G517="","",G517+N(H517))</f>
        <v/>
      </c>
      <c r="J517" s="36" t="n"/>
      <c r="K517" s="40" t="n"/>
      <c r="L517" s="36" t="n"/>
      <c r="M517">
        <f>IF($A517=Ficha!$B$3,COUNTIF($A$5:$A517,Ficha!$B$3),"")</f>
        <v/>
      </c>
    </row>
    <row r="518">
      <c r="A518" s="38" t="n"/>
      <c r="B518" s="41">
        <f>IF(A518="","",IFERROR(INDEX(Maniobras!$B$5:$B$504,MATCH(A518,Maniobras!$A$5:$A$504,0)),""))</f>
        <v/>
      </c>
      <c r="C518" s="38">
        <f>IF(B518="","",TEXT(B518,"yyyy-mm"))</f>
        <v/>
      </c>
      <c r="D518" s="38">
        <f>IF(A518="","",IFERROR(INDEX(Maniobras!$D$5:$D$504,MATCH(A518,Maniobras!$A$5:$A$504,0)),""))</f>
        <v/>
      </c>
      <c r="E518" s="38" t="n"/>
      <c r="F518" s="39">
        <f>IF(A518="","",IFERROR(INDEX(Maniobras!$K$5:$K$504,MATCH(A518,Maniobras!$A$5:$A$504,0)),""))</f>
        <v/>
      </c>
      <c r="G518" s="39" t="n"/>
      <c r="H518" s="39" t="n"/>
      <c r="I518" s="39">
        <f>IF(G518="","",G518+N(H518))</f>
        <v/>
      </c>
      <c r="J518" s="38" t="n"/>
      <c r="K518" s="41" t="n"/>
      <c r="L518" s="38" t="n"/>
      <c r="M518">
        <f>IF($A518=Ficha!$B$3,COUNTIF($A$5:$A518,Ficha!$B$3),"")</f>
        <v/>
      </c>
    </row>
    <row r="519">
      <c r="A519" s="36" t="n"/>
      <c r="B519" s="40">
        <f>IF(A519="","",IFERROR(INDEX(Maniobras!$B$5:$B$504,MATCH(A519,Maniobras!$A$5:$A$504,0)),""))</f>
        <v/>
      </c>
      <c r="C519" s="36">
        <f>IF(B519="","",TEXT(B519,"yyyy-mm"))</f>
        <v/>
      </c>
      <c r="D519" s="36">
        <f>IF(A519="","",IFERROR(INDEX(Maniobras!$D$5:$D$504,MATCH(A519,Maniobras!$A$5:$A$504,0)),""))</f>
        <v/>
      </c>
      <c r="E519" s="36" t="n"/>
      <c r="F519" s="37">
        <f>IF(A519="","",IFERROR(INDEX(Maniobras!$K$5:$K$504,MATCH(A519,Maniobras!$A$5:$A$504,0)),""))</f>
        <v/>
      </c>
      <c r="G519" s="37" t="n"/>
      <c r="H519" s="37" t="n"/>
      <c r="I519" s="37">
        <f>IF(G519="","",G519+N(H519))</f>
        <v/>
      </c>
      <c r="J519" s="36" t="n"/>
      <c r="K519" s="40" t="n"/>
      <c r="L519" s="36" t="n"/>
      <c r="M519">
        <f>IF($A519=Ficha!$B$3,COUNTIF($A$5:$A519,Ficha!$B$3),"")</f>
        <v/>
      </c>
    </row>
    <row r="520">
      <c r="A520" s="38" t="n"/>
      <c r="B520" s="41">
        <f>IF(A520="","",IFERROR(INDEX(Maniobras!$B$5:$B$504,MATCH(A520,Maniobras!$A$5:$A$504,0)),""))</f>
        <v/>
      </c>
      <c r="C520" s="38">
        <f>IF(B520="","",TEXT(B520,"yyyy-mm"))</f>
        <v/>
      </c>
      <c r="D520" s="38">
        <f>IF(A520="","",IFERROR(INDEX(Maniobras!$D$5:$D$504,MATCH(A520,Maniobras!$A$5:$A$504,0)),""))</f>
        <v/>
      </c>
      <c r="E520" s="38" t="n"/>
      <c r="F520" s="39">
        <f>IF(A520="","",IFERROR(INDEX(Maniobras!$K$5:$K$504,MATCH(A520,Maniobras!$A$5:$A$504,0)),""))</f>
        <v/>
      </c>
      <c r="G520" s="39" t="n"/>
      <c r="H520" s="39" t="n"/>
      <c r="I520" s="39">
        <f>IF(G520="","",G520+N(H520))</f>
        <v/>
      </c>
      <c r="J520" s="38" t="n"/>
      <c r="K520" s="41" t="n"/>
      <c r="L520" s="38" t="n"/>
      <c r="M520">
        <f>IF($A520=Ficha!$B$3,COUNTIF($A$5:$A520,Ficha!$B$3),"")</f>
        <v/>
      </c>
    </row>
    <row r="521">
      <c r="A521" s="36" t="n"/>
      <c r="B521" s="40">
        <f>IF(A521="","",IFERROR(INDEX(Maniobras!$B$5:$B$504,MATCH(A521,Maniobras!$A$5:$A$504,0)),""))</f>
        <v/>
      </c>
      <c r="C521" s="36">
        <f>IF(B521="","",TEXT(B521,"yyyy-mm"))</f>
        <v/>
      </c>
      <c r="D521" s="36">
        <f>IF(A521="","",IFERROR(INDEX(Maniobras!$D$5:$D$504,MATCH(A521,Maniobras!$A$5:$A$504,0)),""))</f>
        <v/>
      </c>
      <c r="E521" s="36" t="n"/>
      <c r="F521" s="37">
        <f>IF(A521="","",IFERROR(INDEX(Maniobras!$K$5:$K$504,MATCH(A521,Maniobras!$A$5:$A$504,0)),""))</f>
        <v/>
      </c>
      <c r="G521" s="37" t="n"/>
      <c r="H521" s="37" t="n"/>
      <c r="I521" s="37">
        <f>IF(G521="","",G521+N(H521))</f>
        <v/>
      </c>
      <c r="J521" s="36" t="n"/>
      <c r="K521" s="40" t="n"/>
      <c r="L521" s="36" t="n"/>
      <c r="M521">
        <f>IF($A521=Ficha!$B$3,COUNTIF($A$5:$A521,Ficha!$B$3),"")</f>
        <v/>
      </c>
    </row>
    <row r="522">
      <c r="A522" s="38" t="n"/>
      <c r="B522" s="41">
        <f>IF(A522="","",IFERROR(INDEX(Maniobras!$B$5:$B$504,MATCH(A522,Maniobras!$A$5:$A$504,0)),""))</f>
        <v/>
      </c>
      <c r="C522" s="38">
        <f>IF(B522="","",TEXT(B522,"yyyy-mm"))</f>
        <v/>
      </c>
      <c r="D522" s="38">
        <f>IF(A522="","",IFERROR(INDEX(Maniobras!$D$5:$D$504,MATCH(A522,Maniobras!$A$5:$A$504,0)),""))</f>
        <v/>
      </c>
      <c r="E522" s="38" t="n"/>
      <c r="F522" s="39">
        <f>IF(A522="","",IFERROR(INDEX(Maniobras!$K$5:$K$504,MATCH(A522,Maniobras!$A$5:$A$504,0)),""))</f>
        <v/>
      </c>
      <c r="G522" s="39" t="n"/>
      <c r="H522" s="39" t="n"/>
      <c r="I522" s="39">
        <f>IF(G522="","",G522+N(H522))</f>
        <v/>
      </c>
      <c r="J522" s="38" t="n"/>
      <c r="K522" s="41" t="n"/>
      <c r="L522" s="38" t="n"/>
      <c r="M522">
        <f>IF($A522=Ficha!$B$3,COUNTIF($A$5:$A522,Ficha!$B$3),"")</f>
        <v/>
      </c>
    </row>
    <row r="523">
      <c r="A523" s="36" t="n"/>
      <c r="B523" s="40">
        <f>IF(A523="","",IFERROR(INDEX(Maniobras!$B$5:$B$504,MATCH(A523,Maniobras!$A$5:$A$504,0)),""))</f>
        <v/>
      </c>
      <c r="C523" s="36">
        <f>IF(B523="","",TEXT(B523,"yyyy-mm"))</f>
        <v/>
      </c>
      <c r="D523" s="36">
        <f>IF(A523="","",IFERROR(INDEX(Maniobras!$D$5:$D$504,MATCH(A523,Maniobras!$A$5:$A$504,0)),""))</f>
        <v/>
      </c>
      <c r="E523" s="36" t="n"/>
      <c r="F523" s="37">
        <f>IF(A523="","",IFERROR(INDEX(Maniobras!$K$5:$K$504,MATCH(A523,Maniobras!$A$5:$A$504,0)),""))</f>
        <v/>
      </c>
      <c r="G523" s="37" t="n"/>
      <c r="H523" s="37" t="n"/>
      <c r="I523" s="37">
        <f>IF(G523="","",G523+N(H523))</f>
        <v/>
      </c>
      <c r="J523" s="36" t="n"/>
      <c r="K523" s="40" t="n"/>
      <c r="L523" s="36" t="n"/>
      <c r="M523">
        <f>IF($A523=Ficha!$B$3,COUNTIF($A$5:$A523,Ficha!$B$3),"")</f>
        <v/>
      </c>
    </row>
    <row r="524">
      <c r="A524" s="38" t="n"/>
      <c r="B524" s="41">
        <f>IF(A524="","",IFERROR(INDEX(Maniobras!$B$5:$B$504,MATCH(A524,Maniobras!$A$5:$A$504,0)),""))</f>
        <v/>
      </c>
      <c r="C524" s="38">
        <f>IF(B524="","",TEXT(B524,"yyyy-mm"))</f>
        <v/>
      </c>
      <c r="D524" s="38">
        <f>IF(A524="","",IFERROR(INDEX(Maniobras!$D$5:$D$504,MATCH(A524,Maniobras!$A$5:$A$504,0)),""))</f>
        <v/>
      </c>
      <c r="E524" s="38" t="n"/>
      <c r="F524" s="39">
        <f>IF(A524="","",IFERROR(INDEX(Maniobras!$K$5:$K$504,MATCH(A524,Maniobras!$A$5:$A$504,0)),""))</f>
        <v/>
      </c>
      <c r="G524" s="39" t="n"/>
      <c r="H524" s="39" t="n"/>
      <c r="I524" s="39">
        <f>IF(G524="","",G524+N(H524))</f>
        <v/>
      </c>
      <c r="J524" s="38" t="n"/>
      <c r="K524" s="41" t="n"/>
      <c r="L524" s="38" t="n"/>
      <c r="M524">
        <f>IF($A524=Ficha!$B$3,COUNTIF($A$5:$A524,Ficha!$B$3),"")</f>
        <v/>
      </c>
    </row>
    <row r="525">
      <c r="A525" s="36" t="n"/>
      <c r="B525" s="40">
        <f>IF(A525="","",IFERROR(INDEX(Maniobras!$B$5:$B$504,MATCH(A525,Maniobras!$A$5:$A$504,0)),""))</f>
        <v/>
      </c>
      <c r="C525" s="36">
        <f>IF(B525="","",TEXT(B525,"yyyy-mm"))</f>
        <v/>
      </c>
      <c r="D525" s="36">
        <f>IF(A525="","",IFERROR(INDEX(Maniobras!$D$5:$D$504,MATCH(A525,Maniobras!$A$5:$A$504,0)),""))</f>
        <v/>
      </c>
      <c r="E525" s="36" t="n"/>
      <c r="F525" s="37">
        <f>IF(A525="","",IFERROR(INDEX(Maniobras!$K$5:$K$504,MATCH(A525,Maniobras!$A$5:$A$504,0)),""))</f>
        <v/>
      </c>
      <c r="G525" s="37" t="n"/>
      <c r="H525" s="37" t="n"/>
      <c r="I525" s="37">
        <f>IF(G525="","",G525+N(H525))</f>
        <v/>
      </c>
      <c r="J525" s="36" t="n"/>
      <c r="K525" s="40" t="n"/>
      <c r="L525" s="36" t="n"/>
      <c r="M525">
        <f>IF($A525=Ficha!$B$3,COUNTIF($A$5:$A525,Ficha!$B$3),"")</f>
        <v/>
      </c>
    </row>
    <row r="526">
      <c r="A526" s="38" t="n"/>
      <c r="B526" s="41">
        <f>IF(A526="","",IFERROR(INDEX(Maniobras!$B$5:$B$504,MATCH(A526,Maniobras!$A$5:$A$504,0)),""))</f>
        <v/>
      </c>
      <c r="C526" s="38">
        <f>IF(B526="","",TEXT(B526,"yyyy-mm"))</f>
        <v/>
      </c>
      <c r="D526" s="38">
        <f>IF(A526="","",IFERROR(INDEX(Maniobras!$D$5:$D$504,MATCH(A526,Maniobras!$A$5:$A$504,0)),""))</f>
        <v/>
      </c>
      <c r="E526" s="38" t="n"/>
      <c r="F526" s="39">
        <f>IF(A526="","",IFERROR(INDEX(Maniobras!$K$5:$K$504,MATCH(A526,Maniobras!$A$5:$A$504,0)),""))</f>
        <v/>
      </c>
      <c r="G526" s="39" t="n"/>
      <c r="H526" s="39" t="n"/>
      <c r="I526" s="39">
        <f>IF(G526="","",G526+N(H526))</f>
        <v/>
      </c>
      <c r="J526" s="38" t="n"/>
      <c r="K526" s="41" t="n"/>
      <c r="L526" s="38" t="n"/>
      <c r="M526">
        <f>IF($A526=Ficha!$B$3,COUNTIF($A$5:$A526,Ficha!$B$3),"")</f>
        <v/>
      </c>
    </row>
    <row r="527">
      <c r="A527" s="36" t="n"/>
      <c r="B527" s="40">
        <f>IF(A527="","",IFERROR(INDEX(Maniobras!$B$5:$B$504,MATCH(A527,Maniobras!$A$5:$A$504,0)),""))</f>
        <v/>
      </c>
      <c r="C527" s="36">
        <f>IF(B527="","",TEXT(B527,"yyyy-mm"))</f>
        <v/>
      </c>
      <c r="D527" s="36">
        <f>IF(A527="","",IFERROR(INDEX(Maniobras!$D$5:$D$504,MATCH(A527,Maniobras!$A$5:$A$504,0)),""))</f>
        <v/>
      </c>
      <c r="E527" s="36" t="n"/>
      <c r="F527" s="37">
        <f>IF(A527="","",IFERROR(INDEX(Maniobras!$K$5:$K$504,MATCH(A527,Maniobras!$A$5:$A$504,0)),""))</f>
        <v/>
      </c>
      <c r="G527" s="37" t="n"/>
      <c r="H527" s="37" t="n"/>
      <c r="I527" s="37">
        <f>IF(G527="","",G527+N(H527))</f>
        <v/>
      </c>
      <c r="J527" s="36" t="n"/>
      <c r="K527" s="40" t="n"/>
      <c r="L527" s="36" t="n"/>
      <c r="M527">
        <f>IF($A527=Ficha!$B$3,COUNTIF($A$5:$A527,Ficha!$B$3),"")</f>
        <v/>
      </c>
    </row>
    <row r="528">
      <c r="A528" s="38" t="n"/>
      <c r="B528" s="41">
        <f>IF(A528="","",IFERROR(INDEX(Maniobras!$B$5:$B$504,MATCH(A528,Maniobras!$A$5:$A$504,0)),""))</f>
        <v/>
      </c>
      <c r="C528" s="38">
        <f>IF(B528="","",TEXT(B528,"yyyy-mm"))</f>
        <v/>
      </c>
      <c r="D528" s="38">
        <f>IF(A528="","",IFERROR(INDEX(Maniobras!$D$5:$D$504,MATCH(A528,Maniobras!$A$5:$A$504,0)),""))</f>
        <v/>
      </c>
      <c r="E528" s="38" t="n"/>
      <c r="F528" s="39">
        <f>IF(A528="","",IFERROR(INDEX(Maniobras!$K$5:$K$504,MATCH(A528,Maniobras!$A$5:$A$504,0)),""))</f>
        <v/>
      </c>
      <c r="G528" s="39" t="n"/>
      <c r="H528" s="39" t="n"/>
      <c r="I528" s="39">
        <f>IF(G528="","",G528+N(H528))</f>
        <v/>
      </c>
      <c r="J528" s="38" t="n"/>
      <c r="K528" s="41" t="n"/>
      <c r="L528" s="38" t="n"/>
      <c r="M528">
        <f>IF($A528=Ficha!$B$3,COUNTIF($A$5:$A528,Ficha!$B$3),"")</f>
        <v/>
      </c>
    </row>
    <row r="529">
      <c r="A529" s="36" t="n"/>
      <c r="B529" s="40">
        <f>IF(A529="","",IFERROR(INDEX(Maniobras!$B$5:$B$504,MATCH(A529,Maniobras!$A$5:$A$504,0)),""))</f>
        <v/>
      </c>
      <c r="C529" s="36">
        <f>IF(B529="","",TEXT(B529,"yyyy-mm"))</f>
        <v/>
      </c>
      <c r="D529" s="36">
        <f>IF(A529="","",IFERROR(INDEX(Maniobras!$D$5:$D$504,MATCH(A529,Maniobras!$A$5:$A$504,0)),""))</f>
        <v/>
      </c>
      <c r="E529" s="36" t="n"/>
      <c r="F529" s="37">
        <f>IF(A529="","",IFERROR(INDEX(Maniobras!$K$5:$K$504,MATCH(A529,Maniobras!$A$5:$A$504,0)),""))</f>
        <v/>
      </c>
      <c r="G529" s="37" t="n"/>
      <c r="H529" s="37" t="n"/>
      <c r="I529" s="37">
        <f>IF(G529="","",G529+N(H529))</f>
        <v/>
      </c>
      <c r="J529" s="36" t="n"/>
      <c r="K529" s="40" t="n"/>
      <c r="L529" s="36" t="n"/>
      <c r="M529">
        <f>IF($A529=Ficha!$B$3,COUNTIF($A$5:$A529,Ficha!$B$3),"")</f>
        <v/>
      </c>
    </row>
    <row r="530">
      <c r="A530" s="38" t="n"/>
      <c r="B530" s="41">
        <f>IF(A530="","",IFERROR(INDEX(Maniobras!$B$5:$B$504,MATCH(A530,Maniobras!$A$5:$A$504,0)),""))</f>
        <v/>
      </c>
      <c r="C530" s="38">
        <f>IF(B530="","",TEXT(B530,"yyyy-mm"))</f>
        <v/>
      </c>
      <c r="D530" s="38">
        <f>IF(A530="","",IFERROR(INDEX(Maniobras!$D$5:$D$504,MATCH(A530,Maniobras!$A$5:$A$504,0)),""))</f>
        <v/>
      </c>
      <c r="E530" s="38" t="n"/>
      <c r="F530" s="39">
        <f>IF(A530="","",IFERROR(INDEX(Maniobras!$K$5:$K$504,MATCH(A530,Maniobras!$A$5:$A$504,0)),""))</f>
        <v/>
      </c>
      <c r="G530" s="39" t="n"/>
      <c r="H530" s="39" t="n"/>
      <c r="I530" s="39">
        <f>IF(G530="","",G530+N(H530))</f>
        <v/>
      </c>
      <c r="J530" s="38" t="n"/>
      <c r="K530" s="41" t="n"/>
      <c r="L530" s="38" t="n"/>
      <c r="M530">
        <f>IF($A530=Ficha!$B$3,COUNTIF($A$5:$A530,Ficha!$B$3),"")</f>
        <v/>
      </c>
    </row>
    <row r="531">
      <c r="A531" s="36" t="n"/>
      <c r="B531" s="40">
        <f>IF(A531="","",IFERROR(INDEX(Maniobras!$B$5:$B$504,MATCH(A531,Maniobras!$A$5:$A$504,0)),""))</f>
        <v/>
      </c>
      <c r="C531" s="36">
        <f>IF(B531="","",TEXT(B531,"yyyy-mm"))</f>
        <v/>
      </c>
      <c r="D531" s="36">
        <f>IF(A531="","",IFERROR(INDEX(Maniobras!$D$5:$D$504,MATCH(A531,Maniobras!$A$5:$A$504,0)),""))</f>
        <v/>
      </c>
      <c r="E531" s="36" t="n"/>
      <c r="F531" s="37">
        <f>IF(A531="","",IFERROR(INDEX(Maniobras!$K$5:$K$504,MATCH(A531,Maniobras!$A$5:$A$504,0)),""))</f>
        <v/>
      </c>
      <c r="G531" s="37" t="n"/>
      <c r="H531" s="37" t="n"/>
      <c r="I531" s="37">
        <f>IF(G531="","",G531+N(H531))</f>
        <v/>
      </c>
      <c r="J531" s="36" t="n"/>
      <c r="K531" s="40" t="n"/>
      <c r="L531" s="36" t="n"/>
      <c r="M531">
        <f>IF($A531=Ficha!$B$3,COUNTIF($A$5:$A531,Ficha!$B$3),"")</f>
        <v/>
      </c>
    </row>
    <row r="532">
      <c r="A532" s="38" t="n"/>
      <c r="B532" s="41">
        <f>IF(A532="","",IFERROR(INDEX(Maniobras!$B$5:$B$504,MATCH(A532,Maniobras!$A$5:$A$504,0)),""))</f>
        <v/>
      </c>
      <c r="C532" s="38">
        <f>IF(B532="","",TEXT(B532,"yyyy-mm"))</f>
        <v/>
      </c>
      <c r="D532" s="38">
        <f>IF(A532="","",IFERROR(INDEX(Maniobras!$D$5:$D$504,MATCH(A532,Maniobras!$A$5:$A$504,0)),""))</f>
        <v/>
      </c>
      <c r="E532" s="38" t="n"/>
      <c r="F532" s="39">
        <f>IF(A532="","",IFERROR(INDEX(Maniobras!$K$5:$K$504,MATCH(A532,Maniobras!$A$5:$A$504,0)),""))</f>
        <v/>
      </c>
      <c r="G532" s="39" t="n"/>
      <c r="H532" s="39" t="n"/>
      <c r="I532" s="39">
        <f>IF(G532="","",G532+N(H532))</f>
        <v/>
      </c>
      <c r="J532" s="38" t="n"/>
      <c r="K532" s="41" t="n"/>
      <c r="L532" s="38" t="n"/>
      <c r="M532">
        <f>IF($A532=Ficha!$B$3,COUNTIF($A$5:$A532,Ficha!$B$3),"")</f>
        <v/>
      </c>
    </row>
    <row r="533">
      <c r="A533" s="36" t="n"/>
      <c r="B533" s="40">
        <f>IF(A533="","",IFERROR(INDEX(Maniobras!$B$5:$B$504,MATCH(A533,Maniobras!$A$5:$A$504,0)),""))</f>
        <v/>
      </c>
      <c r="C533" s="36">
        <f>IF(B533="","",TEXT(B533,"yyyy-mm"))</f>
        <v/>
      </c>
      <c r="D533" s="36">
        <f>IF(A533="","",IFERROR(INDEX(Maniobras!$D$5:$D$504,MATCH(A533,Maniobras!$A$5:$A$504,0)),""))</f>
        <v/>
      </c>
      <c r="E533" s="36" t="n"/>
      <c r="F533" s="37">
        <f>IF(A533="","",IFERROR(INDEX(Maniobras!$K$5:$K$504,MATCH(A533,Maniobras!$A$5:$A$504,0)),""))</f>
        <v/>
      </c>
      <c r="G533" s="37" t="n"/>
      <c r="H533" s="37" t="n"/>
      <c r="I533" s="37">
        <f>IF(G533="","",G533+N(H533))</f>
        <v/>
      </c>
      <c r="J533" s="36" t="n"/>
      <c r="K533" s="40" t="n"/>
      <c r="L533" s="36" t="n"/>
      <c r="M533">
        <f>IF($A533=Ficha!$B$3,COUNTIF($A$5:$A533,Ficha!$B$3),"")</f>
        <v/>
      </c>
    </row>
    <row r="534">
      <c r="A534" s="38" t="n"/>
      <c r="B534" s="41">
        <f>IF(A534="","",IFERROR(INDEX(Maniobras!$B$5:$B$504,MATCH(A534,Maniobras!$A$5:$A$504,0)),""))</f>
        <v/>
      </c>
      <c r="C534" s="38">
        <f>IF(B534="","",TEXT(B534,"yyyy-mm"))</f>
        <v/>
      </c>
      <c r="D534" s="38">
        <f>IF(A534="","",IFERROR(INDEX(Maniobras!$D$5:$D$504,MATCH(A534,Maniobras!$A$5:$A$504,0)),""))</f>
        <v/>
      </c>
      <c r="E534" s="38" t="n"/>
      <c r="F534" s="39">
        <f>IF(A534="","",IFERROR(INDEX(Maniobras!$K$5:$K$504,MATCH(A534,Maniobras!$A$5:$A$504,0)),""))</f>
        <v/>
      </c>
      <c r="G534" s="39" t="n"/>
      <c r="H534" s="39" t="n"/>
      <c r="I534" s="39">
        <f>IF(G534="","",G534+N(H534))</f>
        <v/>
      </c>
      <c r="J534" s="38" t="n"/>
      <c r="K534" s="41" t="n"/>
      <c r="L534" s="38" t="n"/>
      <c r="M534">
        <f>IF($A534=Ficha!$B$3,COUNTIF($A$5:$A534,Ficha!$B$3),"")</f>
        <v/>
      </c>
    </row>
    <row r="535">
      <c r="A535" s="36" t="n"/>
      <c r="B535" s="40">
        <f>IF(A535="","",IFERROR(INDEX(Maniobras!$B$5:$B$504,MATCH(A535,Maniobras!$A$5:$A$504,0)),""))</f>
        <v/>
      </c>
      <c r="C535" s="36">
        <f>IF(B535="","",TEXT(B535,"yyyy-mm"))</f>
        <v/>
      </c>
      <c r="D535" s="36">
        <f>IF(A535="","",IFERROR(INDEX(Maniobras!$D$5:$D$504,MATCH(A535,Maniobras!$A$5:$A$504,0)),""))</f>
        <v/>
      </c>
      <c r="E535" s="36" t="n"/>
      <c r="F535" s="37">
        <f>IF(A535="","",IFERROR(INDEX(Maniobras!$K$5:$K$504,MATCH(A535,Maniobras!$A$5:$A$504,0)),""))</f>
        <v/>
      </c>
      <c r="G535" s="37" t="n"/>
      <c r="H535" s="37" t="n"/>
      <c r="I535" s="37">
        <f>IF(G535="","",G535+N(H535))</f>
        <v/>
      </c>
      <c r="J535" s="36" t="n"/>
      <c r="K535" s="40" t="n"/>
      <c r="L535" s="36" t="n"/>
      <c r="M535">
        <f>IF($A535=Ficha!$B$3,COUNTIF($A$5:$A535,Ficha!$B$3),"")</f>
        <v/>
      </c>
    </row>
    <row r="536">
      <c r="A536" s="38" t="n"/>
      <c r="B536" s="41">
        <f>IF(A536="","",IFERROR(INDEX(Maniobras!$B$5:$B$504,MATCH(A536,Maniobras!$A$5:$A$504,0)),""))</f>
        <v/>
      </c>
      <c r="C536" s="38">
        <f>IF(B536="","",TEXT(B536,"yyyy-mm"))</f>
        <v/>
      </c>
      <c r="D536" s="38">
        <f>IF(A536="","",IFERROR(INDEX(Maniobras!$D$5:$D$504,MATCH(A536,Maniobras!$A$5:$A$504,0)),""))</f>
        <v/>
      </c>
      <c r="E536" s="38" t="n"/>
      <c r="F536" s="39">
        <f>IF(A536="","",IFERROR(INDEX(Maniobras!$K$5:$K$504,MATCH(A536,Maniobras!$A$5:$A$504,0)),""))</f>
        <v/>
      </c>
      <c r="G536" s="39" t="n"/>
      <c r="H536" s="39" t="n"/>
      <c r="I536" s="39">
        <f>IF(G536="","",G536+N(H536))</f>
        <v/>
      </c>
      <c r="J536" s="38" t="n"/>
      <c r="K536" s="41" t="n"/>
      <c r="L536" s="38" t="n"/>
      <c r="M536">
        <f>IF($A536=Ficha!$B$3,COUNTIF($A$5:$A536,Ficha!$B$3),"")</f>
        <v/>
      </c>
    </row>
    <row r="537">
      <c r="A537" s="36" t="n"/>
      <c r="B537" s="40">
        <f>IF(A537="","",IFERROR(INDEX(Maniobras!$B$5:$B$504,MATCH(A537,Maniobras!$A$5:$A$504,0)),""))</f>
        <v/>
      </c>
      <c r="C537" s="36">
        <f>IF(B537="","",TEXT(B537,"yyyy-mm"))</f>
        <v/>
      </c>
      <c r="D537" s="36">
        <f>IF(A537="","",IFERROR(INDEX(Maniobras!$D$5:$D$504,MATCH(A537,Maniobras!$A$5:$A$504,0)),""))</f>
        <v/>
      </c>
      <c r="E537" s="36" t="n"/>
      <c r="F537" s="37">
        <f>IF(A537="","",IFERROR(INDEX(Maniobras!$K$5:$K$504,MATCH(A537,Maniobras!$A$5:$A$504,0)),""))</f>
        <v/>
      </c>
      <c r="G537" s="37" t="n"/>
      <c r="H537" s="37" t="n"/>
      <c r="I537" s="37">
        <f>IF(G537="","",G537+N(H537))</f>
        <v/>
      </c>
      <c r="J537" s="36" t="n"/>
      <c r="K537" s="40" t="n"/>
      <c r="L537" s="36" t="n"/>
      <c r="M537">
        <f>IF($A537=Ficha!$B$3,COUNTIF($A$5:$A537,Ficha!$B$3),"")</f>
        <v/>
      </c>
    </row>
    <row r="538">
      <c r="A538" s="38" t="n"/>
      <c r="B538" s="41">
        <f>IF(A538="","",IFERROR(INDEX(Maniobras!$B$5:$B$504,MATCH(A538,Maniobras!$A$5:$A$504,0)),""))</f>
        <v/>
      </c>
      <c r="C538" s="38">
        <f>IF(B538="","",TEXT(B538,"yyyy-mm"))</f>
        <v/>
      </c>
      <c r="D538" s="38">
        <f>IF(A538="","",IFERROR(INDEX(Maniobras!$D$5:$D$504,MATCH(A538,Maniobras!$A$5:$A$504,0)),""))</f>
        <v/>
      </c>
      <c r="E538" s="38" t="n"/>
      <c r="F538" s="39">
        <f>IF(A538="","",IFERROR(INDEX(Maniobras!$K$5:$K$504,MATCH(A538,Maniobras!$A$5:$A$504,0)),""))</f>
        <v/>
      </c>
      <c r="G538" s="39" t="n"/>
      <c r="H538" s="39" t="n"/>
      <c r="I538" s="39">
        <f>IF(G538="","",G538+N(H538))</f>
        <v/>
      </c>
      <c r="J538" s="38" t="n"/>
      <c r="K538" s="41" t="n"/>
      <c r="L538" s="38" t="n"/>
      <c r="M538">
        <f>IF($A538=Ficha!$B$3,COUNTIF($A$5:$A538,Ficha!$B$3),"")</f>
        <v/>
      </c>
    </row>
    <row r="539">
      <c r="A539" s="36" t="n"/>
      <c r="B539" s="40">
        <f>IF(A539="","",IFERROR(INDEX(Maniobras!$B$5:$B$504,MATCH(A539,Maniobras!$A$5:$A$504,0)),""))</f>
        <v/>
      </c>
      <c r="C539" s="36">
        <f>IF(B539="","",TEXT(B539,"yyyy-mm"))</f>
        <v/>
      </c>
      <c r="D539" s="36">
        <f>IF(A539="","",IFERROR(INDEX(Maniobras!$D$5:$D$504,MATCH(A539,Maniobras!$A$5:$A$504,0)),""))</f>
        <v/>
      </c>
      <c r="E539" s="36" t="n"/>
      <c r="F539" s="37">
        <f>IF(A539="","",IFERROR(INDEX(Maniobras!$K$5:$K$504,MATCH(A539,Maniobras!$A$5:$A$504,0)),""))</f>
        <v/>
      </c>
      <c r="G539" s="37" t="n"/>
      <c r="H539" s="37" t="n"/>
      <c r="I539" s="37">
        <f>IF(G539="","",G539+N(H539))</f>
        <v/>
      </c>
      <c r="J539" s="36" t="n"/>
      <c r="K539" s="40" t="n"/>
      <c r="L539" s="36" t="n"/>
      <c r="M539">
        <f>IF($A539=Ficha!$B$3,COUNTIF($A$5:$A539,Ficha!$B$3),"")</f>
        <v/>
      </c>
    </row>
    <row r="540">
      <c r="A540" s="38" t="n"/>
      <c r="B540" s="41">
        <f>IF(A540="","",IFERROR(INDEX(Maniobras!$B$5:$B$504,MATCH(A540,Maniobras!$A$5:$A$504,0)),""))</f>
        <v/>
      </c>
      <c r="C540" s="38">
        <f>IF(B540="","",TEXT(B540,"yyyy-mm"))</f>
        <v/>
      </c>
      <c r="D540" s="38">
        <f>IF(A540="","",IFERROR(INDEX(Maniobras!$D$5:$D$504,MATCH(A540,Maniobras!$A$5:$A$504,0)),""))</f>
        <v/>
      </c>
      <c r="E540" s="38" t="n"/>
      <c r="F540" s="39">
        <f>IF(A540="","",IFERROR(INDEX(Maniobras!$K$5:$K$504,MATCH(A540,Maniobras!$A$5:$A$504,0)),""))</f>
        <v/>
      </c>
      <c r="G540" s="39" t="n"/>
      <c r="H540" s="39" t="n"/>
      <c r="I540" s="39">
        <f>IF(G540="","",G540+N(H540))</f>
        <v/>
      </c>
      <c r="J540" s="38" t="n"/>
      <c r="K540" s="41" t="n"/>
      <c r="L540" s="38" t="n"/>
      <c r="M540">
        <f>IF($A540=Ficha!$B$3,COUNTIF($A$5:$A540,Ficha!$B$3),"")</f>
        <v/>
      </c>
    </row>
    <row r="541">
      <c r="A541" s="36" t="n"/>
      <c r="B541" s="40">
        <f>IF(A541="","",IFERROR(INDEX(Maniobras!$B$5:$B$504,MATCH(A541,Maniobras!$A$5:$A$504,0)),""))</f>
        <v/>
      </c>
      <c r="C541" s="36">
        <f>IF(B541="","",TEXT(B541,"yyyy-mm"))</f>
        <v/>
      </c>
      <c r="D541" s="36">
        <f>IF(A541="","",IFERROR(INDEX(Maniobras!$D$5:$D$504,MATCH(A541,Maniobras!$A$5:$A$504,0)),""))</f>
        <v/>
      </c>
      <c r="E541" s="36" t="n"/>
      <c r="F541" s="37">
        <f>IF(A541="","",IFERROR(INDEX(Maniobras!$K$5:$K$504,MATCH(A541,Maniobras!$A$5:$A$504,0)),""))</f>
        <v/>
      </c>
      <c r="G541" s="37" t="n"/>
      <c r="H541" s="37" t="n"/>
      <c r="I541" s="37">
        <f>IF(G541="","",G541+N(H541))</f>
        <v/>
      </c>
      <c r="J541" s="36" t="n"/>
      <c r="K541" s="40" t="n"/>
      <c r="L541" s="36" t="n"/>
      <c r="M541">
        <f>IF($A541=Ficha!$B$3,COUNTIF($A$5:$A541,Ficha!$B$3),"")</f>
        <v/>
      </c>
    </row>
    <row r="542">
      <c r="A542" s="38" t="n"/>
      <c r="B542" s="41">
        <f>IF(A542="","",IFERROR(INDEX(Maniobras!$B$5:$B$504,MATCH(A542,Maniobras!$A$5:$A$504,0)),""))</f>
        <v/>
      </c>
      <c r="C542" s="38">
        <f>IF(B542="","",TEXT(B542,"yyyy-mm"))</f>
        <v/>
      </c>
      <c r="D542" s="38">
        <f>IF(A542="","",IFERROR(INDEX(Maniobras!$D$5:$D$504,MATCH(A542,Maniobras!$A$5:$A$504,0)),""))</f>
        <v/>
      </c>
      <c r="E542" s="38" t="n"/>
      <c r="F542" s="39">
        <f>IF(A542="","",IFERROR(INDEX(Maniobras!$K$5:$K$504,MATCH(A542,Maniobras!$A$5:$A$504,0)),""))</f>
        <v/>
      </c>
      <c r="G542" s="39" t="n"/>
      <c r="H542" s="39" t="n"/>
      <c r="I542" s="39">
        <f>IF(G542="","",G542+N(H542))</f>
        <v/>
      </c>
      <c r="J542" s="38" t="n"/>
      <c r="K542" s="41" t="n"/>
      <c r="L542" s="38" t="n"/>
      <c r="M542">
        <f>IF($A542=Ficha!$B$3,COUNTIF($A$5:$A542,Ficha!$B$3),"")</f>
        <v/>
      </c>
    </row>
    <row r="543">
      <c r="A543" s="36" t="n"/>
      <c r="B543" s="40">
        <f>IF(A543="","",IFERROR(INDEX(Maniobras!$B$5:$B$504,MATCH(A543,Maniobras!$A$5:$A$504,0)),""))</f>
        <v/>
      </c>
      <c r="C543" s="36">
        <f>IF(B543="","",TEXT(B543,"yyyy-mm"))</f>
        <v/>
      </c>
      <c r="D543" s="36">
        <f>IF(A543="","",IFERROR(INDEX(Maniobras!$D$5:$D$504,MATCH(A543,Maniobras!$A$5:$A$504,0)),""))</f>
        <v/>
      </c>
      <c r="E543" s="36" t="n"/>
      <c r="F543" s="37">
        <f>IF(A543="","",IFERROR(INDEX(Maniobras!$K$5:$K$504,MATCH(A543,Maniobras!$A$5:$A$504,0)),""))</f>
        <v/>
      </c>
      <c r="G543" s="37" t="n"/>
      <c r="H543" s="37" t="n"/>
      <c r="I543" s="37">
        <f>IF(G543="","",G543+N(H543))</f>
        <v/>
      </c>
      <c r="J543" s="36" t="n"/>
      <c r="K543" s="40" t="n"/>
      <c r="L543" s="36" t="n"/>
      <c r="M543">
        <f>IF($A543=Ficha!$B$3,COUNTIF($A$5:$A543,Ficha!$B$3),"")</f>
        <v/>
      </c>
    </row>
    <row r="544">
      <c r="A544" s="38" t="n"/>
      <c r="B544" s="41">
        <f>IF(A544="","",IFERROR(INDEX(Maniobras!$B$5:$B$504,MATCH(A544,Maniobras!$A$5:$A$504,0)),""))</f>
        <v/>
      </c>
      <c r="C544" s="38">
        <f>IF(B544="","",TEXT(B544,"yyyy-mm"))</f>
        <v/>
      </c>
      <c r="D544" s="38">
        <f>IF(A544="","",IFERROR(INDEX(Maniobras!$D$5:$D$504,MATCH(A544,Maniobras!$A$5:$A$504,0)),""))</f>
        <v/>
      </c>
      <c r="E544" s="38" t="n"/>
      <c r="F544" s="39">
        <f>IF(A544="","",IFERROR(INDEX(Maniobras!$K$5:$K$504,MATCH(A544,Maniobras!$A$5:$A$504,0)),""))</f>
        <v/>
      </c>
      <c r="G544" s="39" t="n"/>
      <c r="H544" s="39" t="n"/>
      <c r="I544" s="39">
        <f>IF(G544="","",G544+N(H544))</f>
        <v/>
      </c>
      <c r="J544" s="38" t="n"/>
      <c r="K544" s="41" t="n"/>
      <c r="L544" s="38" t="n"/>
      <c r="M544">
        <f>IF($A544=Ficha!$B$3,COUNTIF($A$5:$A544,Ficha!$B$3),"")</f>
        <v/>
      </c>
    </row>
    <row r="545">
      <c r="A545" s="36" t="n"/>
      <c r="B545" s="40">
        <f>IF(A545="","",IFERROR(INDEX(Maniobras!$B$5:$B$504,MATCH(A545,Maniobras!$A$5:$A$504,0)),""))</f>
        <v/>
      </c>
      <c r="C545" s="36">
        <f>IF(B545="","",TEXT(B545,"yyyy-mm"))</f>
        <v/>
      </c>
      <c r="D545" s="36">
        <f>IF(A545="","",IFERROR(INDEX(Maniobras!$D$5:$D$504,MATCH(A545,Maniobras!$A$5:$A$504,0)),""))</f>
        <v/>
      </c>
      <c r="E545" s="36" t="n"/>
      <c r="F545" s="37">
        <f>IF(A545="","",IFERROR(INDEX(Maniobras!$K$5:$K$504,MATCH(A545,Maniobras!$A$5:$A$504,0)),""))</f>
        <v/>
      </c>
      <c r="G545" s="37" t="n"/>
      <c r="H545" s="37" t="n"/>
      <c r="I545" s="37">
        <f>IF(G545="","",G545+N(H545))</f>
        <v/>
      </c>
      <c r="J545" s="36" t="n"/>
      <c r="K545" s="40" t="n"/>
      <c r="L545" s="36" t="n"/>
      <c r="M545">
        <f>IF($A545=Ficha!$B$3,COUNTIF($A$5:$A545,Ficha!$B$3),"")</f>
        <v/>
      </c>
    </row>
    <row r="546">
      <c r="A546" s="38" t="n"/>
      <c r="B546" s="41">
        <f>IF(A546="","",IFERROR(INDEX(Maniobras!$B$5:$B$504,MATCH(A546,Maniobras!$A$5:$A$504,0)),""))</f>
        <v/>
      </c>
      <c r="C546" s="38">
        <f>IF(B546="","",TEXT(B546,"yyyy-mm"))</f>
        <v/>
      </c>
      <c r="D546" s="38">
        <f>IF(A546="","",IFERROR(INDEX(Maniobras!$D$5:$D$504,MATCH(A546,Maniobras!$A$5:$A$504,0)),""))</f>
        <v/>
      </c>
      <c r="E546" s="38" t="n"/>
      <c r="F546" s="39">
        <f>IF(A546="","",IFERROR(INDEX(Maniobras!$K$5:$K$504,MATCH(A546,Maniobras!$A$5:$A$504,0)),""))</f>
        <v/>
      </c>
      <c r="G546" s="39" t="n"/>
      <c r="H546" s="39" t="n"/>
      <c r="I546" s="39">
        <f>IF(G546="","",G546+N(H546))</f>
        <v/>
      </c>
      <c r="J546" s="38" t="n"/>
      <c r="K546" s="41" t="n"/>
      <c r="L546" s="38" t="n"/>
      <c r="M546">
        <f>IF($A546=Ficha!$B$3,COUNTIF($A$5:$A546,Ficha!$B$3),"")</f>
        <v/>
      </c>
    </row>
    <row r="547">
      <c r="A547" s="36" t="n"/>
      <c r="B547" s="40">
        <f>IF(A547="","",IFERROR(INDEX(Maniobras!$B$5:$B$504,MATCH(A547,Maniobras!$A$5:$A$504,0)),""))</f>
        <v/>
      </c>
      <c r="C547" s="36">
        <f>IF(B547="","",TEXT(B547,"yyyy-mm"))</f>
        <v/>
      </c>
      <c r="D547" s="36">
        <f>IF(A547="","",IFERROR(INDEX(Maniobras!$D$5:$D$504,MATCH(A547,Maniobras!$A$5:$A$504,0)),""))</f>
        <v/>
      </c>
      <c r="E547" s="36" t="n"/>
      <c r="F547" s="37">
        <f>IF(A547="","",IFERROR(INDEX(Maniobras!$K$5:$K$504,MATCH(A547,Maniobras!$A$5:$A$504,0)),""))</f>
        <v/>
      </c>
      <c r="G547" s="37" t="n"/>
      <c r="H547" s="37" t="n"/>
      <c r="I547" s="37">
        <f>IF(G547="","",G547+N(H547))</f>
        <v/>
      </c>
      <c r="J547" s="36" t="n"/>
      <c r="K547" s="40" t="n"/>
      <c r="L547" s="36" t="n"/>
      <c r="M547">
        <f>IF($A547=Ficha!$B$3,COUNTIF($A$5:$A547,Ficha!$B$3),"")</f>
        <v/>
      </c>
    </row>
    <row r="548">
      <c r="A548" s="38" t="n"/>
      <c r="B548" s="41">
        <f>IF(A548="","",IFERROR(INDEX(Maniobras!$B$5:$B$504,MATCH(A548,Maniobras!$A$5:$A$504,0)),""))</f>
        <v/>
      </c>
      <c r="C548" s="38">
        <f>IF(B548="","",TEXT(B548,"yyyy-mm"))</f>
        <v/>
      </c>
      <c r="D548" s="38">
        <f>IF(A548="","",IFERROR(INDEX(Maniobras!$D$5:$D$504,MATCH(A548,Maniobras!$A$5:$A$504,0)),""))</f>
        <v/>
      </c>
      <c r="E548" s="38" t="n"/>
      <c r="F548" s="39">
        <f>IF(A548="","",IFERROR(INDEX(Maniobras!$K$5:$K$504,MATCH(A548,Maniobras!$A$5:$A$504,0)),""))</f>
        <v/>
      </c>
      <c r="G548" s="39" t="n"/>
      <c r="H548" s="39" t="n"/>
      <c r="I548" s="39">
        <f>IF(G548="","",G548+N(H548))</f>
        <v/>
      </c>
      <c r="J548" s="38" t="n"/>
      <c r="K548" s="41" t="n"/>
      <c r="L548" s="38" t="n"/>
      <c r="M548">
        <f>IF($A548=Ficha!$B$3,COUNTIF($A$5:$A548,Ficha!$B$3),"")</f>
        <v/>
      </c>
    </row>
    <row r="549">
      <c r="A549" s="36" t="n"/>
      <c r="B549" s="40">
        <f>IF(A549="","",IFERROR(INDEX(Maniobras!$B$5:$B$504,MATCH(A549,Maniobras!$A$5:$A$504,0)),""))</f>
        <v/>
      </c>
      <c r="C549" s="36">
        <f>IF(B549="","",TEXT(B549,"yyyy-mm"))</f>
        <v/>
      </c>
      <c r="D549" s="36">
        <f>IF(A549="","",IFERROR(INDEX(Maniobras!$D$5:$D$504,MATCH(A549,Maniobras!$A$5:$A$504,0)),""))</f>
        <v/>
      </c>
      <c r="E549" s="36" t="n"/>
      <c r="F549" s="37">
        <f>IF(A549="","",IFERROR(INDEX(Maniobras!$K$5:$K$504,MATCH(A549,Maniobras!$A$5:$A$504,0)),""))</f>
        <v/>
      </c>
      <c r="G549" s="37" t="n"/>
      <c r="H549" s="37" t="n"/>
      <c r="I549" s="37">
        <f>IF(G549="","",G549+N(H549))</f>
        <v/>
      </c>
      <c r="J549" s="36" t="n"/>
      <c r="K549" s="40" t="n"/>
      <c r="L549" s="36" t="n"/>
      <c r="M549">
        <f>IF($A549=Ficha!$B$3,COUNTIF($A$5:$A549,Ficha!$B$3),"")</f>
        <v/>
      </c>
    </row>
    <row r="550">
      <c r="A550" s="38" t="n"/>
      <c r="B550" s="41">
        <f>IF(A550="","",IFERROR(INDEX(Maniobras!$B$5:$B$504,MATCH(A550,Maniobras!$A$5:$A$504,0)),""))</f>
        <v/>
      </c>
      <c r="C550" s="38">
        <f>IF(B550="","",TEXT(B550,"yyyy-mm"))</f>
        <v/>
      </c>
      <c r="D550" s="38">
        <f>IF(A550="","",IFERROR(INDEX(Maniobras!$D$5:$D$504,MATCH(A550,Maniobras!$A$5:$A$504,0)),""))</f>
        <v/>
      </c>
      <c r="E550" s="38" t="n"/>
      <c r="F550" s="39">
        <f>IF(A550="","",IFERROR(INDEX(Maniobras!$K$5:$K$504,MATCH(A550,Maniobras!$A$5:$A$504,0)),""))</f>
        <v/>
      </c>
      <c r="G550" s="39" t="n"/>
      <c r="H550" s="39" t="n"/>
      <c r="I550" s="39">
        <f>IF(G550="","",G550+N(H550))</f>
        <v/>
      </c>
      <c r="J550" s="38" t="n"/>
      <c r="K550" s="41" t="n"/>
      <c r="L550" s="38" t="n"/>
      <c r="M550">
        <f>IF($A550=Ficha!$B$3,COUNTIF($A$5:$A550,Ficha!$B$3),"")</f>
        <v/>
      </c>
    </row>
    <row r="551">
      <c r="A551" s="36" t="n"/>
      <c r="B551" s="40">
        <f>IF(A551="","",IFERROR(INDEX(Maniobras!$B$5:$B$504,MATCH(A551,Maniobras!$A$5:$A$504,0)),""))</f>
        <v/>
      </c>
      <c r="C551" s="36">
        <f>IF(B551="","",TEXT(B551,"yyyy-mm"))</f>
        <v/>
      </c>
      <c r="D551" s="36">
        <f>IF(A551="","",IFERROR(INDEX(Maniobras!$D$5:$D$504,MATCH(A551,Maniobras!$A$5:$A$504,0)),""))</f>
        <v/>
      </c>
      <c r="E551" s="36" t="n"/>
      <c r="F551" s="37">
        <f>IF(A551="","",IFERROR(INDEX(Maniobras!$K$5:$K$504,MATCH(A551,Maniobras!$A$5:$A$504,0)),""))</f>
        <v/>
      </c>
      <c r="G551" s="37" t="n"/>
      <c r="H551" s="37" t="n"/>
      <c r="I551" s="37">
        <f>IF(G551="","",G551+N(H551))</f>
        <v/>
      </c>
      <c r="J551" s="36" t="n"/>
      <c r="K551" s="40" t="n"/>
      <c r="L551" s="36" t="n"/>
      <c r="M551">
        <f>IF($A551=Ficha!$B$3,COUNTIF($A$5:$A551,Ficha!$B$3),"")</f>
        <v/>
      </c>
    </row>
    <row r="552">
      <c r="A552" s="38" t="n"/>
      <c r="B552" s="41">
        <f>IF(A552="","",IFERROR(INDEX(Maniobras!$B$5:$B$504,MATCH(A552,Maniobras!$A$5:$A$504,0)),""))</f>
        <v/>
      </c>
      <c r="C552" s="38">
        <f>IF(B552="","",TEXT(B552,"yyyy-mm"))</f>
        <v/>
      </c>
      <c r="D552" s="38">
        <f>IF(A552="","",IFERROR(INDEX(Maniobras!$D$5:$D$504,MATCH(A552,Maniobras!$A$5:$A$504,0)),""))</f>
        <v/>
      </c>
      <c r="E552" s="38" t="n"/>
      <c r="F552" s="39">
        <f>IF(A552="","",IFERROR(INDEX(Maniobras!$K$5:$K$504,MATCH(A552,Maniobras!$A$5:$A$504,0)),""))</f>
        <v/>
      </c>
      <c r="G552" s="39" t="n"/>
      <c r="H552" s="39" t="n"/>
      <c r="I552" s="39">
        <f>IF(G552="","",G552+N(H552))</f>
        <v/>
      </c>
      <c r="J552" s="38" t="n"/>
      <c r="K552" s="41" t="n"/>
      <c r="L552" s="38" t="n"/>
      <c r="M552">
        <f>IF($A552=Ficha!$B$3,COUNTIF($A$5:$A552,Ficha!$B$3),"")</f>
        <v/>
      </c>
    </row>
    <row r="553">
      <c r="A553" s="36" t="n"/>
      <c r="B553" s="40">
        <f>IF(A553="","",IFERROR(INDEX(Maniobras!$B$5:$B$504,MATCH(A553,Maniobras!$A$5:$A$504,0)),""))</f>
        <v/>
      </c>
      <c r="C553" s="36">
        <f>IF(B553="","",TEXT(B553,"yyyy-mm"))</f>
        <v/>
      </c>
      <c r="D553" s="36">
        <f>IF(A553="","",IFERROR(INDEX(Maniobras!$D$5:$D$504,MATCH(A553,Maniobras!$A$5:$A$504,0)),""))</f>
        <v/>
      </c>
      <c r="E553" s="36" t="n"/>
      <c r="F553" s="37">
        <f>IF(A553="","",IFERROR(INDEX(Maniobras!$K$5:$K$504,MATCH(A553,Maniobras!$A$5:$A$504,0)),""))</f>
        <v/>
      </c>
      <c r="G553" s="37" t="n"/>
      <c r="H553" s="37" t="n"/>
      <c r="I553" s="37">
        <f>IF(G553="","",G553+N(H553))</f>
        <v/>
      </c>
      <c r="J553" s="36" t="n"/>
      <c r="K553" s="40" t="n"/>
      <c r="L553" s="36" t="n"/>
      <c r="M553">
        <f>IF($A553=Ficha!$B$3,COUNTIF($A$5:$A553,Ficha!$B$3),"")</f>
        <v/>
      </c>
    </row>
    <row r="554">
      <c r="A554" s="38" t="n"/>
      <c r="B554" s="41">
        <f>IF(A554="","",IFERROR(INDEX(Maniobras!$B$5:$B$504,MATCH(A554,Maniobras!$A$5:$A$504,0)),""))</f>
        <v/>
      </c>
      <c r="C554" s="38">
        <f>IF(B554="","",TEXT(B554,"yyyy-mm"))</f>
        <v/>
      </c>
      <c r="D554" s="38">
        <f>IF(A554="","",IFERROR(INDEX(Maniobras!$D$5:$D$504,MATCH(A554,Maniobras!$A$5:$A$504,0)),""))</f>
        <v/>
      </c>
      <c r="E554" s="38" t="n"/>
      <c r="F554" s="39">
        <f>IF(A554="","",IFERROR(INDEX(Maniobras!$K$5:$K$504,MATCH(A554,Maniobras!$A$5:$A$504,0)),""))</f>
        <v/>
      </c>
      <c r="G554" s="39" t="n"/>
      <c r="H554" s="39" t="n"/>
      <c r="I554" s="39">
        <f>IF(G554="","",G554+N(H554))</f>
        <v/>
      </c>
      <c r="J554" s="38" t="n"/>
      <c r="K554" s="41" t="n"/>
      <c r="L554" s="38" t="n"/>
      <c r="M554">
        <f>IF($A554=Ficha!$B$3,COUNTIF($A$5:$A554,Ficha!$B$3),"")</f>
        <v/>
      </c>
    </row>
    <row r="555">
      <c r="A555" s="36" t="n"/>
      <c r="B555" s="40">
        <f>IF(A555="","",IFERROR(INDEX(Maniobras!$B$5:$B$504,MATCH(A555,Maniobras!$A$5:$A$504,0)),""))</f>
        <v/>
      </c>
      <c r="C555" s="36">
        <f>IF(B555="","",TEXT(B555,"yyyy-mm"))</f>
        <v/>
      </c>
      <c r="D555" s="36">
        <f>IF(A555="","",IFERROR(INDEX(Maniobras!$D$5:$D$504,MATCH(A555,Maniobras!$A$5:$A$504,0)),""))</f>
        <v/>
      </c>
      <c r="E555" s="36" t="n"/>
      <c r="F555" s="37">
        <f>IF(A555="","",IFERROR(INDEX(Maniobras!$K$5:$K$504,MATCH(A555,Maniobras!$A$5:$A$504,0)),""))</f>
        <v/>
      </c>
      <c r="G555" s="37" t="n"/>
      <c r="H555" s="37" t="n"/>
      <c r="I555" s="37">
        <f>IF(G555="","",G555+N(H555))</f>
        <v/>
      </c>
      <c r="J555" s="36" t="n"/>
      <c r="K555" s="40" t="n"/>
      <c r="L555" s="36" t="n"/>
      <c r="M555">
        <f>IF($A555=Ficha!$B$3,COUNTIF($A$5:$A555,Ficha!$B$3),"")</f>
        <v/>
      </c>
    </row>
    <row r="556">
      <c r="A556" s="38" t="n"/>
      <c r="B556" s="41">
        <f>IF(A556="","",IFERROR(INDEX(Maniobras!$B$5:$B$504,MATCH(A556,Maniobras!$A$5:$A$504,0)),""))</f>
        <v/>
      </c>
      <c r="C556" s="38">
        <f>IF(B556="","",TEXT(B556,"yyyy-mm"))</f>
        <v/>
      </c>
      <c r="D556" s="38">
        <f>IF(A556="","",IFERROR(INDEX(Maniobras!$D$5:$D$504,MATCH(A556,Maniobras!$A$5:$A$504,0)),""))</f>
        <v/>
      </c>
      <c r="E556" s="38" t="n"/>
      <c r="F556" s="39">
        <f>IF(A556="","",IFERROR(INDEX(Maniobras!$K$5:$K$504,MATCH(A556,Maniobras!$A$5:$A$504,0)),""))</f>
        <v/>
      </c>
      <c r="G556" s="39" t="n"/>
      <c r="H556" s="39" t="n"/>
      <c r="I556" s="39">
        <f>IF(G556="","",G556+N(H556))</f>
        <v/>
      </c>
      <c r="J556" s="38" t="n"/>
      <c r="K556" s="41" t="n"/>
      <c r="L556" s="38" t="n"/>
      <c r="M556">
        <f>IF($A556=Ficha!$B$3,COUNTIF($A$5:$A556,Ficha!$B$3),"")</f>
        <v/>
      </c>
    </row>
    <row r="557">
      <c r="A557" s="36" t="n"/>
      <c r="B557" s="40">
        <f>IF(A557="","",IFERROR(INDEX(Maniobras!$B$5:$B$504,MATCH(A557,Maniobras!$A$5:$A$504,0)),""))</f>
        <v/>
      </c>
      <c r="C557" s="36">
        <f>IF(B557="","",TEXT(B557,"yyyy-mm"))</f>
        <v/>
      </c>
      <c r="D557" s="36">
        <f>IF(A557="","",IFERROR(INDEX(Maniobras!$D$5:$D$504,MATCH(A557,Maniobras!$A$5:$A$504,0)),""))</f>
        <v/>
      </c>
      <c r="E557" s="36" t="n"/>
      <c r="F557" s="37">
        <f>IF(A557="","",IFERROR(INDEX(Maniobras!$K$5:$K$504,MATCH(A557,Maniobras!$A$5:$A$504,0)),""))</f>
        <v/>
      </c>
      <c r="G557" s="37" t="n"/>
      <c r="H557" s="37" t="n"/>
      <c r="I557" s="37">
        <f>IF(G557="","",G557+N(H557))</f>
        <v/>
      </c>
      <c r="J557" s="36" t="n"/>
      <c r="K557" s="40" t="n"/>
      <c r="L557" s="36" t="n"/>
      <c r="M557">
        <f>IF($A557=Ficha!$B$3,COUNTIF($A$5:$A557,Ficha!$B$3),"")</f>
        <v/>
      </c>
    </row>
    <row r="558">
      <c r="A558" s="38" t="n"/>
      <c r="B558" s="41">
        <f>IF(A558="","",IFERROR(INDEX(Maniobras!$B$5:$B$504,MATCH(A558,Maniobras!$A$5:$A$504,0)),""))</f>
        <v/>
      </c>
      <c r="C558" s="38">
        <f>IF(B558="","",TEXT(B558,"yyyy-mm"))</f>
        <v/>
      </c>
      <c r="D558" s="38">
        <f>IF(A558="","",IFERROR(INDEX(Maniobras!$D$5:$D$504,MATCH(A558,Maniobras!$A$5:$A$504,0)),""))</f>
        <v/>
      </c>
      <c r="E558" s="38" t="n"/>
      <c r="F558" s="39">
        <f>IF(A558="","",IFERROR(INDEX(Maniobras!$K$5:$K$504,MATCH(A558,Maniobras!$A$5:$A$504,0)),""))</f>
        <v/>
      </c>
      <c r="G558" s="39" t="n"/>
      <c r="H558" s="39" t="n"/>
      <c r="I558" s="39">
        <f>IF(G558="","",G558+N(H558))</f>
        <v/>
      </c>
      <c r="J558" s="38" t="n"/>
      <c r="K558" s="41" t="n"/>
      <c r="L558" s="38" t="n"/>
      <c r="M558">
        <f>IF($A558=Ficha!$B$3,COUNTIF($A$5:$A558,Ficha!$B$3),"")</f>
        <v/>
      </c>
    </row>
    <row r="559">
      <c r="A559" s="36" t="n"/>
      <c r="B559" s="40">
        <f>IF(A559="","",IFERROR(INDEX(Maniobras!$B$5:$B$504,MATCH(A559,Maniobras!$A$5:$A$504,0)),""))</f>
        <v/>
      </c>
      <c r="C559" s="36">
        <f>IF(B559="","",TEXT(B559,"yyyy-mm"))</f>
        <v/>
      </c>
      <c r="D559" s="36">
        <f>IF(A559="","",IFERROR(INDEX(Maniobras!$D$5:$D$504,MATCH(A559,Maniobras!$A$5:$A$504,0)),""))</f>
        <v/>
      </c>
      <c r="E559" s="36" t="n"/>
      <c r="F559" s="37">
        <f>IF(A559="","",IFERROR(INDEX(Maniobras!$K$5:$K$504,MATCH(A559,Maniobras!$A$5:$A$504,0)),""))</f>
        <v/>
      </c>
      <c r="G559" s="37" t="n"/>
      <c r="H559" s="37" t="n"/>
      <c r="I559" s="37">
        <f>IF(G559="","",G559+N(H559))</f>
        <v/>
      </c>
      <c r="J559" s="36" t="n"/>
      <c r="K559" s="40" t="n"/>
      <c r="L559" s="36" t="n"/>
      <c r="M559">
        <f>IF($A559=Ficha!$B$3,COUNTIF($A$5:$A559,Ficha!$B$3),"")</f>
        <v/>
      </c>
    </row>
    <row r="560">
      <c r="A560" s="38" t="n"/>
      <c r="B560" s="41">
        <f>IF(A560="","",IFERROR(INDEX(Maniobras!$B$5:$B$504,MATCH(A560,Maniobras!$A$5:$A$504,0)),""))</f>
        <v/>
      </c>
      <c r="C560" s="38">
        <f>IF(B560="","",TEXT(B560,"yyyy-mm"))</f>
        <v/>
      </c>
      <c r="D560" s="38">
        <f>IF(A560="","",IFERROR(INDEX(Maniobras!$D$5:$D$504,MATCH(A560,Maniobras!$A$5:$A$504,0)),""))</f>
        <v/>
      </c>
      <c r="E560" s="38" t="n"/>
      <c r="F560" s="39">
        <f>IF(A560="","",IFERROR(INDEX(Maniobras!$K$5:$K$504,MATCH(A560,Maniobras!$A$5:$A$504,0)),""))</f>
        <v/>
      </c>
      <c r="G560" s="39" t="n"/>
      <c r="H560" s="39" t="n"/>
      <c r="I560" s="39">
        <f>IF(G560="","",G560+N(H560))</f>
        <v/>
      </c>
      <c r="J560" s="38" t="n"/>
      <c r="K560" s="41" t="n"/>
      <c r="L560" s="38" t="n"/>
      <c r="M560">
        <f>IF($A560=Ficha!$B$3,COUNTIF($A$5:$A560,Ficha!$B$3),"")</f>
        <v/>
      </c>
    </row>
    <row r="561">
      <c r="A561" s="36" t="n"/>
      <c r="B561" s="40">
        <f>IF(A561="","",IFERROR(INDEX(Maniobras!$B$5:$B$504,MATCH(A561,Maniobras!$A$5:$A$504,0)),""))</f>
        <v/>
      </c>
      <c r="C561" s="36">
        <f>IF(B561="","",TEXT(B561,"yyyy-mm"))</f>
        <v/>
      </c>
      <c r="D561" s="36">
        <f>IF(A561="","",IFERROR(INDEX(Maniobras!$D$5:$D$504,MATCH(A561,Maniobras!$A$5:$A$504,0)),""))</f>
        <v/>
      </c>
      <c r="E561" s="36" t="n"/>
      <c r="F561" s="37">
        <f>IF(A561="","",IFERROR(INDEX(Maniobras!$K$5:$K$504,MATCH(A561,Maniobras!$A$5:$A$504,0)),""))</f>
        <v/>
      </c>
      <c r="G561" s="37" t="n"/>
      <c r="H561" s="37" t="n"/>
      <c r="I561" s="37">
        <f>IF(G561="","",G561+N(H561))</f>
        <v/>
      </c>
      <c r="J561" s="36" t="n"/>
      <c r="K561" s="40" t="n"/>
      <c r="L561" s="36" t="n"/>
      <c r="M561">
        <f>IF($A561=Ficha!$B$3,COUNTIF($A$5:$A561,Ficha!$B$3),"")</f>
        <v/>
      </c>
    </row>
    <row r="562">
      <c r="A562" s="38" t="n"/>
      <c r="B562" s="41">
        <f>IF(A562="","",IFERROR(INDEX(Maniobras!$B$5:$B$504,MATCH(A562,Maniobras!$A$5:$A$504,0)),""))</f>
        <v/>
      </c>
      <c r="C562" s="38">
        <f>IF(B562="","",TEXT(B562,"yyyy-mm"))</f>
        <v/>
      </c>
      <c r="D562" s="38">
        <f>IF(A562="","",IFERROR(INDEX(Maniobras!$D$5:$D$504,MATCH(A562,Maniobras!$A$5:$A$504,0)),""))</f>
        <v/>
      </c>
      <c r="E562" s="38" t="n"/>
      <c r="F562" s="39">
        <f>IF(A562="","",IFERROR(INDEX(Maniobras!$K$5:$K$504,MATCH(A562,Maniobras!$A$5:$A$504,0)),""))</f>
        <v/>
      </c>
      <c r="G562" s="39" t="n"/>
      <c r="H562" s="39" t="n"/>
      <c r="I562" s="39">
        <f>IF(G562="","",G562+N(H562))</f>
        <v/>
      </c>
      <c r="J562" s="38" t="n"/>
      <c r="K562" s="41" t="n"/>
      <c r="L562" s="38" t="n"/>
      <c r="M562">
        <f>IF($A562=Ficha!$B$3,COUNTIF($A$5:$A562,Ficha!$B$3),"")</f>
        <v/>
      </c>
    </row>
    <row r="563">
      <c r="A563" s="36" t="n"/>
      <c r="B563" s="40">
        <f>IF(A563="","",IFERROR(INDEX(Maniobras!$B$5:$B$504,MATCH(A563,Maniobras!$A$5:$A$504,0)),""))</f>
        <v/>
      </c>
      <c r="C563" s="36">
        <f>IF(B563="","",TEXT(B563,"yyyy-mm"))</f>
        <v/>
      </c>
      <c r="D563" s="36">
        <f>IF(A563="","",IFERROR(INDEX(Maniobras!$D$5:$D$504,MATCH(A563,Maniobras!$A$5:$A$504,0)),""))</f>
        <v/>
      </c>
      <c r="E563" s="36" t="n"/>
      <c r="F563" s="37">
        <f>IF(A563="","",IFERROR(INDEX(Maniobras!$K$5:$K$504,MATCH(A563,Maniobras!$A$5:$A$504,0)),""))</f>
        <v/>
      </c>
      <c r="G563" s="37" t="n"/>
      <c r="H563" s="37" t="n"/>
      <c r="I563" s="37">
        <f>IF(G563="","",G563+N(H563))</f>
        <v/>
      </c>
      <c r="J563" s="36" t="n"/>
      <c r="K563" s="40" t="n"/>
      <c r="L563" s="36" t="n"/>
      <c r="M563">
        <f>IF($A563=Ficha!$B$3,COUNTIF($A$5:$A563,Ficha!$B$3),"")</f>
        <v/>
      </c>
    </row>
    <row r="564">
      <c r="A564" s="38" t="n"/>
      <c r="B564" s="41">
        <f>IF(A564="","",IFERROR(INDEX(Maniobras!$B$5:$B$504,MATCH(A564,Maniobras!$A$5:$A$504,0)),""))</f>
        <v/>
      </c>
      <c r="C564" s="38">
        <f>IF(B564="","",TEXT(B564,"yyyy-mm"))</f>
        <v/>
      </c>
      <c r="D564" s="38">
        <f>IF(A564="","",IFERROR(INDEX(Maniobras!$D$5:$D$504,MATCH(A564,Maniobras!$A$5:$A$504,0)),""))</f>
        <v/>
      </c>
      <c r="E564" s="38" t="n"/>
      <c r="F564" s="39">
        <f>IF(A564="","",IFERROR(INDEX(Maniobras!$K$5:$K$504,MATCH(A564,Maniobras!$A$5:$A$504,0)),""))</f>
        <v/>
      </c>
      <c r="G564" s="39" t="n"/>
      <c r="H564" s="39" t="n"/>
      <c r="I564" s="39">
        <f>IF(G564="","",G564+N(H564))</f>
        <v/>
      </c>
      <c r="J564" s="38" t="n"/>
      <c r="K564" s="41" t="n"/>
      <c r="L564" s="38" t="n"/>
      <c r="M564">
        <f>IF($A564=Ficha!$B$3,COUNTIF($A$5:$A564,Ficha!$B$3),"")</f>
        <v/>
      </c>
    </row>
    <row r="565">
      <c r="A565" s="36" t="n"/>
      <c r="B565" s="40">
        <f>IF(A565="","",IFERROR(INDEX(Maniobras!$B$5:$B$504,MATCH(A565,Maniobras!$A$5:$A$504,0)),""))</f>
        <v/>
      </c>
      <c r="C565" s="36">
        <f>IF(B565="","",TEXT(B565,"yyyy-mm"))</f>
        <v/>
      </c>
      <c r="D565" s="36">
        <f>IF(A565="","",IFERROR(INDEX(Maniobras!$D$5:$D$504,MATCH(A565,Maniobras!$A$5:$A$504,0)),""))</f>
        <v/>
      </c>
      <c r="E565" s="36" t="n"/>
      <c r="F565" s="37">
        <f>IF(A565="","",IFERROR(INDEX(Maniobras!$K$5:$K$504,MATCH(A565,Maniobras!$A$5:$A$504,0)),""))</f>
        <v/>
      </c>
      <c r="G565" s="37" t="n"/>
      <c r="H565" s="37" t="n"/>
      <c r="I565" s="37">
        <f>IF(G565="","",G565+N(H565))</f>
        <v/>
      </c>
      <c r="J565" s="36" t="n"/>
      <c r="K565" s="40" t="n"/>
      <c r="L565" s="36" t="n"/>
      <c r="M565">
        <f>IF($A565=Ficha!$B$3,COUNTIF($A$5:$A565,Ficha!$B$3),"")</f>
        <v/>
      </c>
    </row>
    <row r="566">
      <c r="A566" s="38" t="n"/>
      <c r="B566" s="41">
        <f>IF(A566="","",IFERROR(INDEX(Maniobras!$B$5:$B$504,MATCH(A566,Maniobras!$A$5:$A$504,0)),""))</f>
        <v/>
      </c>
      <c r="C566" s="38">
        <f>IF(B566="","",TEXT(B566,"yyyy-mm"))</f>
        <v/>
      </c>
      <c r="D566" s="38">
        <f>IF(A566="","",IFERROR(INDEX(Maniobras!$D$5:$D$504,MATCH(A566,Maniobras!$A$5:$A$504,0)),""))</f>
        <v/>
      </c>
      <c r="E566" s="38" t="n"/>
      <c r="F566" s="39">
        <f>IF(A566="","",IFERROR(INDEX(Maniobras!$K$5:$K$504,MATCH(A566,Maniobras!$A$5:$A$504,0)),""))</f>
        <v/>
      </c>
      <c r="G566" s="39" t="n"/>
      <c r="H566" s="39" t="n"/>
      <c r="I566" s="39">
        <f>IF(G566="","",G566+N(H566))</f>
        <v/>
      </c>
      <c r="J566" s="38" t="n"/>
      <c r="K566" s="41" t="n"/>
      <c r="L566" s="38" t="n"/>
      <c r="M566">
        <f>IF($A566=Ficha!$B$3,COUNTIF($A$5:$A566,Ficha!$B$3),"")</f>
        <v/>
      </c>
    </row>
    <row r="567">
      <c r="A567" s="36" t="n"/>
      <c r="B567" s="40">
        <f>IF(A567="","",IFERROR(INDEX(Maniobras!$B$5:$B$504,MATCH(A567,Maniobras!$A$5:$A$504,0)),""))</f>
        <v/>
      </c>
      <c r="C567" s="36">
        <f>IF(B567="","",TEXT(B567,"yyyy-mm"))</f>
        <v/>
      </c>
      <c r="D567" s="36">
        <f>IF(A567="","",IFERROR(INDEX(Maniobras!$D$5:$D$504,MATCH(A567,Maniobras!$A$5:$A$504,0)),""))</f>
        <v/>
      </c>
      <c r="E567" s="36" t="n"/>
      <c r="F567" s="37">
        <f>IF(A567="","",IFERROR(INDEX(Maniobras!$K$5:$K$504,MATCH(A567,Maniobras!$A$5:$A$504,0)),""))</f>
        <v/>
      </c>
      <c r="G567" s="37" t="n"/>
      <c r="H567" s="37" t="n"/>
      <c r="I567" s="37">
        <f>IF(G567="","",G567+N(H567))</f>
        <v/>
      </c>
      <c r="J567" s="36" t="n"/>
      <c r="K567" s="40" t="n"/>
      <c r="L567" s="36" t="n"/>
      <c r="M567">
        <f>IF($A567=Ficha!$B$3,COUNTIF($A$5:$A567,Ficha!$B$3),"")</f>
        <v/>
      </c>
    </row>
    <row r="568">
      <c r="A568" s="38" t="n"/>
      <c r="B568" s="41">
        <f>IF(A568="","",IFERROR(INDEX(Maniobras!$B$5:$B$504,MATCH(A568,Maniobras!$A$5:$A$504,0)),""))</f>
        <v/>
      </c>
      <c r="C568" s="38">
        <f>IF(B568="","",TEXT(B568,"yyyy-mm"))</f>
        <v/>
      </c>
      <c r="D568" s="38">
        <f>IF(A568="","",IFERROR(INDEX(Maniobras!$D$5:$D$504,MATCH(A568,Maniobras!$A$5:$A$504,0)),""))</f>
        <v/>
      </c>
      <c r="E568" s="38" t="n"/>
      <c r="F568" s="39">
        <f>IF(A568="","",IFERROR(INDEX(Maniobras!$K$5:$K$504,MATCH(A568,Maniobras!$A$5:$A$504,0)),""))</f>
        <v/>
      </c>
      <c r="G568" s="39" t="n"/>
      <c r="H568" s="39" t="n"/>
      <c r="I568" s="39">
        <f>IF(G568="","",G568+N(H568))</f>
        <v/>
      </c>
      <c r="J568" s="38" t="n"/>
      <c r="K568" s="41" t="n"/>
      <c r="L568" s="38" t="n"/>
      <c r="M568">
        <f>IF($A568=Ficha!$B$3,COUNTIF($A$5:$A568,Ficha!$B$3),"")</f>
        <v/>
      </c>
    </row>
    <row r="569">
      <c r="A569" s="36" t="n"/>
      <c r="B569" s="40">
        <f>IF(A569="","",IFERROR(INDEX(Maniobras!$B$5:$B$504,MATCH(A569,Maniobras!$A$5:$A$504,0)),""))</f>
        <v/>
      </c>
      <c r="C569" s="36">
        <f>IF(B569="","",TEXT(B569,"yyyy-mm"))</f>
        <v/>
      </c>
      <c r="D569" s="36">
        <f>IF(A569="","",IFERROR(INDEX(Maniobras!$D$5:$D$504,MATCH(A569,Maniobras!$A$5:$A$504,0)),""))</f>
        <v/>
      </c>
      <c r="E569" s="36" t="n"/>
      <c r="F569" s="37">
        <f>IF(A569="","",IFERROR(INDEX(Maniobras!$K$5:$K$504,MATCH(A569,Maniobras!$A$5:$A$504,0)),""))</f>
        <v/>
      </c>
      <c r="G569" s="37" t="n"/>
      <c r="H569" s="37" t="n"/>
      <c r="I569" s="37">
        <f>IF(G569="","",G569+N(H569))</f>
        <v/>
      </c>
      <c r="J569" s="36" t="n"/>
      <c r="K569" s="40" t="n"/>
      <c r="L569" s="36" t="n"/>
      <c r="M569">
        <f>IF($A569=Ficha!$B$3,COUNTIF($A$5:$A569,Ficha!$B$3),"")</f>
        <v/>
      </c>
    </row>
    <row r="570">
      <c r="A570" s="38" t="n"/>
      <c r="B570" s="41">
        <f>IF(A570="","",IFERROR(INDEX(Maniobras!$B$5:$B$504,MATCH(A570,Maniobras!$A$5:$A$504,0)),""))</f>
        <v/>
      </c>
      <c r="C570" s="38">
        <f>IF(B570="","",TEXT(B570,"yyyy-mm"))</f>
        <v/>
      </c>
      <c r="D570" s="38">
        <f>IF(A570="","",IFERROR(INDEX(Maniobras!$D$5:$D$504,MATCH(A570,Maniobras!$A$5:$A$504,0)),""))</f>
        <v/>
      </c>
      <c r="E570" s="38" t="n"/>
      <c r="F570" s="39">
        <f>IF(A570="","",IFERROR(INDEX(Maniobras!$K$5:$K$504,MATCH(A570,Maniobras!$A$5:$A$504,0)),""))</f>
        <v/>
      </c>
      <c r="G570" s="39" t="n"/>
      <c r="H570" s="39" t="n"/>
      <c r="I570" s="39">
        <f>IF(G570="","",G570+N(H570))</f>
        <v/>
      </c>
      <c r="J570" s="38" t="n"/>
      <c r="K570" s="41" t="n"/>
      <c r="L570" s="38" t="n"/>
      <c r="M570">
        <f>IF($A570=Ficha!$B$3,COUNTIF($A$5:$A570,Ficha!$B$3),"")</f>
        <v/>
      </c>
    </row>
    <row r="571">
      <c r="A571" s="36" t="n"/>
      <c r="B571" s="40">
        <f>IF(A571="","",IFERROR(INDEX(Maniobras!$B$5:$B$504,MATCH(A571,Maniobras!$A$5:$A$504,0)),""))</f>
        <v/>
      </c>
      <c r="C571" s="36">
        <f>IF(B571="","",TEXT(B571,"yyyy-mm"))</f>
        <v/>
      </c>
      <c r="D571" s="36">
        <f>IF(A571="","",IFERROR(INDEX(Maniobras!$D$5:$D$504,MATCH(A571,Maniobras!$A$5:$A$504,0)),""))</f>
        <v/>
      </c>
      <c r="E571" s="36" t="n"/>
      <c r="F571" s="37">
        <f>IF(A571="","",IFERROR(INDEX(Maniobras!$K$5:$K$504,MATCH(A571,Maniobras!$A$5:$A$504,0)),""))</f>
        <v/>
      </c>
      <c r="G571" s="37" t="n"/>
      <c r="H571" s="37" t="n"/>
      <c r="I571" s="37">
        <f>IF(G571="","",G571+N(H571))</f>
        <v/>
      </c>
      <c r="J571" s="36" t="n"/>
      <c r="K571" s="40" t="n"/>
      <c r="L571" s="36" t="n"/>
      <c r="M571">
        <f>IF($A571=Ficha!$B$3,COUNTIF($A$5:$A571,Ficha!$B$3),"")</f>
        <v/>
      </c>
    </row>
    <row r="572">
      <c r="A572" s="38" t="n"/>
      <c r="B572" s="41">
        <f>IF(A572="","",IFERROR(INDEX(Maniobras!$B$5:$B$504,MATCH(A572,Maniobras!$A$5:$A$504,0)),""))</f>
        <v/>
      </c>
      <c r="C572" s="38">
        <f>IF(B572="","",TEXT(B572,"yyyy-mm"))</f>
        <v/>
      </c>
      <c r="D572" s="38">
        <f>IF(A572="","",IFERROR(INDEX(Maniobras!$D$5:$D$504,MATCH(A572,Maniobras!$A$5:$A$504,0)),""))</f>
        <v/>
      </c>
      <c r="E572" s="38" t="n"/>
      <c r="F572" s="39">
        <f>IF(A572="","",IFERROR(INDEX(Maniobras!$K$5:$K$504,MATCH(A572,Maniobras!$A$5:$A$504,0)),""))</f>
        <v/>
      </c>
      <c r="G572" s="39" t="n"/>
      <c r="H572" s="39" t="n"/>
      <c r="I572" s="39">
        <f>IF(G572="","",G572+N(H572))</f>
        <v/>
      </c>
      <c r="J572" s="38" t="n"/>
      <c r="K572" s="41" t="n"/>
      <c r="L572" s="38" t="n"/>
      <c r="M572">
        <f>IF($A572=Ficha!$B$3,COUNTIF($A$5:$A572,Ficha!$B$3),"")</f>
        <v/>
      </c>
    </row>
    <row r="573">
      <c r="A573" s="36" t="n"/>
      <c r="B573" s="40">
        <f>IF(A573="","",IFERROR(INDEX(Maniobras!$B$5:$B$504,MATCH(A573,Maniobras!$A$5:$A$504,0)),""))</f>
        <v/>
      </c>
      <c r="C573" s="36">
        <f>IF(B573="","",TEXT(B573,"yyyy-mm"))</f>
        <v/>
      </c>
      <c r="D573" s="36">
        <f>IF(A573="","",IFERROR(INDEX(Maniobras!$D$5:$D$504,MATCH(A573,Maniobras!$A$5:$A$504,0)),""))</f>
        <v/>
      </c>
      <c r="E573" s="36" t="n"/>
      <c r="F573" s="37">
        <f>IF(A573="","",IFERROR(INDEX(Maniobras!$K$5:$K$504,MATCH(A573,Maniobras!$A$5:$A$504,0)),""))</f>
        <v/>
      </c>
      <c r="G573" s="37" t="n"/>
      <c r="H573" s="37" t="n"/>
      <c r="I573" s="37">
        <f>IF(G573="","",G573+N(H573))</f>
        <v/>
      </c>
      <c r="J573" s="36" t="n"/>
      <c r="K573" s="40" t="n"/>
      <c r="L573" s="36" t="n"/>
      <c r="M573">
        <f>IF($A573=Ficha!$B$3,COUNTIF($A$5:$A573,Ficha!$B$3),"")</f>
        <v/>
      </c>
    </row>
    <row r="574">
      <c r="A574" s="38" t="n"/>
      <c r="B574" s="41">
        <f>IF(A574="","",IFERROR(INDEX(Maniobras!$B$5:$B$504,MATCH(A574,Maniobras!$A$5:$A$504,0)),""))</f>
        <v/>
      </c>
      <c r="C574" s="38">
        <f>IF(B574="","",TEXT(B574,"yyyy-mm"))</f>
        <v/>
      </c>
      <c r="D574" s="38">
        <f>IF(A574="","",IFERROR(INDEX(Maniobras!$D$5:$D$504,MATCH(A574,Maniobras!$A$5:$A$504,0)),""))</f>
        <v/>
      </c>
      <c r="E574" s="38" t="n"/>
      <c r="F574" s="39">
        <f>IF(A574="","",IFERROR(INDEX(Maniobras!$K$5:$K$504,MATCH(A574,Maniobras!$A$5:$A$504,0)),""))</f>
        <v/>
      </c>
      <c r="G574" s="39" t="n"/>
      <c r="H574" s="39" t="n"/>
      <c r="I574" s="39">
        <f>IF(G574="","",G574+N(H574))</f>
        <v/>
      </c>
      <c r="J574" s="38" t="n"/>
      <c r="K574" s="41" t="n"/>
      <c r="L574" s="38" t="n"/>
      <c r="M574">
        <f>IF($A574=Ficha!$B$3,COUNTIF($A$5:$A574,Ficha!$B$3),"")</f>
        <v/>
      </c>
    </row>
    <row r="575">
      <c r="A575" s="36" t="n"/>
      <c r="B575" s="40">
        <f>IF(A575="","",IFERROR(INDEX(Maniobras!$B$5:$B$504,MATCH(A575,Maniobras!$A$5:$A$504,0)),""))</f>
        <v/>
      </c>
      <c r="C575" s="36">
        <f>IF(B575="","",TEXT(B575,"yyyy-mm"))</f>
        <v/>
      </c>
      <c r="D575" s="36">
        <f>IF(A575="","",IFERROR(INDEX(Maniobras!$D$5:$D$504,MATCH(A575,Maniobras!$A$5:$A$504,0)),""))</f>
        <v/>
      </c>
      <c r="E575" s="36" t="n"/>
      <c r="F575" s="37">
        <f>IF(A575="","",IFERROR(INDEX(Maniobras!$K$5:$K$504,MATCH(A575,Maniobras!$A$5:$A$504,0)),""))</f>
        <v/>
      </c>
      <c r="G575" s="37" t="n"/>
      <c r="H575" s="37" t="n"/>
      <c r="I575" s="37">
        <f>IF(G575="","",G575+N(H575))</f>
        <v/>
      </c>
      <c r="J575" s="36" t="n"/>
      <c r="K575" s="40" t="n"/>
      <c r="L575" s="36" t="n"/>
      <c r="M575">
        <f>IF($A575=Ficha!$B$3,COUNTIF($A$5:$A575,Ficha!$B$3),"")</f>
        <v/>
      </c>
    </row>
    <row r="576">
      <c r="A576" s="38" t="n"/>
      <c r="B576" s="41">
        <f>IF(A576="","",IFERROR(INDEX(Maniobras!$B$5:$B$504,MATCH(A576,Maniobras!$A$5:$A$504,0)),""))</f>
        <v/>
      </c>
      <c r="C576" s="38">
        <f>IF(B576="","",TEXT(B576,"yyyy-mm"))</f>
        <v/>
      </c>
      <c r="D576" s="38">
        <f>IF(A576="","",IFERROR(INDEX(Maniobras!$D$5:$D$504,MATCH(A576,Maniobras!$A$5:$A$504,0)),""))</f>
        <v/>
      </c>
      <c r="E576" s="38" t="n"/>
      <c r="F576" s="39">
        <f>IF(A576="","",IFERROR(INDEX(Maniobras!$K$5:$K$504,MATCH(A576,Maniobras!$A$5:$A$504,0)),""))</f>
        <v/>
      </c>
      <c r="G576" s="39" t="n"/>
      <c r="H576" s="39" t="n"/>
      <c r="I576" s="39">
        <f>IF(G576="","",G576+N(H576))</f>
        <v/>
      </c>
      <c r="J576" s="38" t="n"/>
      <c r="K576" s="41" t="n"/>
      <c r="L576" s="38" t="n"/>
      <c r="M576">
        <f>IF($A576=Ficha!$B$3,COUNTIF($A$5:$A576,Ficha!$B$3),"")</f>
        <v/>
      </c>
    </row>
    <row r="577">
      <c r="A577" s="36" t="n"/>
      <c r="B577" s="40">
        <f>IF(A577="","",IFERROR(INDEX(Maniobras!$B$5:$B$504,MATCH(A577,Maniobras!$A$5:$A$504,0)),""))</f>
        <v/>
      </c>
      <c r="C577" s="36">
        <f>IF(B577="","",TEXT(B577,"yyyy-mm"))</f>
        <v/>
      </c>
      <c r="D577" s="36">
        <f>IF(A577="","",IFERROR(INDEX(Maniobras!$D$5:$D$504,MATCH(A577,Maniobras!$A$5:$A$504,0)),""))</f>
        <v/>
      </c>
      <c r="E577" s="36" t="n"/>
      <c r="F577" s="37">
        <f>IF(A577="","",IFERROR(INDEX(Maniobras!$K$5:$K$504,MATCH(A577,Maniobras!$A$5:$A$504,0)),""))</f>
        <v/>
      </c>
      <c r="G577" s="37" t="n"/>
      <c r="H577" s="37" t="n"/>
      <c r="I577" s="37">
        <f>IF(G577="","",G577+N(H577))</f>
        <v/>
      </c>
      <c r="J577" s="36" t="n"/>
      <c r="K577" s="40" t="n"/>
      <c r="L577" s="36" t="n"/>
      <c r="M577">
        <f>IF($A577=Ficha!$B$3,COUNTIF($A$5:$A577,Ficha!$B$3),"")</f>
        <v/>
      </c>
    </row>
    <row r="578">
      <c r="A578" s="38" t="n"/>
      <c r="B578" s="41">
        <f>IF(A578="","",IFERROR(INDEX(Maniobras!$B$5:$B$504,MATCH(A578,Maniobras!$A$5:$A$504,0)),""))</f>
        <v/>
      </c>
      <c r="C578" s="38">
        <f>IF(B578="","",TEXT(B578,"yyyy-mm"))</f>
        <v/>
      </c>
      <c r="D578" s="38">
        <f>IF(A578="","",IFERROR(INDEX(Maniobras!$D$5:$D$504,MATCH(A578,Maniobras!$A$5:$A$504,0)),""))</f>
        <v/>
      </c>
      <c r="E578" s="38" t="n"/>
      <c r="F578" s="39">
        <f>IF(A578="","",IFERROR(INDEX(Maniobras!$K$5:$K$504,MATCH(A578,Maniobras!$A$5:$A$504,0)),""))</f>
        <v/>
      </c>
      <c r="G578" s="39" t="n"/>
      <c r="H578" s="39" t="n"/>
      <c r="I578" s="39">
        <f>IF(G578="","",G578+N(H578))</f>
        <v/>
      </c>
      <c r="J578" s="38" t="n"/>
      <c r="K578" s="41" t="n"/>
      <c r="L578" s="38" t="n"/>
      <c r="M578">
        <f>IF($A578=Ficha!$B$3,COUNTIF($A$5:$A578,Ficha!$B$3),"")</f>
        <v/>
      </c>
    </row>
    <row r="579">
      <c r="A579" s="36" t="n"/>
      <c r="B579" s="40">
        <f>IF(A579="","",IFERROR(INDEX(Maniobras!$B$5:$B$504,MATCH(A579,Maniobras!$A$5:$A$504,0)),""))</f>
        <v/>
      </c>
      <c r="C579" s="36">
        <f>IF(B579="","",TEXT(B579,"yyyy-mm"))</f>
        <v/>
      </c>
      <c r="D579" s="36">
        <f>IF(A579="","",IFERROR(INDEX(Maniobras!$D$5:$D$504,MATCH(A579,Maniobras!$A$5:$A$504,0)),""))</f>
        <v/>
      </c>
      <c r="E579" s="36" t="n"/>
      <c r="F579" s="37">
        <f>IF(A579="","",IFERROR(INDEX(Maniobras!$K$5:$K$504,MATCH(A579,Maniobras!$A$5:$A$504,0)),""))</f>
        <v/>
      </c>
      <c r="G579" s="37" t="n"/>
      <c r="H579" s="37" t="n"/>
      <c r="I579" s="37">
        <f>IF(G579="","",G579+N(H579))</f>
        <v/>
      </c>
      <c r="J579" s="36" t="n"/>
      <c r="K579" s="40" t="n"/>
      <c r="L579" s="36" t="n"/>
      <c r="M579">
        <f>IF($A579=Ficha!$B$3,COUNTIF($A$5:$A579,Ficha!$B$3),"")</f>
        <v/>
      </c>
    </row>
    <row r="580">
      <c r="A580" s="38" t="n"/>
      <c r="B580" s="41">
        <f>IF(A580="","",IFERROR(INDEX(Maniobras!$B$5:$B$504,MATCH(A580,Maniobras!$A$5:$A$504,0)),""))</f>
        <v/>
      </c>
      <c r="C580" s="38">
        <f>IF(B580="","",TEXT(B580,"yyyy-mm"))</f>
        <v/>
      </c>
      <c r="D580" s="38">
        <f>IF(A580="","",IFERROR(INDEX(Maniobras!$D$5:$D$504,MATCH(A580,Maniobras!$A$5:$A$504,0)),""))</f>
        <v/>
      </c>
      <c r="E580" s="38" t="n"/>
      <c r="F580" s="39">
        <f>IF(A580="","",IFERROR(INDEX(Maniobras!$K$5:$K$504,MATCH(A580,Maniobras!$A$5:$A$504,0)),""))</f>
        <v/>
      </c>
      <c r="G580" s="39" t="n"/>
      <c r="H580" s="39" t="n"/>
      <c r="I580" s="39">
        <f>IF(G580="","",G580+N(H580))</f>
        <v/>
      </c>
      <c r="J580" s="38" t="n"/>
      <c r="K580" s="41" t="n"/>
      <c r="L580" s="38" t="n"/>
      <c r="M580">
        <f>IF($A580=Ficha!$B$3,COUNTIF($A$5:$A580,Ficha!$B$3),"")</f>
        <v/>
      </c>
    </row>
    <row r="581">
      <c r="A581" s="36" t="n"/>
      <c r="B581" s="40">
        <f>IF(A581="","",IFERROR(INDEX(Maniobras!$B$5:$B$504,MATCH(A581,Maniobras!$A$5:$A$504,0)),""))</f>
        <v/>
      </c>
      <c r="C581" s="36">
        <f>IF(B581="","",TEXT(B581,"yyyy-mm"))</f>
        <v/>
      </c>
      <c r="D581" s="36">
        <f>IF(A581="","",IFERROR(INDEX(Maniobras!$D$5:$D$504,MATCH(A581,Maniobras!$A$5:$A$504,0)),""))</f>
        <v/>
      </c>
      <c r="E581" s="36" t="n"/>
      <c r="F581" s="37">
        <f>IF(A581="","",IFERROR(INDEX(Maniobras!$K$5:$K$504,MATCH(A581,Maniobras!$A$5:$A$504,0)),""))</f>
        <v/>
      </c>
      <c r="G581" s="37" t="n"/>
      <c r="H581" s="37" t="n"/>
      <c r="I581" s="37">
        <f>IF(G581="","",G581+N(H581))</f>
        <v/>
      </c>
      <c r="J581" s="36" t="n"/>
      <c r="K581" s="40" t="n"/>
      <c r="L581" s="36" t="n"/>
      <c r="M581">
        <f>IF($A581=Ficha!$B$3,COUNTIF($A$5:$A581,Ficha!$B$3),"")</f>
        <v/>
      </c>
    </row>
    <row r="582">
      <c r="A582" s="38" t="n"/>
      <c r="B582" s="41">
        <f>IF(A582="","",IFERROR(INDEX(Maniobras!$B$5:$B$504,MATCH(A582,Maniobras!$A$5:$A$504,0)),""))</f>
        <v/>
      </c>
      <c r="C582" s="38">
        <f>IF(B582="","",TEXT(B582,"yyyy-mm"))</f>
        <v/>
      </c>
      <c r="D582" s="38">
        <f>IF(A582="","",IFERROR(INDEX(Maniobras!$D$5:$D$504,MATCH(A582,Maniobras!$A$5:$A$504,0)),""))</f>
        <v/>
      </c>
      <c r="E582" s="38" t="n"/>
      <c r="F582" s="39">
        <f>IF(A582="","",IFERROR(INDEX(Maniobras!$K$5:$K$504,MATCH(A582,Maniobras!$A$5:$A$504,0)),""))</f>
        <v/>
      </c>
      <c r="G582" s="39" t="n"/>
      <c r="H582" s="39" t="n"/>
      <c r="I582" s="39">
        <f>IF(G582="","",G582+N(H582))</f>
        <v/>
      </c>
      <c r="J582" s="38" t="n"/>
      <c r="K582" s="41" t="n"/>
      <c r="L582" s="38" t="n"/>
      <c r="M582">
        <f>IF($A582=Ficha!$B$3,COUNTIF($A$5:$A582,Ficha!$B$3),"")</f>
        <v/>
      </c>
    </row>
    <row r="583">
      <c r="A583" s="36" t="n"/>
      <c r="B583" s="40">
        <f>IF(A583="","",IFERROR(INDEX(Maniobras!$B$5:$B$504,MATCH(A583,Maniobras!$A$5:$A$504,0)),""))</f>
        <v/>
      </c>
      <c r="C583" s="36">
        <f>IF(B583="","",TEXT(B583,"yyyy-mm"))</f>
        <v/>
      </c>
      <c r="D583" s="36">
        <f>IF(A583="","",IFERROR(INDEX(Maniobras!$D$5:$D$504,MATCH(A583,Maniobras!$A$5:$A$504,0)),""))</f>
        <v/>
      </c>
      <c r="E583" s="36" t="n"/>
      <c r="F583" s="37">
        <f>IF(A583="","",IFERROR(INDEX(Maniobras!$K$5:$K$504,MATCH(A583,Maniobras!$A$5:$A$504,0)),""))</f>
        <v/>
      </c>
      <c r="G583" s="37" t="n"/>
      <c r="H583" s="37" t="n"/>
      <c r="I583" s="37">
        <f>IF(G583="","",G583+N(H583))</f>
        <v/>
      </c>
      <c r="J583" s="36" t="n"/>
      <c r="K583" s="40" t="n"/>
      <c r="L583" s="36" t="n"/>
      <c r="M583">
        <f>IF($A583=Ficha!$B$3,COUNTIF($A$5:$A583,Ficha!$B$3),"")</f>
        <v/>
      </c>
    </row>
    <row r="584">
      <c r="A584" s="38" t="n"/>
      <c r="B584" s="41">
        <f>IF(A584="","",IFERROR(INDEX(Maniobras!$B$5:$B$504,MATCH(A584,Maniobras!$A$5:$A$504,0)),""))</f>
        <v/>
      </c>
      <c r="C584" s="38">
        <f>IF(B584="","",TEXT(B584,"yyyy-mm"))</f>
        <v/>
      </c>
      <c r="D584" s="38">
        <f>IF(A584="","",IFERROR(INDEX(Maniobras!$D$5:$D$504,MATCH(A584,Maniobras!$A$5:$A$504,0)),""))</f>
        <v/>
      </c>
      <c r="E584" s="38" t="n"/>
      <c r="F584" s="39">
        <f>IF(A584="","",IFERROR(INDEX(Maniobras!$K$5:$K$504,MATCH(A584,Maniobras!$A$5:$A$504,0)),""))</f>
        <v/>
      </c>
      <c r="G584" s="39" t="n"/>
      <c r="H584" s="39" t="n"/>
      <c r="I584" s="39">
        <f>IF(G584="","",G584+N(H584))</f>
        <v/>
      </c>
      <c r="J584" s="38" t="n"/>
      <c r="K584" s="41" t="n"/>
      <c r="L584" s="38" t="n"/>
      <c r="M584">
        <f>IF($A584=Ficha!$B$3,COUNTIF($A$5:$A584,Ficha!$B$3),"")</f>
        <v/>
      </c>
    </row>
    <row r="585">
      <c r="A585" s="36" t="n"/>
      <c r="B585" s="40">
        <f>IF(A585="","",IFERROR(INDEX(Maniobras!$B$5:$B$504,MATCH(A585,Maniobras!$A$5:$A$504,0)),""))</f>
        <v/>
      </c>
      <c r="C585" s="36">
        <f>IF(B585="","",TEXT(B585,"yyyy-mm"))</f>
        <v/>
      </c>
      <c r="D585" s="36">
        <f>IF(A585="","",IFERROR(INDEX(Maniobras!$D$5:$D$504,MATCH(A585,Maniobras!$A$5:$A$504,0)),""))</f>
        <v/>
      </c>
      <c r="E585" s="36" t="n"/>
      <c r="F585" s="37">
        <f>IF(A585="","",IFERROR(INDEX(Maniobras!$K$5:$K$504,MATCH(A585,Maniobras!$A$5:$A$504,0)),""))</f>
        <v/>
      </c>
      <c r="G585" s="37" t="n"/>
      <c r="H585" s="37" t="n"/>
      <c r="I585" s="37">
        <f>IF(G585="","",G585+N(H585))</f>
        <v/>
      </c>
      <c r="J585" s="36" t="n"/>
      <c r="K585" s="40" t="n"/>
      <c r="L585" s="36" t="n"/>
      <c r="M585">
        <f>IF($A585=Ficha!$B$3,COUNTIF($A$5:$A585,Ficha!$B$3),"")</f>
        <v/>
      </c>
    </row>
    <row r="586">
      <c r="A586" s="38" t="n"/>
      <c r="B586" s="41">
        <f>IF(A586="","",IFERROR(INDEX(Maniobras!$B$5:$B$504,MATCH(A586,Maniobras!$A$5:$A$504,0)),""))</f>
        <v/>
      </c>
      <c r="C586" s="38">
        <f>IF(B586="","",TEXT(B586,"yyyy-mm"))</f>
        <v/>
      </c>
      <c r="D586" s="38">
        <f>IF(A586="","",IFERROR(INDEX(Maniobras!$D$5:$D$504,MATCH(A586,Maniobras!$A$5:$A$504,0)),""))</f>
        <v/>
      </c>
      <c r="E586" s="38" t="n"/>
      <c r="F586" s="39">
        <f>IF(A586="","",IFERROR(INDEX(Maniobras!$K$5:$K$504,MATCH(A586,Maniobras!$A$5:$A$504,0)),""))</f>
        <v/>
      </c>
      <c r="G586" s="39" t="n"/>
      <c r="H586" s="39" t="n"/>
      <c r="I586" s="39">
        <f>IF(G586="","",G586+N(H586))</f>
        <v/>
      </c>
      <c r="J586" s="38" t="n"/>
      <c r="K586" s="41" t="n"/>
      <c r="L586" s="38" t="n"/>
      <c r="M586">
        <f>IF($A586=Ficha!$B$3,COUNTIF($A$5:$A586,Ficha!$B$3),"")</f>
        <v/>
      </c>
    </row>
    <row r="587">
      <c r="A587" s="36" t="n"/>
      <c r="B587" s="40">
        <f>IF(A587="","",IFERROR(INDEX(Maniobras!$B$5:$B$504,MATCH(A587,Maniobras!$A$5:$A$504,0)),""))</f>
        <v/>
      </c>
      <c r="C587" s="36">
        <f>IF(B587="","",TEXT(B587,"yyyy-mm"))</f>
        <v/>
      </c>
      <c r="D587" s="36">
        <f>IF(A587="","",IFERROR(INDEX(Maniobras!$D$5:$D$504,MATCH(A587,Maniobras!$A$5:$A$504,0)),""))</f>
        <v/>
      </c>
      <c r="E587" s="36" t="n"/>
      <c r="F587" s="37">
        <f>IF(A587="","",IFERROR(INDEX(Maniobras!$K$5:$K$504,MATCH(A587,Maniobras!$A$5:$A$504,0)),""))</f>
        <v/>
      </c>
      <c r="G587" s="37" t="n"/>
      <c r="H587" s="37" t="n"/>
      <c r="I587" s="37">
        <f>IF(G587="","",G587+N(H587))</f>
        <v/>
      </c>
      <c r="J587" s="36" t="n"/>
      <c r="K587" s="40" t="n"/>
      <c r="L587" s="36" t="n"/>
      <c r="M587">
        <f>IF($A587=Ficha!$B$3,COUNTIF($A$5:$A587,Ficha!$B$3),"")</f>
        <v/>
      </c>
    </row>
    <row r="588">
      <c r="A588" s="38" t="n"/>
      <c r="B588" s="41">
        <f>IF(A588="","",IFERROR(INDEX(Maniobras!$B$5:$B$504,MATCH(A588,Maniobras!$A$5:$A$504,0)),""))</f>
        <v/>
      </c>
      <c r="C588" s="38">
        <f>IF(B588="","",TEXT(B588,"yyyy-mm"))</f>
        <v/>
      </c>
      <c r="D588" s="38">
        <f>IF(A588="","",IFERROR(INDEX(Maniobras!$D$5:$D$504,MATCH(A588,Maniobras!$A$5:$A$504,0)),""))</f>
        <v/>
      </c>
      <c r="E588" s="38" t="n"/>
      <c r="F588" s="39">
        <f>IF(A588="","",IFERROR(INDEX(Maniobras!$K$5:$K$504,MATCH(A588,Maniobras!$A$5:$A$504,0)),""))</f>
        <v/>
      </c>
      <c r="G588" s="39" t="n"/>
      <c r="H588" s="39" t="n"/>
      <c r="I588" s="39">
        <f>IF(G588="","",G588+N(H588))</f>
        <v/>
      </c>
      <c r="J588" s="38" t="n"/>
      <c r="K588" s="41" t="n"/>
      <c r="L588" s="38" t="n"/>
      <c r="M588">
        <f>IF($A588=Ficha!$B$3,COUNTIF($A$5:$A588,Ficha!$B$3),"")</f>
        <v/>
      </c>
    </row>
    <row r="589">
      <c r="A589" s="36" t="n"/>
      <c r="B589" s="40">
        <f>IF(A589="","",IFERROR(INDEX(Maniobras!$B$5:$B$504,MATCH(A589,Maniobras!$A$5:$A$504,0)),""))</f>
        <v/>
      </c>
      <c r="C589" s="36">
        <f>IF(B589="","",TEXT(B589,"yyyy-mm"))</f>
        <v/>
      </c>
      <c r="D589" s="36">
        <f>IF(A589="","",IFERROR(INDEX(Maniobras!$D$5:$D$504,MATCH(A589,Maniobras!$A$5:$A$504,0)),""))</f>
        <v/>
      </c>
      <c r="E589" s="36" t="n"/>
      <c r="F589" s="37">
        <f>IF(A589="","",IFERROR(INDEX(Maniobras!$K$5:$K$504,MATCH(A589,Maniobras!$A$5:$A$504,0)),""))</f>
        <v/>
      </c>
      <c r="G589" s="37" t="n"/>
      <c r="H589" s="37" t="n"/>
      <c r="I589" s="37">
        <f>IF(G589="","",G589+N(H589))</f>
        <v/>
      </c>
      <c r="J589" s="36" t="n"/>
      <c r="K589" s="40" t="n"/>
      <c r="L589" s="36" t="n"/>
      <c r="M589">
        <f>IF($A589=Ficha!$B$3,COUNTIF($A$5:$A589,Ficha!$B$3),"")</f>
        <v/>
      </c>
    </row>
    <row r="590">
      <c r="A590" s="38" t="n"/>
      <c r="B590" s="41">
        <f>IF(A590="","",IFERROR(INDEX(Maniobras!$B$5:$B$504,MATCH(A590,Maniobras!$A$5:$A$504,0)),""))</f>
        <v/>
      </c>
      <c r="C590" s="38">
        <f>IF(B590="","",TEXT(B590,"yyyy-mm"))</f>
        <v/>
      </c>
      <c r="D590" s="38">
        <f>IF(A590="","",IFERROR(INDEX(Maniobras!$D$5:$D$504,MATCH(A590,Maniobras!$A$5:$A$504,0)),""))</f>
        <v/>
      </c>
      <c r="E590" s="38" t="n"/>
      <c r="F590" s="39">
        <f>IF(A590="","",IFERROR(INDEX(Maniobras!$K$5:$K$504,MATCH(A590,Maniobras!$A$5:$A$504,0)),""))</f>
        <v/>
      </c>
      <c r="G590" s="39" t="n"/>
      <c r="H590" s="39" t="n"/>
      <c r="I590" s="39">
        <f>IF(G590="","",G590+N(H590))</f>
        <v/>
      </c>
      <c r="J590" s="38" t="n"/>
      <c r="K590" s="41" t="n"/>
      <c r="L590" s="38" t="n"/>
      <c r="M590">
        <f>IF($A590=Ficha!$B$3,COUNTIF($A$5:$A590,Ficha!$B$3),"")</f>
        <v/>
      </c>
    </row>
    <row r="591">
      <c r="A591" s="36" t="n"/>
      <c r="B591" s="40">
        <f>IF(A591="","",IFERROR(INDEX(Maniobras!$B$5:$B$504,MATCH(A591,Maniobras!$A$5:$A$504,0)),""))</f>
        <v/>
      </c>
      <c r="C591" s="36">
        <f>IF(B591="","",TEXT(B591,"yyyy-mm"))</f>
        <v/>
      </c>
      <c r="D591" s="36">
        <f>IF(A591="","",IFERROR(INDEX(Maniobras!$D$5:$D$504,MATCH(A591,Maniobras!$A$5:$A$504,0)),""))</f>
        <v/>
      </c>
      <c r="E591" s="36" t="n"/>
      <c r="F591" s="37">
        <f>IF(A591="","",IFERROR(INDEX(Maniobras!$K$5:$K$504,MATCH(A591,Maniobras!$A$5:$A$504,0)),""))</f>
        <v/>
      </c>
      <c r="G591" s="37" t="n"/>
      <c r="H591" s="37" t="n"/>
      <c r="I591" s="37">
        <f>IF(G591="","",G591+N(H591))</f>
        <v/>
      </c>
      <c r="J591" s="36" t="n"/>
      <c r="K591" s="40" t="n"/>
      <c r="L591" s="36" t="n"/>
      <c r="M591">
        <f>IF($A591=Ficha!$B$3,COUNTIF($A$5:$A591,Ficha!$B$3),"")</f>
        <v/>
      </c>
    </row>
    <row r="592">
      <c r="A592" s="38" t="n"/>
      <c r="B592" s="41">
        <f>IF(A592="","",IFERROR(INDEX(Maniobras!$B$5:$B$504,MATCH(A592,Maniobras!$A$5:$A$504,0)),""))</f>
        <v/>
      </c>
      <c r="C592" s="38">
        <f>IF(B592="","",TEXT(B592,"yyyy-mm"))</f>
        <v/>
      </c>
      <c r="D592" s="38">
        <f>IF(A592="","",IFERROR(INDEX(Maniobras!$D$5:$D$504,MATCH(A592,Maniobras!$A$5:$A$504,0)),""))</f>
        <v/>
      </c>
      <c r="E592" s="38" t="n"/>
      <c r="F592" s="39">
        <f>IF(A592="","",IFERROR(INDEX(Maniobras!$K$5:$K$504,MATCH(A592,Maniobras!$A$5:$A$504,0)),""))</f>
        <v/>
      </c>
      <c r="G592" s="39" t="n"/>
      <c r="H592" s="39" t="n"/>
      <c r="I592" s="39">
        <f>IF(G592="","",G592+N(H592))</f>
        <v/>
      </c>
      <c r="J592" s="38" t="n"/>
      <c r="K592" s="41" t="n"/>
      <c r="L592" s="38" t="n"/>
      <c r="M592">
        <f>IF($A592=Ficha!$B$3,COUNTIF($A$5:$A592,Ficha!$B$3),"")</f>
        <v/>
      </c>
    </row>
    <row r="593">
      <c r="A593" s="36" t="n"/>
      <c r="B593" s="40">
        <f>IF(A593="","",IFERROR(INDEX(Maniobras!$B$5:$B$504,MATCH(A593,Maniobras!$A$5:$A$504,0)),""))</f>
        <v/>
      </c>
      <c r="C593" s="36">
        <f>IF(B593="","",TEXT(B593,"yyyy-mm"))</f>
        <v/>
      </c>
      <c r="D593" s="36">
        <f>IF(A593="","",IFERROR(INDEX(Maniobras!$D$5:$D$504,MATCH(A593,Maniobras!$A$5:$A$504,0)),""))</f>
        <v/>
      </c>
      <c r="E593" s="36" t="n"/>
      <c r="F593" s="37">
        <f>IF(A593="","",IFERROR(INDEX(Maniobras!$K$5:$K$504,MATCH(A593,Maniobras!$A$5:$A$504,0)),""))</f>
        <v/>
      </c>
      <c r="G593" s="37" t="n"/>
      <c r="H593" s="37" t="n"/>
      <c r="I593" s="37">
        <f>IF(G593="","",G593+N(H593))</f>
        <v/>
      </c>
      <c r="J593" s="36" t="n"/>
      <c r="K593" s="40" t="n"/>
      <c r="L593" s="36" t="n"/>
      <c r="M593">
        <f>IF($A593=Ficha!$B$3,COUNTIF($A$5:$A593,Ficha!$B$3),"")</f>
        <v/>
      </c>
    </row>
    <row r="594">
      <c r="A594" s="38" t="n"/>
      <c r="B594" s="41">
        <f>IF(A594="","",IFERROR(INDEX(Maniobras!$B$5:$B$504,MATCH(A594,Maniobras!$A$5:$A$504,0)),""))</f>
        <v/>
      </c>
      <c r="C594" s="38">
        <f>IF(B594="","",TEXT(B594,"yyyy-mm"))</f>
        <v/>
      </c>
      <c r="D594" s="38">
        <f>IF(A594="","",IFERROR(INDEX(Maniobras!$D$5:$D$504,MATCH(A594,Maniobras!$A$5:$A$504,0)),""))</f>
        <v/>
      </c>
      <c r="E594" s="38" t="n"/>
      <c r="F594" s="39">
        <f>IF(A594="","",IFERROR(INDEX(Maniobras!$K$5:$K$504,MATCH(A594,Maniobras!$A$5:$A$504,0)),""))</f>
        <v/>
      </c>
      <c r="G594" s="39" t="n"/>
      <c r="H594" s="39" t="n"/>
      <c r="I594" s="39">
        <f>IF(G594="","",G594+N(H594))</f>
        <v/>
      </c>
      <c r="J594" s="38" t="n"/>
      <c r="K594" s="41" t="n"/>
      <c r="L594" s="38" t="n"/>
      <c r="M594">
        <f>IF($A594=Ficha!$B$3,COUNTIF($A$5:$A594,Ficha!$B$3),"")</f>
        <v/>
      </c>
    </row>
    <row r="595">
      <c r="A595" s="36" t="n"/>
      <c r="B595" s="40">
        <f>IF(A595="","",IFERROR(INDEX(Maniobras!$B$5:$B$504,MATCH(A595,Maniobras!$A$5:$A$504,0)),""))</f>
        <v/>
      </c>
      <c r="C595" s="36">
        <f>IF(B595="","",TEXT(B595,"yyyy-mm"))</f>
        <v/>
      </c>
      <c r="D595" s="36">
        <f>IF(A595="","",IFERROR(INDEX(Maniobras!$D$5:$D$504,MATCH(A595,Maniobras!$A$5:$A$504,0)),""))</f>
        <v/>
      </c>
      <c r="E595" s="36" t="n"/>
      <c r="F595" s="37">
        <f>IF(A595="","",IFERROR(INDEX(Maniobras!$K$5:$K$504,MATCH(A595,Maniobras!$A$5:$A$504,0)),""))</f>
        <v/>
      </c>
      <c r="G595" s="37" t="n"/>
      <c r="H595" s="37" t="n"/>
      <c r="I595" s="37">
        <f>IF(G595="","",G595+N(H595))</f>
        <v/>
      </c>
      <c r="J595" s="36" t="n"/>
      <c r="K595" s="40" t="n"/>
      <c r="L595" s="36" t="n"/>
      <c r="M595">
        <f>IF($A595=Ficha!$B$3,COUNTIF($A$5:$A595,Ficha!$B$3),"")</f>
        <v/>
      </c>
    </row>
    <row r="596">
      <c r="A596" s="38" t="n"/>
      <c r="B596" s="41">
        <f>IF(A596="","",IFERROR(INDEX(Maniobras!$B$5:$B$504,MATCH(A596,Maniobras!$A$5:$A$504,0)),""))</f>
        <v/>
      </c>
      <c r="C596" s="38">
        <f>IF(B596="","",TEXT(B596,"yyyy-mm"))</f>
        <v/>
      </c>
      <c r="D596" s="38">
        <f>IF(A596="","",IFERROR(INDEX(Maniobras!$D$5:$D$504,MATCH(A596,Maniobras!$A$5:$A$504,0)),""))</f>
        <v/>
      </c>
      <c r="E596" s="38" t="n"/>
      <c r="F596" s="39">
        <f>IF(A596="","",IFERROR(INDEX(Maniobras!$K$5:$K$504,MATCH(A596,Maniobras!$A$5:$A$504,0)),""))</f>
        <v/>
      </c>
      <c r="G596" s="39" t="n"/>
      <c r="H596" s="39" t="n"/>
      <c r="I596" s="39">
        <f>IF(G596="","",G596+N(H596))</f>
        <v/>
      </c>
      <c r="J596" s="38" t="n"/>
      <c r="K596" s="41" t="n"/>
      <c r="L596" s="38" t="n"/>
      <c r="M596">
        <f>IF($A596=Ficha!$B$3,COUNTIF($A$5:$A596,Ficha!$B$3),"")</f>
        <v/>
      </c>
    </row>
    <row r="597">
      <c r="A597" s="36" t="n"/>
      <c r="B597" s="40">
        <f>IF(A597="","",IFERROR(INDEX(Maniobras!$B$5:$B$504,MATCH(A597,Maniobras!$A$5:$A$504,0)),""))</f>
        <v/>
      </c>
      <c r="C597" s="36">
        <f>IF(B597="","",TEXT(B597,"yyyy-mm"))</f>
        <v/>
      </c>
      <c r="D597" s="36">
        <f>IF(A597="","",IFERROR(INDEX(Maniobras!$D$5:$D$504,MATCH(A597,Maniobras!$A$5:$A$504,0)),""))</f>
        <v/>
      </c>
      <c r="E597" s="36" t="n"/>
      <c r="F597" s="37">
        <f>IF(A597="","",IFERROR(INDEX(Maniobras!$K$5:$K$504,MATCH(A597,Maniobras!$A$5:$A$504,0)),""))</f>
        <v/>
      </c>
      <c r="G597" s="37" t="n"/>
      <c r="H597" s="37" t="n"/>
      <c r="I597" s="37">
        <f>IF(G597="","",G597+N(H597))</f>
        <v/>
      </c>
      <c r="J597" s="36" t="n"/>
      <c r="K597" s="40" t="n"/>
      <c r="L597" s="36" t="n"/>
      <c r="M597">
        <f>IF($A597=Ficha!$B$3,COUNTIF($A$5:$A597,Ficha!$B$3),"")</f>
        <v/>
      </c>
    </row>
    <row r="598">
      <c r="A598" s="38" t="n"/>
      <c r="B598" s="41">
        <f>IF(A598="","",IFERROR(INDEX(Maniobras!$B$5:$B$504,MATCH(A598,Maniobras!$A$5:$A$504,0)),""))</f>
        <v/>
      </c>
      <c r="C598" s="38">
        <f>IF(B598="","",TEXT(B598,"yyyy-mm"))</f>
        <v/>
      </c>
      <c r="D598" s="38">
        <f>IF(A598="","",IFERROR(INDEX(Maniobras!$D$5:$D$504,MATCH(A598,Maniobras!$A$5:$A$504,0)),""))</f>
        <v/>
      </c>
      <c r="E598" s="38" t="n"/>
      <c r="F598" s="39">
        <f>IF(A598="","",IFERROR(INDEX(Maniobras!$K$5:$K$504,MATCH(A598,Maniobras!$A$5:$A$504,0)),""))</f>
        <v/>
      </c>
      <c r="G598" s="39" t="n"/>
      <c r="H598" s="39" t="n"/>
      <c r="I598" s="39">
        <f>IF(G598="","",G598+N(H598))</f>
        <v/>
      </c>
      <c r="J598" s="38" t="n"/>
      <c r="K598" s="41" t="n"/>
      <c r="L598" s="38" t="n"/>
      <c r="M598">
        <f>IF($A598=Ficha!$B$3,COUNTIF($A$5:$A598,Ficha!$B$3),"")</f>
        <v/>
      </c>
    </row>
    <row r="599">
      <c r="A599" s="36" t="n"/>
      <c r="B599" s="40">
        <f>IF(A599="","",IFERROR(INDEX(Maniobras!$B$5:$B$504,MATCH(A599,Maniobras!$A$5:$A$504,0)),""))</f>
        <v/>
      </c>
      <c r="C599" s="36">
        <f>IF(B599="","",TEXT(B599,"yyyy-mm"))</f>
        <v/>
      </c>
      <c r="D599" s="36">
        <f>IF(A599="","",IFERROR(INDEX(Maniobras!$D$5:$D$504,MATCH(A599,Maniobras!$A$5:$A$504,0)),""))</f>
        <v/>
      </c>
      <c r="E599" s="36" t="n"/>
      <c r="F599" s="37">
        <f>IF(A599="","",IFERROR(INDEX(Maniobras!$K$5:$K$504,MATCH(A599,Maniobras!$A$5:$A$504,0)),""))</f>
        <v/>
      </c>
      <c r="G599" s="37" t="n"/>
      <c r="H599" s="37" t="n"/>
      <c r="I599" s="37">
        <f>IF(G599="","",G599+N(H599))</f>
        <v/>
      </c>
      <c r="J599" s="36" t="n"/>
      <c r="K599" s="40" t="n"/>
      <c r="L599" s="36" t="n"/>
      <c r="M599">
        <f>IF($A599=Ficha!$B$3,COUNTIF($A$5:$A599,Ficha!$B$3),"")</f>
        <v/>
      </c>
    </row>
    <row r="600">
      <c r="A600" s="38" t="n"/>
      <c r="B600" s="41">
        <f>IF(A600="","",IFERROR(INDEX(Maniobras!$B$5:$B$504,MATCH(A600,Maniobras!$A$5:$A$504,0)),""))</f>
        <v/>
      </c>
      <c r="C600" s="38">
        <f>IF(B600="","",TEXT(B600,"yyyy-mm"))</f>
        <v/>
      </c>
      <c r="D600" s="38">
        <f>IF(A600="","",IFERROR(INDEX(Maniobras!$D$5:$D$504,MATCH(A600,Maniobras!$A$5:$A$504,0)),""))</f>
        <v/>
      </c>
      <c r="E600" s="38" t="n"/>
      <c r="F600" s="39">
        <f>IF(A600="","",IFERROR(INDEX(Maniobras!$K$5:$K$504,MATCH(A600,Maniobras!$A$5:$A$504,0)),""))</f>
        <v/>
      </c>
      <c r="G600" s="39" t="n"/>
      <c r="H600" s="39" t="n"/>
      <c r="I600" s="39">
        <f>IF(G600="","",G600+N(H600))</f>
        <v/>
      </c>
      <c r="J600" s="38" t="n"/>
      <c r="K600" s="41" t="n"/>
      <c r="L600" s="38" t="n"/>
      <c r="M600">
        <f>IF($A600=Ficha!$B$3,COUNTIF($A$5:$A600,Ficha!$B$3),"")</f>
        <v/>
      </c>
    </row>
    <row r="601">
      <c r="A601" s="36" t="n"/>
      <c r="B601" s="40">
        <f>IF(A601="","",IFERROR(INDEX(Maniobras!$B$5:$B$504,MATCH(A601,Maniobras!$A$5:$A$504,0)),""))</f>
        <v/>
      </c>
      <c r="C601" s="36">
        <f>IF(B601="","",TEXT(B601,"yyyy-mm"))</f>
        <v/>
      </c>
      <c r="D601" s="36">
        <f>IF(A601="","",IFERROR(INDEX(Maniobras!$D$5:$D$504,MATCH(A601,Maniobras!$A$5:$A$504,0)),""))</f>
        <v/>
      </c>
      <c r="E601" s="36" t="n"/>
      <c r="F601" s="37">
        <f>IF(A601="","",IFERROR(INDEX(Maniobras!$K$5:$K$504,MATCH(A601,Maniobras!$A$5:$A$504,0)),""))</f>
        <v/>
      </c>
      <c r="G601" s="37" t="n"/>
      <c r="H601" s="37" t="n"/>
      <c r="I601" s="37">
        <f>IF(G601="","",G601+N(H601))</f>
        <v/>
      </c>
      <c r="J601" s="36" t="n"/>
      <c r="K601" s="40" t="n"/>
      <c r="L601" s="36" t="n"/>
      <c r="M601">
        <f>IF($A601=Ficha!$B$3,COUNTIF($A$5:$A601,Ficha!$B$3),"")</f>
        <v/>
      </c>
    </row>
    <row r="602">
      <c r="A602" s="38" t="n"/>
      <c r="B602" s="41">
        <f>IF(A602="","",IFERROR(INDEX(Maniobras!$B$5:$B$504,MATCH(A602,Maniobras!$A$5:$A$504,0)),""))</f>
        <v/>
      </c>
      <c r="C602" s="38">
        <f>IF(B602="","",TEXT(B602,"yyyy-mm"))</f>
        <v/>
      </c>
      <c r="D602" s="38">
        <f>IF(A602="","",IFERROR(INDEX(Maniobras!$D$5:$D$504,MATCH(A602,Maniobras!$A$5:$A$504,0)),""))</f>
        <v/>
      </c>
      <c r="E602" s="38" t="n"/>
      <c r="F602" s="39">
        <f>IF(A602="","",IFERROR(INDEX(Maniobras!$K$5:$K$504,MATCH(A602,Maniobras!$A$5:$A$504,0)),""))</f>
        <v/>
      </c>
      <c r="G602" s="39" t="n"/>
      <c r="H602" s="39" t="n"/>
      <c r="I602" s="39">
        <f>IF(G602="","",G602+N(H602))</f>
        <v/>
      </c>
      <c r="J602" s="38" t="n"/>
      <c r="K602" s="41" t="n"/>
      <c r="L602" s="38" t="n"/>
      <c r="M602">
        <f>IF($A602=Ficha!$B$3,COUNTIF($A$5:$A602,Ficha!$B$3),"")</f>
        <v/>
      </c>
    </row>
    <row r="603">
      <c r="A603" s="36" t="n"/>
      <c r="B603" s="40">
        <f>IF(A603="","",IFERROR(INDEX(Maniobras!$B$5:$B$504,MATCH(A603,Maniobras!$A$5:$A$504,0)),""))</f>
        <v/>
      </c>
      <c r="C603" s="36">
        <f>IF(B603="","",TEXT(B603,"yyyy-mm"))</f>
        <v/>
      </c>
      <c r="D603" s="36">
        <f>IF(A603="","",IFERROR(INDEX(Maniobras!$D$5:$D$504,MATCH(A603,Maniobras!$A$5:$A$504,0)),""))</f>
        <v/>
      </c>
      <c r="E603" s="36" t="n"/>
      <c r="F603" s="37">
        <f>IF(A603="","",IFERROR(INDEX(Maniobras!$K$5:$K$504,MATCH(A603,Maniobras!$A$5:$A$504,0)),""))</f>
        <v/>
      </c>
      <c r="G603" s="37" t="n"/>
      <c r="H603" s="37" t="n"/>
      <c r="I603" s="37">
        <f>IF(G603="","",G603+N(H603))</f>
        <v/>
      </c>
      <c r="J603" s="36" t="n"/>
      <c r="K603" s="40" t="n"/>
      <c r="L603" s="36" t="n"/>
      <c r="M603">
        <f>IF($A603=Ficha!$B$3,COUNTIF($A$5:$A603,Ficha!$B$3),"")</f>
        <v/>
      </c>
    </row>
    <row r="604">
      <c r="A604" s="38" t="n"/>
      <c r="B604" s="41">
        <f>IF(A604="","",IFERROR(INDEX(Maniobras!$B$5:$B$504,MATCH(A604,Maniobras!$A$5:$A$504,0)),""))</f>
        <v/>
      </c>
      <c r="C604" s="38">
        <f>IF(B604="","",TEXT(B604,"yyyy-mm"))</f>
        <v/>
      </c>
      <c r="D604" s="38">
        <f>IF(A604="","",IFERROR(INDEX(Maniobras!$D$5:$D$504,MATCH(A604,Maniobras!$A$5:$A$504,0)),""))</f>
        <v/>
      </c>
      <c r="E604" s="38" t="n"/>
      <c r="F604" s="39">
        <f>IF(A604="","",IFERROR(INDEX(Maniobras!$K$5:$K$504,MATCH(A604,Maniobras!$A$5:$A$504,0)),""))</f>
        <v/>
      </c>
      <c r="G604" s="39" t="n"/>
      <c r="H604" s="39" t="n"/>
      <c r="I604" s="39">
        <f>IF(G604="","",G604+N(H604))</f>
        <v/>
      </c>
      <c r="J604" s="38" t="n"/>
      <c r="K604" s="41" t="n"/>
      <c r="L604" s="38" t="n"/>
      <c r="M604">
        <f>IF($A604=Ficha!$B$3,COUNTIF($A$5:$A604,Ficha!$B$3),"")</f>
        <v/>
      </c>
    </row>
    <row r="605">
      <c r="A605" s="36" t="n"/>
      <c r="B605" s="40">
        <f>IF(A605="","",IFERROR(INDEX(Maniobras!$B$5:$B$504,MATCH(A605,Maniobras!$A$5:$A$504,0)),""))</f>
        <v/>
      </c>
      <c r="C605" s="36">
        <f>IF(B605="","",TEXT(B605,"yyyy-mm"))</f>
        <v/>
      </c>
      <c r="D605" s="36">
        <f>IF(A605="","",IFERROR(INDEX(Maniobras!$D$5:$D$504,MATCH(A605,Maniobras!$A$5:$A$504,0)),""))</f>
        <v/>
      </c>
      <c r="E605" s="36" t="n"/>
      <c r="F605" s="37">
        <f>IF(A605="","",IFERROR(INDEX(Maniobras!$K$5:$K$504,MATCH(A605,Maniobras!$A$5:$A$504,0)),""))</f>
        <v/>
      </c>
      <c r="G605" s="37" t="n"/>
      <c r="H605" s="37" t="n"/>
      <c r="I605" s="37">
        <f>IF(G605="","",G605+N(H605))</f>
        <v/>
      </c>
      <c r="J605" s="36" t="n"/>
      <c r="K605" s="40" t="n"/>
      <c r="L605" s="36" t="n"/>
      <c r="M605">
        <f>IF($A605=Ficha!$B$3,COUNTIF($A$5:$A605,Ficha!$B$3),"")</f>
        <v/>
      </c>
    </row>
    <row r="606">
      <c r="A606" s="38" t="n"/>
      <c r="B606" s="41">
        <f>IF(A606="","",IFERROR(INDEX(Maniobras!$B$5:$B$504,MATCH(A606,Maniobras!$A$5:$A$504,0)),""))</f>
        <v/>
      </c>
      <c r="C606" s="38">
        <f>IF(B606="","",TEXT(B606,"yyyy-mm"))</f>
        <v/>
      </c>
      <c r="D606" s="38">
        <f>IF(A606="","",IFERROR(INDEX(Maniobras!$D$5:$D$504,MATCH(A606,Maniobras!$A$5:$A$504,0)),""))</f>
        <v/>
      </c>
      <c r="E606" s="38" t="n"/>
      <c r="F606" s="39">
        <f>IF(A606="","",IFERROR(INDEX(Maniobras!$K$5:$K$504,MATCH(A606,Maniobras!$A$5:$A$504,0)),""))</f>
        <v/>
      </c>
      <c r="G606" s="39" t="n"/>
      <c r="H606" s="39" t="n"/>
      <c r="I606" s="39">
        <f>IF(G606="","",G606+N(H606))</f>
        <v/>
      </c>
      <c r="J606" s="38" t="n"/>
      <c r="K606" s="41" t="n"/>
      <c r="L606" s="38" t="n"/>
      <c r="M606">
        <f>IF($A606=Ficha!$B$3,COUNTIF($A$5:$A606,Ficha!$B$3),"")</f>
        <v/>
      </c>
    </row>
    <row r="607">
      <c r="A607" s="36" t="n"/>
      <c r="B607" s="40">
        <f>IF(A607="","",IFERROR(INDEX(Maniobras!$B$5:$B$504,MATCH(A607,Maniobras!$A$5:$A$504,0)),""))</f>
        <v/>
      </c>
      <c r="C607" s="36">
        <f>IF(B607="","",TEXT(B607,"yyyy-mm"))</f>
        <v/>
      </c>
      <c r="D607" s="36">
        <f>IF(A607="","",IFERROR(INDEX(Maniobras!$D$5:$D$504,MATCH(A607,Maniobras!$A$5:$A$504,0)),""))</f>
        <v/>
      </c>
      <c r="E607" s="36" t="n"/>
      <c r="F607" s="37">
        <f>IF(A607="","",IFERROR(INDEX(Maniobras!$K$5:$K$504,MATCH(A607,Maniobras!$A$5:$A$504,0)),""))</f>
        <v/>
      </c>
      <c r="G607" s="37" t="n"/>
      <c r="H607" s="37" t="n"/>
      <c r="I607" s="37">
        <f>IF(G607="","",G607+N(H607))</f>
        <v/>
      </c>
      <c r="J607" s="36" t="n"/>
      <c r="K607" s="40" t="n"/>
      <c r="L607" s="36" t="n"/>
      <c r="M607">
        <f>IF($A607=Ficha!$B$3,COUNTIF($A$5:$A607,Ficha!$B$3),"")</f>
        <v/>
      </c>
    </row>
    <row r="608">
      <c r="A608" s="38" t="n"/>
      <c r="B608" s="41">
        <f>IF(A608="","",IFERROR(INDEX(Maniobras!$B$5:$B$504,MATCH(A608,Maniobras!$A$5:$A$504,0)),""))</f>
        <v/>
      </c>
      <c r="C608" s="38">
        <f>IF(B608="","",TEXT(B608,"yyyy-mm"))</f>
        <v/>
      </c>
      <c r="D608" s="38">
        <f>IF(A608="","",IFERROR(INDEX(Maniobras!$D$5:$D$504,MATCH(A608,Maniobras!$A$5:$A$504,0)),""))</f>
        <v/>
      </c>
      <c r="E608" s="38" t="n"/>
      <c r="F608" s="39">
        <f>IF(A608="","",IFERROR(INDEX(Maniobras!$K$5:$K$504,MATCH(A608,Maniobras!$A$5:$A$504,0)),""))</f>
        <v/>
      </c>
      <c r="G608" s="39" t="n"/>
      <c r="H608" s="39" t="n"/>
      <c r="I608" s="39">
        <f>IF(G608="","",G608+N(H608))</f>
        <v/>
      </c>
      <c r="J608" s="38" t="n"/>
      <c r="K608" s="41" t="n"/>
      <c r="L608" s="38" t="n"/>
      <c r="M608">
        <f>IF($A608=Ficha!$B$3,COUNTIF($A$5:$A608,Ficha!$B$3),"")</f>
        <v/>
      </c>
    </row>
    <row r="609">
      <c r="A609" s="36" t="n"/>
      <c r="B609" s="40">
        <f>IF(A609="","",IFERROR(INDEX(Maniobras!$B$5:$B$504,MATCH(A609,Maniobras!$A$5:$A$504,0)),""))</f>
        <v/>
      </c>
      <c r="C609" s="36">
        <f>IF(B609="","",TEXT(B609,"yyyy-mm"))</f>
        <v/>
      </c>
      <c r="D609" s="36">
        <f>IF(A609="","",IFERROR(INDEX(Maniobras!$D$5:$D$504,MATCH(A609,Maniobras!$A$5:$A$504,0)),""))</f>
        <v/>
      </c>
      <c r="E609" s="36" t="n"/>
      <c r="F609" s="37">
        <f>IF(A609="","",IFERROR(INDEX(Maniobras!$K$5:$K$504,MATCH(A609,Maniobras!$A$5:$A$504,0)),""))</f>
        <v/>
      </c>
      <c r="G609" s="37" t="n"/>
      <c r="H609" s="37" t="n"/>
      <c r="I609" s="37">
        <f>IF(G609="","",G609+N(H609))</f>
        <v/>
      </c>
      <c r="J609" s="36" t="n"/>
      <c r="K609" s="40" t="n"/>
      <c r="L609" s="36" t="n"/>
      <c r="M609">
        <f>IF($A609=Ficha!$B$3,COUNTIF($A$5:$A609,Ficha!$B$3),"")</f>
        <v/>
      </c>
    </row>
    <row r="610">
      <c r="A610" s="38" t="n"/>
      <c r="B610" s="41">
        <f>IF(A610="","",IFERROR(INDEX(Maniobras!$B$5:$B$504,MATCH(A610,Maniobras!$A$5:$A$504,0)),""))</f>
        <v/>
      </c>
      <c r="C610" s="38">
        <f>IF(B610="","",TEXT(B610,"yyyy-mm"))</f>
        <v/>
      </c>
      <c r="D610" s="38">
        <f>IF(A610="","",IFERROR(INDEX(Maniobras!$D$5:$D$504,MATCH(A610,Maniobras!$A$5:$A$504,0)),""))</f>
        <v/>
      </c>
      <c r="E610" s="38" t="n"/>
      <c r="F610" s="39">
        <f>IF(A610="","",IFERROR(INDEX(Maniobras!$K$5:$K$504,MATCH(A610,Maniobras!$A$5:$A$504,0)),""))</f>
        <v/>
      </c>
      <c r="G610" s="39" t="n"/>
      <c r="H610" s="39" t="n"/>
      <c r="I610" s="39">
        <f>IF(G610="","",G610+N(H610))</f>
        <v/>
      </c>
      <c r="J610" s="38" t="n"/>
      <c r="K610" s="41" t="n"/>
      <c r="L610" s="38" t="n"/>
      <c r="M610">
        <f>IF($A610=Ficha!$B$3,COUNTIF($A$5:$A610,Ficha!$B$3),"")</f>
        <v/>
      </c>
    </row>
    <row r="611">
      <c r="A611" s="36" t="n"/>
      <c r="B611" s="40">
        <f>IF(A611="","",IFERROR(INDEX(Maniobras!$B$5:$B$504,MATCH(A611,Maniobras!$A$5:$A$504,0)),""))</f>
        <v/>
      </c>
      <c r="C611" s="36">
        <f>IF(B611="","",TEXT(B611,"yyyy-mm"))</f>
        <v/>
      </c>
      <c r="D611" s="36">
        <f>IF(A611="","",IFERROR(INDEX(Maniobras!$D$5:$D$504,MATCH(A611,Maniobras!$A$5:$A$504,0)),""))</f>
        <v/>
      </c>
      <c r="E611" s="36" t="n"/>
      <c r="F611" s="37">
        <f>IF(A611="","",IFERROR(INDEX(Maniobras!$K$5:$K$504,MATCH(A611,Maniobras!$A$5:$A$504,0)),""))</f>
        <v/>
      </c>
      <c r="G611" s="37" t="n"/>
      <c r="H611" s="37" t="n"/>
      <c r="I611" s="37">
        <f>IF(G611="","",G611+N(H611))</f>
        <v/>
      </c>
      <c r="J611" s="36" t="n"/>
      <c r="K611" s="40" t="n"/>
      <c r="L611" s="36" t="n"/>
      <c r="M611">
        <f>IF($A611=Ficha!$B$3,COUNTIF($A$5:$A611,Ficha!$B$3),"")</f>
        <v/>
      </c>
    </row>
    <row r="612">
      <c r="A612" s="38" t="n"/>
      <c r="B612" s="41">
        <f>IF(A612="","",IFERROR(INDEX(Maniobras!$B$5:$B$504,MATCH(A612,Maniobras!$A$5:$A$504,0)),""))</f>
        <v/>
      </c>
      <c r="C612" s="38">
        <f>IF(B612="","",TEXT(B612,"yyyy-mm"))</f>
        <v/>
      </c>
      <c r="D612" s="38">
        <f>IF(A612="","",IFERROR(INDEX(Maniobras!$D$5:$D$504,MATCH(A612,Maniobras!$A$5:$A$504,0)),""))</f>
        <v/>
      </c>
      <c r="E612" s="38" t="n"/>
      <c r="F612" s="39">
        <f>IF(A612="","",IFERROR(INDEX(Maniobras!$K$5:$K$504,MATCH(A612,Maniobras!$A$5:$A$504,0)),""))</f>
        <v/>
      </c>
      <c r="G612" s="39" t="n"/>
      <c r="H612" s="39" t="n"/>
      <c r="I612" s="39">
        <f>IF(G612="","",G612+N(H612))</f>
        <v/>
      </c>
      <c r="J612" s="38" t="n"/>
      <c r="K612" s="41" t="n"/>
      <c r="L612" s="38" t="n"/>
      <c r="M612">
        <f>IF($A612=Ficha!$B$3,COUNTIF($A$5:$A612,Ficha!$B$3),"")</f>
        <v/>
      </c>
    </row>
    <row r="613">
      <c r="A613" s="36" t="n"/>
      <c r="B613" s="40">
        <f>IF(A613="","",IFERROR(INDEX(Maniobras!$B$5:$B$504,MATCH(A613,Maniobras!$A$5:$A$504,0)),""))</f>
        <v/>
      </c>
      <c r="C613" s="36">
        <f>IF(B613="","",TEXT(B613,"yyyy-mm"))</f>
        <v/>
      </c>
      <c r="D613" s="36">
        <f>IF(A613="","",IFERROR(INDEX(Maniobras!$D$5:$D$504,MATCH(A613,Maniobras!$A$5:$A$504,0)),""))</f>
        <v/>
      </c>
      <c r="E613" s="36" t="n"/>
      <c r="F613" s="37">
        <f>IF(A613="","",IFERROR(INDEX(Maniobras!$K$5:$K$504,MATCH(A613,Maniobras!$A$5:$A$504,0)),""))</f>
        <v/>
      </c>
      <c r="G613" s="37" t="n"/>
      <c r="H613" s="37" t="n"/>
      <c r="I613" s="37">
        <f>IF(G613="","",G613+N(H613))</f>
        <v/>
      </c>
      <c r="J613" s="36" t="n"/>
      <c r="K613" s="40" t="n"/>
      <c r="L613" s="36" t="n"/>
      <c r="M613">
        <f>IF($A613=Ficha!$B$3,COUNTIF($A$5:$A613,Ficha!$B$3),"")</f>
        <v/>
      </c>
    </row>
    <row r="614">
      <c r="A614" s="38" t="n"/>
      <c r="B614" s="41">
        <f>IF(A614="","",IFERROR(INDEX(Maniobras!$B$5:$B$504,MATCH(A614,Maniobras!$A$5:$A$504,0)),""))</f>
        <v/>
      </c>
      <c r="C614" s="38">
        <f>IF(B614="","",TEXT(B614,"yyyy-mm"))</f>
        <v/>
      </c>
      <c r="D614" s="38">
        <f>IF(A614="","",IFERROR(INDEX(Maniobras!$D$5:$D$504,MATCH(A614,Maniobras!$A$5:$A$504,0)),""))</f>
        <v/>
      </c>
      <c r="E614" s="38" t="n"/>
      <c r="F614" s="39">
        <f>IF(A614="","",IFERROR(INDEX(Maniobras!$K$5:$K$504,MATCH(A614,Maniobras!$A$5:$A$504,0)),""))</f>
        <v/>
      </c>
      <c r="G614" s="39" t="n"/>
      <c r="H614" s="39" t="n"/>
      <c r="I614" s="39">
        <f>IF(G614="","",G614+N(H614))</f>
        <v/>
      </c>
      <c r="J614" s="38" t="n"/>
      <c r="K614" s="41" t="n"/>
      <c r="L614" s="38" t="n"/>
      <c r="M614">
        <f>IF($A614=Ficha!$B$3,COUNTIF($A$5:$A614,Ficha!$B$3),"")</f>
        <v/>
      </c>
    </row>
    <row r="615">
      <c r="A615" s="36" t="n"/>
      <c r="B615" s="40">
        <f>IF(A615="","",IFERROR(INDEX(Maniobras!$B$5:$B$504,MATCH(A615,Maniobras!$A$5:$A$504,0)),""))</f>
        <v/>
      </c>
      <c r="C615" s="36">
        <f>IF(B615="","",TEXT(B615,"yyyy-mm"))</f>
        <v/>
      </c>
      <c r="D615" s="36">
        <f>IF(A615="","",IFERROR(INDEX(Maniobras!$D$5:$D$504,MATCH(A615,Maniobras!$A$5:$A$504,0)),""))</f>
        <v/>
      </c>
      <c r="E615" s="36" t="n"/>
      <c r="F615" s="37">
        <f>IF(A615="","",IFERROR(INDEX(Maniobras!$K$5:$K$504,MATCH(A615,Maniobras!$A$5:$A$504,0)),""))</f>
        <v/>
      </c>
      <c r="G615" s="37" t="n"/>
      <c r="H615" s="37" t="n"/>
      <c r="I615" s="37">
        <f>IF(G615="","",G615+N(H615))</f>
        <v/>
      </c>
      <c r="J615" s="36" t="n"/>
      <c r="K615" s="40" t="n"/>
      <c r="L615" s="36" t="n"/>
      <c r="M615">
        <f>IF($A615=Ficha!$B$3,COUNTIF($A$5:$A615,Ficha!$B$3),"")</f>
        <v/>
      </c>
    </row>
    <row r="616">
      <c r="A616" s="38" t="n"/>
      <c r="B616" s="41">
        <f>IF(A616="","",IFERROR(INDEX(Maniobras!$B$5:$B$504,MATCH(A616,Maniobras!$A$5:$A$504,0)),""))</f>
        <v/>
      </c>
      <c r="C616" s="38">
        <f>IF(B616="","",TEXT(B616,"yyyy-mm"))</f>
        <v/>
      </c>
      <c r="D616" s="38">
        <f>IF(A616="","",IFERROR(INDEX(Maniobras!$D$5:$D$504,MATCH(A616,Maniobras!$A$5:$A$504,0)),""))</f>
        <v/>
      </c>
      <c r="E616" s="38" t="n"/>
      <c r="F616" s="39">
        <f>IF(A616="","",IFERROR(INDEX(Maniobras!$K$5:$K$504,MATCH(A616,Maniobras!$A$5:$A$504,0)),""))</f>
        <v/>
      </c>
      <c r="G616" s="39" t="n"/>
      <c r="H616" s="39" t="n"/>
      <c r="I616" s="39">
        <f>IF(G616="","",G616+N(H616))</f>
        <v/>
      </c>
      <c r="J616" s="38" t="n"/>
      <c r="K616" s="41" t="n"/>
      <c r="L616" s="38" t="n"/>
      <c r="M616">
        <f>IF($A616=Ficha!$B$3,COUNTIF($A$5:$A616,Ficha!$B$3),"")</f>
        <v/>
      </c>
    </row>
    <row r="617">
      <c r="A617" s="36" t="n"/>
      <c r="B617" s="40">
        <f>IF(A617="","",IFERROR(INDEX(Maniobras!$B$5:$B$504,MATCH(A617,Maniobras!$A$5:$A$504,0)),""))</f>
        <v/>
      </c>
      <c r="C617" s="36">
        <f>IF(B617="","",TEXT(B617,"yyyy-mm"))</f>
        <v/>
      </c>
      <c r="D617" s="36">
        <f>IF(A617="","",IFERROR(INDEX(Maniobras!$D$5:$D$504,MATCH(A617,Maniobras!$A$5:$A$504,0)),""))</f>
        <v/>
      </c>
      <c r="E617" s="36" t="n"/>
      <c r="F617" s="37">
        <f>IF(A617="","",IFERROR(INDEX(Maniobras!$K$5:$K$504,MATCH(A617,Maniobras!$A$5:$A$504,0)),""))</f>
        <v/>
      </c>
      <c r="G617" s="37" t="n"/>
      <c r="H617" s="37" t="n"/>
      <c r="I617" s="37">
        <f>IF(G617="","",G617+N(H617))</f>
        <v/>
      </c>
      <c r="J617" s="36" t="n"/>
      <c r="K617" s="40" t="n"/>
      <c r="L617" s="36" t="n"/>
      <c r="M617">
        <f>IF($A617=Ficha!$B$3,COUNTIF($A$5:$A617,Ficha!$B$3),"")</f>
        <v/>
      </c>
    </row>
    <row r="618">
      <c r="A618" s="38" t="n"/>
      <c r="B618" s="41">
        <f>IF(A618="","",IFERROR(INDEX(Maniobras!$B$5:$B$504,MATCH(A618,Maniobras!$A$5:$A$504,0)),""))</f>
        <v/>
      </c>
      <c r="C618" s="38">
        <f>IF(B618="","",TEXT(B618,"yyyy-mm"))</f>
        <v/>
      </c>
      <c r="D618" s="38">
        <f>IF(A618="","",IFERROR(INDEX(Maniobras!$D$5:$D$504,MATCH(A618,Maniobras!$A$5:$A$504,0)),""))</f>
        <v/>
      </c>
      <c r="E618" s="38" t="n"/>
      <c r="F618" s="39">
        <f>IF(A618="","",IFERROR(INDEX(Maniobras!$K$5:$K$504,MATCH(A618,Maniobras!$A$5:$A$504,0)),""))</f>
        <v/>
      </c>
      <c r="G618" s="39" t="n"/>
      <c r="H618" s="39" t="n"/>
      <c r="I618" s="39">
        <f>IF(G618="","",G618+N(H618))</f>
        <v/>
      </c>
      <c r="J618" s="38" t="n"/>
      <c r="K618" s="41" t="n"/>
      <c r="L618" s="38" t="n"/>
      <c r="M618">
        <f>IF($A618=Ficha!$B$3,COUNTIF($A$5:$A618,Ficha!$B$3),"")</f>
        <v/>
      </c>
    </row>
    <row r="619">
      <c r="A619" s="36" t="n"/>
      <c r="B619" s="40">
        <f>IF(A619="","",IFERROR(INDEX(Maniobras!$B$5:$B$504,MATCH(A619,Maniobras!$A$5:$A$504,0)),""))</f>
        <v/>
      </c>
      <c r="C619" s="36">
        <f>IF(B619="","",TEXT(B619,"yyyy-mm"))</f>
        <v/>
      </c>
      <c r="D619" s="36">
        <f>IF(A619="","",IFERROR(INDEX(Maniobras!$D$5:$D$504,MATCH(A619,Maniobras!$A$5:$A$504,0)),""))</f>
        <v/>
      </c>
      <c r="E619" s="36" t="n"/>
      <c r="F619" s="37">
        <f>IF(A619="","",IFERROR(INDEX(Maniobras!$K$5:$K$504,MATCH(A619,Maniobras!$A$5:$A$504,0)),""))</f>
        <v/>
      </c>
      <c r="G619" s="37" t="n"/>
      <c r="H619" s="37" t="n"/>
      <c r="I619" s="37">
        <f>IF(G619="","",G619+N(H619))</f>
        <v/>
      </c>
      <c r="J619" s="36" t="n"/>
      <c r="K619" s="40" t="n"/>
      <c r="L619" s="36" t="n"/>
      <c r="M619">
        <f>IF($A619=Ficha!$B$3,COUNTIF($A$5:$A619,Ficha!$B$3),"")</f>
        <v/>
      </c>
    </row>
    <row r="620">
      <c r="A620" s="38" t="n"/>
      <c r="B620" s="41">
        <f>IF(A620="","",IFERROR(INDEX(Maniobras!$B$5:$B$504,MATCH(A620,Maniobras!$A$5:$A$504,0)),""))</f>
        <v/>
      </c>
      <c r="C620" s="38">
        <f>IF(B620="","",TEXT(B620,"yyyy-mm"))</f>
        <v/>
      </c>
      <c r="D620" s="38">
        <f>IF(A620="","",IFERROR(INDEX(Maniobras!$D$5:$D$504,MATCH(A620,Maniobras!$A$5:$A$504,0)),""))</f>
        <v/>
      </c>
      <c r="E620" s="38" t="n"/>
      <c r="F620" s="39">
        <f>IF(A620="","",IFERROR(INDEX(Maniobras!$K$5:$K$504,MATCH(A620,Maniobras!$A$5:$A$504,0)),""))</f>
        <v/>
      </c>
      <c r="G620" s="39" t="n"/>
      <c r="H620" s="39" t="n"/>
      <c r="I620" s="39">
        <f>IF(G620="","",G620+N(H620))</f>
        <v/>
      </c>
      <c r="J620" s="38" t="n"/>
      <c r="K620" s="41" t="n"/>
      <c r="L620" s="38" t="n"/>
      <c r="M620">
        <f>IF($A620=Ficha!$B$3,COUNTIF($A$5:$A620,Ficha!$B$3),"")</f>
        <v/>
      </c>
    </row>
    <row r="621">
      <c r="A621" s="36" t="n"/>
      <c r="B621" s="40">
        <f>IF(A621="","",IFERROR(INDEX(Maniobras!$B$5:$B$504,MATCH(A621,Maniobras!$A$5:$A$504,0)),""))</f>
        <v/>
      </c>
      <c r="C621" s="36">
        <f>IF(B621="","",TEXT(B621,"yyyy-mm"))</f>
        <v/>
      </c>
      <c r="D621" s="36">
        <f>IF(A621="","",IFERROR(INDEX(Maniobras!$D$5:$D$504,MATCH(A621,Maniobras!$A$5:$A$504,0)),""))</f>
        <v/>
      </c>
      <c r="E621" s="36" t="n"/>
      <c r="F621" s="37">
        <f>IF(A621="","",IFERROR(INDEX(Maniobras!$K$5:$K$504,MATCH(A621,Maniobras!$A$5:$A$504,0)),""))</f>
        <v/>
      </c>
      <c r="G621" s="37" t="n"/>
      <c r="H621" s="37" t="n"/>
      <c r="I621" s="37">
        <f>IF(G621="","",G621+N(H621))</f>
        <v/>
      </c>
      <c r="J621" s="36" t="n"/>
      <c r="K621" s="40" t="n"/>
      <c r="L621" s="36" t="n"/>
      <c r="M621">
        <f>IF($A621=Ficha!$B$3,COUNTIF($A$5:$A621,Ficha!$B$3),"")</f>
        <v/>
      </c>
    </row>
    <row r="622">
      <c r="A622" s="38" t="n"/>
      <c r="B622" s="41">
        <f>IF(A622="","",IFERROR(INDEX(Maniobras!$B$5:$B$504,MATCH(A622,Maniobras!$A$5:$A$504,0)),""))</f>
        <v/>
      </c>
      <c r="C622" s="38">
        <f>IF(B622="","",TEXT(B622,"yyyy-mm"))</f>
        <v/>
      </c>
      <c r="D622" s="38">
        <f>IF(A622="","",IFERROR(INDEX(Maniobras!$D$5:$D$504,MATCH(A622,Maniobras!$A$5:$A$504,0)),""))</f>
        <v/>
      </c>
      <c r="E622" s="38" t="n"/>
      <c r="F622" s="39">
        <f>IF(A622="","",IFERROR(INDEX(Maniobras!$K$5:$K$504,MATCH(A622,Maniobras!$A$5:$A$504,0)),""))</f>
        <v/>
      </c>
      <c r="G622" s="39" t="n"/>
      <c r="H622" s="39" t="n"/>
      <c r="I622" s="39">
        <f>IF(G622="","",G622+N(H622))</f>
        <v/>
      </c>
      <c r="J622" s="38" t="n"/>
      <c r="K622" s="41" t="n"/>
      <c r="L622" s="38" t="n"/>
      <c r="M622">
        <f>IF($A622=Ficha!$B$3,COUNTIF($A$5:$A622,Ficha!$B$3),"")</f>
        <v/>
      </c>
    </row>
    <row r="623">
      <c r="A623" s="36" t="n"/>
      <c r="B623" s="40">
        <f>IF(A623="","",IFERROR(INDEX(Maniobras!$B$5:$B$504,MATCH(A623,Maniobras!$A$5:$A$504,0)),""))</f>
        <v/>
      </c>
      <c r="C623" s="36">
        <f>IF(B623="","",TEXT(B623,"yyyy-mm"))</f>
        <v/>
      </c>
      <c r="D623" s="36">
        <f>IF(A623="","",IFERROR(INDEX(Maniobras!$D$5:$D$504,MATCH(A623,Maniobras!$A$5:$A$504,0)),""))</f>
        <v/>
      </c>
      <c r="E623" s="36" t="n"/>
      <c r="F623" s="37">
        <f>IF(A623="","",IFERROR(INDEX(Maniobras!$K$5:$K$504,MATCH(A623,Maniobras!$A$5:$A$504,0)),""))</f>
        <v/>
      </c>
      <c r="G623" s="37" t="n"/>
      <c r="H623" s="37" t="n"/>
      <c r="I623" s="37">
        <f>IF(G623="","",G623+N(H623))</f>
        <v/>
      </c>
      <c r="J623" s="36" t="n"/>
      <c r="K623" s="40" t="n"/>
      <c r="L623" s="36" t="n"/>
      <c r="M623">
        <f>IF($A623=Ficha!$B$3,COUNTIF($A$5:$A623,Ficha!$B$3),"")</f>
        <v/>
      </c>
    </row>
    <row r="624">
      <c r="A624" s="38" t="n"/>
      <c r="B624" s="41">
        <f>IF(A624="","",IFERROR(INDEX(Maniobras!$B$5:$B$504,MATCH(A624,Maniobras!$A$5:$A$504,0)),""))</f>
        <v/>
      </c>
      <c r="C624" s="38">
        <f>IF(B624="","",TEXT(B624,"yyyy-mm"))</f>
        <v/>
      </c>
      <c r="D624" s="38">
        <f>IF(A624="","",IFERROR(INDEX(Maniobras!$D$5:$D$504,MATCH(A624,Maniobras!$A$5:$A$504,0)),""))</f>
        <v/>
      </c>
      <c r="E624" s="38" t="n"/>
      <c r="F624" s="39">
        <f>IF(A624="","",IFERROR(INDEX(Maniobras!$K$5:$K$504,MATCH(A624,Maniobras!$A$5:$A$504,0)),""))</f>
        <v/>
      </c>
      <c r="G624" s="39" t="n"/>
      <c r="H624" s="39" t="n"/>
      <c r="I624" s="39">
        <f>IF(G624="","",G624+N(H624))</f>
        <v/>
      </c>
      <c r="J624" s="38" t="n"/>
      <c r="K624" s="41" t="n"/>
      <c r="L624" s="38" t="n"/>
      <c r="M624">
        <f>IF($A624=Ficha!$B$3,COUNTIF($A$5:$A624,Ficha!$B$3),"")</f>
        <v/>
      </c>
    </row>
    <row r="625">
      <c r="A625" s="36" t="n"/>
      <c r="B625" s="40">
        <f>IF(A625="","",IFERROR(INDEX(Maniobras!$B$5:$B$504,MATCH(A625,Maniobras!$A$5:$A$504,0)),""))</f>
        <v/>
      </c>
      <c r="C625" s="36">
        <f>IF(B625="","",TEXT(B625,"yyyy-mm"))</f>
        <v/>
      </c>
      <c r="D625" s="36">
        <f>IF(A625="","",IFERROR(INDEX(Maniobras!$D$5:$D$504,MATCH(A625,Maniobras!$A$5:$A$504,0)),""))</f>
        <v/>
      </c>
      <c r="E625" s="36" t="n"/>
      <c r="F625" s="37">
        <f>IF(A625="","",IFERROR(INDEX(Maniobras!$K$5:$K$504,MATCH(A625,Maniobras!$A$5:$A$504,0)),""))</f>
        <v/>
      </c>
      <c r="G625" s="37" t="n"/>
      <c r="H625" s="37" t="n"/>
      <c r="I625" s="37">
        <f>IF(G625="","",G625+N(H625))</f>
        <v/>
      </c>
      <c r="J625" s="36" t="n"/>
      <c r="K625" s="40" t="n"/>
      <c r="L625" s="36" t="n"/>
      <c r="M625">
        <f>IF($A625=Ficha!$B$3,COUNTIF($A$5:$A625,Ficha!$B$3),"")</f>
        <v/>
      </c>
    </row>
    <row r="626">
      <c r="A626" s="38" t="n"/>
      <c r="B626" s="41">
        <f>IF(A626="","",IFERROR(INDEX(Maniobras!$B$5:$B$504,MATCH(A626,Maniobras!$A$5:$A$504,0)),""))</f>
        <v/>
      </c>
      <c r="C626" s="38">
        <f>IF(B626="","",TEXT(B626,"yyyy-mm"))</f>
        <v/>
      </c>
      <c r="D626" s="38">
        <f>IF(A626="","",IFERROR(INDEX(Maniobras!$D$5:$D$504,MATCH(A626,Maniobras!$A$5:$A$504,0)),""))</f>
        <v/>
      </c>
      <c r="E626" s="38" t="n"/>
      <c r="F626" s="39">
        <f>IF(A626="","",IFERROR(INDEX(Maniobras!$K$5:$K$504,MATCH(A626,Maniobras!$A$5:$A$504,0)),""))</f>
        <v/>
      </c>
      <c r="G626" s="39" t="n"/>
      <c r="H626" s="39" t="n"/>
      <c r="I626" s="39">
        <f>IF(G626="","",G626+N(H626))</f>
        <v/>
      </c>
      <c r="J626" s="38" t="n"/>
      <c r="K626" s="41" t="n"/>
      <c r="L626" s="38" t="n"/>
      <c r="M626">
        <f>IF($A626=Ficha!$B$3,COUNTIF($A$5:$A626,Ficha!$B$3),"")</f>
        <v/>
      </c>
    </row>
    <row r="627">
      <c r="A627" s="36" t="n"/>
      <c r="B627" s="40">
        <f>IF(A627="","",IFERROR(INDEX(Maniobras!$B$5:$B$504,MATCH(A627,Maniobras!$A$5:$A$504,0)),""))</f>
        <v/>
      </c>
      <c r="C627" s="36">
        <f>IF(B627="","",TEXT(B627,"yyyy-mm"))</f>
        <v/>
      </c>
      <c r="D627" s="36">
        <f>IF(A627="","",IFERROR(INDEX(Maniobras!$D$5:$D$504,MATCH(A627,Maniobras!$A$5:$A$504,0)),""))</f>
        <v/>
      </c>
      <c r="E627" s="36" t="n"/>
      <c r="F627" s="37">
        <f>IF(A627="","",IFERROR(INDEX(Maniobras!$K$5:$K$504,MATCH(A627,Maniobras!$A$5:$A$504,0)),""))</f>
        <v/>
      </c>
      <c r="G627" s="37" t="n"/>
      <c r="H627" s="37" t="n"/>
      <c r="I627" s="37">
        <f>IF(G627="","",G627+N(H627))</f>
        <v/>
      </c>
      <c r="J627" s="36" t="n"/>
      <c r="K627" s="40" t="n"/>
      <c r="L627" s="36" t="n"/>
      <c r="M627">
        <f>IF($A627=Ficha!$B$3,COUNTIF($A$5:$A627,Ficha!$B$3),"")</f>
        <v/>
      </c>
    </row>
    <row r="628">
      <c r="A628" s="38" t="n"/>
      <c r="B628" s="41">
        <f>IF(A628="","",IFERROR(INDEX(Maniobras!$B$5:$B$504,MATCH(A628,Maniobras!$A$5:$A$504,0)),""))</f>
        <v/>
      </c>
      <c r="C628" s="38">
        <f>IF(B628="","",TEXT(B628,"yyyy-mm"))</f>
        <v/>
      </c>
      <c r="D628" s="38">
        <f>IF(A628="","",IFERROR(INDEX(Maniobras!$D$5:$D$504,MATCH(A628,Maniobras!$A$5:$A$504,0)),""))</f>
        <v/>
      </c>
      <c r="E628" s="38" t="n"/>
      <c r="F628" s="39">
        <f>IF(A628="","",IFERROR(INDEX(Maniobras!$K$5:$K$504,MATCH(A628,Maniobras!$A$5:$A$504,0)),""))</f>
        <v/>
      </c>
      <c r="G628" s="39" t="n"/>
      <c r="H628" s="39" t="n"/>
      <c r="I628" s="39">
        <f>IF(G628="","",G628+N(H628))</f>
        <v/>
      </c>
      <c r="J628" s="38" t="n"/>
      <c r="K628" s="41" t="n"/>
      <c r="L628" s="38" t="n"/>
      <c r="M628">
        <f>IF($A628=Ficha!$B$3,COUNTIF($A$5:$A628,Ficha!$B$3),"")</f>
        <v/>
      </c>
    </row>
    <row r="629">
      <c r="A629" s="36" t="n"/>
      <c r="B629" s="40">
        <f>IF(A629="","",IFERROR(INDEX(Maniobras!$B$5:$B$504,MATCH(A629,Maniobras!$A$5:$A$504,0)),""))</f>
        <v/>
      </c>
      <c r="C629" s="36">
        <f>IF(B629="","",TEXT(B629,"yyyy-mm"))</f>
        <v/>
      </c>
      <c r="D629" s="36">
        <f>IF(A629="","",IFERROR(INDEX(Maniobras!$D$5:$D$504,MATCH(A629,Maniobras!$A$5:$A$504,0)),""))</f>
        <v/>
      </c>
      <c r="E629" s="36" t="n"/>
      <c r="F629" s="37">
        <f>IF(A629="","",IFERROR(INDEX(Maniobras!$K$5:$K$504,MATCH(A629,Maniobras!$A$5:$A$504,0)),""))</f>
        <v/>
      </c>
      <c r="G629" s="37" t="n"/>
      <c r="H629" s="37" t="n"/>
      <c r="I629" s="37">
        <f>IF(G629="","",G629+N(H629))</f>
        <v/>
      </c>
      <c r="J629" s="36" t="n"/>
      <c r="K629" s="40" t="n"/>
      <c r="L629" s="36" t="n"/>
      <c r="M629">
        <f>IF($A629=Ficha!$B$3,COUNTIF($A$5:$A629,Ficha!$B$3),"")</f>
        <v/>
      </c>
    </row>
    <row r="630">
      <c r="A630" s="38" t="n"/>
      <c r="B630" s="41">
        <f>IF(A630="","",IFERROR(INDEX(Maniobras!$B$5:$B$504,MATCH(A630,Maniobras!$A$5:$A$504,0)),""))</f>
        <v/>
      </c>
      <c r="C630" s="38">
        <f>IF(B630="","",TEXT(B630,"yyyy-mm"))</f>
        <v/>
      </c>
      <c r="D630" s="38">
        <f>IF(A630="","",IFERROR(INDEX(Maniobras!$D$5:$D$504,MATCH(A630,Maniobras!$A$5:$A$504,0)),""))</f>
        <v/>
      </c>
      <c r="E630" s="38" t="n"/>
      <c r="F630" s="39">
        <f>IF(A630="","",IFERROR(INDEX(Maniobras!$K$5:$K$504,MATCH(A630,Maniobras!$A$5:$A$504,0)),""))</f>
        <v/>
      </c>
      <c r="G630" s="39" t="n"/>
      <c r="H630" s="39" t="n"/>
      <c r="I630" s="39">
        <f>IF(G630="","",G630+N(H630))</f>
        <v/>
      </c>
      <c r="J630" s="38" t="n"/>
      <c r="K630" s="41" t="n"/>
      <c r="L630" s="38" t="n"/>
      <c r="M630">
        <f>IF($A630=Ficha!$B$3,COUNTIF($A$5:$A630,Ficha!$B$3),"")</f>
        <v/>
      </c>
    </row>
    <row r="631">
      <c r="A631" s="36" t="n"/>
      <c r="B631" s="40">
        <f>IF(A631="","",IFERROR(INDEX(Maniobras!$B$5:$B$504,MATCH(A631,Maniobras!$A$5:$A$504,0)),""))</f>
        <v/>
      </c>
      <c r="C631" s="36">
        <f>IF(B631="","",TEXT(B631,"yyyy-mm"))</f>
        <v/>
      </c>
      <c r="D631" s="36">
        <f>IF(A631="","",IFERROR(INDEX(Maniobras!$D$5:$D$504,MATCH(A631,Maniobras!$A$5:$A$504,0)),""))</f>
        <v/>
      </c>
      <c r="E631" s="36" t="n"/>
      <c r="F631" s="37">
        <f>IF(A631="","",IFERROR(INDEX(Maniobras!$K$5:$K$504,MATCH(A631,Maniobras!$A$5:$A$504,0)),""))</f>
        <v/>
      </c>
      <c r="G631" s="37" t="n"/>
      <c r="H631" s="37" t="n"/>
      <c r="I631" s="37">
        <f>IF(G631="","",G631+N(H631))</f>
        <v/>
      </c>
      <c r="J631" s="36" t="n"/>
      <c r="K631" s="40" t="n"/>
      <c r="L631" s="36" t="n"/>
      <c r="M631">
        <f>IF($A631=Ficha!$B$3,COUNTIF($A$5:$A631,Ficha!$B$3),"")</f>
        <v/>
      </c>
    </row>
    <row r="632">
      <c r="A632" s="38" t="n"/>
      <c r="B632" s="41">
        <f>IF(A632="","",IFERROR(INDEX(Maniobras!$B$5:$B$504,MATCH(A632,Maniobras!$A$5:$A$504,0)),""))</f>
        <v/>
      </c>
      <c r="C632" s="38">
        <f>IF(B632="","",TEXT(B632,"yyyy-mm"))</f>
        <v/>
      </c>
      <c r="D632" s="38">
        <f>IF(A632="","",IFERROR(INDEX(Maniobras!$D$5:$D$504,MATCH(A632,Maniobras!$A$5:$A$504,0)),""))</f>
        <v/>
      </c>
      <c r="E632" s="38" t="n"/>
      <c r="F632" s="39">
        <f>IF(A632="","",IFERROR(INDEX(Maniobras!$K$5:$K$504,MATCH(A632,Maniobras!$A$5:$A$504,0)),""))</f>
        <v/>
      </c>
      <c r="G632" s="39" t="n"/>
      <c r="H632" s="39" t="n"/>
      <c r="I632" s="39">
        <f>IF(G632="","",G632+N(H632))</f>
        <v/>
      </c>
      <c r="J632" s="38" t="n"/>
      <c r="K632" s="41" t="n"/>
      <c r="L632" s="38" t="n"/>
      <c r="M632">
        <f>IF($A632=Ficha!$B$3,COUNTIF($A$5:$A632,Ficha!$B$3),"")</f>
        <v/>
      </c>
    </row>
    <row r="633">
      <c r="A633" s="36" t="n"/>
      <c r="B633" s="40">
        <f>IF(A633="","",IFERROR(INDEX(Maniobras!$B$5:$B$504,MATCH(A633,Maniobras!$A$5:$A$504,0)),""))</f>
        <v/>
      </c>
      <c r="C633" s="36">
        <f>IF(B633="","",TEXT(B633,"yyyy-mm"))</f>
        <v/>
      </c>
      <c r="D633" s="36">
        <f>IF(A633="","",IFERROR(INDEX(Maniobras!$D$5:$D$504,MATCH(A633,Maniobras!$A$5:$A$504,0)),""))</f>
        <v/>
      </c>
      <c r="E633" s="36" t="n"/>
      <c r="F633" s="37">
        <f>IF(A633="","",IFERROR(INDEX(Maniobras!$K$5:$K$504,MATCH(A633,Maniobras!$A$5:$A$504,0)),""))</f>
        <v/>
      </c>
      <c r="G633" s="37" t="n"/>
      <c r="H633" s="37" t="n"/>
      <c r="I633" s="37">
        <f>IF(G633="","",G633+N(H633))</f>
        <v/>
      </c>
      <c r="J633" s="36" t="n"/>
      <c r="K633" s="40" t="n"/>
      <c r="L633" s="36" t="n"/>
      <c r="M633">
        <f>IF($A633=Ficha!$B$3,COUNTIF($A$5:$A633,Ficha!$B$3),"")</f>
        <v/>
      </c>
    </row>
    <row r="634">
      <c r="A634" s="38" t="n"/>
      <c r="B634" s="41">
        <f>IF(A634="","",IFERROR(INDEX(Maniobras!$B$5:$B$504,MATCH(A634,Maniobras!$A$5:$A$504,0)),""))</f>
        <v/>
      </c>
      <c r="C634" s="38">
        <f>IF(B634="","",TEXT(B634,"yyyy-mm"))</f>
        <v/>
      </c>
      <c r="D634" s="38">
        <f>IF(A634="","",IFERROR(INDEX(Maniobras!$D$5:$D$504,MATCH(A634,Maniobras!$A$5:$A$504,0)),""))</f>
        <v/>
      </c>
      <c r="E634" s="38" t="n"/>
      <c r="F634" s="39">
        <f>IF(A634="","",IFERROR(INDEX(Maniobras!$K$5:$K$504,MATCH(A634,Maniobras!$A$5:$A$504,0)),""))</f>
        <v/>
      </c>
      <c r="G634" s="39" t="n"/>
      <c r="H634" s="39" t="n"/>
      <c r="I634" s="39">
        <f>IF(G634="","",G634+N(H634))</f>
        <v/>
      </c>
      <c r="J634" s="38" t="n"/>
      <c r="K634" s="41" t="n"/>
      <c r="L634" s="38" t="n"/>
      <c r="M634">
        <f>IF($A634=Ficha!$B$3,COUNTIF($A$5:$A634,Ficha!$B$3),"")</f>
        <v/>
      </c>
    </row>
    <row r="635">
      <c r="A635" s="36" t="n"/>
      <c r="B635" s="40">
        <f>IF(A635="","",IFERROR(INDEX(Maniobras!$B$5:$B$504,MATCH(A635,Maniobras!$A$5:$A$504,0)),""))</f>
        <v/>
      </c>
      <c r="C635" s="36">
        <f>IF(B635="","",TEXT(B635,"yyyy-mm"))</f>
        <v/>
      </c>
      <c r="D635" s="36">
        <f>IF(A635="","",IFERROR(INDEX(Maniobras!$D$5:$D$504,MATCH(A635,Maniobras!$A$5:$A$504,0)),""))</f>
        <v/>
      </c>
      <c r="E635" s="36" t="n"/>
      <c r="F635" s="37">
        <f>IF(A635="","",IFERROR(INDEX(Maniobras!$K$5:$K$504,MATCH(A635,Maniobras!$A$5:$A$504,0)),""))</f>
        <v/>
      </c>
      <c r="G635" s="37" t="n"/>
      <c r="H635" s="37" t="n"/>
      <c r="I635" s="37">
        <f>IF(G635="","",G635+N(H635))</f>
        <v/>
      </c>
      <c r="J635" s="36" t="n"/>
      <c r="K635" s="40" t="n"/>
      <c r="L635" s="36" t="n"/>
      <c r="M635">
        <f>IF($A635=Ficha!$B$3,COUNTIF($A$5:$A635,Ficha!$B$3),"")</f>
        <v/>
      </c>
    </row>
    <row r="636">
      <c r="A636" s="38" t="n"/>
      <c r="B636" s="41">
        <f>IF(A636="","",IFERROR(INDEX(Maniobras!$B$5:$B$504,MATCH(A636,Maniobras!$A$5:$A$504,0)),""))</f>
        <v/>
      </c>
      <c r="C636" s="38">
        <f>IF(B636="","",TEXT(B636,"yyyy-mm"))</f>
        <v/>
      </c>
      <c r="D636" s="38">
        <f>IF(A636="","",IFERROR(INDEX(Maniobras!$D$5:$D$504,MATCH(A636,Maniobras!$A$5:$A$504,0)),""))</f>
        <v/>
      </c>
      <c r="E636" s="38" t="n"/>
      <c r="F636" s="39">
        <f>IF(A636="","",IFERROR(INDEX(Maniobras!$K$5:$K$504,MATCH(A636,Maniobras!$A$5:$A$504,0)),""))</f>
        <v/>
      </c>
      <c r="G636" s="39" t="n"/>
      <c r="H636" s="39" t="n"/>
      <c r="I636" s="39">
        <f>IF(G636="","",G636+N(H636))</f>
        <v/>
      </c>
      <c r="J636" s="38" t="n"/>
      <c r="K636" s="41" t="n"/>
      <c r="L636" s="38" t="n"/>
      <c r="M636">
        <f>IF($A636=Ficha!$B$3,COUNTIF($A$5:$A636,Ficha!$B$3),"")</f>
        <v/>
      </c>
    </row>
    <row r="637">
      <c r="A637" s="36" t="n"/>
      <c r="B637" s="40">
        <f>IF(A637="","",IFERROR(INDEX(Maniobras!$B$5:$B$504,MATCH(A637,Maniobras!$A$5:$A$504,0)),""))</f>
        <v/>
      </c>
      <c r="C637" s="36">
        <f>IF(B637="","",TEXT(B637,"yyyy-mm"))</f>
        <v/>
      </c>
      <c r="D637" s="36">
        <f>IF(A637="","",IFERROR(INDEX(Maniobras!$D$5:$D$504,MATCH(A637,Maniobras!$A$5:$A$504,0)),""))</f>
        <v/>
      </c>
      <c r="E637" s="36" t="n"/>
      <c r="F637" s="37">
        <f>IF(A637="","",IFERROR(INDEX(Maniobras!$K$5:$K$504,MATCH(A637,Maniobras!$A$5:$A$504,0)),""))</f>
        <v/>
      </c>
      <c r="G637" s="37" t="n"/>
      <c r="H637" s="37" t="n"/>
      <c r="I637" s="37">
        <f>IF(G637="","",G637+N(H637))</f>
        <v/>
      </c>
      <c r="J637" s="36" t="n"/>
      <c r="K637" s="40" t="n"/>
      <c r="L637" s="36" t="n"/>
      <c r="M637">
        <f>IF($A637=Ficha!$B$3,COUNTIF($A$5:$A637,Ficha!$B$3),"")</f>
        <v/>
      </c>
    </row>
    <row r="638">
      <c r="A638" s="38" t="n"/>
      <c r="B638" s="41">
        <f>IF(A638="","",IFERROR(INDEX(Maniobras!$B$5:$B$504,MATCH(A638,Maniobras!$A$5:$A$504,0)),""))</f>
        <v/>
      </c>
      <c r="C638" s="38">
        <f>IF(B638="","",TEXT(B638,"yyyy-mm"))</f>
        <v/>
      </c>
      <c r="D638" s="38">
        <f>IF(A638="","",IFERROR(INDEX(Maniobras!$D$5:$D$504,MATCH(A638,Maniobras!$A$5:$A$504,0)),""))</f>
        <v/>
      </c>
      <c r="E638" s="38" t="n"/>
      <c r="F638" s="39">
        <f>IF(A638="","",IFERROR(INDEX(Maniobras!$K$5:$K$504,MATCH(A638,Maniobras!$A$5:$A$504,0)),""))</f>
        <v/>
      </c>
      <c r="G638" s="39" t="n"/>
      <c r="H638" s="39" t="n"/>
      <c r="I638" s="39">
        <f>IF(G638="","",G638+N(H638))</f>
        <v/>
      </c>
      <c r="J638" s="38" t="n"/>
      <c r="K638" s="41" t="n"/>
      <c r="L638" s="38" t="n"/>
      <c r="M638">
        <f>IF($A638=Ficha!$B$3,COUNTIF($A$5:$A638,Ficha!$B$3),"")</f>
        <v/>
      </c>
    </row>
    <row r="639">
      <c r="A639" s="36" t="n"/>
      <c r="B639" s="40">
        <f>IF(A639="","",IFERROR(INDEX(Maniobras!$B$5:$B$504,MATCH(A639,Maniobras!$A$5:$A$504,0)),""))</f>
        <v/>
      </c>
      <c r="C639" s="36">
        <f>IF(B639="","",TEXT(B639,"yyyy-mm"))</f>
        <v/>
      </c>
      <c r="D639" s="36">
        <f>IF(A639="","",IFERROR(INDEX(Maniobras!$D$5:$D$504,MATCH(A639,Maniobras!$A$5:$A$504,0)),""))</f>
        <v/>
      </c>
      <c r="E639" s="36" t="n"/>
      <c r="F639" s="37">
        <f>IF(A639="","",IFERROR(INDEX(Maniobras!$K$5:$K$504,MATCH(A639,Maniobras!$A$5:$A$504,0)),""))</f>
        <v/>
      </c>
      <c r="G639" s="37" t="n"/>
      <c r="H639" s="37" t="n"/>
      <c r="I639" s="37">
        <f>IF(G639="","",G639+N(H639))</f>
        <v/>
      </c>
      <c r="J639" s="36" t="n"/>
      <c r="K639" s="40" t="n"/>
      <c r="L639" s="36" t="n"/>
      <c r="M639">
        <f>IF($A639=Ficha!$B$3,COUNTIF($A$5:$A639,Ficha!$B$3),"")</f>
        <v/>
      </c>
    </row>
    <row r="640">
      <c r="A640" s="38" t="n"/>
      <c r="B640" s="41">
        <f>IF(A640="","",IFERROR(INDEX(Maniobras!$B$5:$B$504,MATCH(A640,Maniobras!$A$5:$A$504,0)),""))</f>
        <v/>
      </c>
      <c r="C640" s="38">
        <f>IF(B640="","",TEXT(B640,"yyyy-mm"))</f>
        <v/>
      </c>
      <c r="D640" s="38">
        <f>IF(A640="","",IFERROR(INDEX(Maniobras!$D$5:$D$504,MATCH(A640,Maniobras!$A$5:$A$504,0)),""))</f>
        <v/>
      </c>
      <c r="E640" s="38" t="n"/>
      <c r="F640" s="39">
        <f>IF(A640="","",IFERROR(INDEX(Maniobras!$K$5:$K$504,MATCH(A640,Maniobras!$A$5:$A$504,0)),""))</f>
        <v/>
      </c>
      <c r="G640" s="39" t="n"/>
      <c r="H640" s="39" t="n"/>
      <c r="I640" s="39">
        <f>IF(G640="","",G640+N(H640))</f>
        <v/>
      </c>
      <c r="J640" s="38" t="n"/>
      <c r="K640" s="41" t="n"/>
      <c r="L640" s="38" t="n"/>
      <c r="M640">
        <f>IF($A640=Ficha!$B$3,COUNTIF($A$5:$A640,Ficha!$B$3),"")</f>
        <v/>
      </c>
    </row>
    <row r="641">
      <c r="A641" s="36" t="n"/>
      <c r="B641" s="40">
        <f>IF(A641="","",IFERROR(INDEX(Maniobras!$B$5:$B$504,MATCH(A641,Maniobras!$A$5:$A$504,0)),""))</f>
        <v/>
      </c>
      <c r="C641" s="36">
        <f>IF(B641="","",TEXT(B641,"yyyy-mm"))</f>
        <v/>
      </c>
      <c r="D641" s="36">
        <f>IF(A641="","",IFERROR(INDEX(Maniobras!$D$5:$D$504,MATCH(A641,Maniobras!$A$5:$A$504,0)),""))</f>
        <v/>
      </c>
      <c r="E641" s="36" t="n"/>
      <c r="F641" s="37">
        <f>IF(A641="","",IFERROR(INDEX(Maniobras!$K$5:$K$504,MATCH(A641,Maniobras!$A$5:$A$504,0)),""))</f>
        <v/>
      </c>
      <c r="G641" s="37" t="n"/>
      <c r="H641" s="37" t="n"/>
      <c r="I641" s="37">
        <f>IF(G641="","",G641+N(H641))</f>
        <v/>
      </c>
      <c r="J641" s="36" t="n"/>
      <c r="K641" s="40" t="n"/>
      <c r="L641" s="36" t="n"/>
      <c r="M641">
        <f>IF($A641=Ficha!$B$3,COUNTIF($A$5:$A641,Ficha!$B$3),"")</f>
        <v/>
      </c>
    </row>
    <row r="642">
      <c r="A642" s="38" t="n"/>
      <c r="B642" s="41">
        <f>IF(A642="","",IFERROR(INDEX(Maniobras!$B$5:$B$504,MATCH(A642,Maniobras!$A$5:$A$504,0)),""))</f>
        <v/>
      </c>
      <c r="C642" s="38">
        <f>IF(B642="","",TEXT(B642,"yyyy-mm"))</f>
        <v/>
      </c>
      <c r="D642" s="38">
        <f>IF(A642="","",IFERROR(INDEX(Maniobras!$D$5:$D$504,MATCH(A642,Maniobras!$A$5:$A$504,0)),""))</f>
        <v/>
      </c>
      <c r="E642" s="38" t="n"/>
      <c r="F642" s="39">
        <f>IF(A642="","",IFERROR(INDEX(Maniobras!$K$5:$K$504,MATCH(A642,Maniobras!$A$5:$A$504,0)),""))</f>
        <v/>
      </c>
      <c r="G642" s="39" t="n"/>
      <c r="H642" s="39" t="n"/>
      <c r="I642" s="39">
        <f>IF(G642="","",G642+N(H642))</f>
        <v/>
      </c>
      <c r="J642" s="38" t="n"/>
      <c r="K642" s="41" t="n"/>
      <c r="L642" s="38" t="n"/>
      <c r="M642">
        <f>IF($A642=Ficha!$B$3,COUNTIF($A$5:$A642,Ficha!$B$3),"")</f>
        <v/>
      </c>
    </row>
    <row r="643">
      <c r="A643" s="36" t="n"/>
      <c r="B643" s="40">
        <f>IF(A643="","",IFERROR(INDEX(Maniobras!$B$5:$B$504,MATCH(A643,Maniobras!$A$5:$A$504,0)),""))</f>
        <v/>
      </c>
      <c r="C643" s="36">
        <f>IF(B643="","",TEXT(B643,"yyyy-mm"))</f>
        <v/>
      </c>
      <c r="D643" s="36">
        <f>IF(A643="","",IFERROR(INDEX(Maniobras!$D$5:$D$504,MATCH(A643,Maniobras!$A$5:$A$504,0)),""))</f>
        <v/>
      </c>
      <c r="E643" s="36" t="n"/>
      <c r="F643" s="37">
        <f>IF(A643="","",IFERROR(INDEX(Maniobras!$K$5:$K$504,MATCH(A643,Maniobras!$A$5:$A$504,0)),""))</f>
        <v/>
      </c>
      <c r="G643" s="37" t="n"/>
      <c r="H643" s="37" t="n"/>
      <c r="I643" s="37">
        <f>IF(G643="","",G643+N(H643))</f>
        <v/>
      </c>
      <c r="J643" s="36" t="n"/>
      <c r="K643" s="40" t="n"/>
      <c r="L643" s="36" t="n"/>
      <c r="M643">
        <f>IF($A643=Ficha!$B$3,COUNTIF($A$5:$A643,Ficha!$B$3),"")</f>
        <v/>
      </c>
    </row>
    <row r="644">
      <c r="A644" s="38" t="n"/>
      <c r="B644" s="41">
        <f>IF(A644="","",IFERROR(INDEX(Maniobras!$B$5:$B$504,MATCH(A644,Maniobras!$A$5:$A$504,0)),""))</f>
        <v/>
      </c>
      <c r="C644" s="38">
        <f>IF(B644="","",TEXT(B644,"yyyy-mm"))</f>
        <v/>
      </c>
      <c r="D644" s="38">
        <f>IF(A644="","",IFERROR(INDEX(Maniobras!$D$5:$D$504,MATCH(A644,Maniobras!$A$5:$A$504,0)),""))</f>
        <v/>
      </c>
      <c r="E644" s="38" t="n"/>
      <c r="F644" s="39">
        <f>IF(A644="","",IFERROR(INDEX(Maniobras!$K$5:$K$504,MATCH(A644,Maniobras!$A$5:$A$504,0)),""))</f>
        <v/>
      </c>
      <c r="G644" s="39" t="n"/>
      <c r="H644" s="39" t="n"/>
      <c r="I644" s="39">
        <f>IF(G644="","",G644+N(H644))</f>
        <v/>
      </c>
      <c r="J644" s="38" t="n"/>
      <c r="K644" s="41" t="n"/>
      <c r="L644" s="38" t="n"/>
      <c r="M644">
        <f>IF($A644=Ficha!$B$3,COUNTIF($A$5:$A644,Ficha!$B$3),"")</f>
        <v/>
      </c>
    </row>
    <row r="645">
      <c r="A645" s="36" t="n"/>
      <c r="B645" s="40">
        <f>IF(A645="","",IFERROR(INDEX(Maniobras!$B$5:$B$504,MATCH(A645,Maniobras!$A$5:$A$504,0)),""))</f>
        <v/>
      </c>
      <c r="C645" s="36">
        <f>IF(B645="","",TEXT(B645,"yyyy-mm"))</f>
        <v/>
      </c>
      <c r="D645" s="36">
        <f>IF(A645="","",IFERROR(INDEX(Maniobras!$D$5:$D$504,MATCH(A645,Maniobras!$A$5:$A$504,0)),""))</f>
        <v/>
      </c>
      <c r="E645" s="36" t="n"/>
      <c r="F645" s="37">
        <f>IF(A645="","",IFERROR(INDEX(Maniobras!$K$5:$K$504,MATCH(A645,Maniobras!$A$5:$A$504,0)),""))</f>
        <v/>
      </c>
      <c r="G645" s="37" t="n"/>
      <c r="H645" s="37" t="n"/>
      <c r="I645" s="37">
        <f>IF(G645="","",G645+N(H645))</f>
        <v/>
      </c>
      <c r="J645" s="36" t="n"/>
      <c r="K645" s="40" t="n"/>
      <c r="L645" s="36" t="n"/>
      <c r="M645">
        <f>IF($A645=Ficha!$B$3,COUNTIF($A$5:$A645,Ficha!$B$3),"")</f>
        <v/>
      </c>
    </row>
    <row r="646">
      <c r="A646" s="38" t="n"/>
      <c r="B646" s="41">
        <f>IF(A646="","",IFERROR(INDEX(Maniobras!$B$5:$B$504,MATCH(A646,Maniobras!$A$5:$A$504,0)),""))</f>
        <v/>
      </c>
      <c r="C646" s="38">
        <f>IF(B646="","",TEXT(B646,"yyyy-mm"))</f>
        <v/>
      </c>
      <c r="D646" s="38">
        <f>IF(A646="","",IFERROR(INDEX(Maniobras!$D$5:$D$504,MATCH(A646,Maniobras!$A$5:$A$504,0)),""))</f>
        <v/>
      </c>
      <c r="E646" s="38" t="n"/>
      <c r="F646" s="39">
        <f>IF(A646="","",IFERROR(INDEX(Maniobras!$K$5:$K$504,MATCH(A646,Maniobras!$A$5:$A$504,0)),""))</f>
        <v/>
      </c>
      <c r="G646" s="39" t="n"/>
      <c r="H646" s="39" t="n"/>
      <c r="I646" s="39">
        <f>IF(G646="","",G646+N(H646))</f>
        <v/>
      </c>
      <c r="J646" s="38" t="n"/>
      <c r="K646" s="41" t="n"/>
      <c r="L646" s="38" t="n"/>
      <c r="M646">
        <f>IF($A646=Ficha!$B$3,COUNTIF($A$5:$A646,Ficha!$B$3),"")</f>
        <v/>
      </c>
    </row>
    <row r="647">
      <c r="A647" s="36" t="n"/>
      <c r="B647" s="40">
        <f>IF(A647="","",IFERROR(INDEX(Maniobras!$B$5:$B$504,MATCH(A647,Maniobras!$A$5:$A$504,0)),""))</f>
        <v/>
      </c>
      <c r="C647" s="36">
        <f>IF(B647="","",TEXT(B647,"yyyy-mm"))</f>
        <v/>
      </c>
      <c r="D647" s="36">
        <f>IF(A647="","",IFERROR(INDEX(Maniobras!$D$5:$D$504,MATCH(A647,Maniobras!$A$5:$A$504,0)),""))</f>
        <v/>
      </c>
      <c r="E647" s="36" t="n"/>
      <c r="F647" s="37">
        <f>IF(A647="","",IFERROR(INDEX(Maniobras!$K$5:$K$504,MATCH(A647,Maniobras!$A$5:$A$504,0)),""))</f>
        <v/>
      </c>
      <c r="G647" s="37" t="n"/>
      <c r="H647" s="37" t="n"/>
      <c r="I647" s="37">
        <f>IF(G647="","",G647+N(H647))</f>
        <v/>
      </c>
      <c r="J647" s="36" t="n"/>
      <c r="K647" s="40" t="n"/>
      <c r="L647" s="36" t="n"/>
      <c r="M647">
        <f>IF($A647=Ficha!$B$3,COUNTIF($A$5:$A647,Ficha!$B$3),"")</f>
        <v/>
      </c>
    </row>
    <row r="648">
      <c r="A648" s="38" t="n"/>
      <c r="B648" s="41">
        <f>IF(A648="","",IFERROR(INDEX(Maniobras!$B$5:$B$504,MATCH(A648,Maniobras!$A$5:$A$504,0)),""))</f>
        <v/>
      </c>
      <c r="C648" s="38">
        <f>IF(B648="","",TEXT(B648,"yyyy-mm"))</f>
        <v/>
      </c>
      <c r="D648" s="38">
        <f>IF(A648="","",IFERROR(INDEX(Maniobras!$D$5:$D$504,MATCH(A648,Maniobras!$A$5:$A$504,0)),""))</f>
        <v/>
      </c>
      <c r="E648" s="38" t="n"/>
      <c r="F648" s="39">
        <f>IF(A648="","",IFERROR(INDEX(Maniobras!$K$5:$K$504,MATCH(A648,Maniobras!$A$5:$A$504,0)),""))</f>
        <v/>
      </c>
      <c r="G648" s="39" t="n"/>
      <c r="H648" s="39" t="n"/>
      <c r="I648" s="39">
        <f>IF(G648="","",G648+N(H648))</f>
        <v/>
      </c>
      <c r="J648" s="38" t="n"/>
      <c r="K648" s="41" t="n"/>
      <c r="L648" s="38" t="n"/>
      <c r="M648">
        <f>IF($A648=Ficha!$B$3,COUNTIF($A$5:$A648,Ficha!$B$3),"")</f>
        <v/>
      </c>
    </row>
    <row r="649">
      <c r="A649" s="36" t="n"/>
      <c r="B649" s="40">
        <f>IF(A649="","",IFERROR(INDEX(Maniobras!$B$5:$B$504,MATCH(A649,Maniobras!$A$5:$A$504,0)),""))</f>
        <v/>
      </c>
      <c r="C649" s="36">
        <f>IF(B649="","",TEXT(B649,"yyyy-mm"))</f>
        <v/>
      </c>
      <c r="D649" s="36">
        <f>IF(A649="","",IFERROR(INDEX(Maniobras!$D$5:$D$504,MATCH(A649,Maniobras!$A$5:$A$504,0)),""))</f>
        <v/>
      </c>
      <c r="E649" s="36" t="n"/>
      <c r="F649" s="37">
        <f>IF(A649="","",IFERROR(INDEX(Maniobras!$K$5:$K$504,MATCH(A649,Maniobras!$A$5:$A$504,0)),""))</f>
        <v/>
      </c>
      <c r="G649" s="37" t="n"/>
      <c r="H649" s="37" t="n"/>
      <c r="I649" s="37">
        <f>IF(G649="","",G649+N(H649))</f>
        <v/>
      </c>
      <c r="J649" s="36" t="n"/>
      <c r="K649" s="40" t="n"/>
      <c r="L649" s="36" t="n"/>
      <c r="M649">
        <f>IF($A649=Ficha!$B$3,COUNTIF($A$5:$A649,Ficha!$B$3),"")</f>
        <v/>
      </c>
    </row>
    <row r="650">
      <c r="A650" s="38" t="n"/>
      <c r="B650" s="41">
        <f>IF(A650="","",IFERROR(INDEX(Maniobras!$B$5:$B$504,MATCH(A650,Maniobras!$A$5:$A$504,0)),""))</f>
        <v/>
      </c>
      <c r="C650" s="38">
        <f>IF(B650="","",TEXT(B650,"yyyy-mm"))</f>
        <v/>
      </c>
      <c r="D650" s="38">
        <f>IF(A650="","",IFERROR(INDEX(Maniobras!$D$5:$D$504,MATCH(A650,Maniobras!$A$5:$A$504,0)),""))</f>
        <v/>
      </c>
      <c r="E650" s="38" t="n"/>
      <c r="F650" s="39">
        <f>IF(A650="","",IFERROR(INDEX(Maniobras!$K$5:$K$504,MATCH(A650,Maniobras!$A$5:$A$504,0)),""))</f>
        <v/>
      </c>
      <c r="G650" s="39" t="n"/>
      <c r="H650" s="39" t="n"/>
      <c r="I650" s="39">
        <f>IF(G650="","",G650+N(H650))</f>
        <v/>
      </c>
      <c r="J650" s="38" t="n"/>
      <c r="K650" s="41" t="n"/>
      <c r="L650" s="38" t="n"/>
      <c r="M650">
        <f>IF($A650=Ficha!$B$3,COUNTIF($A$5:$A650,Ficha!$B$3),"")</f>
        <v/>
      </c>
    </row>
    <row r="651">
      <c r="A651" s="36" t="n"/>
      <c r="B651" s="40">
        <f>IF(A651="","",IFERROR(INDEX(Maniobras!$B$5:$B$504,MATCH(A651,Maniobras!$A$5:$A$504,0)),""))</f>
        <v/>
      </c>
      <c r="C651" s="36">
        <f>IF(B651="","",TEXT(B651,"yyyy-mm"))</f>
        <v/>
      </c>
      <c r="D651" s="36">
        <f>IF(A651="","",IFERROR(INDEX(Maniobras!$D$5:$D$504,MATCH(A651,Maniobras!$A$5:$A$504,0)),""))</f>
        <v/>
      </c>
      <c r="E651" s="36" t="n"/>
      <c r="F651" s="37">
        <f>IF(A651="","",IFERROR(INDEX(Maniobras!$K$5:$K$504,MATCH(A651,Maniobras!$A$5:$A$504,0)),""))</f>
        <v/>
      </c>
      <c r="G651" s="37" t="n"/>
      <c r="H651" s="37" t="n"/>
      <c r="I651" s="37">
        <f>IF(G651="","",G651+N(H651))</f>
        <v/>
      </c>
      <c r="J651" s="36" t="n"/>
      <c r="K651" s="40" t="n"/>
      <c r="L651" s="36" t="n"/>
      <c r="M651">
        <f>IF($A651=Ficha!$B$3,COUNTIF($A$5:$A651,Ficha!$B$3),"")</f>
        <v/>
      </c>
    </row>
    <row r="652">
      <c r="A652" s="38" t="n"/>
      <c r="B652" s="41">
        <f>IF(A652="","",IFERROR(INDEX(Maniobras!$B$5:$B$504,MATCH(A652,Maniobras!$A$5:$A$504,0)),""))</f>
        <v/>
      </c>
      <c r="C652" s="38">
        <f>IF(B652="","",TEXT(B652,"yyyy-mm"))</f>
        <v/>
      </c>
      <c r="D652" s="38">
        <f>IF(A652="","",IFERROR(INDEX(Maniobras!$D$5:$D$504,MATCH(A652,Maniobras!$A$5:$A$504,0)),""))</f>
        <v/>
      </c>
      <c r="E652" s="38" t="n"/>
      <c r="F652" s="39">
        <f>IF(A652="","",IFERROR(INDEX(Maniobras!$K$5:$K$504,MATCH(A652,Maniobras!$A$5:$A$504,0)),""))</f>
        <v/>
      </c>
      <c r="G652" s="39" t="n"/>
      <c r="H652" s="39" t="n"/>
      <c r="I652" s="39">
        <f>IF(G652="","",G652+N(H652))</f>
        <v/>
      </c>
      <c r="J652" s="38" t="n"/>
      <c r="K652" s="41" t="n"/>
      <c r="L652" s="38" t="n"/>
      <c r="M652">
        <f>IF($A652=Ficha!$B$3,COUNTIF($A$5:$A652,Ficha!$B$3),"")</f>
        <v/>
      </c>
    </row>
    <row r="653">
      <c r="A653" s="36" t="n"/>
      <c r="B653" s="40">
        <f>IF(A653="","",IFERROR(INDEX(Maniobras!$B$5:$B$504,MATCH(A653,Maniobras!$A$5:$A$504,0)),""))</f>
        <v/>
      </c>
      <c r="C653" s="36">
        <f>IF(B653="","",TEXT(B653,"yyyy-mm"))</f>
        <v/>
      </c>
      <c r="D653" s="36">
        <f>IF(A653="","",IFERROR(INDEX(Maniobras!$D$5:$D$504,MATCH(A653,Maniobras!$A$5:$A$504,0)),""))</f>
        <v/>
      </c>
      <c r="E653" s="36" t="n"/>
      <c r="F653" s="37">
        <f>IF(A653="","",IFERROR(INDEX(Maniobras!$K$5:$K$504,MATCH(A653,Maniobras!$A$5:$A$504,0)),""))</f>
        <v/>
      </c>
      <c r="G653" s="37" t="n"/>
      <c r="H653" s="37" t="n"/>
      <c r="I653" s="37">
        <f>IF(G653="","",G653+N(H653))</f>
        <v/>
      </c>
      <c r="J653" s="36" t="n"/>
      <c r="K653" s="40" t="n"/>
      <c r="L653" s="36" t="n"/>
      <c r="M653">
        <f>IF($A653=Ficha!$B$3,COUNTIF($A$5:$A653,Ficha!$B$3),"")</f>
        <v/>
      </c>
    </row>
    <row r="654">
      <c r="A654" s="38" t="n"/>
      <c r="B654" s="41">
        <f>IF(A654="","",IFERROR(INDEX(Maniobras!$B$5:$B$504,MATCH(A654,Maniobras!$A$5:$A$504,0)),""))</f>
        <v/>
      </c>
      <c r="C654" s="38">
        <f>IF(B654="","",TEXT(B654,"yyyy-mm"))</f>
        <v/>
      </c>
      <c r="D654" s="38">
        <f>IF(A654="","",IFERROR(INDEX(Maniobras!$D$5:$D$504,MATCH(A654,Maniobras!$A$5:$A$504,0)),""))</f>
        <v/>
      </c>
      <c r="E654" s="38" t="n"/>
      <c r="F654" s="39">
        <f>IF(A654="","",IFERROR(INDEX(Maniobras!$K$5:$K$504,MATCH(A654,Maniobras!$A$5:$A$504,0)),""))</f>
        <v/>
      </c>
      <c r="G654" s="39" t="n"/>
      <c r="H654" s="39" t="n"/>
      <c r="I654" s="39">
        <f>IF(G654="","",G654+N(H654))</f>
        <v/>
      </c>
      <c r="J654" s="38" t="n"/>
      <c r="K654" s="41" t="n"/>
      <c r="L654" s="38" t="n"/>
      <c r="M654">
        <f>IF($A654=Ficha!$B$3,COUNTIF($A$5:$A654,Ficha!$B$3),"")</f>
        <v/>
      </c>
    </row>
    <row r="655">
      <c r="A655" s="36" t="n"/>
      <c r="B655" s="40">
        <f>IF(A655="","",IFERROR(INDEX(Maniobras!$B$5:$B$504,MATCH(A655,Maniobras!$A$5:$A$504,0)),""))</f>
        <v/>
      </c>
      <c r="C655" s="36">
        <f>IF(B655="","",TEXT(B655,"yyyy-mm"))</f>
        <v/>
      </c>
      <c r="D655" s="36">
        <f>IF(A655="","",IFERROR(INDEX(Maniobras!$D$5:$D$504,MATCH(A655,Maniobras!$A$5:$A$504,0)),""))</f>
        <v/>
      </c>
      <c r="E655" s="36" t="n"/>
      <c r="F655" s="37">
        <f>IF(A655="","",IFERROR(INDEX(Maniobras!$K$5:$K$504,MATCH(A655,Maniobras!$A$5:$A$504,0)),""))</f>
        <v/>
      </c>
      <c r="G655" s="37" t="n"/>
      <c r="H655" s="37" t="n"/>
      <c r="I655" s="37">
        <f>IF(G655="","",G655+N(H655))</f>
        <v/>
      </c>
      <c r="J655" s="36" t="n"/>
      <c r="K655" s="40" t="n"/>
      <c r="L655" s="36" t="n"/>
      <c r="M655">
        <f>IF($A655=Ficha!$B$3,COUNTIF($A$5:$A655,Ficha!$B$3),"")</f>
        <v/>
      </c>
    </row>
    <row r="656">
      <c r="A656" s="38" t="n"/>
      <c r="B656" s="41">
        <f>IF(A656="","",IFERROR(INDEX(Maniobras!$B$5:$B$504,MATCH(A656,Maniobras!$A$5:$A$504,0)),""))</f>
        <v/>
      </c>
      <c r="C656" s="38">
        <f>IF(B656="","",TEXT(B656,"yyyy-mm"))</f>
        <v/>
      </c>
      <c r="D656" s="38">
        <f>IF(A656="","",IFERROR(INDEX(Maniobras!$D$5:$D$504,MATCH(A656,Maniobras!$A$5:$A$504,0)),""))</f>
        <v/>
      </c>
      <c r="E656" s="38" t="n"/>
      <c r="F656" s="39">
        <f>IF(A656="","",IFERROR(INDEX(Maniobras!$K$5:$K$504,MATCH(A656,Maniobras!$A$5:$A$504,0)),""))</f>
        <v/>
      </c>
      <c r="G656" s="39" t="n"/>
      <c r="H656" s="39" t="n"/>
      <c r="I656" s="39">
        <f>IF(G656="","",G656+N(H656))</f>
        <v/>
      </c>
      <c r="J656" s="38" t="n"/>
      <c r="K656" s="41" t="n"/>
      <c r="L656" s="38" t="n"/>
      <c r="M656">
        <f>IF($A656=Ficha!$B$3,COUNTIF($A$5:$A656,Ficha!$B$3),"")</f>
        <v/>
      </c>
    </row>
    <row r="657">
      <c r="A657" s="36" t="n"/>
      <c r="B657" s="40">
        <f>IF(A657="","",IFERROR(INDEX(Maniobras!$B$5:$B$504,MATCH(A657,Maniobras!$A$5:$A$504,0)),""))</f>
        <v/>
      </c>
      <c r="C657" s="36">
        <f>IF(B657="","",TEXT(B657,"yyyy-mm"))</f>
        <v/>
      </c>
      <c r="D657" s="36">
        <f>IF(A657="","",IFERROR(INDEX(Maniobras!$D$5:$D$504,MATCH(A657,Maniobras!$A$5:$A$504,0)),""))</f>
        <v/>
      </c>
      <c r="E657" s="36" t="n"/>
      <c r="F657" s="37">
        <f>IF(A657="","",IFERROR(INDEX(Maniobras!$K$5:$K$504,MATCH(A657,Maniobras!$A$5:$A$504,0)),""))</f>
        <v/>
      </c>
      <c r="G657" s="37" t="n"/>
      <c r="H657" s="37" t="n"/>
      <c r="I657" s="37">
        <f>IF(G657="","",G657+N(H657))</f>
        <v/>
      </c>
      <c r="J657" s="36" t="n"/>
      <c r="K657" s="40" t="n"/>
      <c r="L657" s="36" t="n"/>
      <c r="M657">
        <f>IF($A657=Ficha!$B$3,COUNTIF($A$5:$A657,Ficha!$B$3),"")</f>
        <v/>
      </c>
    </row>
    <row r="658">
      <c r="A658" s="38" t="n"/>
      <c r="B658" s="41">
        <f>IF(A658="","",IFERROR(INDEX(Maniobras!$B$5:$B$504,MATCH(A658,Maniobras!$A$5:$A$504,0)),""))</f>
        <v/>
      </c>
      <c r="C658" s="38">
        <f>IF(B658="","",TEXT(B658,"yyyy-mm"))</f>
        <v/>
      </c>
      <c r="D658" s="38">
        <f>IF(A658="","",IFERROR(INDEX(Maniobras!$D$5:$D$504,MATCH(A658,Maniobras!$A$5:$A$504,0)),""))</f>
        <v/>
      </c>
      <c r="E658" s="38" t="n"/>
      <c r="F658" s="39">
        <f>IF(A658="","",IFERROR(INDEX(Maniobras!$K$5:$K$504,MATCH(A658,Maniobras!$A$5:$A$504,0)),""))</f>
        <v/>
      </c>
      <c r="G658" s="39" t="n"/>
      <c r="H658" s="39" t="n"/>
      <c r="I658" s="39">
        <f>IF(G658="","",G658+N(H658))</f>
        <v/>
      </c>
      <c r="J658" s="38" t="n"/>
      <c r="K658" s="41" t="n"/>
      <c r="L658" s="38" t="n"/>
      <c r="M658">
        <f>IF($A658=Ficha!$B$3,COUNTIF($A$5:$A658,Ficha!$B$3),"")</f>
        <v/>
      </c>
    </row>
    <row r="659">
      <c r="A659" s="36" t="n"/>
      <c r="B659" s="40">
        <f>IF(A659="","",IFERROR(INDEX(Maniobras!$B$5:$B$504,MATCH(A659,Maniobras!$A$5:$A$504,0)),""))</f>
        <v/>
      </c>
      <c r="C659" s="36">
        <f>IF(B659="","",TEXT(B659,"yyyy-mm"))</f>
        <v/>
      </c>
      <c r="D659" s="36">
        <f>IF(A659="","",IFERROR(INDEX(Maniobras!$D$5:$D$504,MATCH(A659,Maniobras!$A$5:$A$504,0)),""))</f>
        <v/>
      </c>
      <c r="E659" s="36" t="n"/>
      <c r="F659" s="37">
        <f>IF(A659="","",IFERROR(INDEX(Maniobras!$K$5:$K$504,MATCH(A659,Maniobras!$A$5:$A$504,0)),""))</f>
        <v/>
      </c>
      <c r="G659" s="37" t="n"/>
      <c r="H659" s="37" t="n"/>
      <c r="I659" s="37">
        <f>IF(G659="","",G659+N(H659))</f>
        <v/>
      </c>
      <c r="J659" s="36" t="n"/>
      <c r="K659" s="40" t="n"/>
      <c r="L659" s="36" t="n"/>
      <c r="M659">
        <f>IF($A659=Ficha!$B$3,COUNTIF($A$5:$A659,Ficha!$B$3),"")</f>
        <v/>
      </c>
    </row>
    <row r="660">
      <c r="A660" s="38" t="n"/>
      <c r="B660" s="41">
        <f>IF(A660="","",IFERROR(INDEX(Maniobras!$B$5:$B$504,MATCH(A660,Maniobras!$A$5:$A$504,0)),""))</f>
        <v/>
      </c>
      <c r="C660" s="38">
        <f>IF(B660="","",TEXT(B660,"yyyy-mm"))</f>
        <v/>
      </c>
      <c r="D660" s="38">
        <f>IF(A660="","",IFERROR(INDEX(Maniobras!$D$5:$D$504,MATCH(A660,Maniobras!$A$5:$A$504,0)),""))</f>
        <v/>
      </c>
      <c r="E660" s="38" t="n"/>
      <c r="F660" s="39">
        <f>IF(A660="","",IFERROR(INDEX(Maniobras!$K$5:$K$504,MATCH(A660,Maniobras!$A$5:$A$504,0)),""))</f>
        <v/>
      </c>
      <c r="G660" s="39" t="n"/>
      <c r="H660" s="39" t="n"/>
      <c r="I660" s="39">
        <f>IF(G660="","",G660+N(H660))</f>
        <v/>
      </c>
      <c r="J660" s="38" t="n"/>
      <c r="K660" s="41" t="n"/>
      <c r="L660" s="38" t="n"/>
      <c r="M660">
        <f>IF($A660=Ficha!$B$3,COUNTIF($A$5:$A660,Ficha!$B$3),"")</f>
        <v/>
      </c>
    </row>
    <row r="661">
      <c r="A661" s="36" t="n"/>
      <c r="B661" s="40">
        <f>IF(A661="","",IFERROR(INDEX(Maniobras!$B$5:$B$504,MATCH(A661,Maniobras!$A$5:$A$504,0)),""))</f>
        <v/>
      </c>
      <c r="C661" s="36">
        <f>IF(B661="","",TEXT(B661,"yyyy-mm"))</f>
        <v/>
      </c>
      <c r="D661" s="36">
        <f>IF(A661="","",IFERROR(INDEX(Maniobras!$D$5:$D$504,MATCH(A661,Maniobras!$A$5:$A$504,0)),""))</f>
        <v/>
      </c>
      <c r="E661" s="36" t="n"/>
      <c r="F661" s="37">
        <f>IF(A661="","",IFERROR(INDEX(Maniobras!$K$5:$K$504,MATCH(A661,Maniobras!$A$5:$A$504,0)),""))</f>
        <v/>
      </c>
      <c r="G661" s="37" t="n"/>
      <c r="H661" s="37" t="n"/>
      <c r="I661" s="37">
        <f>IF(G661="","",G661+N(H661))</f>
        <v/>
      </c>
      <c r="J661" s="36" t="n"/>
      <c r="K661" s="40" t="n"/>
      <c r="L661" s="36" t="n"/>
      <c r="M661">
        <f>IF($A661=Ficha!$B$3,COUNTIF($A$5:$A661,Ficha!$B$3),"")</f>
        <v/>
      </c>
    </row>
    <row r="662">
      <c r="A662" s="38" t="n"/>
      <c r="B662" s="41">
        <f>IF(A662="","",IFERROR(INDEX(Maniobras!$B$5:$B$504,MATCH(A662,Maniobras!$A$5:$A$504,0)),""))</f>
        <v/>
      </c>
      <c r="C662" s="38">
        <f>IF(B662="","",TEXT(B662,"yyyy-mm"))</f>
        <v/>
      </c>
      <c r="D662" s="38">
        <f>IF(A662="","",IFERROR(INDEX(Maniobras!$D$5:$D$504,MATCH(A662,Maniobras!$A$5:$A$504,0)),""))</f>
        <v/>
      </c>
      <c r="E662" s="38" t="n"/>
      <c r="F662" s="39">
        <f>IF(A662="","",IFERROR(INDEX(Maniobras!$K$5:$K$504,MATCH(A662,Maniobras!$A$5:$A$504,0)),""))</f>
        <v/>
      </c>
      <c r="G662" s="39" t="n"/>
      <c r="H662" s="39" t="n"/>
      <c r="I662" s="39">
        <f>IF(G662="","",G662+N(H662))</f>
        <v/>
      </c>
      <c r="J662" s="38" t="n"/>
      <c r="K662" s="41" t="n"/>
      <c r="L662" s="38" t="n"/>
      <c r="M662">
        <f>IF($A662=Ficha!$B$3,COUNTIF($A$5:$A662,Ficha!$B$3),"")</f>
        <v/>
      </c>
    </row>
    <row r="663">
      <c r="A663" s="36" t="n"/>
      <c r="B663" s="40">
        <f>IF(A663="","",IFERROR(INDEX(Maniobras!$B$5:$B$504,MATCH(A663,Maniobras!$A$5:$A$504,0)),""))</f>
        <v/>
      </c>
      <c r="C663" s="36">
        <f>IF(B663="","",TEXT(B663,"yyyy-mm"))</f>
        <v/>
      </c>
      <c r="D663" s="36">
        <f>IF(A663="","",IFERROR(INDEX(Maniobras!$D$5:$D$504,MATCH(A663,Maniobras!$A$5:$A$504,0)),""))</f>
        <v/>
      </c>
      <c r="E663" s="36" t="n"/>
      <c r="F663" s="37">
        <f>IF(A663="","",IFERROR(INDEX(Maniobras!$K$5:$K$504,MATCH(A663,Maniobras!$A$5:$A$504,0)),""))</f>
        <v/>
      </c>
      <c r="G663" s="37" t="n"/>
      <c r="H663" s="37" t="n"/>
      <c r="I663" s="37">
        <f>IF(G663="","",G663+N(H663))</f>
        <v/>
      </c>
      <c r="J663" s="36" t="n"/>
      <c r="K663" s="40" t="n"/>
      <c r="L663" s="36" t="n"/>
      <c r="M663">
        <f>IF($A663=Ficha!$B$3,COUNTIF($A$5:$A663,Ficha!$B$3),"")</f>
        <v/>
      </c>
    </row>
    <row r="664">
      <c r="A664" s="38" t="n"/>
      <c r="B664" s="41">
        <f>IF(A664="","",IFERROR(INDEX(Maniobras!$B$5:$B$504,MATCH(A664,Maniobras!$A$5:$A$504,0)),""))</f>
        <v/>
      </c>
      <c r="C664" s="38">
        <f>IF(B664="","",TEXT(B664,"yyyy-mm"))</f>
        <v/>
      </c>
      <c r="D664" s="38">
        <f>IF(A664="","",IFERROR(INDEX(Maniobras!$D$5:$D$504,MATCH(A664,Maniobras!$A$5:$A$504,0)),""))</f>
        <v/>
      </c>
      <c r="E664" s="38" t="n"/>
      <c r="F664" s="39">
        <f>IF(A664="","",IFERROR(INDEX(Maniobras!$K$5:$K$504,MATCH(A664,Maniobras!$A$5:$A$504,0)),""))</f>
        <v/>
      </c>
      <c r="G664" s="39" t="n"/>
      <c r="H664" s="39" t="n"/>
      <c r="I664" s="39">
        <f>IF(G664="","",G664+N(H664))</f>
        <v/>
      </c>
      <c r="J664" s="38" t="n"/>
      <c r="K664" s="41" t="n"/>
      <c r="L664" s="38" t="n"/>
      <c r="M664">
        <f>IF($A664=Ficha!$B$3,COUNTIF($A$5:$A664,Ficha!$B$3),"")</f>
        <v/>
      </c>
    </row>
    <row r="665">
      <c r="A665" s="36" t="n"/>
      <c r="B665" s="40">
        <f>IF(A665="","",IFERROR(INDEX(Maniobras!$B$5:$B$504,MATCH(A665,Maniobras!$A$5:$A$504,0)),""))</f>
        <v/>
      </c>
      <c r="C665" s="36">
        <f>IF(B665="","",TEXT(B665,"yyyy-mm"))</f>
        <v/>
      </c>
      <c r="D665" s="36">
        <f>IF(A665="","",IFERROR(INDEX(Maniobras!$D$5:$D$504,MATCH(A665,Maniobras!$A$5:$A$504,0)),""))</f>
        <v/>
      </c>
      <c r="E665" s="36" t="n"/>
      <c r="F665" s="37">
        <f>IF(A665="","",IFERROR(INDEX(Maniobras!$K$5:$K$504,MATCH(A665,Maniobras!$A$5:$A$504,0)),""))</f>
        <v/>
      </c>
      <c r="G665" s="37" t="n"/>
      <c r="H665" s="37" t="n"/>
      <c r="I665" s="37">
        <f>IF(G665="","",G665+N(H665))</f>
        <v/>
      </c>
      <c r="J665" s="36" t="n"/>
      <c r="K665" s="40" t="n"/>
      <c r="L665" s="36" t="n"/>
      <c r="M665">
        <f>IF($A665=Ficha!$B$3,COUNTIF($A$5:$A665,Ficha!$B$3),"")</f>
        <v/>
      </c>
    </row>
    <row r="666">
      <c r="A666" s="38" t="n"/>
      <c r="B666" s="41">
        <f>IF(A666="","",IFERROR(INDEX(Maniobras!$B$5:$B$504,MATCH(A666,Maniobras!$A$5:$A$504,0)),""))</f>
        <v/>
      </c>
      <c r="C666" s="38">
        <f>IF(B666="","",TEXT(B666,"yyyy-mm"))</f>
        <v/>
      </c>
      <c r="D666" s="38">
        <f>IF(A666="","",IFERROR(INDEX(Maniobras!$D$5:$D$504,MATCH(A666,Maniobras!$A$5:$A$504,0)),""))</f>
        <v/>
      </c>
      <c r="E666" s="38" t="n"/>
      <c r="F666" s="39">
        <f>IF(A666="","",IFERROR(INDEX(Maniobras!$K$5:$K$504,MATCH(A666,Maniobras!$A$5:$A$504,0)),""))</f>
        <v/>
      </c>
      <c r="G666" s="39" t="n"/>
      <c r="H666" s="39" t="n"/>
      <c r="I666" s="39">
        <f>IF(G666="","",G666+N(H666))</f>
        <v/>
      </c>
      <c r="J666" s="38" t="n"/>
      <c r="K666" s="41" t="n"/>
      <c r="L666" s="38" t="n"/>
      <c r="M666">
        <f>IF($A666=Ficha!$B$3,COUNTIF($A$5:$A666,Ficha!$B$3),"")</f>
        <v/>
      </c>
    </row>
    <row r="667">
      <c r="A667" s="36" t="n"/>
      <c r="B667" s="40">
        <f>IF(A667="","",IFERROR(INDEX(Maniobras!$B$5:$B$504,MATCH(A667,Maniobras!$A$5:$A$504,0)),""))</f>
        <v/>
      </c>
      <c r="C667" s="36">
        <f>IF(B667="","",TEXT(B667,"yyyy-mm"))</f>
        <v/>
      </c>
      <c r="D667" s="36">
        <f>IF(A667="","",IFERROR(INDEX(Maniobras!$D$5:$D$504,MATCH(A667,Maniobras!$A$5:$A$504,0)),""))</f>
        <v/>
      </c>
      <c r="E667" s="36" t="n"/>
      <c r="F667" s="37">
        <f>IF(A667="","",IFERROR(INDEX(Maniobras!$K$5:$K$504,MATCH(A667,Maniobras!$A$5:$A$504,0)),""))</f>
        <v/>
      </c>
      <c r="G667" s="37" t="n"/>
      <c r="H667" s="37" t="n"/>
      <c r="I667" s="37">
        <f>IF(G667="","",G667+N(H667))</f>
        <v/>
      </c>
      <c r="J667" s="36" t="n"/>
      <c r="K667" s="40" t="n"/>
      <c r="L667" s="36" t="n"/>
      <c r="M667">
        <f>IF($A667=Ficha!$B$3,COUNTIF($A$5:$A667,Ficha!$B$3),"")</f>
        <v/>
      </c>
    </row>
    <row r="668">
      <c r="A668" s="38" t="n"/>
      <c r="B668" s="41">
        <f>IF(A668="","",IFERROR(INDEX(Maniobras!$B$5:$B$504,MATCH(A668,Maniobras!$A$5:$A$504,0)),""))</f>
        <v/>
      </c>
      <c r="C668" s="38">
        <f>IF(B668="","",TEXT(B668,"yyyy-mm"))</f>
        <v/>
      </c>
      <c r="D668" s="38">
        <f>IF(A668="","",IFERROR(INDEX(Maniobras!$D$5:$D$504,MATCH(A668,Maniobras!$A$5:$A$504,0)),""))</f>
        <v/>
      </c>
      <c r="E668" s="38" t="n"/>
      <c r="F668" s="39">
        <f>IF(A668="","",IFERROR(INDEX(Maniobras!$K$5:$K$504,MATCH(A668,Maniobras!$A$5:$A$504,0)),""))</f>
        <v/>
      </c>
      <c r="G668" s="39" t="n"/>
      <c r="H668" s="39" t="n"/>
      <c r="I668" s="39">
        <f>IF(G668="","",G668+N(H668))</f>
        <v/>
      </c>
      <c r="J668" s="38" t="n"/>
      <c r="K668" s="41" t="n"/>
      <c r="L668" s="38" t="n"/>
      <c r="M668">
        <f>IF($A668=Ficha!$B$3,COUNTIF($A$5:$A668,Ficha!$B$3),"")</f>
        <v/>
      </c>
    </row>
    <row r="669">
      <c r="A669" s="36" t="n"/>
      <c r="B669" s="40">
        <f>IF(A669="","",IFERROR(INDEX(Maniobras!$B$5:$B$504,MATCH(A669,Maniobras!$A$5:$A$504,0)),""))</f>
        <v/>
      </c>
      <c r="C669" s="36">
        <f>IF(B669="","",TEXT(B669,"yyyy-mm"))</f>
        <v/>
      </c>
      <c r="D669" s="36">
        <f>IF(A669="","",IFERROR(INDEX(Maniobras!$D$5:$D$504,MATCH(A669,Maniobras!$A$5:$A$504,0)),""))</f>
        <v/>
      </c>
      <c r="E669" s="36" t="n"/>
      <c r="F669" s="37">
        <f>IF(A669="","",IFERROR(INDEX(Maniobras!$K$5:$K$504,MATCH(A669,Maniobras!$A$5:$A$504,0)),""))</f>
        <v/>
      </c>
      <c r="G669" s="37" t="n"/>
      <c r="H669" s="37" t="n"/>
      <c r="I669" s="37">
        <f>IF(G669="","",G669+N(H669))</f>
        <v/>
      </c>
      <c r="J669" s="36" t="n"/>
      <c r="K669" s="40" t="n"/>
      <c r="L669" s="36" t="n"/>
      <c r="M669">
        <f>IF($A669=Ficha!$B$3,COUNTIF($A$5:$A669,Ficha!$B$3),"")</f>
        <v/>
      </c>
    </row>
    <row r="670">
      <c r="A670" s="38" t="n"/>
      <c r="B670" s="41">
        <f>IF(A670="","",IFERROR(INDEX(Maniobras!$B$5:$B$504,MATCH(A670,Maniobras!$A$5:$A$504,0)),""))</f>
        <v/>
      </c>
      <c r="C670" s="38">
        <f>IF(B670="","",TEXT(B670,"yyyy-mm"))</f>
        <v/>
      </c>
      <c r="D670" s="38">
        <f>IF(A670="","",IFERROR(INDEX(Maniobras!$D$5:$D$504,MATCH(A670,Maniobras!$A$5:$A$504,0)),""))</f>
        <v/>
      </c>
      <c r="E670" s="38" t="n"/>
      <c r="F670" s="39">
        <f>IF(A670="","",IFERROR(INDEX(Maniobras!$K$5:$K$504,MATCH(A670,Maniobras!$A$5:$A$504,0)),""))</f>
        <v/>
      </c>
      <c r="G670" s="39" t="n"/>
      <c r="H670" s="39" t="n"/>
      <c r="I670" s="39">
        <f>IF(G670="","",G670+N(H670))</f>
        <v/>
      </c>
      <c r="J670" s="38" t="n"/>
      <c r="K670" s="41" t="n"/>
      <c r="L670" s="38" t="n"/>
      <c r="M670">
        <f>IF($A670=Ficha!$B$3,COUNTIF($A$5:$A670,Ficha!$B$3),"")</f>
        <v/>
      </c>
    </row>
    <row r="671">
      <c r="A671" s="36" t="n"/>
      <c r="B671" s="40">
        <f>IF(A671="","",IFERROR(INDEX(Maniobras!$B$5:$B$504,MATCH(A671,Maniobras!$A$5:$A$504,0)),""))</f>
        <v/>
      </c>
      <c r="C671" s="36">
        <f>IF(B671="","",TEXT(B671,"yyyy-mm"))</f>
        <v/>
      </c>
      <c r="D671" s="36">
        <f>IF(A671="","",IFERROR(INDEX(Maniobras!$D$5:$D$504,MATCH(A671,Maniobras!$A$5:$A$504,0)),""))</f>
        <v/>
      </c>
      <c r="E671" s="36" t="n"/>
      <c r="F671" s="37">
        <f>IF(A671="","",IFERROR(INDEX(Maniobras!$K$5:$K$504,MATCH(A671,Maniobras!$A$5:$A$504,0)),""))</f>
        <v/>
      </c>
      <c r="G671" s="37" t="n"/>
      <c r="H671" s="37" t="n"/>
      <c r="I671" s="37">
        <f>IF(G671="","",G671+N(H671))</f>
        <v/>
      </c>
      <c r="J671" s="36" t="n"/>
      <c r="K671" s="40" t="n"/>
      <c r="L671" s="36" t="n"/>
      <c r="M671">
        <f>IF($A671=Ficha!$B$3,COUNTIF($A$5:$A671,Ficha!$B$3),"")</f>
        <v/>
      </c>
    </row>
    <row r="672">
      <c r="A672" s="38" t="n"/>
      <c r="B672" s="41">
        <f>IF(A672="","",IFERROR(INDEX(Maniobras!$B$5:$B$504,MATCH(A672,Maniobras!$A$5:$A$504,0)),""))</f>
        <v/>
      </c>
      <c r="C672" s="38">
        <f>IF(B672="","",TEXT(B672,"yyyy-mm"))</f>
        <v/>
      </c>
      <c r="D672" s="38">
        <f>IF(A672="","",IFERROR(INDEX(Maniobras!$D$5:$D$504,MATCH(A672,Maniobras!$A$5:$A$504,0)),""))</f>
        <v/>
      </c>
      <c r="E672" s="38" t="n"/>
      <c r="F672" s="39">
        <f>IF(A672="","",IFERROR(INDEX(Maniobras!$K$5:$K$504,MATCH(A672,Maniobras!$A$5:$A$504,0)),""))</f>
        <v/>
      </c>
      <c r="G672" s="39" t="n"/>
      <c r="H672" s="39" t="n"/>
      <c r="I672" s="39">
        <f>IF(G672="","",G672+N(H672))</f>
        <v/>
      </c>
      <c r="J672" s="38" t="n"/>
      <c r="K672" s="41" t="n"/>
      <c r="L672" s="38" t="n"/>
      <c r="M672">
        <f>IF($A672=Ficha!$B$3,COUNTIF($A$5:$A672,Ficha!$B$3),"")</f>
        <v/>
      </c>
    </row>
    <row r="673">
      <c r="A673" s="36" t="n"/>
      <c r="B673" s="40">
        <f>IF(A673="","",IFERROR(INDEX(Maniobras!$B$5:$B$504,MATCH(A673,Maniobras!$A$5:$A$504,0)),""))</f>
        <v/>
      </c>
      <c r="C673" s="36">
        <f>IF(B673="","",TEXT(B673,"yyyy-mm"))</f>
        <v/>
      </c>
      <c r="D673" s="36">
        <f>IF(A673="","",IFERROR(INDEX(Maniobras!$D$5:$D$504,MATCH(A673,Maniobras!$A$5:$A$504,0)),""))</f>
        <v/>
      </c>
      <c r="E673" s="36" t="n"/>
      <c r="F673" s="37">
        <f>IF(A673="","",IFERROR(INDEX(Maniobras!$K$5:$K$504,MATCH(A673,Maniobras!$A$5:$A$504,0)),""))</f>
        <v/>
      </c>
      <c r="G673" s="37" t="n"/>
      <c r="H673" s="37" t="n"/>
      <c r="I673" s="37">
        <f>IF(G673="","",G673+N(H673))</f>
        <v/>
      </c>
      <c r="J673" s="36" t="n"/>
      <c r="K673" s="40" t="n"/>
      <c r="L673" s="36" t="n"/>
      <c r="M673">
        <f>IF($A673=Ficha!$B$3,COUNTIF($A$5:$A673,Ficha!$B$3),"")</f>
        <v/>
      </c>
    </row>
    <row r="674">
      <c r="A674" s="38" t="n"/>
      <c r="B674" s="41">
        <f>IF(A674="","",IFERROR(INDEX(Maniobras!$B$5:$B$504,MATCH(A674,Maniobras!$A$5:$A$504,0)),""))</f>
        <v/>
      </c>
      <c r="C674" s="38">
        <f>IF(B674="","",TEXT(B674,"yyyy-mm"))</f>
        <v/>
      </c>
      <c r="D674" s="38">
        <f>IF(A674="","",IFERROR(INDEX(Maniobras!$D$5:$D$504,MATCH(A674,Maniobras!$A$5:$A$504,0)),""))</f>
        <v/>
      </c>
      <c r="E674" s="38" t="n"/>
      <c r="F674" s="39">
        <f>IF(A674="","",IFERROR(INDEX(Maniobras!$K$5:$K$504,MATCH(A674,Maniobras!$A$5:$A$504,0)),""))</f>
        <v/>
      </c>
      <c r="G674" s="39" t="n"/>
      <c r="H674" s="39" t="n"/>
      <c r="I674" s="39">
        <f>IF(G674="","",G674+N(H674))</f>
        <v/>
      </c>
      <c r="J674" s="38" t="n"/>
      <c r="K674" s="41" t="n"/>
      <c r="L674" s="38" t="n"/>
      <c r="M674">
        <f>IF($A674=Ficha!$B$3,COUNTIF($A$5:$A674,Ficha!$B$3),"")</f>
        <v/>
      </c>
    </row>
    <row r="675">
      <c r="A675" s="36" t="n"/>
      <c r="B675" s="40">
        <f>IF(A675="","",IFERROR(INDEX(Maniobras!$B$5:$B$504,MATCH(A675,Maniobras!$A$5:$A$504,0)),""))</f>
        <v/>
      </c>
      <c r="C675" s="36">
        <f>IF(B675="","",TEXT(B675,"yyyy-mm"))</f>
        <v/>
      </c>
      <c r="D675" s="36">
        <f>IF(A675="","",IFERROR(INDEX(Maniobras!$D$5:$D$504,MATCH(A675,Maniobras!$A$5:$A$504,0)),""))</f>
        <v/>
      </c>
      <c r="E675" s="36" t="n"/>
      <c r="F675" s="37">
        <f>IF(A675="","",IFERROR(INDEX(Maniobras!$K$5:$K$504,MATCH(A675,Maniobras!$A$5:$A$504,0)),""))</f>
        <v/>
      </c>
      <c r="G675" s="37" t="n"/>
      <c r="H675" s="37" t="n"/>
      <c r="I675" s="37">
        <f>IF(G675="","",G675+N(H675))</f>
        <v/>
      </c>
      <c r="J675" s="36" t="n"/>
      <c r="K675" s="40" t="n"/>
      <c r="L675" s="36" t="n"/>
      <c r="M675">
        <f>IF($A675=Ficha!$B$3,COUNTIF($A$5:$A675,Ficha!$B$3),"")</f>
        <v/>
      </c>
    </row>
    <row r="676">
      <c r="A676" s="38" t="n"/>
      <c r="B676" s="41">
        <f>IF(A676="","",IFERROR(INDEX(Maniobras!$B$5:$B$504,MATCH(A676,Maniobras!$A$5:$A$504,0)),""))</f>
        <v/>
      </c>
      <c r="C676" s="38">
        <f>IF(B676="","",TEXT(B676,"yyyy-mm"))</f>
        <v/>
      </c>
      <c r="D676" s="38">
        <f>IF(A676="","",IFERROR(INDEX(Maniobras!$D$5:$D$504,MATCH(A676,Maniobras!$A$5:$A$504,0)),""))</f>
        <v/>
      </c>
      <c r="E676" s="38" t="n"/>
      <c r="F676" s="39">
        <f>IF(A676="","",IFERROR(INDEX(Maniobras!$K$5:$K$504,MATCH(A676,Maniobras!$A$5:$A$504,0)),""))</f>
        <v/>
      </c>
      <c r="G676" s="39" t="n"/>
      <c r="H676" s="39" t="n"/>
      <c r="I676" s="39">
        <f>IF(G676="","",G676+N(H676))</f>
        <v/>
      </c>
      <c r="J676" s="38" t="n"/>
      <c r="K676" s="41" t="n"/>
      <c r="L676" s="38" t="n"/>
      <c r="M676">
        <f>IF($A676=Ficha!$B$3,COUNTIF($A$5:$A676,Ficha!$B$3),"")</f>
        <v/>
      </c>
    </row>
    <row r="677">
      <c r="A677" s="36" t="n"/>
      <c r="B677" s="40">
        <f>IF(A677="","",IFERROR(INDEX(Maniobras!$B$5:$B$504,MATCH(A677,Maniobras!$A$5:$A$504,0)),""))</f>
        <v/>
      </c>
      <c r="C677" s="36">
        <f>IF(B677="","",TEXT(B677,"yyyy-mm"))</f>
        <v/>
      </c>
      <c r="D677" s="36">
        <f>IF(A677="","",IFERROR(INDEX(Maniobras!$D$5:$D$504,MATCH(A677,Maniobras!$A$5:$A$504,0)),""))</f>
        <v/>
      </c>
      <c r="E677" s="36" t="n"/>
      <c r="F677" s="37">
        <f>IF(A677="","",IFERROR(INDEX(Maniobras!$K$5:$K$504,MATCH(A677,Maniobras!$A$5:$A$504,0)),""))</f>
        <v/>
      </c>
      <c r="G677" s="37" t="n"/>
      <c r="H677" s="37" t="n"/>
      <c r="I677" s="37">
        <f>IF(G677="","",G677+N(H677))</f>
        <v/>
      </c>
      <c r="J677" s="36" t="n"/>
      <c r="K677" s="40" t="n"/>
      <c r="L677" s="36" t="n"/>
      <c r="M677">
        <f>IF($A677=Ficha!$B$3,COUNTIF($A$5:$A677,Ficha!$B$3),"")</f>
        <v/>
      </c>
    </row>
    <row r="678">
      <c r="A678" s="38" t="n"/>
      <c r="B678" s="41">
        <f>IF(A678="","",IFERROR(INDEX(Maniobras!$B$5:$B$504,MATCH(A678,Maniobras!$A$5:$A$504,0)),""))</f>
        <v/>
      </c>
      <c r="C678" s="38">
        <f>IF(B678="","",TEXT(B678,"yyyy-mm"))</f>
        <v/>
      </c>
      <c r="D678" s="38">
        <f>IF(A678="","",IFERROR(INDEX(Maniobras!$D$5:$D$504,MATCH(A678,Maniobras!$A$5:$A$504,0)),""))</f>
        <v/>
      </c>
      <c r="E678" s="38" t="n"/>
      <c r="F678" s="39">
        <f>IF(A678="","",IFERROR(INDEX(Maniobras!$K$5:$K$504,MATCH(A678,Maniobras!$A$5:$A$504,0)),""))</f>
        <v/>
      </c>
      <c r="G678" s="39" t="n"/>
      <c r="H678" s="39" t="n"/>
      <c r="I678" s="39">
        <f>IF(G678="","",G678+N(H678))</f>
        <v/>
      </c>
      <c r="J678" s="38" t="n"/>
      <c r="K678" s="41" t="n"/>
      <c r="L678" s="38" t="n"/>
      <c r="M678">
        <f>IF($A678=Ficha!$B$3,COUNTIF($A$5:$A678,Ficha!$B$3),"")</f>
        <v/>
      </c>
    </row>
    <row r="679">
      <c r="A679" s="36" t="n"/>
      <c r="B679" s="40">
        <f>IF(A679="","",IFERROR(INDEX(Maniobras!$B$5:$B$504,MATCH(A679,Maniobras!$A$5:$A$504,0)),""))</f>
        <v/>
      </c>
      <c r="C679" s="36">
        <f>IF(B679="","",TEXT(B679,"yyyy-mm"))</f>
        <v/>
      </c>
      <c r="D679" s="36">
        <f>IF(A679="","",IFERROR(INDEX(Maniobras!$D$5:$D$504,MATCH(A679,Maniobras!$A$5:$A$504,0)),""))</f>
        <v/>
      </c>
      <c r="E679" s="36" t="n"/>
      <c r="F679" s="37">
        <f>IF(A679="","",IFERROR(INDEX(Maniobras!$K$5:$K$504,MATCH(A679,Maniobras!$A$5:$A$504,0)),""))</f>
        <v/>
      </c>
      <c r="G679" s="37" t="n"/>
      <c r="H679" s="37" t="n"/>
      <c r="I679" s="37">
        <f>IF(G679="","",G679+N(H679))</f>
        <v/>
      </c>
      <c r="J679" s="36" t="n"/>
      <c r="K679" s="40" t="n"/>
      <c r="L679" s="36" t="n"/>
      <c r="M679">
        <f>IF($A679=Ficha!$B$3,COUNTIF($A$5:$A679,Ficha!$B$3),"")</f>
        <v/>
      </c>
    </row>
    <row r="680">
      <c r="A680" s="38" t="n"/>
      <c r="B680" s="41">
        <f>IF(A680="","",IFERROR(INDEX(Maniobras!$B$5:$B$504,MATCH(A680,Maniobras!$A$5:$A$504,0)),""))</f>
        <v/>
      </c>
      <c r="C680" s="38">
        <f>IF(B680="","",TEXT(B680,"yyyy-mm"))</f>
        <v/>
      </c>
      <c r="D680" s="38">
        <f>IF(A680="","",IFERROR(INDEX(Maniobras!$D$5:$D$504,MATCH(A680,Maniobras!$A$5:$A$504,0)),""))</f>
        <v/>
      </c>
      <c r="E680" s="38" t="n"/>
      <c r="F680" s="39">
        <f>IF(A680="","",IFERROR(INDEX(Maniobras!$K$5:$K$504,MATCH(A680,Maniobras!$A$5:$A$504,0)),""))</f>
        <v/>
      </c>
      <c r="G680" s="39" t="n"/>
      <c r="H680" s="39" t="n"/>
      <c r="I680" s="39">
        <f>IF(G680="","",G680+N(H680))</f>
        <v/>
      </c>
      <c r="J680" s="38" t="n"/>
      <c r="K680" s="41" t="n"/>
      <c r="L680" s="38" t="n"/>
      <c r="M680">
        <f>IF($A680=Ficha!$B$3,COUNTIF($A$5:$A680,Ficha!$B$3),"")</f>
        <v/>
      </c>
    </row>
    <row r="681">
      <c r="A681" s="36" t="n"/>
      <c r="B681" s="40">
        <f>IF(A681="","",IFERROR(INDEX(Maniobras!$B$5:$B$504,MATCH(A681,Maniobras!$A$5:$A$504,0)),""))</f>
        <v/>
      </c>
      <c r="C681" s="36">
        <f>IF(B681="","",TEXT(B681,"yyyy-mm"))</f>
        <v/>
      </c>
      <c r="D681" s="36">
        <f>IF(A681="","",IFERROR(INDEX(Maniobras!$D$5:$D$504,MATCH(A681,Maniobras!$A$5:$A$504,0)),""))</f>
        <v/>
      </c>
      <c r="E681" s="36" t="n"/>
      <c r="F681" s="37">
        <f>IF(A681="","",IFERROR(INDEX(Maniobras!$K$5:$K$504,MATCH(A681,Maniobras!$A$5:$A$504,0)),""))</f>
        <v/>
      </c>
      <c r="G681" s="37" t="n"/>
      <c r="H681" s="37" t="n"/>
      <c r="I681" s="37">
        <f>IF(G681="","",G681+N(H681))</f>
        <v/>
      </c>
      <c r="J681" s="36" t="n"/>
      <c r="K681" s="40" t="n"/>
      <c r="L681" s="36" t="n"/>
      <c r="M681">
        <f>IF($A681=Ficha!$B$3,COUNTIF($A$5:$A681,Ficha!$B$3),"")</f>
        <v/>
      </c>
    </row>
    <row r="682">
      <c r="A682" s="38" t="n"/>
      <c r="B682" s="41">
        <f>IF(A682="","",IFERROR(INDEX(Maniobras!$B$5:$B$504,MATCH(A682,Maniobras!$A$5:$A$504,0)),""))</f>
        <v/>
      </c>
      <c r="C682" s="38">
        <f>IF(B682="","",TEXT(B682,"yyyy-mm"))</f>
        <v/>
      </c>
      <c r="D682" s="38">
        <f>IF(A682="","",IFERROR(INDEX(Maniobras!$D$5:$D$504,MATCH(A682,Maniobras!$A$5:$A$504,0)),""))</f>
        <v/>
      </c>
      <c r="E682" s="38" t="n"/>
      <c r="F682" s="39">
        <f>IF(A682="","",IFERROR(INDEX(Maniobras!$K$5:$K$504,MATCH(A682,Maniobras!$A$5:$A$504,0)),""))</f>
        <v/>
      </c>
      <c r="G682" s="39" t="n"/>
      <c r="H682" s="39" t="n"/>
      <c r="I682" s="39">
        <f>IF(G682="","",G682+N(H682))</f>
        <v/>
      </c>
      <c r="J682" s="38" t="n"/>
      <c r="K682" s="41" t="n"/>
      <c r="L682" s="38" t="n"/>
      <c r="M682">
        <f>IF($A682=Ficha!$B$3,COUNTIF($A$5:$A682,Ficha!$B$3),"")</f>
        <v/>
      </c>
    </row>
    <row r="683">
      <c r="A683" s="36" t="n"/>
      <c r="B683" s="40">
        <f>IF(A683="","",IFERROR(INDEX(Maniobras!$B$5:$B$504,MATCH(A683,Maniobras!$A$5:$A$504,0)),""))</f>
        <v/>
      </c>
      <c r="C683" s="36">
        <f>IF(B683="","",TEXT(B683,"yyyy-mm"))</f>
        <v/>
      </c>
      <c r="D683" s="36">
        <f>IF(A683="","",IFERROR(INDEX(Maniobras!$D$5:$D$504,MATCH(A683,Maniobras!$A$5:$A$504,0)),""))</f>
        <v/>
      </c>
      <c r="E683" s="36" t="n"/>
      <c r="F683" s="37">
        <f>IF(A683="","",IFERROR(INDEX(Maniobras!$K$5:$K$504,MATCH(A683,Maniobras!$A$5:$A$504,0)),""))</f>
        <v/>
      </c>
      <c r="G683" s="37" t="n"/>
      <c r="H683" s="37" t="n"/>
      <c r="I683" s="37">
        <f>IF(G683="","",G683+N(H683))</f>
        <v/>
      </c>
      <c r="J683" s="36" t="n"/>
      <c r="K683" s="40" t="n"/>
      <c r="L683" s="36" t="n"/>
      <c r="M683">
        <f>IF($A683=Ficha!$B$3,COUNTIF($A$5:$A683,Ficha!$B$3),"")</f>
        <v/>
      </c>
    </row>
    <row r="684">
      <c r="A684" s="38" t="n"/>
      <c r="B684" s="41">
        <f>IF(A684="","",IFERROR(INDEX(Maniobras!$B$5:$B$504,MATCH(A684,Maniobras!$A$5:$A$504,0)),""))</f>
        <v/>
      </c>
      <c r="C684" s="38">
        <f>IF(B684="","",TEXT(B684,"yyyy-mm"))</f>
        <v/>
      </c>
      <c r="D684" s="38">
        <f>IF(A684="","",IFERROR(INDEX(Maniobras!$D$5:$D$504,MATCH(A684,Maniobras!$A$5:$A$504,0)),""))</f>
        <v/>
      </c>
      <c r="E684" s="38" t="n"/>
      <c r="F684" s="39">
        <f>IF(A684="","",IFERROR(INDEX(Maniobras!$K$5:$K$504,MATCH(A684,Maniobras!$A$5:$A$504,0)),""))</f>
        <v/>
      </c>
      <c r="G684" s="39" t="n"/>
      <c r="H684" s="39" t="n"/>
      <c r="I684" s="39">
        <f>IF(G684="","",G684+N(H684))</f>
        <v/>
      </c>
      <c r="J684" s="38" t="n"/>
      <c r="K684" s="41" t="n"/>
      <c r="L684" s="38" t="n"/>
      <c r="M684">
        <f>IF($A684=Ficha!$B$3,COUNTIF($A$5:$A684,Ficha!$B$3),"")</f>
        <v/>
      </c>
    </row>
    <row r="685">
      <c r="A685" s="36" t="n"/>
      <c r="B685" s="40">
        <f>IF(A685="","",IFERROR(INDEX(Maniobras!$B$5:$B$504,MATCH(A685,Maniobras!$A$5:$A$504,0)),""))</f>
        <v/>
      </c>
      <c r="C685" s="36">
        <f>IF(B685="","",TEXT(B685,"yyyy-mm"))</f>
        <v/>
      </c>
      <c r="D685" s="36">
        <f>IF(A685="","",IFERROR(INDEX(Maniobras!$D$5:$D$504,MATCH(A685,Maniobras!$A$5:$A$504,0)),""))</f>
        <v/>
      </c>
      <c r="E685" s="36" t="n"/>
      <c r="F685" s="37">
        <f>IF(A685="","",IFERROR(INDEX(Maniobras!$K$5:$K$504,MATCH(A685,Maniobras!$A$5:$A$504,0)),""))</f>
        <v/>
      </c>
      <c r="G685" s="37" t="n"/>
      <c r="H685" s="37" t="n"/>
      <c r="I685" s="37">
        <f>IF(G685="","",G685+N(H685))</f>
        <v/>
      </c>
      <c r="J685" s="36" t="n"/>
      <c r="K685" s="40" t="n"/>
      <c r="L685" s="36" t="n"/>
      <c r="M685">
        <f>IF($A685=Ficha!$B$3,COUNTIF($A$5:$A685,Ficha!$B$3),"")</f>
        <v/>
      </c>
    </row>
    <row r="686">
      <c r="A686" s="38" t="n"/>
      <c r="B686" s="41">
        <f>IF(A686="","",IFERROR(INDEX(Maniobras!$B$5:$B$504,MATCH(A686,Maniobras!$A$5:$A$504,0)),""))</f>
        <v/>
      </c>
      <c r="C686" s="38">
        <f>IF(B686="","",TEXT(B686,"yyyy-mm"))</f>
        <v/>
      </c>
      <c r="D686" s="38">
        <f>IF(A686="","",IFERROR(INDEX(Maniobras!$D$5:$D$504,MATCH(A686,Maniobras!$A$5:$A$504,0)),""))</f>
        <v/>
      </c>
      <c r="E686" s="38" t="n"/>
      <c r="F686" s="39">
        <f>IF(A686="","",IFERROR(INDEX(Maniobras!$K$5:$K$504,MATCH(A686,Maniobras!$A$5:$A$504,0)),""))</f>
        <v/>
      </c>
      <c r="G686" s="39" t="n"/>
      <c r="H686" s="39" t="n"/>
      <c r="I686" s="39">
        <f>IF(G686="","",G686+N(H686))</f>
        <v/>
      </c>
      <c r="J686" s="38" t="n"/>
      <c r="K686" s="41" t="n"/>
      <c r="L686" s="38" t="n"/>
      <c r="M686">
        <f>IF($A686=Ficha!$B$3,COUNTIF($A$5:$A686,Ficha!$B$3),"")</f>
        <v/>
      </c>
    </row>
    <row r="687">
      <c r="A687" s="36" t="n"/>
      <c r="B687" s="40">
        <f>IF(A687="","",IFERROR(INDEX(Maniobras!$B$5:$B$504,MATCH(A687,Maniobras!$A$5:$A$504,0)),""))</f>
        <v/>
      </c>
      <c r="C687" s="36">
        <f>IF(B687="","",TEXT(B687,"yyyy-mm"))</f>
        <v/>
      </c>
      <c r="D687" s="36">
        <f>IF(A687="","",IFERROR(INDEX(Maniobras!$D$5:$D$504,MATCH(A687,Maniobras!$A$5:$A$504,0)),""))</f>
        <v/>
      </c>
      <c r="E687" s="36" t="n"/>
      <c r="F687" s="37">
        <f>IF(A687="","",IFERROR(INDEX(Maniobras!$K$5:$K$504,MATCH(A687,Maniobras!$A$5:$A$504,0)),""))</f>
        <v/>
      </c>
      <c r="G687" s="37" t="n"/>
      <c r="H687" s="37" t="n"/>
      <c r="I687" s="37">
        <f>IF(G687="","",G687+N(H687))</f>
        <v/>
      </c>
      <c r="J687" s="36" t="n"/>
      <c r="K687" s="40" t="n"/>
      <c r="L687" s="36" t="n"/>
      <c r="M687">
        <f>IF($A687=Ficha!$B$3,COUNTIF($A$5:$A687,Ficha!$B$3),"")</f>
        <v/>
      </c>
    </row>
    <row r="688">
      <c r="A688" s="38" t="n"/>
      <c r="B688" s="41">
        <f>IF(A688="","",IFERROR(INDEX(Maniobras!$B$5:$B$504,MATCH(A688,Maniobras!$A$5:$A$504,0)),""))</f>
        <v/>
      </c>
      <c r="C688" s="38">
        <f>IF(B688="","",TEXT(B688,"yyyy-mm"))</f>
        <v/>
      </c>
      <c r="D688" s="38">
        <f>IF(A688="","",IFERROR(INDEX(Maniobras!$D$5:$D$504,MATCH(A688,Maniobras!$A$5:$A$504,0)),""))</f>
        <v/>
      </c>
      <c r="E688" s="38" t="n"/>
      <c r="F688" s="39">
        <f>IF(A688="","",IFERROR(INDEX(Maniobras!$K$5:$K$504,MATCH(A688,Maniobras!$A$5:$A$504,0)),""))</f>
        <v/>
      </c>
      <c r="G688" s="39" t="n"/>
      <c r="H688" s="39" t="n"/>
      <c r="I688" s="39">
        <f>IF(G688="","",G688+N(H688))</f>
        <v/>
      </c>
      <c r="J688" s="38" t="n"/>
      <c r="K688" s="41" t="n"/>
      <c r="L688" s="38" t="n"/>
      <c r="M688">
        <f>IF($A688=Ficha!$B$3,COUNTIF($A$5:$A688,Ficha!$B$3),"")</f>
        <v/>
      </c>
    </row>
    <row r="689">
      <c r="A689" s="36" t="n"/>
      <c r="B689" s="40">
        <f>IF(A689="","",IFERROR(INDEX(Maniobras!$B$5:$B$504,MATCH(A689,Maniobras!$A$5:$A$504,0)),""))</f>
        <v/>
      </c>
      <c r="C689" s="36">
        <f>IF(B689="","",TEXT(B689,"yyyy-mm"))</f>
        <v/>
      </c>
      <c r="D689" s="36">
        <f>IF(A689="","",IFERROR(INDEX(Maniobras!$D$5:$D$504,MATCH(A689,Maniobras!$A$5:$A$504,0)),""))</f>
        <v/>
      </c>
      <c r="E689" s="36" t="n"/>
      <c r="F689" s="37">
        <f>IF(A689="","",IFERROR(INDEX(Maniobras!$K$5:$K$504,MATCH(A689,Maniobras!$A$5:$A$504,0)),""))</f>
        <v/>
      </c>
      <c r="G689" s="37" t="n"/>
      <c r="H689" s="37" t="n"/>
      <c r="I689" s="37">
        <f>IF(G689="","",G689+N(H689))</f>
        <v/>
      </c>
      <c r="J689" s="36" t="n"/>
      <c r="K689" s="40" t="n"/>
      <c r="L689" s="36" t="n"/>
      <c r="M689">
        <f>IF($A689=Ficha!$B$3,COUNTIF($A$5:$A689,Ficha!$B$3),"")</f>
        <v/>
      </c>
    </row>
    <row r="690">
      <c r="A690" s="38" t="n"/>
      <c r="B690" s="41">
        <f>IF(A690="","",IFERROR(INDEX(Maniobras!$B$5:$B$504,MATCH(A690,Maniobras!$A$5:$A$504,0)),""))</f>
        <v/>
      </c>
      <c r="C690" s="38">
        <f>IF(B690="","",TEXT(B690,"yyyy-mm"))</f>
        <v/>
      </c>
      <c r="D690" s="38">
        <f>IF(A690="","",IFERROR(INDEX(Maniobras!$D$5:$D$504,MATCH(A690,Maniobras!$A$5:$A$504,0)),""))</f>
        <v/>
      </c>
      <c r="E690" s="38" t="n"/>
      <c r="F690" s="39">
        <f>IF(A690="","",IFERROR(INDEX(Maniobras!$K$5:$K$504,MATCH(A690,Maniobras!$A$5:$A$504,0)),""))</f>
        <v/>
      </c>
      <c r="G690" s="39" t="n"/>
      <c r="H690" s="39" t="n"/>
      <c r="I690" s="39">
        <f>IF(G690="","",G690+N(H690))</f>
        <v/>
      </c>
      <c r="J690" s="38" t="n"/>
      <c r="K690" s="41" t="n"/>
      <c r="L690" s="38" t="n"/>
      <c r="M690">
        <f>IF($A690=Ficha!$B$3,COUNTIF($A$5:$A690,Ficha!$B$3),"")</f>
        <v/>
      </c>
    </row>
    <row r="691">
      <c r="A691" s="36" t="n"/>
      <c r="B691" s="40">
        <f>IF(A691="","",IFERROR(INDEX(Maniobras!$B$5:$B$504,MATCH(A691,Maniobras!$A$5:$A$504,0)),""))</f>
        <v/>
      </c>
      <c r="C691" s="36">
        <f>IF(B691="","",TEXT(B691,"yyyy-mm"))</f>
        <v/>
      </c>
      <c r="D691" s="36">
        <f>IF(A691="","",IFERROR(INDEX(Maniobras!$D$5:$D$504,MATCH(A691,Maniobras!$A$5:$A$504,0)),""))</f>
        <v/>
      </c>
      <c r="E691" s="36" t="n"/>
      <c r="F691" s="37">
        <f>IF(A691="","",IFERROR(INDEX(Maniobras!$K$5:$K$504,MATCH(A691,Maniobras!$A$5:$A$504,0)),""))</f>
        <v/>
      </c>
      <c r="G691" s="37" t="n"/>
      <c r="H691" s="37" t="n"/>
      <c r="I691" s="37">
        <f>IF(G691="","",G691+N(H691))</f>
        <v/>
      </c>
      <c r="J691" s="36" t="n"/>
      <c r="K691" s="40" t="n"/>
      <c r="L691" s="36" t="n"/>
      <c r="M691">
        <f>IF($A691=Ficha!$B$3,COUNTIF($A$5:$A691,Ficha!$B$3),"")</f>
        <v/>
      </c>
    </row>
    <row r="692">
      <c r="A692" s="38" t="n"/>
      <c r="B692" s="41">
        <f>IF(A692="","",IFERROR(INDEX(Maniobras!$B$5:$B$504,MATCH(A692,Maniobras!$A$5:$A$504,0)),""))</f>
        <v/>
      </c>
      <c r="C692" s="38">
        <f>IF(B692="","",TEXT(B692,"yyyy-mm"))</f>
        <v/>
      </c>
      <c r="D692" s="38">
        <f>IF(A692="","",IFERROR(INDEX(Maniobras!$D$5:$D$504,MATCH(A692,Maniobras!$A$5:$A$504,0)),""))</f>
        <v/>
      </c>
      <c r="E692" s="38" t="n"/>
      <c r="F692" s="39">
        <f>IF(A692="","",IFERROR(INDEX(Maniobras!$K$5:$K$504,MATCH(A692,Maniobras!$A$5:$A$504,0)),""))</f>
        <v/>
      </c>
      <c r="G692" s="39" t="n"/>
      <c r="H692" s="39" t="n"/>
      <c r="I692" s="39">
        <f>IF(G692="","",G692+N(H692))</f>
        <v/>
      </c>
      <c r="J692" s="38" t="n"/>
      <c r="K692" s="41" t="n"/>
      <c r="L692" s="38" t="n"/>
      <c r="M692">
        <f>IF($A692=Ficha!$B$3,COUNTIF($A$5:$A692,Ficha!$B$3),"")</f>
        <v/>
      </c>
    </row>
    <row r="693">
      <c r="A693" s="36" t="n"/>
      <c r="B693" s="40">
        <f>IF(A693="","",IFERROR(INDEX(Maniobras!$B$5:$B$504,MATCH(A693,Maniobras!$A$5:$A$504,0)),""))</f>
        <v/>
      </c>
      <c r="C693" s="36">
        <f>IF(B693="","",TEXT(B693,"yyyy-mm"))</f>
        <v/>
      </c>
      <c r="D693" s="36">
        <f>IF(A693="","",IFERROR(INDEX(Maniobras!$D$5:$D$504,MATCH(A693,Maniobras!$A$5:$A$504,0)),""))</f>
        <v/>
      </c>
      <c r="E693" s="36" t="n"/>
      <c r="F693" s="37">
        <f>IF(A693="","",IFERROR(INDEX(Maniobras!$K$5:$K$504,MATCH(A693,Maniobras!$A$5:$A$504,0)),""))</f>
        <v/>
      </c>
      <c r="G693" s="37" t="n"/>
      <c r="H693" s="37" t="n"/>
      <c r="I693" s="37">
        <f>IF(G693="","",G693+N(H693))</f>
        <v/>
      </c>
      <c r="J693" s="36" t="n"/>
      <c r="K693" s="40" t="n"/>
      <c r="L693" s="36" t="n"/>
      <c r="M693">
        <f>IF($A693=Ficha!$B$3,COUNTIF($A$5:$A693,Ficha!$B$3),"")</f>
        <v/>
      </c>
    </row>
    <row r="694">
      <c r="A694" s="38" t="n"/>
      <c r="B694" s="41">
        <f>IF(A694="","",IFERROR(INDEX(Maniobras!$B$5:$B$504,MATCH(A694,Maniobras!$A$5:$A$504,0)),""))</f>
        <v/>
      </c>
      <c r="C694" s="38">
        <f>IF(B694="","",TEXT(B694,"yyyy-mm"))</f>
        <v/>
      </c>
      <c r="D694" s="38">
        <f>IF(A694="","",IFERROR(INDEX(Maniobras!$D$5:$D$504,MATCH(A694,Maniobras!$A$5:$A$504,0)),""))</f>
        <v/>
      </c>
      <c r="E694" s="38" t="n"/>
      <c r="F694" s="39">
        <f>IF(A694="","",IFERROR(INDEX(Maniobras!$K$5:$K$504,MATCH(A694,Maniobras!$A$5:$A$504,0)),""))</f>
        <v/>
      </c>
      <c r="G694" s="39" t="n"/>
      <c r="H694" s="39" t="n"/>
      <c r="I694" s="39">
        <f>IF(G694="","",G694+N(H694))</f>
        <v/>
      </c>
      <c r="J694" s="38" t="n"/>
      <c r="K694" s="41" t="n"/>
      <c r="L694" s="38" t="n"/>
      <c r="M694">
        <f>IF($A694=Ficha!$B$3,COUNTIF($A$5:$A694,Ficha!$B$3),"")</f>
        <v/>
      </c>
    </row>
    <row r="695">
      <c r="A695" s="36" t="n"/>
      <c r="B695" s="40">
        <f>IF(A695="","",IFERROR(INDEX(Maniobras!$B$5:$B$504,MATCH(A695,Maniobras!$A$5:$A$504,0)),""))</f>
        <v/>
      </c>
      <c r="C695" s="36">
        <f>IF(B695="","",TEXT(B695,"yyyy-mm"))</f>
        <v/>
      </c>
      <c r="D695" s="36">
        <f>IF(A695="","",IFERROR(INDEX(Maniobras!$D$5:$D$504,MATCH(A695,Maniobras!$A$5:$A$504,0)),""))</f>
        <v/>
      </c>
      <c r="E695" s="36" t="n"/>
      <c r="F695" s="37">
        <f>IF(A695="","",IFERROR(INDEX(Maniobras!$K$5:$K$504,MATCH(A695,Maniobras!$A$5:$A$504,0)),""))</f>
        <v/>
      </c>
      <c r="G695" s="37" t="n"/>
      <c r="H695" s="37" t="n"/>
      <c r="I695" s="37">
        <f>IF(G695="","",G695+N(H695))</f>
        <v/>
      </c>
      <c r="J695" s="36" t="n"/>
      <c r="K695" s="40" t="n"/>
      <c r="L695" s="36" t="n"/>
      <c r="M695">
        <f>IF($A695=Ficha!$B$3,COUNTIF($A$5:$A695,Ficha!$B$3),"")</f>
        <v/>
      </c>
    </row>
    <row r="696">
      <c r="A696" s="38" t="n"/>
      <c r="B696" s="41">
        <f>IF(A696="","",IFERROR(INDEX(Maniobras!$B$5:$B$504,MATCH(A696,Maniobras!$A$5:$A$504,0)),""))</f>
        <v/>
      </c>
      <c r="C696" s="38">
        <f>IF(B696="","",TEXT(B696,"yyyy-mm"))</f>
        <v/>
      </c>
      <c r="D696" s="38">
        <f>IF(A696="","",IFERROR(INDEX(Maniobras!$D$5:$D$504,MATCH(A696,Maniobras!$A$5:$A$504,0)),""))</f>
        <v/>
      </c>
      <c r="E696" s="38" t="n"/>
      <c r="F696" s="39">
        <f>IF(A696="","",IFERROR(INDEX(Maniobras!$K$5:$K$504,MATCH(A696,Maniobras!$A$5:$A$504,0)),""))</f>
        <v/>
      </c>
      <c r="G696" s="39" t="n"/>
      <c r="H696" s="39" t="n"/>
      <c r="I696" s="39">
        <f>IF(G696="","",G696+N(H696))</f>
        <v/>
      </c>
      <c r="J696" s="38" t="n"/>
      <c r="K696" s="41" t="n"/>
      <c r="L696" s="38" t="n"/>
      <c r="M696">
        <f>IF($A696=Ficha!$B$3,COUNTIF($A$5:$A696,Ficha!$B$3),"")</f>
        <v/>
      </c>
    </row>
    <row r="697">
      <c r="A697" s="36" t="n"/>
      <c r="B697" s="40">
        <f>IF(A697="","",IFERROR(INDEX(Maniobras!$B$5:$B$504,MATCH(A697,Maniobras!$A$5:$A$504,0)),""))</f>
        <v/>
      </c>
      <c r="C697" s="36">
        <f>IF(B697="","",TEXT(B697,"yyyy-mm"))</f>
        <v/>
      </c>
      <c r="D697" s="36">
        <f>IF(A697="","",IFERROR(INDEX(Maniobras!$D$5:$D$504,MATCH(A697,Maniobras!$A$5:$A$504,0)),""))</f>
        <v/>
      </c>
      <c r="E697" s="36" t="n"/>
      <c r="F697" s="37">
        <f>IF(A697="","",IFERROR(INDEX(Maniobras!$K$5:$K$504,MATCH(A697,Maniobras!$A$5:$A$504,0)),""))</f>
        <v/>
      </c>
      <c r="G697" s="37" t="n"/>
      <c r="H697" s="37" t="n"/>
      <c r="I697" s="37">
        <f>IF(G697="","",G697+N(H697))</f>
        <v/>
      </c>
      <c r="J697" s="36" t="n"/>
      <c r="K697" s="40" t="n"/>
      <c r="L697" s="36" t="n"/>
      <c r="M697">
        <f>IF($A697=Ficha!$B$3,COUNTIF($A$5:$A697,Ficha!$B$3),"")</f>
        <v/>
      </c>
    </row>
    <row r="698">
      <c r="A698" s="38" t="n"/>
      <c r="B698" s="41">
        <f>IF(A698="","",IFERROR(INDEX(Maniobras!$B$5:$B$504,MATCH(A698,Maniobras!$A$5:$A$504,0)),""))</f>
        <v/>
      </c>
      <c r="C698" s="38">
        <f>IF(B698="","",TEXT(B698,"yyyy-mm"))</f>
        <v/>
      </c>
      <c r="D698" s="38">
        <f>IF(A698="","",IFERROR(INDEX(Maniobras!$D$5:$D$504,MATCH(A698,Maniobras!$A$5:$A$504,0)),""))</f>
        <v/>
      </c>
      <c r="E698" s="38" t="n"/>
      <c r="F698" s="39">
        <f>IF(A698="","",IFERROR(INDEX(Maniobras!$K$5:$K$504,MATCH(A698,Maniobras!$A$5:$A$504,0)),""))</f>
        <v/>
      </c>
      <c r="G698" s="39" t="n"/>
      <c r="H698" s="39" t="n"/>
      <c r="I698" s="39">
        <f>IF(G698="","",G698+N(H698))</f>
        <v/>
      </c>
      <c r="J698" s="38" t="n"/>
      <c r="K698" s="41" t="n"/>
      <c r="L698" s="38" t="n"/>
      <c r="M698">
        <f>IF($A698=Ficha!$B$3,COUNTIF($A$5:$A698,Ficha!$B$3),"")</f>
        <v/>
      </c>
    </row>
    <row r="699">
      <c r="A699" s="36" t="n"/>
      <c r="B699" s="40">
        <f>IF(A699="","",IFERROR(INDEX(Maniobras!$B$5:$B$504,MATCH(A699,Maniobras!$A$5:$A$504,0)),""))</f>
        <v/>
      </c>
      <c r="C699" s="36">
        <f>IF(B699="","",TEXT(B699,"yyyy-mm"))</f>
        <v/>
      </c>
      <c r="D699" s="36">
        <f>IF(A699="","",IFERROR(INDEX(Maniobras!$D$5:$D$504,MATCH(A699,Maniobras!$A$5:$A$504,0)),""))</f>
        <v/>
      </c>
      <c r="E699" s="36" t="n"/>
      <c r="F699" s="37">
        <f>IF(A699="","",IFERROR(INDEX(Maniobras!$K$5:$K$504,MATCH(A699,Maniobras!$A$5:$A$504,0)),""))</f>
        <v/>
      </c>
      <c r="G699" s="37" t="n"/>
      <c r="H699" s="37" t="n"/>
      <c r="I699" s="37">
        <f>IF(G699="","",G699+N(H699))</f>
        <v/>
      </c>
      <c r="J699" s="36" t="n"/>
      <c r="K699" s="40" t="n"/>
      <c r="L699" s="36" t="n"/>
      <c r="M699">
        <f>IF($A699=Ficha!$B$3,COUNTIF($A$5:$A699,Ficha!$B$3),"")</f>
        <v/>
      </c>
    </row>
    <row r="700">
      <c r="A700" s="38" t="n"/>
      <c r="B700" s="41">
        <f>IF(A700="","",IFERROR(INDEX(Maniobras!$B$5:$B$504,MATCH(A700,Maniobras!$A$5:$A$504,0)),""))</f>
        <v/>
      </c>
      <c r="C700" s="38">
        <f>IF(B700="","",TEXT(B700,"yyyy-mm"))</f>
        <v/>
      </c>
      <c r="D700" s="38">
        <f>IF(A700="","",IFERROR(INDEX(Maniobras!$D$5:$D$504,MATCH(A700,Maniobras!$A$5:$A$504,0)),""))</f>
        <v/>
      </c>
      <c r="E700" s="38" t="n"/>
      <c r="F700" s="39">
        <f>IF(A700="","",IFERROR(INDEX(Maniobras!$K$5:$K$504,MATCH(A700,Maniobras!$A$5:$A$504,0)),""))</f>
        <v/>
      </c>
      <c r="G700" s="39" t="n"/>
      <c r="H700" s="39" t="n"/>
      <c r="I700" s="39">
        <f>IF(G700="","",G700+N(H700))</f>
        <v/>
      </c>
      <c r="J700" s="38" t="n"/>
      <c r="K700" s="41" t="n"/>
      <c r="L700" s="38" t="n"/>
      <c r="M700">
        <f>IF($A700=Ficha!$B$3,COUNTIF($A$5:$A700,Ficha!$B$3),"")</f>
        <v/>
      </c>
    </row>
    <row r="701">
      <c r="A701" s="36" t="n"/>
      <c r="B701" s="40">
        <f>IF(A701="","",IFERROR(INDEX(Maniobras!$B$5:$B$504,MATCH(A701,Maniobras!$A$5:$A$504,0)),""))</f>
        <v/>
      </c>
      <c r="C701" s="36">
        <f>IF(B701="","",TEXT(B701,"yyyy-mm"))</f>
        <v/>
      </c>
      <c r="D701" s="36">
        <f>IF(A701="","",IFERROR(INDEX(Maniobras!$D$5:$D$504,MATCH(A701,Maniobras!$A$5:$A$504,0)),""))</f>
        <v/>
      </c>
      <c r="E701" s="36" t="n"/>
      <c r="F701" s="37">
        <f>IF(A701="","",IFERROR(INDEX(Maniobras!$K$5:$K$504,MATCH(A701,Maniobras!$A$5:$A$504,0)),""))</f>
        <v/>
      </c>
      <c r="G701" s="37" t="n"/>
      <c r="H701" s="37" t="n"/>
      <c r="I701" s="37">
        <f>IF(G701="","",G701+N(H701))</f>
        <v/>
      </c>
      <c r="J701" s="36" t="n"/>
      <c r="K701" s="40" t="n"/>
      <c r="L701" s="36" t="n"/>
      <c r="M701">
        <f>IF($A701=Ficha!$B$3,COUNTIF($A$5:$A701,Ficha!$B$3),"")</f>
        <v/>
      </c>
    </row>
    <row r="702">
      <c r="A702" s="38" t="n"/>
      <c r="B702" s="41">
        <f>IF(A702="","",IFERROR(INDEX(Maniobras!$B$5:$B$504,MATCH(A702,Maniobras!$A$5:$A$504,0)),""))</f>
        <v/>
      </c>
      <c r="C702" s="38">
        <f>IF(B702="","",TEXT(B702,"yyyy-mm"))</f>
        <v/>
      </c>
      <c r="D702" s="38">
        <f>IF(A702="","",IFERROR(INDEX(Maniobras!$D$5:$D$504,MATCH(A702,Maniobras!$A$5:$A$504,0)),""))</f>
        <v/>
      </c>
      <c r="E702" s="38" t="n"/>
      <c r="F702" s="39">
        <f>IF(A702="","",IFERROR(INDEX(Maniobras!$K$5:$K$504,MATCH(A702,Maniobras!$A$5:$A$504,0)),""))</f>
        <v/>
      </c>
      <c r="G702" s="39" t="n"/>
      <c r="H702" s="39" t="n"/>
      <c r="I702" s="39">
        <f>IF(G702="","",G702+N(H702))</f>
        <v/>
      </c>
      <c r="J702" s="38" t="n"/>
      <c r="K702" s="41" t="n"/>
      <c r="L702" s="38" t="n"/>
      <c r="M702">
        <f>IF($A702=Ficha!$B$3,COUNTIF($A$5:$A702,Ficha!$B$3),"")</f>
        <v/>
      </c>
    </row>
    <row r="703">
      <c r="A703" s="36" t="n"/>
      <c r="B703" s="40">
        <f>IF(A703="","",IFERROR(INDEX(Maniobras!$B$5:$B$504,MATCH(A703,Maniobras!$A$5:$A$504,0)),""))</f>
        <v/>
      </c>
      <c r="C703" s="36">
        <f>IF(B703="","",TEXT(B703,"yyyy-mm"))</f>
        <v/>
      </c>
      <c r="D703" s="36">
        <f>IF(A703="","",IFERROR(INDEX(Maniobras!$D$5:$D$504,MATCH(A703,Maniobras!$A$5:$A$504,0)),""))</f>
        <v/>
      </c>
      <c r="E703" s="36" t="n"/>
      <c r="F703" s="37">
        <f>IF(A703="","",IFERROR(INDEX(Maniobras!$K$5:$K$504,MATCH(A703,Maniobras!$A$5:$A$504,0)),""))</f>
        <v/>
      </c>
      <c r="G703" s="37" t="n"/>
      <c r="H703" s="37" t="n"/>
      <c r="I703" s="37">
        <f>IF(G703="","",G703+N(H703))</f>
        <v/>
      </c>
      <c r="J703" s="36" t="n"/>
      <c r="K703" s="40" t="n"/>
      <c r="L703" s="36" t="n"/>
      <c r="M703">
        <f>IF($A703=Ficha!$B$3,COUNTIF($A$5:$A703,Ficha!$B$3),"")</f>
        <v/>
      </c>
    </row>
    <row r="704">
      <c r="A704" s="38" t="n"/>
      <c r="B704" s="41">
        <f>IF(A704="","",IFERROR(INDEX(Maniobras!$B$5:$B$504,MATCH(A704,Maniobras!$A$5:$A$504,0)),""))</f>
        <v/>
      </c>
      <c r="C704" s="38">
        <f>IF(B704="","",TEXT(B704,"yyyy-mm"))</f>
        <v/>
      </c>
      <c r="D704" s="38">
        <f>IF(A704="","",IFERROR(INDEX(Maniobras!$D$5:$D$504,MATCH(A704,Maniobras!$A$5:$A$504,0)),""))</f>
        <v/>
      </c>
      <c r="E704" s="38" t="n"/>
      <c r="F704" s="39">
        <f>IF(A704="","",IFERROR(INDEX(Maniobras!$K$5:$K$504,MATCH(A704,Maniobras!$A$5:$A$504,0)),""))</f>
        <v/>
      </c>
      <c r="G704" s="39" t="n"/>
      <c r="H704" s="39" t="n"/>
      <c r="I704" s="39">
        <f>IF(G704="","",G704+N(H704))</f>
        <v/>
      </c>
      <c r="J704" s="38" t="n"/>
      <c r="K704" s="41" t="n"/>
      <c r="L704" s="38" t="n"/>
      <c r="M704">
        <f>IF($A704=Ficha!$B$3,COUNTIF($A$5:$A704,Ficha!$B$3),"")</f>
        <v/>
      </c>
    </row>
    <row r="705">
      <c r="A705" s="36" t="n"/>
      <c r="B705" s="40">
        <f>IF(A705="","",IFERROR(INDEX(Maniobras!$B$5:$B$504,MATCH(A705,Maniobras!$A$5:$A$504,0)),""))</f>
        <v/>
      </c>
      <c r="C705" s="36">
        <f>IF(B705="","",TEXT(B705,"yyyy-mm"))</f>
        <v/>
      </c>
      <c r="D705" s="36">
        <f>IF(A705="","",IFERROR(INDEX(Maniobras!$D$5:$D$504,MATCH(A705,Maniobras!$A$5:$A$504,0)),""))</f>
        <v/>
      </c>
      <c r="E705" s="36" t="n"/>
      <c r="F705" s="37">
        <f>IF(A705="","",IFERROR(INDEX(Maniobras!$K$5:$K$504,MATCH(A705,Maniobras!$A$5:$A$504,0)),""))</f>
        <v/>
      </c>
      <c r="G705" s="37" t="n"/>
      <c r="H705" s="37" t="n"/>
      <c r="I705" s="37">
        <f>IF(G705="","",G705+N(H705))</f>
        <v/>
      </c>
      <c r="J705" s="36" t="n"/>
      <c r="K705" s="40" t="n"/>
      <c r="L705" s="36" t="n"/>
      <c r="M705">
        <f>IF($A705=Ficha!$B$3,COUNTIF($A$5:$A705,Ficha!$B$3),"")</f>
        <v/>
      </c>
    </row>
    <row r="706">
      <c r="A706" s="38" t="n"/>
      <c r="B706" s="41">
        <f>IF(A706="","",IFERROR(INDEX(Maniobras!$B$5:$B$504,MATCH(A706,Maniobras!$A$5:$A$504,0)),""))</f>
        <v/>
      </c>
      <c r="C706" s="38">
        <f>IF(B706="","",TEXT(B706,"yyyy-mm"))</f>
        <v/>
      </c>
      <c r="D706" s="38">
        <f>IF(A706="","",IFERROR(INDEX(Maniobras!$D$5:$D$504,MATCH(A706,Maniobras!$A$5:$A$504,0)),""))</f>
        <v/>
      </c>
      <c r="E706" s="38" t="n"/>
      <c r="F706" s="39">
        <f>IF(A706="","",IFERROR(INDEX(Maniobras!$K$5:$K$504,MATCH(A706,Maniobras!$A$5:$A$504,0)),""))</f>
        <v/>
      </c>
      <c r="G706" s="39" t="n"/>
      <c r="H706" s="39" t="n"/>
      <c r="I706" s="39">
        <f>IF(G706="","",G706+N(H706))</f>
        <v/>
      </c>
      <c r="J706" s="38" t="n"/>
      <c r="K706" s="41" t="n"/>
      <c r="L706" s="38" t="n"/>
      <c r="M706">
        <f>IF($A706=Ficha!$B$3,COUNTIF($A$5:$A706,Ficha!$B$3),"")</f>
        <v/>
      </c>
    </row>
    <row r="707">
      <c r="A707" s="36" t="n"/>
      <c r="B707" s="40">
        <f>IF(A707="","",IFERROR(INDEX(Maniobras!$B$5:$B$504,MATCH(A707,Maniobras!$A$5:$A$504,0)),""))</f>
        <v/>
      </c>
      <c r="C707" s="36">
        <f>IF(B707="","",TEXT(B707,"yyyy-mm"))</f>
        <v/>
      </c>
      <c r="D707" s="36">
        <f>IF(A707="","",IFERROR(INDEX(Maniobras!$D$5:$D$504,MATCH(A707,Maniobras!$A$5:$A$504,0)),""))</f>
        <v/>
      </c>
      <c r="E707" s="36" t="n"/>
      <c r="F707" s="37">
        <f>IF(A707="","",IFERROR(INDEX(Maniobras!$K$5:$K$504,MATCH(A707,Maniobras!$A$5:$A$504,0)),""))</f>
        <v/>
      </c>
      <c r="G707" s="37" t="n"/>
      <c r="H707" s="37" t="n"/>
      <c r="I707" s="37">
        <f>IF(G707="","",G707+N(H707))</f>
        <v/>
      </c>
      <c r="J707" s="36" t="n"/>
      <c r="K707" s="40" t="n"/>
      <c r="L707" s="36" t="n"/>
      <c r="M707">
        <f>IF($A707=Ficha!$B$3,COUNTIF($A$5:$A707,Ficha!$B$3),"")</f>
        <v/>
      </c>
    </row>
    <row r="708">
      <c r="A708" s="38" t="n"/>
      <c r="B708" s="41">
        <f>IF(A708="","",IFERROR(INDEX(Maniobras!$B$5:$B$504,MATCH(A708,Maniobras!$A$5:$A$504,0)),""))</f>
        <v/>
      </c>
      <c r="C708" s="38">
        <f>IF(B708="","",TEXT(B708,"yyyy-mm"))</f>
        <v/>
      </c>
      <c r="D708" s="38">
        <f>IF(A708="","",IFERROR(INDEX(Maniobras!$D$5:$D$504,MATCH(A708,Maniobras!$A$5:$A$504,0)),""))</f>
        <v/>
      </c>
      <c r="E708" s="38" t="n"/>
      <c r="F708" s="39">
        <f>IF(A708="","",IFERROR(INDEX(Maniobras!$K$5:$K$504,MATCH(A708,Maniobras!$A$5:$A$504,0)),""))</f>
        <v/>
      </c>
      <c r="G708" s="39" t="n"/>
      <c r="H708" s="39" t="n"/>
      <c r="I708" s="39">
        <f>IF(G708="","",G708+N(H708))</f>
        <v/>
      </c>
      <c r="J708" s="38" t="n"/>
      <c r="K708" s="41" t="n"/>
      <c r="L708" s="38" t="n"/>
      <c r="M708">
        <f>IF($A708=Ficha!$B$3,COUNTIF($A$5:$A708,Ficha!$B$3),"")</f>
        <v/>
      </c>
    </row>
    <row r="709">
      <c r="A709" s="36" t="n"/>
      <c r="B709" s="40">
        <f>IF(A709="","",IFERROR(INDEX(Maniobras!$B$5:$B$504,MATCH(A709,Maniobras!$A$5:$A$504,0)),""))</f>
        <v/>
      </c>
      <c r="C709" s="36">
        <f>IF(B709="","",TEXT(B709,"yyyy-mm"))</f>
        <v/>
      </c>
      <c r="D709" s="36">
        <f>IF(A709="","",IFERROR(INDEX(Maniobras!$D$5:$D$504,MATCH(A709,Maniobras!$A$5:$A$504,0)),""))</f>
        <v/>
      </c>
      <c r="E709" s="36" t="n"/>
      <c r="F709" s="37">
        <f>IF(A709="","",IFERROR(INDEX(Maniobras!$K$5:$K$504,MATCH(A709,Maniobras!$A$5:$A$504,0)),""))</f>
        <v/>
      </c>
      <c r="G709" s="37" t="n"/>
      <c r="H709" s="37" t="n"/>
      <c r="I709" s="37">
        <f>IF(G709="","",G709+N(H709))</f>
        <v/>
      </c>
      <c r="J709" s="36" t="n"/>
      <c r="K709" s="40" t="n"/>
      <c r="L709" s="36" t="n"/>
      <c r="M709">
        <f>IF($A709=Ficha!$B$3,COUNTIF($A$5:$A709,Ficha!$B$3),"")</f>
        <v/>
      </c>
    </row>
    <row r="710">
      <c r="A710" s="38" t="n"/>
      <c r="B710" s="41">
        <f>IF(A710="","",IFERROR(INDEX(Maniobras!$B$5:$B$504,MATCH(A710,Maniobras!$A$5:$A$504,0)),""))</f>
        <v/>
      </c>
      <c r="C710" s="38">
        <f>IF(B710="","",TEXT(B710,"yyyy-mm"))</f>
        <v/>
      </c>
      <c r="D710" s="38">
        <f>IF(A710="","",IFERROR(INDEX(Maniobras!$D$5:$D$504,MATCH(A710,Maniobras!$A$5:$A$504,0)),""))</f>
        <v/>
      </c>
      <c r="E710" s="38" t="n"/>
      <c r="F710" s="39">
        <f>IF(A710="","",IFERROR(INDEX(Maniobras!$K$5:$K$504,MATCH(A710,Maniobras!$A$5:$A$504,0)),""))</f>
        <v/>
      </c>
      <c r="G710" s="39" t="n"/>
      <c r="H710" s="39" t="n"/>
      <c r="I710" s="39">
        <f>IF(G710="","",G710+N(H710))</f>
        <v/>
      </c>
      <c r="J710" s="38" t="n"/>
      <c r="K710" s="41" t="n"/>
      <c r="L710" s="38" t="n"/>
      <c r="M710">
        <f>IF($A710=Ficha!$B$3,COUNTIF($A$5:$A710,Ficha!$B$3),"")</f>
        <v/>
      </c>
    </row>
    <row r="711">
      <c r="A711" s="36" t="n"/>
      <c r="B711" s="40">
        <f>IF(A711="","",IFERROR(INDEX(Maniobras!$B$5:$B$504,MATCH(A711,Maniobras!$A$5:$A$504,0)),""))</f>
        <v/>
      </c>
      <c r="C711" s="36">
        <f>IF(B711="","",TEXT(B711,"yyyy-mm"))</f>
        <v/>
      </c>
      <c r="D711" s="36">
        <f>IF(A711="","",IFERROR(INDEX(Maniobras!$D$5:$D$504,MATCH(A711,Maniobras!$A$5:$A$504,0)),""))</f>
        <v/>
      </c>
      <c r="E711" s="36" t="n"/>
      <c r="F711" s="37">
        <f>IF(A711="","",IFERROR(INDEX(Maniobras!$K$5:$K$504,MATCH(A711,Maniobras!$A$5:$A$504,0)),""))</f>
        <v/>
      </c>
      <c r="G711" s="37" t="n"/>
      <c r="H711" s="37" t="n"/>
      <c r="I711" s="37">
        <f>IF(G711="","",G711+N(H711))</f>
        <v/>
      </c>
      <c r="J711" s="36" t="n"/>
      <c r="K711" s="40" t="n"/>
      <c r="L711" s="36" t="n"/>
      <c r="M711">
        <f>IF($A711=Ficha!$B$3,COUNTIF($A$5:$A711,Ficha!$B$3),"")</f>
        <v/>
      </c>
    </row>
    <row r="712">
      <c r="A712" s="38" t="n"/>
      <c r="B712" s="41">
        <f>IF(A712="","",IFERROR(INDEX(Maniobras!$B$5:$B$504,MATCH(A712,Maniobras!$A$5:$A$504,0)),""))</f>
        <v/>
      </c>
      <c r="C712" s="38">
        <f>IF(B712="","",TEXT(B712,"yyyy-mm"))</f>
        <v/>
      </c>
      <c r="D712" s="38">
        <f>IF(A712="","",IFERROR(INDEX(Maniobras!$D$5:$D$504,MATCH(A712,Maniobras!$A$5:$A$504,0)),""))</f>
        <v/>
      </c>
      <c r="E712" s="38" t="n"/>
      <c r="F712" s="39">
        <f>IF(A712="","",IFERROR(INDEX(Maniobras!$K$5:$K$504,MATCH(A712,Maniobras!$A$5:$A$504,0)),""))</f>
        <v/>
      </c>
      <c r="G712" s="39" t="n"/>
      <c r="H712" s="39" t="n"/>
      <c r="I712" s="39">
        <f>IF(G712="","",G712+N(H712))</f>
        <v/>
      </c>
      <c r="J712" s="38" t="n"/>
      <c r="K712" s="41" t="n"/>
      <c r="L712" s="38" t="n"/>
      <c r="M712">
        <f>IF($A712=Ficha!$B$3,COUNTIF($A$5:$A712,Ficha!$B$3),"")</f>
        <v/>
      </c>
    </row>
    <row r="713">
      <c r="A713" s="36" t="n"/>
      <c r="B713" s="40">
        <f>IF(A713="","",IFERROR(INDEX(Maniobras!$B$5:$B$504,MATCH(A713,Maniobras!$A$5:$A$504,0)),""))</f>
        <v/>
      </c>
      <c r="C713" s="36">
        <f>IF(B713="","",TEXT(B713,"yyyy-mm"))</f>
        <v/>
      </c>
      <c r="D713" s="36">
        <f>IF(A713="","",IFERROR(INDEX(Maniobras!$D$5:$D$504,MATCH(A713,Maniobras!$A$5:$A$504,0)),""))</f>
        <v/>
      </c>
      <c r="E713" s="36" t="n"/>
      <c r="F713" s="37">
        <f>IF(A713="","",IFERROR(INDEX(Maniobras!$K$5:$K$504,MATCH(A713,Maniobras!$A$5:$A$504,0)),""))</f>
        <v/>
      </c>
      <c r="G713" s="37" t="n"/>
      <c r="H713" s="37" t="n"/>
      <c r="I713" s="37">
        <f>IF(G713="","",G713+N(H713))</f>
        <v/>
      </c>
      <c r="J713" s="36" t="n"/>
      <c r="K713" s="40" t="n"/>
      <c r="L713" s="36" t="n"/>
      <c r="M713">
        <f>IF($A713=Ficha!$B$3,COUNTIF($A$5:$A713,Ficha!$B$3),"")</f>
        <v/>
      </c>
    </row>
    <row r="714">
      <c r="A714" s="38" t="n"/>
      <c r="B714" s="41">
        <f>IF(A714="","",IFERROR(INDEX(Maniobras!$B$5:$B$504,MATCH(A714,Maniobras!$A$5:$A$504,0)),""))</f>
        <v/>
      </c>
      <c r="C714" s="38">
        <f>IF(B714="","",TEXT(B714,"yyyy-mm"))</f>
        <v/>
      </c>
      <c r="D714" s="38">
        <f>IF(A714="","",IFERROR(INDEX(Maniobras!$D$5:$D$504,MATCH(A714,Maniobras!$A$5:$A$504,0)),""))</f>
        <v/>
      </c>
      <c r="E714" s="38" t="n"/>
      <c r="F714" s="39">
        <f>IF(A714="","",IFERROR(INDEX(Maniobras!$K$5:$K$504,MATCH(A714,Maniobras!$A$5:$A$504,0)),""))</f>
        <v/>
      </c>
      <c r="G714" s="39" t="n"/>
      <c r="H714" s="39" t="n"/>
      <c r="I714" s="39">
        <f>IF(G714="","",G714+N(H714))</f>
        <v/>
      </c>
      <c r="J714" s="38" t="n"/>
      <c r="K714" s="41" t="n"/>
      <c r="L714" s="38" t="n"/>
      <c r="M714">
        <f>IF($A714=Ficha!$B$3,COUNTIF($A$5:$A714,Ficha!$B$3),"")</f>
        <v/>
      </c>
    </row>
    <row r="715">
      <c r="A715" s="36" t="n"/>
      <c r="B715" s="40">
        <f>IF(A715="","",IFERROR(INDEX(Maniobras!$B$5:$B$504,MATCH(A715,Maniobras!$A$5:$A$504,0)),""))</f>
        <v/>
      </c>
      <c r="C715" s="36">
        <f>IF(B715="","",TEXT(B715,"yyyy-mm"))</f>
        <v/>
      </c>
      <c r="D715" s="36">
        <f>IF(A715="","",IFERROR(INDEX(Maniobras!$D$5:$D$504,MATCH(A715,Maniobras!$A$5:$A$504,0)),""))</f>
        <v/>
      </c>
      <c r="E715" s="36" t="n"/>
      <c r="F715" s="37">
        <f>IF(A715="","",IFERROR(INDEX(Maniobras!$K$5:$K$504,MATCH(A715,Maniobras!$A$5:$A$504,0)),""))</f>
        <v/>
      </c>
      <c r="G715" s="37" t="n"/>
      <c r="H715" s="37" t="n"/>
      <c r="I715" s="37">
        <f>IF(G715="","",G715+N(H715))</f>
        <v/>
      </c>
      <c r="J715" s="36" t="n"/>
      <c r="K715" s="40" t="n"/>
      <c r="L715" s="36" t="n"/>
      <c r="M715">
        <f>IF($A715=Ficha!$B$3,COUNTIF($A$5:$A715,Ficha!$B$3),"")</f>
        <v/>
      </c>
    </row>
    <row r="716">
      <c r="A716" s="38" t="n"/>
      <c r="B716" s="41">
        <f>IF(A716="","",IFERROR(INDEX(Maniobras!$B$5:$B$504,MATCH(A716,Maniobras!$A$5:$A$504,0)),""))</f>
        <v/>
      </c>
      <c r="C716" s="38">
        <f>IF(B716="","",TEXT(B716,"yyyy-mm"))</f>
        <v/>
      </c>
      <c r="D716" s="38">
        <f>IF(A716="","",IFERROR(INDEX(Maniobras!$D$5:$D$504,MATCH(A716,Maniobras!$A$5:$A$504,0)),""))</f>
        <v/>
      </c>
      <c r="E716" s="38" t="n"/>
      <c r="F716" s="39">
        <f>IF(A716="","",IFERROR(INDEX(Maniobras!$K$5:$K$504,MATCH(A716,Maniobras!$A$5:$A$504,0)),""))</f>
        <v/>
      </c>
      <c r="G716" s="39" t="n"/>
      <c r="H716" s="39" t="n"/>
      <c r="I716" s="39">
        <f>IF(G716="","",G716+N(H716))</f>
        <v/>
      </c>
      <c r="J716" s="38" t="n"/>
      <c r="K716" s="41" t="n"/>
      <c r="L716" s="38" t="n"/>
      <c r="M716">
        <f>IF($A716=Ficha!$B$3,COUNTIF($A$5:$A716,Ficha!$B$3),"")</f>
        <v/>
      </c>
    </row>
    <row r="717">
      <c r="A717" s="36" t="n"/>
      <c r="B717" s="40">
        <f>IF(A717="","",IFERROR(INDEX(Maniobras!$B$5:$B$504,MATCH(A717,Maniobras!$A$5:$A$504,0)),""))</f>
        <v/>
      </c>
      <c r="C717" s="36">
        <f>IF(B717="","",TEXT(B717,"yyyy-mm"))</f>
        <v/>
      </c>
      <c r="D717" s="36">
        <f>IF(A717="","",IFERROR(INDEX(Maniobras!$D$5:$D$504,MATCH(A717,Maniobras!$A$5:$A$504,0)),""))</f>
        <v/>
      </c>
      <c r="E717" s="36" t="n"/>
      <c r="F717" s="37">
        <f>IF(A717="","",IFERROR(INDEX(Maniobras!$K$5:$K$504,MATCH(A717,Maniobras!$A$5:$A$504,0)),""))</f>
        <v/>
      </c>
      <c r="G717" s="37" t="n"/>
      <c r="H717" s="37" t="n"/>
      <c r="I717" s="37">
        <f>IF(G717="","",G717+N(H717))</f>
        <v/>
      </c>
      <c r="J717" s="36" t="n"/>
      <c r="K717" s="40" t="n"/>
      <c r="L717" s="36" t="n"/>
      <c r="M717">
        <f>IF($A717=Ficha!$B$3,COUNTIF($A$5:$A717,Ficha!$B$3),"")</f>
        <v/>
      </c>
    </row>
    <row r="718">
      <c r="A718" s="38" t="n"/>
      <c r="B718" s="41">
        <f>IF(A718="","",IFERROR(INDEX(Maniobras!$B$5:$B$504,MATCH(A718,Maniobras!$A$5:$A$504,0)),""))</f>
        <v/>
      </c>
      <c r="C718" s="38">
        <f>IF(B718="","",TEXT(B718,"yyyy-mm"))</f>
        <v/>
      </c>
      <c r="D718" s="38">
        <f>IF(A718="","",IFERROR(INDEX(Maniobras!$D$5:$D$504,MATCH(A718,Maniobras!$A$5:$A$504,0)),""))</f>
        <v/>
      </c>
      <c r="E718" s="38" t="n"/>
      <c r="F718" s="39">
        <f>IF(A718="","",IFERROR(INDEX(Maniobras!$K$5:$K$504,MATCH(A718,Maniobras!$A$5:$A$504,0)),""))</f>
        <v/>
      </c>
      <c r="G718" s="39" t="n"/>
      <c r="H718" s="39" t="n"/>
      <c r="I718" s="39">
        <f>IF(G718="","",G718+N(H718))</f>
        <v/>
      </c>
      <c r="J718" s="38" t="n"/>
      <c r="K718" s="41" t="n"/>
      <c r="L718" s="38" t="n"/>
      <c r="M718">
        <f>IF($A718=Ficha!$B$3,COUNTIF($A$5:$A718,Ficha!$B$3),"")</f>
        <v/>
      </c>
    </row>
    <row r="719">
      <c r="A719" s="36" t="n"/>
      <c r="B719" s="40">
        <f>IF(A719="","",IFERROR(INDEX(Maniobras!$B$5:$B$504,MATCH(A719,Maniobras!$A$5:$A$504,0)),""))</f>
        <v/>
      </c>
      <c r="C719" s="36">
        <f>IF(B719="","",TEXT(B719,"yyyy-mm"))</f>
        <v/>
      </c>
      <c r="D719" s="36">
        <f>IF(A719="","",IFERROR(INDEX(Maniobras!$D$5:$D$504,MATCH(A719,Maniobras!$A$5:$A$504,0)),""))</f>
        <v/>
      </c>
      <c r="E719" s="36" t="n"/>
      <c r="F719" s="37">
        <f>IF(A719="","",IFERROR(INDEX(Maniobras!$K$5:$K$504,MATCH(A719,Maniobras!$A$5:$A$504,0)),""))</f>
        <v/>
      </c>
      <c r="G719" s="37" t="n"/>
      <c r="H719" s="37" t="n"/>
      <c r="I719" s="37">
        <f>IF(G719="","",G719+N(H719))</f>
        <v/>
      </c>
      <c r="J719" s="36" t="n"/>
      <c r="K719" s="40" t="n"/>
      <c r="L719" s="36" t="n"/>
      <c r="M719">
        <f>IF($A719=Ficha!$B$3,COUNTIF($A$5:$A719,Ficha!$B$3),"")</f>
        <v/>
      </c>
    </row>
    <row r="720">
      <c r="A720" s="38" t="n"/>
      <c r="B720" s="41">
        <f>IF(A720="","",IFERROR(INDEX(Maniobras!$B$5:$B$504,MATCH(A720,Maniobras!$A$5:$A$504,0)),""))</f>
        <v/>
      </c>
      <c r="C720" s="38">
        <f>IF(B720="","",TEXT(B720,"yyyy-mm"))</f>
        <v/>
      </c>
      <c r="D720" s="38">
        <f>IF(A720="","",IFERROR(INDEX(Maniobras!$D$5:$D$504,MATCH(A720,Maniobras!$A$5:$A$504,0)),""))</f>
        <v/>
      </c>
      <c r="E720" s="38" t="n"/>
      <c r="F720" s="39">
        <f>IF(A720="","",IFERROR(INDEX(Maniobras!$K$5:$K$504,MATCH(A720,Maniobras!$A$5:$A$504,0)),""))</f>
        <v/>
      </c>
      <c r="G720" s="39" t="n"/>
      <c r="H720" s="39" t="n"/>
      <c r="I720" s="39">
        <f>IF(G720="","",G720+N(H720))</f>
        <v/>
      </c>
      <c r="J720" s="38" t="n"/>
      <c r="K720" s="41" t="n"/>
      <c r="L720" s="38" t="n"/>
      <c r="M720">
        <f>IF($A720=Ficha!$B$3,COUNTIF($A$5:$A720,Ficha!$B$3),"")</f>
        <v/>
      </c>
    </row>
    <row r="721">
      <c r="A721" s="36" t="n"/>
      <c r="B721" s="40">
        <f>IF(A721="","",IFERROR(INDEX(Maniobras!$B$5:$B$504,MATCH(A721,Maniobras!$A$5:$A$504,0)),""))</f>
        <v/>
      </c>
      <c r="C721" s="36">
        <f>IF(B721="","",TEXT(B721,"yyyy-mm"))</f>
        <v/>
      </c>
      <c r="D721" s="36">
        <f>IF(A721="","",IFERROR(INDEX(Maniobras!$D$5:$D$504,MATCH(A721,Maniobras!$A$5:$A$504,0)),""))</f>
        <v/>
      </c>
      <c r="E721" s="36" t="n"/>
      <c r="F721" s="37">
        <f>IF(A721="","",IFERROR(INDEX(Maniobras!$K$5:$K$504,MATCH(A721,Maniobras!$A$5:$A$504,0)),""))</f>
        <v/>
      </c>
      <c r="G721" s="37" t="n"/>
      <c r="H721" s="37" t="n"/>
      <c r="I721" s="37">
        <f>IF(G721="","",G721+N(H721))</f>
        <v/>
      </c>
      <c r="J721" s="36" t="n"/>
      <c r="K721" s="40" t="n"/>
      <c r="L721" s="36" t="n"/>
      <c r="M721">
        <f>IF($A721=Ficha!$B$3,COUNTIF($A$5:$A721,Ficha!$B$3),"")</f>
        <v/>
      </c>
    </row>
    <row r="722">
      <c r="A722" s="38" t="n"/>
      <c r="B722" s="41">
        <f>IF(A722="","",IFERROR(INDEX(Maniobras!$B$5:$B$504,MATCH(A722,Maniobras!$A$5:$A$504,0)),""))</f>
        <v/>
      </c>
      <c r="C722" s="38">
        <f>IF(B722="","",TEXT(B722,"yyyy-mm"))</f>
        <v/>
      </c>
      <c r="D722" s="38">
        <f>IF(A722="","",IFERROR(INDEX(Maniobras!$D$5:$D$504,MATCH(A722,Maniobras!$A$5:$A$504,0)),""))</f>
        <v/>
      </c>
      <c r="E722" s="38" t="n"/>
      <c r="F722" s="39">
        <f>IF(A722="","",IFERROR(INDEX(Maniobras!$K$5:$K$504,MATCH(A722,Maniobras!$A$5:$A$504,0)),""))</f>
        <v/>
      </c>
      <c r="G722" s="39" t="n"/>
      <c r="H722" s="39" t="n"/>
      <c r="I722" s="39">
        <f>IF(G722="","",G722+N(H722))</f>
        <v/>
      </c>
      <c r="J722" s="38" t="n"/>
      <c r="K722" s="41" t="n"/>
      <c r="L722" s="38" t="n"/>
      <c r="M722">
        <f>IF($A722=Ficha!$B$3,COUNTIF($A$5:$A722,Ficha!$B$3),"")</f>
        <v/>
      </c>
    </row>
    <row r="723">
      <c r="A723" s="36" t="n"/>
      <c r="B723" s="40">
        <f>IF(A723="","",IFERROR(INDEX(Maniobras!$B$5:$B$504,MATCH(A723,Maniobras!$A$5:$A$504,0)),""))</f>
        <v/>
      </c>
      <c r="C723" s="36">
        <f>IF(B723="","",TEXT(B723,"yyyy-mm"))</f>
        <v/>
      </c>
      <c r="D723" s="36">
        <f>IF(A723="","",IFERROR(INDEX(Maniobras!$D$5:$D$504,MATCH(A723,Maniobras!$A$5:$A$504,0)),""))</f>
        <v/>
      </c>
      <c r="E723" s="36" t="n"/>
      <c r="F723" s="37">
        <f>IF(A723="","",IFERROR(INDEX(Maniobras!$K$5:$K$504,MATCH(A723,Maniobras!$A$5:$A$504,0)),""))</f>
        <v/>
      </c>
      <c r="G723" s="37" t="n"/>
      <c r="H723" s="37" t="n"/>
      <c r="I723" s="37">
        <f>IF(G723="","",G723+N(H723))</f>
        <v/>
      </c>
      <c r="J723" s="36" t="n"/>
      <c r="K723" s="40" t="n"/>
      <c r="L723" s="36" t="n"/>
      <c r="M723">
        <f>IF($A723=Ficha!$B$3,COUNTIF($A$5:$A723,Ficha!$B$3),"")</f>
        <v/>
      </c>
    </row>
    <row r="724">
      <c r="A724" s="38" t="n"/>
      <c r="B724" s="41">
        <f>IF(A724="","",IFERROR(INDEX(Maniobras!$B$5:$B$504,MATCH(A724,Maniobras!$A$5:$A$504,0)),""))</f>
        <v/>
      </c>
      <c r="C724" s="38">
        <f>IF(B724="","",TEXT(B724,"yyyy-mm"))</f>
        <v/>
      </c>
      <c r="D724" s="38">
        <f>IF(A724="","",IFERROR(INDEX(Maniobras!$D$5:$D$504,MATCH(A724,Maniobras!$A$5:$A$504,0)),""))</f>
        <v/>
      </c>
      <c r="E724" s="38" t="n"/>
      <c r="F724" s="39">
        <f>IF(A724="","",IFERROR(INDEX(Maniobras!$K$5:$K$504,MATCH(A724,Maniobras!$A$5:$A$504,0)),""))</f>
        <v/>
      </c>
      <c r="G724" s="39" t="n"/>
      <c r="H724" s="39" t="n"/>
      <c r="I724" s="39">
        <f>IF(G724="","",G724+N(H724))</f>
        <v/>
      </c>
      <c r="J724" s="38" t="n"/>
      <c r="K724" s="41" t="n"/>
      <c r="L724" s="38" t="n"/>
      <c r="M724">
        <f>IF($A724=Ficha!$B$3,COUNTIF($A$5:$A724,Ficha!$B$3),"")</f>
        <v/>
      </c>
    </row>
    <row r="725">
      <c r="A725" s="36" t="n"/>
      <c r="B725" s="40">
        <f>IF(A725="","",IFERROR(INDEX(Maniobras!$B$5:$B$504,MATCH(A725,Maniobras!$A$5:$A$504,0)),""))</f>
        <v/>
      </c>
      <c r="C725" s="36">
        <f>IF(B725="","",TEXT(B725,"yyyy-mm"))</f>
        <v/>
      </c>
      <c r="D725" s="36">
        <f>IF(A725="","",IFERROR(INDEX(Maniobras!$D$5:$D$504,MATCH(A725,Maniobras!$A$5:$A$504,0)),""))</f>
        <v/>
      </c>
      <c r="E725" s="36" t="n"/>
      <c r="F725" s="37">
        <f>IF(A725="","",IFERROR(INDEX(Maniobras!$K$5:$K$504,MATCH(A725,Maniobras!$A$5:$A$504,0)),""))</f>
        <v/>
      </c>
      <c r="G725" s="37" t="n"/>
      <c r="H725" s="37" t="n"/>
      <c r="I725" s="37">
        <f>IF(G725="","",G725+N(H725))</f>
        <v/>
      </c>
      <c r="J725" s="36" t="n"/>
      <c r="K725" s="40" t="n"/>
      <c r="L725" s="36" t="n"/>
      <c r="M725">
        <f>IF($A725=Ficha!$B$3,COUNTIF($A$5:$A725,Ficha!$B$3),"")</f>
        <v/>
      </c>
    </row>
    <row r="726">
      <c r="A726" s="38" t="n"/>
      <c r="B726" s="41">
        <f>IF(A726="","",IFERROR(INDEX(Maniobras!$B$5:$B$504,MATCH(A726,Maniobras!$A$5:$A$504,0)),""))</f>
        <v/>
      </c>
      <c r="C726" s="38">
        <f>IF(B726="","",TEXT(B726,"yyyy-mm"))</f>
        <v/>
      </c>
      <c r="D726" s="38">
        <f>IF(A726="","",IFERROR(INDEX(Maniobras!$D$5:$D$504,MATCH(A726,Maniobras!$A$5:$A$504,0)),""))</f>
        <v/>
      </c>
      <c r="E726" s="38" t="n"/>
      <c r="F726" s="39">
        <f>IF(A726="","",IFERROR(INDEX(Maniobras!$K$5:$K$504,MATCH(A726,Maniobras!$A$5:$A$504,0)),""))</f>
        <v/>
      </c>
      <c r="G726" s="39" t="n"/>
      <c r="H726" s="39" t="n"/>
      <c r="I726" s="39">
        <f>IF(G726="","",G726+N(H726))</f>
        <v/>
      </c>
      <c r="J726" s="38" t="n"/>
      <c r="K726" s="41" t="n"/>
      <c r="L726" s="38" t="n"/>
      <c r="M726">
        <f>IF($A726=Ficha!$B$3,COUNTIF($A$5:$A726,Ficha!$B$3),"")</f>
        <v/>
      </c>
    </row>
    <row r="727">
      <c r="A727" s="36" t="n"/>
      <c r="B727" s="40">
        <f>IF(A727="","",IFERROR(INDEX(Maniobras!$B$5:$B$504,MATCH(A727,Maniobras!$A$5:$A$504,0)),""))</f>
        <v/>
      </c>
      <c r="C727" s="36">
        <f>IF(B727="","",TEXT(B727,"yyyy-mm"))</f>
        <v/>
      </c>
      <c r="D727" s="36">
        <f>IF(A727="","",IFERROR(INDEX(Maniobras!$D$5:$D$504,MATCH(A727,Maniobras!$A$5:$A$504,0)),""))</f>
        <v/>
      </c>
      <c r="E727" s="36" t="n"/>
      <c r="F727" s="37">
        <f>IF(A727="","",IFERROR(INDEX(Maniobras!$K$5:$K$504,MATCH(A727,Maniobras!$A$5:$A$504,0)),""))</f>
        <v/>
      </c>
      <c r="G727" s="37" t="n"/>
      <c r="H727" s="37" t="n"/>
      <c r="I727" s="37">
        <f>IF(G727="","",G727+N(H727))</f>
        <v/>
      </c>
      <c r="J727" s="36" t="n"/>
      <c r="K727" s="40" t="n"/>
      <c r="L727" s="36" t="n"/>
      <c r="M727">
        <f>IF($A727=Ficha!$B$3,COUNTIF($A$5:$A727,Ficha!$B$3),"")</f>
        <v/>
      </c>
    </row>
    <row r="728">
      <c r="A728" s="38" t="n"/>
      <c r="B728" s="41">
        <f>IF(A728="","",IFERROR(INDEX(Maniobras!$B$5:$B$504,MATCH(A728,Maniobras!$A$5:$A$504,0)),""))</f>
        <v/>
      </c>
      <c r="C728" s="38">
        <f>IF(B728="","",TEXT(B728,"yyyy-mm"))</f>
        <v/>
      </c>
      <c r="D728" s="38">
        <f>IF(A728="","",IFERROR(INDEX(Maniobras!$D$5:$D$504,MATCH(A728,Maniobras!$A$5:$A$504,0)),""))</f>
        <v/>
      </c>
      <c r="E728" s="38" t="n"/>
      <c r="F728" s="39">
        <f>IF(A728="","",IFERROR(INDEX(Maniobras!$K$5:$K$504,MATCH(A728,Maniobras!$A$5:$A$504,0)),""))</f>
        <v/>
      </c>
      <c r="G728" s="39" t="n"/>
      <c r="H728" s="39" t="n"/>
      <c r="I728" s="39">
        <f>IF(G728="","",G728+N(H728))</f>
        <v/>
      </c>
      <c r="J728" s="38" t="n"/>
      <c r="K728" s="41" t="n"/>
      <c r="L728" s="38" t="n"/>
      <c r="M728">
        <f>IF($A728=Ficha!$B$3,COUNTIF($A$5:$A728,Ficha!$B$3),"")</f>
        <v/>
      </c>
    </row>
    <row r="729">
      <c r="A729" s="36" t="n"/>
      <c r="B729" s="40">
        <f>IF(A729="","",IFERROR(INDEX(Maniobras!$B$5:$B$504,MATCH(A729,Maniobras!$A$5:$A$504,0)),""))</f>
        <v/>
      </c>
      <c r="C729" s="36">
        <f>IF(B729="","",TEXT(B729,"yyyy-mm"))</f>
        <v/>
      </c>
      <c r="D729" s="36">
        <f>IF(A729="","",IFERROR(INDEX(Maniobras!$D$5:$D$504,MATCH(A729,Maniobras!$A$5:$A$504,0)),""))</f>
        <v/>
      </c>
      <c r="E729" s="36" t="n"/>
      <c r="F729" s="37">
        <f>IF(A729="","",IFERROR(INDEX(Maniobras!$K$5:$K$504,MATCH(A729,Maniobras!$A$5:$A$504,0)),""))</f>
        <v/>
      </c>
      <c r="G729" s="37" t="n"/>
      <c r="H729" s="37" t="n"/>
      <c r="I729" s="37">
        <f>IF(G729="","",G729+N(H729))</f>
        <v/>
      </c>
      <c r="J729" s="36" t="n"/>
      <c r="K729" s="40" t="n"/>
      <c r="L729" s="36" t="n"/>
      <c r="M729">
        <f>IF($A729=Ficha!$B$3,COUNTIF($A$5:$A729,Ficha!$B$3),"")</f>
        <v/>
      </c>
    </row>
    <row r="730">
      <c r="A730" s="38" t="n"/>
      <c r="B730" s="41">
        <f>IF(A730="","",IFERROR(INDEX(Maniobras!$B$5:$B$504,MATCH(A730,Maniobras!$A$5:$A$504,0)),""))</f>
        <v/>
      </c>
      <c r="C730" s="38">
        <f>IF(B730="","",TEXT(B730,"yyyy-mm"))</f>
        <v/>
      </c>
      <c r="D730" s="38">
        <f>IF(A730="","",IFERROR(INDEX(Maniobras!$D$5:$D$504,MATCH(A730,Maniobras!$A$5:$A$504,0)),""))</f>
        <v/>
      </c>
      <c r="E730" s="38" t="n"/>
      <c r="F730" s="39">
        <f>IF(A730="","",IFERROR(INDEX(Maniobras!$K$5:$K$504,MATCH(A730,Maniobras!$A$5:$A$504,0)),""))</f>
        <v/>
      </c>
      <c r="G730" s="39" t="n"/>
      <c r="H730" s="39" t="n"/>
      <c r="I730" s="39">
        <f>IF(G730="","",G730+N(H730))</f>
        <v/>
      </c>
      <c r="J730" s="38" t="n"/>
      <c r="K730" s="41" t="n"/>
      <c r="L730" s="38" t="n"/>
      <c r="M730">
        <f>IF($A730=Ficha!$B$3,COUNTIF($A$5:$A730,Ficha!$B$3),"")</f>
        <v/>
      </c>
    </row>
    <row r="731">
      <c r="A731" s="36" t="n"/>
      <c r="B731" s="40">
        <f>IF(A731="","",IFERROR(INDEX(Maniobras!$B$5:$B$504,MATCH(A731,Maniobras!$A$5:$A$504,0)),""))</f>
        <v/>
      </c>
      <c r="C731" s="36">
        <f>IF(B731="","",TEXT(B731,"yyyy-mm"))</f>
        <v/>
      </c>
      <c r="D731" s="36">
        <f>IF(A731="","",IFERROR(INDEX(Maniobras!$D$5:$D$504,MATCH(A731,Maniobras!$A$5:$A$504,0)),""))</f>
        <v/>
      </c>
      <c r="E731" s="36" t="n"/>
      <c r="F731" s="37">
        <f>IF(A731="","",IFERROR(INDEX(Maniobras!$K$5:$K$504,MATCH(A731,Maniobras!$A$5:$A$504,0)),""))</f>
        <v/>
      </c>
      <c r="G731" s="37" t="n"/>
      <c r="H731" s="37" t="n"/>
      <c r="I731" s="37">
        <f>IF(G731="","",G731+N(H731))</f>
        <v/>
      </c>
      <c r="J731" s="36" t="n"/>
      <c r="K731" s="40" t="n"/>
      <c r="L731" s="36" t="n"/>
      <c r="M731">
        <f>IF($A731=Ficha!$B$3,COUNTIF($A$5:$A731,Ficha!$B$3),"")</f>
        <v/>
      </c>
    </row>
    <row r="732">
      <c r="A732" s="38" t="n"/>
      <c r="B732" s="41">
        <f>IF(A732="","",IFERROR(INDEX(Maniobras!$B$5:$B$504,MATCH(A732,Maniobras!$A$5:$A$504,0)),""))</f>
        <v/>
      </c>
      <c r="C732" s="38">
        <f>IF(B732="","",TEXT(B732,"yyyy-mm"))</f>
        <v/>
      </c>
      <c r="D732" s="38">
        <f>IF(A732="","",IFERROR(INDEX(Maniobras!$D$5:$D$504,MATCH(A732,Maniobras!$A$5:$A$504,0)),""))</f>
        <v/>
      </c>
      <c r="E732" s="38" t="n"/>
      <c r="F732" s="39">
        <f>IF(A732="","",IFERROR(INDEX(Maniobras!$K$5:$K$504,MATCH(A732,Maniobras!$A$5:$A$504,0)),""))</f>
        <v/>
      </c>
      <c r="G732" s="39" t="n"/>
      <c r="H732" s="39" t="n"/>
      <c r="I732" s="39">
        <f>IF(G732="","",G732+N(H732))</f>
        <v/>
      </c>
      <c r="J732" s="38" t="n"/>
      <c r="K732" s="41" t="n"/>
      <c r="L732" s="38" t="n"/>
      <c r="M732">
        <f>IF($A732=Ficha!$B$3,COUNTIF($A$5:$A732,Ficha!$B$3),"")</f>
        <v/>
      </c>
    </row>
    <row r="733">
      <c r="A733" s="36" t="n"/>
      <c r="B733" s="40">
        <f>IF(A733="","",IFERROR(INDEX(Maniobras!$B$5:$B$504,MATCH(A733,Maniobras!$A$5:$A$504,0)),""))</f>
        <v/>
      </c>
      <c r="C733" s="36">
        <f>IF(B733="","",TEXT(B733,"yyyy-mm"))</f>
        <v/>
      </c>
      <c r="D733" s="36">
        <f>IF(A733="","",IFERROR(INDEX(Maniobras!$D$5:$D$504,MATCH(A733,Maniobras!$A$5:$A$504,0)),""))</f>
        <v/>
      </c>
      <c r="E733" s="36" t="n"/>
      <c r="F733" s="37">
        <f>IF(A733="","",IFERROR(INDEX(Maniobras!$K$5:$K$504,MATCH(A733,Maniobras!$A$5:$A$504,0)),""))</f>
        <v/>
      </c>
      <c r="G733" s="37" t="n"/>
      <c r="H733" s="37" t="n"/>
      <c r="I733" s="37">
        <f>IF(G733="","",G733+N(H733))</f>
        <v/>
      </c>
      <c r="J733" s="36" t="n"/>
      <c r="K733" s="40" t="n"/>
      <c r="L733" s="36" t="n"/>
      <c r="M733">
        <f>IF($A733=Ficha!$B$3,COUNTIF($A$5:$A733,Ficha!$B$3),"")</f>
        <v/>
      </c>
    </row>
    <row r="734">
      <c r="A734" s="38" t="n"/>
      <c r="B734" s="41">
        <f>IF(A734="","",IFERROR(INDEX(Maniobras!$B$5:$B$504,MATCH(A734,Maniobras!$A$5:$A$504,0)),""))</f>
        <v/>
      </c>
      <c r="C734" s="38">
        <f>IF(B734="","",TEXT(B734,"yyyy-mm"))</f>
        <v/>
      </c>
      <c r="D734" s="38">
        <f>IF(A734="","",IFERROR(INDEX(Maniobras!$D$5:$D$504,MATCH(A734,Maniobras!$A$5:$A$504,0)),""))</f>
        <v/>
      </c>
      <c r="E734" s="38" t="n"/>
      <c r="F734" s="39">
        <f>IF(A734="","",IFERROR(INDEX(Maniobras!$K$5:$K$504,MATCH(A734,Maniobras!$A$5:$A$504,0)),""))</f>
        <v/>
      </c>
      <c r="G734" s="39" t="n"/>
      <c r="H734" s="39" t="n"/>
      <c r="I734" s="39">
        <f>IF(G734="","",G734+N(H734))</f>
        <v/>
      </c>
      <c r="J734" s="38" t="n"/>
      <c r="K734" s="41" t="n"/>
      <c r="L734" s="38" t="n"/>
      <c r="M734">
        <f>IF($A734=Ficha!$B$3,COUNTIF($A$5:$A734,Ficha!$B$3),"")</f>
        <v/>
      </c>
    </row>
    <row r="735">
      <c r="A735" s="36" t="n"/>
      <c r="B735" s="40">
        <f>IF(A735="","",IFERROR(INDEX(Maniobras!$B$5:$B$504,MATCH(A735,Maniobras!$A$5:$A$504,0)),""))</f>
        <v/>
      </c>
      <c r="C735" s="36">
        <f>IF(B735="","",TEXT(B735,"yyyy-mm"))</f>
        <v/>
      </c>
      <c r="D735" s="36">
        <f>IF(A735="","",IFERROR(INDEX(Maniobras!$D$5:$D$504,MATCH(A735,Maniobras!$A$5:$A$504,0)),""))</f>
        <v/>
      </c>
      <c r="E735" s="36" t="n"/>
      <c r="F735" s="37">
        <f>IF(A735="","",IFERROR(INDEX(Maniobras!$K$5:$K$504,MATCH(A735,Maniobras!$A$5:$A$504,0)),""))</f>
        <v/>
      </c>
      <c r="G735" s="37" t="n"/>
      <c r="H735" s="37" t="n"/>
      <c r="I735" s="37">
        <f>IF(G735="","",G735+N(H735))</f>
        <v/>
      </c>
      <c r="J735" s="36" t="n"/>
      <c r="K735" s="40" t="n"/>
      <c r="L735" s="36" t="n"/>
      <c r="M735">
        <f>IF($A735=Ficha!$B$3,COUNTIF($A$5:$A735,Ficha!$B$3),"")</f>
        <v/>
      </c>
    </row>
    <row r="736">
      <c r="A736" s="38" t="n"/>
      <c r="B736" s="41">
        <f>IF(A736="","",IFERROR(INDEX(Maniobras!$B$5:$B$504,MATCH(A736,Maniobras!$A$5:$A$504,0)),""))</f>
        <v/>
      </c>
      <c r="C736" s="38">
        <f>IF(B736="","",TEXT(B736,"yyyy-mm"))</f>
        <v/>
      </c>
      <c r="D736" s="38">
        <f>IF(A736="","",IFERROR(INDEX(Maniobras!$D$5:$D$504,MATCH(A736,Maniobras!$A$5:$A$504,0)),""))</f>
        <v/>
      </c>
      <c r="E736" s="38" t="n"/>
      <c r="F736" s="39">
        <f>IF(A736="","",IFERROR(INDEX(Maniobras!$K$5:$K$504,MATCH(A736,Maniobras!$A$5:$A$504,0)),""))</f>
        <v/>
      </c>
      <c r="G736" s="39" t="n"/>
      <c r="H736" s="39" t="n"/>
      <c r="I736" s="39">
        <f>IF(G736="","",G736+N(H736))</f>
        <v/>
      </c>
      <c r="J736" s="38" t="n"/>
      <c r="K736" s="41" t="n"/>
      <c r="L736" s="38" t="n"/>
      <c r="M736">
        <f>IF($A736=Ficha!$B$3,COUNTIF($A$5:$A736,Ficha!$B$3),"")</f>
        <v/>
      </c>
    </row>
    <row r="737">
      <c r="A737" s="36" t="n"/>
      <c r="B737" s="40">
        <f>IF(A737="","",IFERROR(INDEX(Maniobras!$B$5:$B$504,MATCH(A737,Maniobras!$A$5:$A$504,0)),""))</f>
        <v/>
      </c>
      <c r="C737" s="36">
        <f>IF(B737="","",TEXT(B737,"yyyy-mm"))</f>
        <v/>
      </c>
      <c r="D737" s="36">
        <f>IF(A737="","",IFERROR(INDEX(Maniobras!$D$5:$D$504,MATCH(A737,Maniobras!$A$5:$A$504,0)),""))</f>
        <v/>
      </c>
      <c r="E737" s="36" t="n"/>
      <c r="F737" s="37">
        <f>IF(A737="","",IFERROR(INDEX(Maniobras!$K$5:$K$504,MATCH(A737,Maniobras!$A$5:$A$504,0)),""))</f>
        <v/>
      </c>
      <c r="G737" s="37" t="n"/>
      <c r="H737" s="37" t="n"/>
      <c r="I737" s="37">
        <f>IF(G737="","",G737+N(H737))</f>
        <v/>
      </c>
      <c r="J737" s="36" t="n"/>
      <c r="K737" s="40" t="n"/>
      <c r="L737" s="36" t="n"/>
      <c r="M737">
        <f>IF($A737=Ficha!$B$3,COUNTIF($A$5:$A737,Ficha!$B$3),"")</f>
        <v/>
      </c>
    </row>
    <row r="738">
      <c r="A738" s="38" t="n"/>
      <c r="B738" s="41">
        <f>IF(A738="","",IFERROR(INDEX(Maniobras!$B$5:$B$504,MATCH(A738,Maniobras!$A$5:$A$504,0)),""))</f>
        <v/>
      </c>
      <c r="C738" s="38">
        <f>IF(B738="","",TEXT(B738,"yyyy-mm"))</f>
        <v/>
      </c>
      <c r="D738" s="38">
        <f>IF(A738="","",IFERROR(INDEX(Maniobras!$D$5:$D$504,MATCH(A738,Maniobras!$A$5:$A$504,0)),""))</f>
        <v/>
      </c>
      <c r="E738" s="38" t="n"/>
      <c r="F738" s="39">
        <f>IF(A738="","",IFERROR(INDEX(Maniobras!$K$5:$K$504,MATCH(A738,Maniobras!$A$5:$A$504,0)),""))</f>
        <v/>
      </c>
      <c r="G738" s="39" t="n"/>
      <c r="H738" s="39" t="n"/>
      <c r="I738" s="39">
        <f>IF(G738="","",G738+N(H738))</f>
        <v/>
      </c>
      <c r="J738" s="38" t="n"/>
      <c r="K738" s="41" t="n"/>
      <c r="L738" s="38" t="n"/>
      <c r="M738">
        <f>IF($A738=Ficha!$B$3,COUNTIF($A$5:$A738,Ficha!$B$3),"")</f>
        <v/>
      </c>
    </row>
    <row r="739">
      <c r="A739" s="36" t="n"/>
      <c r="B739" s="40">
        <f>IF(A739="","",IFERROR(INDEX(Maniobras!$B$5:$B$504,MATCH(A739,Maniobras!$A$5:$A$504,0)),""))</f>
        <v/>
      </c>
      <c r="C739" s="36">
        <f>IF(B739="","",TEXT(B739,"yyyy-mm"))</f>
        <v/>
      </c>
      <c r="D739" s="36">
        <f>IF(A739="","",IFERROR(INDEX(Maniobras!$D$5:$D$504,MATCH(A739,Maniobras!$A$5:$A$504,0)),""))</f>
        <v/>
      </c>
      <c r="E739" s="36" t="n"/>
      <c r="F739" s="37">
        <f>IF(A739="","",IFERROR(INDEX(Maniobras!$K$5:$K$504,MATCH(A739,Maniobras!$A$5:$A$504,0)),""))</f>
        <v/>
      </c>
      <c r="G739" s="37" t="n"/>
      <c r="H739" s="37" t="n"/>
      <c r="I739" s="37">
        <f>IF(G739="","",G739+N(H739))</f>
        <v/>
      </c>
      <c r="J739" s="36" t="n"/>
      <c r="K739" s="40" t="n"/>
      <c r="L739" s="36" t="n"/>
      <c r="M739">
        <f>IF($A739=Ficha!$B$3,COUNTIF($A$5:$A739,Ficha!$B$3),"")</f>
        <v/>
      </c>
    </row>
    <row r="740">
      <c r="A740" s="38" t="n"/>
      <c r="B740" s="41">
        <f>IF(A740="","",IFERROR(INDEX(Maniobras!$B$5:$B$504,MATCH(A740,Maniobras!$A$5:$A$504,0)),""))</f>
        <v/>
      </c>
      <c r="C740" s="38">
        <f>IF(B740="","",TEXT(B740,"yyyy-mm"))</f>
        <v/>
      </c>
      <c r="D740" s="38">
        <f>IF(A740="","",IFERROR(INDEX(Maniobras!$D$5:$D$504,MATCH(A740,Maniobras!$A$5:$A$504,0)),""))</f>
        <v/>
      </c>
      <c r="E740" s="38" t="n"/>
      <c r="F740" s="39">
        <f>IF(A740="","",IFERROR(INDEX(Maniobras!$K$5:$K$504,MATCH(A740,Maniobras!$A$5:$A$504,0)),""))</f>
        <v/>
      </c>
      <c r="G740" s="39" t="n"/>
      <c r="H740" s="39" t="n"/>
      <c r="I740" s="39">
        <f>IF(G740="","",G740+N(H740))</f>
        <v/>
      </c>
      <c r="J740" s="38" t="n"/>
      <c r="K740" s="41" t="n"/>
      <c r="L740" s="38" t="n"/>
      <c r="M740">
        <f>IF($A740=Ficha!$B$3,COUNTIF($A$5:$A740,Ficha!$B$3),"")</f>
        <v/>
      </c>
    </row>
    <row r="741">
      <c r="A741" s="36" t="n"/>
      <c r="B741" s="40">
        <f>IF(A741="","",IFERROR(INDEX(Maniobras!$B$5:$B$504,MATCH(A741,Maniobras!$A$5:$A$504,0)),""))</f>
        <v/>
      </c>
      <c r="C741" s="36">
        <f>IF(B741="","",TEXT(B741,"yyyy-mm"))</f>
        <v/>
      </c>
      <c r="D741" s="36">
        <f>IF(A741="","",IFERROR(INDEX(Maniobras!$D$5:$D$504,MATCH(A741,Maniobras!$A$5:$A$504,0)),""))</f>
        <v/>
      </c>
      <c r="E741" s="36" t="n"/>
      <c r="F741" s="37">
        <f>IF(A741="","",IFERROR(INDEX(Maniobras!$K$5:$K$504,MATCH(A741,Maniobras!$A$5:$A$504,0)),""))</f>
        <v/>
      </c>
      <c r="G741" s="37" t="n"/>
      <c r="H741" s="37" t="n"/>
      <c r="I741" s="37">
        <f>IF(G741="","",G741+N(H741))</f>
        <v/>
      </c>
      <c r="J741" s="36" t="n"/>
      <c r="K741" s="40" t="n"/>
      <c r="L741" s="36" t="n"/>
      <c r="M741">
        <f>IF($A741=Ficha!$B$3,COUNTIF($A$5:$A741,Ficha!$B$3),"")</f>
        <v/>
      </c>
    </row>
    <row r="742">
      <c r="A742" s="38" t="n"/>
      <c r="B742" s="41">
        <f>IF(A742="","",IFERROR(INDEX(Maniobras!$B$5:$B$504,MATCH(A742,Maniobras!$A$5:$A$504,0)),""))</f>
        <v/>
      </c>
      <c r="C742" s="38">
        <f>IF(B742="","",TEXT(B742,"yyyy-mm"))</f>
        <v/>
      </c>
      <c r="D742" s="38">
        <f>IF(A742="","",IFERROR(INDEX(Maniobras!$D$5:$D$504,MATCH(A742,Maniobras!$A$5:$A$504,0)),""))</f>
        <v/>
      </c>
      <c r="E742" s="38" t="n"/>
      <c r="F742" s="39">
        <f>IF(A742="","",IFERROR(INDEX(Maniobras!$K$5:$K$504,MATCH(A742,Maniobras!$A$5:$A$504,0)),""))</f>
        <v/>
      </c>
      <c r="G742" s="39" t="n"/>
      <c r="H742" s="39" t="n"/>
      <c r="I742" s="39">
        <f>IF(G742="","",G742+N(H742))</f>
        <v/>
      </c>
      <c r="J742" s="38" t="n"/>
      <c r="K742" s="41" t="n"/>
      <c r="L742" s="38" t="n"/>
      <c r="M742">
        <f>IF($A742=Ficha!$B$3,COUNTIF($A$5:$A742,Ficha!$B$3),"")</f>
        <v/>
      </c>
    </row>
    <row r="743">
      <c r="A743" s="36" t="n"/>
      <c r="B743" s="40">
        <f>IF(A743="","",IFERROR(INDEX(Maniobras!$B$5:$B$504,MATCH(A743,Maniobras!$A$5:$A$504,0)),""))</f>
        <v/>
      </c>
      <c r="C743" s="36">
        <f>IF(B743="","",TEXT(B743,"yyyy-mm"))</f>
        <v/>
      </c>
      <c r="D743" s="36">
        <f>IF(A743="","",IFERROR(INDEX(Maniobras!$D$5:$D$504,MATCH(A743,Maniobras!$A$5:$A$504,0)),""))</f>
        <v/>
      </c>
      <c r="E743" s="36" t="n"/>
      <c r="F743" s="37">
        <f>IF(A743="","",IFERROR(INDEX(Maniobras!$K$5:$K$504,MATCH(A743,Maniobras!$A$5:$A$504,0)),""))</f>
        <v/>
      </c>
      <c r="G743" s="37" t="n"/>
      <c r="H743" s="37" t="n"/>
      <c r="I743" s="37">
        <f>IF(G743="","",G743+N(H743))</f>
        <v/>
      </c>
      <c r="J743" s="36" t="n"/>
      <c r="K743" s="40" t="n"/>
      <c r="L743" s="36" t="n"/>
      <c r="M743">
        <f>IF($A743=Ficha!$B$3,COUNTIF($A$5:$A743,Ficha!$B$3),"")</f>
        <v/>
      </c>
    </row>
    <row r="744">
      <c r="A744" s="38" t="n"/>
      <c r="B744" s="41">
        <f>IF(A744="","",IFERROR(INDEX(Maniobras!$B$5:$B$504,MATCH(A744,Maniobras!$A$5:$A$504,0)),""))</f>
        <v/>
      </c>
      <c r="C744" s="38">
        <f>IF(B744="","",TEXT(B744,"yyyy-mm"))</f>
        <v/>
      </c>
      <c r="D744" s="38">
        <f>IF(A744="","",IFERROR(INDEX(Maniobras!$D$5:$D$504,MATCH(A744,Maniobras!$A$5:$A$504,0)),""))</f>
        <v/>
      </c>
      <c r="E744" s="38" t="n"/>
      <c r="F744" s="39">
        <f>IF(A744="","",IFERROR(INDEX(Maniobras!$K$5:$K$504,MATCH(A744,Maniobras!$A$5:$A$504,0)),""))</f>
        <v/>
      </c>
      <c r="G744" s="39" t="n"/>
      <c r="H744" s="39" t="n"/>
      <c r="I744" s="39">
        <f>IF(G744="","",G744+N(H744))</f>
        <v/>
      </c>
      <c r="J744" s="38" t="n"/>
      <c r="K744" s="41" t="n"/>
      <c r="L744" s="38" t="n"/>
      <c r="M744">
        <f>IF($A744=Ficha!$B$3,COUNTIF($A$5:$A744,Ficha!$B$3),"")</f>
        <v/>
      </c>
    </row>
    <row r="745">
      <c r="A745" s="36" t="n"/>
      <c r="B745" s="40">
        <f>IF(A745="","",IFERROR(INDEX(Maniobras!$B$5:$B$504,MATCH(A745,Maniobras!$A$5:$A$504,0)),""))</f>
        <v/>
      </c>
      <c r="C745" s="36">
        <f>IF(B745="","",TEXT(B745,"yyyy-mm"))</f>
        <v/>
      </c>
      <c r="D745" s="36">
        <f>IF(A745="","",IFERROR(INDEX(Maniobras!$D$5:$D$504,MATCH(A745,Maniobras!$A$5:$A$504,0)),""))</f>
        <v/>
      </c>
      <c r="E745" s="36" t="n"/>
      <c r="F745" s="37">
        <f>IF(A745="","",IFERROR(INDEX(Maniobras!$K$5:$K$504,MATCH(A745,Maniobras!$A$5:$A$504,0)),""))</f>
        <v/>
      </c>
      <c r="G745" s="37" t="n"/>
      <c r="H745" s="37" t="n"/>
      <c r="I745" s="37">
        <f>IF(G745="","",G745+N(H745))</f>
        <v/>
      </c>
      <c r="J745" s="36" t="n"/>
      <c r="K745" s="40" t="n"/>
      <c r="L745" s="36" t="n"/>
      <c r="M745">
        <f>IF($A745=Ficha!$B$3,COUNTIF($A$5:$A745,Ficha!$B$3),"")</f>
        <v/>
      </c>
    </row>
    <row r="746">
      <c r="A746" s="38" t="n"/>
      <c r="B746" s="41">
        <f>IF(A746="","",IFERROR(INDEX(Maniobras!$B$5:$B$504,MATCH(A746,Maniobras!$A$5:$A$504,0)),""))</f>
        <v/>
      </c>
      <c r="C746" s="38">
        <f>IF(B746="","",TEXT(B746,"yyyy-mm"))</f>
        <v/>
      </c>
      <c r="D746" s="38">
        <f>IF(A746="","",IFERROR(INDEX(Maniobras!$D$5:$D$504,MATCH(A746,Maniobras!$A$5:$A$504,0)),""))</f>
        <v/>
      </c>
      <c r="E746" s="38" t="n"/>
      <c r="F746" s="39">
        <f>IF(A746="","",IFERROR(INDEX(Maniobras!$K$5:$K$504,MATCH(A746,Maniobras!$A$5:$A$504,0)),""))</f>
        <v/>
      </c>
      <c r="G746" s="39" t="n"/>
      <c r="H746" s="39" t="n"/>
      <c r="I746" s="39">
        <f>IF(G746="","",G746+N(H746))</f>
        <v/>
      </c>
      <c r="J746" s="38" t="n"/>
      <c r="K746" s="41" t="n"/>
      <c r="L746" s="38" t="n"/>
      <c r="M746">
        <f>IF($A746=Ficha!$B$3,COUNTIF($A$5:$A746,Ficha!$B$3),"")</f>
        <v/>
      </c>
    </row>
    <row r="747">
      <c r="A747" s="36" t="n"/>
      <c r="B747" s="40">
        <f>IF(A747="","",IFERROR(INDEX(Maniobras!$B$5:$B$504,MATCH(A747,Maniobras!$A$5:$A$504,0)),""))</f>
        <v/>
      </c>
      <c r="C747" s="36">
        <f>IF(B747="","",TEXT(B747,"yyyy-mm"))</f>
        <v/>
      </c>
      <c r="D747" s="36">
        <f>IF(A747="","",IFERROR(INDEX(Maniobras!$D$5:$D$504,MATCH(A747,Maniobras!$A$5:$A$504,0)),""))</f>
        <v/>
      </c>
      <c r="E747" s="36" t="n"/>
      <c r="F747" s="37">
        <f>IF(A747="","",IFERROR(INDEX(Maniobras!$K$5:$K$504,MATCH(A747,Maniobras!$A$5:$A$504,0)),""))</f>
        <v/>
      </c>
      <c r="G747" s="37" t="n"/>
      <c r="H747" s="37" t="n"/>
      <c r="I747" s="37">
        <f>IF(G747="","",G747+N(H747))</f>
        <v/>
      </c>
      <c r="J747" s="36" t="n"/>
      <c r="K747" s="40" t="n"/>
      <c r="L747" s="36" t="n"/>
      <c r="M747">
        <f>IF($A747=Ficha!$B$3,COUNTIF($A$5:$A747,Ficha!$B$3),"")</f>
        <v/>
      </c>
    </row>
    <row r="748">
      <c r="A748" s="38" t="n"/>
      <c r="B748" s="41">
        <f>IF(A748="","",IFERROR(INDEX(Maniobras!$B$5:$B$504,MATCH(A748,Maniobras!$A$5:$A$504,0)),""))</f>
        <v/>
      </c>
      <c r="C748" s="38">
        <f>IF(B748="","",TEXT(B748,"yyyy-mm"))</f>
        <v/>
      </c>
      <c r="D748" s="38">
        <f>IF(A748="","",IFERROR(INDEX(Maniobras!$D$5:$D$504,MATCH(A748,Maniobras!$A$5:$A$504,0)),""))</f>
        <v/>
      </c>
      <c r="E748" s="38" t="n"/>
      <c r="F748" s="39">
        <f>IF(A748="","",IFERROR(INDEX(Maniobras!$K$5:$K$504,MATCH(A748,Maniobras!$A$5:$A$504,0)),""))</f>
        <v/>
      </c>
      <c r="G748" s="39" t="n"/>
      <c r="H748" s="39" t="n"/>
      <c r="I748" s="39">
        <f>IF(G748="","",G748+N(H748))</f>
        <v/>
      </c>
      <c r="J748" s="38" t="n"/>
      <c r="K748" s="41" t="n"/>
      <c r="L748" s="38" t="n"/>
      <c r="M748">
        <f>IF($A748=Ficha!$B$3,COUNTIF($A$5:$A748,Ficha!$B$3),"")</f>
        <v/>
      </c>
    </row>
    <row r="749">
      <c r="A749" s="36" t="n"/>
      <c r="B749" s="40">
        <f>IF(A749="","",IFERROR(INDEX(Maniobras!$B$5:$B$504,MATCH(A749,Maniobras!$A$5:$A$504,0)),""))</f>
        <v/>
      </c>
      <c r="C749" s="36">
        <f>IF(B749="","",TEXT(B749,"yyyy-mm"))</f>
        <v/>
      </c>
      <c r="D749" s="36">
        <f>IF(A749="","",IFERROR(INDEX(Maniobras!$D$5:$D$504,MATCH(A749,Maniobras!$A$5:$A$504,0)),""))</f>
        <v/>
      </c>
      <c r="E749" s="36" t="n"/>
      <c r="F749" s="37">
        <f>IF(A749="","",IFERROR(INDEX(Maniobras!$K$5:$K$504,MATCH(A749,Maniobras!$A$5:$A$504,0)),""))</f>
        <v/>
      </c>
      <c r="G749" s="37" t="n"/>
      <c r="H749" s="37" t="n"/>
      <c r="I749" s="37">
        <f>IF(G749="","",G749+N(H749))</f>
        <v/>
      </c>
      <c r="J749" s="36" t="n"/>
      <c r="K749" s="40" t="n"/>
      <c r="L749" s="36" t="n"/>
      <c r="M749">
        <f>IF($A749=Ficha!$B$3,COUNTIF($A$5:$A749,Ficha!$B$3),"")</f>
        <v/>
      </c>
    </row>
    <row r="750">
      <c r="A750" s="38" t="n"/>
      <c r="B750" s="41">
        <f>IF(A750="","",IFERROR(INDEX(Maniobras!$B$5:$B$504,MATCH(A750,Maniobras!$A$5:$A$504,0)),""))</f>
        <v/>
      </c>
      <c r="C750" s="38">
        <f>IF(B750="","",TEXT(B750,"yyyy-mm"))</f>
        <v/>
      </c>
      <c r="D750" s="38">
        <f>IF(A750="","",IFERROR(INDEX(Maniobras!$D$5:$D$504,MATCH(A750,Maniobras!$A$5:$A$504,0)),""))</f>
        <v/>
      </c>
      <c r="E750" s="38" t="n"/>
      <c r="F750" s="39">
        <f>IF(A750="","",IFERROR(INDEX(Maniobras!$K$5:$K$504,MATCH(A750,Maniobras!$A$5:$A$504,0)),""))</f>
        <v/>
      </c>
      <c r="G750" s="39" t="n"/>
      <c r="H750" s="39" t="n"/>
      <c r="I750" s="39">
        <f>IF(G750="","",G750+N(H750))</f>
        <v/>
      </c>
      <c r="J750" s="38" t="n"/>
      <c r="K750" s="41" t="n"/>
      <c r="L750" s="38" t="n"/>
      <c r="M750">
        <f>IF($A750=Ficha!$B$3,COUNTIF($A$5:$A750,Ficha!$B$3),"")</f>
        <v/>
      </c>
    </row>
    <row r="751">
      <c r="A751" s="36" t="n"/>
      <c r="B751" s="40">
        <f>IF(A751="","",IFERROR(INDEX(Maniobras!$B$5:$B$504,MATCH(A751,Maniobras!$A$5:$A$504,0)),""))</f>
        <v/>
      </c>
      <c r="C751" s="36">
        <f>IF(B751="","",TEXT(B751,"yyyy-mm"))</f>
        <v/>
      </c>
      <c r="D751" s="36">
        <f>IF(A751="","",IFERROR(INDEX(Maniobras!$D$5:$D$504,MATCH(A751,Maniobras!$A$5:$A$504,0)),""))</f>
        <v/>
      </c>
      <c r="E751" s="36" t="n"/>
      <c r="F751" s="37">
        <f>IF(A751="","",IFERROR(INDEX(Maniobras!$K$5:$K$504,MATCH(A751,Maniobras!$A$5:$A$504,0)),""))</f>
        <v/>
      </c>
      <c r="G751" s="37" t="n"/>
      <c r="H751" s="37" t="n"/>
      <c r="I751" s="37">
        <f>IF(G751="","",G751+N(H751))</f>
        <v/>
      </c>
      <c r="J751" s="36" t="n"/>
      <c r="K751" s="40" t="n"/>
      <c r="L751" s="36" t="n"/>
      <c r="M751">
        <f>IF($A751=Ficha!$B$3,COUNTIF($A$5:$A751,Ficha!$B$3),"")</f>
        <v/>
      </c>
    </row>
    <row r="752">
      <c r="A752" s="38" t="n"/>
      <c r="B752" s="41">
        <f>IF(A752="","",IFERROR(INDEX(Maniobras!$B$5:$B$504,MATCH(A752,Maniobras!$A$5:$A$504,0)),""))</f>
        <v/>
      </c>
      <c r="C752" s="38">
        <f>IF(B752="","",TEXT(B752,"yyyy-mm"))</f>
        <v/>
      </c>
      <c r="D752" s="38">
        <f>IF(A752="","",IFERROR(INDEX(Maniobras!$D$5:$D$504,MATCH(A752,Maniobras!$A$5:$A$504,0)),""))</f>
        <v/>
      </c>
      <c r="E752" s="38" t="n"/>
      <c r="F752" s="39">
        <f>IF(A752="","",IFERROR(INDEX(Maniobras!$K$5:$K$504,MATCH(A752,Maniobras!$A$5:$A$504,0)),""))</f>
        <v/>
      </c>
      <c r="G752" s="39" t="n"/>
      <c r="H752" s="39" t="n"/>
      <c r="I752" s="39">
        <f>IF(G752="","",G752+N(H752))</f>
        <v/>
      </c>
      <c r="J752" s="38" t="n"/>
      <c r="K752" s="41" t="n"/>
      <c r="L752" s="38" t="n"/>
      <c r="M752">
        <f>IF($A752=Ficha!$B$3,COUNTIF($A$5:$A752,Ficha!$B$3),"")</f>
        <v/>
      </c>
    </row>
    <row r="753">
      <c r="A753" s="36" t="n"/>
      <c r="B753" s="40">
        <f>IF(A753="","",IFERROR(INDEX(Maniobras!$B$5:$B$504,MATCH(A753,Maniobras!$A$5:$A$504,0)),""))</f>
        <v/>
      </c>
      <c r="C753" s="36">
        <f>IF(B753="","",TEXT(B753,"yyyy-mm"))</f>
        <v/>
      </c>
      <c r="D753" s="36">
        <f>IF(A753="","",IFERROR(INDEX(Maniobras!$D$5:$D$504,MATCH(A753,Maniobras!$A$5:$A$504,0)),""))</f>
        <v/>
      </c>
      <c r="E753" s="36" t="n"/>
      <c r="F753" s="37">
        <f>IF(A753="","",IFERROR(INDEX(Maniobras!$K$5:$K$504,MATCH(A753,Maniobras!$A$5:$A$504,0)),""))</f>
        <v/>
      </c>
      <c r="G753" s="37" t="n"/>
      <c r="H753" s="37" t="n"/>
      <c r="I753" s="37">
        <f>IF(G753="","",G753+N(H753))</f>
        <v/>
      </c>
      <c r="J753" s="36" t="n"/>
      <c r="K753" s="40" t="n"/>
      <c r="L753" s="36" t="n"/>
      <c r="M753">
        <f>IF($A753=Ficha!$B$3,COUNTIF($A$5:$A753,Ficha!$B$3),"")</f>
        <v/>
      </c>
    </row>
    <row r="754">
      <c r="A754" s="38" t="n"/>
      <c r="B754" s="41">
        <f>IF(A754="","",IFERROR(INDEX(Maniobras!$B$5:$B$504,MATCH(A754,Maniobras!$A$5:$A$504,0)),""))</f>
        <v/>
      </c>
      <c r="C754" s="38">
        <f>IF(B754="","",TEXT(B754,"yyyy-mm"))</f>
        <v/>
      </c>
      <c r="D754" s="38">
        <f>IF(A754="","",IFERROR(INDEX(Maniobras!$D$5:$D$504,MATCH(A754,Maniobras!$A$5:$A$504,0)),""))</f>
        <v/>
      </c>
      <c r="E754" s="38" t="n"/>
      <c r="F754" s="39">
        <f>IF(A754="","",IFERROR(INDEX(Maniobras!$K$5:$K$504,MATCH(A754,Maniobras!$A$5:$A$504,0)),""))</f>
        <v/>
      </c>
      <c r="G754" s="39" t="n"/>
      <c r="H754" s="39" t="n"/>
      <c r="I754" s="39">
        <f>IF(G754="","",G754+N(H754))</f>
        <v/>
      </c>
      <c r="J754" s="38" t="n"/>
      <c r="K754" s="41" t="n"/>
      <c r="L754" s="38" t="n"/>
      <c r="M754">
        <f>IF($A754=Ficha!$B$3,COUNTIF($A$5:$A754,Ficha!$B$3),"")</f>
        <v/>
      </c>
    </row>
    <row r="755">
      <c r="A755" s="36" t="n"/>
      <c r="B755" s="40">
        <f>IF(A755="","",IFERROR(INDEX(Maniobras!$B$5:$B$504,MATCH(A755,Maniobras!$A$5:$A$504,0)),""))</f>
        <v/>
      </c>
      <c r="C755" s="36">
        <f>IF(B755="","",TEXT(B755,"yyyy-mm"))</f>
        <v/>
      </c>
      <c r="D755" s="36">
        <f>IF(A755="","",IFERROR(INDEX(Maniobras!$D$5:$D$504,MATCH(A755,Maniobras!$A$5:$A$504,0)),""))</f>
        <v/>
      </c>
      <c r="E755" s="36" t="n"/>
      <c r="F755" s="37">
        <f>IF(A755="","",IFERROR(INDEX(Maniobras!$K$5:$K$504,MATCH(A755,Maniobras!$A$5:$A$504,0)),""))</f>
        <v/>
      </c>
      <c r="G755" s="37" t="n"/>
      <c r="H755" s="37" t="n"/>
      <c r="I755" s="37">
        <f>IF(G755="","",G755+N(H755))</f>
        <v/>
      </c>
      <c r="J755" s="36" t="n"/>
      <c r="K755" s="40" t="n"/>
      <c r="L755" s="36" t="n"/>
      <c r="M755">
        <f>IF($A755=Ficha!$B$3,COUNTIF($A$5:$A755,Ficha!$B$3),"")</f>
        <v/>
      </c>
    </row>
    <row r="756">
      <c r="A756" s="38" t="n"/>
      <c r="B756" s="41">
        <f>IF(A756="","",IFERROR(INDEX(Maniobras!$B$5:$B$504,MATCH(A756,Maniobras!$A$5:$A$504,0)),""))</f>
        <v/>
      </c>
      <c r="C756" s="38">
        <f>IF(B756="","",TEXT(B756,"yyyy-mm"))</f>
        <v/>
      </c>
      <c r="D756" s="38">
        <f>IF(A756="","",IFERROR(INDEX(Maniobras!$D$5:$D$504,MATCH(A756,Maniobras!$A$5:$A$504,0)),""))</f>
        <v/>
      </c>
      <c r="E756" s="38" t="n"/>
      <c r="F756" s="39">
        <f>IF(A756="","",IFERROR(INDEX(Maniobras!$K$5:$K$504,MATCH(A756,Maniobras!$A$5:$A$504,0)),""))</f>
        <v/>
      </c>
      <c r="G756" s="39" t="n"/>
      <c r="H756" s="39" t="n"/>
      <c r="I756" s="39">
        <f>IF(G756="","",G756+N(H756))</f>
        <v/>
      </c>
      <c r="J756" s="38" t="n"/>
      <c r="K756" s="41" t="n"/>
      <c r="L756" s="38" t="n"/>
      <c r="M756">
        <f>IF($A756=Ficha!$B$3,COUNTIF($A$5:$A756,Ficha!$B$3),"")</f>
        <v/>
      </c>
    </row>
    <row r="757">
      <c r="A757" s="36" t="n"/>
      <c r="B757" s="40">
        <f>IF(A757="","",IFERROR(INDEX(Maniobras!$B$5:$B$504,MATCH(A757,Maniobras!$A$5:$A$504,0)),""))</f>
        <v/>
      </c>
      <c r="C757" s="36">
        <f>IF(B757="","",TEXT(B757,"yyyy-mm"))</f>
        <v/>
      </c>
      <c r="D757" s="36">
        <f>IF(A757="","",IFERROR(INDEX(Maniobras!$D$5:$D$504,MATCH(A757,Maniobras!$A$5:$A$504,0)),""))</f>
        <v/>
      </c>
      <c r="E757" s="36" t="n"/>
      <c r="F757" s="37">
        <f>IF(A757="","",IFERROR(INDEX(Maniobras!$K$5:$K$504,MATCH(A757,Maniobras!$A$5:$A$504,0)),""))</f>
        <v/>
      </c>
      <c r="G757" s="37" t="n"/>
      <c r="H757" s="37" t="n"/>
      <c r="I757" s="37">
        <f>IF(G757="","",G757+N(H757))</f>
        <v/>
      </c>
      <c r="J757" s="36" t="n"/>
      <c r="K757" s="40" t="n"/>
      <c r="L757" s="36" t="n"/>
      <c r="M757">
        <f>IF($A757=Ficha!$B$3,COUNTIF($A$5:$A757,Ficha!$B$3),"")</f>
        <v/>
      </c>
    </row>
    <row r="758">
      <c r="A758" s="38" t="n"/>
      <c r="B758" s="41">
        <f>IF(A758="","",IFERROR(INDEX(Maniobras!$B$5:$B$504,MATCH(A758,Maniobras!$A$5:$A$504,0)),""))</f>
        <v/>
      </c>
      <c r="C758" s="38">
        <f>IF(B758="","",TEXT(B758,"yyyy-mm"))</f>
        <v/>
      </c>
      <c r="D758" s="38">
        <f>IF(A758="","",IFERROR(INDEX(Maniobras!$D$5:$D$504,MATCH(A758,Maniobras!$A$5:$A$504,0)),""))</f>
        <v/>
      </c>
      <c r="E758" s="38" t="n"/>
      <c r="F758" s="39">
        <f>IF(A758="","",IFERROR(INDEX(Maniobras!$K$5:$K$504,MATCH(A758,Maniobras!$A$5:$A$504,0)),""))</f>
        <v/>
      </c>
      <c r="G758" s="39" t="n"/>
      <c r="H758" s="39" t="n"/>
      <c r="I758" s="39">
        <f>IF(G758="","",G758+N(H758))</f>
        <v/>
      </c>
      <c r="J758" s="38" t="n"/>
      <c r="K758" s="41" t="n"/>
      <c r="L758" s="38" t="n"/>
      <c r="M758">
        <f>IF($A758=Ficha!$B$3,COUNTIF($A$5:$A758,Ficha!$B$3),"")</f>
        <v/>
      </c>
    </row>
    <row r="759">
      <c r="A759" s="36" t="n"/>
      <c r="B759" s="40">
        <f>IF(A759="","",IFERROR(INDEX(Maniobras!$B$5:$B$504,MATCH(A759,Maniobras!$A$5:$A$504,0)),""))</f>
        <v/>
      </c>
      <c r="C759" s="36">
        <f>IF(B759="","",TEXT(B759,"yyyy-mm"))</f>
        <v/>
      </c>
      <c r="D759" s="36">
        <f>IF(A759="","",IFERROR(INDEX(Maniobras!$D$5:$D$504,MATCH(A759,Maniobras!$A$5:$A$504,0)),""))</f>
        <v/>
      </c>
      <c r="E759" s="36" t="n"/>
      <c r="F759" s="37">
        <f>IF(A759="","",IFERROR(INDEX(Maniobras!$K$5:$K$504,MATCH(A759,Maniobras!$A$5:$A$504,0)),""))</f>
        <v/>
      </c>
      <c r="G759" s="37" t="n"/>
      <c r="H759" s="37" t="n"/>
      <c r="I759" s="37">
        <f>IF(G759="","",G759+N(H759))</f>
        <v/>
      </c>
      <c r="J759" s="36" t="n"/>
      <c r="K759" s="40" t="n"/>
      <c r="L759" s="36" t="n"/>
      <c r="M759">
        <f>IF($A759=Ficha!$B$3,COUNTIF($A$5:$A759,Ficha!$B$3),"")</f>
        <v/>
      </c>
    </row>
    <row r="760">
      <c r="A760" s="38" t="n"/>
      <c r="B760" s="41">
        <f>IF(A760="","",IFERROR(INDEX(Maniobras!$B$5:$B$504,MATCH(A760,Maniobras!$A$5:$A$504,0)),""))</f>
        <v/>
      </c>
      <c r="C760" s="38">
        <f>IF(B760="","",TEXT(B760,"yyyy-mm"))</f>
        <v/>
      </c>
      <c r="D760" s="38">
        <f>IF(A760="","",IFERROR(INDEX(Maniobras!$D$5:$D$504,MATCH(A760,Maniobras!$A$5:$A$504,0)),""))</f>
        <v/>
      </c>
      <c r="E760" s="38" t="n"/>
      <c r="F760" s="39">
        <f>IF(A760="","",IFERROR(INDEX(Maniobras!$K$5:$K$504,MATCH(A760,Maniobras!$A$5:$A$504,0)),""))</f>
        <v/>
      </c>
      <c r="G760" s="39" t="n"/>
      <c r="H760" s="39" t="n"/>
      <c r="I760" s="39">
        <f>IF(G760="","",G760+N(H760))</f>
        <v/>
      </c>
      <c r="J760" s="38" t="n"/>
      <c r="K760" s="41" t="n"/>
      <c r="L760" s="38" t="n"/>
      <c r="M760">
        <f>IF($A760=Ficha!$B$3,COUNTIF($A$5:$A760,Ficha!$B$3),"")</f>
        <v/>
      </c>
    </row>
    <row r="761">
      <c r="A761" s="36" t="n"/>
      <c r="B761" s="40">
        <f>IF(A761="","",IFERROR(INDEX(Maniobras!$B$5:$B$504,MATCH(A761,Maniobras!$A$5:$A$504,0)),""))</f>
        <v/>
      </c>
      <c r="C761" s="36">
        <f>IF(B761="","",TEXT(B761,"yyyy-mm"))</f>
        <v/>
      </c>
      <c r="D761" s="36">
        <f>IF(A761="","",IFERROR(INDEX(Maniobras!$D$5:$D$504,MATCH(A761,Maniobras!$A$5:$A$504,0)),""))</f>
        <v/>
      </c>
      <c r="E761" s="36" t="n"/>
      <c r="F761" s="37">
        <f>IF(A761="","",IFERROR(INDEX(Maniobras!$K$5:$K$504,MATCH(A761,Maniobras!$A$5:$A$504,0)),""))</f>
        <v/>
      </c>
      <c r="G761" s="37" t="n"/>
      <c r="H761" s="37" t="n"/>
      <c r="I761" s="37">
        <f>IF(G761="","",G761+N(H761))</f>
        <v/>
      </c>
      <c r="J761" s="36" t="n"/>
      <c r="K761" s="40" t="n"/>
      <c r="L761" s="36" t="n"/>
      <c r="M761">
        <f>IF($A761=Ficha!$B$3,COUNTIF($A$5:$A761,Ficha!$B$3),"")</f>
        <v/>
      </c>
    </row>
    <row r="762">
      <c r="A762" s="38" t="n"/>
      <c r="B762" s="41">
        <f>IF(A762="","",IFERROR(INDEX(Maniobras!$B$5:$B$504,MATCH(A762,Maniobras!$A$5:$A$504,0)),""))</f>
        <v/>
      </c>
      <c r="C762" s="38">
        <f>IF(B762="","",TEXT(B762,"yyyy-mm"))</f>
        <v/>
      </c>
      <c r="D762" s="38">
        <f>IF(A762="","",IFERROR(INDEX(Maniobras!$D$5:$D$504,MATCH(A762,Maniobras!$A$5:$A$504,0)),""))</f>
        <v/>
      </c>
      <c r="E762" s="38" t="n"/>
      <c r="F762" s="39">
        <f>IF(A762="","",IFERROR(INDEX(Maniobras!$K$5:$K$504,MATCH(A762,Maniobras!$A$5:$A$504,0)),""))</f>
        <v/>
      </c>
      <c r="G762" s="39" t="n"/>
      <c r="H762" s="39" t="n"/>
      <c r="I762" s="39">
        <f>IF(G762="","",G762+N(H762))</f>
        <v/>
      </c>
      <c r="J762" s="38" t="n"/>
      <c r="K762" s="41" t="n"/>
      <c r="L762" s="38" t="n"/>
      <c r="M762">
        <f>IF($A762=Ficha!$B$3,COUNTIF($A$5:$A762,Ficha!$B$3),"")</f>
        <v/>
      </c>
    </row>
    <row r="763">
      <c r="A763" s="36" t="n"/>
      <c r="B763" s="40">
        <f>IF(A763="","",IFERROR(INDEX(Maniobras!$B$5:$B$504,MATCH(A763,Maniobras!$A$5:$A$504,0)),""))</f>
        <v/>
      </c>
      <c r="C763" s="36">
        <f>IF(B763="","",TEXT(B763,"yyyy-mm"))</f>
        <v/>
      </c>
      <c r="D763" s="36">
        <f>IF(A763="","",IFERROR(INDEX(Maniobras!$D$5:$D$504,MATCH(A763,Maniobras!$A$5:$A$504,0)),""))</f>
        <v/>
      </c>
      <c r="E763" s="36" t="n"/>
      <c r="F763" s="37">
        <f>IF(A763="","",IFERROR(INDEX(Maniobras!$K$5:$K$504,MATCH(A763,Maniobras!$A$5:$A$504,0)),""))</f>
        <v/>
      </c>
      <c r="G763" s="37" t="n"/>
      <c r="H763" s="37" t="n"/>
      <c r="I763" s="37">
        <f>IF(G763="","",G763+N(H763))</f>
        <v/>
      </c>
      <c r="J763" s="36" t="n"/>
      <c r="K763" s="40" t="n"/>
      <c r="L763" s="36" t="n"/>
      <c r="M763">
        <f>IF($A763=Ficha!$B$3,COUNTIF($A$5:$A763,Ficha!$B$3),"")</f>
        <v/>
      </c>
    </row>
    <row r="764">
      <c r="A764" s="38" t="n"/>
      <c r="B764" s="41">
        <f>IF(A764="","",IFERROR(INDEX(Maniobras!$B$5:$B$504,MATCH(A764,Maniobras!$A$5:$A$504,0)),""))</f>
        <v/>
      </c>
      <c r="C764" s="38">
        <f>IF(B764="","",TEXT(B764,"yyyy-mm"))</f>
        <v/>
      </c>
      <c r="D764" s="38">
        <f>IF(A764="","",IFERROR(INDEX(Maniobras!$D$5:$D$504,MATCH(A764,Maniobras!$A$5:$A$504,0)),""))</f>
        <v/>
      </c>
      <c r="E764" s="38" t="n"/>
      <c r="F764" s="39">
        <f>IF(A764="","",IFERROR(INDEX(Maniobras!$K$5:$K$504,MATCH(A764,Maniobras!$A$5:$A$504,0)),""))</f>
        <v/>
      </c>
      <c r="G764" s="39" t="n"/>
      <c r="H764" s="39" t="n"/>
      <c r="I764" s="39">
        <f>IF(G764="","",G764+N(H764))</f>
        <v/>
      </c>
      <c r="J764" s="38" t="n"/>
      <c r="K764" s="41" t="n"/>
      <c r="L764" s="38" t="n"/>
      <c r="M764">
        <f>IF($A764=Ficha!$B$3,COUNTIF($A$5:$A764,Ficha!$B$3),"")</f>
        <v/>
      </c>
    </row>
    <row r="765">
      <c r="A765" s="36" t="n"/>
      <c r="B765" s="40">
        <f>IF(A765="","",IFERROR(INDEX(Maniobras!$B$5:$B$504,MATCH(A765,Maniobras!$A$5:$A$504,0)),""))</f>
        <v/>
      </c>
      <c r="C765" s="36">
        <f>IF(B765="","",TEXT(B765,"yyyy-mm"))</f>
        <v/>
      </c>
      <c r="D765" s="36">
        <f>IF(A765="","",IFERROR(INDEX(Maniobras!$D$5:$D$504,MATCH(A765,Maniobras!$A$5:$A$504,0)),""))</f>
        <v/>
      </c>
      <c r="E765" s="36" t="n"/>
      <c r="F765" s="37">
        <f>IF(A765="","",IFERROR(INDEX(Maniobras!$K$5:$K$504,MATCH(A765,Maniobras!$A$5:$A$504,0)),""))</f>
        <v/>
      </c>
      <c r="G765" s="37" t="n"/>
      <c r="H765" s="37" t="n"/>
      <c r="I765" s="37">
        <f>IF(G765="","",G765+N(H765))</f>
        <v/>
      </c>
      <c r="J765" s="36" t="n"/>
      <c r="K765" s="40" t="n"/>
      <c r="L765" s="36" t="n"/>
      <c r="M765">
        <f>IF($A765=Ficha!$B$3,COUNTIF($A$5:$A765,Ficha!$B$3),"")</f>
        <v/>
      </c>
    </row>
    <row r="766">
      <c r="A766" s="38" t="n"/>
      <c r="B766" s="41">
        <f>IF(A766="","",IFERROR(INDEX(Maniobras!$B$5:$B$504,MATCH(A766,Maniobras!$A$5:$A$504,0)),""))</f>
        <v/>
      </c>
      <c r="C766" s="38">
        <f>IF(B766="","",TEXT(B766,"yyyy-mm"))</f>
        <v/>
      </c>
      <c r="D766" s="38">
        <f>IF(A766="","",IFERROR(INDEX(Maniobras!$D$5:$D$504,MATCH(A766,Maniobras!$A$5:$A$504,0)),""))</f>
        <v/>
      </c>
      <c r="E766" s="38" t="n"/>
      <c r="F766" s="39">
        <f>IF(A766="","",IFERROR(INDEX(Maniobras!$K$5:$K$504,MATCH(A766,Maniobras!$A$5:$A$504,0)),""))</f>
        <v/>
      </c>
      <c r="G766" s="39" t="n"/>
      <c r="H766" s="39" t="n"/>
      <c r="I766" s="39">
        <f>IF(G766="","",G766+N(H766))</f>
        <v/>
      </c>
      <c r="J766" s="38" t="n"/>
      <c r="K766" s="41" t="n"/>
      <c r="L766" s="38" t="n"/>
      <c r="M766">
        <f>IF($A766=Ficha!$B$3,COUNTIF($A$5:$A766,Ficha!$B$3),"")</f>
        <v/>
      </c>
    </row>
    <row r="767">
      <c r="A767" s="36" t="n"/>
      <c r="B767" s="40">
        <f>IF(A767="","",IFERROR(INDEX(Maniobras!$B$5:$B$504,MATCH(A767,Maniobras!$A$5:$A$504,0)),""))</f>
        <v/>
      </c>
      <c r="C767" s="36">
        <f>IF(B767="","",TEXT(B767,"yyyy-mm"))</f>
        <v/>
      </c>
      <c r="D767" s="36">
        <f>IF(A767="","",IFERROR(INDEX(Maniobras!$D$5:$D$504,MATCH(A767,Maniobras!$A$5:$A$504,0)),""))</f>
        <v/>
      </c>
      <c r="E767" s="36" t="n"/>
      <c r="F767" s="37">
        <f>IF(A767="","",IFERROR(INDEX(Maniobras!$K$5:$K$504,MATCH(A767,Maniobras!$A$5:$A$504,0)),""))</f>
        <v/>
      </c>
      <c r="G767" s="37" t="n"/>
      <c r="H767" s="37" t="n"/>
      <c r="I767" s="37">
        <f>IF(G767="","",G767+N(H767))</f>
        <v/>
      </c>
      <c r="J767" s="36" t="n"/>
      <c r="K767" s="40" t="n"/>
      <c r="L767" s="36" t="n"/>
      <c r="M767">
        <f>IF($A767=Ficha!$B$3,COUNTIF($A$5:$A767,Ficha!$B$3),"")</f>
        <v/>
      </c>
    </row>
    <row r="768">
      <c r="A768" s="38" t="n"/>
      <c r="B768" s="41">
        <f>IF(A768="","",IFERROR(INDEX(Maniobras!$B$5:$B$504,MATCH(A768,Maniobras!$A$5:$A$504,0)),""))</f>
        <v/>
      </c>
      <c r="C768" s="38">
        <f>IF(B768="","",TEXT(B768,"yyyy-mm"))</f>
        <v/>
      </c>
      <c r="D768" s="38">
        <f>IF(A768="","",IFERROR(INDEX(Maniobras!$D$5:$D$504,MATCH(A768,Maniobras!$A$5:$A$504,0)),""))</f>
        <v/>
      </c>
      <c r="E768" s="38" t="n"/>
      <c r="F768" s="39">
        <f>IF(A768="","",IFERROR(INDEX(Maniobras!$K$5:$K$504,MATCH(A768,Maniobras!$A$5:$A$504,0)),""))</f>
        <v/>
      </c>
      <c r="G768" s="39" t="n"/>
      <c r="H768" s="39" t="n"/>
      <c r="I768" s="39">
        <f>IF(G768="","",G768+N(H768))</f>
        <v/>
      </c>
      <c r="J768" s="38" t="n"/>
      <c r="K768" s="41" t="n"/>
      <c r="L768" s="38" t="n"/>
      <c r="M768">
        <f>IF($A768=Ficha!$B$3,COUNTIF($A$5:$A768,Ficha!$B$3),"")</f>
        <v/>
      </c>
    </row>
    <row r="769">
      <c r="A769" s="36" t="n"/>
      <c r="B769" s="40">
        <f>IF(A769="","",IFERROR(INDEX(Maniobras!$B$5:$B$504,MATCH(A769,Maniobras!$A$5:$A$504,0)),""))</f>
        <v/>
      </c>
      <c r="C769" s="36">
        <f>IF(B769="","",TEXT(B769,"yyyy-mm"))</f>
        <v/>
      </c>
      <c r="D769" s="36">
        <f>IF(A769="","",IFERROR(INDEX(Maniobras!$D$5:$D$504,MATCH(A769,Maniobras!$A$5:$A$504,0)),""))</f>
        <v/>
      </c>
      <c r="E769" s="36" t="n"/>
      <c r="F769" s="37">
        <f>IF(A769="","",IFERROR(INDEX(Maniobras!$K$5:$K$504,MATCH(A769,Maniobras!$A$5:$A$504,0)),""))</f>
        <v/>
      </c>
      <c r="G769" s="37" t="n"/>
      <c r="H769" s="37" t="n"/>
      <c r="I769" s="37">
        <f>IF(G769="","",G769+N(H769))</f>
        <v/>
      </c>
      <c r="J769" s="36" t="n"/>
      <c r="K769" s="40" t="n"/>
      <c r="L769" s="36" t="n"/>
      <c r="M769">
        <f>IF($A769=Ficha!$B$3,COUNTIF($A$5:$A769,Ficha!$B$3),"")</f>
        <v/>
      </c>
    </row>
    <row r="770">
      <c r="A770" s="38" t="n"/>
      <c r="B770" s="41">
        <f>IF(A770="","",IFERROR(INDEX(Maniobras!$B$5:$B$504,MATCH(A770,Maniobras!$A$5:$A$504,0)),""))</f>
        <v/>
      </c>
      <c r="C770" s="38">
        <f>IF(B770="","",TEXT(B770,"yyyy-mm"))</f>
        <v/>
      </c>
      <c r="D770" s="38">
        <f>IF(A770="","",IFERROR(INDEX(Maniobras!$D$5:$D$504,MATCH(A770,Maniobras!$A$5:$A$504,0)),""))</f>
        <v/>
      </c>
      <c r="E770" s="38" t="n"/>
      <c r="F770" s="39">
        <f>IF(A770="","",IFERROR(INDEX(Maniobras!$K$5:$K$504,MATCH(A770,Maniobras!$A$5:$A$504,0)),""))</f>
        <v/>
      </c>
      <c r="G770" s="39" t="n"/>
      <c r="H770" s="39" t="n"/>
      <c r="I770" s="39">
        <f>IF(G770="","",G770+N(H770))</f>
        <v/>
      </c>
      <c r="J770" s="38" t="n"/>
      <c r="K770" s="41" t="n"/>
      <c r="L770" s="38" t="n"/>
      <c r="M770">
        <f>IF($A770=Ficha!$B$3,COUNTIF($A$5:$A770,Ficha!$B$3),"")</f>
        <v/>
      </c>
    </row>
    <row r="771">
      <c r="A771" s="36" t="n"/>
      <c r="B771" s="40">
        <f>IF(A771="","",IFERROR(INDEX(Maniobras!$B$5:$B$504,MATCH(A771,Maniobras!$A$5:$A$504,0)),""))</f>
        <v/>
      </c>
      <c r="C771" s="36">
        <f>IF(B771="","",TEXT(B771,"yyyy-mm"))</f>
        <v/>
      </c>
      <c r="D771" s="36">
        <f>IF(A771="","",IFERROR(INDEX(Maniobras!$D$5:$D$504,MATCH(A771,Maniobras!$A$5:$A$504,0)),""))</f>
        <v/>
      </c>
      <c r="E771" s="36" t="n"/>
      <c r="F771" s="37">
        <f>IF(A771="","",IFERROR(INDEX(Maniobras!$K$5:$K$504,MATCH(A771,Maniobras!$A$5:$A$504,0)),""))</f>
        <v/>
      </c>
      <c r="G771" s="37" t="n"/>
      <c r="H771" s="37" t="n"/>
      <c r="I771" s="37">
        <f>IF(G771="","",G771+N(H771))</f>
        <v/>
      </c>
      <c r="J771" s="36" t="n"/>
      <c r="K771" s="40" t="n"/>
      <c r="L771" s="36" t="n"/>
      <c r="M771">
        <f>IF($A771=Ficha!$B$3,COUNTIF($A$5:$A771,Ficha!$B$3),"")</f>
        <v/>
      </c>
    </row>
    <row r="772">
      <c r="A772" s="38" t="n"/>
      <c r="B772" s="41">
        <f>IF(A772="","",IFERROR(INDEX(Maniobras!$B$5:$B$504,MATCH(A772,Maniobras!$A$5:$A$504,0)),""))</f>
        <v/>
      </c>
      <c r="C772" s="38">
        <f>IF(B772="","",TEXT(B772,"yyyy-mm"))</f>
        <v/>
      </c>
      <c r="D772" s="38">
        <f>IF(A772="","",IFERROR(INDEX(Maniobras!$D$5:$D$504,MATCH(A772,Maniobras!$A$5:$A$504,0)),""))</f>
        <v/>
      </c>
      <c r="E772" s="38" t="n"/>
      <c r="F772" s="39">
        <f>IF(A772="","",IFERROR(INDEX(Maniobras!$K$5:$K$504,MATCH(A772,Maniobras!$A$5:$A$504,0)),""))</f>
        <v/>
      </c>
      <c r="G772" s="39" t="n"/>
      <c r="H772" s="39" t="n"/>
      <c r="I772" s="39">
        <f>IF(G772="","",G772+N(H772))</f>
        <v/>
      </c>
      <c r="J772" s="38" t="n"/>
      <c r="K772" s="41" t="n"/>
      <c r="L772" s="38" t="n"/>
      <c r="M772">
        <f>IF($A772=Ficha!$B$3,COUNTIF($A$5:$A772,Ficha!$B$3),"")</f>
        <v/>
      </c>
    </row>
    <row r="773">
      <c r="A773" s="36" t="n"/>
      <c r="B773" s="40">
        <f>IF(A773="","",IFERROR(INDEX(Maniobras!$B$5:$B$504,MATCH(A773,Maniobras!$A$5:$A$504,0)),""))</f>
        <v/>
      </c>
      <c r="C773" s="36">
        <f>IF(B773="","",TEXT(B773,"yyyy-mm"))</f>
        <v/>
      </c>
      <c r="D773" s="36">
        <f>IF(A773="","",IFERROR(INDEX(Maniobras!$D$5:$D$504,MATCH(A773,Maniobras!$A$5:$A$504,0)),""))</f>
        <v/>
      </c>
      <c r="E773" s="36" t="n"/>
      <c r="F773" s="37">
        <f>IF(A773="","",IFERROR(INDEX(Maniobras!$K$5:$K$504,MATCH(A773,Maniobras!$A$5:$A$504,0)),""))</f>
        <v/>
      </c>
      <c r="G773" s="37" t="n"/>
      <c r="H773" s="37" t="n"/>
      <c r="I773" s="37">
        <f>IF(G773="","",G773+N(H773))</f>
        <v/>
      </c>
      <c r="J773" s="36" t="n"/>
      <c r="K773" s="40" t="n"/>
      <c r="L773" s="36" t="n"/>
      <c r="M773">
        <f>IF($A773=Ficha!$B$3,COUNTIF($A$5:$A773,Ficha!$B$3),"")</f>
        <v/>
      </c>
    </row>
    <row r="774">
      <c r="A774" s="38" t="n"/>
      <c r="B774" s="41">
        <f>IF(A774="","",IFERROR(INDEX(Maniobras!$B$5:$B$504,MATCH(A774,Maniobras!$A$5:$A$504,0)),""))</f>
        <v/>
      </c>
      <c r="C774" s="38">
        <f>IF(B774="","",TEXT(B774,"yyyy-mm"))</f>
        <v/>
      </c>
      <c r="D774" s="38">
        <f>IF(A774="","",IFERROR(INDEX(Maniobras!$D$5:$D$504,MATCH(A774,Maniobras!$A$5:$A$504,0)),""))</f>
        <v/>
      </c>
      <c r="E774" s="38" t="n"/>
      <c r="F774" s="39">
        <f>IF(A774="","",IFERROR(INDEX(Maniobras!$K$5:$K$504,MATCH(A774,Maniobras!$A$5:$A$504,0)),""))</f>
        <v/>
      </c>
      <c r="G774" s="39" t="n"/>
      <c r="H774" s="39" t="n"/>
      <c r="I774" s="39">
        <f>IF(G774="","",G774+N(H774))</f>
        <v/>
      </c>
      <c r="J774" s="38" t="n"/>
      <c r="K774" s="41" t="n"/>
      <c r="L774" s="38" t="n"/>
      <c r="M774">
        <f>IF($A774=Ficha!$B$3,COUNTIF($A$5:$A774,Ficha!$B$3),"")</f>
        <v/>
      </c>
    </row>
    <row r="775">
      <c r="A775" s="36" t="n"/>
      <c r="B775" s="40">
        <f>IF(A775="","",IFERROR(INDEX(Maniobras!$B$5:$B$504,MATCH(A775,Maniobras!$A$5:$A$504,0)),""))</f>
        <v/>
      </c>
      <c r="C775" s="36">
        <f>IF(B775="","",TEXT(B775,"yyyy-mm"))</f>
        <v/>
      </c>
      <c r="D775" s="36">
        <f>IF(A775="","",IFERROR(INDEX(Maniobras!$D$5:$D$504,MATCH(A775,Maniobras!$A$5:$A$504,0)),""))</f>
        <v/>
      </c>
      <c r="E775" s="36" t="n"/>
      <c r="F775" s="37">
        <f>IF(A775="","",IFERROR(INDEX(Maniobras!$K$5:$K$504,MATCH(A775,Maniobras!$A$5:$A$504,0)),""))</f>
        <v/>
      </c>
      <c r="G775" s="37" t="n"/>
      <c r="H775" s="37" t="n"/>
      <c r="I775" s="37">
        <f>IF(G775="","",G775+N(H775))</f>
        <v/>
      </c>
      <c r="J775" s="36" t="n"/>
      <c r="K775" s="40" t="n"/>
      <c r="L775" s="36" t="n"/>
      <c r="M775">
        <f>IF($A775=Ficha!$B$3,COUNTIF($A$5:$A775,Ficha!$B$3),"")</f>
        <v/>
      </c>
    </row>
    <row r="776">
      <c r="A776" s="38" t="n"/>
      <c r="B776" s="41">
        <f>IF(A776="","",IFERROR(INDEX(Maniobras!$B$5:$B$504,MATCH(A776,Maniobras!$A$5:$A$504,0)),""))</f>
        <v/>
      </c>
      <c r="C776" s="38">
        <f>IF(B776="","",TEXT(B776,"yyyy-mm"))</f>
        <v/>
      </c>
      <c r="D776" s="38">
        <f>IF(A776="","",IFERROR(INDEX(Maniobras!$D$5:$D$504,MATCH(A776,Maniobras!$A$5:$A$504,0)),""))</f>
        <v/>
      </c>
      <c r="E776" s="38" t="n"/>
      <c r="F776" s="39">
        <f>IF(A776="","",IFERROR(INDEX(Maniobras!$K$5:$K$504,MATCH(A776,Maniobras!$A$5:$A$504,0)),""))</f>
        <v/>
      </c>
      <c r="G776" s="39" t="n"/>
      <c r="H776" s="39" t="n"/>
      <c r="I776" s="39">
        <f>IF(G776="","",G776+N(H776))</f>
        <v/>
      </c>
      <c r="J776" s="38" t="n"/>
      <c r="K776" s="41" t="n"/>
      <c r="L776" s="38" t="n"/>
      <c r="M776">
        <f>IF($A776=Ficha!$B$3,COUNTIF($A$5:$A776,Ficha!$B$3),"")</f>
        <v/>
      </c>
    </row>
    <row r="777">
      <c r="A777" s="36" t="n"/>
      <c r="B777" s="40">
        <f>IF(A777="","",IFERROR(INDEX(Maniobras!$B$5:$B$504,MATCH(A777,Maniobras!$A$5:$A$504,0)),""))</f>
        <v/>
      </c>
      <c r="C777" s="36">
        <f>IF(B777="","",TEXT(B777,"yyyy-mm"))</f>
        <v/>
      </c>
      <c r="D777" s="36">
        <f>IF(A777="","",IFERROR(INDEX(Maniobras!$D$5:$D$504,MATCH(A777,Maniobras!$A$5:$A$504,0)),""))</f>
        <v/>
      </c>
      <c r="E777" s="36" t="n"/>
      <c r="F777" s="37">
        <f>IF(A777="","",IFERROR(INDEX(Maniobras!$K$5:$K$504,MATCH(A777,Maniobras!$A$5:$A$504,0)),""))</f>
        <v/>
      </c>
      <c r="G777" s="37" t="n"/>
      <c r="H777" s="37" t="n"/>
      <c r="I777" s="37">
        <f>IF(G777="","",G777+N(H777))</f>
        <v/>
      </c>
      <c r="J777" s="36" t="n"/>
      <c r="K777" s="40" t="n"/>
      <c r="L777" s="36" t="n"/>
      <c r="M777">
        <f>IF($A777=Ficha!$B$3,COUNTIF($A$5:$A777,Ficha!$B$3),"")</f>
        <v/>
      </c>
    </row>
    <row r="778">
      <c r="A778" s="38" t="n"/>
      <c r="B778" s="41">
        <f>IF(A778="","",IFERROR(INDEX(Maniobras!$B$5:$B$504,MATCH(A778,Maniobras!$A$5:$A$504,0)),""))</f>
        <v/>
      </c>
      <c r="C778" s="38">
        <f>IF(B778="","",TEXT(B778,"yyyy-mm"))</f>
        <v/>
      </c>
      <c r="D778" s="38">
        <f>IF(A778="","",IFERROR(INDEX(Maniobras!$D$5:$D$504,MATCH(A778,Maniobras!$A$5:$A$504,0)),""))</f>
        <v/>
      </c>
      <c r="E778" s="38" t="n"/>
      <c r="F778" s="39">
        <f>IF(A778="","",IFERROR(INDEX(Maniobras!$K$5:$K$504,MATCH(A778,Maniobras!$A$5:$A$504,0)),""))</f>
        <v/>
      </c>
      <c r="G778" s="39" t="n"/>
      <c r="H778" s="39" t="n"/>
      <c r="I778" s="39">
        <f>IF(G778="","",G778+N(H778))</f>
        <v/>
      </c>
      <c r="J778" s="38" t="n"/>
      <c r="K778" s="41" t="n"/>
      <c r="L778" s="38" t="n"/>
      <c r="M778">
        <f>IF($A778=Ficha!$B$3,COUNTIF($A$5:$A778,Ficha!$B$3),"")</f>
        <v/>
      </c>
    </row>
    <row r="779">
      <c r="A779" s="36" t="n"/>
      <c r="B779" s="40">
        <f>IF(A779="","",IFERROR(INDEX(Maniobras!$B$5:$B$504,MATCH(A779,Maniobras!$A$5:$A$504,0)),""))</f>
        <v/>
      </c>
      <c r="C779" s="36">
        <f>IF(B779="","",TEXT(B779,"yyyy-mm"))</f>
        <v/>
      </c>
      <c r="D779" s="36">
        <f>IF(A779="","",IFERROR(INDEX(Maniobras!$D$5:$D$504,MATCH(A779,Maniobras!$A$5:$A$504,0)),""))</f>
        <v/>
      </c>
      <c r="E779" s="36" t="n"/>
      <c r="F779" s="37">
        <f>IF(A779="","",IFERROR(INDEX(Maniobras!$K$5:$K$504,MATCH(A779,Maniobras!$A$5:$A$504,0)),""))</f>
        <v/>
      </c>
      <c r="G779" s="37" t="n"/>
      <c r="H779" s="37" t="n"/>
      <c r="I779" s="37">
        <f>IF(G779="","",G779+N(H779))</f>
        <v/>
      </c>
      <c r="J779" s="36" t="n"/>
      <c r="K779" s="40" t="n"/>
      <c r="L779" s="36" t="n"/>
      <c r="M779">
        <f>IF($A779=Ficha!$B$3,COUNTIF($A$5:$A779,Ficha!$B$3),"")</f>
        <v/>
      </c>
    </row>
    <row r="780">
      <c r="A780" s="38" t="n"/>
      <c r="B780" s="41">
        <f>IF(A780="","",IFERROR(INDEX(Maniobras!$B$5:$B$504,MATCH(A780,Maniobras!$A$5:$A$504,0)),""))</f>
        <v/>
      </c>
      <c r="C780" s="38">
        <f>IF(B780="","",TEXT(B780,"yyyy-mm"))</f>
        <v/>
      </c>
      <c r="D780" s="38">
        <f>IF(A780="","",IFERROR(INDEX(Maniobras!$D$5:$D$504,MATCH(A780,Maniobras!$A$5:$A$504,0)),""))</f>
        <v/>
      </c>
      <c r="E780" s="38" t="n"/>
      <c r="F780" s="39">
        <f>IF(A780="","",IFERROR(INDEX(Maniobras!$K$5:$K$504,MATCH(A780,Maniobras!$A$5:$A$504,0)),""))</f>
        <v/>
      </c>
      <c r="G780" s="39" t="n"/>
      <c r="H780" s="39" t="n"/>
      <c r="I780" s="39">
        <f>IF(G780="","",G780+N(H780))</f>
        <v/>
      </c>
      <c r="J780" s="38" t="n"/>
      <c r="K780" s="41" t="n"/>
      <c r="L780" s="38" t="n"/>
      <c r="M780">
        <f>IF($A780=Ficha!$B$3,COUNTIF($A$5:$A780,Ficha!$B$3),"")</f>
        <v/>
      </c>
    </row>
    <row r="781">
      <c r="A781" s="36" t="n"/>
      <c r="B781" s="40">
        <f>IF(A781="","",IFERROR(INDEX(Maniobras!$B$5:$B$504,MATCH(A781,Maniobras!$A$5:$A$504,0)),""))</f>
        <v/>
      </c>
      <c r="C781" s="36">
        <f>IF(B781="","",TEXT(B781,"yyyy-mm"))</f>
        <v/>
      </c>
      <c r="D781" s="36">
        <f>IF(A781="","",IFERROR(INDEX(Maniobras!$D$5:$D$504,MATCH(A781,Maniobras!$A$5:$A$504,0)),""))</f>
        <v/>
      </c>
      <c r="E781" s="36" t="n"/>
      <c r="F781" s="37">
        <f>IF(A781="","",IFERROR(INDEX(Maniobras!$K$5:$K$504,MATCH(A781,Maniobras!$A$5:$A$504,0)),""))</f>
        <v/>
      </c>
      <c r="G781" s="37" t="n"/>
      <c r="H781" s="37" t="n"/>
      <c r="I781" s="37">
        <f>IF(G781="","",G781+N(H781))</f>
        <v/>
      </c>
      <c r="J781" s="36" t="n"/>
      <c r="K781" s="40" t="n"/>
      <c r="L781" s="36" t="n"/>
      <c r="M781">
        <f>IF($A781=Ficha!$B$3,COUNTIF($A$5:$A781,Ficha!$B$3),"")</f>
        <v/>
      </c>
    </row>
    <row r="782">
      <c r="A782" s="38" t="n"/>
      <c r="B782" s="41">
        <f>IF(A782="","",IFERROR(INDEX(Maniobras!$B$5:$B$504,MATCH(A782,Maniobras!$A$5:$A$504,0)),""))</f>
        <v/>
      </c>
      <c r="C782" s="38">
        <f>IF(B782="","",TEXT(B782,"yyyy-mm"))</f>
        <v/>
      </c>
      <c r="D782" s="38">
        <f>IF(A782="","",IFERROR(INDEX(Maniobras!$D$5:$D$504,MATCH(A782,Maniobras!$A$5:$A$504,0)),""))</f>
        <v/>
      </c>
      <c r="E782" s="38" t="n"/>
      <c r="F782" s="39">
        <f>IF(A782="","",IFERROR(INDEX(Maniobras!$K$5:$K$504,MATCH(A782,Maniobras!$A$5:$A$504,0)),""))</f>
        <v/>
      </c>
      <c r="G782" s="39" t="n"/>
      <c r="H782" s="39" t="n"/>
      <c r="I782" s="39">
        <f>IF(G782="","",G782+N(H782))</f>
        <v/>
      </c>
      <c r="J782" s="38" t="n"/>
      <c r="K782" s="41" t="n"/>
      <c r="L782" s="38" t="n"/>
      <c r="M782">
        <f>IF($A782=Ficha!$B$3,COUNTIF($A$5:$A782,Ficha!$B$3),"")</f>
        <v/>
      </c>
    </row>
    <row r="783">
      <c r="A783" s="36" t="n"/>
      <c r="B783" s="40">
        <f>IF(A783="","",IFERROR(INDEX(Maniobras!$B$5:$B$504,MATCH(A783,Maniobras!$A$5:$A$504,0)),""))</f>
        <v/>
      </c>
      <c r="C783" s="36">
        <f>IF(B783="","",TEXT(B783,"yyyy-mm"))</f>
        <v/>
      </c>
      <c r="D783" s="36">
        <f>IF(A783="","",IFERROR(INDEX(Maniobras!$D$5:$D$504,MATCH(A783,Maniobras!$A$5:$A$504,0)),""))</f>
        <v/>
      </c>
      <c r="E783" s="36" t="n"/>
      <c r="F783" s="37">
        <f>IF(A783="","",IFERROR(INDEX(Maniobras!$K$5:$K$504,MATCH(A783,Maniobras!$A$5:$A$504,0)),""))</f>
        <v/>
      </c>
      <c r="G783" s="37" t="n"/>
      <c r="H783" s="37" t="n"/>
      <c r="I783" s="37">
        <f>IF(G783="","",G783+N(H783))</f>
        <v/>
      </c>
      <c r="J783" s="36" t="n"/>
      <c r="K783" s="40" t="n"/>
      <c r="L783" s="36" t="n"/>
      <c r="M783">
        <f>IF($A783=Ficha!$B$3,COUNTIF($A$5:$A783,Ficha!$B$3),"")</f>
        <v/>
      </c>
    </row>
    <row r="784">
      <c r="A784" s="38" t="n"/>
      <c r="B784" s="41">
        <f>IF(A784="","",IFERROR(INDEX(Maniobras!$B$5:$B$504,MATCH(A784,Maniobras!$A$5:$A$504,0)),""))</f>
        <v/>
      </c>
      <c r="C784" s="38">
        <f>IF(B784="","",TEXT(B784,"yyyy-mm"))</f>
        <v/>
      </c>
      <c r="D784" s="38">
        <f>IF(A784="","",IFERROR(INDEX(Maniobras!$D$5:$D$504,MATCH(A784,Maniobras!$A$5:$A$504,0)),""))</f>
        <v/>
      </c>
      <c r="E784" s="38" t="n"/>
      <c r="F784" s="39">
        <f>IF(A784="","",IFERROR(INDEX(Maniobras!$K$5:$K$504,MATCH(A784,Maniobras!$A$5:$A$504,0)),""))</f>
        <v/>
      </c>
      <c r="G784" s="39" t="n"/>
      <c r="H784" s="39" t="n"/>
      <c r="I784" s="39">
        <f>IF(G784="","",G784+N(H784))</f>
        <v/>
      </c>
      <c r="J784" s="38" t="n"/>
      <c r="K784" s="41" t="n"/>
      <c r="L784" s="38" t="n"/>
      <c r="M784">
        <f>IF($A784=Ficha!$B$3,COUNTIF($A$5:$A784,Ficha!$B$3),"")</f>
        <v/>
      </c>
    </row>
    <row r="785">
      <c r="A785" s="36" t="n"/>
      <c r="B785" s="40">
        <f>IF(A785="","",IFERROR(INDEX(Maniobras!$B$5:$B$504,MATCH(A785,Maniobras!$A$5:$A$504,0)),""))</f>
        <v/>
      </c>
      <c r="C785" s="36">
        <f>IF(B785="","",TEXT(B785,"yyyy-mm"))</f>
        <v/>
      </c>
      <c r="D785" s="36">
        <f>IF(A785="","",IFERROR(INDEX(Maniobras!$D$5:$D$504,MATCH(A785,Maniobras!$A$5:$A$504,0)),""))</f>
        <v/>
      </c>
      <c r="E785" s="36" t="n"/>
      <c r="F785" s="37">
        <f>IF(A785="","",IFERROR(INDEX(Maniobras!$K$5:$K$504,MATCH(A785,Maniobras!$A$5:$A$504,0)),""))</f>
        <v/>
      </c>
      <c r="G785" s="37" t="n"/>
      <c r="H785" s="37" t="n"/>
      <c r="I785" s="37">
        <f>IF(G785="","",G785+N(H785))</f>
        <v/>
      </c>
      <c r="J785" s="36" t="n"/>
      <c r="K785" s="40" t="n"/>
      <c r="L785" s="36" t="n"/>
      <c r="M785">
        <f>IF($A785=Ficha!$B$3,COUNTIF($A$5:$A785,Ficha!$B$3),"")</f>
        <v/>
      </c>
    </row>
    <row r="786">
      <c r="A786" s="38" t="n"/>
      <c r="B786" s="41">
        <f>IF(A786="","",IFERROR(INDEX(Maniobras!$B$5:$B$504,MATCH(A786,Maniobras!$A$5:$A$504,0)),""))</f>
        <v/>
      </c>
      <c r="C786" s="38">
        <f>IF(B786="","",TEXT(B786,"yyyy-mm"))</f>
        <v/>
      </c>
      <c r="D786" s="38">
        <f>IF(A786="","",IFERROR(INDEX(Maniobras!$D$5:$D$504,MATCH(A786,Maniobras!$A$5:$A$504,0)),""))</f>
        <v/>
      </c>
      <c r="E786" s="38" t="n"/>
      <c r="F786" s="39">
        <f>IF(A786="","",IFERROR(INDEX(Maniobras!$K$5:$K$504,MATCH(A786,Maniobras!$A$5:$A$504,0)),""))</f>
        <v/>
      </c>
      <c r="G786" s="39" t="n"/>
      <c r="H786" s="39" t="n"/>
      <c r="I786" s="39">
        <f>IF(G786="","",G786+N(H786))</f>
        <v/>
      </c>
      <c r="J786" s="38" t="n"/>
      <c r="K786" s="41" t="n"/>
      <c r="L786" s="38" t="n"/>
      <c r="M786">
        <f>IF($A786=Ficha!$B$3,COUNTIF($A$5:$A786,Ficha!$B$3),"")</f>
        <v/>
      </c>
    </row>
    <row r="787">
      <c r="A787" s="36" t="n"/>
      <c r="B787" s="40">
        <f>IF(A787="","",IFERROR(INDEX(Maniobras!$B$5:$B$504,MATCH(A787,Maniobras!$A$5:$A$504,0)),""))</f>
        <v/>
      </c>
      <c r="C787" s="36">
        <f>IF(B787="","",TEXT(B787,"yyyy-mm"))</f>
        <v/>
      </c>
      <c r="D787" s="36">
        <f>IF(A787="","",IFERROR(INDEX(Maniobras!$D$5:$D$504,MATCH(A787,Maniobras!$A$5:$A$504,0)),""))</f>
        <v/>
      </c>
      <c r="E787" s="36" t="n"/>
      <c r="F787" s="37">
        <f>IF(A787="","",IFERROR(INDEX(Maniobras!$K$5:$K$504,MATCH(A787,Maniobras!$A$5:$A$504,0)),""))</f>
        <v/>
      </c>
      <c r="G787" s="37" t="n"/>
      <c r="H787" s="37" t="n"/>
      <c r="I787" s="37">
        <f>IF(G787="","",G787+N(H787))</f>
        <v/>
      </c>
      <c r="J787" s="36" t="n"/>
      <c r="K787" s="40" t="n"/>
      <c r="L787" s="36" t="n"/>
      <c r="M787">
        <f>IF($A787=Ficha!$B$3,COUNTIF($A$5:$A787,Ficha!$B$3),"")</f>
        <v/>
      </c>
    </row>
    <row r="788">
      <c r="A788" s="38" t="n"/>
      <c r="B788" s="41">
        <f>IF(A788="","",IFERROR(INDEX(Maniobras!$B$5:$B$504,MATCH(A788,Maniobras!$A$5:$A$504,0)),""))</f>
        <v/>
      </c>
      <c r="C788" s="38">
        <f>IF(B788="","",TEXT(B788,"yyyy-mm"))</f>
        <v/>
      </c>
      <c r="D788" s="38">
        <f>IF(A788="","",IFERROR(INDEX(Maniobras!$D$5:$D$504,MATCH(A788,Maniobras!$A$5:$A$504,0)),""))</f>
        <v/>
      </c>
      <c r="E788" s="38" t="n"/>
      <c r="F788" s="39">
        <f>IF(A788="","",IFERROR(INDEX(Maniobras!$K$5:$K$504,MATCH(A788,Maniobras!$A$5:$A$504,0)),""))</f>
        <v/>
      </c>
      <c r="G788" s="39" t="n"/>
      <c r="H788" s="39" t="n"/>
      <c r="I788" s="39">
        <f>IF(G788="","",G788+N(H788))</f>
        <v/>
      </c>
      <c r="J788" s="38" t="n"/>
      <c r="K788" s="41" t="n"/>
      <c r="L788" s="38" t="n"/>
      <c r="M788">
        <f>IF($A788=Ficha!$B$3,COUNTIF($A$5:$A788,Ficha!$B$3),"")</f>
        <v/>
      </c>
    </row>
    <row r="789">
      <c r="A789" s="36" t="n"/>
      <c r="B789" s="40">
        <f>IF(A789="","",IFERROR(INDEX(Maniobras!$B$5:$B$504,MATCH(A789,Maniobras!$A$5:$A$504,0)),""))</f>
        <v/>
      </c>
      <c r="C789" s="36">
        <f>IF(B789="","",TEXT(B789,"yyyy-mm"))</f>
        <v/>
      </c>
      <c r="D789" s="36">
        <f>IF(A789="","",IFERROR(INDEX(Maniobras!$D$5:$D$504,MATCH(A789,Maniobras!$A$5:$A$504,0)),""))</f>
        <v/>
      </c>
      <c r="E789" s="36" t="n"/>
      <c r="F789" s="37">
        <f>IF(A789="","",IFERROR(INDEX(Maniobras!$K$5:$K$504,MATCH(A789,Maniobras!$A$5:$A$504,0)),""))</f>
        <v/>
      </c>
      <c r="G789" s="37" t="n"/>
      <c r="H789" s="37" t="n"/>
      <c r="I789" s="37">
        <f>IF(G789="","",G789+N(H789))</f>
        <v/>
      </c>
      <c r="J789" s="36" t="n"/>
      <c r="K789" s="40" t="n"/>
      <c r="L789" s="36" t="n"/>
      <c r="M789">
        <f>IF($A789=Ficha!$B$3,COUNTIF($A$5:$A789,Ficha!$B$3),"")</f>
        <v/>
      </c>
    </row>
    <row r="790">
      <c r="A790" s="38" t="n"/>
      <c r="B790" s="41">
        <f>IF(A790="","",IFERROR(INDEX(Maniobras!$B$5:$B$504,MATCH(A790,Maniobras!$A$5:$A$504,0)),""))</f>
        <v/>
      </c>
      <c r="C790" s="38">
        <f>IF(B790="","",TEXT(B790,"yyyy-mm"))</f>
        <v/>
      </c>
      <c r="D790" s="38">
        <f>IF(A790="","",IFERROR(INDEX(Maniobras!$D$5:$D$504,MATCH(A790,Maniobras!$A$5:$A$504,0)),""))</f>
        <v/>
      </c>
      <c r="E790" s="38" t="n"/>
      <c r="F790" s="39">
        <f>IF(A790="","",IFERROR(INDEX(Maniobras!$K$5:$K$504,MATCH(A790,Maniobras!$A$5:$A$504,0)),""))</f>
        <v/>
      </c>
      <c r="G790" s="39" t="n"/>
      <c r="H790" s="39" t="n"/>
      <c r="I790" s="39">
        <f>IF(G790="","",G790+N(H790))</f>
        <v/>
      </c>
      <c r="J790" s="38" t="n"/>
      <c r="K790" s="41" t="n"/>
      <c r="L790" s="38" t="n"/>
      <c r="M790">
        <f>IF($A790=Ficha!$B$3,COUNTIF($A$5:$A790,Ficha!$B$3),"")</f>
        <v/>
      </c>
    </row>
    <row r="791">
      <c r="A791" s="36" t="n"/>
      <c r="B791" s="40">
        <f>IF(A791="","",IFERROR(INDEX(Maniobras!$B$5:$B$504,MATCH(A791,Maniobras!$A$5:$A$504,0)),""))</f>
        <v/>
      </c>
      <c r="C791" s="36">
        <f>IF(B791="","",TEXT(B791,"yyyy-mm"))</f>
        <v/>
      </c>
      <c r="D791" s="36">
        <f>IF(A791="","",IFERROR(INDEX(Maniobras!$D$5:$D$504,MATCH(A791,Maniobras!$A$5:$A$504,0)),""))</f>
        <v/>
      </c>
      <c r="E791" s="36" t="n"/>
      <c r="F791" s="37">
        <f>IF(A791="","",IFERROR(INDEX(Maniobras!$K$5:$K$504,MATCH(A791,Maniobras!$A$5:$A$504,0)),""))</f>
        <v/>
      </c>
      <c r="G791" s="37" t="n"/>
      <c r="H791" s="37" t="n"/>
      <c r="I791" s="37">
        <f>IF(G791="","",G791+N(H791))</f>
        <v/>
      </c>
      <c r="J791" s="36" t="n"/>
      <c r="K791" s="40" t="n"/>
      <c r="L791" s="36" t="n"/>
      <c r="M791">
        <f>IF($A791=Ficha!$B$3,COUNTIF($A$5:$A791,Ficha!$B$3),"")</f>
        <v/>
      </c>
    </row>
    <row r="792">
      <c r="A792" s="38" t="n"/>
      <c r="B792" s="41">
        <f>IF(A792="","",IFERROR(INDEX(Maniobras!$B$5:$B$504,MATCH(A792,Maniobras!$A$5:$A$504,0)),""))</f>
        <v/>
      </c>
      <c r="C792" s="38">
        <f>IF(B792="","",TEXT(B792,"yyyy-mm"))</f>
        <v/>
      </c>
      <c r="D792" s="38">
        <f>IF(A792="","",IFERROR(INDEX(Maniobras!$D$5:$D$504,MATCH(A792,Maniobras!$A$5:$A$504,0)),""))</f>
        <v/>
      </c>
      <c r="E792" s="38" t="n"/>
      <c r="F792" s="39">
        <f>IF(A792="","",IFERROR(INDEX(Maniobras!$K$5:$K$504,MATCH(A792,Maniobras!$A$5:$A$504,0)),""))</f>
        <v/>
      </c>
      <c r="G792" s="39" t="n"/>
      <c r="H792" s="39" t="n"/>
      <c r="I792" s="39">
        <f>IF(G792="","",G792+N(H792))</f>
        <v/>
      </c>
      <c r="J792" s="38" t="n"/>
      <c r="K792" s="41" t="n"/>
      <c r="L792" s="38" t="n"/>
      <c r="M792">
        <f>IF($A792=Ficha!$B$3,COUNTIF($A$5:$A792,Ficha!$B$3),"")</f>
        <v/>
      </c>
    </row>
    <row r="793">
      <c r="A793" s="36" t="n"/>
      <c r="B793" s="40">
        <f>IF(A793="","",IFERROR(INDEX(Maniobras!$B$5:$B$504,MATCH(A793,Maniobras!$A$5:$A$504,0)),""))</f>
        <v/>
      </c>
      <c r="C793" s="36">
        <f>IF(B793="","",TEXT(B793,"yyyy-mm"))</f>
        <v/>
      </c>
      <c r="D793" s="36">
        <f>IF(A793="","",IFERROR(INDEX(Maniobras!$D$5:$D$504,MATCH(A793,Maniobras!$A$5:$A$504,0)),""))</f>
        <v/>
      </c>
      <c r="E793" s="36" t="n"/>
      <c r="F793" s="37">
        <f>IF(A793="","",IFERROR(INDEX(Maniobras!$K$5:$K$504,MATCH(A793,Maniobras!$A$5:$A$504,0)),""))</f>
        <v/>
      </c>
      <c r="G793" s="37" t="n"/>
      <c r="H793" s="37" t="n"/>
      <c r="I793" s="37">
        <f>IF(G793="","",G793+N(H793))</f>
        <v/>
      </c>
      <c r="J793" s="36" t="n"/>
      <c r="K793" s="40" t="n"/>
      <c r="L793" s="36" t="n"/>
      <c r="M793">
        <f>IF($A793=Ficha!$B$3,COUNTIF($A$5:$A793,Ficha!$B$3),"")</f>
        <v/>
      </c>
    </row>
    <row r="794">
      <c r="A794" s="38" t="n"/>
      <c r="B794" s="41">
        <f>IF(A794="","",IFERROR(INDEX(Maniobras!$B$5:$B$504,MATCH(A794,Maniobras!$A$5:$A$504,0)),""))</f>
        <v/>
      </c>
      <c r="C794" s="38">
        <f>IF(B794="","",TEXT(B794,"yyyy-mm"))</f>
        <v/>
      </c>
      <c r="D794" s="38">
        <f>IF(A794="","",IFERROR(INDEX(Maniobras!$D$5:$D$504,MATCH(A794,Maniobras!$A$5:$A$504,0)),""))</f>
        <v/>
      </c>
      <c r="E794" s="38" t="n"/>
      <c r="F794" s="39">
        <f>IF(A794="","",IFERROR(INDEX(Maniobras!$K$5:$K$504,MATCH(A794,Maniobras!$A$5:$A$504,0)),""))</f>
        <v/>
      </c>
      <c r="G794" s="39" t="n"/>
      <c r="H794" s="39" t="n"/>
      <c r="I794" s="39">
        <f>IF(G794="","",G794+N(H794))</f>
        <v/>
      </c>
      <c r="J794" s="38" t="n"/>
      <c r="K794" s="41" t="n"/>
      <c r="L794" s="38" t="n"/>
      <c r="M794">
        <f>IF($A794=Ficha!$B$3,COUNTIF($A$5:$A794,Ficha!$B$3),"")</f>
        <v/>
      </c>
    </row>
    <row r="795">
      <c r="A795" s="36" t="n"/>
      <c r="B795" s="40">
        <f>IF(A795="","",IFERROR(INDEX(Maniobras!$B$5:$B$504,MATCH(A795,Maniobras!$A$5:$A$504,0)),""))</f>
        <v/>
      </c>
      <c r="C795" s="36">
        <f>IF(B795="","",TEXT(B795,"yyyy-mm"))</f>
        <v/>
      </c>
      <c r="D795" s="36">
        <f>IF(A795="","",IFERROR(INDEX(Maniobras!$D$5:$D$504,MATCH(A795,Maniobras!$A$5:$A$504,0)),""))</f>
        <v/>
      </c>
      <c r="E795" s="36" t="n"/>
      <c r="F795" s="37">
        <f>IF(A795="","",IFERROR(INDEX(Maniobras!$K$5:$K$504,MATCH(A795,Maniobras!$A$5:$A$504,0)),""))</f>
        <v/>
      </c>
      <c r="G795" s="37" t="n"/>
      <c r="H795" s="37" t="n"/>
      <c r="I795" s="37">
        <f>IF(G795="","",G795+N(H795))</f>
        <v/>
      </c>
      <c r="J795" s="36" t="n"/>
      <c r="K795" s="40" t="n"/>
      <c r="L795" s="36" t="n"/>
      <c r="M795">
        <f>IF($A795=Ficha!$B$3,COUNTIF($A$5:$A795,Ficha!$B$3),"")</f>
        <v/>
      </c>
    </row>
    <row r="796">
      <c r="A796" s="38" t="n"/>
      <c r="B796" s="41">
        <f>IF(A796="","",IFERROR(INDEX(Maniobras!$B$5:$B$504,MATCH(A796,Maniobras!$A$5:$A$504,0)),""))</f>
        <v/>
      </c>
      <c r="C796" s="38">
        <f>IF(B796="","",TEXT(B796,"yyyy-mm"))</f>
        <v/>
      </c>
      <c r="D796" s="38">
        <f>IF(A796="","",IFERROR(INDEX(Maniobras!$D$5:$D$504,MATCH(A796,Maniobras!$A$5:$A$504,0)),""))</f>
        <v/>
      </c>
      <c r="E796" s="38" t="n"/>
      <c r="F796" s="39">
        <f>IF(A796="","",IFERROR(INDEX(Maniobras!$K$5:$K$504,MATCH(A796,Maniobras!$A$5:$A$504,0)),""))</f>
        <v/>
      </c>
      <c r="G796" s="39" t="n"/>
      <c r="H796" s="39" t="n"/>
      <c r="I796" s="39">
        <f>IF(G796="","",G796+N(H796))</f>
        <v/>
      </c>
      <c r="J796" s="38" t="n"/>
      <c r="K796" s="41" t="n"/>
      <c r="L796" s="38" t="n"/>
      <c r="M796">
        <f>IF($A796=Ficha!$B$3,COUNTIF($A$5:$A796,Ficha!$B$3),"")</f>
        <v/>
      </c>
    </row>
    <row r="797">
      <c r="A797" s="36" t="n"/>
      <c r="B797" s="40">
        <f>IF(A797="","",IFERROR(INDEX(Maniobras!$B$5:$B$504,MATCH(A797,Maniobras!$A$5:$A$504,0)),""))</f>
        <v/>
      </c>
      <c r="C797" s="36">
        <f>IF(B797="","",TEXT(B797,"yyyy-mm"))</f>
        <v/>
      </c>
      <c r="D797" s="36">
        <f>IF(A797="","",IFERROR(INDEX(Maniobras!$D$5:$D$504,MATCH(A797,Maniobras!$A$5:$A$504,0)),""))</f>
        <v/>
      </c>
      <c r="E797" s="36" t="n"/>
      <c r="F797" s="37">
        <f>IF(A797="","",IFERROR(INDEX(Maniobras!$K$5:$K$504,MATCH(A797,Maniobras!$A$5:$A$504,0)),""))</f>
        <v/>
      </c>
      <c r="G797" s="37" t="n"/>
      <c r="H797" s="37" t="n"/>
      <c r="I797" s="37">
        <f>IF(G797="","",G797+N(H797))</f>
        <v/>
      </c>
      <c r="J797" s="36" t="n"/>
      <c r="K797" s="40" t="n"/>
      <c r="L797" s="36" t="n"/>
      <c r="M797">
        <f>IF($A797=Ficha!$B$3,COUNTIF($A$5:$A797,Ficha!$B$3),"")</f>
        <v/>
      </c>
    </row>
    <row r="798">
      <c r="A798" s="38" t="n"/>
      <c r="B798" s="41">
        <f>IF(A798="","",IFERROR(INDEX(Maniobras!$B$5:$B$504,MATCH(A798,Maniobras!$A$5:$A$504,0)),""))</f>
        <v/>
      </c>
      <c r="C798" s="38">
        <f>IF(B798="","",TEXT(B798,"yyyy-mm"))</f>
        <v/>
      </c>
      <c r="D798" s="38">
        <f>IF(A798="","",IFERROR(INDEX(Maniobras!$D$5:$D$504,MATCH(A798,Maniobras!$A$5:$A$504,0)),""))</f>
        <v/>
      </c>
      <c r="E798" s="38" t="n"/>
      <c r="F798" s="39">
        <f>IF(A798="","",IFERROR(INDEX(Maniobras!$K$5:$K$504,MATCH(A798,Maniobras!$A$5:$A$504,0)),""))</f>
        <v/>
      </c>
      <c r="G798" s="39" t="n"/>
      <c r="H798" s="39" t="n"/>
      <c r="I798" s="39">
        <f>IF(G798="","",G798+N(H798))</f>
        <v/>
      </c>
      <c r="J798" s="38" t="n"/>
      <c r="K798" s="41" t="n"/>
      <c r="L798" s="38" t="n"/>
      <c r="M798">
        <f>IF($A798=Ficha!$B$3,COUNTIF($A$5:$A798,Ficha!$B$3),"")</f>
        <v/>
      </c>
    </row>
    <row r="799">
      <c r="A799" s="36" t="n"/>
      <c r="B799" s="40">
        <f>IF(A799="","",IFERROR(INDEX(Maniobras!$B$5:$B$504,MATCH(A799,Maniobras!$A$5:$A$504,0)),""))</f>
        <v/>
      </c>
      <c r="C799" s="36">
        <f>IF(B799="","",TEXT(B799,"yyyy-mm"))</f>
        <v/>
      </c>
      <c r="D799" s="36">
        <f>IF(A799="","",IFERROR(INDEX(Maniobras!$D$5:$D$504,MATCH(A799,Maniobras!$A$5:$A$504,0)),""))</f>
        <v/>
      </c>
      <c r="E799" s="36" t="n"/>
      <c r="F799" s="37">
        <f>IF(A799="","",IFERROR(INDEX(Maniobras!$K$5:$K$504,MATCH(A799,Maniobras!$A$5:$A$504,0)),""))</f>
        <v/>
      </c>
      <c r="G799" s="37" t="n"/>
      <c r="H799" s="37" t="n"/>
      <c r="I799" s="37">
        <f>IF(G799="","",G799+N(H799))</f>
        <v/>
      </c>
      <c r="J799" s="36" t="n"/>
      <c r="K799" s="40" t="n"/>
      <c r="L799" s="36" t="n"/>
      <c r="M799">
        <f>IF($A799=Ficha!$B$3,COUNTIF($A$5:$A799,Ficha!$B$3),"")</f>
        <v/>
      </c>
    </row>
    <row r="800">
      <c r="A800" s="38" t="n"/>
      <c r="B800" s="41">
        <f>IF(A800="","",IFERROR(INDEX(Maniobras!$B$5:$B$504,MATCH(A800,Maniobras!$A$5:$A$504,0)),""))</f>
        <v/>
      </c>
      <c r="C800" s="38">
        <f>IF(B800="","",TEXT(B800,"yyyy-mm"))</f>
        <v/>
      </c>
      <c r="D800" s="38">
        <f>IF(A800="","",IFERROR(INDEX(Maniobras!$D$5:$D$504,MATCH(A800,Maniobras!$A$5:$A$504,0)),""))</f>
        <v/>
      </c>
      <c r="E800" s="38" t="n"/>
      <c r="F800" s="39">
        <f>IF(A800="","",IFERROR(INDEX(Maniobras!$K$5:$K$504,MATCH(A800,Maniobras!$A$5:$A$504,0)),""))</f>
        <v/>
      </c>
      <c r="G800" s="39" t="n"/>
      <c r="H800" s="39" t="n"/>
      <c r="I800" s="39">
        <f>IF(G800="","",G800+N(H800))</f>
        <v/>
      </c>
      <c r="J800" s="38" t="n"/>
      <c r="K800" s="41" t="n"/>
      <c r="L800" s="38" t="n"/>
      <c r="M800">
        <f>IF($A800=Ficha!$B$3,COUNTIF($A$5:$A800,Ficha!$B$3),"")</f>
        <v/>
      </c>
    </row>
    <row r="801">
      <c r="A801" s="36" t="n"/>
      <c r="B801" s="40">
        <f>IF(A801="","",IFERROR(INDEX(Maniobras!$B$5:$B$504,MATCH(A801,Maniobras!$A$5:$A$504,0)),""))</f>
        <v/>
      </c>
      <c r="C801" s="36">
        <f>IF(B801="","",TEXT(B801,"yyyy-mm"))</f>
        <v/>
      </c>
      <c r="D801" s="36">
        <f>IF(A801="","",IFERROR(INDEX(Maniobras!$D$5:$D$504,MATCH(A801,Maniobras!$A$5:$A$504,0)),""))</f>
        <v/>
      </c>
      <c r="E801" s="36" t="n"/>
      <c r="F801" s="37">
        <f>IF(A801="","",IFERROR(INDEX(Maniobras!$K$5:$K$504,MATCH(A801,Maniobras!$A$5:$A$504,0)),""))</f>
        <v/>
      </c>
      <c r="G801" s="37" t="n"/>
      <c r="H801" s="37" t="n"/>
      <c r="I801" s="37">
        <f>IF(G801="","",G801+N(H801))</f>
        <v/>
      </c>
      <c r="J801" s="36" t="n"/>
      <c r="K801" s="40" t="n"/>
      <c r="L801" s="36" t="n"/>
      <c r="M801">
        <f>IF($A801=Ficha!$B$3,COUNTIF($A$5:$A801,Ficha!$B$3),"")</f>
        <v/>
      </c>
    </row>
    <row r="802">
      <c r="A802" s="38" t="n"/>
      <c r="B802" s="41">
        <f>IF(A802="","",IFERROR(INDEX(Maniobras!$B$5:$B$504,MATCH(A802,Maniobras!$A$5:$A$504,0)),""))</f>
        <v/>
      </c>
      <c r="C802" s="38">
        <f>IF(B802="","",TEXT(B802,"yyyy-mm"))</f>
        <v/>
      </c>
      <c r="D802" s="38">
        <f>IF(A802="","",IFERROR(INDEX(Maniobras!$D$5:$D$504,MATCH(A802,Maniobras!$A$5:$A$504,0)),""))</f>
        <v/>
      </c>
      <c r="E802" s="38" t="n"/>
      <c r="F802" s="39">
        <f>IF(A802="","",IFERROR(INDEX(Maniobras!$K$5:$K$504,MATCH(A802,Maniobras!$A$5:$A$504,0)),""))</f>
        <v/>
      </c>
      <c r="G802" s="39" t="n"/>
      <c r="H802" s="39" t="n"/>
      <c r="I802" s="39">
        <f>IF(G802="","",G802+N(H802))</f>
        <v/>
      </c>
      <c r="J802" s="38" t="n"/>
      <c r="K802" s="41" t="n"/>
      <c r="L802" s="38" t="n"/>
      <c r="M802">
        <f>IF($A802=Ficha!$B$3,COUNTIF($A$5:$A802,Ficha!$B$3),"")</f>
        <v/>
      </c>
    </row>
    <row r="803">
      <c r="A803" s="36" t="n"/>
      <c r="B803" s="40">
        <f>IF(A803="","",IFERROR(INDEX(Maniobras!$B$5:$B$504,MATCH(A803,Maniobras!$A$5:$A$504,0)),""))</f>
        <v/>
      </c>
      <c r="C803" s="36">
        <f>IF(B803="","",TEXT(B803,"yyyy-mm"))</f>
        <v/>
      </c>
      <c r="D803" s="36">
        <f>IF(A803="","",IFERROR(INDEX(Maniobras!$D$5:$D$504,MATCH(A803,Maniobras!$A$5:$A$504,0)),""))</f>
        <v/>
      </c>
      <c r="E803" s="36" t="n"/>
      <c r="F803" s="37">
        <f>IF(A803="","",IFERROR(INDEX(Maniobras!$K$5:$K$504,MATCH(A803,Maniobras!$A$5:$A$504,0)),""))</f>
        <v/>
      </c>
      <c r="G803" s="37" t="n"/>
      <c r="H803" s="37" t="n"/>
      <c r="I803" s="37">
        <f>IF(G803="","",G803+N(H803))</f>
        <v/>
      </c>
      <c r="J803" s="36" t="n"/>
      <c r="K803" s="40" t="n"/>
      <c r="L803" s="36" t="n"/>
      <c r="M803">
        <f>IF($A803=Ficha!$B$3,COUNTIF($A$5:$A803,Ficha!$B$3),"")</f>
        <v/>
      </c>
    </row>
    <row r="804">
      <c r="A804" s="38" t="n"/>
      <c r="B804" s="41">
        <f>IF(A804="","",IFERROR(INDEX(Maniobras!$B$5:$B$504,MATCH(A804,Maniobras!$A$5:$A$504,0)),""))</f>
        <v/>
      </c>
      <c r="C804" s="38">
        <f>IF(B804="","",TEXT(B804,"yyyy-mm"))</f>
        <v/>
      </c>
      <c r="D804" s="38">
        <f>IF(A804="","",IFERROR(INDEX(Maniobras!$D$5:$D$504,MATCH(A804,Maniobras!$A$5:$A$504,0)),""))</f>
        <v/>
      </c>
      <c r="E804" s="38" t="n"/>
      <c r="F804" s="39">
        <f>IF(A804="","",IFERROR(INDEX(Maniobras!$K$5:$K$504,MATCH(A804,Maniobras!$A$5:$A$504,0)),""))</f>
        <v/>
      </c>
      <c r="G804" s="39" t="n"/>
      <c r="H804" s="39" t="n"/>
      <c r="I804" s="39">
        <f>IF(G804="","",G804+N(H804))</f>
        <v/>
      </c>
      <c r="J804" s="38" t="n"/>
      <c r="K804" s="41" t="n"/>
      <c r="L804" s="38" t="n"/>
      <c r="M804">
        <f>IF($A804=Ficha!$B$3,COUNTIF($A$5:$A804,Ficha!$B$3),"")</f>
        <v/>
      </c>
    </row>
    <row r="805">
      <c r="A805" s="36" t="n"/>
      <c r="B805" s="40">
        <f>IF(A805="","",IFERROR(INDEX(Maniobras!$B$5:$B$504,MATCH(A805,Maniobras!$A$5:$A$504,0)),""))</f>
        <v/>
      </c>
      <c r="C805" s="36">
        <f>IF(B805="","",TEXT(B805,"yyyy-mm"))</f>
        <v/>
      </c>
      <c r="D805" s="36">
        <f>IF(A805="","",IFERROR(INDEX(Maniobras!$D$5:$D$504,MATCH(A805,Maniobras!$A$5:$A$504,0)),""))</f>
        <v/>
      </c>
      <c r="E805" s="36" t="n"/>
      <c r="F805" s="37">
        <f>IF(A805="","",IFERROR(INDEX(Maniobras!$K$5:$K$504,MATCH(A805,Maniobras!$A$5:$A$504,0)),""))</f>
        <v/>
      </c>
      <c r="G805" s="37" t="n"/>
      <c r="H805" s="37" t="n"/>
      <c r="I805" s="37">
        <f>IF(G805="","",G805+N(H805))</f>
        <v/>
      </c>
      <c r="J805" s="36" t="n"/>
      <c r="K805" s="40" t="n"/>
      <c r="L805" s="36" t="n"/>
      <c r="M805">
        <f>IF($A805=Ficha!$B$3,COUNTIF($A$5:$A805,Ficha!$B$3),"")</f>
        <v/>
      </c>
    </row>
    <row r="806">
      <c r="A806" s="38" t="n"/>
      <c r="B806" s="41">
        <f>IF(A806="","",IFERROR(INDEX(Maniobras!$B$5:$B$504,MATCH(A806,Maniobras!$A$5:$A$504,0)),""))</f>
        <v/>
      </c>
      <c r="C806" s="38">
        <f>IF(B806="","",TEXT(B806,"yyyy-mm"))</f>
        <v/>
      </c>
      <c r="D806" s="38">
        <f>IF(A806="","",IFERROR(INDEX(Maniobras!$D$5:$D$504,MATCH(A806,Maniobras!$A$5:$A$504,0)),""))</f>
        <v/>
      </c>
      <c r="E806" s="38" t="n"/>
      <c r="F806" s="39">
        <f>IF(A806="","",IFERROR(INDEX(Maniobras!$K$5:$K$504,MATCH(A806,Maniobras!$A$5:$A$504,0)),""))</f>
        <v/>
      </c>
      <c r="G806" s="39" t="n"/>
      <c r="H806" s="39" t="n"/>
      <c r="I806" s="39">
        <f>IF(G806="","",G806+N(H806))</f>
        <v/>
      </c>
      <c r="J806" s="38" t="n"/>
      <c r="K806" s="41" t="n"/>
      <c r="L806" s="38" t="n"/>
      <c r="M806">
        <f>IF($A806=Ficha!$B$3,COUNTIF($A$5:$A806,Ficha!$B$3),"")</f>
        <v/>
      </c>
    </row>
    <row r="807">
      <c r="A807" s="36" t="n"/>
      <c r="B807" s="40">
        <f>IF(A807="","",IFERROR(INDEX(Maniobras!$B$5:$B$504,MATCH(A807,Maniobras!$A$5:$A$504,0)),""))</f>
        <v/>
      </c>
      <c r="C807" s="36">
        <f>IF(B807="","",TEXT(B807,"yyyy-mm"))</f>
        <v/>
      </c>
      <c r="D807" s="36">
        <f>IF(A807="","",IFERROR(INDEX(Maniobras!$D$5:$D$504,MATCH(A807,Maniobras!$A$5:$A$504,0)),""))</f>
        <v/>
      </c>
      <c r="E807" s="36" t="n"/>
      <c r="F807" s="37">
        <f>IF(A807="","",IFERROR(INDEX(Maniobras!$K$5:$K$504,MATCH(A807,Maniobras!$A$5:$A$504,0)),""))</f>
        <v/>
      </c>
      <c r="G807" s="37" t="n"/>
      <c r="H807" s="37" t="n"/>
      <c r="I807" s="37">
        <f>IF(G807="","",G807+N(H807))</f>
        <v/>
      </c>
      <c r="J807" s="36" t="n"/>
      <c r="K807" s="40" t="n"/>
      <c r="L807" s="36" t="n"/>
      <c r="M807">
        <f>IF($A807=Ficha!$B$3,COUNTIF($A$5:$A807,Ficha!$B$3),"")</f>
        <v/>
      </c>
    </row>
    <row r="808">
      <c r="A808" s="38" t="n"/>
      <c r="B808" s="41">
        <f>IF(A808="","",IFERROR(INDEX(Maniobras!$B$5:$B$504,MATCH(A808,Maniobras!$A$5:$A$504,0)),""))</f>
        <v/>
      </c>
      <c r="C808" s="38">
        <f>IF(B808="","",TEXT(B808,"yyyy-mm"))</f>
        <v/>
      </c>
      <c r="D808" s="38">
        <f>IF(A808="","",IFERROR(INDEX(Maniobras!$D$5:$D$504,MATCH(A808,Maniobras!$A$5:$A$504,0)),""))</f>
        <v/>
      </c>
      <c r="E808" s="38" t="n"/>
      <c r="F808" s="39">
        <f>IF(A808="","",IFERROR(INDEX(Maniobras!$K$5:$K$504,MATCH(A808,Maniobras!$A$5:$A$504,0)),""))</f>
        <v/>
      </c>
      <c r="G808" s="39" t="n"/>
      <c r="H808" s="39" t="n"/>
      <c r="I808" s="39">
        <f>IF(G808="","",G808+N(H808))</f>
        <v/>
      </c>
      <c r="J808" s="38" t="n"/>
      <c r="K808" s="41" t="n"/>
      <c r="L808" s="38" t="n"/>
      <c r="M808">
        <f>IF($A808=Ficha!$B$3,COUNTIF($A$5:$A808,Ficha!$B$3),"")</f>
        <v/>
      </c>
    </row>
    <row r="809">
      <c r="A809" s="36" t="n"/>
      <c r="B809" s="40">
        <f>IF(A809="","",IFERROR(INDEX(Maniobras!$B$5:$B$504,MATCH(A809,Maniobras!$A$5:$A$504,0)),""))</f>
        <v/>
      </c>
      <c r="C809" s="36">
        <f>IF(B809="","",TEXT(B809,"yyyy-mm"))</f>
        <v/>
      </c>
      <c r="D809" s="36">
        <f>IF(A809="","",IFERROR(INDEX(Maniobras!$D$5:$D$504,MATCH(A809,Maniobras!$A$5:$A$504,0)),""))</f>
        <v/>
      </c>
      <c r="E809" s="36" t="n"/>
      <c r="F809" s="37">
        <f>IF(A809="","",IFERROR(INDEX(Maniobras!$K$5:$K$504,MATCH(A809,Maniobras!$A$5:$A$504,0)),""))</f>
        <v/>
      </c>
      <c r="G809" s="37" t="n"/>
      <c r="H809" s="37" t="n"/>
      <c r="I809" s="37">
        <f>IF(G809="","",G809+N(H809))</f>
        <v/>
      </c>
      <c r="J809" s="36" t="n"/>
      <c r="K809" s="40" t="n"/>
      <c r="L809" s="36" t="n"/>
      <c r="M809">
        <f>IF($A809=Ficha!$B$3,COUNTIF($A$5:$A809,Ficha!$B$3),"")</f>
        <v/>
      </c>
    </row>
    <row r="810">
      <c r="A810" s="38" t="n"/>
      <c r="B810" s="41">
        <f>IF(A810="","",IFERROR(INDEX(Maniobras!$B$5:$B$504,MATCH(A810,Maniobras!$A$5:$A$504,0)),""))</f>
        <v/>
      </c>
      <c r="C810" s="38">
        <f>IF(B810="","",TEXT(B810,"yyyy-mm"))</f>
        <v/>
      </c>
      <c r="D810" s="38">
        <f>IF(A810="","",IFERROR(INDEX(Maniobras!$D$5:$D$504,MATCH(A810,Maniobras!$A$5:$A$504,0)),""))</f>
        <v/>
      </c>
      <c r="E810" s="38" t="n"/>
      <c r="F810" s="39">
        <f>IF(A810="","",IFERROR(INDEX(Maniobras!$K$5:$K$504,MATCH(A810,Maniobras!$A$5:$A$504,0)),""))</f>
        <v/>
      </c>
      <c r="G810" s="39" t="n"/>
      <c r="H810" s="39" t="n"/>
      <c r="I810" s="39">
        <f>IF(G810="","",G810+N(H810))</f>
        <v/>
      </c>
      <c r="J810" s="38" t="n"/>
      <c r="K810" s="41" t="n"/>
      <c r="L810" s="38" t="n"/>
      <c r="M810">
        <f>IF($A810=Ficha!$B$3,COUNTIF($A$5:$A810,Ficha!$B$3),"")</f>
        <v/>
      </c>
    </row>
    <row r="811">
      <c r="A811" s="36" t="n"/>
      <c r="B811" s="40">
        <f>IF(A811="","",IFERROR(INDEX(Maniobras!$B$5:$B$504,MATCH(A811,Maniobras!$A$5:$A$504,0)),""))</f>
        <v/>
      </c>
      <c r="C811" s="36">
        <f>IF(B811="","",TEXT(B811,"yyyy-mm"))</f>
        <v/>
      </c>
      <c r="D811" s="36">
        <f>IF(A811="","",IFERROR(INDEX(Maniobras!$D$5:$D$504,MATCH(A811,Maniobras!$A$5:$A$504,0)),""))</f>
        <v/>
      </c>
      <c r="E811" s="36" t="n"/>
      <c r="F811" s="37">
        <f>IF(A811="","",IFERROR(INDEX(Maniobras!$K$5:$K$504,MATCH(A811,Maniobras!$A$5:$A$504,0)),""))</f>
        <v/>
      </c>
      <c r="G811" s="37" t="n"/>
      <c r="H811" s="37" t="n"/>
      <c r="I811" s="37">
        <f>IF(G811="","",G811+N(H811))</f>
        <v/>
      </c>
      <c r="J811" s="36" t="n"/>
      <c r="K811" s="40" t="n"/>
      <c r="L811" s="36" t="n"/>
      <c r="M811">
        <f>IF($A811=Ficha!$B$3,COUNTIF($A$5:$A811,Ficha!$B$3),"")</f>
        <v/>
      </c>
    </row>
    <row r="812">
      <c r="A812" s="38" t="n"/>
      <c r="B812" s="41">
        <f>IF(A812="","",IFERROR(INDEX(Maniobras!$B$5:$B$504,MATCH(A812,Maniobras!$A$5:$A$504,0)),""))</f>
        <v/>
      </c>
      <c r="C812" s="38">
        <f>IF(B812="","",TEXT(B812,"yyyy-mm"))</f>
        <v/>
      </c>
      <c r="D812" s="38">
        <f>IF(A812="","",IFERROR(INDEX(Maniobras!$D$5:$D$504,MATCH(A812,Maniobras!$A$5:$A$504,0)),""))</f>
        <v/>
      </c>
      <c r="E812" s="38" t="n"/>
      <c r="F812" s="39">
        <f>IF(A812="","",IFERROR(INDEX(Maniobras!$K$5:$K$504,MATCH(A812,Maniobras!$A$5:$A$504,0)),""))</f>
        <v/>
      </c>
      <c r="G812" s="39" t="n"/>
      <c r="H812" s="39" t="n"/>
      <c r="I812" s="39">
        <f>IF(G812="","",G812+N(H812))</f>
        <v/>
      </c>
      <c r="J812" s="38" t="n"/>
      <c r="K812" s="41" t="n"/>
      <c r="L812" s="38" t="n"/>
      <c r="M812">
        <f>IF($A812=Ficha!$B$3,COUNTIF($A$5:$A812,Ficha!$B$3),"")</f>
        <v/>
      </c>
    </row>
    <row r="813">
      <c r="A813" s="36" t="n"/>
      <c r="B813" s="40">
        <f>IF(A813="","",IFERROR(INDEX(Maniobras!$B$5:$B$504,MATCH(A813,Maniobras!$A$5:$A$504,0)),""))</f>
        <v/>
      </c>
      <c r="C813" s="36">
        <f>IF(B813="","",TEXT(B813,"yyyy-mm"))</f>
        <v/>
      </c>
      <c r="D813" s="36">
        <f>IF(A813="","",IFERROR(INDEX(Maniobras!$D$5:$D$504,MATCH(A813,Maniobras!$A$5:$A$504,0)),""))</f>
        <v/>
      </c>
      <c r="E813" s="36" t="n"/>
      <c r="F813" s="37">
        <f>IF(A813="","",IFERROR(INDEX(Maniobras!$K$5:$K$504,MATCH(A813,Maniobras!$A$5:$A$504,0)),""))</f>
        <v/>
      </c>
      <c r="G813" s="37" t="n"/>
      <c r="H813" s="37" t="n"/>
      <c r="I813" s="37">
        <f>IF(G813="","",G813+N(H813))</f>
        <v/>
      </c>
      <c r="J813" s="36" t="n"/>
      <c r="K813" s="40" t="n"/>
      <c r="L813" s="36" t="n"/>
      <c r="M813">
        <f>IF($A813=Ficha!$B$3,COUNTIF($A$5:$A813,Ficha!$B$3),"")</f>
        <v/>
      </c>
    </row>
    <row r="814">
      <c r="A814" s="38" t="n"/>
      <c r="B814" s="41">
        <f>IF(A814="","",IFERROR(INDEX(Maniobras!$B$5:$B$504,MATCH(A814,Maniobras!$A$5:$A$504,0)),""))</f>
        <v/>
      </c>
      <c r="C814" s="38">
        <f>IF(B814="","",TEXT(B814,"yyyy-mm"))</f>
        <v/>
      </c>
      <c r="D814" s="38">
        <f>IF(A814="","",IFERROR(INDEX(Maniobras!$D$5:$D$504,MATCH(A814,Maniobras!$A$5:$A$504,0)),""))</f>
        <v/>
      </c>
      <c r="E814" s="38" t="n"/>
      <c r="F814" s="39">
        <f>IF(A814="","",IFERROR(INDEX(Maniobras!$K$5:$K$504,MATCH(A814,Maniobras!$A$5:$A$504,0)),""))</f>
        <v/>
      </c>
      <c r="G814" s="39" t="n"/>
      <c r="H814" s="39" t="n"/>
      <c r="I814" s="39">
        <f>IF(G814="","",G814+N(H814))</f>
        <v/>
      </c>
      <c r="J814" s="38" t="n"/>
      <c r="K814" s="41" t="n"/>
      <c r="L814" s="38" t="n"/>
      <c r="M814">
        <f>IF($A814=Ficha!$B$3,COUNTIF($A$5:$A814,Ficha!$B$3),"")</f>
        <v/>
      </c>
    </row>
    <row r="815">
      <c r="A815" s="36" t="n"/>
      <c r="B815" s="40">
        <f>IF(A815="","",IFERROR(INDEX(Maniobras!$B$5:$B$504,MATCH(A815,Maniobras!$A$5:$A$504,0)),""))</f>
        <v/>
      </c>
      <c r="C815" s="36">
        <f>IF(B815="","",TEXT(B815,"yyyy-mm"))</f>
        <v/>
      </c>
      <c r="D815" s="36">
        <f>IF(A815="","",IFERROR(INDEX(Maniobras!$D$5:$D$504,MATCH(A815,Maniobras!$A$5:$A$504,0)),""))</f>
        <v/>
      </c>
      <c r="E815" s="36" t="n"/>
      <c r="F815" s="37">
        <f>IF(A815="","",IFERROR(INDEX(Maniobras!$K$5:$K$504,MATCH(A815,Maniobras!$A$5:$A$504,0)),""))</f>
        <v/>
      </c>
      <c r="G815" s="37" t="n"/>
      <c r="H815" s="37" t="n"/>
      <c r="I815" s="37">
        <f>IF(G815="","",G815+N(H815))</f>
        <v/>
      </c>
      <c r="J815" s="36" t="n"/>
      <c r="K815" s="40" t="n"/>
      <c r="L815" s="36" t="n"/>
      <c r="M815">
        <f>IF($A815=Ficha!$B$3,COUNTIF($A$5:$A815,Ficha!$B$3),"")</f>
        <v/>
      </c>
    </row>
    <row r="816">
      <c r="A816" s="38" t="n"/>
      <c r="B816" s="41">
        <f>IF(A816="","",IFERROR(INDEX(Maniobras!$B$5:$B$504,MATCH(A816,Maniobras!$A$5:$A$504,0)),""))</f>
        <v/>
      </c>
      <c r="C816" s="38">
        <f>IF(B816="","",TEXT(B816,"yyyy-mm"))</f>
        <v/>
      </c>
      <c r="D816" s="38">
        <f>IF(A816="","",IFERROR(INDEX(Maniobras!$D$5:$D$504,MATCH(A816,Maniobras!$A$5:$A$504,0)),""))</f>
        <v/>
      </c>
      <c r="E816" s="38" t="n"/>
      <c r="F816" s="39">
        <f>IF(A816="","",IFERROR(INDEX(Maniobras!$K$5:$K$504,MATCH(A816,Maniobras!$A$5:$A$504,0)),""))</f>
        <v/>
      </c>
      <c r="G816" s="39" t="n"/>
      <c r="H816" s="39" t="n"/>
      <c r="I816" s="39">
        <f>IF(G816="","",G816+N(H816))</f>
        <v/>
      </c>
      <c r="J816" s="38" t="n"/>
      <c r="K816" s="41" t="n"/>
      <c r="L816" s="38" t="n"/>
      <c r="M816">
        <f>IF($A816=Ficha!$B$3,COUNTIF($A$5:$A816,Ficha!$B$3),"")</f>
        <v/>
      </c>
    </row>
    <row r="817">
      <c r="A817" s="36" t="n"/>
      <c r="B817" s="40">
        <f>IF(A817="","",IFERROR(INDEX(Maniobras!$B$5:$B$504,MATCH(A817,Maniobras!$A$5:$A$504,0)),""))</f>
        <v/>
      </c>
      <c r="C817" s="36">
        <f>IF(B817="","",TEXT(B817,"yyyy-mm"))</f>
        <v/>
      </c>
      <c r="D817" s="36">
        <f>IF(A817="","",IFERROR(INDEX(Maniobras!$D$5:$D$504,MATCH(A817,Maniobras!$A$5:$A$504,0)),""))</f>
        <v/>
      </c>
      <c r="E817" s="36" t="n"/>
      <c r="F817" s="37">
        <f>IF(A817="","",IFERROR(INDEX(Maniobras!$K$5:$K$504,MATCH(A817,Maniobras!$A$5:$A$504,0)),""))</f>
        <v/>
      </c>
      <c r="G817" s="37" t="n"/>
      <c r="H817" s="37" t="n"/>
      <c r="I817" s="37">
        <f>IF(G817="","",G817+N(H817))</f>
        <v/>
      </c>
      <c r="J817" s="36" t="n"/>
      <c r="K817" s="40" t="n"/>
      <c r="L817" s="36" t="n"/>
      <c r="M817">
        <f>IF($A817=Ficha!$B$3,COUNTIF($A$5:$A817,Ficha!$B$3),"")</f>
        <v/>
      </c>
    </row>
    <row r="818">
      <c r="A818" s="38" t="n"/>
      <c r="B818" s="41">
        <f>IF(A818="","",IFERROR(INDEX(Maniobras!$B$5:$B$504,MATCH(A818,Maniobras!$A$5:$A$504,0)),""))</f>
        <v/>
      </c>
      <c r="C818" s="38">
        <f>IF(B818="","",TEXT(B818,"yyyy-mm"))</f>
        <v/>
      </c>
      <c r="D818" s="38">
        <f>IF(A818="","",IFERROR(INDEX(Maniobras!$D$5:$D$504,MATCH(A818,Maniobras!$A$5:$A$504,0)),""))</f>
        <v/>
      </c>
      <c r="E818" s="38" t="n"/>
      <c r="F818" s="39">
        <f>IF(A818="","",IFERROR(INDEX(Maniobras!$K$5:$K$504,MATCH(A818,Maniobras!$A$5:$A$504,0)),""))</f>
        <v/>
      </c>
      <c r="G818" s="39" t="n"/>
      <c r="H818" s="39" t="n"/>
      <c r="I818" s="39">
        <f>IF(G818="","",G818+N(H818))</f>
        <v/>
      </c>
      <c r="J818" s="38" t="n"/>
      <c r="K818" s="41" t="n"/>
      <c r="L818" s="38" t="n"/>
      <c r="M818">
        <f>IF($A818=Ficha!$B$3,COUNTIF($A$5:$A818,Ficha!$B$3),"")</f>
        <v/>
      </c>
    </row>
    <row r="819">
      <c r="A819" s="36" t="n"/>
      <c r="B819" s="40">
        <f>IF(A819="","",IFERROR(INDEX(Maniobras!$B$5:$B$504,MATCH(A819,Maniobras!$A$5:$A$504,0)),""))</f>
        <v/>
      </c>
      <c r="C819" s="36">
        <f>IF(B819="","",TEXT(B819,"yyyy-mm"))</f>
        <v/>
      </c>
      <c r="D819" s="36">
        <f>IF(A819="","",IFERROR(INDEX(Maniobras!$D$5:$D$504,MATCH(A819,Maniobras!$A$5:$A$504,0)),""))</f>
        <v/>
      </c>
      <c r="E819" s="36" t="n"/>
      <c r="F819" s="37">
        <f>IF(A819="","",IFERROR(INDEX(Maniobras!$K$5:$K$504,MATCH(A819,Maniobras!$A$5:$A$504,0)),""))</f>
        <v/>
      </c>
      <c r="G819" s="37" t="n"/>
      <c r="H819" s="37" t="n"/>
      <c r="I819" s="37">
        <f>IF(G819="","",G819+N(H819))</f>
        <v/>
      </c>
      <c r="J819" s="36" t="n"/>
      <c r="K819" s="40" t="n"/>
      <c r="L819" s="36" t="n"/>
      <c r="M819">
        <f>IF($A819=Ficha!$B$3,COUNTIF($A$5:$A819,Ficha!$B$3),"")</f>
        <v/>
      </c>
    </row>
    <row r="820">
      <c r="A820" s="38" t="n"/>
      <c r="B820" s="41">
        <f>IF(A820="","",IFERROR(INDEX(Maniobras!$B$5:$B$504,MATCH(A820,Maniobras!$A$5:$A$504,0)),""))</f>
        <v/>
      </c>
      <c r="C820" s="38">
        <f>IF(B820="","",TEXT(B820,"yyyy-mm"))</f>
        <v/>
      </c>
      <c r="D820" s="38">
        <f>IF(A820="","",IFERROR(INDEX(Maniobras!$D$5:$D$504,MATCH(A820,Maniobras!$A$5:$A$504,0)),""))</f>
        <v/>
      </c>
      <c r="E820" s="38" t="n"/>
      <c r="F820" s="39">
        <f>IF(A820="","",IFERROR(INDEX(Maniobras!$K$5:$K$504,MATCH(A820,Maniobras!$A$5:$A$504,0)),""))</f>
        <v/>
      </c>
      <c r="G820" s="39" t="n"/>
      <c r="H820" s="39" t="n"/>
      <c r="I820" s="39">
        <f>IF(G820="","",G820+N(H820))</f>
        <v/>
      </c>
      <c r="J820" s="38" t="n"/>
      <c r="K820" s="41" t="n"/>
      <c r="L820" s="38" t="n"/>
      <c r="M820">
        <f>IF($A820=Ficha!$B$3,COUNTIF($A$5:$A820,Ficha!$B$3),"")</f>
        <v/>
      </c>
    </row>
    <row r="821">
      <c r="A821" s="36" t="n"/>
      <c r="B821" s="40">
        <f>IF(A821="","",IFERROR(INDEX(Maniobras!$B$5:$B$504,MATCH(A821,Maniobras!$A$5:$A$504,0)),""))</f>
        <v/>
      </c>
      <c r="C821" s="36">
        <f>IF(B821="","",TEXT(B821,"yyyy-mm"))</f>
        <v/>
      </c>
      <c r="D821" s="36">
        <f>IF(A821="","",IFERROR(INDEX(Maniobras!$D$5:$D$504,MATCH(A821,Maniobras!$A$5:$A$504,0)),""))</f>
        <v/>
      </c>
      <c r="E821" s="36" t="n"/>
      <c r="F821" s="37">
        <f>IF(A821="","",IFERROR(INDEX(Maniobras!$K$5:$K$504,MATCH(A821,Maniobras!$A$5:$A$504,0)),""))</f>
        <v/>
      </c>
      <c r="G821" s="37" t="n"/>
      <c r="H821" s="37" t="n"/>
      <c r="I821" s="37">
        <f>IF(G821="","",G821+N(H821))</f>
        <v/>
      </c>
      <c r="J821" s="36" t="n"/>
      <c r="K821" s="40" t="n"/>
      <c r="L821" s="36" t="n"/>
      <c r="M821">
        <f>IF($A821=Ficha!$B$3,COUNTIF($A$5:$A821,Ficha!$B$3),"")</f>
        <v/>
      </c>
    </row>
    <row r="822">
      <c r="A822" s="38" t="n"/>
      <c r="B822" s="41">
        <f>IF(A822="","",IFERROR(INDEX(Maniobras!$B$5:$B$504,MATCH(A822,Maniobras!$A$5:$A$504,0)),""))</f>
        <v/>
      </c>
      <c r="C822" s="38">
        <f>IF(B822="","",TEXT(B822,"yyyy-mm"))</f>
        <v/>
      </c>
      <c r="D822" s="38">
        <f>IF(A822="","",IFERROR(INDEX(Maniobras!$D$5:$D$504,MATCH(A822,Maniobras!$A$5:$A$504,0)),""))</f>
        <v/>
      </c>
      <c r="E822" s="38" t="n"/>
      <c r="F822" s="39">
        <f>IF(A822="","",IFERROR(INDEX(Maniobras!$K$5:$K$504,MATCH(A822,Maniobras!$A$5:$A$504,0)),""))</f>
        <v/>
      </c>
      <c r="G822" s="39" t="n"/>
      <c r="H822" s="39" t="n"/>
      <c r="I822" s="39">
        <f>IF(G822="","",G822+N(H822))</f>
        <v/>
      </c>
      <c r="J822" s="38" t="n"/>
      <c r="K822" s="41" t="n"/>
      <c r="L822" s="38" t="n"/>
      <c r="M822">
        <f>IF($A822=Ficha!$B$3,COUNTIF($A$5:$A822,Ficha!$B$3),"")</f>
        <v/>
      </c>
    </row>
    <row r="823">
      <c r="A823" s="36" t="n"/>
      <c r="B823" s="40">
        <f>IF(A823="","",IFERROR(INDEX(Maniobras!$B$5:$B$504,MATCH(A823,Maniobras!$A$5:$A$504,0)),""))</f>
        <v/>
      </c>
      <c r="C823" s="36">
        <f>IF(B823="","",TEXT(B823,"yyyy-mm"))</f>
        <v/>
      </c>
      <c r="D823" s="36">
        <f>IF(A823="","",IFERROR(INDEX(Maniobras!$D$5:$D$504,MATCH(A823,Maniobras!$A$5:$A$504,0)),""))</f>
        <v/>
      </c>
      <c r="E823" s="36" t="n"/>
      <c r="F823" s="37">
        <f>IF(A823="","",IFERROR(INDEX(Maniobras!$K$5:$K$504,MATCH(A823,Maniobras!$A$5:$A$504,0)),""))</f>
        <v/>
      </c>
      <c r="G823" s="37" t="n"/>
      <c r="H823" s="37" t="n"/>
      <c r="I823" s="37">
        <f>IF(G823="","",G823+N(H823))</f>
        <v/>
      </c>
      <c r="J823" s="36" t="n"/>
      <c r="K823" s="40" t="n"/>
      <c r="L823" s="36" t="n"/>
      <c r="M823">
        <f>IF($A823=Ficha!$B$3,COUNTIF($A$5:$A823,Ficha!$B$3),"")</f>
        <v/>
      </c>
    </row>
    <row r="824">
      <c r="A824" s="38" t="n"/>
      <c r="B824" s="41">
        <f>IF(A824="","",IFERROR(INDEX(Maniobras!$B$5:$B$504,MATCH(A824,Maniobras!$A$5:$A$504,0)),""))</f>
        <v/>
      </c>
      <c r="C824" s="38">
        <f>IF(B824="","",TEXT(B824,"yyyy-mm"))</f>
        <v/>
      </c>
      <c r="D824" s="38">
        <f>IF(A824="","",IFERROR(INDEX(Maniobras!$D$5:$D$504,MATCH(A824,Maniobras!$A$5:$A$504,0)),""))</f>
        <v/>
      </c>
      <c r="E824" s="38" t="n"/>
      <c r="F824" s="39">
        <f>IF(A824="","",IFERROR(INDEX(Maniobras!$K$5:$K$504,MATCH(A824,Maniobras!$A$5:$A$504,0)),""))</f>
        <v/>
      </c>
      <c r="G824" s="39" t="n"/>
      <c r="H824" s="39" t="n"/>
      <c r="I824" s="39">
        <f>IF(G824="","",G824+N(H824))</f>
        <v/>
      </c>
      <c r="J824" s="38" t="n"/>
      <c r="K824" s="41" t="n"/>
      <c r="L824" s="38" t="n"/>
      <c r="M824">
        <f>IF($A824=Ficha!$B$3,COUNTIF($A$5:$A824,Ficha!$B$3),"")</f>
        <v/>
      </c>
    </row>
    <row r="825">
      <c r="A825" s="36" t="n"/>
      <c r="B825" s="40">
        <f>IF(A825="","",IFERROR(INDEX(Maniobras!$B$5:$B$504,MATCH(A825,Maniobras!$A$5:$A$504,0)),""))</f>
        <v/>
      </c>
      <c r="C825" s="36">
        <f>IF(B825="","",TEXT(B825,"yyyy-mm"))</f>
        <v/>
      </c>
      <c r="D825" s="36">
        <f>IF(A825="","",IFERROR(INDEX(Maniobras!$D$5:$D$504,MATCH(A825,Maniobras!$A$5:$A$504,0)),""))</f>
        <v/>
      </c>
      <c r="E825" s="36" t="n"/>
      <c r="F825" s="37">
        <f>IF(A825="","",IFERROR(INDEX(Maniobras!$K$5:$K$504,MATCH(A825,Maniobras!$A$5:$A$504,0)),""))</f>
        <v/>
      </c>
      <c r="G825" s="37" t="n"/>
      <c r="H825" s="37" t="n"/>
      <c r="I825" s="37">
        <f>IF(G825="","",G825+N(H825))</f>
        <v/>
      </c>
      <c r="J825" s="36" t="n"/>
      <c r="K825" s="40" t="n"/>
      <c r="L825" s="36" t="n"/>
      <c r="M825">
        <f>IF($A825=Ficha!$B$3,COUNTIF($A$5:$A825,Ficha!$B$3),"")</f>
        <v/>
      </c>
    </row>
    <row r="826">
      <c r="A826" s="38" t="n"/>
      <c r="B826" s="41">
        <f>IF(A826="","",IFERROR(INDEX(Maniobras!$B$5:$B$504,MATCH(A826,Maniobras!$A$5:$A$504,0)),""))</f>
        <v/>
      </c>
      <c r="C826" s="38">
        <f>IF(B826="","",TEXT(B826,"yyyy-mm"))</f>
        <v/>
      </c>
      <c r="D826" s="38">
        <f>IF(A826="","",IFERROR(INDEX(Maniobras!$D$5:$D$504,MATCH(A826,Maniobras!$A$5:$A$504,0)),""))</f>
        <v/>
      </c>
      <c r="E826" s="38" t="n"/>
      <c r="F826" s="39">
        <f>IF(A826="","",IFERROR(INDEX(Maniobras!$K$5:$K$504,MATCH(A826,Maniobras!$A$5:$A$504,0)),""))</f>
        <v/>
      </c>
      <c r="G826" s="39" t="n"/>
      <c r="H826" s="39" t="n"/>
      <c r="I826" s="39">
        <f>IF(G826="","",G826+N(H826))</f>
        <v/>
      </c>
      <c r="J826" s="38" t="n"/>
      <c r="K826" s="41" t="n"/>
      <c r="L826" s="38" t="n"/>
      <c r="M826">
        <f>IF($A826=Ficha!$B$3,COUNTIF($A$5:$A826,Ficha!$B$3),"")</f>
        <v/>
      </c>
    </row>
    <row r="827">
      <c r="A827" s="36" t="n"/>
      <c r="B827" s="40">
        <f>IF(A827="","",IFERROR(INDEX(Maniobras!$B$5:$B$504,MATCH(A827,Maniobras!$A$5:$A$504,0)),""))</f>
        <v/>
      </c>
      <c r="C827" s="36">
        <f>IF(B827="","",TEXT(B827,"yyyy-mm"))</f>
        <v/>
      </c>
      <c r="D827" s="36">
        <f>IF(A827="","",IFERROR(INDEX(Maniobras!$D$5:$D$504,MATCH(A827,Maniobras!$A$5:$A$504,0)),""))</f>
        <v/>
      </c>
      <c r="E827" s="36" t="n"/>
      <c r="F827" s="37">
        <f>IF(A827="","",IFERROR(INDEX(Maniobras!$K$5:$K$504,MATCH(A827,Maniobras!$A$5:$A$504,0)),""))</f>
        <v/>
      </c>
      <c r="G827" s="37" t="n"/>
      <c r="H827" s="37" t="n"/>
      <c r="I827" s="37">
        <f>IF(G827="","",G827+N(H827))</f>
        <v/>
      </c>
      <c r="J827" s="36" t="n"/>
      <c r="K827" s="40" t="n"/>
      <c r="L827" s="36" t="n"/>
      <c r="M827">
        <f>IF($A827=Ficha!$B$3,COUNTIF($A$5:$A827,Ficha!$B$3),"")</f>
        <v/>
      </c>
    </row>
    <row r="828">
      <c r="A828" s="38" t="n"/>
      <c r="B828" s="41">
        <f>IF(A828="","",IFERROR(INDEX(Maniobras!$B$5:$B$504,MATCH(A828,Maniobras!$A$5:$A$504,0)),""))</f>
        <v/>
      </c>
      <c r="C828" s="38">
        <f>IF(B828="","",TEXT(B828,"yyyy-mm"))</f>
        <v/>
      </c>
      <c r="D828" s="38">
        <f>IF(A828="","",IFERROR(INDEX(Maniobras!$D$5:$D$504,MATCH(A828,Maniobras!$A$5:$A$504,0)),""))</f>
        <v/>
      </c>
      <c r="E828" s="38" t="n"/>
      <c r="F828" s="39">
        <f>IF(A828="","",IFERROR(INDEX(Maniobras!$K$5:$K$504,MATCH(A828,Maniobras!$A$5:$A$504,0)),""))</f>
        <v/>
      </c>
      <c r="G828" s="39" t="n"/>
      <c r="H828" s="39" t="n"/>
      <c r="I828" s="39">
        <f>IF(G828="","",G828+N(H828))</f>
        <v/>
      </c>
      <c r="J828" s="38" t="n"/>
      <c r="K828" s="41" t="n"/>
      <c r="L828" s="38" t="n"/>
      <c r="M828">
        <f>IF($A828=Ficha!$B$3,COUNTIF($A$5:$A828,Ficha!$B$3),"")</f>
        <v/>
      </c>
    </row>
    <row r="829">
      <c r="A829" s="36" t="n"/>
      <c r="B829" s="40">
        <f>IF(A829="","",IFERROR(INDEX(Maniobras!$B$5:$B$504,MATCH(A829,Maniobras!$A$5:$A$504,0)),""))</f>
        <v/>
      </c>
      <c r="C829" s="36">
        <f>IF(B829="","",TEXT(B829,"yyyy-mm"))</f>
        <v/>
      </c>
      <c r="D829" s="36">
        <f>IF(A829="","",IFERROR(INDEX(Maniobras!$D$5:$D$504,MATCH(A829,Maniobras!$A$5:$A$504,0)),""))</f>
        <v/>
      </c>
      <c r="E829" s="36" t="n"/>
      <c r="F829" s="37">
        <f>IF(A829="","",IFERROR(INDEX(Maniobras!$K$5:$K$504,MATCH(A829,Maniobras!$A$5:$A$504,0)),""))</f>
        <v/>
      </c>
      <c r="G829" s="37" t="n"/>
      <c r="H829" s="37" t="n"/>
      <c r="I829" s="37">
        <f>IF(G829="","",G829+N(H829))</f>
        <v/>
      </c>
      <c r="J829" s="36" t="n"/>
      <c r="K829" s="40" t="n"/>
      <c r="L829" s="36" t="n"/>
      <c r="M829">
        <f>IF($A829=Ficha!$B$3,COUNTIF($A$5:$A829,Ficha!$B$3),"")</f>
        <v/>
      </c>
    </row>
    <row r="830">
      <c r="A830" s="38" t="n"/>
      <c r="B830" s="41">
        <f>IF(A830="","",IFERROR(INDEX(Maniobras!$B$5:$B$504,MATCH(A830,Maniobras!$A$5:$A$504,0)),""))</f>
        <v/>
      </c>
      <c r="C830" s="38">
        <f>IF(B830="","",TEXT(B830,"yyyy-mm"))</f>
        <v/>
      </c>
      <c r="D830" s="38">
        <f>IF(A830="","",IFERROR(INDEX(Maniobras!$D$5:$D$504,MATCH(A830,Maniobras!$A$5:$A$504,0)),""))</f>
        <v/>
      </c>
      <c r="E830" s="38" t="n"/>
      <c r="F830" s="39">
        <f>IF(A830="","",IFERROR(INDEX(Maniobras!$K$5:$K$504,MATCH(A830,Maniobras!$A$5:$A$504,0)),""))</f>
        <v/>
      </c>
      <c r="G830" s="39" t="n"/>
      <c r="H830" s="39" t="n"/>
      <c r="I830" s="39">
        <f>IF(G830="","",G830+N(H830))</f>
        <v/>
      </c>
      <c r="J830" s="38" t="n"/>
      <c r="K830" s="41" t="n"/>
      <c r="L830" s="38" t="n"/>
      <c r="M830">
        <f>IF($A830=Ficha!$B$3,COUNTIF($A$5:$A830,Ficha!$B$3),"")</f>
        <v/>
      </c>
    </row>
    <row r="831">
      <c r="A831" s="36" t="n"/>
      <c r="B831" s="40">
        <f>IF(A831="","",IFERROR(INDEX(Maniobras!$B$5:$B$504,MATCH(A831,Maniobras!$A$5:$A$504,0)),""))</f>
        <v/>
      </c>
      <c r="C831" s="36">
        <f>IF(B831="","",TEXT(B831,"yyyy-mm"))</f>
        <v/>
      </c>
      <c r="D831" s="36">
        <f>IF(A831="","",IFERROR(INDEX(Maniobras!$D$5:$D$504,MATCH(A831,Maniobras!$A$5:$A$504,0)),""))</f>
        <v/>
      </c>
      <c r="E831" s="36" t="n"/>
      <c r="F831" s="37">
        <f>IF(A831="","",IFERROR(INDEX(Maniobras!$K$5:$K$504,MATCH(A831,Maniobras!$A$5:$A$504,0)),""))</f>
        <v/>
      </c>
      <c r="G831" s="37" t="n"/>
      <c r="H831" s="37" t="n"/>
      <c r="I831" s="37">
        <f>IF(G831="","",G831+N(H831))</f>
        <v/>
      </c>
      <c r="J831" s="36" t="n"/>
      <c r="K831" s="40" t="n"/>
      <c r="L831" s="36" t="n"/>
      <c r="M831">
        <f>IF($A831=Ficha!$B$3,COUNTIF($A$5:$A831,Ficha!$B$3),"")</f>
        <v/>
      </c>
    </row>
    <row r="832">
      <c r="A832" s="38" t="n"/>
      <c r="B832" s="41">
        <f>IF(A832="","",IFERROR(INDEX(Maniobras!$B$5:$B$504,MATCH(A832,Maniobras!$A$5:$A$504,0)),""))</f>
        <v/>
      </c>
      <c r="C832" s="38">
        <f>IF(B832="","",TEXT(B832,"yyyy-mm"))</f>
        <v/>
      </c>
      <c r="D832" s="38">
        <f>IF(A832="","",IFERROR(INDEX(Maniobras!$D$5:$D$504,MATCH(A832,Maniobras!$A$5:$A$504,0)),""))</f>
        <v/>
      </c>
      <c r="E832" s="38" t="n"/>
      <c r="F832" s="39">
        <f>IF(A832="","",IFERROR(INDEX(Maniobras!$K$5:$K$504,MATCH(A832,Maniobras!$A$5:$A$504,0)),""))</f>
        <v/>
      </c>
      <c r="G832" s="39" t="n"/>
      <c r="H832" s="39" t="n"/>
      <c r="I832" s="39">
        <f>IF(G832="","",G832+N(H832))</f>
        <v/>
      </c>
      <c r="J832" s="38" t="n"/>
      <c r="K832" s="41" t="n"/>
      <c r="L832" s="38" t="n"/>
      <c r="M832">
        <f>IF($A832=Ficha!$B$3,COUNTIF($A$5:$A832,Ficha!$B$3),"")</f>
        <v/>
      </c>
    </row>
    <row r="833">
      <c r="A833" s="36" t="n"/>
      <c r="B833" s="40">
        <f>IF(A833="","",IFERROR(INDEX(Maniobras!$B$5:$B$504,MATCH(A833,Maniobras!$A$5:$A$504,0)),""))</f>
        <v/>
      </c>
      <c r="C833" s="36">
        <f>IF(B833="","",TEXT(B833,"yyyy-mm"))</f>
        <v/>
      </c>
      <c r="D833" s="36">
        <f>IF(A833="","",IFERROR(INDEX(Maniobras!$D$5:$D$504,MATCH(A833,Maniobras!$A$5:$A$504,0)),""))</f>
        <v/>
      </c>
      <c r="E833" s="36" t="n"/>
      <c r="F833" s="37">
        <f>IF(A833="","",IFERROR(INDEX(Maniobras!$K$5:$K$504,MATCH(A833,Maniobras!$A$5:$A$504,0)),""))</f>
        <v/>
      </c>
      <c r="G833" s="37" t="n"/>
      <c r="H833" s="37" t="n"/>
      <c r="I833" s="37">
        <f>IF(G833="","",G833+N(H833))</f>
        <v/>
      </c>
      <c r="J833" s="36" t="n"/>
      <c r="K833" s="40" t="n"/>
      <c r="L833" s="36" t="n"/>
      <c r="M833">
        <f>IF($A833=Ficha!$B$3,COUNTIF($A$5:$A833,Ficha!$B$3),"")</f>
        <v/>
      </c>
    </row>
    <row r="834">
      <c r="A834" s="38" t="n"/>
      <c r="B834" s="41">
        <f>IF(A834="","",IFERROR(INDEX(Maniobras!$B$5:$B$504,MATCH(A834,Maniobras!$A$5:$A$504,0)),""))</f>
        <v/>
      </c>
      <c r="C834" s="38">
        <f>IF(B834="","",TEXT(B834,"yyyy-mm"))</f>
        <v/>
      </c>
      <c r="D834" s="38">
        <f>IF(A834="","",IFERROR(INDEX(Maniobras!$D$5:$D$504,MATCH(A834,Maniobras!$A$5:$A$504,0)),""))</f>
        <v/>
      </c>
      <c r="E834" s="38" t="n"/>
      <c r="F834" s="39">
        <f>IF(A834="","",IFERROR(INDEX(Maniobras!$K$5:$K$504,MATCH(A834,Maniobras!$A$5:$A$504,0)),""))</f>
        <v/>
      </c>
      <c r="G834" s="39" t="n"/>
      <c r="H834" s="39" t="n"/>
      <c r="I834" s="39">
        <f>IF(G834="","",G834+N(H834))</f>
        <v/>
      </c>
      <c r="J834" s="38" t="n"/>
      <c r="K834" s="41" t="n"/>
      <c r="L834" s="38" t="n"/>
      <c r="M834">
        <f>IF($A834=Ficha!$B$3,COUNTIF($A$5:$A834,Ficha!$B$3),"")</f>
        <v/>
      </c>
    </row>
    <row r="835">
      <c r="A835" s="36" t="n"/>
      <c r="B835" s="40">
        <f>IF(A835="","",IFERROR(INDEX(Maniobras!$B$5:$B$504,MATCH(A835,Maniobras!$A$5:$A$504,0)),""))</f>
        <v/>
      </c>
      <c r="C835" s="36">
        <f>IF(B835="","",TEXT(B835,"yyyy-mm"))</f>
        <v/>
      </c>
      <c r="D835" s="36">
        <f>IF(A835="","",IFERROR(INDEX(Maniobras!$D$5:$D$504,MATCH(A835,Maniobras!$A$5:$A$504,0)),""))</f>
        <v/>
      </c>
      <c r="E835" s="36" t="n"/>
      <c r="F835" s="37">
        <f>IF(A835="","",IFERROR(INDEX(Maniobras!$K$5:$K$504,MATCH(A835,Maniobras!$A$5:$A$504,0)),""))</f>
        <v/>
      </c>
      <c r="G835" s="37" t="n"/>
      <c r="H835" s="37" t="n"/>
      <c r="I835" s="37">
        <f>IF(G835="","",G835+N(H835))</f>
        <v/>
      </c>
      <c r="J835" s="36" t="n"/>
      <c r="K835" s="40" t="n"/>
      <c r="L835" s="36" t="n"/>
      <c r="M835">
        <f>IF($A835=Ficha!$B$3,COUNTIF($A$5:$A835,Ficha!$B$3),"")</f>
        <v/>
      </c>
    </row>
    <row r="836">
      <c r="A836" s="38" t="n"/>
      <c r="B836" s="41">
        <f>IF(A836="","",IFERROR(INDEX(Maniobras!$B$5:$B$504,MATCH(A836,Maniobras!$A$5:$A$504,0)),""))</f>
        <v/>
      </c>
      <c r="C836" s="38">
        <f>IF(B836="","",TEXT(B836,"yyyy-mm"))</f>
        <v/>
      </c>
      <c r="D836" s="38">
        <f>IF(A836="","",IFERROR(INDEX(Maniobras!$D$5:$D$504,MATCH(A836,Maniobras!$A$5:$A$504,0)),""))</f>
        <v/>
      </c>
      <c r="E836" s="38" t="n"/>
      <c r="F836" s="39">
        <f>IF(A836="","",IFERROR(INDEX(Maniobras!$K$5:$K$504,MATCH(A836,Maniobras!$A$5:$A$504,0)),""))</f>
        <v/>
      </c>
      <c r="G836" s="39" t="n"/>
      <c r="H836" s="39" t="n"/>
      <c r="I836" s="39">
        <f>IF(G836="","",G836+N(H836))</f>
        <v/>
      </c>
      <c r="J836" s="38" t="n"/>
      <c r="K836" s="41" t="n"/>
      <c r="L836" s="38" t="n"/>
      <c r="M836">
        <f>IF($A836=Ficha!$B$3,COUNTIF($A$5:$A836,Ficha!$B$3),"")</f>
        <v/>
      </c>
    </row>
    <row r="837">
      <c r="A837" s="36" t="n"/>
      <c r="B837" s="40">
        <f>IF(A837="","",IFERROR(INDEX(Maniobras!$B$5:$B$504,MATCH(A837,Maniobras!$A$5:$A$504,0)),""))</f>
        <v/>
      </c>
      <c r="C837" s="36">
        <f>IF(B837="","",TEXT(B837,"yyyy-mm"))</f>
        <v/>
      </c>
      <c r="D837" s="36">
        <f>IF(A837="","",IFERROR(INDEX(Maniobras!$D$5:$D$504,MATCH(A837,Maniobras!$A$5:$A$504,0)),""))</f>
        <v/>
      </c>
      <c r="E837" s="36" t="n"/>
      <c r="F837" s="37">
        <f>IF(A837="","",IFERROR(INDEX(Maniobras!$K$5:$K$504,MATCH(A837,Maniobras!$A$5:$A$504,0)),""))</f>
        <v/>
      </c>
      <c r="G837" s="37" t="n"/>
      <c r="H837" s="37" t="n"/>
      <c r="I837" s="37">
        <f>IF(G837="","",G837+N(H837))</f>
        <v/>
      </c>
      <c r="J837" s="36" t="n"/>
      <c r="K837" s="40" t="n"/>
      <c r="L837" s="36" t="n"/>
      <c r="M837">
        <f>IF($A837=Ficha!$B$3,COUNTIF($A$5:$A837,Ficha!$B$3),"")</f>
        <v/>
      </c>
    </row>
    <row r="838">
      <c r="A838" s="38" t="n"/>
      <c r="B838" s="41">
        <f>IF(A838="","",IFERROR(INDEX(Maniobras!$B$5:$B$504,MATCH(A838,Maniobras!$A$5:$A$504,0)),""))</f>
        <v/>
      </c>
      <c r="C838" s="38">
        <f>IF(B838="","",TEXT(B838,"yyyy-mm"))</f>
        <v/>
      </c>
      <c r="D838" s="38">
        <f>IF(A838="","",IFERROR(INDEX(Maniobras!$D$5:$D$504,MATCH(A838,Maniobras!$A$5:$A$504,0)),""))</f>
        <v/>
      </c>
      <c r="E838" s="38" t="n"/>
      <c r="F838" s="39">
        <f>IF(A838="","",IFERROR(INDEX(Maniobras!$K$5:$K$504,MATCH(A838,Maniobras!$A$5:$A$504,0)),""))</f>
        <v/>
      </c>
      <c r="G838" s="39" t="n"/>
      <c r="H838" s="39" t="n"/>
      <c r="I838" s="39">
        <f>IF(G838="","",G838+N(H838))</f>
        <v/>
      </c>
      <c r="J838" s="38" t="n"/>
      <c r="K838" s="41" t="n"/>
      <c r="L838" s="38" t="n"/>
      <c r="M838">
        <f>IF($A838=Ficha!$B$3,COUNTIF($A$5:$A838,Ficha!$B$3),"")</f>
        <v/>
      </c>
    </row>
    <row r="839">
      <c r="A839" s="36" t="n"/>
      <c r="B839" s="40">
        <f>IF(A839="","",IFERROR(INDEX(Maniobras!$B$5:$B$504,MATCH(A839,Maniobras!$A$5:$A$504,0)),""))</f>
        <v/>
      </c>
      <c r="C839" s="36">
        <f>IF(B839="","",TEXT(B839,"yyyy-mm"))</f>
        <v/>
      </c>
      <c r="D839" s="36">
        <f>IF(A839="","",IFERROR(INDEX(Maniobras!$D$5:$D$504,MATCH(A839,Maniobras!$A$5:$A$504,0)),""))</f>
        <v/>
      </c>
      <c r="E839" s="36" t="n"/>
      <c r="F839" s="37">
        <f>IF(A839="","",IFERROR(INDEX(Maniobras!$K$5:$K$504,MATCH(A839,Maniobras!$A$5:$A$504,0)),""))</f>
        <v/>
      </c>
      <c r="G839" s="37" t="n"/>
      <c r="H839" s="37" t="n"/>
      <c r="I839" s="37">
        <f>IF(G839="","",G839+N(H839))</f>
        <v/>
      </c>
      <c r="J839" s="36" t="n"/>
      <c r="K839" s="40" t="n"/>
      <c r="L839" s="36" t="n"/>
      <c r="M839">
        <f>IF($A839=Ficha!$B$3,COUNTIF($A$5:$A839,Ficha!$B$3),"")</f>
        <v/>
      </c>
    </row>
    <row r="840">
      <c r="A840" s="38" t="n"/>
      <c r="B840" s="41">
        <f>IF(A840="","",IFERROR(INDEX(Maniobras!$B$5:$B$504,MATCH(A840,Maniobras!$A$5:$A$504,0)),""))</f>
        <v/>
      </c>
      <c r="C840" s="38">
        <f>IF(B840="","",TEXT(B840,"yyyy-mm"))</f>
        <v/>
      </c>
      <c r="D840" s="38">
        <f>IF(A840="","",IFERROR(INDEX(Maniobras!$D$5:$D$504,MATCH(A840,Maniobras!$A$5:$A$504,0)),""))</f>
        <v/>
      </c>
      <c r="E840" s="38" t="n"/>
      <c r="F840" s="39">
        <f>IF(A840="","",IFERROR(INDEX(Maniobras!$K$5:$K$504,MATCH(A840,Maniobras!$A$5:$A$504,0)),""))</f>
        <v/>
      </c>
      <c r="G840" s="39" t="n"/>
      <c r="H840" s="39" t="n"/>
      <c r="I840" s="39">
        <f>IF(G840="","",G840+N(H840))</f>
        <v/>
      </c>
      <c r="J840" s="38" t="n"/>
      <c r="K840" s="41" t="n"/>
      <c r="L840" s="38" t="n"/>
      <c r="M840">
        <f>IF($A840=Ficha!$B$3,COUNTIF($A$5:$A840,Ficha!$B$3),"")</f>
        <v/>
      </c>
    </row>
    <row r="841">
      <c r="A841" s="36" t="n"/>
      <c r="B841" s="40">
        <f>IF(A841="","",IFERROR(INDEX(Maniobras!$B$5:$B$504,MATCH(A841,Maniobras!$A$5:$A$504,0)),""))</f>
        <v/>
      </c>
      <c r="C841" s="36">
        <f>IF(B841="","",TEXT(B841,"yyyy-mm"))</f>
        <v/>
      </c>
      <c r="D841" s="36">
        <f>IF(A841="","",IFERROR(INDEX(Maniobras!$D$5:$D$504,MATCH(A841,Maniobras!$A$5:$A$504,0)),""))</f>
        <v/>
      </c>
      <c r="E841" s="36" t="n"/>
      <c r="F841" s="37">
        <f>IF(A841="","",IFERROR(INDEX(Maniobras!$K$5:$K$504,MATCH(A841,Maniobras!$A$5:$A$504,0)),""))</f>
        <v/>
      </c>
      <c r="G841" s="37" t="n"/>
      <c r="H841" s="37" t="n"/>
      <c r="I841" s="37">
        <f>IF(G841="","",G841+N(H841))</f>
        <v/>
      </c>
      <c r="J841" s="36" t="n"/>
      <c r="K841" s="40" t="n"/>
      <c r="L841" s="36" t="n"/>
      <c r="M841">
        <f>IF($A841=Ficha!$B$3,COUNTIF($A$5:$A841,Ficha!$B$3),"")</f>
        <v/>
      </c>
    </row>
    <row r="842">
      <c r="A842" s="38" t="n"/>
      <c r="B842" s="41">
        <f>IF(A842="","",IFERROR(INDEX(Maniobras!$B$5:$B$504,MATCH(A842,Maniobras!$A$5:$A$504,0)),""))</f>
        <v/>
      </c>
      <c r="C842" s="38">
        <f>IF(B842="","",TEXT(B842,"yyyy-mm"))</f>
        <v/>
      </c>
      <c r="D842" s="38">
        <f>IF(A842="","",IFERROR(INDEX(Maniobras!$D$5:$D$504,MATCH(A842,Maniobras!$A$5:$A$504,0)),""))</f>
        <v/>
      </c>
      <c r="E842" s="38" t="n"/>
      <c r="F842" s="39">
        <f>IF(A842="","",IFERROR(INDEX(Maniobras!$K$5:$K$504,MATCH(A842,Maniobras!$A$5:$A$504,0)),""))</f>
        <v/>
      </c>
      <c r="G842" s="39" t="n"/>
      <c r="H842" s="39" t="n"/>
      <c r="I842" s="39">
        <f>IF(G842="","",G842+N(H842))</f>
        <v/>
      </c>
      <c r="J842" s="38" t="n"/>
      <c r="K842" s="41" t="n"/>
      <c r="L842" s="38" t="n"/>
      <c r="M842">
        <f>IF($A842=Ficha!$B$3,COUNTIF($A$5:$A842,Ficha!$B$3),"")</f>
        <v/>
      </c>
    </row>
    <row r="843">
      <c r="A843" s="36" t="n"/>
      <c r="B843" s="40">
        <f>IF(A843="","",IFERROR(INDEX(Maniobras!$B$5:$B$504,MATCH(A843,Maniobras!$A$5:$A$504,0)),""))</f>
        <v/>
      </c>
      <c r="C843" s="36">
        <f>IF(B843="","",TEXT(B843,"yyyy-mm"))</f>
        <v/>
      </c>
      <c r="D843" s="36">
        <f>IF(A843="","",IFERROR(INDEX(Maniobras!$D$5:$D$504,MATCH(A843,Maniobras!$A$5:$A$504,0)),""))</f>
        <v/>
      </c>
      <c r="E843" s="36" t="n"/>
      <c r="F843" s="37">
        <f>IF(A843="","",IFERROR(INDEX(Maniobras!$K$5:$K$504,MATCH(A843,Maniobras!$A$5:$A$504,0)),""))</f>
        <v/>
      </c>
      <c r="G843" s="37" t="n"/>
      <c r="H843" s="37" t="n"/>
      <c r="I843" s="37">
        <f>IF(G843="","",G843+N(H843))</f>
        <v/>
      </c>
      <c r="J843" s="36" t="n"/>
      <c r="K843" s="40" t="n"/>
      <c r="L843" s="36" t="n"/>
      <c r="M843">
        <f>IF($A843=Ficha!$B$3,COUNTIF($A$5:$A843,Ficha!$B$3),"")</f>
        <v/>
      </c>
    </row>
    <row r="844">
      <c r="A844" s="38" t="n"/>
      <c r="B844" s="41">
        <f>IF(A844="","",IFERROR(INDEX(Maniobras!$B$5:$B$504,MATCH(A844,Maniobras!$A$5:$A$504,0)),""))</f>
        <v/>
      </c>
      <c r="C844" s="38">
        <f>IF(B844="","",TEXT(B844,"yyyy-mm"))</f>
        <v/>
      </c>
      <c r="D844" s="38">
        <f>IF(A844="","",IFERROR(INDEX(Maniobras!$D$5:$D$504,MATCH(A844,Maniobras!$A$5:$A$504,0)),""))</f>
        <v/>
      </c>
      <c r="E844" s="38" t="n"/>
      <c r="F844" s="39">
        <f>IF(A844="","",IFERROR(INDEX(Maniobras!$K$5:$K$504,MATCH(A844,Maniobras!$A$5:$A$504,0)),""))</f>
        <v/>
      </c>
      <c r="G844" s="39" t="n"/>
      <c r="H844" s="39" t="n"/>
      <c r="I844" s="39">
        <f>IF(G844="","",G844+N(H844))</f>
        <v/>
      </c>
      <c r="J844" s="38" t="n"/>
      <c r="K844" s="41" t="n"/>
      <c r="L844" s="38" t="n"/>
      <c r="M844">
        <f>IF($A844=Ficha!$B$3,COUNTIF($A$5:$A844,Ficha!$B$3),"")</f>
        <v/>
      </c>
    </row>
    <row r="845">
      <c r="A845" s="36" t="n"/>
      <c r="B845" s="40">
        <f>IF(A845="","",IFERROR(INDEX(Maniobras!$B$5:$B$504,MATCH(A845,Maniobras!$A$5:$A$504,0)),""))</f>
        <v/>
      </c>
      <c r="C845" s="36">
        <f>IF(B845="","",TEXT(B845,"yyyy-mm"))</f>
        <v/>
      </c>
      <c r="D845" s="36">
        <f>IF(A845="","",IFERROR(INDEX(Maniobras!$D$5:$D$504,MATCH(A845,Maniobras!$A$5:$A$504,0)),""))</f>
        <v/>
      </c>
      <c r="E845" s="36" t="n"/>
      <c r="F845" s="37">
        <f>IF(A845="","",IFERROR(INDEX(Maniobras!$K$5:$K$504,MATCH(A845,Maniobras!$A$5:$A$504,0)),""))</f>
        <v/>
      </c>
      <c r="G845" s="37" t="n"/>
      <c r="H845" s="37" t="n"/>
      <c r="I845" s="37">
        <f>IF(G845="","",G845+N(H845))</f>
        <v/>
      </c>
      <c r="J845" s="36" t="n"/>
      <c r="K845" s="40" t="n"/>
      <c r="L845" s="36" t="n"/>
      <c r="M845">
        <f>IF($A845=Ficha!$B$3,COUNTIF($A$5:$A845,Ficha!$B$3),"")</f>
        <v/>
      </c>
    </row>
    <row r="846">
      <c r="A846" s="38" t="n"/>
      <c r="B846" s="41">
        <f>IF(A846="","",IFERROR(INDEX(Maniobras!$B$5:$B$504,MATCH(A846,Maniobras!$A$5:$A$504,0)),""))</f>
        <v/>
      </c>
      <c r="C846" s="38">
        <f>IF(B846="","",TEXT(B846,"yyyy-mm"))</f>
        <v/>
      </c>
      <c r="D846" s="38">
        <f>IF(A846="","",IFERROR(INDEX(Maniobras!$D$5:$D$504,MATCH(A846,Maniobras!$A$5:$A$504,0)),""))</f>
        <v/>
      </c>
      <c r="E846" s="38" t="n"/>
      <c r="F846" s="39">
        <f>IF(A846="","",IFERROR(INDEX(Maniobras!$K$5:$K$504,MATCH(A846,Maniobras!$A$5:$A$504,0)),""))</f>
        <v/>
      </c>
      <c r="G846" s="39" t="n"/>
      <c r="H846" s="39" t="n"/>
      <c r="I846" s="39">
        <f>IF(G846="","",G846+N(H846))</f>
        <v/>
      </c>
      <c r="J846" s="38" t="n"/>
      <c r="K846" s="41" t="n"/>
      <c r="L846" s="38" t="n"/>
      <c r="M846">
        <f>IF($A846=Ficha!$B$3,COUNTIF($A$5:$A846,Ficha!$B$3),"")</f>
        <v/>
      </c>
    </row>
    <row r="847">
      <c r="A847" s="36" t="n"/>
      <c r="B847" s="40">
        <f>IF(A847="","",IFERROR(INDEX(Maniobras!$B$5:$B$504,MATCH(A847,Maniobras!$A$5:$A$504,0)),""))</f>
        <v/>
      </c>
      <c r="C847" s="36">
        <f>IF(B847="","",TEXT(B847,"yyyy-mm"))</f>
        <v/>
      </c>
      <c r="D847" s="36">
        <f>IF(A847="","",IFERROR(INDEX(Maniobras!$D$5:$D$504,MATCH(A847,Maniobras!$A$5:$A$504,0)),""))</f>
        <v/>
      </c>
      <c r="E847" s="36" t="n"/>
      <c r="F847" s="37">
        <f>IF(A847="","",IFERROR(INDEX(Maniobras!$K$5:$K$504,MATCH(A847,Maniobras!$A$5:$A$504,0)),""))</f>
        <v/>
      </c>
      <c r="G847" s="37" t="n"/>
      <c r="H847" s="37" t="n"/>
      <c r="I847" s="37">
        <f>IF(G847="","",G847+N(H847))</f>
        <v/>
      </c>
      <c r="J847" s="36" t="n"/>
      <c r="K847" s="40" t="n"/>
      <c r="L847" s="36" t="n"/>
      <c r="M847">
        <f>IF($A847=Ficha!$B$3,COUNTIF($A$5:$A847,Ficha!$B$3),"")</f>
        <v/>
      </c>
    </row>
    <row r="848">
      <c r="A848" s="38" t="n"/>
      <c r="B848" s="41">
        <f>IF(A848="","",IFERROR(INDEX(Maniobras!$B$5:$B$504,MATCH(A848,Maniobras!$A$5:$A$504,0)),""))</f>
        <v/>
      </c>
      <c r="C848" s="38">
        <f>IF(B848="","",TEXT(B848,"yyyy-mm"))</f>
        <v/>
      </c>
      <c r="D848" s="38">
        <f>IF(A848="","",IFERROR(INDEX(Maniobras!$D$5:$D$504,MATCH(A848,Maniobras!$A$5:$A$504,0)),""))</f>
        <v/>
      </c>
      <c r="E848" s="38" t="n"/>
      <c r="F848" s="39">
        <f>IF(A848="","",IFERROR(INDEX(Maniobras!$K$5:$K$504,MATCH(A848,Maniobras!$A$5:$A$504,0)),""))</f>
        <v/>
      </c>
      <c r="G848" s="39" t="n"/>
      <c r="H848" s="39" t="n"/>
      <c r="I848" s="39">
        <f>IF(G848="","",G848+N(H848))</f>
        <v/>
      </c>
      <c r="J848" s="38" t="n"/>
      <c r="K848" s="41" t="n"/>
      <c r="L848" s="38" t="n"/>
      <c r="M848">
        <f>IF($A848=Ficha!$B$3,COUNTIF($A$5:$A848,Ficha!$B$3),"")</f>
        <v/>
      </c>
    </row>
    <row r="849">
      <c r="A849" s="36" t="n"/>
      <c r="B849" s="40">
        <f>IF(A849="","",IFERROR(INDEX(Maniobras!$B$5:$B$504,MATCH(A849,Maniobras!$A$5:$A$504,0)),""))</f>
        <v/>
      </c>
      <c r="C849" s="36">
        <f>IF(B849="","",TEXT(B849,"yyyy-mm"))</f>
        <v/>
      </c>
      <c r="D849" s="36">
        <f>IF(A849="","",IFERROR(INDEX(Maniobras!$D$5:$D$504,MATCH(A849,Maniobras!$A$5:$A$504,0)),""))</f>
        <v/>
      </c>
      <c r="E849" s="36" t="n"/>
      <c r="F849" s="37">
        <f>IF(A849="","",IFERROR(INDEX(Maniobras!$K$5:$K$504,MATCH(A849,Maniobras!$A$5:$A$504,0)),""))</f>
        <v/>
      </c>
      <c r="G849" s="37" t="n"/>
      <c r="H849" s="37" t="n"/>
      <c r="I849" s="37">
        <f>IF(G849="","",G849+N(H849))</f>
        <v/>
      </c>
      <c r="J849" s="36" t="n"/>
      <c r="K849" s="40" t="n"/>
      <c r="L849" s="36" t="n"/>
      <c r="M849">
        <f>IF($A849=Ficha!$B$3,COUNTIF($A$5:$A849,Ficha!$B$3),"")</f>
        <v/>
      </c>
    </row>
    <row r="850">
      <c r="A850" s="38" t="n"/>
      <c r="B850" s="41">
        <f>IF(A850="","",IFERROR(INDEX(Maniobras!$B$5:$B$504,MATCH(A850,Maniobras!$A$5:$A$504,0)),""))</f>
        <v/>
      </c>
      <c r="C850" s="38">
        <f>IF(B850="","",TEXT(B850,"yyyy-mm"))</f>
        <v/>
      </c>
      <c r="D850" s="38">
        <f>IF(A850="","",IFERROR(INDEX(Maniobras!$D$5:$D$504,MATCH(A850,Maniobras!$A$5:$A$504,0)),""))</f>
        <v/>
      </c>
      <c r="E850" s="38" t="n"/>
      <c r="F850" s="39">
        <f>IF(A850="","",IFERROR(INDEX(Maniobras!$K$5:$K$504,MATCH(A850,Maniobras!$A$5:$A$504,0)),""))</f>
        <v/>
      </c>
      <c r="G850" s="39" t="n"/>
      <c r="H850" s="39" t="n"/>
      <c r="I850" s="39">
        <f>IF(G850="","",G850+N(H850))</f>
        <v/>
      </c>
      <c r="J850" s="38" t="n"/>
      <c r="K850" s="41" t="n"/>
      <c r="L850" s="38" t="n"/>
      <c r="M850">
        <f>IF($A850=Ficha!$B$3,COUNTIF($A$5:$A850,Ficha!$B$3),"")</f>
        <v/>
      </c>
    </row>
    <row r="851">
      <c r="A851" s="36" t="n"/>
      <c r="B851" s="40">
        <f>IF(A851="","",IFERROR(INDEX(Maniobras!$B$5:$B$504,MATCH(A851,Maniobras!$A$5:$A$504,0)),""))</f>
        <v/>
      </c>
      <c r="C851" s="36">
        <f>IF(B851="","",TEXT(B851,"yyyy-mm"))</f>
        <v/>
      </c>
      <c r="D851" s="36">
        <f>IF(A851="","",IFERROR(INDEX(Maniobras!$D$5:$D$504,MATCH(A851,Maniobras!$A$5:$A$504,0)),""))</f>
        <v/>
      </c>
      <c r="E851" s="36" t="n"/>
      <c r="F851" s="37">
        <f>IF(A851="","",IFERROR(INDEX(Maniobras!$K$5:$K$504,MATCH(A851,Maniobras!$A$5:$A$504,0)),""))</f>
        <v/>
      </c>
      <c r="G851" s="37" t="n"/>
      <c r="H851" s="37" t="n"/>
      <c r="I851" s="37">
        <f>IF(G851="","",G851+N(H851))</f>
        <v/>
      </c>
      <c r="J851" s="36" t="n"/>
      <c r="K851" s="40" t="n"/>
      <c r="L851" s="36" t="n"/>
      <c r="M851">
        <f>IF($A851=Ficha!$B$3,COUNTIF($A$5:$A851,Ficha!$B$3),"")</f>
        <v/>
      </c>
    </row>
    <row r="852">
      <c r="A852" s="38" t="n"/>
      <c r="B852" s="41">
        <f>IF(A852="","",IFERROR(INDEX(Maniobras!$B$5:$B$504,MATCH(A852,Maniobras!$A$5:$A$504,0)),""))</f>
        <v/>
      </c>
      <c r="C852" s="38">
        <f>IF(B852="","",TEXT(B852,"yyyy-mm"))</f>
        <v/>
      </c>
      <c r="D852" s="38">
        <f>IF(A852="","",IFERROR(INDEX(Maniobras!$D$5:$D$504,MATCH(A852,Maniobras!$A$5:$A$504,0)),""))</f>
        <v/>
      </c>
      <c r="E852" s="38" t="n"/>
      <c r="F852" s="39">
        <f>IF(A852="","",IFERROR(INDEX(Maniobras!$K$5:$K$504,MATCH(A852,Maniobras!$A$5:$A$504,0)),""))</f>
        <v/>
      </c>
      <c r="G852" s="39" t="n"/>
      <c r="H852" s="39" t="n"/>
      <c r="I852" s="39">
        <f>IF(G852="","",G852+N(H852))</f>
        <v/>
      </c>
      <c r="J852" s="38" t="n"/>
      <c r="K852" s="41" t="n"/>
      <c r="L852" s="38" t="n"/>
      <c r="M852">
        <f>IF($A852=Ficha!$B$3,COUNTIF($A$5:$A852,Ficha!$B$3),"")</f>
        <v/>
      </c>
    </row>
    <row r="853">
      <c r="A853" s="36" t="n"/>
      <c r="B853" s="40">
        <f>IF(A853="","",IFERROR(INDEX(Maniobras!$B$5:$B$504,MATCH(A853,Maniobras!$A$5:$A$504,0)),""))</f>
        <v/>
      </c>
      <c r="C853" s="36">
        <f>IF(B853="","",TEXT(B853,"yyyy-mm"))</f>
        <v/>
      </c>
      <c r="D853" s="36">
        <f>IF(A853="","",IFERROR(INDEX(Maniobras!$D$5:$D$504,MATCH(A853,Maniobras!$A$5:$A$504,0)),""))</f>
        <v/>
      </c>
      <c r="E853" s="36" t="n"/>
      <c r="F853" s="37">
        <f>IF(A853="","",IFERROR(INDEX(Maniobras!$K$5:$K$504,MATCH(A853,Maniobras!$A$5:$A$504,0)),""))</f>
        <v/>
      </c>
      <c r="G853" s="37" t="n"/>
      <c r="H853" s="37" t="n"/>
      <c r="I853" s="37">
        <f>IF(G853="","",G853+N(H853))</f>
        <v/>
      </c>
      <c r="J853" s="36" t="n"/>
      <c r="K853" s="40" t="n"/>
      <c r="L853" s="36" t="n"/>
      <c r="M853">
        <f>IF($A853=Ficha!$B$3,COUNTIF($A$5:$A853,Ficha!$B$3),"")</f>
        <v/>
      </c>
    </row>
    <row r="854">
      <c r="A854" s="38" t="n"/>
      <c r="B854" s="41">
        <f>IF(A854="","",IFERROR(INDEX(Maniobras!$B$5:$B$504,MATCH(A854,Maniobras!$A$5:$A$504,0)),""))</f>
        <v/>
      </c>
      <c r="C854" s="38">
        <f>IF(B854="","",TEXT(B854,"yyyy-mm"))</f>
        <v/>
      </c>
      <c r="D854" s="38">
        <f>IF(A854="","",IFERROR(INDEX(Maniobras!$D$5:$D$504,MATCH(A854,Maniobras!$A$5:$A$504,0)),""))</f>
        <v/>
      </c>
      <c r="E854" s="38" t="n"/>
      <c r="F854" s="39">
        <f>IF(A854="","",IFERROR(INDEX(Maniobras!$K$5:$K$504,MATCH(A854,Maniobras!$A$5:$A$504,0)),""))</f>
        <v/>
      </c>
      <c r="G854" s="39" t="n"/>
      <c r="H854" s="39" t="n"/>
      <c r="I854" s="39">
        <f>IF(G854="","",G854+N(H854))</f>
        <v/>
      </c>
      <c r="J854" s="38" t="n"/>
      <c r="K854" s="41" t="n"/>
      <c r="L854" s="38" t="n"/>
      <c r="M854">
        <f>IF($A854=Ficha!$B$3,COUNTIF($A$5:$A854,Ficha!$B$3),"")</f>
        <v/>
      </c>
    </row>
    <row r="855">
      <c r="A855" s="36" t="n"/>
      <c r="B855" s="40">
        <f>IF(A855="","",IFERROR(INDEX(Maniobras!$B$5:$B$504,MATCH(A855,Maniobras!$A$5:$A$504,0)),""))</f>
        <v/>
      </c>
      <c r="C855" s="36">
        <f>IF(B855="","",TEXT(B855,"yyyy-mm"))</f>
        <v/>
      </c>
      <c r="D855" s="36">
        <f>IF(A855="","",IFERROR(INDEX(Maniobras!$D$5:$D$504,MATCH(A855,Maniobras!$A$5:$A$504,0)),""))</f>
        <v/>
      </c>
      <c r="E855" s="36" t="n"/>
      <c r="F855" s="37">
        <f>IF(A855="","",IFERROR(INDEX(Maniobras!$K$5:$K$504,MATCH(A855,Maniobras!$A$5:$A$504,0)),""))</f>
        <v/>
      </c>
      <c r="G855" s="37" t="n"/>
      <c r="H855" s="37" t="n"/>
      <c r="I855" s="37">
        <f>IF(G855="","",G855+N(H855))</f>
        <v/>
      </c>
      <c r="J855" s="36" t="n"/>
      <c r="K855" s="40" t="n"/>
      <c r="L855" s="36" t="n"/>
      <c r="M855">
        <f>IF($A855=Ficha!$B$3,COUNTIF($A$5:$A855,Ficha!$B$3),"")</f>
        <v/>
      </c>
    </row>
    <row r="856">
      <c r="A856" s="38" t="n"/>
      <c r="B856" s="41">
        <f>IF(A856="","",IFERROR(INDEX(Maniobras!$B$5:$B$504,MATCH(A856,Maniobras!$A$5:$A$504,0)),""))</f>
        <v/>
      </c>
      <c r="C856" s="38">
        <f>IF(B856="","",TEXT(B856,"yyyy-mm"))</f>
        <v/>
      </c>
      <c r="D856" s="38">
        <f>IF(A856="","",IFERROR(INDEX(Maniobras!$D$5:$D$504,MATCH(A856,Maniobras!$A$5:$A$504,0)),""))</f>
        <v/>
      </c>
      <c r="E856" s="38" t="n"/>
      <c r="F856" s="39">
        <f>IF(A856="","",IFERROR(INDEX(Maniobras!$K$5:$K$504,MATCH(A856,Maniobras!$A$5:$A$504,0)),""))</f>
        <v/>
      </c>
      <c r="G856" s="39" t="n"/>
      <c r="H856" s="39" t="n"/>
      <c r="I856" s="39">
        <f>IF(G856="","",G856+N(H856))</f>
        <v/>
      </c>
      <c r="J856" s="38" t="n"/>
      <c r="K856" s="41" t="n"/>
      <c r="L856" s="38" t="n"/>
      <c r="M856">
        <f>IF($A856=Ficha!$B$3,COUNTIF($A$5:$A856,Ficha!$B$3),"")</f>
        <v/>
      </c>
    </row>
    <row r="857">
      <c r="A857" s="36" t="n"/>
      <c r="B857" s="40">
        <f>IF(A857="","",IFERROR(INDEX(Maniobras!$B$5:$B$504,MATCH(A857,Maniobras!$A$5:$A$504,0)),""))</f>
        <v/>
      </c>
      <c r="C857" s="36">
        <f>IF(B857="","",TEXT(B857,"yyyy-mm"))</f>
        <v/>
      </c>
      <c r="D857" s="36">
        <f>IF(A857="","",IFERROR(INDEX(Maniobras!$D$5:$D$504,MATCH(A857,Maniobras!$A$5:$A$504,0)),""))</f>
        <v/>
      </c>
      <c r="E857" s="36" t="n"/>
      <c r="F857" s="37">
        <f>IF(A857="","",IFERROR(INDEX(Maniobras!$K$5:$K$504,MATCH(A857,Maniobras!$A$5:$A$504,0)),""))</f>
        <v/>
      </c>
      <c r="G857" s="37" t="n"/>
      <c r="H857" s="37" t="n"/>
      <c r="I857" s="37">
        <f>IF(G857="","",G857+N(H857))</f>
        <v/>
      </c>
      <c r="J857" s="36" t="n"/>
      <c r="K857" s="40" t="n"/>
      <c r="L857" s="36" t="n"/>
      <c r="M857">
        <f>IF($A857=Ficha!$B$3,COUNTIF($A$5:$A857,Ficha!$B$3),"")</f>
        <v/>
      </c>
    </row>
    <row r="858">
      <c r="A858" s="38" t="n"/>
      <c r="B858" s="41">
        <f>IF(A858="","",IFERROR(INDEX(Maniobras!$B$5:$B$504,MATCH(A858,Maniobras!$A$5:$A$504,0)),""))</f>
        <v/>
      </c>
      <c r="C858" s="38">
        <f>IF(B858="","",TEXT(B858,"yyyy-mm"))</f>
        <v/>
      </c>
      <c r="D858" s="38">
        <f>IF(A858="","",IFERROR(INDEX(Maniobras!$D$5:$D$504,MATCH(A858,Maniobras!$A$5:$A$504,0)),""))</f>
        <v/>
      </c>
      <c r="E858" s="38" t="n"/>
      <c r="F858" s="39">
        <f>IF(A858="","",IFERROR(INDEX(Maniobras!$K$5:$K$504,MATCH(A858,Maniobras!$A$5:$A$504,0)),""))</f>
        <v/>
      </c>
      <c r="G858" s="39" t="n"/>
      <c r="H858" s="39" t="n"/>
      <c r="I858" s="39">
        <f>IF(G858="","",G858+N(H858))</f>
        <v/>
      </c>
      <c r="J858" s="38" t="n"/>
      <c r="K858" s="41" t="n"/>
      <c r="L858" s="38" t="n"/>
      <c r="M858">
        <f>IF($A858=Ficha!$B$3,COUNTIF($A$5:$A858,Ficha!$B$3),"")</f>
        <v/>
      </c>
    </row>
    <row r="859">
      <c r="A859" s="36" t="n"/>
      <c r="B859" s="40">
        <f>IF(A859="","",IFERROR(INDEX(Maniobras!$B$5:$B$504,MATCH(A859,Maniobras!$A$5:$A$504,0)),""))</f>
        <v/>
      </c>
      <c r="C859" s="36">
        <f>IF(B859="","",TEXT(B859,"yyyy-mm"))</f>
        <v/>
      </c>
      <c r="D859" s="36">
        <f>IF(A859="","",IFERROR(INDEX(Maniobras!$D$5:$D$504,MATCH(A859,Maniobras!$A$5:$A$504,0)),""))</f>
        <v/>
      </c>
      <c r="E859" s="36" t="n"/>
      <c r="F859" s="37">
        <f>IF(A859="","",IFERROR(INDEX(Maniobras!$K$5:$K$504,MATCH(A859,Maniobras!$A$5:$A$504,0)),""))</f>
        <v/>
      </c>
      <c r="G859" s="37" t="n"/>
      <c r="H859" s="37" t="n"/>
      <c r="I859" s="37">
        <f>IF(G859="","",G859+N(H859))</f>
        <v/>
      </c>
      <c r="J859" s="36" t="n"/>
      <c r="K859" s="40" t="n"/>
      <c r="L859" s="36" t="n"/>
      <c r="M859">
        <f>IF($A859=Ficha!$B$3,COUNTIF($A$5:$A859,Ficha!$B$3),"")</f>
        <v/>
      </c>
    </row>
    <row r="860">
      <c r="A860" s="38" t="n"/>
      <c r="B860" s="41">
        <f>IF(A860="","",IFERROR(INDEX(Maniobras!$B$5:$B$504,MATCH(A860,Maniobras!$A$5:$A$504,0)),""))</f>
        <v/>
      </c>
      <c r="C860" s="38">
        <f>IF(B860="","",TEXT(B860,"yyyy-mm"))</f>
        <v/>
      </c>
      <c r="D860" s="38">
        <f>IF(A860="","",IFERROR(INDEX(Maniobras!$D$5:$D$504,MATCH(A860,Maniobras!$A$5:$A$504,0)),""))</f>
        <v/>
      </c>
      <c r="E860" s="38" t="n"/>
      <c r="F860" s="39">
        <f>IF(A860="","",IFERROR(INDEX(Maniobras!$K$5:$K$504,MATCH(A860,Maniobras!$A$5:$A$504,0)),""))</f>
        <v/>
      </c>
      <c r="G860" s="39" t="n"/>
      <c r="H860" s="39" t="n"/>
      <c r="I860" s="39">
        <f>IF(G860="","",G860+N(H860))</f>
        <v/>
      </c>
      <c r="J860" s="38" t="n"/>
      <c r="K860" s="41" t="n"/>
      <c r="L860" s="38" t="n"/>
      <c r="M860">
        <f>IF($A860=Ficha!$B$3,COUNTIF($A$5:$A860,Ficha!$B$3),"")</f>
        <v/>
      </c>
    </row>
    <row r="861">
      <c r="A861" s="36" t="n"/>
      <c r="B861" s="40">
        <f>IF(A861="","",IFERROR(INDEX(Maniobras!$B$5:$B$504,MATCH(A861,Maniobras!$A$5:$A$504,0)),""))</f>
        <v/>
      </c>
      <c r="C861" s="36">
        <f>IF(B861="","",TEXT(B861,"yyyy-mm"))</f>
        <v/>
      </c>
      <c r="D861" s="36">
        <f>IF(A861="","",IFERROR(INDEX(Maniobras!$D$5:$D$504,MATCH(A861,Maniobras!$A$5:$A$504,0)),""))</f>
        <v/>
      </c>
      <c r="E861" s="36" t="n"/>
      <c r="F861" s="37">
        <f>IF(A861="","",IFERROR(INDEX(Maniobras!$K$5:$K$504,MATCH(A861,Maniobras!$A$5:$A$504,0)),""))</f>
        <v/>
      </c>
      <c r="G861" s="37" t="n"/>
      <c r="H861" s="37" t="n"/>
      <c r="I861" s="37">
        <f>IF(G861="","",G861+N(H861))</f>
        <v/>
      </c>
      <c r="J861" s="36" t="n"/>
      <c r="K861" s="40" t="n"/>
      <c r="L861" s="36" t="n"/>
      <c r="M861">
        <f>IF($A861=Ficha!$B$3,COUNTIF($A$5:$A861,Ficha!$B$3),"")</f>
        <v/>
      </c>
    </row>
    <row r="862">
      <c r="A862" s="38" t="n"/>
      <c r="B862" s="41">
        <f>IF(A862="","",IFERROR(INDEX(Maniobras!$B$5:$B$504,MATCH(A862,Maniobras!$A$5:$A$504,0)),""))</f>
        <v/>
      </c>
      <c r="C862" s="38">
        <f>IF(B862="","",TEXT(B862,"yyyy-mm"))</f>
        <v/>
      </c>
      <c r="D862" s="38">
        <f>IF(A862="","",IFERROR(INDEX(Maniobras!$D$5:$D$504,MATCH(A862,Maniobras!$A$5:$A$504,0)),""))</f>
        <v/>
      </c>
      <c r="E862" s="38" t="n"/>
      <c r="F862" s="39">
        <f>IF(A862="","",IFERROR(INDEX(Maniobras!$K$5:$K$504,MATCH(A862,Maniobras!$A$5:$A$504,0)),""))</f>
        <v/>
      </c>
      <c r="G862" s="39" t="n"/>
      <c r="H862" s="39" t="n"/>
      <c r="I862" s="39">
        <f>IF(G862="","",G862+N(H862))</f>
        <v/>
      </c>
      <c r="J862" s="38" t="n"/>
      <c r="K862" s="41" t="n"/>
      <c r="L862" s="38" t="n"/>
      <c r="M862">
        <f>IF($A862=Ficha!$B$3,COUNTIF($A$5:$A862,Ficha!$B$3),"")</f>
        <v/>
      </c>
    </row>
    <row r="863">
      <c r="A863" s="36" t="n"/>
      <c r="B863" s="40">
        <f>IF(A863="","",IFERROR(INDEX(Maniobras!$B$5:$B$504,MATCH(A863,Maniobras!$A$5:$A$504,0)),""))</f>
        <v/>
      </c>
      <c r="C863" s="36">
        <f>IF(B863="","",TEXT(B863,"yyyy-mm"))</f>
        <v/>
      </c>
      <c r="D863" s="36">
        <f>IF(A863="","",IFERROR(INDEX(Maniobras!$D$5:$D$504,MATCH(A863,Maniobras!$A$5:$A$504,0)),""))</f>
        <v/>
      </c>
      <c r="E863" s="36" t="n"/>
      <c r="F863" s="37">
        <f>IF(A863="","",IFERROR(INDEX(Maniobras!$K$5:$K$504,MATCH(A863,Maniobras!$A$5:$A$504,0)),""))</f>
        <v/>
      </c>
      <c r="G863" s="37" t="n"/>
      <c r="H863" s="37" t="n"/>
      <c r="I863" s="37">
        <f>IF(G863="","",G863+N(H863))</f>
        <v/>
      </c>
      <c r="J863" s="36" t="n"/>
      <c r="K863" s="40" t="n"/>
      <c r="L863" s="36" t="n"/>
      <c r="M863">
        <f>IF($A863=Ficha!$B$3,COUNTIF($A$5:$A863,Ficha!$B$3),"")</f>
        <v/>
      </c>
    </row>
    <row r="864">
      <c r="A864" s="38" t="n"/>
      <c r="B864" s="41">
        <f>IF(A864="","",IFERROR(INDEX(Maniobras!$B$5:$B$504,MATCH(A864,Maniobras!$A$5:$A$504,0)),""))</f>
        <v/>
      </c>
      <c r="C864" s="38">
        <f>IF(B864="","",TEXT(B864,"yyyy-mm"))</f>
        <v/>
      </c>
      <c r="D864" s="38">
        <f>IF(A864="","",IFERROR(INDEX(Maniobras!$D$5:$D$504,MATCH(A864,Maniobras!$A$5:$A$504,0)),""))</f>
        <v/>
      </c>
      <c r="E864" s="38" t="n"/>
      <c r="F864" s="39">
        <f>IF(A864="","",IFERROR(INDEX(Maniobras!$K$5:$K$504,MATCH(A864,Maniobras!$A$5:$A$504,0)),""))</f>
        <v/>
      </c>
      <c r="G864" s="39" t="n"/>
      <c r="H864" s="39" t="n"/>
      <c r="I864" s="39">
        <f>IF(G864="","",G864+N(H864))</f>
        <v/>
      </c>
      <c r="J864" s="38" t="n"/>
      <c r="K864" s="41" t="n"/>
      <c r="L864" s="38" t="n"/>
      <c r="M864">
        <f>IF($A864=Ficha!$B$3,COUNTIF($A$5:$A864,Ficha!$B$3),"")</f>
        <v/>
      </c>
    </row>
    <row r="865">
      <c r="A865" s="36" t="n"/>
      <c r="B865" s="40">
        <f>IF(A865="","",IFERROR(INDEX(Maniobras!$B$5:$B$504,MATCH(A865,Maniobras!$A$5:$A$504,0)),""))</f>
        <v/>
      </c>
      <c r="C865" s="36">
        <f>IF(B865="","",TEXT(B865,"yyyy-mm"))</f>
        <v/>
      </c>
      <c r="D865" s="36">
        <f>IF(A865="","",IFERROR(INDEX(Maniobras!$D$5:$D$504,MATCH(A865,Maniobras!$A$5:$A$504,0)),""))</f>
        <v/>
      </c>
      <c r="E865" s="36" t="n"/>
      <c r="F865" s="37">
        <f>IF(A865="","",IFERROR(INDEX(Maniobras!$K$5:$K$504,MATCH(A865,Maniobras!$A$5:$A$504,0)),""))</f>
        <v/>
      </c>
      <c r="G865" s="37" t="n"/>
      <c r="H865" s="37" t="n"/>
      <c r="I865" s="37">
        <f>IF(G865="","",G865+N(H865))</f>
        <v/>
      </c>
      <c r="J865" s="36" t="n"/>
      <c r="K865" s="40" t="n"/>
      <c r="L865" s="36" t="n"/>
      <c r="M865">
        <f>IF($A865=Ficha!$B$3,COUNTIF($A$5:$A865,Ficha!$B$3),"")</f>
        <v/>
      </c>
    </row>
    <row r="866">
      <c r="A866" s="38" t="n"/>
      <c r="B866" s="41">
        <f>IF(A866="","",IFERROR(INDEX(Maniobras!$B$5:$B$504,MATCH(A866,Maniobras!$A$5:$A$504,0)),""))</f>
        <v/>
      </c>
      <c r="C866" s="38">
        <f>IF(B866="","",TEXT(B866,"yyyy-mm"))</f>
        <v/>
      </c>
      <c r="D866" s="38">
        <f>IF(A866="","",IFERROR(INDEX(Maniobras!$D$5:$D$504,MATCH(A866,Maniobras!$A$5:$A$504,0)),""))</f>
        <v/>
      </c>
      <c r="E866" s="38" t="n"/>
      <c r="F866" s="39">
        <f>IF(A866="","",IFERROR(INDEX(Maniobras!$K$5:$K$504,MATCH(A866,Maniobras!$A$5:$A$504,0)),""))</f>
        <v/>
      </c>
      <c r="G866" s="39" t="n"/>
      <c r="H866" s="39" t="n"/>
      <c r="I866" s="39">
        <f>IF(G866="","",G866+N(H866))</f>
        <v/>
      </c>
      <c r="J866" s="38" t="n"/>
      <c r="K866" s="41" t="n"/>
      <c r="L866" s="38" t="n"/>
      <c r="M866">
        <f>IF($A866=Ficha!$B$3,COUNTIF($A$5:$A866,Ficha!$B$3),"")</f>
        <v/>
      </c>
    </row>
    <row r="867">
      <c r="A867" s="36" t="n"/>
      <c r="B867" s="40">
        <f>IF(A867="","",IFERROR(INDEX(Maniobras!$B$5:$B$504,MATCH(A867,Maniobras!$A$5:$A$504,0)),""))</f>
        <v/>
      </c>
      <c r="C867" s="36">
        <f>IF(B867="","",TEXT(B867,"yyyy-mm"))</f>
        <v/>
      </c>
      <c r="D867" s="36">
        <f>IF(A867="","",IFERROR(INDEX(Maniobras!$D$5:$D$504,MATCH(A867,Maniobras!$A$5:$A$504,0)),""))</f>
        <v/>
      </c>
      <c r="E867" s="36" t="n"/>
      <c r="F867" s="37">
        <f>IF(A867="","",IFERROR(INDEX(Maniobras!$K$5:$K$504,MATCH(A867,Maniobras!$A$5:$A$504,0)),""))</f>
        <v/>
      </c>
      <c r="G867" s="37" t="n"/>
      <c r="H867" s="37" t="n"/>
      <c r="I867" s="37">
        <f>IF(G867="","",G867+N(H867))</f>
        <v/>
      </c>
      <c r="J867" s="36" t="n"/>
      <c r="K867" s="40" t="n"/>
      <c r="L867" s="36" t="n"/>
      <c r="M867">
        <f>IF($A867=Ficha!$B$3,COUNTIF($A$5:$A867,Ficha!$B$3),"")</f>
        <v/>
      </c>
    </row>
    <row r="868">
      <c r="A868" s="38" t="n"/>
      <c r="B868" s="41">
        <f>IF(A868="","",IFERROR(INDEX(Maniobras!$B$5:$B$504,MATCH(A868,Maniobras!$A$5:$A$504,0)),""))</f>
        <v/>
      </c>
      <c r="C868" s="38">
        <f>IF(B868="","",TEXT(B868,"yyyy-mm"))</f>
        <v/>
      </c>
      <c r="D868" s="38">
        <f>IF(A868="","",IFERROR(INDEX(Maniobras!$D$5:$D$504,MATCH(A868,Maniobras!$A$5:$A$504,0)),""))</f>
        <v/>
      </c>
      <c r="E868" s="38" t="n"/>
      <c r="F868" s="39">
        <f>IF(A868="","",IFERROR(INDEX(Maniobras!$K$5:$K$504,MATCH(A868,Maniobras!$A$5:$A$504,0)),""))</f>
        <v/>
      </c>
      <c r="G868" s="39" t="n"/>
      <c r="H868" s="39" t="n"/>
      <c r="I868" s="39">
        <f>IF(G868="","",G868+N(H868))</f>
        <v/>
      </c>
      <c r="J868" s="38" t="n"/>
      <c r="K868" s="41" t="n"/>
      <c r="L868" s="38" t="n"/>
      <c r="M868">
        <f>IF($A868=Ficha!$B$3,COUNTIF($A$5:$A868,Ficha!$B$3),"")</f>
        <v/>
      </c>
    </row>
    <row r="869">
      <c r="A869" s="36" t="n"/>
      <c r="B869" s="40">
        <f>IF(A869="","",IFERROR(INDEX(Maniobras!$B$5:$B$504,MATCH(A869,Maniobras!$A$5:$A$504,0)),""))</f>
        <v/>
      </c>
      <c r="C869" s="36">
        <f>IF(B869="","",TEXT(B869,"yyyy-mm"))</f>
        <v/>
      </c>
      <c r="D869" s="36">
        <f>IF(A869="","",IFERROR(INDEX(Maniobras!$D$5:$D$504,MATCH(A869,Maniobras!$A$5:$A$504,0)),""))</f>
        <v/>
      </c>
      <c r="E869" s="36" t="n"/>
      <c r="F869" s="37">
        <f>IF(A869="","",IFERROR(INDEX(Maniobras!$K$5:$K$504,MATCH(A869,Maniobras!$A$5:$A$504,0)),""))</f>
        <v/>
      </c>
      <c r="G869" s="37" t="n"/>
      <c r="H869" s="37" t="n"/>
      <c r="I869" s="37">
        <f>IF(G869="","",G869+N(H869))</f>
        <v/>
      </c>
      <c r="J869" s="36" t="n"/>
      <c r="K869" s="40" t="n"/>
      <c r="L869" s="36" t="n"/>
      <c r="M869">
        <f>IF($A869=Ficha!$B$3,COUNTIF($A$5:$A869,Ficha!$B$3),"")</f>
        <v/>
      </c>
    </row>
    <row r="870">
      <c r="A870" s="38" t="n"/>
      <c r="B870" s="41">
        <f>IF(A870="","",IFERROR(INDEX(Maniobras!$B$5:$B$504,MATCH(A870,Maniobras!$A$5:$A$504,0)),""))</f>
        <v/>
      </c>
      <c r="C870" s="38">
        <f>IF(B870="","",TEXT(B870,"yyyy-mm"))</f>
        <v/>
      </c>
      <c r="D870" s="38">
        <f>IF(A870="","",IFERROR(INDEX(Maniobras!$D$5:$D$504,MATCH(A870,Maniobras!$A$5:$A$504,0)),""))</f>
        <v/>
      </c>
      <c r="E870" s="38" t="n"/>
      <c r="F870" s="39">
        <f>IF(A870="","",IFERROR(INDEX(Maniobras!$K$5:$K$504,MATCH(A870,Maniobras!$A$5:$A$504,0)),""))</f>
        <v/>
      </c>
      <c r="G870" s="39" t="n"/>
      <c r="H870" s="39" t="n"/>
      <c r="I870" s="39">
        <f>IF(G870="","",G870+N(H870))</f>
        <v/>
      </c>
      <c r="J870" s="38" t="n"/>
      <c r="K870" s="41" t="n"/>
      <c r="L870" s="38" t="n"/>
      <c r="M870">
        <f>IF($A870=Ficha!$B$3,COUNTIF($A$5:$A870,Ficha!$B$3),"")</f>
        <v/>
      </c>
    </row>
    <row r="871">
      <c r="A871" s="36" t="n"/>
      <c r="B871" s="40">
        <f>IF(A871="","",IFERROR(INDEX(Maniobras!$B$5:$B$504,MATCH(A871,Maniobras!$A$5:$A$504,0)),""))</f>
        <v/>
      </c>
      <c r="C871" s="36">
        <f>IF(B871="","",TEXT(B871,"yyyy-mm"))</f>
        <v/>
      </c>
      <c r="D871" s="36">
        <f>IF(A871="","",IFERROR(INDEX(Maniobras!$D$5:$D$504,MATCH(A871,Maniobras!$A$5:$A$504,0)),""))</f>
        <v/>
      </c>
      <c r="E871" s="36" t="n"/>
      <c r="F871" s="37">
        <f>IF(A871="","",IFERROR(INDEX(Maniobras!$K$5:$K$504,MATCH(A871,Maniobras!$A$5:$A$504,0)),""))</f>
        <v/>
      </c>
      <c r="G871" s="37" t="n"/>
      <c r="H871" s="37" t="n"/>
      <c r="I871" s="37">
        <f>IF(G871="","",G871+N(H871))</f>
        <v/>
      </c>
      <c r="J871" s="36" t="n"/>
      <c r="K871" s="40" t="n"/>
      <c r="L871" s="36" t="n"/>
      <c r="M871">
        <f>IF($A871=Ficha!$B$3,COUNTIF($A$5:$A871,Ficha!$B$3),"")</f>
        <v/>
      </c>
    </row>
    <row r="872">
      <c r="A872" s="38" t="n"/>
      <c r="B872" s="41">
        <f>IF(A872="","",IFERROR(INDEX(Maniobras!$B$5:$B$504,MATCH(A872,Maniobras!$A$5:$A$504,0)),""))</f>
        <v/>
      </c>
      <c r="C872" s="38">
        <f>IF(B872="","",TEXT(B872,"yyyy-mm"))</f>
        <v/>
      </c>
      <c r="D872" s="38">
        <f>IF(A872="","",IFERROR(INDEX(Maniobras!$D$5:$D$504,MATCH(A872,Maniobras!$A$5:$A$504,0)),""))</f>
        <v/>
      </c>
      <c r="E872" s="38" t="n"/>
      <c r="F872" s="39">
        <f>IF(A872="","",IFERROR(INDEX(Maniobras!$K$5:$K$504,MATCH(A872,Maniobras!$A$5:$A$504,0)),""))</f>
        <v/>
      </c>
      <c r="G872" s="39" t="n"/>
      <c r="H872" s="39" t="n"/>
      <c r="I872" s="39">
        <f>IF(G872="","",G872+N(H872))</f>
        <v/>
      </c>
      <c r="J872" s="38" t="n"/>
      <c r="K872" s="41" t="n"/>
      <c r="L872" s="38" t="n"/>
      <c r="M872">
        <f>IF($A872=Ficha!$B$3,COUNTIF($A$5:$A872,Ficha!$B$3),"")</f>
        <v/>
      </c>
    </row>
    <row r="873">
      <c r="A873" s="36" t="n"/>
      <c r="B873" s="40">
        <f>IF(A873="","",IFERROR(INDEX(Maniobras!$B$5:$B$504,MATCH(A873,Maniobras!$A$5:$A$504,0)),""))</f>
        <v/>
      </c>
      <c r="C873" s="36">
        <f>IF(B873="","",TEXT(B873,"yyyy-mm"))</f>
        <v/>
      </c>
      <c r="D873" s="36">
        <f>IF(A873="","",IFERROR(INDEX(Maniobras!$D$5:$D$504,MATCH(A873,Maniobras!$A$5:$A$504,0)),""))</f>
        <v/>
      </c>
      <c r="E873" s="36" t="n"/>
      <c r="F873" s="37">
        <f>IF(A873="","",IFERROR(INDEX(Maniobras!$K$5:$K$504,MATCH(A873,Maniobras!$A$5:$A$504,0)),""))</f>
        <v/>
      </c>
      <c r="G873" s="37" t="n"/>
      <c r="H873" s="37" t="n"/>
      <c r="I873" s="37">
        <f>IF(G873="","",G873+N(H873))</f>
        <v/>
      </c>
      <c r="J873" s="36" t="n"/>
      <c r="K873" s="40" t="n"/>
      <c r="L873" s="36" t="n"/>
      <c r="M873">
        <f>IF($A873=Ficha!$B$3,COUNTIF($A$5:$A873,Ficha!$B$3),"")</f>
        <v/>
      </c>
    </row>
    <row r="874">
      <c r="A874" s="38" t="n"/>
      <c r="B874" s="41">
        <f>IF(A874="","",IFERROR(INDEX(Maniobras!$B$5:$B$504,MATCH(A874,Maniobras!$A$5:$A$504,0)),""))</f>
        <v/>
      </c>
      <c r="C874" s="38">
        <f>IF(B874="","",TEXT(B874,"yyyy-mm"))</f>
        <v/>
      </c>
      <c r="D874" s="38">
        <f>IF(A874="","",IFERROR(INDEX(Maniobras!$D$5:$D$504,MATCH(A874,Maniobras!$A$5:$A$504,0)),""))</f>
        <v/>
      </c>
      <c r="E874" s="38" t="n"/>
      <c r="F874" s="39">
        <f>IF(A874="","",IFERROR(INDEX(Maniobras!$K$5:$K$504,MATCH(A874,Maniobras!$A$5:$A$504,0)),""))</f>
        <v/>
      </c>
      <c r="G874" s="39" t="n"/>
      <c r="H874" s="39" t="n"/>
      <c r="I874" s="39">
        <f>IF(G874="","",G874+N(H874))</f>
        <v/>
      </c>
      <c r="J874" s="38" t="n"/>
      <c r="K874" s="41" t="n"/>
      <c r="L874" s="38" t="n"/>
      <c r="M874">
        <f>IF($A874=Ficha!$B$3,COUNTIF($A$5:$A874,Ficha!$B$3),"")</f>
        <v/>
      </c>
    </row>
    <row r="875">
      <c r="A875" s="36" t="n"/>
      <c r="B875" s="40">
        <f>IF(A875="","",IFERROR(INDEX(Maniobras!$B$5:$B$504,MATCH(A875,Maniobras!$A$5:$A$504,0)),""))</f>
        <v/>
      </c>
      <c r="C875" s="36">
        <f>IF(B875="","",TEXT(B875,"yyyy-mm"))</f>
        <v/>
      </c>
      <c r="D875" s="36">
        <f>IF(A875="","",IFERROR(INDEX(Maniobras!$D$5:$D$504,MATCH(A875,Maniobras!$A$5:$A$504,0)),""))</f>
        <v/>
      </c>
      <c r="E875" s="36" t="n"/>
      <c r="F875" s="37">
        <f>IF(A875="","",IFERROR(INDEX(Maniobras!$K$5:$K$504,MATCH(A875,Maniobras!$A$5:$A$504,0)),""))</f>
        <v/>
      </c>
      <c r="G875" s="37" t="n"/>
      <c r="H875" s="37" t="n"/>
      <c r="I875" s="37">
        <f>IF(G875="","",G875+N(H875))</f>
        <v/>
      </c>
      <c r="J875" s="36" t="n"/>
      <c r="K875" s="40" t="n"/>
      <c r="L875" s="36" t="n"/>
      <c r="M875">
        <f>IF($A875=Ficha!$B$3,COUNTIF($A$5:$A875,Ficha!$B$3),"")</f>
        <v/>
      </c>
    </row>
    <row r="876">
      <c r="A876" s="38" t="n"/>
      <c r="B876" s="41">
        <f>IF(A876="","",IFERROR(INDEX(Maniobras!$B$5:$B$504,MATCH(A876,Maniobras!$A$5:$A$504,0)),""))</f>
        <v/>
      </c>
      <c r="C876" s="38">
        <f>IF(B876="","",TEXT(B876,"yyyy-mm"))</f>
        <v/>
      </c>
      <c r="D876" s="38">
        <f>IF(A876="","",IFERROR(INDEX(Maniobras!$D$5:$D$504,MATCH(A876,Maniobras!$A$5:$A$504,0)),""))</f>
        <v/>
      </c>
      <c r="E876" s="38" t="n"/>
      <c r="F876" s="39">
        <f>IF(A876="","",IFERROR(INDEX(Maniobras!$K$5:$K$504,MATCH(A876,Maniobras!$A$5:$A$504,0)),""))</f>
        <v/>
      </c>
      <c r="G876" s="39" t="n"/>
      <c r="H876" s="39" t="n"/>
      <c r="I876" s="39">
        <f>IF(G876="","",G876+N(H876))</f>
        <v/>
      </c>
      <c r="J876" s="38" t="n"/>
      <c r="K876" s="41" t="n"/>
      <c r="L876" s="38" t="n"/>
      <c r="M876">
        <f>IF($A876=Ficha!$B$3,COUNTIF($A$5:$A876,Ficha!$B$3),"")</f>
        <v/>
      </c>
    </row>
    <row r="877">
      <c r="A877" s="36" t="n"/>
      <c r="B877" s="40">
        <f>IF(A877="","",IFERROR(INDEX(Maniobras!$B$5:$B$504,MATCH(A877,Maniobras!$A$5:$A$504,0)),""))</f>
        <v/>
      </c>
      <c r="C877" s="36">
        <f>IF(B877="","",TEXT(B877,"yyyy-mm"))</f>
        <v/>
      </c>
      <c r="D877" s="36">
        <f>IF(A877="","",IFERROR(INDEX(Maniobras!$D$5:$D$504,MATCH(A877,Maniobras!$A$5:$A$504,0)),""))</f>
        <v/>
      </c>
      <c r="E877" s="36" t="n"/>
      <c r="F877" s="37">
        <f>IF(A877="","",IFERROR(INDEX(Maniobras!$K$5:$K$504,MATCH(A877,Maniobras!$A$5:$A$504,0)),""))</f>
        <v/>
      </c>
      <c r="G877" s="37" t="n"/>
      <c r="H877" s="37" t="n"/>
      <c r="I877" s="37">
        <f>IF(G877="","",G877+N(H877))</f>
        <v/>
      </c>
      <c r="J877" s="36" t="n"/>
      <c r="K877" s="40" t="n"/>
      <c r="L877" s="36" t="n"/>
      <c r="M877">
        <f>IF($A877=Ficha!$B$3,COUNTIF($A$5:$A877,Ficha!$B$3),"")</f>
        <v/>
      </c>
    </row>
    <row r="878">
      <c r="A878" s="38" t="n"/>
      <c r="B878" s="41">
        <f>IF(A878="","",IFERROR(INDEX(Maniobras!$B$5:$B$504,MATCH(A878,Maniobras!$A$5:$A$504,0)),""))</f>
        <v/>
      </c>
      <c r="C878" s="38">
        <f>IF(B878="","",TEXT(B878,"yyyy-mm"))</f>
        <v/>
      </c>
      <c r="D878" s="38">
        <f>IF(A878="","",IFERROR(INDEX(Maniobras!$D$5:$D$504,MATCH(A878,Maniobras!$A$5:$A$504,0)),""))</f>
        <v/>
      </c>
      <c r="E878" s="38" t="n"/>
      <c r="F878" s="39">
        <f>IF(A878="","",IFERROR(INDEX(Maniobras!$K$5:$K$504,MATCH(A878,Maniobras!$A$5:$A$504,0)),""))</f>
        <v/>
      </c>
      <c r="G878" s="39" t="n"/>
      <c r="H878" s="39" t="n"/>
      <c r="I878" s="39">
        <f>IF(G878="","",G878+N(H878))</f>
        <v/>
      </c>
      <c r="J878" s="38" t="n"/>
      <c r="K878" s="41" t="n"/>
      <c r="L878" s="38" t="n"/>
      <c r="M878">
        <f>IF($A878=Ficha!$B$3,COUNTIF($A$5:$A878,Ficha!$B$3),"")</f>
        <v/>
      </c>
    </row>
    <row r="879">
      <c r="A879" s="36" t="n"/>
      <c r="B879" s="40">
        <f>IF(A879="","",IFERROR(INDEX(Maniobras!$B$5:$B$504,MATCH(A879,Maniobras!$A$5:$A$504,0)),""))</f>
        <v/>
      </c>
      <c r="C879" s="36">
        <f>IF(B879="","",TEXT(B879,"yyyy-mm"))</f>
        <v/>
      </c>
      <c r="D879" s="36">
        <f>IF(A879="","",IFERROR(INDEX(Maniobras!$D$5:$D$504,MATCH(A879,Maniobras!$A$5:$A$504,0)),""))</f>
        <v/>
      </c>
      <c r="E879" s="36" t="n"/>
      <c r="F879" s="37">
        <f>IF(A879="","",IFERROR(INDEX(Maniobras!$K$5:$K$504,MATCH(A879,Maniobras!$A$5:$A$504,0)),""))</f>
        <v/>
      </c>
      <c r="G879" s="37" t="n"/>
      <c r="H879" s="37" t="n"/>
      <c r="I879" s="37">
        <f>IF(G879="","",G879+N(H879))</f>
        <v/>
      </c>
      <c r="J879" s="36" t="n"/>
      <c r="K879" s="40" t="n"/>
      <c r="L879" s="36" t="n"/>
      <c r="M879">
        <f>IF($A879=Ficha!$B$3,COUNTIF($A$5:$A879,Ficha!$B$3),"")</f>
        <v/>
      </c>
    </row>
    <row r="880">
      <c r="A880" s="38" t="n"/>
      <c r="B880" s="41">
        <f>IF(A880="","",IFERROR(INDEX(Maniobras!$B$5:$B$504,MATCH(A880,Maniobras!$A$5:$A$504,0)),""))</f>
        <v/>
      </c>
      <c r="C880" s="38">
        <f>IF(B880="","",TEXT(B880,"yyyy-mm"))</f>
        <v/>
      </c>
      <c r="D880" s="38">
        <f>IF(A880="","",IFERROR(INDEX(Maniobras!$D$5:$D$504,MATCH(A880,Maniobras!$A$5:$A$504,0)),""))</f>
        <v/>
      </c>
      <c r="E880" s="38" t="n"/>
      <c r="F880" s="39">
        <f>IF(A880="","",IFERROR(INDEX(Maniobras!$K$5:$K$504,MATCH(A880,Maniobras!$A$5:$A$504,0)),""))</f>
        <v/>
      </c>
      <c r="G880" s="39" t="n"/>
      <c r="H880" s="39" t="n"/>
      <c r="I880" s="39">
        <f>IF(G880="","",G880+N(H880))</f>
        <v/>
      </c>
      <c r="J880" s="38" t="n"/>
      <c r="K880" s="41" t="n"/>
      <c r="L880" s="38" t="n"/>
      <c r="M880">
        <f>IF($A880=Ficha!$B$3,COUNTIF($A$5:$A880,Ficha!$B$3),"")</f>
        <v/>
      </c>
    </row>
    <row r="881">
      <c r="A881" s="36" t="n"/>
      <c r="B881" s="40">
        <f>IF(A881="","",IFERROR(INDEX(Maniobras!$B$5:$B$504,MATCH(A881,Maniobras!$A$5:$A$504,0)),""))</f>
        <v/>
      </c>
      <c r="C881" s="36">
        <f>IF(B881="","",TEXT(B881,"yyyy-mm"))</f>
        <v/>
      </c>
      <c r="D881" s="36">
        <f>IF(A881="","",IFERROR(INDEX(Maniobras!$D$5:$D$504,MATCH(A881,Maniobras!$A$5:$A$504,0)),""))</f>
        <v/>
      </c>
      <c r="E881" s="36" t="n"/>
      <c r="F881" s="37">
        <f>IF(A881="","",IFERROR(INDEX(Maniobras!$K$5:$K$504,MATCH(A881,Maniobras!$A$5:$A$504,0)),""))</f>
        <v/>
      </c>
      <c r="G881" s="37" t="n"/>
      <c r="H881" s="37" t="n"/>
      <c r="I881" s="37">
        <f>IF(G881="","",G881+N(H881))</f>
        <v/>
      </c>
      <c r="J881" s="36" t="n"/>
      <c r="K881" s="40" t="n"/>
      <c r="L881" s="36" t="n"/>
      <c r="M881">
        <f>IF($A881=Ficha!$B$3,COUNTIF($A$5:$A881,Ficha!$B$3),"")</f>
        <v/>
      </c>
    </row>
    <row r="882">
      <c r="A882" s="38" t="n"/>
      <c r="B882" s="41">
        <f>IF(A882="","",IFERROR(INDEX(Maniobras!$B$5:$B$504,MATCH(A882,Maniobras!$A$5:$A$504,0)),""))</f>
        <v/>
      </c>
      <c r="C882" s="38">
        <f>IF(B882="","",TEXT(B882,"yyyy-mm"))</f>
        <v/>
      </c>
      <c r="D882" s="38">
        <f>IF(A882="","",IFERROR(INDEX(Maniobras!$D$5:$D$504,MATCH(A882,Maniobras!$A$5:$A$504,0)),""))</f>
        <v/>
      </c>
      <c r="E882" s="38" t="n"/>
      <c r="F882" s="39">
        <f>IF(A882="","",IFERROR(INDEX(Maniobras!$K$5:$K$504,MATCH(A882,Maniobras!$A$5:$A$504,0)),""))</f>
        <v/>
      </c>
      <c r="G882" s="39" t="n"/>
      <c r="H882" s="39" t="n"/>
      <c r="I882" s="39">
        <f>IF(G882="","",G882+N(H882))</f>
        <v/>
      </c>
      <c r="J882" s="38" t="n"/>
      <c r="K882" s="41" t="n"/>
      <c r="L882" s="38" t="n"/>
      <c r="M882">
        <f>IF($A882=Ficha!$B$3,COUNTIF($A$5:$A882,Ficha!$B$3),"")</f>
        <v/>
      </c>
    </row>
    <row r="883">
      <c r="A883" s="36" t="n"/>
      <c r="B883" s="40">
        <f>IF(A883="","",IFERROR(INDEX(Maniobras!$B$5:$B$504,MATCH(A883,Maniobras!$A$5:$A$504,0)),""))</f>
        <v/>
      </c>
      <c r="C883" s="36">
        <f>IF(B883="","",TEXT(B883,"yyyy-mm"))</f>
        <v/>
      </c>
      <c r="D883" s="36">
        <f>IF(A883="","",IFERROR(INDEX(Maniobras!$D$5:$D$504,MATCH(A883,Maniobras!$A$5:$A$504,0)),""))</f>
        <v/>
      </c>
      <c r="E883" s="36" t="n"/>
      <c r="F883" s="37">
        <f>IF(A883="","",IFERROR(INDEX(Maniobras!$K$5:$K$504,MATCH(A883,Maniobras!$A$5:$A$504,0)),""))</f>
        <v/>
      </c>
      <c r="G883" s="37" t="n"/>
      <c r="H883" s="37" t="n"/>
      <c r="I883" s="37">
        <f>IF(G883="","",G883+N(H883))</f>
        <v/>
      </c>
      <c r="J883" s="36" t="n"/>
      <c r="K883" s="40" t="n"/>
      <c r="L883" s="36" t="n"/>
      <c r="M883">
        <f>IF($A883=Ficha!$B$3,COUNTIF($A$5:$A883,Ficha!$B$3),"")</f>
        <v/>
      </c>
    </row>
    <row r="884">
      <c r="A884" s="38" t="n"/>
      <c r="B884" s="41">
        <f>IF(A884="","",IFERROR(INDEX(Maniobras!$B$5:$B$504,MATCH(A884,Maniobras!$A$5:$A$504,0)),""))</f>
        <v/>
      </c>
      <c r="C884" s="38">
        <f>IF(B884="","",TEXT(B884,"yyyy-mm"))</f>
        <v/>
      </c>
      <c r="D884" s="38">
        <f>IF(A884="","",IFERROR(INDEX(Maniobras!$D$5:$D$504,MATCH(A884,Maniobras!$A$5:$A$504,0)),""))</f>
        <v/>
      </c>
      <c r="E884" s="38" t="n"/>
      <c r="F884" s="39">
        <f>IF(A884="","",IFERROR(INDEX(Maniobras!$K$5:$K$504,MATCH(A884,Maniobras!$A$5:$A$504,0)),""))</f>
        <v/>
      </c>
      <c r="G884" s="39" t="n"/>
      <c r="H884" s="39" t="n"/>
      <c r="I884" s="39">
        <f>IF(G884="","",G884+N(H884))</f>
        <v/>
      </c>
      <c r="J884" s="38" t="n"/>
      <c r="K884" s="41" t="n"/>
      <c r="L884" s="38" t="n"/>
      <c r="M884">
        <f>IF($A884=Ficha!$B$3,COUNTIF($A$5:$A884,Ficha!$B$3),"")</f>
        <v/>
      </c>
    </row>
    <row r="885">
      <c r="A885" s="36" t="n"/>
      <c r="B885" s="40">
        <f>IF(A885="","",IFERROR(INDEX(Maniobras!$B$5:$B$504,MATCH(A885,Maniobras!$A$5:$A$504,0)),""))</f>
        <v/>
      </c>
      <c r="C885" s="36">
        <f>IF(B885="","",TEXT(B885,"yyyy-mm"))</f>
        <v/>
      </c>
      <c r="D885" s="36">
        <f>IF(A885="","",IFERROR(INDEX(Maniobras!$D$5:$D$504,MATCH(A885,Maniobras!$A$5:$A$504,0)),""))</f>
        <v/>
      </c>
      <c r="E885" s="36" t="n"/>
      <c r="F885" s="37">
        <f>IF(A885="","",IFERROR(INDEX(Maniobras!$K$5:$K$504,MATCH(A885,Maniobras!$A$5:$A$504,0)),""))</f>
        <v/>
      </c>
      <c r="G885" s="37" t="n"/>
      <c r="H885" s="37" t="n"/>
      <c r="I885" s="37">
        <f>IF(G885="","",G885+N(H885))</f>
        <v/>
      </c>
      <c r="J885" s="36" t="n"/>
      <c r="K885" s="40" t="n"/>
      <c r="L885" s="36" t="n"/>
      <c r="M885">
        <f>IF($A885=Ficha!$B$3,COUNTIF($A$5:$A885,Ficha!$B$3),"")</f>
        <v/>
      </c>
    </row>
    <row r="886">
      <c r="A886" s="38" t="n"/>
      <c r="B886" s="41">
        <f>IF(A886="","",IFERROR(INDEX(Maniobras!$B$5:$B$504,MATCH(A886,Maniobras!$A$5:$A$504,0)),""))</f>
        <v/>
      </c>
      <c r="C886" s="38">
        <f>IF(B886="","",TEXT(B886,"yyyy-mm"))</f>
        <v/>
      </c>
      <c r="D886" s="38">
        <f>IF(A886="","",IFERROR(INDEX(Maniobras!$D$5:$D$504,MATCH(A886,Maniobras!$A$5:$A$504,0)),""))</f>
        <v/>
      </c>
      <c r="E886" s="38" t="n"/>
      <c r="F886" s="39">
        <f>IF(A886="","",IFERROR(INDEX(Maniobras!$K$5:$K$504,MATCH(A886,Maniobras!$A$5:$A$504,0)),""))</f>
        <v/>
      </c>
      <c r="G886" s="39" t="n"/>
      <c r="H886" s="39" t="n"/>
      <c r="I886" s="39">
        <f>IF(G886="","",G886+N(H886))</f>
        <v/>
      </c>
      <c r="J886" s="38" t="n"/>
      <c r="K886" s="41" t="n"/>
      <c r="L886" s="38" t="n"/>
      <c r="M886">
        <f>IF($A886=Ficha!$B$3,COUNTIF($A$5:$A886,Ficha!$B$3),"")</f>
        <v/>
      </c>
    </row>
    <row r="887">
      <c r="A887" s="36" t="n"/>
      <c r="B887" s="40">
        <f>IF(A887="","",IFERROR(INDEX(Maniobras!$B$5:$B$504,MATCH(A887,Maniobras!$A$5:$A$504,0)),""))</f>
        <v/>
      </c>
      <c r="C887" s="36">
        <f>IF(B887="","",TEXT(B887,"yyyy-mm"))</f>
        <v/>
      </c>
      <c r="D887" s="36">
        <f>IF(A887="","",IFERROR(INDEX(Maniobras!$D$5:$D$504,MATCH(A887,Maniobras!$A$5:$A$504,0)),""))</f>
        <v/>
      </c>
      <c r="E887" s="36" t="n"/>
      <c r="F887" s="37">
        <f>IF(A887="","",IFERROR(INDEX(Maniobras!$K$5:$K$504,MATCH(A887,Maniobras!$A$5:$A$504,0)),""))</f>
        <v/>
      </c>
      <c r="G887" s="37" t="n"/>
      <c r="H887" s="37" t="n"/>
      <c r="I887" s="37">
        <f>IF(G887="","",G887+N(H887))</f>
        <v/>
      </c>
      <c r="J887" s="36" t="n"/>
      <c r="K887" s="40" t="n"/>
      <c r="L887" s="36" t="n"/>
      <c r="M887">
        <f>IF($A887=Ficha!$B$3,COUNTIF($A$5:$A887,Ficha!$B$3),"")</f>
        <v/>
      </c>
    </row>
    <row r="888">
      <c r="A888" s="38" t="n"/>
      <c r="B888" s="41">
        <f>IF(A888="","",IFERROR(INDEX(Maniobras!$B$5:$B$504,MATCH(A888,Maniobras!$A$5:$A$504,0)),""))</f>
        <v/>
      </c>
      <c r="C888" s="38">
        <f>IF(B888="","",TEXT(B888,"yyyy-mm"))</f>
        <v/>
      </c>
      <c r="D888" s="38">
        <f>IF(A888="","",IFERROR(INDEX(Maniobras!$D$5:$D$504,MATCH(A888,Maniobras!$A$5:$A$504,0)),""))</f>
        <v/>
      </c>
      <c r="E888" s="38" t="n"/>
      <c r="F888" s="39">
        <f>IF(A888="","",IFERROR(INDEX(Maniobras!$K$5:$K$504,MATCH(A888,Maniobras!$A$5:$A$504,0)),""))</f>
        <v/>
      </c>
      <c r="G888" s="39" t="n"/>
      <c r="H888" s="39" t="n"/>
      <c r="I888" s="39">
        <f>IF(G888="","",G888+N(H888))</f>
        <v/>
      </c>
      <c r="J888" s="38" t="n"/>
      <c r="K888" s="41" t="n"/>
      <c r="L888" s="38" t="n"/>
      <c r="M888">
        <f>IF($A888=Ficha!$B$3,COUNTIF($A$5:$A888,Ficha!$B$3),"")</f>
        <v/>
      </c>
    </row>
    <row r="889">
      <c r="A889" s="36" t="n"/>
      <c r="B889" s="40">
        <f>IF(A889="","",IFERROR(INDEX(Maniobras!$B$5:$B$504,MATCH(A889,Maniobras!$A$5:$A$504,0)),""))</f>
        <v/>
      </c>
      <c r="C889" s="36">
        <f>IF(B889="","",TEXT(B889,"yyyy-mm"))</f>
        <v/>
      </c>
      <c r="D889" s="36">
        <f>IF(A889="","",IFERROR(INDEX(Maniobras!$D$5:$D$504,MATCH(A889,Maniobras!$A$5:$A$504,0)),""))</f>
        <v/>
      </c>
      <c r="E889" s="36" t="n"/>
      <c r="F889" s="37">
        <f>IF(A889="","",IFERROR(INDEX(Maniobras!$K$5:$K$504,MATCH(A889,Maniobras!$A$5:$A$504,0)),""))</f>
        <v/>
      </c>
      <c r="G889" s="37" t="n"/>
      <c r="H889" s="37" t="n"/>
      <c r="I889" s="37">
        <f>IF(G889="","",G889+N(H889))</f>
        <v/>
      </c>
      <c r="J889" s="36" t="n"/>
      <c r="K889" s="40" t="n"/>
      <c r="L889" s="36" t="n"/>
      <c r="M889">
        <f>IF($A889=Ficha!$B$3,COUNTIF($A$5:$A889,Ficha!$B$3),"")</f>
        <v/>
      </c>
    </row>
    <row r="890">
      <c r="A890" s="38" t="n"/>
      <c r="B890" s="41">
        <f>IF(A890="","",IFERROR(INDEX(Maniobras!$B$5:$B$504,MATCH(A890,Maniobras!$A$5:$A$504,0)),""))</f>
        <v/>
      </c>
      <c r="C890" s="38">
        <f>IF(B890="","",TEXT(B890,"yyyy-mm"))</f>
        <v/>
      </c>
      <c r="D890" s="38">
        <f>IF(A890="","",IFERROR(INDEX(Maniobras!$D$5:$D$504,MATCH(A890,Maniobras!$A$5:$A$504,0)),""))</f>
        <v/>
      </c>
      <c r="E890" s="38" t="n"/>
      <c r="F890" s="39">
        <f>IF(A890="","",IFERROR(INDEX(Maniobras!$K$5:$K$504,MATCH(A890,Maniobras!$A$5:$A$504,0)),""))</f>
        <v/>
      </c>
      <c r="G890" s="39" t="n"/>
      <c r="H890" s="39" t="n"/>
      <c r="I890" s="39">
        <f>IF(G890="","",G890+N(H890))</f>
        <v/>
      </c>
      <c r="J890" s="38" t="n"/>
      <c r="K890" s="41" t="n"/>
      <c r="L890" s="38" t="n"/>
      <c r="M890">
        <f>IF($A890=Ficha!$B$3,COUNTIF($A$5:$A890,Ficha!$B$3),"")</f>
        <v/>
      </c>
    </row>
    <row r="891">
      <c r="A891" s="36" t="n"/>
      <c r="B891" s="40">
        <f>IF(A891="","",IFERROR(INDEX(Maniobras!$B$5:$B$504,MATCH(A891,Maniobras!$A$5:$A$504,0)),""))</f>
        <v/>
      </c>
      <c r="C891" s="36">
        <f>IF(B891="","",TEXT(B891,"yyyy-mm"))</f>
        <v/>
      </c>
      <c r="D891" s="36">
        <f>IF(A891="","",IFERROR(INDEX(Maniobras!$D$5:$D$504,MATCH(A891,Maniobras!$A$5:$A$504,0)),""))</f>
        <v/>
      </c>
      <c r="E891" s="36" t="n"/>
      <c r="F891" s="37">
        <f>IF(A891="","",IFERROR(INDEX(Maniobras!$K$5:$K$504,MATCH(A891,Maniobras!$A$5:$A$504,0)),""))</f>
        <v/>
      </c>
      <c r="G891" s="37" t="n"/>
      <c r="H891" s="37" t="n"/>
      <c r="I891" s="37">
        <f>IF(G891="","",G891+N(H891))</f>
        <v/>
      </c>
      <c r="J891" s="36" t="n"/>
      <c r="K891" s="40" t="n"/>
      <c r="L891" s="36" t="n"/>
      <c r="M891">
        <f>IF($A891=Ficha!$B$3,COUNTIF($A$5:$A891,Ficha!$B$3),"")</f>
        <v/>
      </c>
    </row>
    <row r="892">
      <c r="A892" s="38" t="n"/>
      <c r="B892" s="41">
        <f>IF(A892="","",IFERROR(INDEX(Maniobras!$B$5:$B$504,MATCH(A892,Maniobras!$A$5:$A$504,0)),""))</f>
        <v/>
      </c>
      <c r="C892" s="38">
        <f>IF(B892="","",TEXT(B892,"yyyy-mm"))</f>
        <v/>
      </c>
      <c r="D892" s="38">
        <f>IF(A892="","",IFERROR(INDEX(Maniobras!$D$5:$D$504,MATCH(A892,Maniobras!$A$5:$A$504,0)),""))</f>
        <v/>
      </c>
      <c r="E892" s="38" t="n"/>
      <c r="F892" s="39">
        <f>IF(A892="","",IFERROR(INDEX(Maniobras!$K$5:$K$504,MATCH(A892,Maniobras!$A$5:$A$504,0)),""))</f>
        <v/>
      </c>
      <c r="G892" s="39" t="n"/>
      <c r="H892" s="39" t="n"/>
      <c r="I892" s="39">
        <f>IF(G892="","",G892+N(H892))</f>
        <v/>
      </c>
      <c r="J892" s="38" t="n"/>
      <c r="K892" s="41" t="n"/>
      <c r="L892" s="38" t="n"/>
      <c r="M892">
        <f>IF($A892=Ficha!$B$3,COUNTIF($A$5:$A892,Ficha!$B$3),"")</f>
        <v/>
      </c>
    </row>
    <row r="893">
      <c r="A893" s="36" t="n"/>
      <c r="B893" s="40">
        <f>IF(A893="","",IFERROR(INDEX(Maniobras!$B$5:$B$504,MATCH(A893,Maniobras!$A$5:$A$504,0)),""))</f>
        <v/>
      </c>
      <c r="C893" s="36">
        <f>IF(B893="","",TEXT(B893,"yyyy-mm"))</f>
        <v/>
      </c>
      <c r="D893" s="36">
        <f>IF(A893="","",IFERROR(INDEX(Maniobras!$D$5:$D$504,MATCH(A893,Maniobras!$A$5:$A$504,0)),""))</f>
        <v/>
      </c>
      <c r="E893" s="36" t="n"/>
      <c r="F893" s="37">
        <f>IF(A893="","",IFERROR(INDEX(Maniobras!$K$5:$K$504,MATCH(A893,Maniobras!$A$5:$A$504,0)),""))</f>
        <v/>
      </c>
      <c r="G893" s="37" t="n"/>
      <c r="H893" s="37" t="n"/>
      <c r="I893" s="37">
        <f>IF(G893="","",G893+N(H893))</f>
        <v/>
      </c>
      <c r="J893" s="36" t="n"/>
      <c r="K893" s="40" t="n"/>
      <c r="L893" s="36" t="n"/>
      <c r="M893">
        <f>IF($A893=Ficha!$B$3,COUNTIF($A$5:$A893,Ficha!$B$3),"")</f>
        <v/>
      </c>
    </row>
    <row r="894">
      <c r="A894" s="38" t="n"/>
      <c r="B894" s="41">
        <f>IF(A894="","",IFERROR(INDEX(Maniobras!$B$5:$B$504,MATCH(A894,Maniobras!$A$5:$A$504,0)),""))</f>
        <v/>
      </c>
      <c r="C894" s="38">
        <f>IF(B894="","",TEXT(B894,"yyyy-mm"))</f>
        <v/>
      </c>
      <c r="D894" s="38">
        <f>IF(A894="","",IFERROR(INDEX(Maniobras!$D$5:$D$504,MATCH(A894,Maniobras!$A$5:$A$504,0)),""))</f>
        <v/>
      </c>
      <c r="E894" s="38" t="n"/>
      <c r="F894" s="39">
        <f>IF(A894="","",IFERROR(INDEX(Maniobras!$K$5:$K$504,MATCH(A894,Maniobras!$A$5:$A$504,0)),""))</f>
        <v/>
      </c>
      <c r="G894" s="39" t="n"/>
      <c r="H894" s="39" t="n"/>
      <c r="I894" s="39">
        <f>IF(G894="","",G894+N(H894))</f>
        <v/>
      </c>
      <c r="J894" s="38" t="n"/>
      <c r="K894" s="41" t="n"/>
      <c r="L894" s="38" t="n"/>
      <c r="M894">
        <f>IF($A894=Ficha!$B$3,COUNTIF($A$5:$A894,Ficha!$B$3),"")</f>
        <v/>
      </c>
    </row>
    <row r="895">
      <c r="A895" s="36" t="n"/>
      <c r="B895" s="40">
        <f>IF(A895="","",IFERROR(INDEX(Maniobras!$B$5:$B$504,MATCH(A895,Maniobras!$A$5:$A$504,0)),""))</f>
        <v/>
      </c>
      <c r="C895" s="36">
        <f>IF(B895="","",TEXT(B895,"yyyy-mm"))</f>
        <v/>
      </c>
      <c r="D895" s="36">
        <f>IF(A895="","",IFERROR(INDEX(Maniobras!$D$5:$D$504,MATCH(A895,Maniobras!$A$5:$A$504,0)),""))</f>
        <v/>
      </c>
      <c r="E895" s="36" t="n"/>
      <c r="F895" s="37">
        <f>IF(A895="","",IFERROR(INDEX(Maniobras!$K$5:$K$504,MATCH(A895,Maniobras!$A$5:$A$504,0)),""))</f>
        <v/>
      </c>
      <c r="G895" s="37" t="n"/>
      <c r="H895" s="37" t="n"/>
      <c r="I895" s="37">
        <f>IF(G895="","",G895+N(H895))</f>
        <v/>
      </c>
      <c r="J895" s="36" t="n"/>
      <c r="K895" s="40" t="n"/>
      <c r="L895" s="36" t="n"/>
      <c r="M895">
        <f>IF($A895=Ficha!$B$3,COUNTIF($A$5:$A895,Ficha!$B$3),"")</f>
        <v/>
      </c>
    </row>
    <row r="896">
      <c r="A896" s="38" t="n"/>
      <c r="B896" s="41">
        <f>IF(A896="","",IFERROR(INDEX(Maniobras!$B$5:$B$504,MATCH(A896,Maniobras!$A$5:$A$504,0)),""))</f>
        <v/>
      </c>
      <c r="C896" s="38">
        <f>IF(B896="","",TEXT(B896,"yyyy-mm"))</f>
        <v/>
      </c>
      <c r="D896" s="38">
        <f>IF(A896="","",IFERROR(INDEX(Maniobras!$D$5:$D$504,MATCH(A896,Maniobras!$A$5:$A$504,0)),""))</f>
        <v/>
      </c>
      <c r="E896" s="38" t="n"/>
      <c r="F896" s="39">
        <f>IF(A896="","",IFERROR(INDEX(Maniobras!$K$5:$K$504,MATCH(A896,Maniobras!$A$5:$A$504,0)),""))</f>
        <v/>
      </c>
      <c r="G896" s="39" t="n"/>
      <c r="H896" s="39" t="n"/>
      <c r="I896" s="39">
        <f>IF(G896="","",G896+N(H896))</f>
        <v/>
      </c>
      <c r="J896" s="38" t="n"/>
      <c r="K896" s="41" t="n"/>
      <c r="L896" s="38" t="n"/>
      <c r="M896">
        <f>IF($A896=Ficha!$B$3,COUNTIF($A$5:$A896,Ficha!$B$3),"")</f>
        <v/>
      </c>
    </row>
    <row r="897">
      <c r="A897" s="36" t="n"/>
      <c r="B897" s="40">
        <f>IF(A897="","",IFERROR(INDEX(Maniobras!$B$5:$B$504,MATCH(A897,Maniobras!$A$5:$A$504,0)),""))</f>
        <v/>
      </c>
      <c r="C897" s="36">
        <f>IF(B897="","",TEXT(B897,"yyyy-mm"))</f>
        <v/>
      </c>
      <c r="D897" s="36">
        <f>IF(A897="","",IFERROR(INDEX(Maniobras!$D$5:$D$504,MATCH(A897,Maniobras!$A$5:$A$504,0)),""))</f>
        <v/>
      </c>
      <c r="E897" s="36" t="n"/>
      <c r="F897" s="37">
        <f>IF(A897="","",IFERROR(INDEX(Maniobras!$K$5:$K$504,MATCH(A897,Maniobras!$A$5:$A$504,0)),""))</f>
        <v/>
      </c>
      <c r="G897" s="37" t="n"/>
      <c r="H897" s="37" t="n"/>
      <c r="I897" s="37">
        <f>IF(G897="","",G897+N(H897))</f>
        <v/>
      </c>
      <c r="J897" s="36" t="n"/>
      <c r="K897" s="40" t="n"/>
      <c r="L897" s="36" t="n"/>
      <c r="M897">
        <f>IF($A897=Ficha!$B$3,COUNTIF($A$5:$A897,Ficha!$B$3),"")</f>
        <v/>
      </c>
    </row>
    <row r="898">
      <c r="A898" s="38" t="n"/>
      <c r="B898" s="41">
        <f>IF(A898="","",IFERROR(INDEX(Maniobras!$B$5:$B$504,MATCH(A898,Maniobras!$A$5:$A$504,0)),""))</f>
        <v/>
      </c>
      <c r="C898" s="38">
        <f>IF(B898="","",TEXT(B898,"yyyy-mm"))</f>
        <v/>
      </c>
      <c r="D898" s="38">
        <f>IF(A898="","",IFERROR(INDEX(Maniobras!$D$5:$D$504,MATCH(A898,Maniobras!$A$5:$A$504,0)),""))</f>
        <v/>
      </c>
      <c r="E898" s="38" t="n"/>
      <c r="F898" s="39">
        <f>IF(A898="","",IFERROR(INDEX(Maniobras!$K$5:$K$504,MATCH(A898,Maniobras!$A$5:$A$504,0)),""))</f>
        <v/>
      </c>
      <c r="G898" s="39" t="n"/>
      <c r="H898" s="39" t="n"/>
      <c r="I898" s="39">
        <f>IF(G898="","",G898+N(H898))</f>
        <v/>
      </c>
      <c r="J898" s="38" t="n"/>
      <c r="K898" s="41" t="n"/>
      <c r="L898" s="38" t="n"/>
      <c r="M898">
        <f>IF($A898=Ficha!$B$3,COUNTIF($A$5:$A898,Ficha!$B$3),"")</f>
        <v/>
      </c>
    </row>
    <row r="899">
      <c r="A899" s="36" t="n"/>
      <c r="B899" s="40">
        <f>IF(A899="","",IFERROR(INDEX(Maniobras!$B$5:$B$504,MATCH(A899,Maniobras!$A$5:$A$504,0)),""))</f>
        <v/>
      </c>
      <c r="C899" s="36">
        <f>IF(B899="","",TEXT(B899,"yyyy-mm"))</f>
        <v/>
      </c>
      <c r="D899" s="36">
        <f>IF(A899="","",IFERROR(INDEX(Maniobras!$D$5:$D$504,MATCH(A899,Maniobras!$A$5:$A$504,0)),""))</f>
        <v/>
      </c>
      <c r="E899" s="36" t="n"/>
      <c r="F899" s="37">
        <f>IF(A899="","",IFERROR(INDEX(Maniobras!$K$5:$K$504,MATCH(A899,Maniobras!$A$5:$A$504,0)),""))</f>
        <v/>
      </c>
      <c r="G899" s="37" t="n"/>
      <c r="H899" s="37" t="n"/>
      <c r="I899" s="37">
        <f>IF(G899="","",G899+N(H899))</f>
        <v/>
      </c>
      <c r="J899" s="36" t="n"/>
      <c r="K899" s="40" t="n"/>
      <c r="L899" s="36" t="n"/>
      <c r="M899">
        <f>IF($A899=Ficha!$B$3,COUNTIF($A$5:$A899,Ficha!$B$3),"")</f>
        <v/>
      </c>
    </row>
    <row r="900">
      <c r="A900" s="38" t="n"/>
      <c r="B900" s="41">
        <f>IF(A900="","",IFERROR(INDEX(Maniobras!$B$5:$B$504,MATCH(A900,Maniobras!$A$5:$A$504,0)),""))</f>
        <v/>
      </c>
      <c r="C900" s="38">
        <f>IF(B900="","",TEXT(B900,"yyyy-mm"))</f>
        <v/>
      </c>
      <c r="D900" s="38">
        <f>IF(A900="","",IFERROR(INDEX(Maniobras!$D$5:$D$504,MATCH(A900,Maniobras!$A$5:$A$504,0)),""))</f>
        <v/>
      </c>
      <c r="E900" s="38" t="n"/>
      <c r="F900" s="39">
        <f>IF(A900="","",IFERROR(INDEX(Maniobras!$K$5:$K$504,MATCH(A900,Maniobras!$A$5:$A$504,0)),""))</f>
        <v/>
      </c>
      <c r="G900" s="39" t="n"/>
      <c r="H900" s="39" t="n"/>
      <c r="I900" s="39">
        <f>IF(G900="","",G900+N(H900))</f>
        <v/>
      </c>
      <c r="J900" s="38" t="n"/>
      <c r="K900" s="41" t="n"/>
      <c r="L900" s="38" t="n"/>
      <c r="M900">
        <f>IF($A900=Ficha!$B$3,COUNTIF($A$5:$A900,Ficha!$B$3),"")</f>
        <v/>
      </c>
    </row>
    <row r="901">
      <c r="A901" s="36" t="n"/>
      <c r="B901" s="40">
        <f>IF(A901="","",IFERROR(INDEX(Maniobras!$B$5:$B$504,MATCH(A901,Maniobras!$A$5:$A$504,0)),""))</f>
        <v/>
      </c>
      <c r="C901" s="36">
        <f>IF(B901="","",TEXT(B901,"yyyy-mm"))</f>
        <v/>
      </c>
      <c r="D901" s="36">
        <f>IF(A901="","",IFERROR(INDEX(Maniobras!$D$5:$D$504,MATCH(A901,Maniobras!$A$5:$A$504,0)),""))</f>
        <v/>
      </c>
      <c r="E901" s="36" t="n"/>
      <c r="F901" s="37">
        <f>IF(A901="","",IFERROR(INDEX(Maniobras!$K$5:$K$504,MATCH(A901,Maniobras!$A$5:$A$504,0)),""))</f>
        <v/>
      </c>
      <c r="G901" s="37" t="n"/>
      <c r="H901" s="37" t="n"/>
      <c r="I901" s="37">
        <f>IF(G901="","",G901+N(H901))</f>
        <v/>
      </c>
      <c r="J901" s="36" t="n"/>
      <c r="K901" s="40" t="n"/>
      <c r="L901" s="36" t="n"/>
      <c r="M901">
        <f>IF($A901=Ficha!$B$3,COUNTIF($A$5:$A901,Ficha!$B$3),"")</f>
        <v/>
      </c>
    </row>
    <row r="902">
      <c r="A902" s="38" t="n"/>
      <c r="B902" s="41">
        <f>IF(A902="","",IFERROR(INDEX(Maniobras!$B$5:$B$504,MATCH(A902,Maniobras!$A$5:$A$504,0)),""))</f>
        <v/>
      </c>
      <c r="C902" s="38">
        <f>IF(B902="","",TEXT(B902,"yyyy-mm"))</f>
        <v/>
      </c>
      <c r="D902" s="38">
        <f>IF(A902="","",IFERROR(INDEX(Maniobras!$D$5:$D$504,MATCH(A902,Maniobras!$A$5:$A$504,0)),""))</f>
        <v/>
      </c>
      <c r="E902" s="38" t="n"/>
      <c r="F902" s="39">
        <f>IF(A902="","",IFERROR(INDEX(Maniobras!$K$5:$K$504,MATCH(A902,Maniobras!$A$5:$A$504,0)),""))</f>
        <v/>
      </c>
      <c r="G902" s="39" t="n"/>
      <c r="H902" s="39" t="n"/>
      <c r="I902" s="39">
        <f>IF(G902="","",G902+N(H902))</f>
        <v/>
      </c>
      <c r="J902" s="38" t="n"/>
      <c r="K902" s="41" t="n"/>
      <c r="L902" s="38" t="n"/>
      <c r="M902">
        <f>IF($A902=Ficha!$B$3,COUNTIF($A$5:$A902,Ficha!$B$3),"")</f>
        <v/>
      </c>
    </row>
    <row r="903">
      <c r="A903" s="36" t="n"/>
      <c r="B903" s="40">
        <f>IF(A903="","",IFERROR(INDEX(Maniobras!$B$5:$B$504,MATCH(A903,Maniobras!$A$5:$A$504,0)),""))</f>
        <v/>
      </c>
      <c r="C903" s="36">
        <f>IF(B903="","",TEXT(B903,"yyyy-mm"))</f>
        <v/>
      </c>
      <c r="D903" s="36">
        <f>IF(A903="","",IFERROR(INDEX(Maniobras!$D$5:$D$504,MATCH(A903,Maniobras!$A$5:$A$504,0)),""))</f>
        <v/>
      </c>
      <c r="E903" s="36" t="n"/>
      <c r="F903" s="37">
        <f>IF(A903="","",IFERROR(INDEX(Maniobras!$K$5:$K$504,MATCH(A903,Maniobras!$A$5:$A$504,0)),""))</f>
        <v/>
      </c>
      <c r="G903" s="37" t="n"/>
      <c r="H903" s="37" t="n"/>
      <c r="I903" s="37">
        <f>IF(G903="","",G903+N(H903))</f>
        <v/>
      </c>
      <c r="J903" s="36" t="n"/>
      <c r="K903" s="40" t="n"/>
      <c r="L903" s="36" t="n"/>
      <c r="M903">
        <f>IF($A903=Ficha!$B$3,COUNTIF($A$5:$A903,Ficha!$B$3),"")</f>
        <v/>
      </c>
    </row>
    <row r="904">
      <c r="A904" s="38" t="n"/>
      <c r="B904" s="41">
        <f>IF(A904="","",IFERROR(INDEX(Maniobras!$B$5:$B$504,MATCH(A904,Maniobras!$A$5:$A$504,0)),""))</f>
        <v/>
      </c>
      <c r="C904" s="38">
        <f>IF(B904="","",TEXT(B904,"yyyy-mm"))</f>
        <v/>
      </c>
      <c r="D904" s="38">
        <f>IF(A904="","",IFERROR(INDEX(Maniobras!$D$5:$D$504,MATCH(A904,Maniobras!$A$5:$A$504,0)),""))</f>
        <v/>
      </c>
      <c r="E904" s="38" t="n"/>
      <c r="F904" s="39">
        <f>IF(A904="","",IFERROR(INDEX(Maniobras!$K$5:$K$504,MATCH(A904,Maniobras!$A$5:$A$504,0)),""))</f>
        <v/>
      </c>
      <c r="G904" s="39" t="n"/>
      <c r="H904" s="39" t="n"/>
      <c r="I904" s="39">
        <f>IF(G904="","",G904+N(H904))</f>
        <v/>
      </c>
      <c r="J904" s="38" t="n"/>
      <c r="K904" s="41" t="n"/>
      <c r="L904" s="38" t="n"/>
      <c r="M904">
        <f>IF($A904=Ficha!$B$3,COUNTIF($A$5:$A904,Ficha!$B$3),"")</f>
        <v/>
      </c>
    </row>
    <row r="905">
      <c r="A905" s="36" t="n"/>
      <c r="B905" s="40">
        <f>IF(A905="","",IFERROR(INDEX(Maniobras!$B$5:$B$504,MATCH(A905,Maniobras!$A$5:$A$504,0)),""))</f>
        <v/>
      </c>
      <c r="C905" s="36">
        <f>IF(B905="","",TEXT(B905,"yyyy-mm"))</f>
        <v/>
      </c>
      <c r="D905" s="36">
        <f>IF(A905="","",IFERROR(INDEX(Maniobras!$D$5:$D$504,MATCH(A905,Maniobras!$A$5:$A$504,0)),""))</f>
        <v/>
      </c>
      <c r="E905" s="36" t="n"/>
      <c r="F905" s="37">
        <f>IF(A905="","",IFERROR(INDEX(Maniobras!$K$5:$K$504,MATCH(A905,Maniobras!$A$5:$A$504,0)),""))</f>
        <v/>
      </c>
      <c r="G905" s="37" t="n"/>
      <c r="H905" s="37" t="n"/>
      <c r="I905" s="37">
        <f>IF(G905="","",G905+N(H905))</f>
        <v/>
      </c>
      <c r="J905" s="36" t="n"/>
      <c r="K905" s="40" t="n"/>
      <c r="L905" s="36" t="n"/>
      <c r="M905">
        <f>IF($A905=Ficha!$B$3,COUNTIF($A$5:$A905,Ficha!$B$3),"")</f>
        <v/>
      </c>
    </row>
    <row r="906">
      <c r="A906" s="38" t="n"/>
      <c r="B906" s="41">
        <f>IF(A906="","",IFERROR(INDEX(Maniobras!$B$5:$B$504,MATCH(A906,Maniobras!$A$5:$A$504,0)),""))</f>
        <v/>
      </c>
      <c r="C906" s="38">
        <f>IF(B906="","",TEXT(B906,"yyyy-mm"))</f>
        <v/>
      </c>
      <c r="D906" s="38">
        <f>IF(A906="","",IFERROR(INDEX(Maniobras!$D$5:$D$504,MATCH(A906,Maniobras!$A$5:$A$504,0)),""))</f>
        <v/>
      </c>
      <c r="E906" s="38" t="n"/>
      <c r="F906" s="39">
        <f>IF(A906="","",IFERROR(INDEX(Maniobras!$K$5:$K$504,MATCH(A906,Maniobras!$A$5:$A$504,0)),""))</f>
        <v/>
      </c>
      <c r="G906" s="39" t="n"/>
      <c r="H906" s="39" t="n"/>
      <c r="I906" s="39">
        <f>IF(G906="","",G906+N(H906))</f>
        <v/>
      </c>
      <c r="J906" s="38" t="n"/>
      <c r="K906" s="41" t="n"/>
      <c r="L906" s="38" t="n"/>
      <c r="M906">
        <f>IF($A906=Ficha!$B$3,COUNTIF($A$5:$A906,Ficha!$B$3),"")</f>
        <v/>
      </c>
    </row>
    <row r="907">
      <c r="A907" s="36" t="n"/>
      <c r="B907" s="40">
        <f>IF(A907="","",IFERROR(INDEX(Maniobras!$B$5:$B$504,MATCH(A907,Maniobras!$A$5:$A$504,0)),""))</f>
        <v/>
      </c>
      <c r="C907" s="36">
        <f>IF(B907="","",TEXT(B907,"yyyy-mm"))</f>
        <v/>
      </c>
      <c r="D907" s="36">
        <f>IF(A907="","",IFERROR(INDEX(Maniobras!$D$5:$D$504,MATCH(A907,Maniobras!$A$5:$A$504,0)),""))</f>
        <v/>
      </c>
      <c r="E907" s="36" t="n"/>
      <c r="F907" s="37">
        <f>IF(A907="","",IFERROR(INDEX(Maniobras!$K$5:$K$504,MATCH(A907,Maniobras!$A$5:$A$504,0)),""))</f>
        <v/>
      </c>
      <c r="G907" s="37" t="n"/>
      <c r="H907" s="37" t="n"/>
      <c r="I907" s="37">
        <f>IF(G907="","",G907+N(H907))</f>
        <v/>
      </c>
      <c r="J907" s="36" t="n"/>
      <c r="K907" s="40" t="n"/>
      <c r="L907" s="36" t="n"/>
      <c r="M907">
        <f>IF($A907=Ficha!$B$3,COUNTIF($A$5:$A907,Ficha!$B$3),"")</f>
        <v/>
      </c>
    </row>
    <row r="908">
      <c r="A908" s="38" t="n"/>
      <c r="B908" s="41">
        <f>IF(A908="","",IFERROR(INDEX(Maniobras!$B$5:$B$504,MATCH(A908,Maniobras!$A$5:$A$504,0)),""))</f>
        <v/>
      </c>
      <c r="C908" s="38">
        <f>IF(B908="","",TEXT(B908,"yyyy-mm"))</f>
        <v/>
      </c>
      <c r="D908" s="38">
        <f>IF(A908="","",IFERROR(INDEX(Maniobras!$D$5:$D$504,MATCH(A908,Maniobras!$A$5:$A$504,0)),""))</f>
        <v/>
      </c>
      <c r="E908" s="38" t="n"/>
      <c r="F908" s="39">
        <f>IF(A908="","",IFERROR(INDEX(Maniobras!$K$5:$K$504,MATCH(A908,Maniobras!$A$5:$A$504,0)),""))</f>
        <v/>
      </c>
      <c r="G908" s="39" t="n"/>
      <c r="H908" s="39" t="n"/>
      <c r="I908" s="39">
        <f>IF(G908="","",G908+N(H908))</f>
        <v/>
      </c>
      <c r="J908" s="38" t="n"/>
      <c r="K908" s="41" t="n"/>
      <c r="L908" s="38" t="n"/>
      <c r="M908">
        <f>IF($A908=Ficha!$B$3,COUNTIF($A$5:$A908,Ficha!$B$3),"")</f>
        <v/>
      </c>
    </row>
    <row r="909">
      <c r="A909" s="36" t="n"/>
      <c r="B909" s="40">
        <f>IF(A909="","",IFERROR(INDEX(Maniobras!$B$5:$B$504,MATCH(A909,Maniobras!$A$5:$A$504,0)),""))</f>
        <v/>
      </c>
      <c r="C909" s="36">
        <f>IF(B909="","",TEXT(B909,"yyyy-mm"))</f>
        <v/>
      </c>
      <c r="D909" s="36">
        <f>IF(A909="","",IFERROR(INDEX(Maniobras!$D$5:$D$504,MATCH(A909,Maniobras!$A$5:$A$504,0)),""))</f>
        <v/>
      </c>
      <c r="E909" s="36" t="n"/>
      <c r="F909" s="37">
        <f>IF(A909="","",IFERROR(INDEX(Maniobras!$K$5:$K$504,MATCH(A909,Maniobras!$A$5:$A$504,0)),""))</f>
        <v/>
      </c>
      <c r="G909" s="37" t="n"/>
      <c r="H909" s="37" t="n"/>
      <c r="I909" s="37">
        <f>IF(G909="","",G909+N(H909))</f>
        <v/>
      </c>
      <c r="J909" s="36" t="n"/>
      <c r="K909" s="40" t="n"/>
      <c r="L909" s="36" t="n"/>
      <c r="M909">
        <f>IF($A909=Ficha!$B$3,COUNTIF($A$5:$A909,Ficha!$B$3),"")</f>
        <v/>
      </c>
    </row>
    <row r="910">
      <c r="A910" s="38" t="n"/>
      <c r="B910" s="41">
        <f>IF(A910="","",IFERROR(INDEX(Maniobras!$B$5:$B$504,MATCH(A910,Maniobras!$A$5:$A$504,0)),""))</f>
        <v/>
      </c>
      <c r="C910" s="38">
        <f>IF(B910="","",TEXT(B910,"yyyy-mm"))</f>
        <v/>
      </c>
      <c r="D910" s="38">
        <f>IF(A910="","",IFERROR(INDEX(Maniobras!$D$5:$D$504,MATCH(A910,Maniobras!$A$5:$A$504,0)),""))</f>
        <v/>
      </c>
      <c r="E910" s="38" t="n"/>
      <c r="F910" s="39">
        <f>IF(A910="","",IFERROR(INDEX(Maniobras!$K$5:$K$504,MATCH(A910,Maniobras!$A$5:$A$504,0)),""))</f>
        <v/>
      </c>
      <c r="G910" s="39" t="n"/>
      <c r="H910" s="39" t="n"/>
      <c r="I910" s="39">
        <f>IF(G910="","",G910+N(H910))</f>
        <v/>
      </c>
      <c r="J910" s="38" t="n"/>
      <c r="K910" s="41" t="n"/>
      <c r="L910" s="38" t="n"/>
      <c r="M910">
        <f>IF($A910=Ficha!$B$3,COUNTIF($A$5:$A910,Ficha!$B$3),"")</f>
        <v/>
      </c>
    </row>
    <row r="911">
      <c r="A911" s="36" t="n"/>
      <c r="B911" s="40">
        <f>IF(A911="","",IFERROR(INDEX(Maniobras!$B$5:$B$504,MATCH(A911,Maniobras!$A$5:$A$504,0)),""))</f>
        <v/>
      </c>
      <c r="C911" s="36">
        <f>IF(B911="","",TEXT(B911,"yyyy-mm"))</f>
        <v/>
      </c>
      <c r="D911" s="36">
        <f>IF(A911="","",IFERROR(INDEX(Maniobras!$D$5:$D$504,MATCH(A911,Maniobras!$A$5:$A$504,0)),""))</f>
        <v/>
      </c>
      <c r="E911" s="36" t="n"/>
      <c r="F911" s="37">
        <f>IF(A911="","",IFERROR(INDEX(Maniobras!$K$5:$K$504,MATCH(A911,Maniobras!$A$5:$A$504,0)),""))</f>
        <v/>
      </c>
      <c r="G911" s="37" t="n"/>
      <c r="H911" s="37" t="n"/>
      <c r="I911" s="37">
        <f>IF(G911="","",G911+N(H911))</f>
        <v/>
      </c>
      <c r="J911" s="36" t="n"/>
      <c r="K911" s="40" t="n"/>
      <c r="L911" s="36" t="n"/>
      <c r="M911">
        <f>IF($A911=Ficha!$B$3,COUNTIF($A$5:$A911,Ficha!$B$3),"")</f>
        <v/>
      </c>
    </row>
    <row r="912">
      <c r="A912" s="38" t="n"/>
      <c r="B912" s="41">
        <f>IF(A912="","",IFERROR(INDEX(Maniobras!$B$5:$B$504,MATCH(A912,Maniobras!$A$5:$A$504,0)),""))</f>
        <v/>
      </c>
      <c r="C912" s="38">
        <f>IF(B912="","",TEXT(B912,"yyyy-mm"))</f>
        <v/>
      </c>
      <c r="D912" s="38">
        <f>IF(A912="","",IFERROR(INDEX(Maniobras!$D$5:$D$504,MATCH(A912,Maniobras!$A$5:$A$504,0)),""))</f>
        <v/>
      </c>
      <c r="E912" s="38" t="n"/>
      <c r="F912" s="39">
        <f>IF(A912="","",IFERROR(INDEX(Maniobras!$K$5:$K$504,MATCH(A912,Maniobras!$A$5:$A$504,0)),""))</f>
        <v/>
      </c>
      <c r="G912" s="39" t="n"/>
      <c r="H912" s="39" t="n"/>
      <c r="I912" s="39">
        <f>IF(G912="","",G912+N(H912))</f>
        <v/>
      </c>
      <c r="J912" s="38" t="n"/>
      <c r="K912" s="41" t="n"/>
      <c r="L912" s="38" t="n"/>
      <c r="M912">
        <f>IF($A912=Ficha!$B$3,COUNTIF($A$5:$A912,Ficha!$B$3),"")</f>
        <v/>
      </c>
    </row>
    <row r="913">
      <c r="A913" s="36" t="n"/>
      <c r="B913" s="40">
        <f>IF(A913="","",IFERROR(INDEX(Maniobras!$B$5:$B$504,MATCH(A913,Maniobras!$A$5:$A$504,0)),""))</f>
        <v/>
      </c>
      <c r="C913" s="36">
        <f>IF(B913="","",TEXT(B913,"yyyy-mm"))</f>
        <v/>
      </c>
      <c r="D913" s="36">
        <f>IF(A913="","",IFERROR(INDEX(Maniobras!$D$5:$D$504,MATCH(A913,Maniobras!$A$5:$A$504,0)),""))</f>
        <v/>
      </c>
      <c r="E913" s="36" t="n"/>
      <c r="F913" s="37">
        <f>IF(A913="","",IFERROR(INDEX(Maniobras!$K$5:$K$504,MATCH(A913,Maniobras!$A$5:$A$504,0)),""))</f>
        <v/>
      </c>
      <c r="G913" s="37" t="n"/>
      <c r="H913" s="37" t="n"/>
      <c r="I913" s="37">
        <f>IF(G913="","",G913+N(H913))</f>
        <v/>
      </c>
      <c r="J913" s="36" t="n"/>
      <c r="K913" s="40" t="n"/>
      <c r="L913" s="36" t="n"/>
      <c r="M913">
        <f>IF($A913=Ficha!$B$3,COUNTIF($A$5:$A913,Ficha!$B$3),"")</f>
        <v/>
      </c>
    </row>
    <row r="914">
      <c r="A914" s="38" t="n"/>
      <c r="B914" s="41">
        <f>IF(A914="","",IFERROR(INDEX(Maniobras!$B$5:$B$504,MATCH(A914,Maniobras!$A$5:$A$504,0)),""))</f>
        <v/>
      </c>
      <c r="C914" s="38">
        <f>IF(B914="","",TEXT(B914,"yyyy-mm"))</f>
        <v/>
      </c>
      <c r="D914" s="38">
        <f>IF(A914="","",IFERROR(INDEX(Maniobras!$D$5:$D$504,MATCH(A914,Maniobras!$A$5:$A$504,0)),""))</f>
        <v/>
      </c>
      <c r="E914" s="38" t="n"/>
      <c r="F914" s="39">
        <f>IF(A914="","",IFERROR(INDEX(Maniobras!$K$5:$K$504,MATCH(A914,Maniobras!$A$5:$A$504,0)),""))</f>
        <v/>
      </c>
      <c r="G914" s="39" t="n"/>
      <c r="H914" s="39" t="n"/>
      <c r="I914" s="39">
        <f>IF(G914="","",G914+N(H914))</f>
        <v/>
      </c>
      <c r="J914" s="38" t="n"/>
      <c r="K914" s="41" t="n"/>
      <c r="L914" s="38" t="n"/>
      <c r="M914">
        <f>IF($A914=Ficha!$B$3,COUNTIF($A$5:$A914,Ficha!$B$3),"")</f>
        <v/>
      </c>
    </row>
    <row r="915">
      <c r="A915" s="36" t="n"/>
      <c r="B915" s="40">
        <f>IF(A915="","",IFERROR(INDEX(Maniobras!$B$5:$B$504,MATCH(A915,Maniobras!$A$5:$A$504,0)),""))</f>
        <v/>
      </c>
      <c r="C915" s="36">
        <f>IF(B915="","",TEXT(B915,"yyyy-mm"))</f>
        <v/>
      </c>
      <c r="D915" s="36">
        <f>IF(A915="","",IFERROR(INDEX(Maniobras!$D$5:$D$504,MATCH(A915,Maniobras!$A$5:$A$504,0)),""))</f>
        <v/>
      </c>
      <c r="E915" s="36" t="n"/>
      <c r="F915" s="37">
        <f>IF(A915="","",IFERROR(INDEX(Maniobras!$K$5:$K$504,MATCH(A915,Maniobras!$A$5:$A$504,0)),""))</f>
        <v/>
      </c>
      <c r="G915" s="37" t="n"/>
      <c r="H915" s="37" t="n"/>
      <c r="I915" s="37">
        <f>IF(G915="","",G915+N(H915))</f>
        <v/>
      </c>
      <c r="J915" s="36" t="n"/>
      <c r="K915" s="40" t="n"/>
      <c r="L915" s="36" t="n"/>
      <c r="M915">
        <f>IF($A915=Ficha!$B$3,COUNTIF($A$5:$A915,Ficha!$B$3),"")</f>
        <v/>
      </c>
    </row>
    <row r="916">
      <c r="A916" s="38" t="n"/>
      <c r="B916" s="41">
        <f>IF(A916="","",IFERROR(INDEX(Maniobras!$B$5:$B$504,MATCH(A916,Maniobras!$A$5:$A$504,0)),""))</f>
        <v/>
      </c>
      <c r="C916" s="38">
        <f>IF(B916="","",TEXT(B916,"yyyy-mm"))</f>
        <v/>
      </c>
      <c r="D916" s="38">
        <f>IF(A916="","",IFERROR(INDEX(Maniobras!$D$5:$D$504,MATCH(A916,Maniobras!$A$5:$A$504,0)),""))</f>
        <v/>
      </c>
      <c r="E916" s="38" t="n"/>
      <c r="F916" s="39">
        <f>IF(A916="","",IFERROR(INDEX(Maniobras!$K$5:$K$504,MATCH(A916,Maniobras!$A$5:$A$504,0)),""))</f>
        <v/>
      </c>
      <c r="G916" s="39" t="n"/>
      <c r="H916" s="39" t="n"/>
      <c r="I916" s="39">
        <f>IF(G916="","",G916+N(H916))</f>
        <v/>
      </c>
      <c r="J916" s="38" t="n"/>
      <c r="K916" s="41" t="n"/>
      <c r="L916" s="38" t="n"/>
      <c r="M916">
        <f>IF($A916=Ficha!$B$3,COUNTIF($A$5:$A916,Ficha!$B$3),"")</f>
        <v/>
      </c>
    </row>
    <row r="917">
      <c r="A917" s="36" t="n"/>
      <c r="B917" s="40">
        <f>IF(A917="","",IFERROR(INDEX(Maniobras!$B$5:$B$504,MATCH(A917,Maniobras!$A$5:$A$504,0)),""))</f>
        <v/>
      </c>
      <c r="C917" s="36">
        <f>IF(B917="","",TEXT(B917,"yyyy-mm"))</f>
        <v/>
      </c>
      <c r="D917" s="36">
        <f>IF(A917="","",IFERROR(INDEX(Maniobras!$D$5:$D$504,MATCH(A917,Maniobras!$A$5:$A$504,0)),""))</f>
        <v/>
      </c>
      <c r="E917" s="36" t="n"/>
      <c r="F917" s="37">
        <f>IF(A917="","",IFERROR(INDEX(Maniobras!$K$5:$K$504,MATCH(A917,Maniobras!$A$5:$A$504,0)),""))</f>
        <v/>
      </c>
      <c r="G917" s="37" t="n"/>
      <c r="H917" s="37" t="n"/>
      <c r="I917" s="37">
        <f>IF(G917="","",G917+N(H917))</f>
        <v/>
      </c>
      <c r="J917" s="36" t="n"/>
      <c r="K917" s="40" t="n"/>
      <c r="L917" s="36" t="n"/>
      <c r="M917">
        <f>IF($A917=Ficha!$B$3,COUNTIF($A$5:$A917,Ficha!$B$3),"")</f>
        <v/>
      </c>
    </row>
    <row r="918">
      <c r="A918" s="38" t="n"/>
      <c r="B918" s="41">
        <f>IF(A918="","",IFERROR(INDEX(Maniobras!$B$5:$B$504,MATCH(A918,Maniobras!$A$5:$A$504,0)),""))</f>
        <v/>
      </c>
      <c r="C918" s="38">
        <f>IF(B918="","",TEXT(B918,"yyyy-mm"))</f>
        <v/>
      </c>
      <c r="D918" s="38">
        <f>IF(A918="","",IFERROR(INDEX(Maniobras!$D$5:$D$504,MATCH(A918,Maniobras!$A$5:$A$504,0)),""))</f>
        <v/>
      </c>
      <c r="E918" s="38" t="n"/>
      <c r="F918" s="39">
        <f>IF(A918="","",IFERROR(INDEX(Maniobras!$K$5:$K$504,MATCH(A918,Maniobras!$A$5:$A$504,0)),""))</f>
        <v/>
      </c>
      <c r="G918" s="39" t="n"/>
      <c r="H918" s="39" t="n"/>
      <c r="I918" s="39">
        <f>IF(G918="","",G918+N(H918))</f>
        <v/>
      </c>
      <c r="J918" s="38" t="n"/>
      <c r="K918" s="41" t="n"/>
      <c r="L918" s="38" t="n"/>
      <c r="M918">
        <f>IF($A918=Ficha!$B$3,COUNTIF($A$5:$A918,Ficha!$B$3),"")</f>
        <v/>
      </c>
    </row>
    <row r="919">
      <c r="A919" s="36" t="n"/>
      <c r="B919" s="40">
        <f>IF(A919="","",IFERROR(INDEX(Maniobras!$B$5:$B$504,MATCH(A919,Maniobras!$A$5:$A$504,0)),""))</f>
        <v/>
      </c>
      <c r="C919" s="36">
        <f>IF(B919="","",TEXT(B919,"yyyy-mm"))</f>
        <v/>
      </c>
      <c r="D919" s="36">
        <f>IF(A919="","",IFERROR(INDEX(Maniobras!$D$5:$D$504,MATCH(A919,Maniobras!$A$5:$A$504,0)),""))</f>
        <v/>
      </c>
      <c r="E919" s="36" t="n"/>
      <c r="F919" s="37">
        <f>IF(A919="","",IFERROR(INDEX(Maniobras!$K$5:$K$504,MATCH(A919,Maniobras!$A$5:$A$504,0)),""))</f>
        <v/>
      </c>
      <c r="G919" s="37" t="n"/>
      <c r="H919" s="37" t="n"/>
      <c r="I919" s="37">
        <f>IF(G919="","",G919+N(H919))</f>
        <v/>
      </c>
      <c r="J919" s="36" t="n"/>
      <c r="K919" s="40" t="n"/>
      <c r="L919" s="36" t="n"/>
      <c r="M919">
        <f>IF($A919=Ficha!$B$3,COUNTIF($A$5:$A919,Ficha!$B$3),"")</f>
        <v/>
      </c>
    </row>
    <row r="920">
      <c r="A920" s="38" t="n"/>
      <c r="B920" s="41">
        <f>IF(A920="","",IFERROR(INDEX(Maniobras!$B$5:$B$504,MATCH(A920,Maniobras!$A$5:$A$504,0)),""))</f>
        <v/>
      </c>
      <c r="C920" s="38">
        <f>IF(B920="","",TEXT(B920,"yyyy-mm"))</f>
        <v/>
      </c>
      <c r="D920" s="38">
        <f>IF(A920="","",IFERROR(INDEX(Maniobras!$D$5:$D$504,MATCH(A920,Maniobras!$A$5:$A$504,0)),""))</f>
        <v/>
      </c>
      <c r="E920" s="38" t="n"/>
      <c r="F920" s="39">
        <f>IF(A920="","",IFERROR(INDEX(Maniobras!$K$5:$K$504,MATCH(A920,Maniobras!$A$5:$A$504,0)),""))</f>
        <v/>
      </c>
      <c r="G920" s="39" t="n"/>
      <c r="H920" s="39" t="n"/>
      <c r="I920" s="39">
        <f>IF(G920="","",G920+N(H920))</f>
        <v/>
      </c>
      <c r="J920" s="38" t="n"/>
      <c r="K920" s="41" t="n"/>
      <c r="L920" s="38" t="n"/>
      <c r="M920">
        <f>IF($A920=Ficha!$B$3,COUNTIF($A$5:$A920,Ficha!$B$3),"")</f>
        <v/>
      </c>
    </row>
    <row r="921">
      <c r="A921" s="36" t="n"/>
      <c r="B921" s="40">
        <f>IF(A921="","",IFERROR(INDEX(Maniobras!$B$5:$B$504,MATCH(A921,Maniobras!$A$5:$A$504,0)),""))</f>
        <v/>
      </c>
      <c r="C921" s="36">
        <f>IF(B921="","",TEXT(B921,"yyyy-mm"))</f>
        <v/>
      </c>
      <c r="D921" s="36">
        <f>IF(A921="","",IFERROR(INDEX(Maniobras!$D$5:$D$504,MATCH(A921,Maniobras!$A$5:$A$504,0)),""))</f>
        <v/>
      </c>
      <c r="E921" s="36" t="n"/>
      <c r="F921" s="37">
        <f>IF(A921="","",IFERROR(INDEX(Maniobras!$K$5:$K$504,MATCH(A921,Maniobras!$A$5:$A$504,0)),""))</f>
        <v/>
      </c>
      <c r="G921" s="37" t="n"/>
      <c r="H921" s="37" t="n"/>
      <c r="I921" s="37">
        <f>IF(G921="","",G921+N(H921))</f>
        <v/>
      </c>
      <c r="J921" s="36" t="n"/>
      <c r="K921" s="40" t="n"/>
      <c r="L921" s="36" t="n"/>
      <c r="M921">
        <f>IF($A921=Ficha!$B$3,COUNTIF($A$5:$A921,Ficha!$B$3),"")</f>
        <v/>
      </c>
    </row>
    <row r="922">
      <c r="A922" s="38" t="n"/>
      <c r="B922" s="41">
        <f>IF(A922="","",IFERROR(INDEX(Maniobras!$B$5:$B$504,MATCH(A922,Maniobras!$A$5:$A$504,0)),""))</f>
        <v/>
      </c>
      <c r="C922" s="38">
        <f>IF(B922="","",TEXT(B922,"yyyy-mm"))</f>
        <v/>
      </c>
      <c r="D922" s="38">
        <f>IF(A922="","",IFERROR(INDEX(Maniobras!$D$5:$D$504,MATCH(A922,Maniobras!$A$5:$A$504,0)),""))</f>
        <v/>
      </c>
      <c r="E922" s="38" t="n"/>
      <c r="F922" s="39">
        <f>IF(A922="","",IFERROR(INDEX(Maniobras!$K$5:$K$504,MATCH(A922,Maniobras!$A$5:$A$504,0)),""))</f>
        <v/>
      </c>
      <c r="G922" s="39" t="n"/>
      <c r="H922" s="39" t="n"/>
      <c r="I922" s="39">
        <f>IF(G922="","",G922+N(H922))</f>
        <v/>
      </c>
      <c r="J922" s="38" t="n"/>
      <c r="K922" s="41" t="n"/>
      <c r="L922" s="38" t="n"/>
      <c r="M922">
        <f>IF($A922=Ficha!$B$3,COUNTIF($A$5:$A922,Ficha!$B$3),"")</f>
        <v/>
      </c>
    </row>
    <row r="923">
      <c r="A923" s="36" t="n"/>
      <c r="B923" s="40">
        <f>IF(A923="","",IFERROR(INDEX(Maniobras!$B$5:$B$504,MATCH(A923,Maniobras!$A$5:$A$504,0)),""))</f>
        <v/>
      </c>
      <c r="C923" s="36">
        <f>IF(B923="","",TEXT(B923,"yyyy-mm"))</f>
        <v/>
      </c>
      <c r="D923" s="36">
        <f>IF(A923="","",IFERROR(INDEX(Maniobras!$D$5:$D$504,MATCH(A923,Maniobras!$A$5:$A$504,0)),""))</f>
        <v/>
      </c>
      <c r="E923" s="36" t="n"/>
      <c r="F923" s="37">
        <f>IF(A923="","",IFERROR(INDEX(Maniobras!$K$5:$K$504,MATCH(A923,Maniobras!$A$5:$A$504,0)),""))</f>
        <v/>
      </c>
      <c r="G923" s="37" t="n"/>
      <c r="H923" s="37" t="n"/>
      <c r="I923" s="37">
        <f>IF(G923="","",G923+N(H923))</f>
        <v/>
      </c>
      <c r="J923" s="36" t="n"/>
      <c r="K923" s="40" t="n"/>
      <c r="L923" s="36" t="n"/>
      <c r="M923">
        <f>IF($A923=Ficha!$B$3,COUNTIF($A$5:$A923,Ficha!$B$3),"")</f>
        <v/>
      </c>
    </row>
    <row r="924">
      <c r="A924" s="38" t="n"/>
      <c r="B924" s="41">
        <f>IF(A924="","",IFERROR(INDEX(Maniobras!$B$5:$B$504,MATCH(A924,Maniobras!$A$5:$A$504,0)),""))</f>
        <v/>
      </c>
      <c r="C924" s="38">
        <f>IF(B924="","",TEXT(B924,"yyyy-mm"))</f>
        <v/>
      </c>
      <c r="D924" s="38">
        <f>IF(A924="","",IFERROR(INDEX(Maniobras!$D$5:$D$504,MATCH(A924,Maniobras!$A$5:$A$504,0)),""))</f>
        <v/>
      </c>
      <c r="E924" s="38" t="n"/>
      <c r="F924" s="39">
        <f>IF(A924="","",IFERROR(INDEX(Maniobras!$K$5:$K$504,MATCH(A924,Maniobras!$A$5:$A$504,0)),""))</f>
        <v/>
      </c>
      <c r="G924" s="39" t="n"/>
      <c r="H924" s="39" t="n"/>
      <c r="I924" s="39">
        <f>IF(G924="","",G924+N(H924))</f>
        <v/>
      </c>
      <c r="J924" s="38" t="n"/>
      <c r="K924" s="41" t="n"/>
      <c r="L924" s="38" t="n"/>
      <c r="M924">
        <f>IF($A924=Ficha!$B$3,COUNTIF($A$5:$A924,Ficha!$B$3),"")</f>
        <v/>
      </c>
    </row>
    <row r="925">
      <c r="A925" s="36" t="n"/>
      <c r="B925" s="40">
        <f>IF(A925="","",IFERROR(INDEX(Maniobras!$B$5:$B$504,MATCH(A925,Maniobras!$A$5:$A$504,0)),""))</f>
        <v/>
      </c>
      <c r="C925" s="36">
        <f>IF(B925="","",TEXT(B925,"yyyy-mm"))</f>
        <v/>
      </c>
      <c r="D925" s="36">
        <f>IF(A925="","",IFERROR(INDEX(Maniobras!$D$5:$D$504,MATCH(A925,Maniobras!$A$5:$A$504,0)),""))</f>
        <v/>
      </c>
      <c r="E925" s="36" t="n"/>
      <c r="F925" s="37">
        <f>IF(A925="","",IFERROR(INDEX(Maniobras!$K$5:$K$504,MATCH(A925,Maniobras!$A$5:$A$504,0)),""))</f>
        <v/>
      </c>
      <c r="G925" s="37" t="n"/>
      <c r="H925" s="37" t="n"/>
      <c r="I925" s="37">
        <f>IF(G925="","",G925+N(H925))</f>
        <v/>
      </c>
      <c r="J925" s="36" t="n"/>
      <c r="K925" s="40" t="n"/>
      <c r="L925" s="36" t="n"/>
      <c r="M925">
        <f>IF($A925=Ficha!$B$3,COUNTIF($A$5:$A925,Ficha!$B$3),"")</f>
        <v/>
      </c>
    </row>
    <row r="926">
      <c r="A926" s="38" t="n"/>
      <c r="B926" s="41">
        <f>IF(A926="","",IFERROR(INDEX(Maniobras!$B$5:$B$504,MATCH(A926,Maniobras!$A$5:$A$504,0)),""))</f>
        <v/>
      </c>
      <c r="C926" s="38">
        <f>IF(B926="","",TEXT(B926,"yyyy-mm"))</f>
        <v/>
      </c>
      <c r="D926" s="38">
        <f>IF(A926="","",IFERROR(INDEX(Maniobras!$D$5:$D$504,MATCH(A926,Maniobras!$A$5:$A$504,0)),""))</f>
        <v/>
      </c>
      <c r="E926" s="38" t="n"/>
      <c r="F926" s="39">
        <f>IF(A926="","",IFERROR(INDEX(Maniobras!$K$5:$K$504,MATCH(A926,Maniobras!$A$5:$A$504,0)),""))</f>
        <v/>
      </c>
      <c r="G926" s="39" t="n"/>
      <c r="H926" s="39" t="n"/>
      <c r="I926" s="39">
        <f>IF(G926="","",G926+N(H926))</f>
        <v/>
      </c>
      <c r="J926" s="38" t="n"/>
      <c r="K926" s="41" t="n"/>
      <c r="L926" s="38" t="n"/>
      <c r="M926">
        <f>IF($A926=Ficha!$B$3,COUNTIF($A$5:$A926,Ficha!$B$3),"")</f>
        <v/>
      </c>
    </row>
    <row r="927">
      <c r="A927" s="36" t="n"/>
      <c r="B927" s="40">
        <f>IF(A927="","",IFERROR(INDEX(Maniobras!$B$5:$B$504,MATCH(A927,Maniobras!$A$5:$A$504,0)),""))</f>
        <v/>
      </c>
      <c r="C927" s="36">
        <f>IF(B927="","",TEXT(B927,"yyyy-mm"))</f>
        <v/>
      </c>
      <c r="D927" s="36">
        <f>IF(A927="","",IFERROR(INDEX(Maniobras!$D$5:$D$504,MATCH(A927,Maniobras!$A$5:$A$504,0)),""))</f>
        <v/>
      </c>
      <c r="E927" s="36" t="n"/>
      <c r="F927" s="37">
        <f>IF(A927="","",IFERROR(INDEX(Maniobras!$K$5:$K$504,MATCH(A927,Maniobras!$A$5:$A$504,0)),""))</f>
        <v/>
      </c>
      <c r="G927" s="37" t="n"/>
      <c r="H927" s="37" t="n"/>
      <c r="I927" s="37">
        <f>IF(G927="","",G927+N(H927))</f>
        <v/>
      </c>
      <c r="J927" s="36" t="n"/>
      <c r="K927" s="40" t="n"/>
      <c r="L927" s="36" t="n"/>
      <c r="M927">
        <f>IF($A927=Ficha!$B$3,COUNTIF($A$5:$A927,Ficha!$B$3),"")</f>
        <v/>
      </c>
    </row>
    <row r="928">
      <c r="A928" s="38" t="n"/>
      <c r="B928" s="41">
        <f>IF(A928="","",IFERROR(INDEX(Maniobras!$B$5:$B$504,MATCH(A928,Maniobras!$A$5:$A$504,0)),""))</f>
        <v/>
      </c>
      <c r="C928" s="38">
        <f>IF(B928="","",TEXT(B928,"yyyy-mm"))</f>
        <v/>
      </c>
      <c r="D928" s="38">
        <f>IF(A928="","",IFERROR(INDEX(Maniobras!$D$5:$D$504,MATCH(A928,Maniobras!$A$5:$A$504,0)),""))</f>
        <v/>
      </c>
      <c r="E928" s="38" t="n"/>
      <c r="F928" s="39">
        <f>IF(A928="","",IFERROR(INDEX(Maniobras!$K$5:$K$504,MATCH(A928,Maniobras!$A$5:$A$504,0)),""))</f>
        <v/>
      </c>
      <c r="G928" s="39" t="n"/>
      <c r="H928" s="39" t="n"/>
      <c r="I928" s="39">
        <f>IF(G928="","",G928+N(H928))</f>
        <v/>
      </c>
      <c r="J928" s="38" t="n"/>
      <c r="K928" s="41" t="n"/>
      <c r="L928" s="38" t="n"/>
      <c r="M928">
        <f>IF($A928=Ficha!$B$3,COUNTIF($A$5:$A928,Ficha!$B$3),"")</f>
        <v/>
      </c>
    </row>
    <row r="929">
      <c r="A929" s="36" t="n"/>
      <c r="B929" s="40">
        <f>IF(A929="","",IFERROR(INDEX(Maniobras!$B$5:$B$504,MATCH(A929,Maniobras!$A$5:$A$504,0)),""))</f>
        <v/>
      </c>
      <c r="C929" s="36">
        <f>IF(B929="","",TEXT(B929,"yyyy-mm"))</f>
        <v/>
      </c>
      <c r="D929" s="36">
        <f>IF(A929="","",IFERROR(INDEX(Maniobras!$D$5:$D$504,MATCH(A929,Maniobras!$A$5:$A$504,0)),""))</f>
        <v/>
      </c>
      <c r="E929" s="36" t="n"/>
      <c r="F929" s="37">
        <f>IF(A929="","",IFERROR(INDEX(Maniobras!$K$5:$K$504,MATCH(A929,Maniobras!$A$5:$A$504,0)),""))</f>
        <v/>
      </c>
      <c r="G929" s="37" t="n"/>
      <c r="H929" s="37" t="n"/>
      <c r="I929" s="37">
        <f>IF(G929="","",G929+N(H929))</f>
        <v/>
      </c>
      <c r="J929" s="36" t="n"/>
      <c r="K929" s="40" t="n"/>
      <c r="L929" s="36" t="n"/>
      <c r="M929">
        <f>IF($A929=Ficha!$B$3,COUNTIF($A$5:$A929,Ficha!$B$3),"")</f>
        <v/>
      </c>
    </row>
    <row r="930">
      <c r="A930" s="38" t="n"/>
      <c r="B930" s="41">
        <f>IF(A930="","",IFERROR(INDEX(Maniobras!$B$5:$B$504,MATCH(A930,Maniobras!$A$5:$A$504,0)),""))</f>
        <v/>
      </c>
      <c r="C930" s="38">
        <f>IF(B930="","",TEXT(B930,"yyyy-mm"))</f>
        <v/>
      </c>
      <c r="D930" s="38">
        <f>IF(A930="","",IFERROR(INDEX(Maniobras!$D$5:$D$504,MATCH(A930,Maniobras!$A$5:$A$504,0)),""))</f>
        <v/>
      </c>
      <c r="E930" s="38" t="n"/>
      <c r="F930" s="39">
        <f>IF(A930="","",IFERROR(INDEX(Maniobras!$K$5:$K$504,MATCH(A930,Maniobras!$A$5:$A$504,0)),""))</f>
        <v/>
      </c>
      <c r="G930" s="39" t="n"/>
      <c r="H930" s="39" t="n"/>
      <c r="I930" s="39">
        <f>IF(G930="","",G930+N(H930))</f>
        <v/>
      </c>
      <c r="J930" s="38" t="n"/>
      <c r="K930" s="41" t="n"/>
      <c r="L930" s="38" t="n"/>
      <c r="M930">
        <f>IF($A930=Ficha!$B$3,COUNTIF($A$5:$A930,Ficha!$B$3),"")</f>
        <v/>
      </c>
    </row>
    <row r="931">
      <c r="A931" s="36" t="n"/>
      <c r="B931" s="40">
        <f>IF(A931="","",IFERROR(INDEX(Maniobras!$B$5:$B$504,MATCH(A931,Maniobras!$A$5:$A$504,0)),""))</f>
        <v/>
      </c>
      <c r="C931" s="36">
        <f>IF(B931="","",TEXT(B931,"yyyy-mm"))</f>
        <v/>
      </c>
      <c r="D931" s="36">
        <f>IF(A931="","",IFERROR(INDEX(Maniobras!$D$5:$D$504,MATCH(A931,Maniobras!$A$5:$A$504,0)),""))</f>
        <v/>
      </c>
      <c r="E931" s="36" t="n"/>
      <c r="F931" s="37">
        <f>IF(A931="","",IFERROR(INDEX(Maniobras!$K$5:$K$504,MATCH(A931,Maniobras!$A$5:$A$504,0)),""))</f>
        <v/>
      </c>
      <c r="G931" s="37" t="n"/>
      <c r="H931" s="37" t="n"/>
      <c r="I931" s="37">
        <f>IF(G931="","",G931+N(H931))</f>
        <v/>
      </c>
      <c r="J931" s="36" t="n"/>
      <c r="K931" s="40" t="n"/>
      <c r="L931" s="36" t="n"/>
      <c r="M931">
        <f>IF($A931=Ficha!$B$3,COUNTIF($A$5:$A931,Ficha!$B$3),"")</f>
        <v/>
      </c>
    </row>
    <row r="932">
      <c r="A932" s="38" t="n"/>
      <c r="B932" s="41">
        <f>IF(A932="","",IFERROR(INDEX(Maniobras!$B$5:$B$504,MATCH(A932,Maniobras!$A$5:$A$504,0)),""))</f>
        <v/>
      </c>
      <c r="C932" s="38">
        <f>IF(B932="","",TEXT(B932,"yyyy-mm"))</f>
        <v/>
      </c>
      <c r="D932" s="38">
        <f>IF(A932="","",IFERROR(INDEX(Maniobras!$D$5:$D$504,MATCH(A932,Maniobras!$A$5:$A$504,0)),""))</f>
        <v/>
      </c>
      <c r="E932" s="38" t="n"/>
      <c r="F932" s="39">
        <f>IF(A932="","",IFERROR(INDEX(Maniobras!$K$5:$K$504,MATCH(A932,Maniobras!$A$5:$A$504,0)),""))</f>
        <v/>
      </c>
      <c r="G932" s="39" t="n"/>
      <c r="H932" s="39" t="n"/>
      <c r="I932" s="39">
        <f>IF(G932="","",G932+N(H932))</f>
        <v/>
      </c>
      <c r="J932" s="38" t="n"/>
      <c r="K932" s="41" t="n"/>
      <c r="L932" s="38" t="n"/>
      <c r="M932">
        <f>IF($A932=Ficha!$B$3,COUNTIF($A$5:$A932,Ficha!$B$3),"")</f>
        <v/>
      </c>
    </row>
    <row r="933">
      <c r="A933" s="36" t="n"/>
      <c r="B933" s="40">
        <f>IF(A933="","",IFERROR(INDEX(Maniobras!$B$5:$B$504,MATCH(A933,Maniobras!$A$5:$A$504,0)),""))</f>
        <v/>
      </c>
      <c r="C933" s="36">
        <f>IF(B933="","",TEXT(B933,"yyyy-mm"))</f>
        <v/>
      </c>
      <c r="D933" s="36">
        <f>IF(A933="","",IFERROR(INDEX(Maniobras!$D$5:$D$504,MATCH(A933,Maniobras!$A$5:$A$504,0)),""))</f>
        <v/>
      </c>
      <c r="E933" s="36" t="n"/>
      <c r="F933" s="37">
        <f>IF(A933="","",IFERROR(INDEX(Maniobras!$K$5:$K$504,MATCH(A933,Maniobras!$A$5:$A$504,0)),""))</f>
        <v/>
      </c>
      <c r="G933" s="37" t="n"/>
      <c r="H933" s="37" t="n"/>
      <c r="I933" s="37">
        <f>IF(G933="","",G933+N(H933))</f>
        <v/>
      </c>
      <c r="J933" s="36" t="n"/>
      <c r="K933" s="40" t="n"/>
      <c r="L933" s="36" t="n"/>
      <c r="M933">
        <f>IF($A933=Ficha!$B$3,COUNTIF($A$5:$A933,Ficha!$B$3),"")</f>
        <v/>
      </c>
    </row>
    <row r="934">
      <c r="A934" s="38" t="n"/>
      <c r="B934" s="41">
        <f>IF(A934="","",IFERROR(INDEX(Maniobras!$B$5:$B$504,MATCH(A934,Maniobras!$A$5:$A$504,0)),""))</f>
        <v/>
      </c>
      <c r="C934" s="38">
        <f>IF(B934="","",TEXT(B934,"yyyy-mm"))</f>
        <v/>
      </c>
      <c r="D934" s="38">
        <f>IF(A934="","",IFERROR(INDEX(Maniobras!$D$5:$D$504,MATCH(A934,Maniobras!$A$5:$A$504,0)),""))</f>
        <v/>
      </c>
      <c r="E934" s="38" t="n"/>
      <c r="F934" s="39">
        <f>IF(A934="","",IFERROR(INDEX(Maniobras!$K$5:$K$504,MATCH(A934,Maniobras!$A$5:$A$504,0)),""))</f>
        <v/>
      </c>
      <c r="G934" s="39" t="n"/>
      <c r="H934" s="39" t="n"/>
      <c r="I934" s="39">
        <f>IF(G934="","",G934+N(H934))</f>
        <v/>
      </c>
      <c r="J934" s="38" t="n"/>
      <c r="K934" s="41" t="n"/>
      <c r="L934" s="38" t="n"/>
      <c r="M934">
        <f>IF($A934=Ficha!$B$3,COUNTIF($A$5:$A934,Ficha!$B$3),"")</f>
        <v/>
      </c>
    </row>
    <row r="935">
      <c r="A935" s="36" t="n"/>
      <c r="B935" s="40">
        <f>IF(A935="","",IFERROR(INDEX(Maniobras!$B$5:$B$504,MATCH(A935,Maniobras!$A$5:$A$504,0)),""))</f>
        <v/>
      </c>
      <c r="C935" s="36">
        <f>IF(B935="","",TEXT(B935,"yyyy-mm"))</f>
        <v/>
      </c>
      <c r="D935" s="36">
        <f>IF(A935="","",IFERROR(INDEX(Maniobras!$D$5:$D$504,MATCH(A935,Maniobras!$A$5:$A$504,0)),""))</f>
        <v/>
      </c>
      <c r="E935" s="36" t="n"/>
      <c r="F935" s="37">
        <f>IF(A935="","",IFERROR(INDEX(Maniobras!$K$5:$K$504,MATCH(A935,Maniobras!$A$5:$A$504,0)),""))</f>
        <v/>
      </c>
      <c r="G935" s="37" t="n"/>
      <c r="H935" s="37" t="n"/>
      <c r="I935" s="37">
        <f>IF(G935="","",G935+N(H935))</f>
        <v/>
      </c>
      <c r="J935" s="36" t="n"/>
      <c r="K935" s="40" t="n"/>
      <c r="L935" s="36" t="n"/>
      <c r="M935">
        <f>IF($A935=Ficha!$B$3,COUNTIF($A$5:$A935,Ficha!$B$3),"")</f>
        <v/>
      </c>
    </row>
    <row r="936">
      <c r="A936" s="38" t="n"/>
      <c r="B936" s="41">
        <f>IF(A936="","",IFERROR(INDEX(Maniobras!$B$5:$B$504,MATCH(A936,Maniobras!$A$5:$A$504,0)),""))</f>
        <v/>
      </c>
      <c r="C936" s="38">
        <f>IF(B936="","",TEXT(B936,"yyyy-mm"))</f>
        <v/>
      </c>
      <c r="D936" s="38">
        <f>IF(A936="","",IFERROR(INDEX(Maniobras!$D$5:$D$504,MATCH(A936,Maniobras!$A$5:$A$504,0)),""))</f>
        <v/>
      </c>
      <c r="E936" s="38" t="n"/>
      <c r="F936" s="39">
        <f>IF(A936="","",IFERROR(INDEX(Maniobras!$K$5:$K$504,MATCH(A936,Maniobras!$A$5:$A$504,0)),""))</f>
        <v/>
      </c>
      <c r="G936" s="39" t="n"/>
      <c r="H936" s="39" t="n"/>
      <c r="I936" s="39">
        <f>IF(G936="","",G936+N(H936))</f>
        <v/>
      </c>
      <c r="J936" s="38" t="n"/>
      <c r="K936" s="41" t="n"/>
      <c r="L936" s="38" t="n"/>
      <c r="M936">
        <f>IF($A936=Ficha!$B$3,COUNTIF($A$5:$A936,Ficha!$B$3),"")</f>
        <v/>
      </c>
    </row>
    <row r="937">
      <c r="A937" s="36" t="n"/>
      <c r="B937" s="40">
        <f>IF(A937="","",IFERROR(INDEX(Maniobras!$B$5:$B$504,MATCH(A937,Maniobras!$A$5:$A$504,0)),""))</f>
        <v/>
      </c>
      <c r="C937" s="36">
        <f>IF(B937="","",TEXT(B937,"yyyy-mm"))</f>
        <v/>
      </c>
      <c r="D937" s="36">
        <f>IF(A937="","",IFERROR(INDEX(Maniobras!$D$5:$D$504,MATCH(A937,Maniobras!$A$5:$A$504,0)),""))</f>
        <v/>
      </c>
      <c r="E937" s="36" t="n"/>
      <c r="F937" s="37">
        <f>IF(A937="","",IFERROR(INDEX(Maniobras!$K$5:$K$504,MATCH(A937,Maniobras!$A$5:$A$504,0)),""))</f>
        <v/>
      </c>
      <c r="G937" s="37" t="n"/>
      <c r="H937" s="37" t="n"/>
      <c r="I937" s="37">
        <f>IF(G937="","",G937+N(H937))</f>
        <v/>
      </c>
      <c r="J937" s="36" t="n"/>
      <c r="K937" s="40" t="n"/>
      <c r="L937" s="36" t="n"/>
      <c r="M937">
        <f>IF($A937=Ficha!$B$3,COUNTIF($A$5:$A937,Ficha!$B$3),"")</f>
        <v/>
      </c>
    </row>
    <row r="938">
      <c r="A938" s="38" t="n"/>
      <c r="B938" s="41">
        <f>IF(A938="","",IFERROR(INDEX(Maniobras!$B$5:$B$504,MATCH(A938,Maniobras!$A$5:$A$504,0)),""))</f>
        <v/>
      </c>
      <c r="C938" s="38">
        <f>IF(B938="","",TEXT(B938,"yyyy-mm"))</f>
        <v/>
      </c>
      <c r="D938" s="38">
        <f>IF(A938="","",IFERROR(INDEX(Maniobras!$D$5:$D$504,MATCH(A938,Maniobras!$A$5:$A$504,0)),""))</f>
        <v/>
      </c>
      <c r="E938" s="38" t="n"/>
      <c r="F938" s="39">
        <f>IF(A938="","",IFERROR(INDEX(Maniobras!$K$5:$K$504,MATCH(A938,Maniobras!$A$5:$A$504,0)),""))</f>
        <v/>
      </c>
      <c r="G938" s="39" t="n"/>
      <c r="H938" s="39" t="n"/>
      <c r="I938" s="39">
        <f>IF(G938="","",G938+N(H938))</f>
        <v/>
      </c>
      <c r="J938" s="38" t="n"/>
      <c r="K938" s="41" t="n"/>
      <c r="L938" s="38" t="n"/>
      <c r="M938">
        <f>IF($A938=Ficha!$B$3,COUNTIF($A$5:$A938,Ficha!$B$3),"")</f>
        <v/>
      </c>
    </row>
    <row r="939">
      <c r="A939" s="36" t="n"/>
      <c r="B939" s="40">
        <f>IF(A939="","",IFERROR(INDEX(Maniobras!$B$5:$B$504,MATCH(A939,Maniobras!$A$5:$A$504,0)),""))</f>
        <v/>
      </c>
      <c r="C939" s="36">
        <f>IF(B939="","",TEXT(B939,"yyyy-mm"))</f>
        <v/>
      </c>
      <c r="D939" s="36">
        <f>IF(A939="","",IFERROR(INDEX(Maniobras!$D$5:$D$504,MATCH(A939,Maniobras!$A$5:$A$504,0)),""))</f>
        <v/>
      </c>
      <c r="E939" s="36" t="n"/>
      <c r="F939" s="37">
        <f>IF(A939="","",IFERROR(INDEX(Maniobras!$K$5:$K$504,MATCH(A939,Maniobras!$A$5:$A$504,0)),""))</f>
        <v/>
      </c>
      <c r="G939" s="37" t="n"/>
      <c r="H939" s="37" t="n"/>
      <c r="I939" s="37">
        <f>IF(G939="","",G939+N(H939))</f>
        <v/>
      </c>
      <c r="J939" s="36" t="n"/>
      <c r="K939" s="40" t="n"/>
      <c r="L939" s="36" t="n"/>
      <c r="M939">
        <f>IF($A939=Ficha!$B$3,COUNTIF($A$5:$A939,Ficha!$B$3),"")</f>
        <v/>
      </c>
    </row>
    <row r="940">
      <c r="A940" s="38" t="n"/>
      <c r="B940" s="41">
        <f>IF(A940="","",IFERROR(INDEX(Maniobras!$B$5:$B$504,MATCH(A940,Maniobras!$A$5:$A$504,0)),""))</f>
        <v/>
      </c>
      <c r="C940" s="38">
        <f>IF(B940="","",TEXT(B940,"yyyy-mm"))</f>
        <v/>
      </c>
      <c r="D940" s="38">
        <f>IF(A940="","",IFERROR(INDEX(Maniobras!$D$5:$D$504,MATCH(A940,Maniobras!$A$5:$A$504,0)),""))</f>
        <v/>
      </c>
      <c r="E940" s="38" t="n"/>
      <c r="F940" s="39">
        <f>IF(A940="","",IFERROR(INDEX(Maniobras!$K$5:$K$504,MATCH(A940,Maniobras!$A$5:$A$504,0)),""))</f>
        <v/>
      </c>
      <c r="G940" s="39" t="n"/>
      <c r="H940" s="39" t="n"/>
      <c r="I940" s="39">
        <f>IF(G940="","",G940+N(H940))</f>
        <v/>
      </c>
      <c r="J940" s="38" t="n"/>
      <c r="K940" s="41" t="n"/>
      <c r="L940" s="38" t="n"/>
      <c r="M940">
        <f>IF($A940=Ficha!$B$3,COUNTIF($A$5:$A940,Ficha!$B$3),"")</f>
        <v/>
      </c>
    </row>
    <row r="941">
      <c r="A941" s="36" t="n"/>
      <c r="B941" s="40">
        <f>IF(A941="","",IFERROR(INDEX(Maniobras!$B$5:$B$504,MATCH(A941,Maniobras!$A$5:$A$504,0)),""))</f>
        <v/>
      </c>
      <c r="C941" s="36">
        <f>IF(B941="","",TEXT(B941,"yyyy-mm"))</f>
        <v/>
      </c>
      <c r="D941" s="36">
        <f>IF(A941="","",IFERROR(INDEX(Maniobras!$D$5:$D$504,MATCH(A941,Maniobras!$A$5:$A$504,0)),""))</f>
        <v/>
      </c>
      <c r="E941" s="36" t="n"/>
      <c r="F941" s="37">
        <f>IF(A941="","",IFERROR(INDEX(Maniobras!$K$5:$K$504,MATCH(A941,Maniobras!$A$5:$A$504,0)),""))</f>
        <v/>
      </c>
      <c r="G941" s="37" t="n"/>
      <c r="H941" s="37" t="n"/>
      <c r="I941" s="37">
        <f>IF(G941="","",G941+N(H941))</f>
        <v/>
      </c>
      <c r="J941" s="36" t="n"/>
      <c r="K941" s="40" t="n"/>
      <c r="L941" s="36" t="n"/>
      <c r="M941">
        <f>IF($A941=Ficha!$B$3,COUNTIF($A$5:$A941,Ficha!$B$3),"")</f>
        <v/>
      </c>
    </row>
    <row r="942">
      <c r="A942" s="38" t="n"/>
      <c r="B942" s="41">
        <f>IF(A942="","",IFERROR(INDEX(Maniobras!$B$5:$B$504,MATCH(A942,Maniobras!$A$5:$A$504,0)),""))</f>
        <v/>
      </c>
      <c r="C942" s="38">
        <f>IF(B942="","",TEXT(B942,"yyyy-mm"))</f>
        <v/>
      </c>
      <c r="D942" s="38">
        <f>IF(A942="","",IFERROR(INDEX(Maniobras!$D$5:$D$504,MATCH(A942,Maniobras!$A$5:$A$504,0)),""))</f>
        <v/>
      </c>
      <c r="E942" s="38" t="n"/>
      <c r="F942" s="39">
        <f>IF(A942="","",IFERROR(INDEX(Maniobras!$K$5:$K$504,MATCH(A942,Maniobras!$A$5:$A$504,0)),""))</f>
        <v/>
      </c>
      <c r="G942" s="39" t="n"/>
      <c r="H942" s="39" t="n"/>
      <c r="I942" s="39">
        <f>IF(G942="","",G942+N(H942))</f>
        <v/>
      </c>
      <c r="J942" s="38" t="n"/>
      <c r="K942" s="41" t="n"/>
      <c r="L942" s="38" t="n"/>
      <c r="M942">
        <f>IF($A942=Ficha!$B$3,COUNTIF($A$5:$A942,Ficha!$B$3),"")</f>
        <v/>
      </c>
    </row>
    <row r="943">
      <c r="A943" s="36" t="n"/>
      <c r="B943" s="40">
        <f>IF(A943="","",IFERROR(INDEX(Maniobras!$B$5:$B$504,MATCH(A943,Maniobras!$A$5:$A$504,0)),""))</f>
        <v/>
      </c>
      <c r="C943" s="36">
        <f>IF(B943="","",TEXT(B943,"yyyy-mm"))</f>
        <v/>
      </c>
      <c r="D943" s="36">
        <f>IF(A943="","",IFERROR(INDEX(Maniobras!$D$5:$D$504,MATCH(A943,Maniobras!$A$5:$A$504,0)),""))</f>
        <v/>
      </c>
      <c r="E943" s="36" t="n"/>
      <c r="F943" s="37">
        <f>IF(A943="","",IFERROR(INDEX(Maniobras!$K$5:$K$504,MATCH(A943,Maniobras!$A$5:$A$504,0)),""))</f>
        <v/>
      </c>
      <c r="G943" s="37" t="n"/>
      <c r="H943" s="37" t="n"/>
      <c r="I943" s="37">
        <f>IF(G943="","",G943+N(H943))</f>
        <v/>
      </c>
      <c r="J943" s="36" t="n"/>
      <c r="K943" s="40" t="n"/>
      <c r="L943" s="36" t="n"/>
      <c r="M943">
        <f>IF($A943=Ficha!$B$3,COUNTIF($A$5:$A943,Ficha!$B$3),"")</f>
        <v/>
      </c>
    </row>
    <row r="944">
      <c r="A944" s="38" t="n"/>
      <c r="B944" s="41">
        <f>IF(A944="","",IFERROR(INDEX(Maniobras!$B$5:$B$504,MATCH(A944,Maniobras!$A$5:$A$504,0)),""))</f>
        <v/>
      </c>
      <c r="C944" s="38">
        <f>IF(B944="","",TEXT(B944,"yyyy-mm"))</f>
        <v/>
      </c>
      <c r="D944" s="38">
        <f>IF(A944="","",IFERROR(INDEX(Maniobras!$D$5:$D$504,MATCH(A944,Maniobras!$A$5:$A$504,0)),""))</f>
        <v/>
      </c>
      <c r="E944" s="38" t="n"/>
      <c r="F944" s="39">
        <f>IF(A944="","",IFERROR(INDEX(Maniobras!$K$5:$K$504,MATCH(A944,Maniobras!$A$5:$A$504,0)),""))</f>
        <v/>
      </c>
      <c r="G944" s="39" t="n"/>
      <c r="H944" s="39" t="n"/>
      <c r="I944" s="39">
        <f>IF(G944="","",G944+N(H944))</f>
        <v/>
      </c>
      <c r="J944" s="38" t="n"/>
      <c r="K944" s="41" t="n"/>
      <c r="L944" s="38" t="n"/>
      <c r="M944">
        <f>IF($A944=Ficha!$B$3,COUNTIF($A$5:$A944,Ficha!$B$3),"")</f>
        <v/>
      </c>
    </row>
    <row r="945">
      <c r="A945" s="36" t="n"/>
      <c r="B945" s="40">
        <f>IF(A945="","",IFERROR(INDEX(Maniobras!$B$5:$B$504,MATCH(A945,Maniobras!$A$5:$A$504,0)),""))</f>
        <v/>
      </c>
      <c r="C945" s="36">
        <f>IF(B945="","",TEXT(B945,"yyyy-mm"))</f>
        <v/>
      </c>
      <c r="D945" s="36">
        <f>IF(A945="","",IFERROR(INDEX(Maniobras!$D$5:$D$504,MATCH(A945,Maniobras!$A$5:$A$504,0)),""))</f>
        <v/>
      </c>
      <c r="E945" s="36" t="n"/>
      <c r="F945" s="37">
        <f>IF(A945="","",IFERROR(INDEX(Maniobras!$K$5:$K$504,MATCH(A945,Maniobras!$A$5:$A$504,0)),""))</f>
        <v/>
      </c>
      <c r="G945" s="37" t="n"/>
      <c r="H945" s="37" t="n"/>
      <c r="I945" s="37">
        <f>IF(G945="","",G945+N(H945))</f>
        <v/>
      </c>
      <c r="J945" s="36" t="n"/>
      <c r="K945" s="40" t="n"/>
      <c r="L945" s="36" t="n"/>
      <c r="M945">
        <f>IF($A945=Ficha!$B$3,COUNTIF($A$5:$A945,Ficha!$B$3),"")</f>
        <v/>
      </c>
    </row>
    <row r="946">
      <c r="A946" s="38" t="n"/>
      <c r="B946" s="41">
        <f>IF(A946="","",IFERROR(INDEX(Maniobras!$B$5:$B$504,MATCH(A946,Maniobras!$A$5:$A$504,0)),""))</f>
        <v/>
      </c>
      <c r="C946" s="38">
        <f>IF(B946="","",TEXT(B946,"yyyy-mm"))</f>
        <v/>
      </c>
      <c r="D946" s="38">
        <f>IF(A946="","",IFERROR(INDEX(Maniobras!$D$5:$D$504,MATCH(A946,Maniobras!$A$5:$A$504,0)),""))</f>
        <v/>
      </c>
      <c r="E946" s="38" t="n"/>
      <c r="F946" s="39">
        <f>IF(A946="","",IFERROR(INDEX(Maniobras!$K$5:$K$504,MATCH(A946,Maniobras!$A$5:$A$504,0)),""))</f>
        <v/>
      </c>
      <c r="G946" s="39" t="n"/>
      <c r="H946" s="39" t="n"/>
      <c r="I946" s="39">
        <f>IF(G946="","",G946+N(H946))</f>
        <v/>
      </c>
      <c r="J946" s="38" t="n"/>
      <c r="K946" s="41" t="n"/>
      <c r="L946" s="38" t="n"/>
      <c r="M946">
        <f>IF($A946=Ficha!$B$3,COUNTIF($A$5:$A946,Ficha!$B$3),"")</f>
        <v/>
      </c>
    </row>
    <row r="947">
      <c r="A947" s="36" t="n"/>
      <c r="B947" s="40">
        <f>IF(A947="","",IFERROR(INDEX(Maniobras!$B$5:$B$504,MATCH(A947,Maniobras!$A$5:$A$504,0)),""))</f>
        <v/>
      </c>
      <c r="C947" s="36">
        <f>IF(B947="","",TEXT(B947,"yyyy-mm"))</f>
        <v/>
      </c>
      <c r="D947" s="36">
        <f>IF(A947="","",IFERROR(INDEX(Maniobras!$D$5:$D$504,MATCH(A947,Maniobras!$A$5:$A$504,0)),""))</f>
        <v/>
      </c>
      <c r="E947" s="36" t="n"/>
      <c r="F947" s="37">
        <f>IF(A947="","",IFERROR(INDEX(Maniobras!$K$5:$K$504,MATCH(A947,Maniobras!$A$5:$A$504,0)),""))</f>
        <v/>
      </c>
      <c r="G947" s="37" t="n"/>
      <c r="H947" s="37" t="n"/>
      <c r="I947" s="37">
        <f>IF(G947="","",G947+N(H947))</f>
        <v/>
      </c>
      <c r="J947" s="36" t="n"/>
      <c r="K947" s="40" t="n"/>
      <c r="L947" s="36" t="n"/>
      <c r="M947">
        <f>IF($A947=Ficha!$B$3,COUNTIF($A$5:$A947,Ficha!$B$3),"")</f>
        <v/>
      </c>
    </row>
    <row r="948">
      <c r="A948" s="38" t="n"/>
      <c r="B948" s="41">
        <f>IF(A948="","",IFERROR(INDEX(Maniobras!$B$5:$B$504,MATCH(A948,Maniobras!$A$5:$A$504,0)),""))</f>
        <v/>
      </c>
      <c r="C948" s="38">
        <f>IF(B948="","",TEXT(B948,"yyyy-mm"))</f>
        <v/>
      </c>
      <c r="D948" s="38">
        <f>IF(A948="","",IFERROR(INDEX(Maniobras!$D$5:$D$504,MATCH(A948,Maniobras!$A$5:$A$504,0)),""))</f>
        <v/>
      </c>
      <c r="E948" s="38" t="n"/>
      <c r="F948" s="39">
        <f>IF(A948="","",IFERROR(INDEX(Maniobras!$K$5:$K$504,MATCH(A948,Maniobras!$A$5:$A$504,0)),""))</f>
        <v/>
      </c>
      <c r="G948" s="39" t="n"/>
      <c r="H948" s="39" t="n"/>
      <c r="I948" s="39">
        <f>IF(G948="","",G948+N(H948))</f>
        <v/>
      </c>
      <c r="J948" s="38" t="n"/>
      <c r="K948" s="41" t="n"/>
      <c r="L948" s="38" t="n"/>
      <c r="M948">
        <f>IF($A948=Ficha!$B$3,COUNTIF($A$5:$A948,Ficha!$B$3),"")</f>
        <v/>
      </c>
    </row>
    <row r="949">
      <c r="A949" s="36" t="n"/>
      <c r="B949" s="40">
        <f>IF(A949="","",IFERROR(INDEX(Maniobras!$B$5:$B$504,MATCH(A949,Maniobras!$A$5:$A$504,0)),""))</f>
        <v/>
      </c>
      <c r="C949" s="36">
        <f>IF(B949="","",TEXT(B949,"yyyy-mm"))</f>
        <v/>
      </c>
      <c r="D949" s="36">
        <f>IF(A949="","",IFERROR(INDEX(Maniobras!$D$5:$D$504,MATCH(A949,Maniobras!$A$5:$A$504,0)),""))</f>
        <v/>
      </c>
      <c r="E949" s="36" t="n"/>
      <c r="F949" s="37">
        <f>IF(A949="","",IFERROR(INDEX(Maniobras!$K$5:$K$504,MATCH(A949,Maniobras!$A$5:$A$504,0)),""))</f>
        <v/>
      </c>
      <c r="G949" s="37" t="n"/>
      <c r="H949" s="37" t="n"/>
      <c r="I949" s="37">
        <f>IF(G949="","",G949+N(H949))</f>
        <v/>
      </c>
      <c r="J949" s="36" t="n"/>
      <c r="K949" s="40" t="n"/>
      <c r="L949" s="36" t="n"/>
      <c r="M949">
        <f>IF($A949=Ficha!$B$3,COUNTIF($A$5:$A949,Ficha!$B$3),"")</f>
        <v/>
      </c>
    </row>
    <row r="950">
      <c r="A950" s="38" t="n"/>
      <c r="B950" s="41">
        <f>IF(A950="","",IFERROR(INDEX(Maniobras!$B$5:$B$504,MATCH(A950,Maniobras!$A$5:$A$504,0)),""))</f>
        <v/>
      </c>
      <c r="C950" s="38">
        <f>IF(B950="","",TEXT(B950,"yyyy-mm"))</f>
        <v/>
      </c>
      <c r="D950" s="38">
        <f>IF(A950="","",IFERROR(INDEX(Maniobras!$D$5:$D$504,MATCH(A950,Maniobras!$A$5:$A$504,0)),""))</f>
        <v/>
      </c>
      <c r="E950" s="38" t="n"/>
      <c r="F950" s="39">
        <f>IF(A950="","",IFERROR(INDEX(Maniobras!$K$5:$K$504,MATCH(A950,Maniobras!$A$5:$A$504,0)),""))</f>
        <v/>
      </c>
      <c r="G950" s="39" t="n"/>
      <c r="H950" s="39" t="n"/>
      <c r="I950" s="39">
        <f>IF(G950="","",G950+N(H950))</f>
        <v/>
      </c>
      <c r="J950" s="38" t="n"/>
      <c r="K950" s="41" t="n"/>
      <c r="L950" s="38" t="n"/>
      <c r="M950">
        <f>IF($A950=Ficha!$B$3,COUNTIF($A$5:$A950,Ficha!$B$3),"")</f>
        <v/>
      </c>
    </row>
    <row r="951">
      <c r="A951" s="36" t="n"/>
      <c r="B951" s="40">
        <f>IF(A951="","",IFERROR(INDEX(Maniobras!$B$5:$B$504,MATCH(A951,Maniobras!$A$5:$A$504,0)),""))</f>
        <v/>
      </c>
      <c r="C951" s="36">
        <f>IF(B951="","",TEXT(B951,"yyyy-mm"))</f>
        <v/>
      </c>
      <c r="D951" s="36">
        <f>IF(A951="","",IFERROR(INDEX(Maniobras!$D$5:$D$504,MATCH(A951,Maniobras!$A$5:$A$504,0)),""))</f>
        <v/>
      </c>
      <c r="E951" s="36" t="n"/>
      <c r="F951" s="37">
        <f>IF(A951="","",IFERROR(INDEX(Maniobras!$K$5:$K$504,MATCH(A951,Maniobras!$A$5:$A$504,0)),""))</f>
        <v/>
      </c>
      <c r="G951" s="37" t="n"/>
      <c r="H951" s="37" t="n"/>
      <c r="I951" s="37">
        <f>IF(G951="","",G951+N(H951))</f>
        <v/>
      </c>
      <c r="J951" s="36" t="n"/>
      <c r="K951" s="40" t="n"/>
      <c r="L951" s="36" t="n"/>
      <c r="M951">
        <f>IF($A951=Ficha!$B$3,COUNTIF($A$5:$A951,Ficha!$B$3),"")</f>
        <v/>
      </c>
    </row>
    <row r="952">
      <c r="A952" s="38" t="n"/>
      <c r="B952" s="41">
        <f>IF(A952="","",IFERROR(INDEX(Maniobras!$B$5:$B$504,MATCH(A952,Maniobras!$A$5:$A$504,0)),""))</f>
        <v/>
      </c>
      <c r="C952" s="38">
        <f>IF(B952="","",TEXT(B952,"yyyy-mm"))</f>
        <v/>
      </c>
      <c r="D952" s="38">
        <f>IF(A952="","",IFERROR(INDEX(Maniobras!$D$5:$D$504,MATCH(A952,Maniobras!$A$5:$A$504,0)),""))</f>
        <v/>
      </c>
      <c r="E952" s="38" t="n"/>
      <c r="F952" s="39">
        <f>IF(A952="","",IFERROR(INDEX(Maniobras!$K$5:$K$504,MATCH(A952,Maniobras!$A$5:$A$504,0)),""))</f>
        <v/>
      </c>
      <c r="G952" s="39" t="n"/>
      <c r="H952" s="39" t="n"/>
      <c r="I952" s="39">
        <f>IF(G952="","",G952+N(H952))</f>
        <v/>
      </c>
      <c r="J952" s="38" t="n"/>
      <c r="K952" s="41" t="n"/>
      <c r="L952" s="38" t="n"/>
      <c r="M952">
        <f>IF($A952=Ficha!$B$3,COUNTIF($A$5:$A952,Ficha!$B$3),"")</f>
        <v/>
      </c>
    </row>
    <row r="953">
      <c r="A953" s="36" t="n"/>
      <c r="B953" s="40">
        <f>IF(A953="","",IFERROR(INDEX(Maniobras!$B$5:$B$504,MATCH(A953,Maniobras!$A$5:$A$504,0)),""))</f>
        <v/>
      </c>
      <c r="C953" s="36">
        <f>IF(B953="","",TEXT(B953,"yyyy-mm"))</f>
        <v/>
      </c>
      <c r="D953" s="36">
        <f>IF(A953="","",IFERROR(INDEX(Maniobras!$D$5:$D$504,MATCH(A953,Maniobras!$A$5:$A$504,0)),""))</f>
        <v/>
      </c>
      <c r="E953" s="36" t="n"/>
      <c r="F953" s="37">
        <f>IF(A953="","",IFERROR(INDEX(Maniobras!$K$5:$K$504,MATCH(A953,Maniobras!$A$5:$A$504,0)),""))</f>
        <v/>
      </c>
      <c r="G953" s="37" t="n"/>
      <c r="H953" s="37" t="n"/>
      <c r="I953" s="37">
        <f>IF(G953="","",G953+N(H953))</f>
        <v/>
      </c>
      <c r="J953" s="36" t="n"/>
      <c r="K953" s="40" t="n"/>
      <c r="L953" s="36" t="n"/>
      <c r="M953">
        <f>IF($A953=Ficha!$B$3,COUNTIF($A$5:$A953,Ficha!$B$3),"")</f>
        <v/>
      </c>
    </row>
    <row r="954">
      <c r="A954" s="38" t="n"/>
      <c r="B954" s="41">
        <f>IF(A954="","",IFERROR(INDEX(Maniobras!$B$5:$B$504,MATCH(A954,Maniobras!$A$5:$A$504,0)),""))</f>
        <v/>
      </c>
      <c r="C954" s="38">
        <f>IF(B954="","",TEXT(B954,"yyyy-mm"))</f>
        <v/>
      </c>
      <c r="D954" s="38">
        <f>IF(A954="","",IFERROR(INDEX(Maniobras!$D$5:$D$504,MATCH(A954,Maniobras!$A$5:$A$504,0)),""))</f>
        <v/>
      </c>
      <c r="E954" s="38" t="n"/>
      <c r="F954" s="39">
        <f>IF(A954="","",IFERROR(INDEX(Maniobras!$K$5:$K$504,MATCH(A954,Maniobras!$A$5:$A$504,0)),""))</f>
        <v/>
      </c>
      <c r="G954" s="39" t="n"/>
      <c r="H954" s="39" t="n"/>
      <c r="I954" s="39">
        <f>IF(G954="","",G954+N(H954))</f>
        <v/>
      </c>
      <c r="J954" s="38" t="n"/>
      <c r="K954" s="41" t="n"/>
      <c r="L954" s="38" t="n"/>
      <c r="M954">
        <f>IF($A954=Ficha!$B$3,COUNTIF($A$5:$A954,Ficha!$B$3),"")</f>
        <v/>
      </c>
    </row>
    <row r="955">
      <c r="A955" s="36" t="n"/>
      <c r="B955" s="40">
        <f>IF(A955="","",IFERROR(INDEX(Maniobras!$B$5:$B$504,MATCH(A955,Maniobras!$A$5:$A$504,0)),""))</f>
        <v/>
      </c>
      <c r="C955" s="36">
        <f>IF(B955="","",TEXT(B955,"yyyy-mm"))</f>
        <v/>
      </c>
      <c r="D955" s="36">
        <f>IF(A955="","",IFERROR(INDEX(Maniobras!$D$5:$D$504,MATCH(A955,Maniobras!$A$5:$A$504,0)),""))</f>
        <v/>
      </c>
      <c r="E955" s="36" t="n"/>
      <c r="F955" s="37">
        <f>IF(A955="","",IFERROR(INDEX(Maniobras!$K$5:$K$504,MATCH(A955,Maniobras!$A$5:$A$504,0)),""))</f>
        <v/>
      </c>
      <c r="G955" s="37" t="n"/>
      <c r="H955" s="37" t="n"/>
      <c r="I955" s="37">
        <f>IF(G955="","",G955+N(H955))</f>
        <v/>
      </c>
      <c r="J955" s="36" t="n"/>
      <c r="K955" s="40" t="n"/>
      <c r="L955" s="36" t="n"/>
      <c r="M955">
        <f>IF($A955=Ficha!$B$3,COUNTIF($A$5:$A955,Ficha!$B$3),"")</f>
        <v/>
      </c>
    </row>
    <row r="956">
      <c r="A956" s="38" t="n"/>
      <c r="B956" s="41">
        <f>IF(A956="","",IFERROR(INDEX(Maniobras!$B$5:$B$504,MATCH(A956,Maniobras!$A$5:$A$504,0)),""))</f>
        <v/>
      </c>
      <c r="C956" s="38">
        <f>IF(B956="","",TEXT(B956,"yyyy-mm"))</f>
        <v/>
      </c>
      <c r="D956" s="38">
        <f>IF(A956="","",IFERROR(INDEX(Maniobras!$D$5:$D$504,MATCH(A956,Maniobras!$A$5:$A$504,0)),""))</f>
        <v/>
      </c>
      <c r="E956" s="38" t="n"/>
      <c r="F956" s="39">
        <f>IF(A956="","",IFERROR(INDEX(Maniobras!$K$5:$K$504,MATCH(A956,Maniobras!$A$5:$A$504,0)),""))</f>
        <v/>
      </c>
      <c r="G956" s="39" t="n"/>
      <c r="H956" s="39" t="n"/>
      <c r="I956" s="39">
        <f>IF(G956="","",G956+N(H956))</f>
        <v/>
      </c>
      <c r="J956" s="38" t="n"/>
      <c r="K956" s="41" t="n"/>
      <c r="L956" s="38" t="n"/>
      <c r="M956">
        <f>IF($A956=Ficha!$B$3,COUNTIF($A$5:$A956,Ficha!$B$3),"")</f>
        <v/>
      </c>
    </row>
    <row r="957">
      <c r="A957" s="36" t="n"/>
      <c r="B957" s="40">
        <f>IF(A957="","",IFERROR(INDEX(Maniobras!$B$5:$B$504,MATCH(A957,Maniobras!$A$5:$A$504,0)),""))</f>
        <v/>
      </c>
      <c r="C957" s="36">
        <f>IF(B957="","",TEXT(B957,"yyyy-mm"))</f>
        <v/>
      </c>
      <c r="D957" s="36">
        <f>IF(A957="","",IFERROR(INDEX(Maniobras!$D$5:$D$504,MATCH(A957,Maniobras!$A$5:$A$504,0)),""))</f>
        <v/>
      </c>
      <c r="E957" s="36" t="n"/>
      <c r="F957" s="37">
        <f>IF(A957="","",IFERROR(INDEX(Maniobras!$K$5:$K$504,MATCH(A957,Maniobras!$A$5:$A$504,0)),""))</f>
        <v/>
      </c>
      <c r="G957" s="37" t="n"/>
      <c r="H957" s="37" t="n"/>
      <c r="I957" s="37">
        <f>IF(G957="","",G957+N(H957))</f>
        <v/>
      </c>
      <c r="J957" s="36" t="n"/>
      <c r="K957" s="40" t="n"/>
      <c r="L957" s="36" t="n"/>
      <c r="M957">
        <f>IF($A957=Ficha!$B$3,COUNTIF($A$5:$A957,Ficha!$B$3),"")</f>
        <v/>
      </c>
    </row>
    <row r="958">
      <c r="A958" s="38" t="n"/>
      <c r="B958" s="41">
        <f>IF(A958="","",IFERROR(INDEX(Maniobras!$B$5:$B$504,MATCH(A958,Maniobras!$A$5:$A$504,0)),""))</f>
        <v/>
      </c>
      <c r="C958" s="38">
        <f>IF(B958="","",TEXT(B958,"yyyy-mm"))</f>
        <v/>
      </c>
      <c r="D958" s="38">
        <f>IF(A958="","",IFERROR(INDEX(Maniobras!$D$5:$D$504,MATCH(A958,Maniobras!$A$5:$A$504,0)),""))</f>
        <v/>
      </c>
      <c r="E958" s="38" t="n"/>
      <c r="F958" s="39">
        <f>IF(A958="","",IFERROR(INDEX(Maniobras!$K$5:$K$504,MATCH(A958,Maniobras!$A$5:$A$504,0)),""))</f>
        <v/>
      </c>
      <c r="G958" s="39" t="n"/>
      <c r="H958" s="39" t="n"/>
      <c r="I958" s="39">
        <f>IF(G958="","",G958+N(H958))</f>
        <v/>
      </c>
      <c r="J958" s="38" t="n"/>
      <c r="K958" s="41" t="n"/>
      <c r="L958" s="38" t="n"/>
      <c r="M958">
        <f>IF($A958=Ficha!$B$3,COUNTIF($A$5:$A958,Ficha!$B$3),"")</f>
        <v/>
      </c>
    </row>
    <row r="959">
      <c r="A959" s="36" t="n"/>
      <c r="B959" s="40">
        <f>IF(A959="","",IFERROR(INDEX(Maniobras!$B$5:$B$504,MATCH(A959,Maniobras!$A$5:$A$504,0)),""))</f>
        <v/>
      </c>
      <c r="C959" s="36">
        <f>IF(B959="","",TEXT(B959,"yyyy-mm"))</f>
        <v/>
      </c>
      <c r="D959" s="36">
        <f>IF(A959="","",IFERROR(INDEX(Maniobras!$D$5:$D$504,MATCH(A959,Maniobras!$A$5:$A$504,0)),""))</f>
        <v/>
      </c>
      <c r="E959" s="36" t="n"/>
      <c r="F959" s="37">
        <f>IF(A959="","",IFERROR(INDEX(Maniobras!$K$5:$K$504,MATCH(A959,Maniobras!$A$5:$A$504,0)),""))</f>
        <v/>
      </c>
      <c r="G959" s="37" t="n"/>
      <c r="H959" s="37" t="n"/>
      <c r="I959" s="37">
        <f>IF(G959="","",G959+N(H959))</f>
        <v/>
      </c>
      <c r="J959" s="36" t="n"/>
      <c r="K959" s="40" t="n"/>
      <c r="L959" s="36" t="n"/>
      <c r="M959">
        <f>IF($A959=Ficha!$B$3,COUNTIF($A$5:$A959,Ficha!$B$3),"")</f>
        <v/>
      </c>
    </row>
    <row r="960">
      <c r="A960" s="38" t="n"/>
      <c r="B960" s="41">
        <f>IF(A960="","",IFERROR(INDEX(Maniobras!$B$5:$B$504,MATCH(A960,Maniobras!$A$5:$A$504,0)),""))</f>
        <v/>
      </c>
      <c r="C960" s="38">
        <f>IF(B960="","",TEXT(B960,"yyyy-mm"))</f>
        <v/>
      </c>
      <c r="D960" s="38">
        <f>IF(A960="","",IFERROR(INDEX(Maniobras!$D$5:$D$504,MATCH(A960,Maniobras!$A$5:$A$504,0)),""))</f>
        <v/>
      </c>
      <c r="E960" s="38" t="n"/>
      <c r="F960" s="39">
        <f>IF(A960="","",IFERROR(INDEX(Maniobras!$K$5:$K$504,MATCH(A960,Maniobras!$A$5:$A$504,0)),""))</f>
        <v/>
      </c>
      <c r="G960" s="39" t="n"/>
      <c r="H960" s="39" t="n"/>
      <c r="I960" s="39">
        <f>IF(G960="","",G960+N(H960))</f>
        <v/>
      </c>
      <c r="J960" s="38" t="n"/>
      <c r="K960" s="41" t="n"/>
      <c r="L960" s="38" t="n"/>
      <c r="M960">
        <f>IF($A960=Ficha!$B$3,COUNTIF($A$5:$A960,Ficha!$B$3),"")</f>
        <v/>
      </c>
    </row>
    <row r="961">
      <c r="A961" s="36" t="n"/>
      <c r="B961" s="40">
        <f>IF(A961="","",IFERROR(INDEX(Maniobras!$B$5:$B$504,MATCH(A961,Maniobras!$A$5:$A$504,0)),""))</f>
        <v/>
      </c>
      <c r="C961" s="36">
        <f>IF(B961="","",TEXT(B961,"yyyy-mm"))</f>
        <v/>
      </c>
      <c r="D961" s="36">
        <f>IF(A961="","",IFERROR(INDEX(Maniobras!$D$5:$D$504,MATCH(A961,Maniobras!$A$5:$A$504,0)),""))</f>
        <v/>
      </c>
      <c r="E961" s="36" t="n"/>
      <c r="F961" s="37">
        <f>IF(A961="","",IFERROR(INDEX(Maniobras!$K$5:$K$504,MATCH(A961,Maniobras!$A$5:$A$504,0)),""))</f>
        <v/>
      </c>
      <c r="G961" s="37" t="n"/>
      <c r="H961" s="37" t="n"/>
      <c r="I961" s="37">
        <f>IF(G961="","",G961+N(H961))</f>
        <v/>
      </c>
      <c r="J961" s="36" t="n"/>
      <c r="K961" s="40" t="n"/>
      <c r="L961" s="36" t="n"/>
      <c r="M961">
        <f>IF($A961=Ficha!$B$3,COUNTIF($A$5:$A961,Ficha!$B$3),"")</f>
        <v/>
      </c>
    </row>
    <row r="962">
      <c r="A962" s="38" t="n"/>
      <c r="B962" s="41">
        <f>IF(A962="","",IFERROR(INDEX(Maniobras!$B$5:$B$504,MATCH(A962,Maniobras!$A$5:$A$504,0)),""))</f>
        <v/>
      </c>
      <c r="C962" s="38">
        <f>IF(B962="","",TEXT(B962,"yyyy-mm"))</f>
        <v/>
      </c>
      <c r="D962" s="38">
        <f>IF(A962="","",IFERROR(INDEX(Maniobras!$D$5:$D$504,MATCH(A962,Maniobras!$A$5:$A$504,0)),""))</f>
        <v/>
      </c>
      <c r="E962" s="38" t="n"/>
      <c r="F962" s="39">
        <f>IF(A962="","",IFERROR(INDEX(Maniobras!$K$5:$K$504,MATCH(A962,Maniobras!$A$5:$A$504,0)),""))</f>
        <v/>
      </c>
      <c r="G962" s="39" t="n"/>
      <c r="H962" s="39" t="n"/>
      <c r="I962" s="39">
        <f>IF(G962="","",G962+N(H962))</f>
        <v/>
      </c>
      <c r="J962" s="38" t="n"/>
      <c r="K962" s="41" t="n"/>
      <c r="L962" s="38" t="n"/>
      <c r="M962">
        <f>IF($A962=Ficha!$B$3,COUNTIF($A$5:$A962,Ficha!$B$3),"")</f>
        <v/>
      </c>
    </row>
    <row r="963">
      <c r="A963" s="36" t="n"/>
      <c r="B963" s="40">
        <f>IF(A963="","",IFERROR(INDEX(Maniobras!$B$5:$B$504,MATCH(A963,Maniobras!$A$5:$A$504,0)),""))</f>
        <v/>
      </c>
      <c r="C963" s="36">
        <f>IF(B963="","",TEXT(B963,"yyyy-mm"))</f>
        <v/>
      </c>
      <c r="D963" s="36">
        <f>IF(A963="","",IFERROR(INDEX(Maniobras!$D$5:$D$504,MATCH(A963,Maniobras!$A$5:$A$504,0)),""))</f>
        <v/>
      </c>
      <c r="E963" s="36" t="n"/>
      <c r="F963" s="37">
        <f>IF(A963="","",IFERROR(INDEX(Maniobras!$K$5:$K$504,MATCH(A963,Maniobras!$A$5:$A$504,0)),""))</f>
        <v/>
      </c>
      <c r="G963" s="37" t="n"/>
      <c r="H963" s="37" t="n"/>
      <c r="I963" s="37">
        <f>IF(G963="","",G963+N(H963))</f>
        <v/>
      </c>
      <c r="J963" s="36" t="n"/>
      <c r="K963" s="40" t="n"/>
      <c r="L963" s="36" t="n"/>
      <c r="M963">
        <f>IF($A963=Ficha!$B$3,COUNTIF($A$5:$A963,Ficha!$B$3),"")</f>
        <v/>
      </c>
    </row>
    <row r="964">
      <c r="A964" s="38" t="n"/>
      <c r="B964" s="41">
        <f>IF(A964="","",IFERROR(INDEX(Maniobras!$B$5:$B$504,MATCH(A964,Maniobras!$A$5:$A$504,0)),""))</f>
        <v/>
      </c>
      <c r="C964" s="38">
        <f>IF(B964="","",TEXT(B964,"yyyy-mm"))</f>
        <v/>
      </c>
      <c r="D964" s="38">
        <f>IF(A964="","",IFERROR(INDEX(Maniobras!$D$5:$D$504,MATCH(A964,Maniobras!$A$5:$A$504,0)),""))</f>
        <v/>
      </c>
      <c r="E964" s="38" t="n"/>
      <c r="F964" s="39">
        <f>IF(A964="","",IFERROR(INDEX(Maniobras!$K$5:$K$504,MATCH(A964,Maniobras!$A$5:$A$504,0)),""))</f>
        <v/>
      </c>
      <c r="G964" s="39" t="n"/>
      <c r="H964" s="39" t="n"/>
      <c r="I964" s="39">
        <f>IF(G964="","",G964+N(H964))</f>
        <v/>
      </c>
      <c r="J964" s="38" t="n"/>
      <c r="K964" s="41" t="n"/>
      <c r="L964" s="38" t="n"/>
      <c r="M964">
        <f>IF($A964=Ficha!$B$3,COUNTIF($A$5:$A964,Ficha!$B$3),"")</f>
        <v/>
      </c>
    </row>
    <row r="965">
      <c r="A965" s="36" t="n"/>
      <c r="B965" s="40">
        <f>IF(A965="","",IFERROR(INDEX(Maniobras!$B$5:$B$504,MATCH(A965,Maniobras!$A$5:$A$504,0)),""))</f>
        <v/>
      </c>
      <c r="C965" s="36">
        <f>IF(B965="","",TEXT(B965,"yyyy-mm"))</f>
        <v/>
      </c>
      <c r="D965" s="36">
        <f>IF(A965="","",IFERROR(INDEX(Maniobras!$D$5:$D$504,MATCH(A965,Maniobras!$A$5:$A$504,0)),""))</f>
        <v/>
      </c>
      <c r="E965" s="36" t="n"/>
      <c r="F965" s="37">
        <f>IF(A965="","",IFERROR(INDEX(Maniobras!$K$5:$K$504,MATCH(A965,Maniobras!$A$5:$A$504,0)),""))</f>
        <v/>
      </c>
      <c r="G965" s="37" t="n"/>
      <c r="H965" s="37" t="n"/>
      <c r="I965" s="37">
        <f>IF(G965="","",G965+N(H965))</f>
        <v/>
      </c>
      <c r="J965" s="36" t="n"/>
      <c r="K965" s="40" t="n"/>
      <c r="L965" s="36" t="n"/>
      <c r="M965">
        <f>IF($A965=Ficha!$B$3,COUNTIF($A$5:$A965,Ficha!$B$3),"")</f>
        <v/>
      </c>
    </row>
    <row r="966">
      <c r="A966" s="38" t="n"/>
      <c r="B966" s="41">
        <f>IF(A966="","",IFERROR(INDEX(Maniobras!$B$5:$B$504,MATCH(A966,Maniobras!$A$5:$A$504,0)),""))</f>
        <v/>
      </c>
      <c r="C966" s="38">
        <f>IF(B966="","",TEXT(B966,"yyyy-mm"))</f>
        <v/>
      </c>
      <c r="D966" s="38">
        <f>IF(A966="","",IFERROR(INDEX(Maniobras!$D$5:$D$504,MATCH(A966,Maniobras!$A$5:$A$504,0)),""))</f>
        <v/>
      </c>
      <c r="E966" s="38" t="n"/>
      <c r="F966" s="39">
        <f>IF(A966="","",IFERROR(INDEX(Maniobras!$K$5:$K$504,MATCH(A966,Maniobras!$A$5:$A$504,0)),""))</f>
        <v/>
      </c>
      <c r="G966" s="39" t="n"/>
      <c r="H966" s="39" t="n"/>
      <c r="I966" s="39">
        <f>IF(G966="","",G966+N(H966))</f>
        <v/>
      </c>
      <c r="J966" s="38" t="n"/>
      <c r="K966" s="41" t="n"/>
      <c r="L966" s="38" t="n"/>
      <c r="M966">
        <f>IF($A966=Ficha!$B$3,COUNTIF($A$5:$A966,Ficha!$B$3),"")</f>
        <v/>
      </c>
    </row>
    <row r="967">
      <c r="A967" s="36" t="n"/>
      <c r="B967" s="40">
        <f>IF(A967="","",IFERROR(INDEX(Maniobras!$B$5:$B$504,MATCH(A967,Maniobras!$A$5:$A$504,0)),""))</f>
        <v/>
      </c>
      <c r="C967" s="36">
        <f>IF(B967="","",TEXT(B967,"yyyy-mm"))</f>
        <v/>
      </c>
      <c r="D967" s="36">
        <f>IF(A967="","",IFERROR(INDEX(Maniobras!$D$5:$D$504,MATCH(A967,Maniobras!$A$5:$A$504,0)),""))</f>
        <v/>
      </c>
      <c r="E967" s="36" t="n"/>
      <c r="F967" s="37">
        <f>IF(A967="","",IFERROR(INDEX(Maniobras!$K$5:$K$504,MATCH(A967,Maniobras!$A$5:$A$504,0)),""))</f>
        <v/>
      </c>
      <c r="G967" s="37" t="n"/>
      <c r="H967" s="37" t="n"/>
      <c r="I967" s="37">
        <f>IF(G967="","",G967+N(H967))</f>
        <v/>
      </c>
      <c r="J967" s="36" t="n"/>
      <c r="K967" s="40" t="n"/>
      <c r="L967" s="36" t="n"/>
      <c r="M967">
        <f>IF($A967=Ficha!$B$3,COUNTIF($A$5:$A967,Ficha!$B$3),"")</f>
        <v/>
      </c>
    </row>
    <row r="968">
      <c r="A968" s="38" t="n"/>
      <c r="B968" s="41">
        <f>IF(A968="","",IFERROR(INDEX(Maniobras!$B$5:$B$504,MATCH(A968,Maniobras!$A$5:$A$504,0)),""))</f>
        <v/>
      </c>
      <c r="C968" s="38">
        <f>IF(B968="","",TEXT(B968,"yyyy-mm"))</f>
        <v/>
      </c>
      <c r="D968" s="38">
        <f>IF(A968="","",IFERROR(INDEX(Maniobras!$D$5:$D$504,MATCH(A968,Maniobras!$A$5:$A$504,0)),""))</f>
        <v/>
      </c>
      <c r="E968" s="38" t="n"/>
      <c r="F968" s="39">
        <f>IF(A968="","",IFERROR(INDEX(Maniobras!$K$5:$K$504,MATCH(A968,Maniobras!$A$5:$A$504,0)),""))</f>
        <v/>
      </c>
      <c r="G968" s="39" t="n"/>
      <c r="H968" s="39" t="n"/>
      <c r="I968" s="39">
        <f>IF(G968="","",G968+N(H968))</f>
        <v/>
      </c>
      <c r="J968" s="38" t="n"/>
      <c r="K968" s="41" t="n"/>
      <c r="L968" s="38" t="n"/>
      <c r="M968">
        <f>IF($A968=Ficha!$B$3,COUNTIF($A$5:$A968,Ficha!$B$3),"")</f>
        <v/>
      </c>
    </row>
    <row r="969">
      <c r="A969" s="36" t="n"/>
      <c r="B969" s="40">
        <f>IF(A969="","",IFERROR(INDEX(Maniobras!$B$5:$B$504,MATCH(A969,Maniobras!$A$5:$A$504,0)),""))</f>
        <v/>
      </c>
      <c r="C969" s="36">
        <f>IF(B969="","",TEXT(B969,"yyyy-mm"))</f>
        <v/>
      </c>
      <c r="D969" s="36">
        <f>IF(A969="","",IFERROR(INDEX(Maniobras!$D$5:$D$504,MATCH(A969,Maniobras!$A$5:$A$504,0)),""))</f>
        <v/>
      </c>
      <c r="E969" s="36" t="n"/>
      <c r="F969" s="37">
        <f>IF(A969="","",IFERROR(INDEX(Maniobras!$K$5:$K$504,MATCH(A969,Maniobras!$A$5:$A$504,0)),""))</f>
        <v/>
      </c>
      <c r="G969" s="37" t="n"/>
      <c r="H969" s="37" t="n"/>
      <c r="I969" s="37">
        <f>IF(G969="","",G969+N(H969))</f>
        <v/>
      </c>
      <c r="J969" s="36" t="n"/>
      <c r="K969" s="40" t="n"/>
      <c r="L969" s="36" t="n"/>
      <c r="M969">
        <f>IF($A969=Ficha!$B$3,COUNTIF($A$5:$A969,Ficha!$B$3),"")</f>
        <v/>
      </c>
    </row>
    <row r="970">
      <c r="A970" s="38" t="n"/>
      <c r="B970" s="41">
        <f>IF(A970="","",IFERROR(INDEX(Maniobras!$B$5:$B$504,MATCH(A970,Maniobras!$A$5:$A$504,0)),""))</f>
        <v/>
      </c>
      <c r="C970" s="38">
        <f>IF(B970="","",TEXT(B970,"yyyy-mm"))</f>
        <v/>
      </c>
      <c r="D970" s="38">
        <f>IF(A970="","",IFERROR(INDEX(Maniobras!$D$5:$D$504,MATCH(A970,Maniobras!$A$5:$A$504,0)),""))</f>
        <v/>
      </c>
      <c r="E970" s="38" t="n"/>
      <c r="F970" s="39">
        <f>IF(A970="","",IFERROR(INDEX(Maniobras!$K$5:$K$504,MATCH(A970,Maniobras!$A$5:$A$504,0)),""))</f>
        <v/>
      </c>
      <c r="G970" s="39" t="n"/>
      <c r="H970" s="39" t="n"/>
      <c r="I970" s="39">
        <f>IF(G970="","",G970+N(H970))</f>
        <v/>
      </c>
      <c r="J970" s="38" t="n"/>
      <c r="K970" s="41" t="n"/>
      <c r="L970" s="38" t="n"/>
      <c r="M970">
        <f>IF($A970=Ficha!$B$3,COUNTIF($A$5:$A970,Ficha!$B$3),"")</f>
        <v/>
      </c>
    </row>
    <row r="971">
      <c r="A971" s="36" t="n"/>
      <c r="B971" s="40">
        <f>IF(A971="","",IFERROR(INDEX(Maniobras!$B$5:$B$504,MATCH(A971,Maniobras!$A$5:$A$504,0)),""))</f>
        <v/>
      </c>
      <c r="C971" s="36">
        <f>IF(B971="","",TEXT(B971,"yyyy-mm"))</f>
        <v/>
      </c>
      <c r="D971" s="36">
        <f>IF(A971="","",IFERROR(INDEX(Maniobras!$D$5:$D$504,MATCH(A971,Maniobras!$A$5:$A$504,0)),""))</f>
        <v/>
      </c>
      <c r="E971" s="36" t="n"/>
      <c r="F971" s="37">
        <f>IF(A971="","",IFERROR(INDEX(Maniobras!$K$5:$K$504,MATCH(A971,Maniobras!$A$5:$A$504,0)),""))</f>
        <v/>
      </c>
      <c r="G971" s="37" t="n"/>
      <c r="H971" s="37" t="n"/>
      <c r="I971" s="37">
        <f>IF(G971="","",G971+N(H971))</f>
        <v/>
      </c>
      <c r="J971" s="36" t="n"/>
      <c r="K971" s="40" t="n"/>
      <c r="L971" s="36" t="n"/>
      <c r="M971">
        <f>IF($A971=Ficha!$B$3,COUNTIF($A$5:$A971,Ficha!$B$3),"")</f>
        <v/>
      </c>
    </row>
    <row r="972">
      <c r="A972" s="38" t="n"/>
      <c r="B972" s="41">
        <f>IF(A972="","",IFERROR(INDEX(Maniobras!$B$5:$B$504,MATCH(A972,Maniobras!$A$5:$A$504,0)),""))</f>
        <v/>
      </c>
      <c r="C972" s="38">
        <f>IF(B972="","",TEXT(B972,"yyyy-mm"))</f>
        <v/>
      </c>
      <c r="D972" s="38">
        <f>IF(A972="","",IFERROR(INDEX(Maniobras!$D$5:$D$504,MATCH(A972,Maniobras!$A$5:$A$504,0)),""))</f>
        <v/>
      </c>
      <c r="E972" s="38" t="n"/>
      <c r="F972" s="39">
        <f>IF(A972="","",IFERROR(INDEX(Maniobras!$K$5:$K$504,MATCH(A972,Maniobras!$A$5:$A$504,0)),""))</f>
        <v/>
      </c>
      <c r="G972" s="39" t="n"/>
      <c r="H972" s="39" t="n"/>
      <c r="I972" s="39">
        <f>IF(G972="","",G972+N(H972))</f>
        <v/>
      </c>
      <c r="J972" s="38" t="n"/>
      <c r="K972" s="41" t="n"/>
      <c r="L972" s="38" t="n"/>
      <c r="M972">
        <f>IF($A972=Ficha!$B$3,COUNTIF($A$5:$A972,Ficha!$B$3),"")</f>
        <v/>
      </c>
    </row>
    <row r="973">
      <c r="A973" s="36" t="n"/>
      <c r="B973" s="40">
        <f>IF(A973="","",IFERROR(INDEX(Maniobras!$B$5:$B$504,MATCH(A973,Maniobras!$A$5:$A$504,0)),""))</f>
        <v/>
      </c>
      <c r="C973" s="36">
        <f>IF(B973="","",TEXT(B973,"yyyy-mm"))</f>
        <v/>
      </c>
      <c r="D973" s="36">
        <f>IF(A973="","",IFERROR(INDEX(Maniobras!$D$5:$D$504,MATCH(A973,Maniobras!$A$5:$A$504,0)),""))</f>
        <v/>
      </c>
      <c r="E973" s="36" t="n"/>
      <c r="F973" s="37">
        <f>IF(A973="","",IFERROR(INDEX(Maniobras!$K$5:$K$504,MATCH(A973,Maniobras!$A$5:$A$504,0)),""))</f>
        <v/>
      </c>
      <c r="G973" s="37" t="n"/>
      <c r="H973" s="37" t="n"/>
      <c r="I973" s="37">
        <f>IF(G973="","",G973+N(H973))</f>
        <v/>
      </c>
      <c r="J973" s="36" t="n"/>
      <c r="K973" s="40" t="n"/>
      <c r="L973" s="36" t="n"/>
      <c r="M973">
        <f>IF($A973=Ficha!$B$3,COUNTIF($A$5:$A973,Ficha!$B$3),"")</f>
        <v/>
      </c>
    </row>
    <row r="974">
      <c r="A974" s="38" t="n"/>
      <c r="B974" s="41">
        <f>IF(A974="","",IFERROR(INDEX(Maniobras!$B$5:$B$504,MATCH(A974,Maniobras!$A$5:$A$504,0)),""))</f>
        <v/>
      </c>
      <c r="C974" s="38">
        <f>IF(B974="","",TEXT(B974,"yyyy-mm"))</f>
        <v/>
      </c>
      <c r="D974" s="38">
        <f>IF(A974="","",IFERROR(INDEX(Maniobras!$D$5:$D$504,MATCH(A974,Maniobras!$A$5:$A$504,0)),""))</f>
        <v/>
      </c>
      <c r="E974" s="38" t="n"/>
      <c r="F974" s="39">
        <f>IF(A974="","",IFERROR(INDEX(Maniobras!$K$5:$K$504,MATCH(A974,Maniobras!$A$5:$A$504,0)),""))</f>
        <v/>
      </c>
      <c r="G974" s="39" t="n"/>
      <c r="H974" s="39" t="n"/>
      <c r="I974" s="39">
        <f>IF(G974="","",G974+N(H974))</f>
        <v/>
      </c>
      <c r="J974" s="38" t="n"/>
      <c r="K974" s="41" t="n"/>
      <c r="L974" s="38" t="n"/>
      <c r="M974">
        <f>IF($A974=Ficha!$B$3,COUNTIF($A$5:$A974,Ficha!$B$3),"")</f>
        <v/>
      </c>
    </row>
    <row r="975">
      <c r="A975" s="36" t="n"/>
      <c r="B975" s="40">
        <f>IF(A975="","",IFERROR(INDEX(Maniobras!$B$5:$B$504,MATCH(A975,Maniobras!$A$5:$A$504,0)),""))</f>
        <v/>
      </c>
      <c r="C975" s="36">
        <f>IF(B975="","",TEXT(B975,"yyyy-mm"))</f>
        <v/>
      </c>
      <c r="D975" s="36">
        <f>IF(A975="","",IFERROR(INDEX(Maniobras!$D$5:$D$504,MATCH(A975,Maniobras!$A$5:$A$504,0)),""))</f>
        <v/>
      </c>
      <c r="E975" s="36" t="n"/>
      <c r="F975" s="37">
        <f>IF(A975="","",IFERROR(INDEX(Maniobras!$K$5:$K$504,MATCH(A975,Maniobras!$A$5:$A$504,0)),""))</f>
        <v/>
      </c>
      <c r="G975" s="37" t="n"/>
      <c r="H975" s="37" t="n"/>
      <c r="I975" s="37">
        <f>IF(G975="","",G975+N(H975))</f>
        <v/>
      </c>
      <c r="J975" s="36" t="n"/>
      <c r="K975" s="40" t="n"/>
      <c r="L975" s="36" t="n"/>
      <c r="M975">
        <f>IF($A975=Ficha!$B$3,COUNTIF($A$5:$A975,Ficha!$B$3),"")</f>
        <v/>
      </c>
    </row>
    <row r="976">
      <c r="A976" s="38" t="n"/>
      <c r="B976" s="41">
        <f>IF(A976="","",IFERROR(INDEX(Maniobras!$B$5:$B$504,MATCH(A976,Maniobras!$A$5:$A$504,0)),""))</f>
        <v/>
      </c>
      <c r="C976" s="38">
        <f>IF(B976="","",TEXT(B976,"yyyy-mm"))</f>
        <v/>
      </c>
      <c r="D976" s="38">
        <f>IF(A976="","",IFERROR(INDEX(Maniobras!$D$5:$D$504,MATCH(A976,Maniobras!$A$5:$A$504,0)),""))</f>
        <v/>
      </c>
      <c r="E976" s="38" t="n"/>
      <c r="F976" s="39">
        <f>IF(A976="","",IFERROR(INDEX(Maniobras!$K$5:$K$504,MATCH(A976,Maniobras!$A$5:$A$504,0)),""))</f>
        <v/>
      </c>
      <c r="G976" s="39" t="n"/>
      <c r="H976" s="39" t="n"/>
      <c r="I976" s="39">
        <f>IF(G976="","",G976+N(H976))</f>
        <v/>
      </c>
      <c r="J976" s="38" t="n"/>
      <c r="K976" s="41" t="n"/>
      <c r="L976" s="38" t="n"/>
      <c r="M976">
        <f>IF($A976=Ficha!$B$3,COUNTIF($A$5:$A976,Ficha!$B$3),"")</f>
        <v/>
      </c>
    </row>
    <row r="977">
      <c r="A977" s="36" t="n"/>
      <c r="B977" s="40">
        <f>IF(A977="","",IFERROR(INDEX(Maniobras!$B$5:$B$504,MATCH(A977,Maniobras!$A$5:$A$504,0)),""))</f>
        <v/>
      </c>
      <c r="C977" s="36">
        <f>IF(B977="","",TEXT(B977,"yyyy-mm"))</f>
        <v/>
      </c>
      <c r="D977" s="36">
        <f>IF(A977="","",IFERROR(INDEX(Maniobras!$D$5:$D$504,MATCH(A977,Maniobras!$A$5:$A$504,0)),""))</f>
        <v/>
      </c>
      <c r="E977" s="36" t="n"/>
      <c r="F977" s="37">
        <f>IF(A977="","",IFERROR(INDEX(Maniobras!$K$5:$K$504,MATCH(A977,Maniobras!$A$5:$A$504,0)),""))</f>
        <v/>
      </c>
      <c r="G977" s="37" t="n"/>
      <c r="H977" s="37" t="n"/>
      <c r="I977" s="37">
        <f>IF(G977="","",G977+N(H977))</f>
        <v/>
      </c>
      <c r="J977" s="36" t="n"/>
      <c r="K977" s="40" t="n"/>
      <c r="L977" s="36" t="n"/>
      <c r="M977">
        <f>IF($A977=Ficha!$B$3,COUNTIF($A$5:$A977,Ficha!$B$3),"")</f>
        <v/>
      </c>
    </row>
    <row r="978">
      <c r="A978" s="38" t="n"/>
      <c r="B978" s="41">
        <f>IF(A978="","",IFERROR(INDEX(Maniobras!$B$5:$B$504,MATCH(A978,Maniobras!$A$5:$A$504,0)),""))</f>
        <v/>
      </c>
      <c r="C978" s="38">
        <f>IF(B978="","",TEXT(B978,"yyyy-mm"))</f>
        <v/>
      </c>
      <c r="D978" s="38">
        <f>IF(A978="","",IFERROR(INDEX(Maniobras!$D$5:$D$504,MATCH(A978,Maniobras!$A$5:$A$504,0)),""))</f>
        <v/>
      </c>
      <c r="E978" s="38" t="n"/>
      <c r="F978" s="39">
        <f>IF(A978="","",IFERROR(INDEX(Maniobras!$K$5:$K$504,MATCH(A978,Maniobras!$A$5:$A$504,0)),""))</f>
        <v/>
      </c>
      <c r="G978" s="39" t="n"/>
      <c r="H978" s="39" t="n"/>
      <c r="I978" s="39">
        <f>IF(G978="","",G978+N(H978))</f>
        <v/>
      </c>
      <c r="J978" s="38" t="n"/>
      <c r="K978" s="41" t="n"/>
      <c r="L978" s="38" t="n"/>
      <c r="M978">
        <f>IF($A978=Ficha!$B$3,COUNTIF($A$5:$A978,Ficha!$B$3),"")</f>
        <v/>
      </c>
    </row>
    <row r="979">
      <c r="A979" s="36" t="n"/>
      <c r="B979" s="40">
        <f>IF(A979="","",IFERROR(INDEX(Maniobras!$B$5:$B$504,MATCH(A979,Maniobras!$A$5:$A$504,0)),""))</f>
        <v/>
      </c>
      <c r="C979" s="36">
        <f>IF(B979="","",TEXT(B979,"yyyy-mm"))</f>
        <v/>
      </c>
      <c r="D979" s="36">
        <f>IF(A979="","",IFERROR(INDEX(Maniobras!$D$5:$D$504,MATCH(A979,Maniobras!$A$5:$A$504,0)),""))</f>
        <v/>
      </c>
      <c r="E979" s="36" t="n"/>
      <c r="F979" s="37">
        <f>IF(A979="","",IFERROR(INDEX(Maniobras!$K$5:$K$504,MATCH(A979,Maniobras!$A$5:$A$504,0)),""))</f>
        <v/>
      </c>
      <c r="G979" s="37" t="n"/>
      <c r="H979" s="37" t="n"/>
      <c r="I979" s="37">
        <f>IF(G979="","",G979+N(H979))</f>
        <v/>
      </c>
      <c r="J979" s="36" t="n"/>
      <c r="K979" s="40" t="n"/>
      <c r="L979" s="36" t="n"/>
      <c r="M979">
        <f>IF($A979=Ficha!$B$3,COUNTIF($A$5:$A979,Ficha!$B$3),"")</f>
        <v/>
      </c>
    </row>
    <row r="980">
      <c r="A980" s="38" t="n"/>
      <c r="B980" s="41">
        <f>IF(A980="","",IFERROR(INDEX(Maniobras!$B$5:$B$504,MATCH(A980,Maniobras!$A$5:$A$504,0)),""))</f>
        <v/>
      </c>
      <c r="C980" s="38">
        <f>IF(B980="","",TEXT(B980,"yyyy-mm"))</f>
        <v/>
      </c>
      <c r="D980" s="38">
        <f>IF(A980="","",IFERROR(INDEX(Maniobras!$D$5:$D$504,MATCH(A980,Maniobras!$A$5:$A$504,0)),""))</f>
        <v/>
      </c>
      <c r="E980" s="38" t="n"/>
      <c r="F980" s="39">
        <f>IF(A980="","",IFERROR(INDEX(Maniobras!$K$5:$K$504,MATCH(A980,Maniobras!$A$5:$A$504,0)),""))</f>
        <v/>
      </c>
      <c r="G980" s="39" t="n"/>
      <c r="H980" s="39" t="n"/>
      <c r="I980" s="39">
        <f>IF(G980="","",G980+N(H980))</f>
        <v/>
      </c>
      <c r="J980" s="38" t="n"/>
      <c r="K980" s="41" t="n"/>
      <c r="L980" s="38" t="n"/>
      <c r="M980">
        <f>IF($A980=Ficha!$B$3,COUNTIF($A$5:$A980,Ficha!$B$3),"")</f>
        <v/>
      </c>
    </row>
    <row r="981">
      <c r="A981" s="36" t="n"/>
      <c r="B981" s="40">
        <f>IF(A981="","",IFERROR(INDEX(Maniobras!$B$5:$B$504,MATCH(A981,Maniobras!$A$5:$A$504,0)),""))</f>
        <v/>
      </c>
      <c r="C981" s="36">
        <f>IF(B981="","",TEXT(B981,"yyyy-mm"))</f>
        <v/>
      </c>
      <c r="D981" s="36">
        <f>IF(A981="","",IFERROR(INDEX(Maniobras!$D$5:$D$504,MATCH(A981,Maniobras!$A$5:$A$504,0)),""))</f>
        <v/>
      </c>
      <c r="E981" s="36" t="n"/>
      <c r="F981" s="37">
        <f>IF(A981="","",IFERROR(INDEX(Maniobras!$K$5:$K$504,MATCH(A981,Maniobras!$A$5:$A$504,0)),""))</f>
        <v/>
      </c>
      <c r="G981" s="37" t="n"/>
      <c r="H981" s="37" t="n"/>
      <c r="I981" s="37">
        <f>IF(G981="","",G981+N(H981))</f>
        <v/>
      </c>
      <c r="J981" s="36" t="n"/>
      <c r="K981" s="40" t="n"/>
      <c r="L981" s="36" t="n"/>
      <c r="M981">
        <f>IF($A981=Ficha!$B$3,COUNTIF($A$5:$A981,Ficha!$B$3),"")</f>
        <v/>
      </c>
    </row>
    <row r="982">
      <c r="A982" s="38" t="n"/>
      <c r="B982" s="41">
        <f>IF(A982="","",IFERROR(INDEX(Maniobras!$B$5:$B$504,MATCH(A982,Maniobras!$A$5:$A$504,0)),""))</f>
        <v/>
      </c>
      <c r="C982" s="38">
        <f>IF(B982="","",TEXT(B982,"yyyy-mm"))</f>
        <v/>
      </c>
      <c r="D982" s="38">
        <f>IF(A982="","",IFERROR(INDEX(Maniobras!$D$5:$D$504,MATCH(A982,Maniobras!$A$5:$A$504,0)),""))</f>
        <v/>
      </c>
      <c r="E982" s="38" t="n"/>
      <c r="F982" s="39">
        <f>IF(A982="","",IFERROR(INDEX(Maniobras!$K$5:$K$504,MATCH(A982,Maniobras!$A$5:$A$504,0)),""))</f>
        <v/>
      </c>
      <c r="G982" s="39" t="n"/>
      <c r="H982" s="39" t="n"/>
      <c r="I982" s="39">
        <f>IF(G982="","",G982+N(H982))</f>
        <v/>
      </c>
      <c r="J982" s="38" t="n"/>
      <c r="K982" s="41" t="n"/>
      <c r="L982" s="38" t="n"/>
      <c r="M982">
        <f>IF($A982=Ficha!$B$3,COUNTIF($A$5:$A982,Ficha!$B$3),"")</f>
        <v/>
      </c>
    </row>
    <row r="983">
      <c r="A983" s="36" t="n"/>
      <c r="B983" s="40">
        <f>IF(A983="","",IFERROR(INDEX(Maniobras!$B$5:$B$504,MATCH(A983,Maniobras!$A$5:$A$504,0)),""))</f>
        <v/>
      </c>
      <c r="C983" s="36">
        <f>IF(B983="","",TEXT(B983,"yyyy-mm"))</f>
        <v/>
      </c>
      <c r="D983" s="36">
        <f>IF(A983="","",IFERROR(INDEX(Maniobras!$D$5:$D$504,MATCH(A983,Maniobras!$A$5:$A$504,0)),""))</f>
        <v/>
      </c>
      <c r="E983" s="36" t="n"/>
      <c r="F983" s="37">
        <f>IF(A983="","",IFERROR(INDEX(Maniobras!$K$5:$K$504,MATCH(A983,Maniobras!$A$5:$A$504,0)),""))</f>
        <v/>
      </c>
      <c r="G983" s="37" t="n"/>
      <c r="H983" s="37" t="n"/>
      <c r="I983" s="37">
        <f>IF(G983="","",G983+N(H983))</f>
        <v/>
      </c>
      <c r="J983" s="36" t="n"/>
      <c r="K983" s="40" t="n"/>
      <c r="L983" s="36" t="n"/>
      <c r="M983">
        <f>IF($A983=Ficha!$B$3,COUNTIF($A$5:$A983,Ficha!$B$3),"")</f>
        <v/>
      </c>
    </row>
    <row r="984">
      <c r="A984" s="38" t="n"/>
      <c r="B984" s="41">
        <f>IF(A984="","",IFERROR(INDEX(Maniobras!$B$5:$B$504,MATCH(A984,Maniobras!$A$5:$A$504,0)),""))</f>
        <v/>
      </c>
      <c r="C984" s="38">
        <f>IF(B984="","",TEXT(B984,"yyyy-mm"))</f>
        <v/>
      </c>
      <c r="D984" s="38">
        <f>IF(A984="","",IFERROR(INDEX(Maniobras!$D$5:$D$504,MATCH(A984,Maniobras!$A$5:$A$504,0)),""))</f>
        <v/>
      </c>
      <c r="E984" s="38" t="n"/>
      <c r="F984" s="39">
        <f>IF(A984="","",IFERROR(INDEX(Maniobras!$K$5:$K$504,MATCH(A984,Maniobras!$A$5:$A$504,0)),""))</f>
        <v/>
      </c>
      <c r="G984" s="39" t="n"/>
      <c r="H984" s="39" t="n"/>
      <c r="I984" s="39">
        <f>IF(G984="","",G984+N(H984))</f>
        <v/>
      </c>
      <c r="J984" s="38" t="n"/>
      <c r="K984" s="41" t="n"/>
      <c r="L984" s="38" t="n"/>
      <c r="M984">
        <f>IF($A984=Ficha!$B$3,COUNTIF($A$5:$A984,Ficha!$B$3),"")</f>
        <v/>
      </c>
    </row>
    <row r="985">
      <c r="A985" s="36" t="n"/>
      <c r="B985" s="40">
        <f>IF(A985="","",IFERROR(INDEX(Maniobras!$B$5:$B$504,MATCH(A985,Maniobras!$A$5:$A$504,0)),""))</f>
        <v/>
      </c>
      <c r="C985" s="36">
        <f>IF(B985="","",TEXT(B985,"yyyy-mm"))</f>
        <v/>
      </c>
      <c r="D985" s="36">
        <f>IF(A985="","",IFERROR(INDEX(Maniobras!$D$5:$D$504,MATCH(A985,Maniobras!$A$5:$A$504,0)),""))</f>
        <v/>
      </c>
      <c r="E985" s="36" t="n"/>
      <c r="F985" s="37">
        <f>IF(A985="","",IFERROR(INDEX(Maniobras!$K$5:$K$504,MATCH(A985,Maniobras!$A$5:$A$504,0)),""))</f>
        <v/>
      </c>
      <c r="G985" s="37" t="n"/>
      <c r="H985" s="37" t="n"/>
      <c r="I985" s="37">
        <f>IF(G985="","",G985+N(H985))</f>
        <v/>
      </c>
      <c r="J985" s="36" t="n"/>
      <c r="K985" s="40" t="n"/>
      <c r="L985" s="36" t="n"/>
      <c r="M985">
        <f>IF($A985=Ficha!$B$3,COUNTIF($A$5:$A985,Ficha!$B$3),"")</f>
        <v/>
      </c>
    </row>
    <row r="986">
      <c r="A986" s="38" t="n"/>
      <c r="B986" s="41">
        <f>IF(A986="","",IFERROR(INDEX(Maniobras!$B$5:$B$504,MATCH(A986,Maniobras!$A$5:$A$504,0)),""))</f>
        <v/>
      </c>
      <c r="C986" s="38">
        <f>IF(B986="","",TEXT(B986,"yyyy-mm"))</f>
        <v/>
      </c>
      <c r="D986" s="38">
        <f>IF(A986="","",IFERROR(INDEX(Maniobras!$D$5:$D$504,MATCH(A986,Maniobras!$A$5:$A$504,0)),""))</f>
        <v/>
      </c>
      <c r="E986" s="38" t="n"/>
      <c r="F986" s="39">
        <f>IF(A986="","",IFERROR(INDEX(Maniobras!$K$5:$K$504,MATCH(A986,Maniobras!$A$5:$A$504,0)),""))</f>
        <v/>
      </c>
      <c r="G986" s="39" t="n"/>
      <c r="H986" s="39" t="n"/>
      <c r="I986" s="39">
        <f>IF(G986="","",G986+N(H986))</f>
        <v/>
      </c>
      <c r="J986" s="38" t="n"/>
      <c r="K986" s="41" t="n"/>
      <c r="L986" s="38" t="n"/>
      <c r="M986">
        <f>IF($A986=Ficha!$B$3,COUNTIF($A$5:$A986,Ficha!$B$3),"")</f>
        <v/>
      </c>
    </row>
    <row r="987">
      <c r="A987" s="36" t="n"/>
      <c r="B987" s="40">
        <f>IF(A987="","",IFERROR(INDEX(Maniobras!$B$5:$B$504,MATCH(A987,Maniobras!$A$5:$A$504,0)),""))</f>
        <v/>
      </c>
      <c r="C987" s="36">
        <f>IF(B987="","",TEXT(B987,"yyyy-mm"))</f>
        <v/>
      </c>
      <c r="D987" s="36">
        <f>IF(A987="","",IFERROR(INDEX(Maniobras!$D$5:$D$504,MATCH(A987,Maniobras!$A$5:$A$504,0)),""))</f>
        <v/>
      </c>
      <c r="E987" s="36" t="n"/>
      <c r="F987" s="37">
        <f>IF(A987="","",IFERROR(INDEX(Maniobras!$K$5:$K$504,MATCH(A987,Maniobras!$A$5:$A$504,0)),""))</f>
        <v/>
      </c>
      <c r="G987" s="37" t="n"/>
      <c r="H987" s="37" t="n"/>
      <c r="I987" s="37">
        <f>IF(G987="","",G987+N(H987))</f>
        <v/>
      </c>
      <c r="J987" s="36" t="n"/>
      <c r="K987" s="40" t="n"/>
      <c r="L987" s="36" t="n"/>
      <c r="M987">
        <f>IF($A987=Ficha!$B$3,COUNTIF($A$5:$A987,Ficha!$B$3),"")</f>
        <v/>
      </c>
    </row>
    <row r="988">
      <c r="A988" s="38" t="n"/>
      <c r="B988" s="41">
        <f>IF(A988="","",IFERROR(INDEX(Maniobras!$B$5:$B$504,MATCH(A988,Maniobras!$A$5:$A$504,0)),""))</f>
        <v/>
      </c>
      <c r="C988" s="38">
        <f>IF(B988="","",TEXT(B988,"yyyy-mm"))</f>
        <v/>
      </c>
      <c r="D988" s="38">
        <f>IF(A988="","",IFERROR(INDEX(Maniobras!$D$5:$D$504,MATCH(A988,Maniobras!$A$5:$A$504,0)),""))</f>
        <v/>
      </c>
      <c r="E988" s="38" t="n"/>
      <c r="F988" s="39">
        <f>IF(A988="","",IFERROR(INDEX(Maniobras!$K$5:$K$504,MATCH(A988,Maniobras!$A$5:$A$504,0)),""))</f>
        <v/>
      </c>
      <c r="G988" s="39" t="n"/>
      <c r="H988" s="39" t="n"/>
      <c r="I988" s="39">
        <f>IF(G988="","",G988+N(H988))</f>
        <v/>
      </c>
      <c r="J988" s="38" t="n"/>
      <c r="K988" s="41" t="n"/>
      <c r="L988" s="38" t="n"/>
      <c r="M988">
        <f>IF($A988=Ficha!$B$3,COUNTIF($A$5:$A988,Ficha!$B$3),"")</f>
        <v/>
      </c>
    </row>
    <row r="989">
      <c r="A989" s="36" t="n"/>
      <c r="B989" s="40">
        <f>IF(A989="","",IFERROR(INDEX(Maniobras!$B$5:$B$504,MATCH(A989,Maniobras!$A$5:$A$504,0)),""))</f>
        <v/>
      </c>
      <c r="C989" s="36">
        <f>IF(B989="","",TEXT(B989,"yyyy-mm"))</f>
        <v/>
      </c>
      <c r="D989" s="36">
        <f>IF(A989="","",IFERROR(INDEX(Maniobras!$D$5:$D$504,MATCH(A989,Maniobras!$A$5:$A$504,0)),""))</f>
        <v/>
      </c>
      <c r="E989" s="36" t="n"/>
      <c r="F989" s="37">
        <f>IF(A989="","",IFERROR(INDEX(Maniobras!$K$5:$K$504,MATCH(A989,Maniobras!$A$5:$A$504,0)),""))</f>
        <v/>
      </c>
      <c r="G989" s="37" t="n"/>
      <c r="H989" s="37" t="n"/>
      <c r="I989" s="37">
        <f>IF(G989="","",G989+N(H989))</f>
        <v/>
      </c>
      <c r="J989" s="36" t="n"/>
      <c r="K989" s="40" t="n"/>
      <c r="L989" s="36" t="n"/>
      <c r="M989">
        <f>IF($A989=Ficha!$B$3,COUNTIF($A$5:$A989,Ficha!$B$3),"")</f>
        <v/>
      </c>
    </row>
    <row r="990">
      <c r="A990" s="38" t="n"/>
      <c r="B990" s="41">
        <f>IF(A990="","",IFERROR(INDEX(Maniobras!$B$5:$B$504,MATCH(A990,Maniobras!$A$5:$A$504,0)),""))</f>
        <v/>
      </c>
      <c r="C990" s="38">
        <f>IF(B990="","",TEXT(B990,"yyyy-mm"))</f>
        <v/>
      </c>
      <c r="D990" s="38">
        <f>IF(A990="","",IFERROR(INDEX(Maniobras!$D$5:$D$504,MATCH(A990,Maniobras!$A$5:$A$504,0)),""))</f>
        <v/>
      </c>
      <c r="E990" s="38" t="n"/>
      <c r="F990" s="39">
        <f>IF(A990="","",IFERROR(INDEX(Maniobras!$K$5:$K$504,MATCH(A990,Maniobras!$A$5:$A$504,0)),""))</f>
        <v/>
      </c>
      <c r="G990" s="39" t="n"/>
      <c r="H990" s="39" t="n"/>
      <c r="I990" s="39">
        <f>IF(G990="","",G990+N(H990))</f>
        <v/>
      </c>
      <c r="J990" s="38" t="n"/>
      <c r="K990" s="41" t="n"/>
      <c r="L990" s="38" t="n"/>
      <c r="M990">
        <f>IF($A990=Ficha!$B$3,COUNTIF($A$5:$A990,Ficha!$B$3),"")</f>
        <v/>
      </c>
    </row>
    <row r="991">
      <c r="A991" s="36" t="n"/>
      <c r="B991" s="40">
        <f>IF(A991="","",IFERROR(INDEX(Maniobras!$B$5:$B$504,MATCH(A991,Maniobras!$A$5:$A$504,0)),""))</f>
        <v/>
      </c>
      <c r="C991" s="36">
        <f>IF(B991="","",TEXT(B991,"yyyy-mm"))</f>
        <v/>
      </c>
      <c r="D991" s="36">
        <f>IF(A991="","",IFERROR(INDEX(Maniobras!$D$5:$D$504,MATCH(A991,Maniobras!$A$5:$A$504,0)),""))</f>
        <v/>
      </c>
      <c r="E991" s="36" t="n"/>
      <c r="F991" s="37">
        <f>IF(A991="","",IFERROR(INDEX(Maniobras!$K$5:$K$504,MATCH(A991,Maniobras!$A$5:$A$504,0)),""))</f>
        <v/>
      </c>
      <c r="G991" s="37" t="n"/>
      <c r="H991" s="37" t="n"/>
      <c r="I991" s="37">
        <f>IF(G991="","",G991+N(H991))</f>
        <v/>
      </c>
      <c r="J991" s="36" t="n"/>
      <c r="K991" s="40" t="n"/>
      <c r="L991" s="36" t="n"/>
      <c r="M991">
        <f>IF($A991=Ficha!$B$3,COUNTIF($A$5:$A991,Ficha!$B$3),"")</f>
        <v/>
      </c>
    </row>
    <row r="992">
      <c r="A992" s="38" t="n"/>
      <c r="B992" s="41">
        <f>IF(A992="","",IFERROR(INDEX(Maniobras!$B$5:$B$504,MATCH(A992,Maniobras!$A$5:$A$504,0)),""))</f>
        <v/>
      </c>
      <c r="C992" s="38">
        <f>IF(B992="","",TEXT(B992,"yyyy-mm"))</f>
        <v/>
      </c>
      <c r="D992" s="38">
        <f>IF(A992="","",IFERROR(INDEX(Maniobras!$D$5:$D$504,MATCH(A992,Maniobras!$A$5:$A$504,0)),""))</f>
        <v/>
      </c>
      <c r="E992" s="38" t="n"/>
      <c r="F992" s="39">
        <f>IF(A992="","",IFERROR(INDEX(Maniobras!$K$5:$K$504,MATCH(A992,Maniobras!$A$5:$A$504,0)),""))</f>
        <v/>
      </c>
      <c r="G992" s="39" t="n"/>
      <c r="H992" s="39" t="n"/>
      <c r="I992" s="39">
        <f>IF(G992="","",G992+N(H992))</f>
        <v/>
      </c>
      <c r="J992" s="38" t="n"/>
      <c r="K992" s="41" t="n"/>
      <c r="L992" s="38" t="n"/>
      <c r="M992">
        <f>IF($A992=Ficha!$B$3,COUNTIF($A$5:$A992,Ficha!$B$3),"")</f>
        <v/>
      </c>
    </row>
    <row r="993">
      <c r="A993" s="36" t="n"/>
      <c r="B993" s="40">
        <f>IF(A993="","",IFERROR(INDEX(Maniobras!$B$5:$B$504,MATCH(A993,Maniobras!$A$5:$A$504,0)),""))</f>
        <v/>
      </c>
      <c r="C993" s="36">
        <f>IF(B993="","",TEXT(B993,"yyyy-mm"))</f>
        <v/>
      </c>
      <c r="D993" s="36">
        <f>IF(A993="","",IFERROR(INDEX(Maniobras!$D$5:$D$504,MATCH(A993,Maniobras!$A$5:$A$504,0)),""))</f>
        <v/>
      </c>
      <c r="E993" s="36" t="n"/>
      <c r="F993" s="37">
        <f>IF(A993="","",IFERROR(INDEX(Maniobras!$K$5:$K$504,MATCH(A993,Maniobras!$A$5:$A$504,0)),""))</f>
        <v/>
      </c>
      <c r="G993" s="37" t="n"/>
      <c r="H993" s="37" t="n"/>
      <c r="I993" s="37">
        <f>IF(G993="","",G993+N(H993))</f>
        <v/>
      </c>
      <c r="J993" s="36" t="n"/>
      <c r="K993" s="40" t="n"/>
      <c r="L993" s="36" t="n"/>
      <c r="M993">
        <f>IF($A993=Ficha!$B$3,COUNTIF($A$5:$A993,Ficha!$B$3),"")</f>
        <v/>
      </c>
    </row>
    <row r="994">
      <c r="A994" s="38" t="n"/>
      <c r="B994" s="41">
        <f>IF(A994="","",IFERROR(INDEX(Maniobras!$B$5:$B$504,MATCH(A994,Maniobras!$A$5:$A$504,0)),""))</f>
        <v/>
      </c>
      <c r="C994" s="38">
        <f>IF(B994="","",TEXT(B994,"yyyy-mm"))</f>
        <v/>
      </c>
      <c r="D994" s="38">
        <f>IF(A994="","",IFERROR(INDEX(Maniobras!$D$5:$D$504,MATCH(A994,Maniobras!$A$5:$A$504,0)),""))</f>
        <v/>
      </c>
      <c r="E994" s="38" t="n"/>
      <c r="F994" s="39">
        <f>IF(A994="","",IFERROR(INDEX(Maniobras!$K$5:$K$504,MATCH(A994,Maniobras!$A$5:$A$504,0)),""))</f>
        <v/>
      </c>
      <c r="G994" s="39" t="n"/>
      <c r="H994" s="39" t="n"/>
      <c r="I994" s="39">
        <f>IF(G994="","",G994+N(H994))</f>
        <v/>
      </c>
      <c r="J994" s="38" t="n"/>
      <c r="K994" s="41" t="n"/>
      <c r="L994" s="38" t="n"/>
      <c r="M994">
        <f>IF($A994=Ficha!$B$3,COUNTIF($A$5:$A994,Ficha!$B$3),"")</f>
        <v/>
      </c>
    </row>
    <row r="995">
      <c r="A995" s="36" t="n"/>
      <c r="B995" s="40">
        <f>IF(A995="","",IFERROR(INDEX(Maniobras!$B$5:$B$504,MATCH(A995,Maniobras!$A$5:$A$504,0)),""))</f>
        <v/>
      </c>
      <c r="C995" s="36">
        <f>IF(B995="","",TEXT(B995,"yyyy-mm"))</f>
        <v/>
      </c>
      <c r="D995" s="36">
        <f>IF(A995="","",IFERROR(INDEX(Maniobras!$D$5:$D$504,MATCH(A995,Maniobras!$A$5:$A$504,0)),""))</f>
        <v/>
      </c>
      <c r="E995" s="36" t="n"/>
      <c r="F995" s="37">
        <f>IF(A995="","",IFERROR(INDEX(Maniobras!$K$5:$K$504,MATCH(A995,Maniobras!$A$5:$A$504,0)),""))</f>
        <v/>
      </c>
      <c r="G995" s="37" t="n"/>
      <c r="H995" s="37" t="n"/>
      <c r="I995" s="37">
        <f>IF(G995="","",G995+N(H995))</f>
        <v/>
      </c>
      <c r="J995" s="36" t="n"/>
      <c r="K995" s="40" t="n"/>
      <c r="L995" s="36" t="n"/>
      <c r="M995">
        <f>IF($A995=Ficha!$B$3,COUNTIF($A$5:$A995,Ficha!$B$3),"")</f>
        <v/>
      </c>
    </row>
    <row r="996">
      <c r="A996" s="38" t="n"/>
      <c r="B996" s="41">
        <f>IF(A996="","",IFERROR(INDEX(Maniobras!$B$5:$B$504,MATCH(A996,Maniobras!$A$5:$A$504,0)),""))</f>
        <v/>
      </c>
      <c r="C996" s="38">
        <f>IF(B996="","",TEXT(B996,"yyyy-mm"))</f>
        <v/>
      </c>
      <c r="D996" s="38">
        <f>IF(A996="","",IFERROR(INDEX(Maniobras!$D$5:$D$504,MATCH(A996,Maniobras!$A$5:$A$504,0)),""))</f>
        <v/>
      </c>
      <c r="E996" s="38" t="n"/>
      <c r="F996" s="39">
        <f>IF(A996="","",IFERROR(INDEX(Maniobras!$K$5:$K$504,MATCH(A996,Maniobras!$A$5:$A$504,0)),""))</f>
        <v/>
      </c>
      <c r="G996" s="39" t="n"/>
      <c r="H996" s="39" t="n"/>
      <c r="I996" s="39">
        <f>IF(G996="","",G996+N(H996))</f>
        <v/>
      </c>
      <c r="J996" s="38" t="n"/>
      <c r="K996" s="41" t="n"/>
      <c r="L996" s="38" t="n"/>
      <c r="M996">
        <f>IF($A996=Ficha!$B$3,COUNTIF($A$5:$A996,Ficha!$B$3),"")</f>
        <v/>
      </c>
    </row>
    <row r="997">
      <c r="A997" s="36" t="n"/>
      <c r="B997" s="40">
        <f>IF(A997="","",IFERROR(INDEX(Maniobras!$B$5:$B$504,MATCH(A997,Maniobras!$A$5:$A$504,0)),""))</f>
        <v/>
      </c>
      <c r="C997" s="36">
        <f>IF(B997="","",TEXT(B997,"yyyy-mm"))</f>
        <v/>
      </c>
      <c r="D997" s="36">
        <f>IF(A997="","",IFERROR(INDEX(Maniobras!$D$5:$D$504,MATCH(A997,Maniobras!$A$5:$A$504,0)),""))</f>
        <v/>
      </c>
      <c r="E997" s="36" t="n"/>
      <c r="F997" s="37">
        <f>IF(A997="","",IFERROR(INDEX(Maniobras!$K$5:$K$504,MATCH(A997,Maniobras!$A$5:$A$504,0)),""))</f>
        <v/>
      </c>
      <c r="G997" s="37" t="n"/>
      <c r="H997" s="37" t="n"/>
      <c r="I997" s="37">
        <f>IF(G997="","",G997+N(H997))</f>
        <v/>
      </c>
      <c r="J997" s="36" t="n"/>
      <c r="K997" s="40" t="n"/>
      <c r="L997" s="36" t="n"/>
      <c r="M997">
        <f>IF($A997=Ficha!$B$3,COUNTIF($A$5:$A997,Ficha!$B$3),"")</f>
        <v/>
      </c>
    </row>
    <row r="998">
      <c r="A998" s="38" t="n"/>
      <c r="B998" s="41">
        <f>IF(A998="","",IFERROR(INDEX(Maniobras!$B$5:$B$504,MATCH(A998,Maniobras!$A$5:$A$504,0)),""))</f>
        <v/>
      </c>
      <c r="C998" s="38">
        <f>IF(B998="","",TEXT(B998,"yyyy-mm"))</f>
        <v/>
      </c>
      <c r="D998" s="38">
        <f>IF(A998="","",IFERROR(INDEX(Maniobras!$D$5:$D$504,MATCH(A998,Maniobras!$A$5:$A$504,0)),""))</f>
        <v/>
      </c>
      <c r="E998" s="38" t="n"/>
      <c r="F998" s="39">
        <f>IF(A998="","",IFERROR(INDEX(Maniobras!$K$5:$K$504,MATCH(A998,Maniobras!$A$5:$A$504,0)),""))</f>
        <v/>
      </c>
      <c r="G998" s="39" t="n"/>
      <c r="H998" s="39" t="n"/>
      <c r="I998" s="39">
        <f>IF(G998="","",G998+N(H998))</f>
        <v/>
      </c>
      <c r="J998" s="38" t="n"/>
      <c r="K998" s="41" t="n"/>
      <c r="L998" s="38" t="n"/>
      <c r="M998">
        <f>IF($A998=Ficha!$B$3,COUNTIF($A$5:$A998,Ficha!$B$3),"")</f>
        <v/>
      </c>
    </row>
    <row r="999">
      <c r="A999" s="36" t="n"/>
      <c r="B999" s="40">
        <f>IF(A999="","",IFERROR(INDEX(Maniobras!$B$5:$B$504,MATCH(A999,Maniobras!$A$5:$A$504,0)),""))</f>
        <v/>
      </c>
      <c r="C999" s="36">
        <f>IF(B999="","",TEXT(B999,"yyyy-mm"))</f>
        <v/>
      </c>
      <c r="D999" s="36">
        <f>IF(A999="","",IFERROR(INDEX(Maniobras!$D$5:$D$504,MATCH(A999,Maniobras!$A$5:$A$504,0)),""))</f>
        <v/>
      </c>
      <c r="E999" s="36" t="n"/>
      <c r="F999" s="37">
        <f>IF(A999="","",IFERROR(INDEX(Maniobras!$K$5:$K$504,MATCH(A999,Maniobras!$A$5:$A$504,0)),""))</f>
        <v/>
      </c>
      <c r="G999" s="37" t="n"/>
      <c r="H999" s="37" t="n"/>
      <c r="I999" s="37">
        <f>IF(G999="","",G999+N(H999))</f>
        <v/>
      </c>
      <c r="J999" s="36" t="n"/>
      <c r="K999" s="40" t="n"/>
      <c r="L999" s="36" t="n"/>
      <c r="M999">
        <f>IF($A999=Ficha!$B$3,COUNTIF($A$5:$A999,Ficha!$B$3),"")</f>
        <v/>
      </c>
    </row>
    <row r="1000">
      <c r="A1000" s="38" t="n"/>
      <c r="B1000" s="41">
        <f>IF(A1000="","",IFERROR(INDEX(Maniobras!$B$5:$B$504,MATCH(A1000,Maniobras!$A$5:$A$504,0)),""))</f>
        <v/>
      </c>
      <c r="C1000" s="38">
        <f>IF(B1000="","",TEXT(B1000,"yyyy-mm"))</f>
        <v/>
      </c>
      <c r="D1000" s="38">
        <f>IF(A1000="","",IFERROR(INDEX(Maniobras!$D$5:$D$504,MATCH(A1000,Maniobras!$A$5:$A$504,0)),""))</f>
        <v/>
      </c>
      <c r="E1000" s="38" t="n"/>
      <c r="F1000" s="39">
        <f>IF(A1000="","",IFERROR(INDEX(Maniobras!$K$5:$K$504,MATCH(A1000,Maniobras!$A$5:$A$504,0)),""))</f>
        <v/>
      </c>
      <c r="G1000" s="39" t="n"/>
      <c r="H1000" s="39" t="n"/>
      <c r="I1000" s="39">
        <f>IF(G1000="","",G1000+N(H1000))</f>
        <v/>
      </c>
      <c r="J1000" s="38" t="n"/>
      <c r="K1000" s="41" t="n"/>
      <c r="L1000" s="38" t="n"/>
      <c r="M1000">
        <f>IF($A1000=Ficha!$B$3,COUNTIF($A$5:$A1000,Ficha!$B$3),"")</f>
        <v/>
      </c>
    </row>
    <row r="1001">
      <c r="A1001" s="36" t="n"/>
      <c r="B1001" s="40">
        <f>IF(A1001="","",IFERROR(INDEX(Maniobras!$B$5:$B$504,MATCH(A1001,Maniobras!$A$5:$A$504,0)),""))</f>
        <v/>
      </c>
      <c r="C1001" s="36">
        <f>IF(B1001="","",TEXT(B1001,"yyyy-mm"))</f>
        <v/>
      </c>
      <c r="D1001" s="36">
        <f>IF(A1001="","",IFERROR(INDEX(Maniobras!$D$5:$D$504,MATCH(A1001,Maniobras!$A$5:$A$504,0)),""))</f>
        <v/>
      </c>
      <c r="E1001" s="36" t="n"/>
      <c r="F1001" s="37">
        <f>IF(A1001="","",IFERROR(INDEX(Maniobras!$K$5:$K$504,MATCH(A1001,Maniobras!$A$5:$A$504,0)),""))</f>
        <v/>
      </c>
      <c r="G1001" s="37" t="n"/>
      <c r="H1001" s="37" t="n"/>
      <c r="I1001" s="37">
        <f>IF(G1001="","",G1001+N(H1001))</f>
        <v/>
      </c>
      <c r="J1001" s="36" t="n"/>
      <c r="K1001" s="40" t="n"/>
      <c r="L1001" s="36" t="n"/>
      <c r="M1001">
        <f>IF($A1001=Ficha!$B$3,COUNTIF($A$5:$A1001,Ficha!$B$3),"")</f>
        <v/>
      </c>
    </row>
    <row r="1002">
      <c r="A1002" s="38" t="n"/>
      <c r="B1002" s="41">
        <f>IF(A1002="","",IFERROR(INDEX(Maniobras!$B$5:$B$504,MATCH(A1002,Maniobras!$A$5:$A$504,0)),""))</f>
        <v/>
      </c>
      <c r="C1002" s="38">
        <f>IF(B1002="","",TEXT(B1002,"yyyy-mm"))</f>
        <v/>
      </c>
      <c r="D1002" s="38">
        <f>IF(A1002="","",IFERROR(INDEX(Maniobras!$D$5:$D$504,MATCH(A1002,Maniobras!$A$5:$A$504,0)),""))</f>
        <v/>
      </c>
      <c r="E1002" s="38" t="n"/>
      <c r="F1002" s="39">
        <f>IF(A1002="","",IFERROR(INDEX(Maniobras!$K$5:$K$504,MATCH(A1002,Maniobras!$A$5:$A$504,0)),""))</f>
        <v/>
      </c>
      <c r="G1002" s="39" t="n"/>
      <c r="H1002" s="39" t="n"/>
      <c r="I1002" s="39">
        <f>IF(G1002="","",G1002+N(H1002))</f>
        <v/>
      </c>
      <c r="J1002" s="38" t="n"/>
      <c r="K1002" s="41" t="n"/>
      <c r="L1002" s="38" t="n"/>
      <c r="M1002">
        <f>IF($A1002=Ficha!$B$3,COUNTIF($A$5:$A1002,Ficha!$B$3),"")</f>
        <v/>
      </c>
    </row>
    <row r="1003">
      <c r="A1003" s="36" t="n"/>
      <c r="B1003" s="40">
        <f>IF(A1003="","",IFERROR(INDEX(Maniobras!$B$5:$B$504,MATCH(A1003,Maniobras!$A$5:$A$504,0)),""))</f>
        <v/>
      </c>
      <c r="C1003" s="36">
        <f>IF(B1003="","",TEXT(B1003,"yyyy-mm"))</f>
        <v/>
      </c>
      <c r="D1003" s="36">
        <f>IF(A1003="","",IFERROR(INDEX(Maniobras!$D$5:$D$504,MATCH(A1003,Maniobras!$A$5:$A$504,0)),""))</f>
        <v/>
      </c>
      <c r="E1003" s="36" t="n"/>
      <c r="F1003" s="37">
        <f>IF(A1003="","",IFERROR(INDEX(Maniobras!$K$5:$K$504,MATCH(A1003,Maniobras!$A$5:$A$504,0)),""))</f>
        <v/>
      </c>
      <c r="G1003" s="37" t="n"/>
      <c r="H1003" s="37" t="n"/>
      <c r="I1003" s="37">
        <f>IF(G1003="","",G1003+N(H1003))</f>
        <v/>
      </c>
      <c r="J1003" s="36" t="n"/>
      <c r="K1003" s="40" t="n"/>
      <c r="L1003" s="36" t="n"/>
      <c r="M1003">
        <f>IF($A1003=Ficha!$B$3,COUNTIF($A$5:$A1003,Ficha!$B$3),"")</f>
        <v/>
      </c>
    </row>
    <row r="1004">
      <c r="A1004" s="38" t="n"/>
      <c r="B1004" s="41">
        <f>IF(A1004="","",IFERROR(INDEX(Maniobras!$B$5:$B$504,MATCH(A1004,Maniobras!$A$5:$A$504,0)),""))</f>
        <v/>
      </c>
      <c r="C1004" s="38">
        <f>IF(B1004="","",TEXT(B1004,"yyyy-mm"))</f>
        <v/>
      </c>
      <c r="D1004" s="38">
        <f>IF(A1004="","",IFERROR(INDEX(Maniobras!$D$5:$D$504,MATCH(A1004,Maniobras!$A$5:$A$504,0)),""))</f>
        <v/>
      </c>
      <c r="E1004" s="38" t="n"/>
      <c r="F1004" s="39">
        <f>IF(A1004="","",IFERROR(INDEX(Maniobras!$K$5:$K$504,MATCH(A1004,Maniobras!$A$5:$A$504,0)),""))</f>
        <v/>
      </c>
      <c r="G1004" s="39" t="n"/>
      <c r="H1004" s="39" t="n"/>
      <c r="I1004" s="39">
        <f>IF(G1004="","",G1004+N(H1004))</f>
        <v/>
      </c>
      <c r="J1004" s="38" t="n"/>
      <c r="K1004" s="41" t="n"/>
      <c r="L1004" s="38" t="n"/>
      <c r="M1004">
        <f>IF($A1004=Ficha!$B$3,COUNTIF($A$5:$A1004,Ficha!$B$3),"")</f>
        <v/>
      </c>
    </row>
    <row r="1005">
      <c r="A1005" s="36" t="n"/>
      <c r="B1005" s="40">
        <f>IF(A1005="","",IFERROR(INDEX(Maniobras!$B$5:$B$504,MATCH(A1005,Maniobras!$A$5:$A$504,0)),""))</f>
        <v/>
      </c>
      <c r="C1005" s="36">
        <f>IF(B1005="","",TEXT(B1005,"yyyy-mm"))</f>
        <v/>
      </c>
      <c r="D1005" s="36">
        <f>IF(A1005="","",IFERROR(INDEX(Maniobras!$D$5:$D$504,MATCH(A1005,Maniobras!$A$5:$A$504,0)),""))</f>
        <v/>
      </c>
      <c r="E1005" s="36" t="n"/>
      <c r="F1005" s="37">
        <f>IF(A1005="","",IFERROR(INDEX(Maniobras!$K$5:$K$504,MATCH(A1005,Maniobras!$A$5:$A$504,0)),""))</f>
        <v/>
      </c>
      <c r="G1005" s="37" t="n"/>
      <c r="H1005" s="37" t="n"/>
      <c r="I1005" s="37">
        <f>IF(G1005="","",G1005+N(H1005))</f>
        <v/>
      </c>
      <c r="J1005" s="36" t="n"/>
      <c r="K1005" s="40" t="n"/>
      <c r="L1005" s="36" t="n"/>
      <c r="M1005">
        <f>IF($A1005=Ficha!$B$3,COUNTIF($A$5:$A1005,Ficha!$B$3),"")</f>
        <v/>
      </c>
    </row>
    <row r="1006">
      <c r="A1006" s="38" t="n"/>
      <c r="B1006" s="41">
        <f>IF(A1006="","",IFERROR(INDEX(Maniobras!$B$5:$B$504,MATCH(A1006,Maniobras!$A$5:$A$504,0)),""))</f>
        <v/>
      </c>
      <c r="C1006" s="38">
        <f>IF(B1006="","",TEXT(B1006,"yyyy-mm"))</f>
        <v/>
      </c>
      <c r="D1006" s="38">
        <f>IF(A1006="","",IFERROR(INDEX(Maniobras!$D$5:$D$504,MATCH(A1006,Maniobras!$A$5:$A$504,0)),""))</f>
        <v/>
      </c>
      <c r="E1006" s="38" t="n"/>
      <c r="F1006" s="39">
        <f>IF(A1006="","",IFERROR(INDEX(Maniobras!$K$5:$K$504,MATCH(A1006,Maniobras!$A$5:$A$504,0)),""))</f>
        <v/>
      </c>
      <c r="G1006" s="39" t="n"/>
      <c r="H1006" s="39" t="n"/>
      <c r="I1006" s="39">
        <f>IF(G1006="","",G1006+N(H1006))</f>
        <v/>
      </c>
      <c r="J1006" s="38" t="n"/>
      <c r="K1006" s="41" t="n"/>
      <c r="L1006" s="38" t="n"/>
      <c r="M1006">
        <f>IF($A1006=Ficha!$B$3,COUNTIF($A$5:$A1006,Ficha!$B$3),"")</f>
        <v/>
      </c>
    </row>
    <row r="1007">
      <c r="A1007" s="36" t="n"/>
      <c r="B1007" s="40">
        <f>IF(A1007="","",IFERROR(INDEX(Maniobras!$B$5:$B$504,MATCH(A1007,Maniobras!$A$5:$A$504,0)),""))</f>
        <v/>
      </c>
      <c r="C1007" s="36">
        <f>IF(B1007="","",TEXT(B1007,"yyyy-mm"))</f>
        <v/>
      </c>
      <c r="D1007" s="36">
        <f>IF(A1007="","",IFERROR(INDEX(Maniobras!$D$5:$D$504,MATCH(A1007,Maniobras!$A$5:$A$504,0)),""))</f>
        <v/>
      </c>
      <c r="E1007" s="36" t="n"/>
      <c r="F1007" s="37">
        <f>IF(A1007="","",IFERROR(INDEX(Maniobras!$K$5:$K$504,MATCH(A1007,Maniobras!$A$5:$A$504,0)),""))</f>
        <v/>
      </c>
      <c r="G1007" s="37" t="n"/>
      <c r="H1007" s="37" t="n"/>
      <c r="I1007" s="37">
        <f>IF(G1007="","",G1007+N(H1007))</f>
        <v/>
      </c>
      <c r="J1007" s="36" t="n"/>
      <c r="K1007" s="40" t="n"/>
      <c r="L1007" s="36" t="n"/>
      <c r="M1007">
        <f>IF($A1007=Ficha!$B$3,COUNTIF($A$5:$A1007,Ficha!$B$3),"")</f>
        <v/>
      </c>
    </row>
    <row r="1008">
      <c r="A1008" s="38" t="n"/>
      <c r="B1008" s="41">
        <f>IF(A1008="","",IFERROR(INDEX(Maniobras!$B$5:$B$504,MATCH(A1008,Maniobras!$A$5:$A$504,0)),""))</f>
        <v/>
      </c>
      <c r="C1008" s="38">
        <f>IF(B1008="","",TEXT(B1008,"yyyy-mm"))</f>
        <v/>
      </c>
      <c r="D1008" s="38">
        <f>IF(A1008="","",IFERROR(INDEX(Maniobras!$D$5:$D$504,MATCH(A1008,Maniobras!$A$5:$A$504,0)),""))</f>
        <v/>
      </c>
      <c r="E1008" s="38" t="n"/>
      <c r="F1008" s="39">
        <f>IF(A1008="","",IFERROR(INDEX(Maniobras!$K$5:$K$504,MATCH(A1008,Maniobras!$A$5:$A$504,0)),""))</f>
        <v/>
      </c>
      <c r="G1008" s="39" t="n"/>
      <c r="H1008" s="39" t="n"/>
      <c r="I1008" s="39">
        <f>IF(G1008="","",G1008+N(H1008))</f>
        <v/>
      </c>
      <c r="J1008" s="38" t="n"/>
      <c r="K1008" s="41" t="n"/>
      <c r="L1008" s="38" t="n"/>
      <c r="M1008">
        <f>IF($A1008=Ficha!$B$3,COUNTIF($A$5:$A1008,Ficha!$B$3),"")</f>
        <v/>
      </c>
    </row>
    <row r="1009">
      <c r="A1009" s="36" t="n"/>
      <c r="B1009" s="40">
        <f>IF(A1009="","",IFERROR(INDEX(Maniobras!$B$5:$B$504,MATCH(A1009,Maniobras!$A$5:$A$504,0)),""))</f>
        <v/>
      </c>
      <c r="C1009" s="36">
        <f>IF(B1009="","",TEXT(B1009,"yyyy-mm"))</f>
        <v/>
      </c>
      <c r="D1009" s="36">
        <f>IF(A1009="","",IFERROR(INDEX(Maniobras!$D$5:$D$504,MATCH(A1009,Maniobras!$A$5:$A$504,0)),""))</f>
        <v/>
      </c>
      <c r="E1009" s="36" t="n"/>
      <c r="F1009" s="37">
        <f>IF(A1009="","",IFERROR(INDEX(Maniobras!$K$5:$K$504,MATCH(A1009,Maniobras!$A$5:$A$504,0)),""))</f>
        <v/>
      </c>
      <c r="G1009" s="37" t="n"/>
      <c r="H1009" s="37" t="n"/>
      <c r="I1009" s="37">
        <f>IF(G1009="","",G1009+N(H1009))</f>
        <v/>
      </c>
      <c r="J1009" s="36" t="n"/>
      <c r="K1009" s="40" t="n"/>
      <c r="L1009" s="36" t="n"/>
      <c r="M1009">
        <f>IF($A1009=Ficha!$B$3,COUNTIF($A$5:$A1009,Ficha!$B$3),"")</f>
        <v/>
      </c>
    </row>
    <row r="1010">
      <c r="A1010" s="38" t="n"/>
      <c r="B1010" s="41">
        <f>IF(A1010="","",IFERROR(INDEX(Maniobras!$B$5:$B$504,MATCH(A1010,Maniobras!$A$5:$A$504,0)),""))</f>
        <v/>
      </c>
      <c r="C1010" s="38">
        <f>IF(B1010="","",TEXT(B1010,"yyyy-mm"))</f>
        <v/>
      </c>
      <c r="D1010" s="38">
        <f>IF(A1010="","",IFERROR(INDEX(Maniobras!$D$5:$D$504,MATCH(A1010,Maniobras!$A$5:$A$504,0)),""))</f>
        <v/>
      </c>
      <c r="E1010" s="38" t="n"/>
      <c r="F1010" s="39">
        <f>IF(A1010="","",IFERROR(INDEX(Maniobras!$K$5:$K$504,MATCH(A1010,Maniobras!$A$5:$A$504,0)),""))</f>
        <v/>
      </c>
      <c r="G1010" s="39" t="n"/>
      <c r="H1010" s="39" t="n"/>
      <c r="I1010" s="39">
        <f>IF(G1010="","",G1010+N(H1010))</f>
        <v/>
      </c>
      <c r="J1010" s="38" t="n"/>
      <c r="K1010" s="41" t="n"/>
      <c r="L1010" s="38" t="n"/>
      <c r="M1010">
        <f>IF($A1010=Ficha!$B$3,COUNTIF($A$5:$A1010,Ficha!$B$3),"")</f>
        <v/>
      </c>
    </row>
    <row r="1011">
      <c r="A1011" s="36" t="n"/>
      <c r="B1011" s="40">
        <f>IF(A1011="","",IFERROR(INDEX(Maniobras!$B$5:$B$504,MATCH(A1011,Maniobras!$A$5:$A$504,0)),""))</f>
        <v/>
      </c>
      <c r="C1011" s="36">
        <f>IF(B1011="","",TEXT(B1011,"yyyy-mm"))</f>
        <v/>
      </c>
      <c r="D1011" s="36">
        <f>IF(A1011="","",IFERROR(INDEX(Maniobras!$D$5:$D$504,MATCH(A1011,Maniobras!$A$5:$A$504,0)),""))</f>
        <v/>
      </c>
      <c r="E1011" s="36" t="n"/>
      <c r="F1011" s="37">
        <f>IF(A1011="","",IFERROR(INDEX(Maniobras!$K$5:$K$504,MATCH(A1011,Maniobras!$A$5:$A$504,0)),""))</f>
        <v/>
      </c>
      <c r="G1011" s="37" t="n"/>
      <c r="H1011" s="37" t="n"/>
      <c r="I1011" s="37">
        <f>IF(G1011="","",G1011+N(H1011))</f>
        <v/>
      </c>
      <c r="J1011" s="36" t="n"/>
      <c r="K1011" s="40" t="n"/>
      <c r="L1011" s="36" t="n"/>
      <c r="M1011">
        <f>IF($A1011=Ficha!$B$3,COUNTIF($A$5:$A1011,Ficha!$B$3),"")</f>
        <v/>
      </c>
    </row>
    <row r="1012">
      <c r="A1012" s="38" t="n"/>
      <c r="B1012" s="41">
        <f>IF(A1012="","",IFERROR(INDEX(Maniobras!$B$5:$B$504,MATCH(A1012,Maniobras!$A$5:$A$504,0)),""))</f>
        <v/>
      </c>
      <c r="C1012" s="38">
        <f>IF(B1012="","",TEXT(B1012,"yyyy-mm"))</f>
        <v/>
      </c>
      <c r="D1012" s="38">
        <f>IF(A1012="","",IFERROR(INDEX(Maniobras!$D$5:$D$504,MATCH(A1012,Maniobras!$A$5:$A$504,0)),""))</f>
        <v/>
      </c>
      <c r="E1012" s="38" t="n"/>
      <c r="F1012" s="39">
        <f>IF(A1012="","",IFERROR(INDEX(Maniobras!$K$5:$K$504,MATCH(A1012,Maniobras!$A$5:$A$504,0)),""))</f>
        <v/>
      </c>
      <c r="G1012" s="39" t="n"/>
      <c r="H1012" s="39" t="n"/>
      <c r="I1012" s="39">
        <f>IF(G1012="","",G1012+N(H1012))</f>
        <v/>
      </c>
      <c r="J1012" s="38" t="n"/>
      <c r="K1012" s="41" t="n"/>
      <c r="L1012" s="38" t="n"/>
      <c r="M1012">
        <f>IF($A1012=Ficha!$B$3,COUNTIF($A$5:$A1012,Ficha!$B$3),"")</f>
        <v/>
      </c>
    </row>
    <row r="1013">
      <c r="A1013" s="36" t="n"/>
      <c r="B1013" s="40">
        <f>IF(A1013="","",IFERROR(INDEX(Maniobras!$B$5:$B$504,MATCH(A1013,Maniobras!$A$5:$A$504,0)),""))</f>
        <v/>
      </c>
      <c r="C1013" s="36">
        <f>IF(B1013="","",TEXT(B1013,"yyyy-mm"))</f>
        <v/>
      </c>
      <c r="D1013" s="36">
        <f>IF(A1013="","",IFERROR(INDEX(Maniobras!$D$5:$D$504,MATCH(A1013,Maniobras!$A$5:$A$504,0)),""))</f>
        <v/>
      </c>
      <c r="E1013" s="36" t="n"/>
      <c r="F1013" s="37">
        <f>IF(A1013="","",IFERROR(INDEX(Maniobras!$K$5:$K$504,MATCH(A1013,Maniobras!$A$5:$A$504,0)),""))</f>
        <v/>
      </c>
      <c r="G1013" s="37" t="n"/>
      <c r="H1013" s="37" t="n"/>
      <c r="I1013" s="37">
        <f>IF(G1013="","",G1013+N(H1013))</f>
        <v/>
      </c>
      <c r="J1013" s="36" t="n"/>
      <c r="K1013" s="40" t="n"/>
      <c r="L1013" s="36" t="n"/>
      <c r="M1013">
        <f>IF($A1013=Ficha!$B$3,COUNTIF($A$5:$A1013,Ficha!$B$3),"")</f>
        <v/>
      </c>
    </row>
    <row r="1014">
      <c r="A1014" s="38" t="n"/>
      <c r="B1014" s="41">
        <f>IF(A1014="","",IFERROR(INDEX(Maniobras!$B$5:$B$504,MATCH(A1014,Maniobras!$A$5:$A$504,0)),""))</f>
        <v/>
      </c>
      <c r="C1014" s="38">
        <f>IF(B1014="","",TEXT(B1014,"yyyy-mm"))</f>
        <v/>
      </c>
      <c r="D1014" s="38">
        <f>IF(A1014="","",IFERROR(INDEX(Maniobras!$D$5:$D$504,MATCH(A1014,Maniobras!$A$5:$A$504,0)),""))</f>
        <v/>
      </c>
      <c r="E1014" s="38" t="n"/>
      <c r="F1014" s="39">
        <f>IF(A1014="","",IFERROR(INDEX(Maniobras!$K$5:$K$504,MATCH(A1014,Maniobras!$A$5:$A$504,0)),""))</f>
        <v/>
      </c>
      <c r="G1014" s="39" t="n"/>
      <c r="H1014" s="39" t="n"/>
      <c r="I1014" s="39">
        <f>IF(G1014="","",G1014+N(H1014))</f>
        <v/>
      </c>
      <c r="J1014" s="38" t="n"/>
      <c r="K1014" s="41" t="n"/>
      <c r="L1014" s="38" t="n"/>
      <c r="M1014">
        <f>IF($A1014=Ficha!$B$3,COUNTIF($A$5:$A1014,Ficha!$B$3),"")</f>
        <v/>
      </c>
    </row>
    <row r="1015">
      <c r="A1015" s="36" t="n"/>
      <c r="B1015" s="40">
        <f>IF(A1015="","",IFERROR(INDEX(Maniobras!$B$5:$B$504,MATCH(A1015,Maniobras!$A$5:$A$504,0)),""))</f>
        <v/>
      </c>
      <c r="C1015" s="36">
        <f>IF(B1015="","",TEXT(B1015,"yyyy-mm"))</f>
        <v/>
      </c>
      <c r="D1015" s="36">
        <f>IF(A1015="","",IFERROR(INDEX(Maniobras!$D$5:$D$504,MATCH(A1015,Maniobras!$A$5:$A$504,0)),""))</f>
        <v/>
      </c>
      <c r="E1015" s="36" t="n"/>
      <c r="F1015" s="37">
        <f>IF(A1015="","",IFERROR(INDEX(Maniobras!$K$5:$K$504,MATCH(A1015,Maniobras!$A$5:$A$504,0)),""))</f>
        <v/>
      </c>
      <c r="G1015" s="37" t="n"/>
      <c r="H1015" s="37" t="n"/>
      <c r="I1015" s="37">
        <f>IF(G1015="","",G1015+N(H1015))</f>
        <v/>
      </c>
      <c r="J1015" s="36" t="n"/>
      <c r="K1015" s="40" t="n"/>
      <c r="L1015" s="36" t="n"/>
      <c r="M1015">
        <f>IF($A1015=Ficha!$B$3,COUNTIF($A$5:$A1015,Ficha!$B$3),"")</f>
        <v/>
      </c>
    </row>
    <row r="1016">
      <c r="A1016" s="38" t="n"/>
      <c r="B1016" s="41">
        <f>IF(A1016="","",IFERROR(INDEX(Maniobras!$B$5:$B$504,MATCH(A1016,Maniobras!$A$5:$A$504,0)),""))</f>
        <v/>
      </c>
      <c r="C1016" s="38">
        <f>IF(B1016="","",TEXT(B1016,"yyyy-mm"))</f>
        <v/>
      </c>
      <c r="D1016" s="38">
        <f>IF(A1016="","",IFERROR(INDEX(Maniobras!$D$5:$D$504,MATCH(A1016,Maniobras!$A$5:$A$504,0)),""))</f>
        <v/>
      </c>
      <c r="E1016" s="38" t="n"/>
      <c r="F1016" s="39">
        <f>IF(A1016="","",IFERROR(INDEX(Maniobras!$K$5:$K$504,MATCH(A1016,Maniobras!$A$5:$A$504,0)),""))</f>
        <v/>
      </c>
      <c r="G1016" s="39" t="n"/>
      <c r="H1016" s="39" t="n"/>
      <c r="I1016" s="39">
        <f>IF(G1016="","",G1016+N(H1016))</f>
        <v/>
      </c>
      <c r="J1016" s="38" t="n"/>
      <c r="K1016" s="41" t="n"/>
      <c r="L1016" s="38" t="n"/>
      <c r="M1016">
        <f>IF($A1016=Ficha!$B$3,COUNTIF($A$5:$A1016,Ficha!$B$3),"")</f>
        <v/>
      </c>
    </row>
    <row r="1017">
      <c r="A1017" s="36" t="n"/>
      <c r="B1017" s="40">
        <f>IF(A1017="","",IFERROR(INDEX(Maniobras!$B$5:$B$504,MATCH(A1017,Maniobras!$A$5:$A$504,0)),""))</f>
        <v/>
      </c>
      <c r="C1017" s="36">
        <f>IF(B1017="","",TEXT(B1017,"yyyy-mm"))</f>
        <v/>
      </c>
      <c r="D1017" s="36">
        <f>IF(A1017="","",IFERROR(INDEX(Maniobras!$D$5:$D$504,MATCH(A1017,Maniobras!$A$5:$A$504,0)),""))</f>
        <v/>
      </c>
      <c r="E1017" s="36" t="n"/>
      <c r="F1017" s="37">
        <f>IF(A1017="","",IFERROR(INDEX(Maniobras!$K$5:$K$504,MATCH(A1017,Maniobras!$A$5:$A$504,0)),""))</f>
        <v/>
      </c>
      <c r="G1017" s="37" t="n"/>
      <c r="H1017" s="37" t="n"/>
      <c r="I1017" s="37">
        <f>IF(G1017="","",G1017+N(H1017))</f>
        <v/>
      </c>
      <c r="J1017" s="36" t="n"/>
      <c r="K1017" s="40" t="n"/>
      <c r="L1017" s="36" t="n"/>
      <c r="M1017">
        <f>IF($A1017=Ficha!$B$3,COUNTIF($A$5:$A1017,Ficha!$B$3),"")</f>
        <v/>
      </c>
    </row>
    <row r="1018">
      <c r="A1018" s="38" t="n"/>
      <c r="B1018" s="41">
        <f>IF(A1018="","",IFERROR(INDEX(Maniobras!$B$5:$B$504,MATCH(A1018,Maniobras!$A$5:$A$504,0)),""))</f>
        <v/>
      </c>
      <c r="C1018" s="38">
        <f>IF(B1018="","",TEXT(B1018,"yyyy-mm"))</f>
        <v/>
      </c>
      <c r="D1018" s="38">
        <f>IF(A1018="","",IFERROR(INDEX(Maniobras!$D$5:$D$504,MATCH(A1018,Maniobras!$A$5:$A$504,0)),""))</f>
        <v/>
      </c>
      <c r="E1018" s="38" t="n"/>
      <c r="F1018" s="39">
        <f>IF(A1018="","",IFERROR(INDEX(Maniobras!$K$5:$K$504,MATCH(A1018,Maniobras!$A$5:$A$504,0)),""))</f>
        <v/>
      </c>
      <c r="G1018" s="39" t="n"/>
      <c r="H1018" s="39" t="n"/>
      <c r="I1018" s="39">
        <f>IF(G1018="","",G1018+N(H1018))</f>
        <v/>
      </c>
      <c r="J1018" s="38" t="n"/>
      <c r="K1018" s="41" t="n"/>
      <c r="L1018" s="38" t="n"/>
      <c r="M1018">
        <f>IF($A1018=Ficha!$B$3,COUNTIF($A$5:$A1018,Ficha!$B$3),"")</f>
        <v/>
      </c>
    </row>
    <row r="1019">
      <c r="A1019" s="36" t="n"/>
      <c r="B1019" s="40">
        <f>IF(A1019="","",IFERROR(INDEX(Maniobras!$B$5:$B$504,MATCH(A1019,Maniobras!$A$5:$A$504,0)),""))</f>
        <v/>
      </c>
      <c r="C1019" s="36">
        <f>IF(B1019="","",TEXT(B1019,"yyyy-mm"))</f>
        <v/>
      </c>
      <c r="D1019" s="36">
        <f>IF(A1019="","",IFERROR(INDEX(Maniobras!$D$5:$D$504,MATCH(A1019,Maniobras!$A$5:$A$504,0)),""))</f>
        <v/>
      </c>
      <c r="E1019" s="36" t="n"/>
      <c r="F1019" s="37">
        <f>IF(A1019="","",IFERROR(INDEX(Maniobras!$K$5:$K$504,MATCH(A1019,Maniobras!$A$5:$A$504,0)),""))</f>
        <v/>
      </c>
      <c r="G1019" s="37" t="n"/>
      <c r="H1019" s="37" t="n"/>
      <c r="I1019" s="37">
        <f>IF(G1019="","",G1019+N(H1019))</f>
        <v/>
      </c>
      <c r="J1019" s="36" t="n"/>
      <c r="K1019" s="40" t="n"/>
      <c r="L1019" s="36" t="n"/>
      <c r="M1019">
        <f>IF($A1019=Ficha!$B$3,COUNTIF($A$5:$A1019,Ficha!$B$3),"")</f>
        <v/>
      </c>
    </row>
    <row r="1020">
      <c r="A1020" s="38" t="n"/>
      <c r="B1020" s="41">
        <f>IF(A1020="","",IFERROR(INDEX(Maniobras!$B$5:$B$504,MATCH(A1020,Maniobras!$A$5:$A$504,0)),""))</f>
        <v/>
      </c>
      <c r="C1020" s="38">
        <f>IF(B1020="","",TEXT(B1020,"yyyy-mm"))</f>
        <v/>
      </c>
      <c r="D1020" s="38">
        <f>IF(A1020="","",IFERROR(INDEX(Maniobras!$D$5:$D$504,MATCH(A1020,Maniobras!$A$5:$A$504,0)),""))</f>
        <v/>
      </c>
      <c r="E1020" s="38" t="n"/>
      <c r="F1020" s="39">
        <f>IF(A1020="","",IFERROR(INDEX(Maniobras!$K$5:$K$504,MATCH(A1020,Maniobras!$A$5:$A$504,0)),""))</f>
        <v/>
      </c>
      <c r="G1020" s="39" t="n"/>
      <c r="H1020" s="39" t="n"/>
      <c r="I1020" s="39">
        <f>IF(G1020="","",G1020+N(H1020))</f>
        <v/>
      </c>
      <c r="J1020" s="38" t="n"/>
      <c r="K1020" s="41" t="n"/>
      <c r="L1020" s="38" t="n"/>
      <c r="M1020">
        <f>IF($A1020=Ficha!$B$3,COUNTIF($A$5:$A1020,Ficha!$B$3),"")</f>
        <v/>
      </c>
    </row>
    <row r="1021">
      <c r="A1021" s="36" t="n"/>
      <c r="B1021" s="40">
        <f>IF(A1021="","",IFERROR(INDEX(Maniobras!$B$5:$B$504,MATCH(A1021,Maniobras!$A$5:$A$504,0)),""))</f>
        <v/>
      </c>
      <c r="C1021" s="36">
        <f>IF(B1021="","",TEXT(B1021,"yyyy-mm"))</f>
        <v/>
      </c>
      <c r="D1021" s="36">
        <f>IF(A1021="","",IFERROR(INDEX(Maniobras!$D$5:$D$504,MATCH(A1021,Maniobras!$A$5:$A$504,0)),""))</f>
        <v/>
      </c>
      <c r="E1021" s="36" t="n"/>
      <c r="F1021" s="37">
        <f>IF(A1021="","",IFERROR(INDEX(Maniobras!$K$5:$K$504,MATCH(A1021,Maniobras!$A$5:$A$504,0)),""))</f>
        <v/>
      </c>
      <c r="G1021" s="37" t="n"/>
      <c r="H1021" s="37" t="n"/>
      <c r="I1021" s="37">
        <f>IF(G1021="","",G1021+N(H1021))</f>
        <v/>
      </c>
      <c r="J1021" s="36" t="n"/>
      <c r="K1021" s="40" t="n"/>
      <c r="L1021" s="36" t="n"/>
      <c r="M1021">
        <f>IF($A1021=Ficha!$B$3,COUNTIF($A$5:$A1021,Ficha!$B$3),"")</f>
        <v/>
      </c>
    </row>
    <row r="1022">
      <c r="A1022" s="38" t="n"/>
      <c r="B1022" s="41">
        <f>IF(A1022="","",IFERROR(INDEX(Maniobras!$B$5:$B$504,MATCH(A1022,Maniobras!$A$5:$A$504,0)),""))</f>
        <v/>
      </c>
      <c r="C1022" s="38">
        <f>IF(B1022="","",TEXT(B1022,"yyyy-mm"))</f>
        <v/>
      </c>
      <c r="D1022" s="38">
        <f>IF(A1022="","",IFERROR(INDEX(Maniobras!$D$5:$D$504,MATCH(A1022,Maniobras!$A$5:$A$504,0)),""))</f>
        <v/>
      </c>
      <c r="E1022" s="38" t="n"/>
      <c r="F1022" s="39">
        <f>IF(A1022="","",IFERROR(INDEX(Maniobras!$K$5:$K$504,MATCH(A1022,Maniobras!$A$5:$A$504,0)),""))</f>
        <v/>
      </c>
      <c r="G1022" s="39" t="n"/>
      <c r="H1022" s="39" t="n"/>
      <c r="I1022" s="39">
        <f>IF(G1022="","",G1022+N(H1022))</f>
        <v/>
      </c>
      <c r="J1022" s="38" t="n"/>
      <c r="K1022" s="41" t="n"/>
      <c r="L1022" s="38" t="n"/>
      <c r="M1022">
        <f>IF($A1022=Ficha!$B$3,COUNTIF($A$5:$A1022,Ficha!$B$3),"")</f>
        <v/>
      </c>
    </row>
    <row r="1023">
      <c r="A1023" s="36" t="n"/>
      <c r="B1023" s="40">
        <f>IF(A1023="","",IFERROR(INDEX(Maniobras!$B$5:$B$504,MATCH(A1023,Maniobras!$A$5:$A$504,0)),""))</f>
        <v/>
      </c>
      <c r="C1023" s="36">
        <f>IF(B1023="","",TEXT(B1023,"yyyy-mm"))</f>
        <v/>
      </c>
      <c r="D1023" s="36">
        <f>IF(A1023="","",IFERROR(INDEX(Maniobras!$D$5:$D$504,MATCH(A1023,Maniobras!$A$5:$A$504,0)),""))</f>
        <v/>
      </c>
      <c r="E1023" s="36" t="n"/>
      <c r="F1023" s="37">
        <f>IF(A1023="","",IFERROR(INDEX(Maniobras!$K$5:$K$504,MATCH(A1023,Maniobras!$A$5:$A$504,0)),""))</f>
        <v/>
      </c>
      <c r="G1023" s="37" t="n"/>
      <c r="H1023" s="37" t="n"/>
      <c r="I1023" s="37">
        <f>IF(G1023="","",G1023+N(H1023))</f>
        <v/>
      </c>
      <c r="J1023" s="36" t="n"/>
      <c r="K1023" s="40" t="n"/>
      <c r="L1023" s="36" t="n"/>
      <c r="M1023">
        <f>IF($A1023=Ficha!$B$3,COUNTIF($A$5:$A1023,Ficha!$B$3),"")</f>
        <v/>
      </c>
    </row>
    <row r="1024">
      <c r="A1024" s="38" t="n"/>
      <c r="B1024" s="41">
        <f>IF(A1024="","",IFERROR(INDEX(Maniobras!$B$5:$B$504,MATCH(A1024,Maniobras!$A$5:$A$504,0)),""))</f>
        <v/>
      </c>
      <c r="C1024" s="38">
        <f>IF(B1024="","",TEXT(B1024,"yyyy-mm"))</f>
        <v/>
      </c>
      <c r="D1024" s="38">
        <f>IF(A1024="","",IFERROR(INDEX(Maniobras!$D$5:$D$504,MATCH(A1024,Maniobras!$A$5:$A$504,0)),""))</f>
        <v/>
      </c>
      <c r="E1024" s="38" t="n"/>
      <c r="F1024" s="39">
        <f>IF(A1024="","",IFERROR(INDEX(Maniobras!$K$5:$K$504,MATCH(A1024,Maniobras!$A$5:$A$504,0)),""))</f>
        <v/>
      </c>
      <c r="G1024" s="39" t="n"/>
      <c r="H1024" s="39" t="n"/>
      <c r="I1024" s="39">
        <f>IF(G1024="","",G1024+N(H1024))</f>
        <v/>
      </c>
      <c r="J1024" s="38" t="n"/>
      <c r="K1024" s="41" t="n"/>
      <c r="L1024" s="38" t="n"/>
      <c r="M1024">
        <f>IF($A1024=Ficha!$B$3,COUNTIF($A$5:$A1024,Ficha!$B$3),"")</f>
        <v/>
      </c>
    </row>
    <row r="1025">
      <c r="A1025" s="36" t="n"/>
      <c r="B1025" s="40">
        <f>IF(A1025="","",IFERROR(INDEX(Maniobras!$B$5:$B$504,MATCH(A1025,Maniobras!$A$5:$A$504,0)),""))</f>
        <v/>
      </c>
      <c r="C1025" s="36">
        <f>IF(B1025="","",TEXT(B1025,"yyyy-mm"))</f>
        <v/>
      </c>
      <c r="D1025" s="36">
        <f>IF(A1025="","",IFERROR(INDEX(Maniobras!$D$5:$D$504,MATCH(A1025,Maniobras!$A$5:$A$504,0)),""))</f>
        <v/>
      </c>
      <c r="E1025" s="36" t="n"/>
      <c r="F1025" s="37">
        <f>IF(A1025="","",IFERROR(INDEX(Maniobras!$K$5:$K$504,MATCH(A1025,Maniobras!$A$5:$A$504,0)),""))</f>
        <v/>
      </c>
      <c r="G1025" s="37" t="n"/>
      <c r="H1025" s="37" t="n"/>
      <c r="I1025" s="37">
        <f>IF(G1025="","",G1025+N(H1025))</f>
        <v/>
      </c>
      <c r="J1025" s="36" t="n"/>
      <c r="K1025" s="40" t="n"/>
      <c r="L1025" s="36" t="n"/>
      <c r="M1025">
        <f>IF($A1025=Ficha!$B$3,COUNTIF($A$5:$A1025,Ficha!$B$3),"")</f>
        <v/>
      </c>
    </row>
    <row r="1026">
      <c r="A1026" s="38" t="n"/>
      <c r="B1026" s="41">
        <f>IF(A1026="","",IFERROR(INDEX(Maniobras!$B$5:$B$504,MATCH(A1026,Maniobras!$A$5:$A$504,0)),""))</f>
        <v/>
      </c>
      <c r="C1026" s="38">
        <f>IF(B1026="","",TEXT(B1026,"yyyy-mm"))</f>
        <v/>
      </c>
      <c r="D1026" s="38">
        <f>IF(A1026="","",IFERROR(INDEX(Maniobras!$D$5:$D$504,MATCH(A1026,Maniobras!$A$5:$A$504,0)),""))</f>
        <v/>
      </c>
      <c r="E1026" s="38" t="n"/>
      <c r="F1026" s="39">
        <f>IF(A1026="","",IFERROR(INDEX(Maniobras!$K$5:$K$504,MATCH(A1026,Maniobras!$A$5:$A$504,0)),""))</f>
        <v/>
      </c>
      <c r="G1026" s="39" t="n"/>
      <c r="H1026" s="39" t="n"/>
      <c r="I1026" s="39">
        <f>IF(G1026="","",G1026+N(H1026))</f>
        <v/>
      </c>
      <c r="J1026" s="38" t="n"/>
      <c r="K1026" s="41" t="n"/>
      <c r="L1026" s="38" t="n"/>
      <c r="M1026">
        <f>IF($A1026=Ficha!$B$3,COUNTIF($A$5:$A1026,Ficha!$B$3),"")</f>
        <v/>
      </c>
    </row>
    <row r="1027">
      <c r="A1027" s="36" t="n"/>
      <c r="B1027" s="40">
        <f>IF(A1027="","",IFERROR(INDEX(Maniobras!$B$5:$B$504,MATCH(A1027,Maniobras!$A$5:$A$504,0)),""))</f>
        <v/>
      </c>
      <c r="C1027" s="36">
        <f>IF(B1027="","",TEXT(B1027,"yyyy-mm"))</f>
        <v/>
      </c>
      <c r="D1027" s="36">
        <f>IF(A1027="","",IFERROR(INDEX(Maniobras!$D$5:$D$504,MATCH(A1027,Maniobras!$A$5:$A$504,0)),""))</f>
        <v/>
      </c>
      <c r="E1027" s="36" t="n"/>
      <c r="F1027" s="37">
        <f>IF(A1027="","",IFERROR(INDEX(Maniobras!$K$5:$K$504,MATCH(A1027,Maniobras!$A$5:$A$504,0)),""))</f>
        <v/>
      </c>
      <c r="G1027" s="37" t="n"/>
      <c r="H1027" s="37" t="n"/>
      <c r="I1027" s="37">
        <f>IF(G1027="","",G1027+N(H1027))</f>
        <v/>
      </c>
      <c r="J1027" s="36" t="n"/>
      <c r="K1027" s="40" t="n"/>
      <c r="L1027" s="36" t="n"/>
      <c r="M1027">
        <f>IF($A1027=Ficha!$B$3,COUNTIF($A$5:$A1027,Ficha!$B$3),"")</f>
        <v/>
      </c>
    </row>
    <row r="1028">
      <c r="A1028" s="38" t="n"/>
      <c r="B1028" s="41">
        <f>IF(A1028="","",IFERROR(INDEX(Maniobras!$B$5:$B$504,MATCH(A1028,Maniobras!$A$5:$A$504,0)),""))</f>
        <v/>
      </c>
      <c r="C1028" s="38">
        <f>IF(B1028="","",TEXT(B1028,"yyyy-mm"))</f>
        <v/>
      </c>
      <c r="D1028" s="38">
        <f>IF(A1028="","",IFERROR(INDEX(Maniobras!$D$5:$D$504,MATCH(A1028,Maniobras!$A$5:$A$504,0)),""))</f>
        <v/>
      </c>
      <c r="E1028" s="38" t="n"/>
      <c r="F1028" s="39">
        <f>IF(A1028="","",IFERROR(INDEX(Maniobras!$K$5:$K$504,MATCH(A1028,Maniobras!$A$5:$A$504,0)),""))</f>
        <v/>
      </c>
      <c r="G1028" s="39" t="n"/>
      <c r="H1028" s="39" t="n"/>
      <c r="I1028" s="39">
        <f>IF(G1028="","",G1028+N(H1028))</f>
        <v/>
      </c>
      <c r="J1028" s="38" t="n"/>
      <c r="K1028" s="41" t="n"/>
      <c r="L1028" s="38" t="n"/>
      <c r="M1028">
        <f>IF($A1028=Ficha!$B$3,COUNTIF($A$5:$A1028,Ficha!$B$3),"")</f>
        <v/>
      </c>
    </row>
    <row r="1029">
      <c r="A1029" s="36" t="n"/>
      <c r="B1029" s="40">
        <f>IF(A1029="","",IFERROR(INDEX(Maniobras!$B$5:$B$504,MATCH(A1029,Maniobras!$A$5:$A$504,0)),""))</f>
        <v/>
      </c>
      <c r="C1029" s="36">
        <f>IF(B1029="","",TEXT(B1029,"yyyy-mm"))</f>
        <v/>
      </c>
      <c r="D1029" s="36">
        <f>IF(A1029="","",IFERROR(INDEX(Maniobras!$D$5:$D$504,MATCH(A1029,Maniobras!$A$5:$A$504,0)),""))</f>
        <v/>
      </c>
      <c r="E1029" s="36" t="n"/>
      <c r="F1029" s="37">
        <f>IF(A1029="","",IFERROR(INDEX(Maniobras!$K$5:$K$504,MATCH(A1029,Maniobras!$A$5:$A$504,0)),""))</f>
        <v/>
      </c>
      <c r="G1029" s="37" t="n"/>
      <c r="H1029" s="37" t="n"/>
      <c r="I1029" s="37">
        <f>IF(G1029="","",G1029+N(H1029))</f>
        <v/>
      </c>
      <c r="J1029" s="36" t="n"/>
      <c r="K1029" s="40" t="n"/>
      <c r="L1029" s="36" t="n"/>
      <c r="M1029">
        <f>IF($A1029=Ficha!$B$3,COUNTIF($A$5:$A1029,Ficha!$B$3),"")</f>
        <v/>
      </c>
    </row>
    <row r="1030">
      <c r="A1030" s="38" t="n"/>
      <c r="B1030" s="41">
        <f>IF(A1030="","",IFERROR(INDEX(Maniobras!$B$5:$B$504,MATCH(A1030,Maniobras!$A$5:$A$504,0)),""))</f>
        <v/>
      </c>
      <c r="C1030" s="38">
        <f>IF(B1030="","",TEXT(B1030,"yyyy-mm"))</f>
        <v/>
      </c>
      <c r="D1030" s="38">
        <f>IF(A1030="","",IFERROR(INDEX(Maniobras!$D$5:$D$504,MATCH(A1030,Maniobras!$A$5:$A$504,0)),""))</f>
        <v/>
      </c>
      <c r="E1030" s="38" t="n"/>
      <c r="F1030" s="39">
        <f>IF(A1030="","",IFERROR(INDEX(Maniobras!$K$5:$K$504,MATCH(A1030,Maniobras!$A$5:$A$504,0)),""))</f>
        <v/>
      </c>
      <c r="G1030" s="39" t="n"/>
      <c r="H1030" s="39" t="n"/>
      <c r="I1030" s="39">
        <f>IF(G1030="","",G1030+N(H1030))</f>
        <v/>
      </c>
      <c r="J1030" s="38" t="n"/>
      <c r="K1030" s="41" t="n"/>
      <c r="L1030" s="38" t="n"/>
      <c r="M1030">
        <f>IF($A1030=Ficha!$B$3,COUNTIF($A$5:$A1030,Ficha!$B$3),"")</f>
        <v/>
      </c>
    </row>
    <row r="1031">
      <c r="A1031" s="36" t="n"/>
      <c r="B1031" s="40">
        <f>IF(A1031="","",IFERROR(INDEX(Maniobras!$B$5:$B$504,MATCH(A1031,Maniobras!$A$5:$A$504,0)),""))</f>
        <v/>
      </c>
      <c r="C1031" s="36">
        <f>IF(B1031="","",TEXT(B1031,"yyyy-mm"))</f>
        <v/>
      </c>
      <c r="D1031" s="36">
        <f>IF(A1031="","",IFERROR(INDEX(Maniobras!$D$5:$D$504,MATCH(A1031,Maniobras!$A$5:$A$504,0)),""))</f>
        <v/>
      </c>
      <c r="E1031" s="36" t="n"/>
      <c r="F1031" s="37">
        <f>IF(A1031="","",IFERROR(INDEX(Maniobras!$K$5:$K$504,MATCH(A1031,Maniobras!$A$5:$A$504,0)),""))</f>
        <v/>
      </c>
      <c r="G1031" s="37" t="n"/>
      <c r="H1031" s="37" t="n"/>
      <c r="I1031" s="37">
        <f>IF(G1031="","",G1031+N(H1031))</f>
        <v/>
      </c>
      <c r="J1031" s="36" t="n"/>
      <c r="K1031" s="40" t="n"/>
      <c r="L1031" s="36" t="n"/>
      <c r="M1031">
        <f>IF($A1031=Ficha!$B$3,COUNTIF($A$5:$A1031,Ficha!$B$3),"")</f>
        <v/>
      </c>
    </row>
    <row r="1032">
      <c r="A1032" s="38" t="n"/>
      <c r="B1032" s="41">
        <f>IF(A1032="","",IFERROR(INDEX(Maniobras!$B$5:$B$504,MATCH(A1032,Maniobras!$A$5:$A$504,0)),""))</f>
        <v/>
      </c>
      <c r="C1032" s="38">
        <f>IF(B1032="","",TEXT(B1032,"yyyy-mm"))</f>
        <v/>
      </c>
      <c r="D1032" s="38">
        <f>IF(A1032="","",IFERROR(INDEX(Maniobras!$D$5:$D$504,MATCH(A1032,Maniobras!$A$5:$A$504,0)),""))</f>
        <v/>
      </c>
      <c r="E1032" s="38" t="n"/>
      <c r="F1032" s="39">
        <f>IF(A1032="","",IFERROR(INDEX(Maniobras!$K$5:$K$504,MATCH(A1032,Maniobras!$A$5:$A$504,0)),""))</f>
        <v/>
      </c>
      <c r="G1032" s="39" t="n"/>
      <c r="H1032" s="39" t="n"/>
      <c r="I1032" s="39">
        <f>IF(G1032="","",G1032+N(H1032))</f>
        <v/>
      </c>
      <c r="J1032" s="38" t="n"/>
      <c r="K1032" s="41" t="n"/>
      <c r="L1032" s="38" t="n"/>
      <c r="M1032">
        <f>IF($A1032=Ficha!$B$3,COUNTIF($A$5:$A1032,Ficha!$B$3),"")</f>
        <v/>
      </c>
    </row>
    <row r="1033">
      <c r="A1033" s="36" t="n"/>
      <c r="B1033" s="40">
        <f>IF(A1033="","",IFERROR(INDEX(Maniobras!$B$5:$B$504,MATCH(A1033,Maniobras!$A$5:$A$504,0)),""))</f>
        <v/>
      </c>
      <c r="C1033" s="36">
        <f>IF(B1033="","",TEXT(B1033,"yyyy-mm"))</f>
        <v/>
      </c>
      <c r="D1033" s="36">
        <f>IF(A1033="","",IFERROR(INDEX(Maniobras!$D$5:$D$504,MATCH(A1033,Maniobras!$A$5:$A$504,0)),""))</f>
        <v/>
      </c>
      <c r="E1033" s="36" t="n"/>
      <c r="F1033" s="37">
        <f>IF(A1033="","",IFERROR(INDEX(Maniobras!$K$5:$K$504,MATCH(A1033,Maniobras!$A$5:$A$504,0)),""))</f>
        <v/>
      </c>
      <c r="G1033" s="37" t="n"/>
      <c r="H1033" s="37" t="n"/>
      <c r="I1033" s="37">
        <f>IF(G1033="","",G1033+N(H1033))</f>
        <v/>
      </c>
      <c r="J1033" s="36" t="n"/>
      <c r="K1033" s="40" t="n"/>
      <c r="L1033" s="36" t="n"/>
      <c r="M1033">
        <f>IF($A1033=Ficha!$B$3,COUNTIF($A$5:$A1033,Ficha!$B$3),"")</f>
        <v/>
      </c>
    </row>
    <row r="1034">
      <c r="A1034" s="38" t="n"/>
      <c r="B1034" s="41">
        <f>IF(A1034="","",IFERROR(INDEX(Maniobras!$B$5:$B$504,MATCH(A1034,Maniobras!$A$5:$A$504,0)),""))</f>
        <v/>
      </c>
      <c r="C1034" s="38">
        <f>IF(B1034="","",TEXT(B1034,"yyyy-mm"))</f>
        <v/>
      </c>
      <c r="D1034" s="38">
        <f>IF(A1034="","",IFERROR(INDEX(Maniobras!$D$5:$D$504,MATCH(A1034,Maniobras!$A$5:$A$504,0)),""))</f>
        <v/>
      </c>
      <c r="E1034" s="38" t="n"/>
      <c r="F1034" s="39">
        <f>IF(A1034="","",IFERROR(INDEX(Maniobras!$K$5:$K$504,MATCH(A1034,Maniobras!$A$5:$A$504,0)),""))</f>
        <v/>
      </c>
      <c r="G1034" s="39" t="n"/>
      <c r="H1034" s="39" t="n"/>
      <c r="I1034" s="39">
        <f>IF(G1034="","",G1034+N(H1034))</f>
        <v/>
      </c>
      <c r="J1034" s="38" t="n"/>
      <c r="K1034" s="41" t="n"/>
      <c r="L1034" s="38" t="n"/>
      <c r="M1034">
        <f>IF($A1034=Ficha!$B$3,COUNTIF($A$5:$A1034,Ficha!$B$3),"")</f>
        <v/>
      </c>
    </row>
    <row r="1035">
      <c r="A1035" s="36" t="n"/>
      <c r="B1035" s="40">
        <f>IF(A1035="","",IFERROR(INDEX(Maniobras!$B$5:$B$504,MATCH(A1035,Maniobras!$A$5:$A$504,0)),""))</f>
        <v/>
      </c>
      <c r="C1035" s="36">
        <f>IF(B1035="","",TEXT(B1035,"yyyy-mm"))</f>
        <v/>
      </c>
      <c r="D1035" s="36">
        <f>IF(A1035="","",IFERROR(INDEX(Maniobras!$D$5:$D$504,MATCH(A1035,Maniobras!$A$5:$A$504,0)),""))</f>
        <v/>
      </c>
      <c r="E1035" s="36" t="n"/>
      <c r="F1035" s="37">
        <f>IF(A1035="","",IFERROR(INDEX(Maniobras!$K$5:$K$504,MATCH(A1035,Maniobras!$A$5:$A$504,0)),""))</f>
        <v/>
      </c>
      <c r="G1035" s="37" t="n"/>
      <c r="H1035" s="37" t="n"/>
      <c r="I1035" s="37">
        <f>IF(G1035="","",G1035+N(H1035))</f>
        <v/>
      </c>
      <c r="J1035" s="36" t="n"/>
      <c r="K1035" s="40" t="n"/>
      <c r="L1035" s="36" t="n"/>
      <c r="M1035">
        <f>IF($A1035=Ficha!$B$3,COUNTIF($A$5:$A1035,Ficha!$B$3),"")</f>
        <v/>
      </c>
    </row>
    <row r="1036">
      <c r="A1036" s="38" t="n"/>
      <c r="B1036" s="41">
        <f>IF(A1036="","",IFERROR(INDEX(Maniobras!$B$5:$B$504,MATCH(A1036,Maniobras!$A$5:$A$504,0)),""))</f>
        <v/>
      </c>
      <c r="C1036" s="38">
        <f>IF(B1036="","",TEXT(B1036,"yyyy-mm"))</f>
        <v/>
      </c>
      <c r="D1036" s="38">
        <f>IF(A1036="","",IFERROR(INDEX(Maniobras!$D$5:$D$504,MATCH(A1036,Maniobras!$A$5:$A$504,0)),""))</f>
        <v/>
      </c>
      <c r="E1036" s="38" t="n"/>
      <c r="F1036" s="39">
        <f>IF(A1036="","",IFERROR(INDEX(Maniobras!$K$5:$K$504,MATCH(A1036,Maniobras!$A$5:$A$504,0)),""))</f>
        <v/>
      </c>
      <c r="G1036" s="39" t="n"/>
      <c r="H1036" s="39" t="n"/>
      <c r="I1036" s="39">
        <f>IF(G1036="","",G1036+N(H1036))</f>
        <v/>
      </c>
      <c r="J1036" s="38" t="n"/>
      <c r="K1036" s="41" t="n"/>
      <c r="L1036" s="38" t="n"/>
      <c r="M1036">
        <f>IF($A1036=Ficha!$B$3,COUNTIF($A$5:$A1036,Ficha!$B$3),"")</f>
        <v/>
      </c>
    </row>
    <row r="1037">
      <c r="A1037" s="36" t="n"/>
      <c r="B1037" s="40">
        <f>IF(A1037="","",IFERROR(INDEX(Maniobras!$B$5:$B$504,MATCH(A1037,Maniobras!$A$5:$A$504,0)),""))</f>
        <v/>
      </c>
      <c r="C1037" s="36">
        <f>IF(B1037="","",TEXT(B1037,"yyyy-mm"))</f>
        <v/>
      </c>
      <c r="D1037" s="36">
        <f>IF(A1037="","",IFERROR(INDEX(Maniobras!$D$5:$D$504,MATCH(A1037,Maniobras!$A$5:$A$504,0)),""))</f>
        <v/>
      </c>
      <c r="E1037" s="36" t="n"/>
      <c r="F1037" s="37">
        <f>IF(A1037="","",IFERROR(INDEX(Maniobras!$K$5:$K$504,MATCH(A1037,Maniobras!$A$5:$A$504,0)),""))</f>
        <v/>
      </c>
      <c r="G1037" s="37" t="n"/>
      <c r="H1037" s="37" t="n"/>
      <c r="I1037" s="37">
        <f>IF(G1037="","",G1037+N(H1037))</f>
        <v/>
      </c>
      <c r="J1037" s="36" t="n"/>
      <c r="K1037" s="40" t="n"/>
      <c r="L1037" s="36" t="n"/>
      <c r="M1037">
        <f>IF($A1037=Ficha!$B$3,COUNTIF($A$5:$A1037,Ficha!$B$3),"")</f>
        <v/>
      </c>
    </row>
    <row r="1038">
      <c r="A1038" s="38" t="n"/>
      <c r="B1038" s="41">
        <f>IF(A1038="","",IFERROR(INDEX(Maniobras!$B$5:$B$504,MATCH(A1038,Maniobras!$A$5:$A$504,0)),""))</f>
        <v/>
      </c>
      <c r="C1038" s="38">
        <f>IF(B1038="","",TEXT(B1038,"yyyy-mm"))</f>
        <v/>
      </c>
      <c r="D1038" s="38">
        <f>IF(A1038="","",IFERROR(INDEX(Maniobras!$D$5:$D$504,MATCH(A1038,Maniobras!$A$5:$A$504,0)),""))</f>
        <v/>
      </c>
      <c r="E1038" s="38" t="n"/>
      <c r="F1038" s="39">
        <f>IF(A1038="","",IFERROR(INDEX(Maniobras!$K$5:$K$504,MATCH(A1038,Maniobras!$A$5:$A$504,0)),""))</f>
        <v/>
      </c>
      <c r="G1038" s="39" t="n"/>
      <c r="H1038" s="39" t="n"/>
      <c r="I1038" s="39">
        <f>IF(G1038="","",G1038+N(H1038))</f>
        <v/>
      </c>
      <c r="J1038" s="38" t="n"/>
      <c r="K1038" s="41" t="n"/>
      <c r="L1038" s="38" t="n"/>
      <c r="M1038">
        <f>IF($A1038=Ficha!$B$3,COUNTIF($A$5:$A1038,Ficha!$B$3),"")</f>
        <v/>
      </c>
    </row>
    <row r="1039">
      <c r="A1039" s="36" t="n"/>
      <c r="B1039" s="40">
        <f>IF(A1039="","",IFERROR(INDEX(Maniobras!$B$5:$B$504,MATCH(A1039,Maniobras!$A$5:$A$504,0)),""))</f>
        <v/>
      </c>
      <c r="C1039" s="36">
        <f>IF(B1039="","",TEXT(B1039,"yyyy-mm"))</f>
        <v/>
      </c>
      <c r="D1039" s="36">
        <f>IF(A1039="","",IFERROR(INDEX(Maniobras!$D$5:$D$504,MATCH(A1039,Maniobras!$A$5:$A$504,0)),""))</f>
        <v/>
      </c>
      <c r="E1039" s="36" t="n"/>
      <c r="F1039" s="37">
        <f>IF(A1039="","",IFERROR(INDEX(Maniobras!$K$5:$K$504,MATCH(A1039,Maniobras!$A$5:$A$504,0)),""))</f>
        <v/>
      </c>
      <c r="G1039" s="37" t="n"/>
      <c r="H1039" s="37" t="n"/>
      <c r="I1039" s="37">
        <f>IF(G1039="","",G1039+N(H1039))</f>
        <v/>
      </c>
      <c r="J1039" s="36" t="n"/>
      <c r="K1039" s="40" t="n"/>
      <c r="L1039" s="36" t="n"/>
      <c r="M1039">
        <f>IF($A1039=Ficha!$B$3,COUNTIF($A$5:$A1039,Ficha!$B$3),"")</f>
        <v/>
      </c>
    </row>
    <row r="1040">
      <c r="A1040" s="38" t="n"/>
      <c r="B1040" s="41">
        <f>IF(A1040="","",IFERROR(INDEX(Maniobras!$B$5:$B$504,MATCH(A1040,Maniobras!$A$5:$A$504,0)),""))</f>
        <v/>
      </c>
      <c r="C1040" s="38">
        <f>IF(B1040="","",TEXT(B1040,"yyyy-mm"))</f>
        <v/>
      </c>
      <c r="D1040" s="38">
        <f>IF(A1040="","",IFERROR(INDEX(Maniobras!$D$5:$D$504,MATCH(A1040,Maniobras!$A$5:$A$504,0)),""))</f>
        <v/>
      </c>
      <c r="E1040" s="38" t="n"/>
      <c r="F1040" s="39">
        <f>IF(A1040="","",IFERROR(INDEX(Maniobras!$K$5:$K$504,MATCH(A1040,Maniobras!$A$5:$A$504,0)),""))</f>
        <v/>
      </c>
      <c r="G1040" s="39" t="n"/>
      <c r="H1040" s="39" t="n"/>
      <c r="I1040" s="39">
        <f>IF(G1040="","",G1040+N(H1040))</f>
        <v/>
      </c>
      <c r="J1040" s="38" t="n"/>
      <c r="K1040" s="41" t="n"/>
      <c r="L1040" s="38" t="n"/>
      <c r="M1040">
        <f>IF($A1040=Ficha!$B$3,COUNTIF($A$5:$A1040,Ficha!$B$3),"")</f>
        <v/>
      </c>
    </row>
    <row r="1041">
      <c r="A1041" s="36" t="n"/>
      <c r="B1041" s="40">
        <f>IF(A1041="","",IFERROR(INDEX(Maniobras!$B$5:$B$504,MATCH(A1041,Maniobras!$A$5:$A$504,0)),""))</f>
        <v/>
      </c>
      <c r="C1041" s="36">
        <f>IF(B1041="","",TEXT(B1041,"yyyy-mm"))</f>
        <v/>
      </c>
      <c r="D1041" s="36">
        <f>IF(A1041="","",IFERROR(INDEX(Maniobras!$D$5:$D$504,MATCH(A1041,Maniobras!$A$5:$A$504,0)),""))</f>
        <v/>
      </c>
      <c r="E1041" s="36" t="n"/>
      <c r="F1041" s="37">
        <f>IF(A1041="","",IFERROR(INDEX(Maniobras!$K$5:$K$504,MATCH(A1041,Maniobras!$A$5:$A$504,0)),""))</f>
        <v/>
      </c>
      <c r="G1041" s="37" t="n"/>
      <c r="H1041" s="37" t="n"/>
      <c r="I1041" s="37">
        <f>IF(G1041="","",G1041+N(H1041))</f>
        <v/>
      </c>
      <c r="J1041" s="36" t="n"/>
      <c r="K1041" s="40" t="n"/>
      <c r="L1041" s="36" t="n"/>
      <c r="M1041">
        <f>IF($A1041=Ficha!$B$3,COUNTIF($A$5:$A1041,Ficha!$B$3),"")</f>
        <v/>
      </c>
    </row>
    <row r="1042">
      <c r="A1042" s="38" t="n"/>
      <c r="B1042" s="41">
        <f>IF(A1042="","",IFERROR(INDEX(Maniobras!$B$5:$B$504,MATCH(A1042,Maniobras!$A$5:$A$504,0)),""))</f>
        <v/>
      </c>
      <c r="C1042" s="38">
        <f>IF(B1042="","",TEXT(B1042,"yyyy-mm"))</f>
        <v/>
      </c>
      <c r="D1042" s="38">
        <f>IF(A1042="","",IFERROR(INDEX(Maniobras!$D$5:$D$504,MATCH(A1042,Maniobras!$A$5:$A$504,0)),""))</f>
        <v/>
      </c>
      <c r="E1042" s="38" t="n"/>
      <c r="F1042" s="39">
        <f>IF(A1042="","",IFERROR(INDEX(Maniobras!$K$5:$K$504,MATCH(A1042,Maniobras!$A$5:$A$504,0)),""))</f>
        <v/>
      </c>
      <c r="G1042" s="39" t="n"/>
      <c r="H1042" s="39" t="n"/>
      <c r="I1042" s="39">
        <f>IF(G1042="","",G1042+N(H1042))</f>
        <v/>
      </c>
      <c r="J1042" s="38" t="n"/>
      <c r="K1042" s="41" t="n"/>
      <c r="L1042" s="38" t="n"/>
      <c r="M1042">
        <f>IF($A1042=Ficha!$B$3,COUNTIF($A$5:$A1042,Ficha!$B$3),"")</f>
        <v/>
      </c>
    </row>
    <row r="1043">
      <c r="A1043" s="36" t="n"/>
      <c r="B1043" s="40">
        <f>IF(A1043="","",IFERROR(INDEX(Maniobras!$B$5:$B$504,MATCH(A1043,Maniobras!$A$5:$A$504,0)),""))</f>
        <v/>
      </c>
      <c r="C1043" s="36">
        <f>IF(B1043="","",TEXT(B1043,"yyyy-mm"))</f>
        <v/>
      </c>
      <c r="D1043" s="36">
        <f>IF(A1043="","",IFERROR(INDEX(Maniobras!$D$5:$D$504,MATCH(A1043,Maniobras!$A$5:$A$504,0)),""))</f>
        <v/>
      </c>
      <c r="E1043" s="36" t="n"/>
      <c r="F1043" s="37">
        <f>IF(A1043="","",IFERROR(INDEX(Maniobras!$K$5:$K$504,MATCH(A1043,Maniobras!$A$5:$A$504,0)),""))</f>
        <v/>
      </c>
      <c r="G1043" s="37" t="n"/>
      <c r="H1043" s="37" t="n"/>
      <c r="I1043" s="37">
        <f>IF(G1043="","",G1043+N(H1043))</f>
        <v/>
      </c>
      <c r="J1043" s="36" t="n"/>
      <c r="K1043" s="40" t="n"/>
      <c r="L1043" s="36" t="n"/>
      <c r="M1043">
        <f>IF($A1043=Ficha!$B$3,COUNTIF($A$5:$A1043,Ficha!$B$3),"")</f>
        <v/>
      </c>
    </row>
    <row r="1044">
      <c r="A1044" s="38" t="n"/>
      <c r="B1044" s="41">
        <f>IF(A1044="","",IFERROR(INDEX(Maniobras!$B$5:$B$504,MATCH(A1044,Maniobras!$A$5:$A$504,0)),""))</f>
        <v/>
      </c>
      <c r="C1044" s="38">
        <f>IF(B1044="","",TEXT(B1044,"yyyy-mm"))</f>
        <v/>
      </c>
      <c r="D1044" s="38">
        <f>IF(A1044="","",IFERROR(INDEX(Maniobras!$D$5:$D$504,MATCH(A1044,Maniobras!$A$5:$A$504,0)),""))</f>
        <v/>
      </c>
      <c r="E1044" s="38" t="n"/>
      <c r="F1044" s="39">
        <f>IF(A1044="","",IFERROR(INDEX(Maniobras!$K$5:$K$504,MATCH(A1044,Maniobras!$A$5:$A$504,0)),""))</f>
        <v/>
      </c>
      <c r="G1044" s="39" t="n"/>
      <c r="H1044" s="39" t="n"/>
      <c r="I1044" s="39">
        <f>IF(G1044="","",G1044+N(H1044))</f>
        <v/>
      </c>
      <c r="J1044" s="38" t="n"/>
      <c r="K1044" s="41" t="n"/>
      <c r="L1044" s="38" t="n"/>
      <c r="M1044">
        <f>IF($A1044=Ficha!$B$3,COUNTIF($A$5:$A1044,Ficha!$B$3),"")</f>
        <v/>
      </c>
    </row>
    <row r="1045">
      <c r="A1045" s="36" t="n"/>
      <c r="B1045" s="40">
        <f>IF(A1045="","",IFERROR(INDEX(Maniobras!$B$5:$B$504,MATCH(A1045,Maniobras!$A$5:$A$504,0)),""))</f>
        <v/>
      </c>
      <c r="C1045" s="36">
        <f>IF(B1045="","",TEXT(B1045,"yyyy-mm"))</f>
        <v/>
      </c>
      <c r="D1045" s="36">
        <f>IF(A1045="","",IFERROR(INDEX(Maniobras!$D$5:$D$504,MATCH(A1045,Maniobras!$A$5:$A$504,0)),""))</f>
        <v/>
      </c>
      <c r="E1045" s="36" t="n"/>
      <c r="F1045" s="37">
        <f>IF(A1045="","",IFERROR(INDEX(Maniobras!$K$5:$K$504,MATCH(A1045,Maniobras!$A$5:$A$504,0)),""))</f>
        <v/>
      </c>
      <c r="G1045" s="37" t="n"/>
      <c r="H1045" s="37" t="n"/>
      <c r="I1045" s="37">
        <f>IF(G1045="","",G1045+N(H1045))</f>
        <v/>
      </c>
      <c r="J1045" s="36" t="n"/>
      <c r="K1045" s="40" t="n"/>
      <c r="L1045" s="36" t="n"/>
      <c r="M1045">
        <f>IF($A1045=Ficha!$B$3,COUNTIF($A$5:$A1045,Ficha!$B$3),"")</f>
        <v/>
      </c>
    </row>
    <row r="1046">
      <c r="A1046" s="38" t="n"/>
      <c r="B1046" s="41">
        <f>IF(A1046="","",IFERROR(INDEX(Maniobras!$B$5:$B$504,MATCH(A1046,Maniobras!$A$5:$A$504,0)),""))</f>
        <v/>
      </c>
      <c r="C1046" s="38">
        <f>IF(B1046="","",TEXT(B1046,"yyyy-mm"))</f>
        <v/>
      </c>
      <c r="D1046" s="38">
        <f>IF(A1046="","",IFERROR(INDEX(Maniobras!$D$5:$D$504,MATCH(A1046,Maniobras!$A$5:$A$504,0)),""))</f>
        <v/>
      </c>
      <c r="E1046" s="38" t="n"/>
      <c r="F1046" s="39">
        <f>IF(A1046="","",IFERROR(INDEX(Maniobras!$K$5:$K$504,MATCH(A1046,Maniobras!$A$5:$A$504,0)),""))</f>
        <v/>
      </c>
      <c r="G1046" s="39" t="n"/>
      <c r="H1046" s="39" t="n"/>
      <c r="I1046" s="39">
        <f>IF(G1046="","",G1046+N(H1046))</f>
        <v/>
      </c>
      <c r="J1046" s="38" t="n"/>
      <c r="K1046" s="41" t="n"/>
      <c r="L1046" s="38" t="n"/>
      <c r="M1046">
        <f>IF($A1046=Ficha!$B$3,COUNTIF($A$5:$A1046,Ficha!$B$3),"")</f>
        <v/>
      </c>
    </row>
    <row r="1047">
      <c r="A1047" s="36" t="n"/>
      <c r="B1047" s="40">
        <f>IF(A1047="","",IFERROR(INDEX(Maniobras!$B$5:$B$504,MATCH(A1047,Maniobras!$A$5:$A$504,0)),""))</f>
        <v/>
      </c>
      <c r="C1047" s="36">
        <f>IF(B1047="","",TEXT(B1047,"yyyy-mm"))</f>
        <v/>
      </c>
      <c r="D1047" s="36">
        <f>IF(A1047="","",IFERROR(INDEX(Maniobras!$D$5:$D$504,MATCH(A1047,Maniobras!$A$5:$A$504,0)),""))</f>
        <v/>
      </c>
      <c r="E1047" s="36" t="n"/>
      <c r="F1047" s="37">
        <f>IF(A1047="","",IFERROR(INDEX(Maniobras!$K$5:$K$504,MATCH(A1047,Maniobras!$A$5:$A$504,0)),""))</f>
        <v/>
      </c>
      <c r="G1047" s="37" t="n"/>
      <c r="H1047" s="37" t="n"/>
      <c r="I1047" s="37">
        <f>IF(G1047="","",G1047+N(H1047))</f>
        <v/>
      </c>
      <c r="J1047" s="36" t="n"/>
      <c r="K1047" s="40" t="n"/>
      <c r="L1047" s="36" t="n"/>
      <c r="M1047">
        <f>IF($A1047=Ficha!$B$3,COUNTIF($A$5:$A1047,Ficha!$B$3),"")</f>
        <v/>
      </c>
    </row>
    <row r="1048">
      <c r="A1048" s="38" t="n"/>
      <c r="B1048" s="41">
        <f>IF(A1048="","",IFERROR(INDEX(Maniobras!$B$5:$B$504,MATCH(A1048,Maniobras!$A$5:$A$504,0)),""))</f>
        <v/>
      </c>
      <c r="C1048" s="38">
        <f>IF(B1048="","",TEXT(B1048,"yyyy-mm"))</f>
        <v/>
      </c>
      <c r="D1048" s="38">
        <f>IF(A1048="","",IFERROR(INDEX(Maniobras!$D$5:$D$504,MATCH(A1048,Maniobras!$A$5:$A$504,0)),""))</f>
        <v/>
      </c>
      <c r="E1048" s="38" t="n"/>
      <c r="F1048" s="39">
        <f>IF(A1048="","",IFERROR(INDEX(Maniobras!$K$5:$K$504,MATCH(A1048,Maniobras!$A$5:$A$504,0)),""))</f>
        <v/>
      </c>
      <c r="G1048" s="39" t="n"/>
      <c r="H1048" s="39" t="n"/>
      <c r="I1048" s="39">
        <f>IF(G1048="","",G1048+N(H1048))</f>
        <v/>
      </c>
      <c r="J1048" s="38" t="n"/>
      <c r="K1048" s="41" t="n"/>
      <c r="L1048" s="38" t="n"/>
      <c r="M1048">
        <f>IF($A1048=Ficha!$B$3,COUNTIF($A$5:$A1048,Ficha!$B$3),"")</f>
        <v/>
      </c>
    </row>
    <row r="1049">
      <c r="A1049" s="36" t="n"/>
      <c r="B1049" s="40">
        <f>IF(A1049="","",IFERROR(INDEX(Maniobras!$B$5:$B$504,MATCH(A1049,Maniobras!$A$5:$A$504,0)),""))</f>
        <v/>
      </c>
      <c r="C1049" s="36">
        <f>IF(B1049="","",TEXT(B1049,"yyyy-mm"))</f>
        <v/>
      </c>
      <c r="D1049" s="36">
        <f>IF(A1049="","",IFERROR(INDEX(Maniobras!$D$5:$D$504,MATCH(A1049,Maniobras!$A$5:$A$504,0)),""))</f>
        <v/>
      </c>
      <c r="E1049" s="36" t="n"/>
      <c r="F1049" s="37">
        <f>IF(A1049="","",IFERROR(INDEX(Maniobras!$K$5:$K$504,MATCH(A1049,Maniobras!$A$5:$A$504,0)),""))</f>
        <v/>
      </c>
      <c r="G1049" s="37" t="n"/>
      <c r="H1049" s="37" t="n"/>
      <c r="I1049" s="37">
        <f>IF(G1049="","",G1049+N(H1049))</f>
        <v/>
      </c>
      <c r="J1049" s="36" t="n"/>
      <c r="K1049" s="40" t="n"/>
      <c r="L1049" s="36" t="n"/>
      <c r="M1049">
        <f>IF($A1049=Ficha!$B$3,COUNTIF($A$5:$A1049,Ficha!$B$3),"")</f>
        <v/>
      </c>
    </row>
    <row r="1050">
      <c r="A1050" s="38" t="n"/>
      <c r="B1050" s="41">
        <f>IF(A1050="","",IFERROR(INDEX(Maniobras!$B$5:$B$504,MATCH(A1050,Maniobras!$A$5:$A$504,0)),""))</f>
        <v/>
      </c>
      <c r="C1050" s="38">
        <f>IF(B1050="","",TEXT(B1050,"yyyy-mm"))</f>
        <v/>
      </c>
      <c r="D1050" s="38">
        <f>IF(A1050="","",IFERROR(INDEX(Maniobras!$D$5:$D$504,MATCH(A1050,Maniobras!$A$5:$A$504,0)),""))</f>
        <v/>
      </c>
      <c r="E1050" s="38" t="n"/>
      <c r="F1050" s="39">
        <f>IF(A1050="","",IFERROR(INDEX(Maniobras!$K$5:$K$504,MATCH(A1050,Maniobras!$A$5:$A$504,0)),""))</f>
        <v/>
      </c>
      <c r="G1050" s="39" t="n"/>
      <c r="H1050" s="39" t="n"/>
      <c r="I1050" s="39">
        <f>IF(G1050="","",G1050+N(H1050))</f>
        <v/>
      </c>
      <c r="J1050" s="38" t="n"/>
      <c r="K1050" s="41" t="n"/>
      <c r="L1050" s="38" t="n"/>
      <c r="M1050">
        <f>IF($A1050=Ficha!$B$3,COUNTIF($A$5:$A1050,Ficha!$B$3),"")</f>
        <v/>
      </c>
    </row>
    <row r="1051">
      <c r="A1051" s="36" t="n"/>
      <c r="B1051" s="40">
        <f>IF(A1051="","",IFERROR(INDEX(Maniobras!$B$5:$B$504,MATCH(A1051,Maniobras!$A$5:$A$504,0)),""))</f>
        <v/>
      </c>
      <c r="C1051" s="36">
        <f>IF(B1051="","",TEXT(B1051,"yyyy-mm"))</f>
        <v/>
      </c>
      <c r="D1051" s="36">
        <f>IF(A1051="","",IFERROR(INDEX(Maniobras!$D$5:$D$504,MATCH(A1051,Maniobras!$A$5:$A$504,0)),""))</f>
        <v/>
      </c>
      <c r="E1051" s="36" t="n"/>
      <c r="F1051" s="37">
        <f>IF(A1051="","",IFERROR(INDEX(Maniobras!$K$5:$K$504,MATCH(A1051,Maniobras!$A$5:$A$504,0)),""))</f>
        <v/>
      </c>
      <c r="G1051" s="37" t="n"/>
      <c r="H1051" s="37" t="n"/>
      <c r="I1051" s="37">
        <f>IF(G1051="","",G1051+N(H1051))</f>
        <v/>
      </c>
      <c r="J1051" s="36" t="n"/>
      <c r="K1051" s="40" t="n"/>
      <c r="L1051" s="36" t="n"/>
      <c r="M1051">
        <f>IF($A1051=Ficha!$B$3,COUNTIF($A$5:$A1051,Ficha!$B$3),"")</f>
        <v/>
      </c>
    </row>
    <row r="1052">
      <c r="A1052" s="38" t="n"/>
      <c r="B1052" s="41">
        <f>IF(A1052="","",IFERROR(INDEX(Maniobras!$B$5:$B$504,MATCH(A1052,Maniobras!$A$5:$A$504,0)),""))</f>
        <v/>
      </c>
      <c r="C1052" s="38">
        <f>IF(B1052="","",TEXT(B1052,"yyyy-mm"))</f>
        <v/>
      </c>
      <c r="D1052" s="38">
        <f>IF(A1052="","",IFERROR(INDEX(Maniobras!$D$5:$D$504,MATCH(A1052,Maniobras!$A$5:$A$504,0)),""))</f>
        <v/>
      </c>
      <c r="E1052" s="38" t="n"/>
      <c r="F1052" s="39">
        <f>IF(A1052="","",IFERROR(INDEX(Maniobras!$K$5:$K$504,MATCH(A1052,Maniobras!$A$5:$A$504,0)),""))</f>
        <v/>
      </c>
      <c r="G1052" s="39" t="n"/>
      <c r="H1052" s="39" t="n"/>
      <c r="I1052" s="39">
        <f>IF(G1052="","",G1052+N(H1052))</f>
        <v/>
      </c>
      <c r="J1052" s="38" t="n"/>
      <c r="K1052" s="41" t="n"/>
      <c r="L1052" s="38" t="n"/>
      <c r="M1052">
        <f>IF($A1052=Ficha!$B$3,COUNTIF($A$5:$A1052,Ficha!$B$3),"")</f>
        <v/>
      </c>
    </row>
    <row r="1053">
      <c r="A1053" s="36" t="n"/>
      <c r="B1053" s="40">
        <f>IF(A1053="","",IFERROR(INDEX(Maniobras!$B$5:$B$504,MATCH(A1053,Maniobras!$A$5:$A$504,0)),""))</f>
        <v/>
      </c>
      <c r="C1053" s="36">
        <f>IF(B1053="","",TEXT(B1053,"yyyy-mm"))</f>
        <v/>
      </c>
      <c r="D1053" s="36">
        <f>IF(A1053="","",IFERROR(INDEX(Maniobras!$D$5:$D$504,MATCH(A1053,Maniobras!$A$5:$A$504,0)),""))</f>
        <v/>
      </c>
      <c r="E1053" s="36" t="n"/>
      <c r="F1053" s="37">
        <f>IF(A1053="","",IFERROR(INDEX(Maniobras!$K$5:$K$504,MATCH(A1053,Maniobras!$A$5:$A$504,0)),""))</f>
        <v/>
      </c>
      <c r="G1053" s="37" t="n"/>
      <c r="H1053" s="37" t="n"/>
      <c r="I1053" s="37">
        <f>IF(G1053="","",G1053+N(H1053))</f>
        <v/>
      </c>
      <c r="J1053" s="36" t="n"/>
      <c r="K1053" s="40" t="n"/>
      <c r="L1053" s="36" t="n"/>
      <c r="M1053">
        <f>IF($A1053=Ficha!$B$3,COUNTIF($A$5:$A1053,Ficha!$B$3),"")</f>
        <v/>
      </c>
    </row>
    <row r="1054">
      <c r="A1054" s="38" t="n"/>
      <c r="B1054" s="41">
        <f>IF(A1054="","",IFERROR(INDEX(Maniobras!$B$5:$B$504,MATCH(A1054,Maniobras!$A$5:$A$504,0)),""))</f>
        <v/>
      </c>
      <c r="C1054" s="38">
        <f>IF(B1054="","",TEXT(B1054,"yyyy-mm"))</f>
        <v/>
      </c>
      <c r="D1054" s="38">
        <f>IF(A1054="","",IFERROR(INDEX(Maniobras!$D$5:$D$504,MATCH(A1054,Maniobras!$A$5:$A$504,0)),""))</f>
        <v/>
      </c>
      <c r="E1054" s="38" t="n"/>
      <c r="F1054" s="39">
        <f>IF(A1054="","",IFERROR(INDEX(Maniobras!$K$5:$K$504,MATCH(A1054,Maniobras!$A$5:$A$504,0)),""))</f>
        <v/>
      </c>
      <c r="G1054" s="39" t="n"/>
      <c r="H1054" s="39" t="n"/>
      <c r="I1054" s="39">
        <f>IF(G1054="","",G1054+N(H1054))</f>
        <v/>
      </c>
      <c r="J1054" s="38" t="n"/>
      <c r="K1054" s="41" t="n"/>
      <c r="L1054" s="38" t="n"/>
      <c r="M1054">
        <f>IF($A1054=Ficha!$B$3,COUNTIF($A$5:$A1054,Ficha!$B$3),"")</f>
        <v/>
      </c>
    </row>
    <row r="1055">
      <c r="A1055" s="36" t="n"/>
      <c r="B1055" s="40">
        <f>IF(A1055="","",IFERROR(INDEX(Maniobras!$B$5:$B$504,MATCH(A1055,Maniobras!$A$5:$A$504,0)),""))</f>
        <v/>
      </c>
      <c r="C1055" s="36">
        <f>IF(B1055="","",TEXT(B1055,"yyyy-mm"))</f>
        <v/>
      </c>
      <c r="D1055" s="36">
        <f>IF(A1055="","",IFERROR(INDEX(Maniobras!$D$5:$D$504,MATCH(A1055,Maniobras!$A$5:$A$504,0)),""))</f>
        <v/>
      </c>
      <c r="E1055" s="36" t="n"/>
      <c r="F1055" s="37">
        <f>IF(A1055="","",IFERROR(INDEX(Maniobras!$K$5:$K$504,MATCH(A1055,Maniobras!$A$5:$A$504,0)),""))</f>
        <v/>
      </c>
      <c r="G1055" s="37" t="n"/>
      <c r="H1055" s="37" t="n"/>
      <c r="I1055" s="37">
        <f>IF(G1055="","",G1055+N(H1055))</f>
        <v/>
      </c>
      <c r="J1055" s="36" t="n"/>
      <c r="K1055" s="40" t="n"/>
      <c r="L1055" s="36" t="n"/>
      <c r="M1055">
        <f>IF($A1055=Ficha!$B$3,COUNTIF($A$5:$A1055,Ficha!$B$3),"")</f>
        <v/>
      </c>
    </row>
    <row r="1056">
      <c r="A1056" s="38" t="n"/>
      <c r="B1056" s="41">
        <f>IF(A1056="","",IFERROR(INDEX(Maniobras!$B$5:$B$504,MATCH(A1056,Maniobras!$A$5:$A$504,0)),""))</f>
        <v/>
      </c>
      <c r="C1056" s="38">
        <f>IF(B1056="","",TEXT(B1056,"yyyy-mm"))</f>
        <v/>
      </c>
      <c r="D1056" s="38">
        <f>IF(A1056="","",IFERROR(INDEX(Maniobras!$D$5:$D$504,MATCH(A1056,Maniobras!$A$5:$A$504,0)),""))</f>
        <v/>
      </c>
      <c r="E1056" s="38" t="n"/>
      <c r="F1056" s="39">
        <f>IF(A1056="","",IFERROR(INDEX(Maniobras!$K$5:$K$504,MATCH(A1056,Maniobras!$A$5:$A$504,0)),""))</f>
        <v/>
      </c>
      <c r="G1056" s="39" t="n"/>
      <c r="H1056" s="39" t="n"/>
      <c r="I1056" s="39">
        <f>IF(G1056="","",G1056+N(H1056))</f>
        <v/>
      </c>
      <c r="J1056" s="38" t="n"/>
      <c r="K1056" s="41" t="n"/>
      <c r="L1056" s="38" t="n"/>
      <c r="M1056">
        <f>IF($A1056=Ficha!$B$3,COUNTIF($A$5:$A1056,Ficha!$B$3),"")</f>
        <v/>
      </c>
    </row>
    <row r="1057">
      <c r="A1057" s="36" t="n"/>
      <c r="B1057" s="40">
        <f>IF(A1057="","",IFERROR(INDEX(Maniobras!$B$5:$B$504,MATCH(A1057,Maniobras!$A$5:$A$504,0)),""))</f>
        <v/>
      </c>
      <c r="C1057" s="36">
        <f>IF(B1057="","",TEXT(B1057,"yyyy-mm"))</f>
        <v/>
      </c>
      <c r="D1057" s="36">
        <f>IF(A1057="","",IFERROR(INDEX(Maniobras!$D$5:$D$504,MATCH(A1057,Maniobras!$A$5:$A$504,0)),""))</f>
        <v/>
      </c>
      <c r="E1057" s="36" t="n"/>
      <c r="F1057" s="37">
        <f>IF(A1057="","",IFERROR(INDEX(Maniobras!$K$5:$K$504,MATCH(A1057,Maniobras!$A$5:$A$504,0)),""))</f>
        <v/>
      </c>
      <c r="G1057" s="37" t="n"/>
      <c r="H1057" s="37" t="n"/>
      <c r="I1057" s="37">
        <f>IF(G1057="","",G1057+N(H1057))</f>
        <v/>
      </c>
      <c r="J1057" s="36" t="n"/>
      <c r="K1057" s="40" t="n"/>
      <c r="L1057" s="36" t="n"/>
      <c r="M1057">
        <f>IF($A1057=Ficha!$B$3,COUNTIF($A$5:$A1057,Ficha!$B$3),"")</f>
        <v/>
      </c>
    </row>
    <row r="1058">
      <c r="A1058" s="38" t="n"/>
      <c r="B1058" s="41">
        <f>IF(A1058="","",IFERROR(INDEX(Maniobras!$B$5:$B$504,MATCH(A1058,Maniobras!$A$5:$A$504,0)),""))</f>
        <v/>
      </c>
      <c r="C1058" s="38">
        <f>IF(B1058="","",TEXT(B1058,"yyyy-mm"))</f>
        <v/>
      </c>
      <c r="D1058" s="38">
        <f>IF(A1058="","",IFERROR(INDEX(Maniobras!$D$5:$D$504,MATCH(A1058,Maniobras!$A$5:$A$504,0)),""))</f>
        <v/>
      </c>
      <c r="E1058" s="38" t="n"/>
      <c r="F1058" s="39">
        <f>IF(A1058="","",IFERROR(INDEX(Maniobras!$K$5:$K$504,MATCH(A1058,Maniobras!$A$5:$A$504,0)),""))</f>
        <v/>
      </c>
      <c r="G1058" s="39" t="n"/>
      <c r="H1058" s="39" t="n"/>
      <c r="I1058" s="39">
        <f>IF(G1058="","",G1058+N(H1058))</f>
        <v/>
      </c>
      <c r="J1058" s="38" t="n"/>
      <c r="K1058" s="41" t="n"/>
      <c r="L1058" s="38" t="n"/>
      <c r="M1058">
        <f>IF($A1058=Ficha!$B$3,COUNTIF($A$5:$A1058,Ficha!$B$3),"")</f>
        <v/>
      </c>
    </row>
    <row r="1059">
      <c r="A1059" s="36" t="n"/>
      <c r="B1059" s="40">
        <f>IF(A1059="","",IFERROR(INDEX(Maniobras!$B$5:$B$504,MATCH(A1059,Maniobras!$A$5:$A$504,0)),""))</f>
        <v/>
      </c>
      <c r="C1059" s="36">
        <f>IF(B1059="","",TEXT(B1059,"yyyy-mm"))</f>
        <v/>
      </c>
      <c r="D1059" s="36">
        <f>IF(A1059="","",IFERROR(INDEX(Maniobras!$D$5:$D$504,MATCH(A1059,Maniobras!$A$5:$A$504,0)),""))</f>
        <v/>
      </c>
      <c r="E1059" s="36" t="n"/>
      <c r="F1059" s="37">
        <f>IF(A1059="","",IFERROR(INDEX(Maniobras!$K$5:$K$504,MATCH(A1059,Maniobras!$A$5:$A$504,0)),""))</f>
        <v/>
      </c>
      <c r="G1059" s="37" t="n"/>
      <c r="H1059" s="37" t="n"/>
      <c r="I1059" s="37">
        <f>IF(G1059="","",G1059+N(H1059))</f>
        <v/>
      </c>
      <c r="J1059" s="36" t="n"/>
      <c r="K1059" s="40" t="n"/>
      <c r="L1059" s="36" t="n"/>
      <c r="M1059">
        <f>IF($A1059=Ficha!$B$3,COUNTIF($A$5:$A1059,Ficha!$B$3),"")</f>
        <v/>
      </c>
    </row>
    <row r="1060">
      <c r="A1060" s="38" t="n"/>
      <c r="B1060" s="41">
        <f>IF(A1060="","",IFERROR(INDEX(Maniobras!$B$5:$B$504,MATCH(A1060,Maniobras!$A$5:$A$504,0)),""))</f>
        <v/>
      </c>
      <c r="C1060" s="38">
        <f>IF(B1060="","",TEXT(B1060,"yyyy-mm"))</f>
        <v/>
      </c>
      <c r="D1060" s="38">
        <f>IF(A1060="","",IFERROR(INDEX(Maniobras!$D$5:$D$504,MATCH(A1060,Maniobras!$A$5:$A$504,0)),""))</f>
        <v/>
      </c>
      <c r="E1060" s="38" t="n"/>
      <c r="F1060" s="39">
        <f>IF(A1060="","",IFERROR(INDEX(Maniobras!$K$5:$K$504,MATCH(A1060,Maniobras!$A$5:$A$504,0)),""))</f>
        <v/>
      </c>
      <c r="G1060" s="39" t="n"/>
      <c r="H1060" s="39" t="n"/>
      <c r="I1060" s="39">
        <f>IF(G1060="","",G1060+N(H1060))</f>
        <v/>
      </c>
      <c r="J1060" s="38" t="n"/>
      <c r="K1060" s="41" t="n"/>
      <c r="L1060" s="38" t="n"/>
      <c r="M1060">
        <f>IF($A1060=Ficha!$B$3,COUNTIF($A$5:$A1060,Ficha!$B$3),"")</f>
        <v/>
      </c>
    </row>
    <row r="1061">
      <c r="A1061" s="36" t="n"/>
      <c r="B1061" s="40">
        <f>IF(A1061="","",IFERROR(INDEX(Maniobras!$B$5:$B$504,MATCH(A1061,Maniobras!$A$5:$A$504,0)),""))</f>
        <v/>
      </c>
      <c r="C1061" s="36">
        <f>IF(B1061="","",TEXT(B1061,"yyyy-mm"))</f>
        <v/>
      </c>
      <c r="D1061" s="36">
        <f>IF(A1061="","",IFERROR(INDEX(Maniobras!$D$5:$D$504,MATCH(A1061,Maniobras!$A$5:$A$504,0)),""))</f>
        <v/>
      </c>
      <c r="E1061" s="36" t="n"/>
      <c r="F1061" s="37">
        <f>IF(A1061="","",IFERROR(INDEX(Maniobras!$K$5:$K$504,MATCH(A1061,Maniobras!$A$5:$A$504,0)),""))</f>
        <v/>
      </c>
      <c r="G1061" s="37" t="n"/>
      <c r="H1061" s="37" t="n"/>
      <c r="I1061" s="37">
        <f>IF(G1061="","",G1061+N(H1061))</f>
        <v/>
      </c>
      <c r="J1061" s="36" t="n"/>
      <c r="K1061" s="40" t="n"/>
      <c r="L1061" s="36" t="n"/>
      <c r="M1061">
        <f>IF($A1061=Ficha!$B$3,COUNTIF($A$5:$A1061,Ficha!$B$3),"")</f>
        <v/>
      </c>
    </row>
    <row r="1062">
      <c r="A1062" s="38" t="n"/>
      <c r="B1062" s="41">
        <f>IF(A1062="","",IFERROR(INDEX(Maniobras!$B$5:$B$504,MATCH(A1062,Maniobras!$A$5:$A$504,0)),""))</f>
        <v/>
      </c>
      <c r="C1062" s="38">
        <f>IF(B1062="","",TEXT(B1062,"yyyy-mm"))</f>
        <v/>
      </c>
      <c r="D1062" s="38">
        <f>IF(A1062="","",IFERROR(INDEX(Maniobras!$D$5:$D$504,MATCH(A1062,Maniobras!$A$5:$A$504,0)),""))</f>
        <v/>
      </c>
      <c r="E1062" s="38" t="n"/>
      <c r="F1062" s="39">
        <f>IF(A1062="","",IFERROR(INDEX(Maniobras!$K$5:$K$504,MATCH(A1062,Maniobras!$A$5:$A$504,0)),""))</f>
        <v/>
      </c>
      <c r="G1062" s="39" t="n"/>
      <c r="H1062" s="39" t="n"/>
      <c r="I1062" s="39">
        <f>IF(G1062="","",G1062+N(H1062))</f>
        <v/>
      </c>
      <c r="J1062" s="38" t="n"/>
      <c r="K1062" s="41" t="n"/>
      <c r="L1062" s="38" t="n"/>
      <c r="M1062">
        <f>IF($A1062=Ficha!$B$3,COUNTIF($A$5:$A1062,Ficha!$B$3),"")</f>
        <v/>
      </c>
    </row>
    <row r="1063">
      <c r="A1063" s="36" t="n"/>
      <c r="B1063" s="40">
        <f>IF(A1063="","",IFERROR(INDEX(Maniobras!$B$5:$B$504,MATCH(A1063,Maniobras!$A$5:$A$504,0)),""))</f>
        <v/>
      </c>
      <c r="C1063" s="36">
        <f>IF(B1063="","",TEXT(B1063,"yyyy-mm"))</f>
        <v/>
      </c>
      <c r="D1063" s="36">
        <f>IF(A1063="","",IFERROR(INDEX(Maniobras!$D$5:$D$504,MATCH(A1063,Maniobras!$A$5:$A$504,0)),""))</f>
        <v/>
      </c>
      <c r="E1063" s="36" t="n"/>
      <c r="F1063" s="37">
        <f>IF(A1063="","",IFERROR(INDEX(Maniobras!$K$5:$K$504,MATCH(A1063,Maniobras!$A$5:$A$504,0)),""))</f>
        <v/>
      </c>
      <c r="G1063" s="37" t="n"/>
      <c r="H1063" s="37" t="n"/>
      <c r="I1063" s="37">
        <f>IF(G1063="","",G1063+N(H1063))</f>
        <v/>
      </c>
      <c r="J1063" s="36" t="n"/>
      <c r="K1063" s="40" t="n"/>
      <c r="L1063" s="36" t="n"/>
      <c r="M1063">
        <f>IF($A1063=Ficha!$B$3,COUNTIF($A$5:$A1063,Ficha!$B$3),"")</f>
        <v/>
      </c>
    </row>
    <row r="1064">
      <c r="A1064" s="38" t="n"/>
      <c r="B1064" s="41">
        <f>IF(A1064="","",IFERROR(INDEX(Maniobras!$B$5:$B$504,MATCH(A1064,Maniobras!$A$5:$A$504,0)),""))</f>
        <v/>
      </c>
      <c r="C1064" s="38">
        <f>IF(B1064="","",TEXT(B1064,"yyyy-mm"))</f>
        <v/>
      </c>
      <c r="D1064" s="38">
        <f>IF(A1064="","",IFERROR(INDEX(Maniobras!$D$5:$D$504,MATCH(A1064,Maniobras!$A$5:$A$504,0)),""))</f>
        <v/>
      </c>
      <c r="E1064" s="38" t="n"/>
      <c r="F1064" s="39">
        <f>IF(A1064="","",IFERROR(INDEX(Maniobras!$K$5:$K$504,MATCH(A1064,Maniobras!$A$5:$A$504,0)),""))</f>
        <v/>
      </c>
      <c r="G1064" s="39" t="n"/>
      <c r="H1064" s="39" t="n"/>
      <c r="I1064" s="39">
        <f>IF(G1064="","",G1064+N(H1064))</f>
        <v/>
      </c>
      <c r="J1064" s="38" t="n"/>
      <c r="K1064" s="41" t="n"/>
      <c r="L1064" s="38" t="n"/>
      <c r="M1064">
        <f>IF($A1064=Ficha!$B$3,COUNTIF($A$5:$A1064,Ficha!$B$3),"")</f>
        <v/>
      </c>
    </row>
    <row r="1065">
      <c r="A1065" s="36" t="n"/>
      <c r="B1065" s="40">
        <f>IF(A1065="","",IFERROR(INDEX(Maniobras!$B$5:$B$504,MATCH(A1065,Maniobras!$A$5:$A$504,0)),""))</f>
        <v/>
      </c>
      <c r="C1065" s="36">
        <f>IF(B1065="","",TEXT(B1065,"yyyy-mm"))</f>
        <v/>
      </c>
      <c r="D1065" s="36">
        <f>IF(A1065="","",IFERROR(INDEX(Maniobras!$D$5:$D$504,MATCH(A1065,Maniobras!$A$5:$A$504,0)),""))</f>
        <v/>
      </c>
      <c r="E1065" s="36" t="n"/>
      <c r="F1065" s="37">
        <f>IF(A1065="","",IFERROR(INDEX(Maniobras!$K$5:$K$504,MATCH(A1065,Maniobras!$A$5:$A$504,0)),""))</f>
        <v/>
      </c>
      <c r="G1065" s="37" t="n"/>
      <c r="H1065" s="37" t="n"/>
      <c r="I1065" s="37">
        <f>IF(G1065="","",G1065+N(H1065))</f>
        <v/>
      </c>
      <c r="J1065" s="36" t="n"/>
      <c r="K1065" s="40" t="n"/>
      <c r="L1065" s="36" t="n"/>
      <c r="M1065">
        <f>IF($A1065=Ficha!$B$3,COUNTIF($A$5:$A1065,Ficha!$B$3),"")</f>
        <v/>
      </c>
    </row>
    <row r="1066">
      <c r="A1066" s="38" t="n"/>
      <c r="B1066" s="41">
        <f>IF(A1066="","",IFERROR(INDEX(Maniobras!$B$5:$B$504,MATCH(A1066,Maniobras!$A$5:$A$504,0)),""))</f>
        <v/>
      </c>
      <c r="C1066" s="38">
        <f>IF(B1066="","",TEXT(B1066,"yyyy-mm"))</f>
        <v/>
      </c>
      <c r="D1066" s="38">
        <f>IF(A1066="","",IFERROR(INDEX(Maniobras!$D$5:$D$504,MATCH(A1066,Maniobras!$A$5:$A$504,0)),""))</f>
        <v/>
      </c>
      <c r="E1066" s="38" t="n"/>
      <c r="F1066" s="39">
        <f>IF(A1066="","",IFERROR(INDEX(Maniobras!$K$5:$K$504,MATCH(A1066,Maniobras!$A$5:$A$504,0)),""))</f>
        <v/>
      </c>
      <c r="G1066" s="39" t="n"/>
      <c r="H1066" s="39" t="n"/>
      <c r="I1066" s="39">
        <f>IF(G1066="","",G1066+N(H1066))</f>
        <v/>
      </c>
      <c r="J1066" s="38" t="n"/>
      <c r="K1066" s="41" t="n"/>
      <c r="L1066" s="38" t="n"/>
      <c r="M1066">
        <f>IF($A1066=Ficha!$B$3,COUNTIF($A$5:$A1066,Ficha!$B$3),"")</f>
        <v/>
      </c>
    </row>
    <row r="1067">
      <c r="A1067" s="36" t="n"/>
      <c r="B1067" s="40">
        <f>IF(A1067="","",IFERROR(INDEX(Maniobras!$B$5:$B$504,MATCH(A1067,Maniobras!$A$5:$A$504,0)),""))</f>
        <v/>
      </c>
      <c r="C1067" s="36">
        <f>IF(B1067="","",TEXT(B1067,"yyyy-mm"))</f>
        <v/>
      </c>
      <c r="D1067" s="36">
        <f>IF(A1067="","",IFERROR(INDEX(Maniobras!$D$5:$D$504,MATCH(A1067,Maniobras!$A$5:$A$504,0)),""))</f>
        <v/>
      </c>
      <c r="E1067" s="36" t="n"/>
      <c r="F1067" s="37">
        <f>IF(A1067="","",IFERROR(INDEX(Maniobras!$K$5:$K$504,MATCH(A1067,Maniobras!$A$5:$A$504,0)),""))</f>
        <v/>
      </c>
      <c r="G1067" s="37" t="n"/>
      <c r="H1067" s="37" t="n"/>
      <c r="I1067" s="37">
        <f>IF(G1067="","",G1067+N(H1067))</f>
        <v/>
      </c>
      <c r="J1067" s="36" t="n"/>
      <c r="K1067" s="40" t="n"/>
      <c r="L1067" s="36" t="n"/>
      <c r="M1067">
        <f>IF($A1067=Ficha!$B$3,COUNTIF($A$5:$A1067,Ficha!$B$3),"")</f>
        <v/>
      </c>
    </row>
    <row r="1068">
      <c r="A1068" s="38" t="n"/>
      <c r="B1068" s="41">
        <f>IF(A1068="","",IFERROR(INDEX(Maniobras!$B$5:$B$504,MATCH(A1068,Maniobras!$A$5:$A$504,0)),""))</f>
        <v/>
      </c>
      <c r="C1068" s="38">
        <f>IF(B1068="","",TEXT(B1068,"yyyy-mm"))</f>
        <v/>
      </c>
      <c r="D1068" s="38">
        <f>IF(A1068="","",IFERROR(INDEX(Maniobras!$D$5:$D$504,MATCH(A1068,Maniobras!$A$5:$A$504,0)),""))</f>
        <v/>
      </c>
      <c r="E1068" s="38" t="n"/>
      <c r="F1068" s="39">
        <f>IF(A1068="","",IFERROR(INDEX(Maniobras!$K$5:$K$504,MATCH(A1068,Maniobras!$A$5:$A$504,0)),""))</f>
        <v/>
      </c>
      <c r="G1068" s="39" t="n"/>
      <c r="H1068" s="39" t="n"/>
      <c r="I1068" s="39">
        <f>IF(G1068="","",G1068+N(H1068))</f>
        <v/>
      </c>
      <c r="J1068" s="38" t="n"/>
      <c r="K1068" s="41" t="n"/>
      <c r="L1068" s="38" t="n"/>
      <c r="M1068">
        <f>IF($A1068=Ficha!$B$3,COUNTIF($A$5:$A1068,Ficha!$B$3),"")</f>
        <v/>
      </c>
    </row>
    <row r="1069">
      <c r="A1069" s="36" t="n"/>
      <c r="B1069" s="40">
        <f>IF(A1069="","",IFERROR(INDEX(Maniobras!$B$5:$B$504,MATCH(A1069,Maniobras!$A$5:$A$504,0)),""))</f>
        <v/>
      </c>
      <c r="C1069" s="36">
        <f>IF(B1069="","",TEXT(B1069,"yyyy-mm"))</f>
        <v/>
      </c>
      <c r="D1069" s="36">
        <f>IF(A1069="","",IFERROR(INDEX(Maniobras!$D$5:$D$504,MATCH(A1069,Maniobras!$A$5:$A$504,0)),""))</f>
        <v/>
      </c>
      <c r="E1069" s="36" t="n"/>
      <c r="F1069" s="37">
        <f>IF(A1069="","",IFERROR(INDEX(Maniobras!$K$5:$K$504,MATCH(A1069,Maniobras!$A$5:$A$504,0)),""))</f>
        <v/>
      </c>
      <c r="G1069" s="37" t="n"/>
      <c r="H1069" s="37" t="n"/>
      <c r="I1069" s="37">
        <f>IF(G1069="","",G1069+N(H1069))</f>
        <v/>
      </c>
      <c r="J1069" s="36" t="n"/>
      <c r="K1069" s="40" t="n"/>
      <c r="L1069" s="36" t="n"/>
      <c r="M1069">
        <f>IF($A1069=Ficha!$B$3,COUNTIF($A$5:$A1069,Ficha!$B$3),"")</f>
        <v/>
      </c>
    </row>
    <row r="1070">
      <c r="A1070" s="38" t="n"/>
      <c r="B1070" s="41">
        <f>IF(A1070="","",IFERROR(INDEX(Maniobras!$B$5:$B$504,MATCH(A1070,Maniobras!$A$5:$A$504,0)),""))</f>
        <v/>
      </c>
      <c r="C1070" s="38">
        <f>IF(B1070="","",TEXT(B1070,"yyyy-mm"))</f>
        <v/>
      </c>
      <c r="D1070" s="38">
        <f>IF(A1070="","",IFERROR(INDEX(Maniobras!$D$5:$D$504,MATCH(A1070,Maniobras!$A$5:$A$504,0)),""))</f>
        <v/>
      </c>
      <c r="E1070" s="38" t="n"/>
      <c r="F1070" s="39">
        <f>IF(A1070="","",IFERROR(INDEX(Maniobras!$K$5:$K$504,MATCH(A1070,Maniobras!$A$5:$A$504,0)),""))</f>
        <v/>
      </c>
      <c r="G1070" s="39" t="n"/>
      <c r="H1070" s="39" t="n"/>
      <c r="I1070" s="39">
        <f>IF(G1070="","",G1070+N(H1070))</f>
        <v/>
      </c>
      <c r="J1070" s="38" t="n"/>
      <c r="K1070" s="41" t="n"/>
      <c r="L1070" s="38" t="n"/>
      <c r="M1070">
        <f>IF($A1070=Ficha!$B$3,COUNTIF($A$5:$A1070,Ficha!$B$3),"")</f>
        <v/>
      </c>
    </row>
    <row r="1071">
      <c r="A1071" s="36" t="n"/>
      <c r="B1071" s="40">
        <f>IF(A1071="","",IFERROR(INDEX(Maniobras!$B$5:$B$504,MATCH(A1071,Maniobras!$A$5:$A$504,0)),""))</f>
        <v/>
      </c>
      <c r="C1071" s="36">
        <f>IF(B1071="","",TEXT(B1071,"yyyy-mm"))</f>
        <v/>
      </c>
      <c r="D1071" s="36">
        <f>IF(A1071="","",IFERROR(INDEX(Maniobras!$D$5:$D$504,MATCH(A1071,Maniobras!$A$5:$A$504,0)),""))</f>
        <v/>
      </c>
      <c r="E1071" s="36" t="n"/>
      <c r="F1071" s="37">
        <f>IF(A1071="","",IFERROR(INDEX(Maniobras!$K$5:$K$504,MATCH(A1071,Maniobras!$A$5:$A$504,0)),""))</f>
        <v/>
      </c>
      <c r="G1071" s="37" t="n"/>
      <c r="H1071" s="37" t="n"/>
      <c r="I1071" s="37">
        <f>IF(G1071="","",G1071+N(H1071))</f>
        <v/>
      </c>
      <c r="J1071" s="36" t="n"/>
      <c r="K1071" s="40" t="n"/>
      <c r="L1071" s="36" t="n"/>
      <c r="M1071">
        <f>IF($A1071=Ficha!$B$3,COUNTIF($A$5:$A1071,Ficha!$B$3),"")</f>
        <v/>
      </c>
    </row>
    <row r="1072">
      <c r="A1072" s="38" t="n"/>
      <c r="B1072" s="41">
        <f>IF(A1072="","",IFERROR(INDEX(Maniobras!$B$5:$B$504,MATCH(A1072,Maniobras!$A$5:$A$504,0)),""))</f>
        <v/>
      </c>
      <c r="C1072" s="38">
        <f>IF(B1072="","",TEXT(B1072,"yyyy-mm"))</f>
        <v/>
      </c>
      <c r="D1072" s="38">
        <f>IF(A1072="","",IFERROR(INDEX(Maniobras!$D$5:$D$504,MATCH(A1072,Maniobras!$A$5:$A$504,0)),""))</f>
        <v/>
      </c>
      <c r="E1072" s="38" t="n"/>
      <c r="F1072" s="39">
        <f>IF(A1072="","",IFERROR(INDEX(Maniobras!$K$5:$K$504,MATCH(A1072,Maniobras!$A$5:$A$504,0)),""))</f>
        <v/>
      </c>
      <c r="G1072" s="39" t="n"/>
      <c r="H1072" s="39" t="n"/>
      <c r="I1072" s="39">
        <f>IF(G1072="","",G1072+N(H1072))</f>
        <v/>
      </c>
      <c r="J1072" s="38" t="n"/>
      <c r="K1072" s="41" t="n"/>
      <c r="L1072" s="38" t="n"/>
      <c r="M1072">
        <f>IF($A1072=Ficha!$B$3,COUNTIF($A$5:$A1072,Ficha!$B$3),"")</f>
        <v/>
      </c>
    </row>
    <row r="1073">
      <c r="A1073" s="36" t="n"/>
      <c r="B1073" s="40">
        <f>IF(A1073="","",IFERROR(INDEX(Maniobras!$B$5:$B$504,MATCH(A1073,Maniobras!$A$5:$A$504,0)),""))</f>
        <v/>
      </c>
      <c r="C1073" s="36">
        <f>IF(B1073="","",TEXT(B1073,"yyyy-mm"))</f>
        <v/>
      </c>
      <c r="D1073" s="36">
        <f>IF(A1073="","",IFERROR(INDEX(Maniobras!$D$5:$D$504,MATCH(A1073,Maniobras!$A$5:$A$504,0)),""))</f>
        <v/>
      </c>
      <c r="E1073" s="36" t="n"/>
      <c r="F1073" s="37">
        <f>IF(A1073="","",IFERROR(INDEX(Maniobras!$K$5:$K$504,MATCH(A1073,Maniobras!$A$5:$A$504,0)),""))</f>
        <v/>
      </c>
      <c r="G1073" s="37" t="n"/>
      <c r="H1073" s="37" t="n"/>
      <c r="I1073" s="37">
        <f>IF(G1073="","",G1073+N(H1073))</f>
        <v/>
      </c>
      <c r="J1073" s="36" t="n"/>
      <c r="K1073" s="40" t="n"/>
      <c r="L1073" s="36" t="n"/>
      <c r="M1073">
        <f>IF($A1073=Ficha!$B$3,COUNTIF($A$5:$A1073,Ficha!$B$3),"")</f>
        <v/>
      </c>
    </row>
    <row r="1074">
      <c r="A1074" s="38" t="n"/>
      <c r="B1074" s="41">
        <f>IF(A1074="","",IFERROR(INDEX(Maniobras!$B$5:$B$504,MATCH(A1074,Maniobras!$A$5:$A$504,0)),""))</f>
        <v/>
      </c>
      <c r="C1074" s="38">
        <f>IF(B1074="","",TEXT(B1074,"yyyy-mm"))</f>
        <v/>
      </c>
      <c r="D1074" s="38">
        <f>IF(A1074="","",IFERROR(INDEX(Maniobras!$D$5:$D$504,MATCH(A1074,Maniobras!$A$5:$A$504,0)),""))</f>
        <v/>
      </c>
      <c r="E1074" s="38" t="n"/>
      <c r="F1074" s="39">
        <f>IF(A1074="","",IFERROR(INDEX(Maniobras!$K$5:$K$504,MATCH(A1074,Maniobras!$A$5:$A$504,0)),""))</f>
        <v/>
      </c>
      <c r="G1074" s="39" t="n"/>
      <c r="H1074" s="39" t="n"/>
      <c r="I1074" s="39">
        <f>IF(G1074="","",G1074+N(H1074))</f>
        <v/>
      </c>
      <c r="J1074" s="38" t="n"/>
      <c r="K1074" s="41" t="n"/>
      <c r="L1074" s="38" t="n"/>
      <c r="M1074">
        <f>IF($A1074=Ficha!$B$3,COUNTIF($A$5:$A1074,Ficha!$B$3),"")</f>
        <v/>
      </c>
    </row>
    <row r="1075">
      <c r="A1075" s="36" t="n"/>
      <c r="B1075" s="40">
        <f>IF(A1075="","",IFERROR(INDEX(Maniobras!$B$5:$B$504,MATCH(A1075,Maniobras!$A$5:$A$504,0)),""))</f>
        <v/>
      </c>
      <c r="C1075" s="36">
        <f>IF(B1075="","",TEXT(B1075,"yyyy-mm"))</f>
        <v/>
      </c>
      <c r="D1075" s="36">
        <f>IF(A1075="","",IFERROR(INDEX(Maniobras!$D$5:$D$504,MATCH(A1075,Maniobras!$A$5:$A$504,0)),""))</f>
        <v/>
      </c>
      <c r="E1075" s="36" t="n"/>
      <c r="F1075" s="37">
        <f>IF(A1075="","",IFERROR(INDEX(Maniobras!$K$5:$K$504,MATCH(A1075,Maniobras!$A$5:$A$504,0)),""))</f>
        <v/>
      </c>
      <c r="G1075" s="37" t="n"/>
      <c r="H1075" s="37" t="n"/>
      <c r="I1075" s="37">
        <f>IF(G1075="","",G1075+N(H1075))</f>
        <v/>
      </c>
      <c r="J1075" s="36" t="n"/>
      <c r="K1075" s="40" t="n"/>
      <c r="L1075" s="36" t="n"/>
      <c r="M1075">
        <f>IF($A1075=Ficha!$B$3,COUNTIF($A$5:$A1075,Ficha!$B$3),"")</f>
        <v/>
      </c>
    </row>
    <row r="1076">
      <c r="A1076" s="38" t="n"/>
      <c r="B1076" s="41">
        <f>IF(A1076="","",IFERROR(INDEX(Maniobras!$B$5:$B$504,MATCH(A1076,Maniobras!$A$5:$A$504,0)),""))</f>
        <v/>
      </c>
      <c r="C1076" s="38">
        <f>IF(B1076="","",TEXT(B1076,"yyyy-mm"))</f>
        <v/>
      </c>
      <c r="D1076" s="38">
        <f>IF(A1076="","",IFERROR(INDEX(Maniobras!$D$5:$D$504,MATCH(A1076,Maniobras!$A$5:$A$504,0)),""))</f>
        <v/>
      </c>
      <c r="E1076" s="38" t="n"/>
      <c r="F1076" s="39">
        <f>IF(A1076="","",IFERROR(INDEX(Maniobras!$K$5:$K$504,MATCH(A1076,Maniobras!$A$5:$A$504,0)),""))</f>
        <v/>
      </c>
      <c r="G1076" s="39" t="n"/>
      <c r="H1076" s="39" t="n"/>
      <c r="I1076" s="39">
        <f>IF(G1076="","",G1076+N(H1076))</f>
        <v/>
      </c>
      <c r="J1076" s="38" t="n"/>
      <c r="K1076" s="41" t="n"/>
      <c r="L1076" s="38" t="n"/>
      <c r="M1076">
        <f>IF($A1076=Ficha!$B$3,COUNTIF($A$5:$A1076,Ficha!$B$3),"")</f>
        <v/>
      </c>
    </row>
    <row r="1077">
      <c r="A1077" s="36" t="n"/>
      <c r="B1077" s="40">
        <f>IF(A1077="","",IFERROR(INDEX(Maniobras!$B$5:$B$504,MATCH(A1077,Maniobras!$A$5:$A$504,0)),""))</f>
        <v/>
      </c>
      <c r="C1077" s="36">
        <f>IF(B1077="","",TEXT(B1077,"yyyy-mm"))</f>
        <v/>
      </c>
      <c r="D1077" s="36">
        <f>IF(A1077="","",IFERROR(INDEX(Maniobras!$D$5:$D$504,MATCH(A1077,Maniobras!$A$5:$A$504,0)),""))</f>
        <v/>
      </c>
      <c r="E1077" s="36" t="n"/>
      <c r="F1077" s="37">
        <f>IF(A1077="","",IFERROR(INDEX(Maniobras!$K$5:$K$504,MATCH(A1077,Maniobras!$A$5:$A$504,0)),""))</f>
        <v/>
      </c>
      <c r="G1077" s="37" t="n"/>
      <c r="H1077" s="37" t="n"/>
      <c r="I1077" s="37">
        <f>IF(G1077="","",G1077+N(H1077))</f>
        <v/>
      </c>
      <c r="J1077" s="36" t="n"/>
      <c r="K1077" s="40" t="n"/>
      <c r="L1077" s="36" t="n"/>
      <c r="M1077">
        <f>IF($A1077=Ficha!$B$3,COUNTIF($A$5:$A1077,Ficha!$B$3),"")</f>
        <v/>
      </c>
    </row>
    <row r="1078">
      <c r="A1078" s="38" t="n"/>
      <c r="B1078" s="41">
        <f>IF(A1078="","",IFERROR(INDEX(Maniobras!$B$5:$B$504,MATCH(A1078,Maniobras!$A$5:$A$504,0)),""))</f>
        <v/>
      </c>
      <c r="C1078" s="38">
        <f>IF(B1078="","",TEXT(B1078,"yyyy-mm"))</f>
        <v/>
      </c>
      <c r="D1078" s="38">
        <f>IF(A1078="","",IFERROR(INDEX(Maniobras!$D$5:$D$504,MATCH(A1078,Maniobras!$A$5:$A$504,0)),""))</f>
        <v/>
      </c>
      <c r="E1078" s="38" t="n"/>
      <c r="F1078" s="39">
        <f>IF(A1078="","",IFERROR(INDEX(Maniobras!$K$5:$K$504,MATCH(A1078,Maniobras!$A$5:$A$504,0)),""))</f>
        <v/>
      </c>
      <c r="G1078" s="39" t="n"/>
      <c r="H1078" s="39" t="n"/>
      <c r="I1078" s="39">
        <f>IF(G1078="","",G1078+N(H1078))</f>
        <v/>
      </c>
      <c r="J1078" s="38" t="n"/>
      <c r="K1078" s="41" t="n"/>
      <c r="L1078" s="38" t="n"/>
      <c r="M1078">
        <f>IF($A1078=Ficha!$B$3,COUNTIF($A$5:$A1078,Ficha!$B$3),"")</f>
        <v/>
      </c>
    </row>
    <row r="1079">
      <c r="A1079" s="36" t="n"/>
      <c r="B1079" s="40">
        <f>IF(A1079="","",IFERROR(INDEX(Maniobras!$B$5:$B$504,MATCH(A1079,Maniobras!$A$5:$A$504,0)),""))</f>
        <v/>
      </c>
      <c r="C1079" s="36">
        <f>IF(B1079="","",TEXT(B1079,"yyyy-mm"))</f>
        <v/>
      </c>
      <c r="D1079" s="36">
        <f>IF(A1079="","",IFERROR(INDEX(Maniobras!$D$5:$D$504,MATCH(A1079,Maniobras!$A$5:$A$504,0)),""))</f>
        <v/>
      </c>
      <c r="E1079" s="36" t="n"/>
      <c r="F1079" s="37">
        <f>IF(A1079="","",IFERROR(INDEX(Maniobras!$K$5:$K$504,MATCH(A1079,Maniobras!$A$5:$A$504,0)),""))</f>
        <v/>
      </c>
      <c r="G1079" s="37" t="n"/>
      <c r="H1079" s="37" t="n"/>
      <c r="I1079" s="37">
        <f>IF(G1079="","",G1079+N(H1079))</f>
        <v/>
      </c>
      <c r="J1079" s="36" t="n"/>
      <c r="K1079" s="40" t="n"/>
      <c r="L1079" s="36" t="n"/>
      <c r="M1079">
        <f>IF($A1079=Ficha!$B$3,COUNTIF($A$5:$A1079,Ficha!$B$3),"")</f>
        <v/>
      </c>
    </row>
    <row r="1080">
      <c r="A1080" s="38" t="n"/>
      <c r="B1080" s="41">
        <f>IF(A1080="","",IFERROR(INDEX(Maniobras!$B$5:$B$504,MATCH(A1080,Maniobras!$A$5:$A$504,0)),""))</f>
        <v/>
      </c>
      <c r="C1080" s="38">
        <f>IF(B1080="","",TEXT(B1080,"yyyy-mm"))</f>
        <v/>
      </c>
      <c r="D1080" s="38">
        <f>IF(A1080="","",IFERROR(INDEX(Maniobras!$D$5:$D$504,MATCH(A1080,Maniobras!$A$5:$A$504,0)),""))</f>
        <v/>
      </c>
      <c r="E1080" s="38" t="n"/>
      <c r="F1080" s="39">
        <f>IF(A1080="","",IFERROR(INDEX(Maniobras!$K$5:$K$504,MATCH(A1080,Maniobras!$A$5:$A$504,0)),""))</f>
        <v/>
      </c>
      <c r="G1080" s="39" t="n"/>
      <c r="H1080" s="39" t="n"/>
      <c r="I1080" s="39">
        <f>IF(G1080="","",G1080+N(H1080))</f>
        <v/>
      </c>
      <c r="J1080" s="38" t="n"/>
      <c r="K1080" s="41" t="n"/>
      <c r="L1080" s="38" t="n"/>
      <c r="M1080">
        <f>IF($A1080=Ficha!$B$3,COUNTIF($A$5:$A1080,Ficha!$B$3),"")</f>
        <v/>
      </c>
    </row>
    <row r="1081">
      <c r="A1081" s="36" t="n"/>
      <c r="B1081" s="40">
        <f>IF(A1081="","",IFERROR(INDEX(Maniobras!$B$5:$B$504,MATCH(A1081,Maniobras!$A$5:$A$504,0)),""))</f>
        <v/>
      </c>
      <c r="C1081" s="36">
        <f>IF(B1081="","",TEXT(B1081,"yyyy-mm"))</f>
        <v/>
      </c>
      <c r="D1081" s="36">
        <f>IF(A1081="","",IFERROR(INDEX(Maniobras!$D$5:$D$504,MATCH(A1081,Maniobras!$A$5:$A$504,0)),""))</f>
        <v/>
      </c>
      <c r="E1081" s="36" t="n"/>
      <c r="F1081" s="37">
        <f>IF(A1081="","",IFERROR(INDEX(Maniobras!$K$5:$K$504,MATCH(A1081,Maniobras!$A$5:$A$504,0)),""))</f>
        <v/>
      </c>
      <c r="G1081" s="37" t="n"/>
      <c r="H1081" s="37" t="n"/>
      <c r="I1081" s="37">
        <f>IF(G1081="","",G1081+N(H1081))</f>
        <v/>
      </c>
      <c r="J1081" s="36" t="n"/>
      <c r="K1081" s="40" t="n"/>
      <c r="L1081" s="36" t="n"/>
      <c r="M1081">
        <f>IF($A1081=Ficha!$B$3,COUNTIF($A$5:$A1081,Ficha!$B$3),"")</f>
        <v/>
      </c>
    </row>
    <row r="1082">
      <c r="A1082" s="38" t="n"/>
      <c r="B1082" s="41">
        <f>IF(A1082="","",IFERROR(INDEX(Maniobras!$B$5:$B$504,MATCH(A1082,Maniobras!$A$5:$A$504,0)),""))</f>
        <v/>
      </c>
      <c r="C1082" s="38">
        <f>IF(B1082="","",TEXT(B1082,"yyyy-mm"))</f>
        <v/>
      </c>
      <c r="D1082" s="38">
        <f>IF(A1082="","",IFERROR(INDEX(Maniobras!$D$5:$D$504,MATCH(A1082,Maniobras!$A$5:$A$504,0)),""))</f>
        <v/>
      </c>
      <c r="E1082" s="38" t="n"/>
      <c r="F1082" s="39">
        <f>IF(A1082="","",IFERROR(INDEX(Maniobras!$K$5:$K$504,MATCH(A1082,Maniobras!$A$5:$A$504,0)),""))</f>
        <v/>
      </c>
      <c r="G1082" s="39" t="n"/>
      <c r="H1082" s="39" t="n"/>
      <c r="I1082" s="39">
        <f>IF(G1082="","",G1082+N(H1082))</f>
        <v/>
      </c>
      <c r="J1082" s="38" t="n"/>
      <c r="K1082" s="41" t="n"/>
      <c r="L1082" s="38" t="n"/>
      <c r="M1082">
        <f>IF($A1082=Ficha!$B$3,COUNTIF($A$5:$A1082,Ficha!$B$3),"")</f>
        <v/>
      </c>
    </row>
    <row r="1083">
      <c r="A1083" s="36" t="n"/>
      <c r="B1083" s="40">
        <f>IF(A1083="","",IFERROR(INDEX(Maniobras!$B$5:$B$504,MATCH(A1083,Maniobras!$A$5:$A$504,0)),""))</f>
        <v/>
      </c>
      <c r="C1083" s="36">
        <f>IF(B1083="","",TEXT(B1083,"yyyy-mm"))</f>
        <v/>
      </c>
      <c r="D1083" s="36">
        <f>IF(A1083="","",IFERROR(INDEX(Maniobras!$D$5:$D$504,MATCH(A1083,Maniobras!$A$5:$A$504,0)),""))</f>
        <v/>
      </c>
      <c r="E1083" s="36" t="n"/>
      <c r="F1083" s="37">
        <f>IF(A1083="","",IFERROR(INDEX(Maniobras!$K$5:$K$504,MATCH(A1083,Maniobras!$A$5:$A$504,0)),""))</f>
        <v/>
      </c>
      <c r="G1083" s="37" t="n"/>
      <c r="H1083" s="37" t="n"/>
      <c r="I1083" s="37">
        <f>IF(G1083="","",G1083+N(H1083))</f>
        <v/>
      </c>
      <c r="J1083" s="36" t="n"/>
      <c r="K1083" s="40" t="n"/>
      <c r="L1083" s="36" t="n"/>
      <c r="M1083">
        <f>IF($A1083=Ficha!$B$3,COUNTIF($A$5:$A1083,Ficha!$B$3),"")</f>
        <v/>
      </c>
    </row>
    <row r="1084">
      <c r="A1084" s="38" t="n"/>
      <c r="B1084" s="41">
        <f>IF(A1084="","",IFERROR(INDEX(Maniobras!$B$5:$B$504,MATCH(A1084,Maniobras!$A$5:$A$504,0)),""))</f>
        <v/>
      </c>
      <c r="C1084" s="38">
        <f>IF(B1084="","",TEXT(B1084,"yyyy-mm"))</f>
        <v/>
      </c>
      <c r="D1084" s="38">
        <f>IF(A1084="","",IFERROR(INDEX(Maniobras!$D$5:$D$504,MATCH(A1084,Maniobras!$A$5:$A$504,0)),""))</f>
        <v/>
      </c>
      <c r="E1084" s="38" t="n"/>
      <c r="F1084" s="39">
        <f>IF(A1084="","",IFERROR(INDEX(Maniobras!$K$5:$K$504,MATCH(A1084,Maniobras!$A$5:$A$504,0)),""))</f>
        <v/>
      </c>
      <c r="G1084" s="39" t="n"/>
      <c r="H1084" s="39" t="n"/>
      <c r="I1084" s="39">
        <f>IF(G1084="","",G1084+N(H1084))</f>
        <v/>
      </c>
      <c r="J1084" s="38" t="n"/>
      <c r="K1084" s="41" t="n"/>
      <c r="L1084" s="38" t="n"/>
      <c r="M1084">
        <f>IF($A1084=Ficha!$B$3,COUNTIF($A$5:$A1084,Ficha!$B$3),"")</f>
        <v/>
      </c>
    </row>
    <row r="1085">
      <c r="A1085" s="36" t="n"/>
      <c r="B1085" s="40">
        <f>IF(A1085="","",IFERROR(INDEX(Maniobras!$B$5:$B$504,MATCH(A1085,Maniobras!$A$5:$A$504,0)),""))</f>
        <v/>
      </c>
      <c r="C1085" s="36">
        <f>IF(B1085="","",TEXT(B1085,"yyyy-mm"))</f>
        <v/>
      </c>
      <c r="D1085" s="36">
        <f>IF(A1085="","",IFERROR(INDEX(Maniobras!$D$5:$D$504,MATCH(A1085,Maniobras!$A$5:$A$504,0)),""))</f>
        <v/>
      </c>
      <c r="E1085" s="36" t="n"/>
      <c r="F1085" s="37">
        <f>IF(A1085="","",IFERROR(INDEX(Maniobras!$K$5:$K$504,MATCH(A1085,Maniobras!$A$5:$A$504,0)),""))</f>
        <v/>
      </c>
      <c r="G1085" s="37" t="n"/>
      <c r="H1085" s="37" t="n"/>
      <c r="I1085" s="37">
        <f>IF(G1085="","",G1085+N(H1085))</f>
        <v/>
      </c>
      <c r="J1085" s="36" t="n"/>
      <c r="K1085" s="40" t="n"/>
      <c r="L1085" s="36" t="n"/>
      <c r="M1085">
        <f>IF($A1085=Ficha!$B$3,COUNTIF($A$5:$A1085,Ficha!$B$3),"")</f>
        <v/>
      </c>
    </row>
    <row r="1086">
      <c r="A1086" s="38" t="n"/>
      <c r="B1086" s="41">
        <f>IF(A1086="","",IFERROR(INDEX(Maniobras!$B$5:$B$504,MATCH(A1086,Maniobras!$A$5:$A$504,0)),""))</f>
        <v/>
      </c>
      <c r="C1086" s="38">
        <f>IF(B1086="","",TEXT(B1086,"yyyy-mm"))</f>
        <v/>
      </c>
      <c r="D1086" s="38">
        <f>IF(A1086="","",IFERROR(INDEX(Maniobras!$D$5:$D$504,MATCH(A1086,Maniobras!$A$5:$A$504,0)),""))</f>
        <v/>
      </c>
      <c r="E1086" s="38" t="n"/>
      <c r="F1086" s="39">
        <f>IF(A1086="","",IFERROR(INDEX(Maniobras!$K$5:$K$504,MATCH(A1086,Maniobras!$A$5:$A$504,0)),""))</f>
        <v/>
      </c>
      <c r="G1086" s="39" t="n"/>
      <c r="H1086" s="39" t="n"/>
      <c r="I1086" s="39">
        <f>IF(G1086="","",G1086+N(H1086))</f>
        <v/>
      </c>
      <c r="J1086" s="38" t="n"/>
      <c r="K1086" s="41" t="n"/>
      <c r="L1086" s="38" t="n"/>
      <c r="M1086">
        <f>IF($A1086=Ficha!$B$3,COUNTIF($A$5:$A1086,Ficha!$B$3),"")</f>
        <v/>
      </c>
    </row>
    <row r="1087">
      <c r="A1087" s="36" t="n"/>
      <c r="B1087" s="40">
        <f>IF(A1087="","",IFERROR(INDEX(Maniobras!$B$5:$B$504,MATCH(A1087,Maniobras!$A$5:$A$504,0)),""))</f>
        <v/>
      </c>
      <c r="C1087" s="36">
        <f>IF(B1087="","",TEXT(B1087,"yyyy-mm"))</f>
        <v/>
      </c>
      <c r="D1087" s="36">
        <f>IF(A1087="","",IFERROR(INDEX(Maniobras!$D$5:$D$504,MATCH(A1087,Maniobras!$A$5:$A$504,0)),""))</f>
        <v/>
      </c>
      <c r="E1087" s="36" t="n"/>
      <c r="F1087" s="37">
        <f>IF(A1087="","",IFERROR(INDEX(Maniobras!$K$5:$K$504,MATCH(A1087,Maniobras!$A$5:$A$504,0)),""))</f>
        <v/>
      </c>
      <c r="G1087" s="37" t="n"/>
      <c r="H1087" s="37" t="n"/>
      <c r="I1087" s="37">
        <f>IF(G1087="","",G1087+N(H1087))</f>
        <v/>
      </c>
      <c r="J1087" s="36" t="n"/>
      <c r="K1087" s="40" t="n"/>
      <c r="L1087" s="36" t="n"/>
      <c r="M1087">
        <f>IF($A1087=Ficha!$B$3,COUNTIF($A$5:$A1087,Ficha!$B$3),"")</f>
        <v/>
      </c>
    </row>
    <row r="1088">
      <c r="A1088" s="38" t="n"/>
      <c r="B1088" s="41">
        <f>IF(A1088="","",IFERROR(INDEX(Maniobras!$B$5:$B$504,MATCH(A1088,Maniobras!$A$5:$A$504,0)),""))</f>
        <v/>
      </c>
      <c r="C1088" s="38">
        <f>IF(B1088="","",TEXT(B1088,"yyyy-mm"))</f>
        <v/>
      </c>
      <c r="D1088" s="38">
        <f>IF(A1088="","",IFERROR(INDEX(Maniobras!$D$5:$D$504,MATCH(A1088,Maniobras!$A$5:$A$504,0)),""))</f>
        <v/>
      </c>
      <c r="E1088" s="38" t="n"/>
      <c r="F1088" s="39">
        <f>IF(A1088="","",IFERROR(INDEX(Maniobras!$K$5:$K$504,MATCH(A1088,Maniobras!$A$5:$A$504,0)),""))</f>
        <v/>
      </c>
      <c r="G1088" s="39" t="n"/>
      <c r="H1088" s="39" t="n"/>
      <c r="I1088" s="39">
        <f>IF(G1088="","",G1088+N(H1088))</f>
        <v/>
      </c>
      <c r="J1088" s="38" t="n"/>
      <c r="K1088" s="41" t="n"/>
      <c r="L1088" s="38" t="n"/>
      <c r="M1088">
        <f>IF($A1088=Ficha!$B$3,COUNTIF($A$5:$A1088,Ficha!$B$3),"")</f>
        <v/>
      </c>
    </row>
    <row r="1089">
      <c r="A1089" s="36" t="n"/>
      <c r="B1089" s="40">
        <f>IF(A1089="","",IFERROR(INDEX(Maniobras!$B$5:$B$504,MATCH(A1089,Maniobras!$A$5:$A$504,0)),""))</f>
        <v/>
      </c>
      <c r="C1089" s="36">
        <f>IF(B1089="","",TEXT(B1089,"yyyy-mm"))</f>
        <v/>
      </c>
      <c r="D1089" s="36">
        <f>IF(A1089="","",IFERROR(INDEX(Maniobras!$D$5:$D$504,MATCH(A1089,Maniobras!$A$5:$A$504,0)),""))</f>
        <v/>
      </c>
      <c r="E1089" s="36" t="n"/>
      <c r="F1089" s="37">
        <f>IF(A1089="","",IFERROR(INDEX(Maniobras!$K$5:$K$504,MATCH(A1089,Maniobras!$A$5:$A$504,0)),""))</f>
        <v/>
      </c>
      <c r="G1089" s="37" t="n"/>
      <c r="H1089" s="37" t="n"/>
      <c r="I1089" s="37">
        <f>IF(G1089="","",G1089+N(H1089))</f>
        <v/>
      </c>
      <c r="J1089" s="36" t="n"/>
      <c r="K1089" s="40" t="n"/>
      <c r="L1089" s="36" t="n"/>
      <c r="M1089">
        <f>IF($A1089=Ficha!$B$3,COUNTIF($A$5:$A1089,Ficha!$B$3),"")</f>
        <v/>
      </c>
    </row>
    <row r="1090">
      <c r="A1090" s="38" t="n"/>
      <c r="B1090" s="41">
        <f>IF(A1090="","",IFERROR(INDEX(Maniobras!$B$5:$B$504,MATCH(A1090,Maniobras!$A$5:$A$504,0)),""))</f>
        <v/>
      </c>
      <c r="C1090" s="38">
        <f>IF(B1090="","",TEXT(B1090,"yyyy-mm"))</f>
        <v/>
      </c>
      <c r="D1090" s="38">
        <f>IF(A1090="","",IFERROR(INDEX(Maniobras!$D$5:$D$504,MATCH(A1090,Maniobras!$A$5:$A$504,0)),""))</f>
        <v/>
      </c>
      <c r="E1090" s="38" t="n"/>
      <c r="F1090" s="39">
        <f>IF(A1090="","",IFERROR(INDEX(Maniobras!$K$5:$K$504,MATCH(A1090,Maniobras!$A$5:$A$504,0)),""))</f>
        <v/>
      </c>
      <c r="G1090" s="39" t="n"/>
      <c r="H1090" s="39" t="n"/>
      <c r="I1090" s="39">
        <f>IF(G1090="","",G1090+N(H1090))</f>
        <v/>
      </c>
      <c r="J1090" s="38" t="n"/>
      <c r="K1090" s="41" t="n"/>
      <c r="L1090" s="38" t="n"/>
      <c r="M1090">
        <f>IF($A1090=Ficha!$B$3,COUNTIF($A$5:$A1090,Ficha!$B$3),"")</f>
        <v/>
      </c>
    </row>
    <row r="1091">
      <c r="A1091" s="36" t="n"/>
      <c r="B1091" s="40">
        <f>IF(A1091="","",IFERROR(INDEX(Maniobras!$B$5:$B$504,MATCH(A1091,Maniobras!$A$5:$A$504,0)),""))</f>
        <v/>
      </c>
      <c r="C1091" s="36">
        <f>IF(B1091="","",TEXT(B1091,"yyyy-mm"))</f>
        <v/>
      </c>
      <c r="D1091" s="36">
        <f>IF(A1091="","",IFERROR(INDEX(Maniobras!$D$5:$D$504,MATCH(A1091,Maniobras!$A$5:$A$504,0)),""))</f>
        <v/>
      </c>
      <c r="E1091" s="36" t="n"/>
      <c r="F1091" s="37">
        <f>IF(A1091="","",IFERROR(INDEX(Maniobras!$K$5:$K$504,MATCH(A1091,Maniobras!$A$5:$A$504,0)),""))</f>
        <v/>
      </c>
      <c r="G1091" s="37" t="n"/>
      <c r="H1091" s="37" t="n"/>
      <c r="I1091" s="37">
        <f>IF(G1091="","",G1091+N(H1091))</f>
        <v/>
      </c>
      <c r="J1091" s="36" t="n"/>
      <c r="K1091" s="40" t="n"/>
      <c r="L1091" s="36" t="n"/>
      <c r="M1091">
        <f>IF($A1091=Ficha!$B$3,COUNTIF($A$5:$A1091,Ficha!$B$3),"")</f>
        <v/>
      </c>
    </row>
    <row r="1092">
      <c r="A1092" s="38" t="n"/>
      <c r="B1092" s="41">
        <f>IF(A1092="","",IFERROR(INDEX(Maniobras!$B$5:$B$504,MATCH(A1092,Maniobras!$A$5:$A$504,0)),""))</f>
        <v/>
      </c>
      <c r="C1092" s="38">
        <f>IF(B1092="","",TEXT(B1092,"yyyy-mm"))</f>
        <v/>
      </c>
      <c r="D1092" s="38">
        <f>IF(A1092="","",IFERROR(INDEX(Maniobras!$D$5:$D$504,MATCH(A1092,Maniobras!$A$5:$A$504,0)),""))</f>
        <v/>
      </c>
      <c r="E1092" s="38" t="n"/>
      <c r="F1092" s="39">
        <f>IF(A1092="","",IFERROR(INDEX(Maniobras!$K$5:$K$504,MATCH(A1092,Maniobras!$A$5:$A$504,0)),""))</f>
        <v/>
      </c>
      <c r="G1092" s="39" t="n"/>
      <c r="H1092" s="39" t="n"/>
      <c r="I1092" s="39">
        <f>IF(G1092="","",G1092+N(H1092))</f>
        <v/>
      </c>
      <c r="J1092" s="38" t="n"/>
      <c r="K1092" s="41" t="n"/>
      <c r="L1092" s="38" t="n"/>
      <c r="M1092">
        <f>IF($A1092=Ficha!$B$3,COUNTIF($A$5:$A1092,Ficha!$B$3),"")</f>
        <v/>
      </c>
    </row>
    <row r="1093">
      <c r="A1093" s="36" t="n"/>
      <c r="B1093" s="40">
        <f>IF(A1093="","",IFERROR(INDEX(Maniobras!$B$5:$B$504,MATCH(A1093,Maniobras!$A$5:$A$504,0)),""))</f>
        <v/>
      </c>
      <c r="C1093" s="36">
        <f>IF(B1093="","",TEXT(B1093,"yyyy-mm"))</f>
        <v/>
      </c>
      <c r="D1093" s="36">
        <f>IF(A1093="","",IFERROR(INDEX(Maniobras!$D$5:$D$504,MATCH(A1093,Maniobras!$A$5:$A$504,0)),""))</f>
        <v/>
      </c>
      <c r="E1093" s="36" t="n"/>
      <c r="F1093" s="37">
        <f>IF(A1093="","",IFERROR(INDEX(Maniobras!$K$5:$K$504,MATCH(A1093,Maniobras!$A$5:$A$504,0)),""))</f>
        <v/>
      </c>
      <c r="G1093" s="37" t="n"/>
      <c r="H1093" s="37" t="n"/>
      <c r="I1093" s="37">
        <f>IF(G1093="","",G1093+N(H1093))</f>
        <v/>
      </c>
      <c r="J1093" s="36" t="n"/>
      <c r="K1093" s="40" t="n"/>
      <c r="L1093" s="36" t="n"/>
      <c r="M1093">
        <f>IF($A1093=Ficha!$B$3,COUNTIF($A$5:$A1093,Ficha!$B$3),"")</f>
        <v/>
      </c>
    </row>
    <row r="1094">
      <c r="A1094" s="38" t="n"/>
      <c r="B1094" s="41">
        <f>IF(A1094="","",IFERROR(INDEX(Maniobras!$B$5:$B$504,MATCH(A1094,Maniobras!$A$5:$A$504,0)),""))</f>
        <v/>
      </c>
      <c r="C1094" s="38">
        <f>IF(B1094="","",TEXT(B1094,"yyyy-mm"))</f>
        <v/>
      </c>
      <c r="D1094" s="38">
        <f>IF(A1094="","",IFERROR(INDEX(Maniobras!$D$5:$D$504,MATCH(A1094,Maniobras!$A$5:$A$504,0)),""))</f>
        <v/>
      </c>
      <c r="E1094" s="38" t="n"/>
      <c r="F1094" s="39">
        <f>IF(A1094="","",IFERROR(INDEX(Maniobras!$K$5:$K$504,MATCH(A1094,Maniobras!$A$5:$A$504,0)),""))</f>
        <v/>
      </c>
      <c r="G1094" s="39" t="n"/>
      <c r="H1094" s="39" t="n"/>
      <c r="I1094" s="39">
        <f>IF(G1094="","",G1094+N(H1094))</f>
        <v/>
      </c>
      <c r="J1094" s="38" t="n"/>
      <c r="K1094" s="41" t="n"/>
      <c r="L1094" s="38" t="n"/>
      <c r="M1094">
        <f>IF($A1094=Ficha!$B$3,COUNTIF($A$5:$A1094,Ficha!$B$3),"")</f>
        <v/>
      </c>
    </row>
    <row r="1095">
      <c r="A1095" s="36" t="n"/>
      <c r="B1095" s="40">
        <f>IF(A1095="","",IFERROR(INDEX(Maniobras!$B$5:$B$504,MATCH(A1095,Maniobras!$A$5:$A$504,0)),""))</f>
        <v/>
      </c>
      <c r="C1095" s="36">
        <f>IF(B1095="","",TEXT(B1095,"yyyy-mm"))</f>
        <v/>
      </c>
      <c r="D1095" s="36">
        <f>IF(A1095="","",IFERROR(INDEX(Maniobras!$D$5:$D$504,MATCH(A1095,Maniobras!$A$5:$A$504,0)),""))</f>
        <v/>
      </c>
      <c r="E1095" s="36" t="n"/>
      <c r="F1095" s="37">
        <f>IF(A1095="","",IFERROR(INDEX(Maniobras!$K$5:$K$504,MATCH(A1095,Maniobras!$A$5:$A$504,0)),""))</f>
        <v/>
      </c>
      <c r="G1095" s="37" t="n"/>
      <c r="H1095" s="37" t="n"/>
      <c r="I1095" s="37">
        <f>IF(G1095="","",G1095+N(H1095))</f>
        <v/>
      </c>
      <c r="J1095" s="36" t="n"/>
      <c r="K1095" s="40" t="n"/>
      <c r="L1095" s="36" t="n"/>
      <c r="M1095">
        <f>IF($A1095=Ficha!$B$3,COUNTIF($A$5:$A1095,Ficha!$B$3),"")</f>
        <v/>
      </c>
    </row>
    <row r="1096">
      <c r="A1096" s="38" t="n"/>
      <c r="B1096" s="41">
        <f>IF(A1096="","",IFERROR(INDEX(Maniobras!$B$5:$B$504,MATCH(A1096,Maniobras!$A$5:$A$504,0)),""))</f>
        <v/>
      </c>
      <c r="C1096" s="38">
        <f>IF(B1096="","",TEXT(B1096,"yyyy-mm"))</f>
        <v/>
      </c>
      <c r="D1096" s="38">
        <f>IF(A1096="","",IFERROR(INDEX(Maniobras!$D$5:$D$504,MATCH(A1096,Maniobras!$A$5:$A$504,0)),""))</f>
        <v/>
      </c>
      <c r="E1096" s="38" t="n"/>
      <c r="F1096" s="39">
        <f>IF(A1096="","",IFERROR(INDEX(Maniobras!$K$5:$K$504,MATCH(A1096,Maniobras!$A$5:$A$504,0)),""))</f>
        <v/>
      </c>
      <c r="G1096" s="39" t="n"/>
      <c r="H1096" s="39" t="n"/>
      <c r="I1096" s="39">
        <f>IF(G1096="","",G1096+N(H1096))</f>
        <v/>
      </c>
      <c r="J1096" s="38" t="n"/>
      <c r="K1096" s="41" t="n"/>
      <c r="L1096" s="38" t="n"/>
      <c r="M1096">
        <f>IF($A1096=Ficha!$B$3,COUNTIF($A$5:$A1096,Ficha!$B$3),"")</f>
        <v/>
      </c>
    </row>
    <row r="1097">
      <c r="A1097" s="36" t="n"/>
      <c r="B1097" s="40">
        <f>IF(A1097="","",IFERROR(INDEX(Maniobras!$B$5:$B$504,MATCH(A1097,Maniobras!$A$5:$A$504,0)),""))</f>
        <v/>
      </c>
      <c r="C1097" s="36">
        <f>IF(B1097="","",TEXT(B1097,"yyyy-mm"))</f>
        <v/>
      </c>
      <c r="D1097" s="36">
        <f>IF(A1097="","",IFERROR(INDEX(Maniobras!$D$5:$D$504,MATCH(A1097,Maniobras!$A$5:$A$504,0)),""))</f>
        <v/>
      </c>
      <c r="E1097" s="36" t="n"/>
      <c r="F1097" s="37">
        <f>IF(A1097="","",IFERROR(INDEX(Maniobras!$K$5:$K$504,MATCH(A1097,Maniobras!$A$5:$A$504,0)),""))</f>
        <v/>
      </c>
      <c r="G1097" s="37" t="n"/>
      <c r="H1097" s="37" t="n"/>
      <c r="I1097" s="37">
        <f>IF(G1097="","",G1097+N(H1097))</f>
        <v/>
      </c>
      <c r="J1097" s="36" t="n"/>
      <c r="K1097" s="40" t="n"/>
      <c r="L1097" s="36" t="n"/>
      <c r="M1097">
        <f>IF($A1097=Ficha!$B$3,COUNTIF($A$5:$A1097,Ficha!$B$3),"")</f>
        <v/>
      </c>
    </row>
    <row r="1098">
      <c r="A1098" s="38" t="n"/>
      <c r="B1098" s="41">
        <f>IF(A1098="","",IFERROR(INDEX(Maniobras!$B$5:$B$504,MATCH(A1098,Maniobras!$A$5:$A$504,0)),""))</f>
        <v/>
      </c>
      <c r="C1098" s="38">
        <f>IF(B1098="","",TEXT(B1098,"yyyy-mm"))</f>
        <v/>
      </c>
      <c r="D1098" s="38">
        <f>IF(A1098="","",IFERROR(INDEX(Maniobras!$D$5:$D$504,MATCH(A1098,Maniobras!$A$5:$A$504,0)),""))</f>
        <v/>
      </c>
      <c r="E1098" s="38" t="n"/>
      <c r="F1098" s="39">
        <f>IF(A1098="","",IFERROR(INDEX(Maniobras!$K$5:$K$504,MATCH(A1098,Maniobras!$A$5:$A$504,0)),""))</f>
        <v/>
      </c>
      <c r="G1098" s="39" t="n"/>
      <c r="H1098" s="39" t="n"/>
      <c r="I1098" s="39">
        <f>IF(G1098="","",G1098+N(H1098))</f>
        <v/>
      </c>
      <c r="J1098" s="38" t="n"/>
      <c r="K1098" s="41" t="n"/>
      <c r="L1098" s="38" t="n"/>
      <c r="M1098">
        <f>IF($A1098=Ficha!$B$3,COUNTIF($A$5:$A1098,Ficha!$B$3),"")</f>
        <v/>
      </c>
    </row>
    <row r="1099">
      <c r="A1099" s="36" t="n"/>
      <c r="B1099" s="40">
        <f>IF(A1099="","",IFERROR(INDEX(Maniobras!$B$5:$B$504,MATCH(A1099,Maniobras!$A$5:$A$504,0)),""))</f>
        <v/>
      </c>
      <c r="C1099" s="36">
        <f>IF(B1099="","",TEXT(B1099,"yyyy-mm"))</f>
        <v/>
      </c>
      <c r="D1099" s="36">
        <f>IF(A1099="","",IFERROR(INDEX(Maniobras!$D$5:$D$504,MATCH(A1099,Maniobras!$A$5:$A$504,0)),""))</f>
        <v/>
      </c>
      <c r="E1099" s="36" t="n"/>
      <c r="F1099" s="37">
        <f>IF(A1099="","",IFERROR(INDEX(Maniobras!$K$5:$K$504,MATCH(A1099,Maniobras!$A$5:$A$504,0)),""))</f>
        <v/>
      </c>
      <c r="G1099" s="37" t="n"/>
      <c r="H1099" s="37" t="n"/>
      <c r="I1099" s="37">
        <f>IF(G1099="","",G1099+N(H1099))</f>
        <v/>
      </c>
      <c r="J1099" s="36" t="n"/>
      <c r="K1099" s="40" t="n"/>
      <c r="L1099" s="36" t="n"/>
      <c r="M1099">
        <f>IF($A1099=Ficha!$B$3,COUNTIF($A$5:$A1099,Ficha!$B$3),"")</f>
        <v/>
      </c>
    </row>
    <row r="1100">
      <c r="A1100" s="38" t="n"/>
      <c r="B1100" s="41">
        <f>IF(A1100="","",IFERROR(INDEX(Maniobras!$B$5:$B$504,MATCH(A1100,Maniobras!$A$5:$A$504,0)),""))</f>
        <v/>
      </c>
      <c r="C1100" s="38">
        <f>IF(B1100="","",TEXT(B1100,"yyyy-mm"))</f>
        <v/>
      </c>
      <c r="D1100" s="38">
        <f>IF(A1100="","",IFERROR(INDEX(Maniobras!$D$5:$D$504,MATCH(A1100,Maniobras!$A$5:$A$504,0)),""))</f>
        <v/>
      </c>
      <c r="E1100" s="38" t="n"/>
      <c r="F1100" s="39">
        <f>IF(A1100="","",IFERROR(INDEX(Maniobras!$K$5:$K$504,MATCH(A1100,Maniobras!$A$5:$A$504,0)),""))</f>
        <v/>
      </c>
      <c r="G1100" s="39" t="n"/>
      <c r="H1100" s="39" t="n"/>
      <c r="I1100" s="39">
        <f>IF(G1100="","",G1100+N(H1100))</f>
        <v/>
      </c>
      <c r="J1100" s="38" t="n"/>
      <c r="K1100" s="41" t="n"/>
      <c r="L1100" s="38" t="n"/>
      <c r="M1100">
        <f>IF($A1100=Ficha!$B$3,COUNTIF($A$5:$A1100,Ficha!$B$3),"")</f>
        <v/>
      </c>
    </row>
    <row r="1101">
      <c r="A1101" s="36" t="n"/>
      <c r="B1101" s="40">
        <f>IF(A1101="","",IFERROR(INDEX(Maniobras!$B$5:$B$504,MATCH(A1101,Maniobras!$A$5:$A$504,0)),""))</f>
        <v/>
      </c>
      <c r="C1101" s="36">
        <f>IF(B1101="","",TEXT(B1101,"yyyy-mm"))</f>
        <v/>
      </c>
      <c r="D1101" s="36">
        <f>IF(A1101="","",IFERROR(INDEX(Maniobras!$D$5:$D$504,MATCH(A1101,Maniobras!$A$5:$A$504,0)),""))</f>
        <v/>
      </c>
      <c r="E1101" s="36" t="n"/>
      <c r="F1101" s="37">
        <f>IF(A1101="","",IFERROR(INDEX(Maniobras!$K$5:$K$504,MATCH(A1101,Maniobras!$A$5:$A$504,0)),""))</f>
        <v/>
      </c>
      <c r="G1101" s="37" t="n"/>
      <c r="H1101" s="37" t="n"/>
      <c r="I1101" s="37">
        <f>IF(G1101="","",G1101+N(H1101))</f>
        <v/>
      </c>
      <c r="J1101" s="36" t="n"/>
      <c r="K1101" s="40" t="n"/>
      <c r="L1101" s="36" t="n"/>
      <c r="M1101">
        <f>IF($A1101=Ficha!$B$3,COUNTIF($A$5:$A1101,Ficha!$B$3),"")</f>
        <v/>
      </c>
    </row>
    <row r="1102">
      <c r="A1102" s="38" t="n"/>
      <c r="B1102" s="41">
        <f>IF(A1102="","",IFERROR(INDEX(Maniobras!$B$5:$B$504,MATCH(A1102,Maniobras!$A$5:$A$504,0)),""))</f>
        <v/>
      </c>
      <c r="C1102" s="38">
        <f>IF(B1102="","",TEXT(B1102,"yyyy-mm"))</f>
        <v/>
      </c>
      <c r="D1102" s="38">
        <f>IF(A1102="","",IFERROR(INDEX(Maniobras!$D$5:$D$504,MATCH(A1102,Maniobras!$A$5:$A$504,0)),""))</f>
        <v/>
      </c>
      <c r="E1102" s="38" t="n"/>
      <c r="F1102" s="39">
        <f>IF(A1102="","",IFERROR(INDEX(Maniobras!$K$5:$K$504,MATCH(A1102,Maniobras!$A$5:$A$504,0)),""))</f>
        <v/>
      </c>
      <c r="G1102" s="39" t="n"/>
      <c r="H1102" s="39" t="n"/>
      <c r="I1102" s="39">
        <f>IF(G1102="","",G1102+N(H1102))</f>
        <v/>
      </c>
      <c r="J1102" s="38" t="n"/>
      <c r="K1102" s="41" t="n"/>
      <c r="L1102" s="38" t="n"/>
      <c r="M1102">
        <f>IF($A1102=Ficha!$B$3,COUNTIF($A$5:$A1102,Ficha!$B$3),"")</f>
        <v/>
      </c>
    </row>
    <row r="1103">
      <c r="A1103" s="36" t="n"/>
      <c r="B1103" s="40">
        <f>IF(A1103="","",IFERROR(INDEX(Maniobras!$B$5:$B$504,MATCH(A1103,Maniobras!$A$5:$A$504,0)),""))</f>
        <v/>
      </c>
      <c r="C1103" s="36">
        <f>IF(B1103="","",TEXT(B1103,"yyyy-mm"))</f>
        <v/>
      </c>
      <c r="D1103" s="36">
        <f>IF(A1103="","",IFERROR(INDEX(Maniobras!$D$5:$D$504,MATCH(A1103,Maniobras!$A$5:$A$504,0)),""))</f>
        <v/>
      </c>
      <c r="E1103" s="36" t="n"/>
      <c r="F1103" s="37">
        <f>IF(A1103="","",IFERROR(INDEX(Maniobras!$K$5:$K$504,MATCH(A1103,Maniobras!$A$5:$A$504,0)),""))</f>
        <v/>
      </c>
      <c r="G1103" s="37" t="n"/>
      <c r="H1103" s="37" t="n"/>
      <c r="I1103" s="37">
        <f>IF(G1103="","",G1103+N(H1103))</f>
        <v/>
      </c>
      <c r="J1103" s="36" t="n"/>
      <c r="K1103" s="40" t="n"/>
      <c r="L1103" s="36" t="n"/>
      <c r="M1103">
        <f>IF($A1103=Ficha!$B$3,COUNTIF($A$5:$A1103,Ficha!$B$3),"")</f>
        <v/>
      </c>
    </row>
    <row r="1104">
      <c r="A1104" s="38" t="n"/>
      <c r="B1104" s="41">
        <f>IF(A1104="","",IFERROR(INDEX(Maniobras!$B$5:$B$504,MATCH(A1104,Maniobras!$A$5:$A$504,0)),""))</f>
        <v/>
      </c>
      <c r="C1104" s="38">
        <f>IF(B1104="","",TEXT(B1104,"yyyy-mm"))</f>
        <v/>
      </c>
      <c r="D1104" s="38">
        <f>IF(A1104="","",IFERROR(INDEX(Maniobras!$D$5:$D$504,MATCH(A1104,Maniobras!$A$5:$A$504,0)),""))</f>
        <v/>
      </c>
      <c r="E1104" s="38" t="n"/>
      <c r="F1104" s="39">
        <f>IF(A1104="","",IFERROR(INDEX(Maniobras!$K$5:$K$504,MATCH(A1104,Maniobras!$A$5:$A$504,0)),""))</f>
        <v/>
      </c>
      <c r="G1104" s="39" t="n"/>
      <c r="H1104" s="39" t="n"/>
      <c r="I1104" s="39">
        <f>IF(G1104="","",G1104+N(H1104))</f>
        <v/>
      </c>
      <c r="J1104" s="38" t="n"/>
      <c r="K1104" s="41" t="n"/>
      <c r="L1104" s="38" t="n"/>
      <c r="M1104">
        <f>IF($A1104=Ficha!$B$3,COUNTIF($A$5:$A1104,Ficha!$B$3),"")</f>
        <v/>
      </c>
    </row>
    <row r="1105">
      <c r="A1105" s="36" t="n"/>
      <c r="B1105" s="40">
        <f>IF(A1105="","",IFERROR(INDEX(Maniobras!$B$5:$B$504,MATCH(A1105,Maniobras!$A$5:$A$504,0)),""))</f>
        <v/>
      </c>
      <c r="C1105" s="36">
        <f>IF(B1105="","",TEXT(B1105,"yyyy-mm"))</f>
        <v/>
      </c>
      <c r="D1105" s="36">
        <f>IF(A1105="","",IFERROR(INDEX(Maniobras!$D$5:$D$504,MATCH(A1105,Maniobras!$A$5:$A$504,0)),""))</f>
        <v/>
      </c>
      <c r="E1105" s="36" t="n"/>
      <c r="F1105" s="37">
        <f>IF(A1105="","",IFERROR(INDEX(Maniobras!$K$5:$K$504,MATCH(A1105,Maniobras!$A$5:$A$504,0)),""))</f>
        <v/>
      </c>
      <c r="G1105" s="37" t="n"/>
      <c r="H1105" s="37" t="n"/>
      <c r="I1105" s="37">
        <f>IF(G1105="","",G1105+N(H1105))</f>
        <v/>
      </c>
      <c r="J1105" s="36" t="n"/>
      <c r="K1105" s="40" t="n"/>
      <c r="L1105" s="36" t="n"/>
      <c r="M1105">
        <f>IF($A1105=Ficha!$B$3,COUNTIF($A$5:$A1105,Ficha!$B$3),"")</f>
        <v/>
      </c>
    </row>
    <row r="1106">
      <c r="A1106" s="38" t="n"/>
      <c r="B1106" s="41">
        <f>IF(A1106="","",IFERROR(INDEX(Maniobras!$B$5:$B$504,MATCH(A1106,Maniobras!$A$5:$A$504,0)),""))</f>
        <v/>
      </c>
      <c r="C1106" s="38">
        <f>IF(B1106="","",TEXT(B1106,"yyyy-mm"))</f>
        <v/>
      </c>
      <c r="D1106" s="38">
        <f>IF(A1106="","",IFERROR(INDEX(Maniobras!$D$5:$D$504,MATCH(A1106,Maniobras!$A$5:$A$504,0)),""))</f>
        <v/>
      </c>
      <c r="E1106" s="38" t="n"/>
      <c r="F1106" s="39">
        <f>IF(A1106="","",IFERROR(INDEX(Maniobras!$K$5:$K$504,MATCH(A1106,Maniobras!$A$5:$A$504,0)),""))</f>
        <v/>
      </c>
      <c r="G1106" s="39" t="n"/>
      <c r="H1106" s="39" t="n"/>
      <c r="I1106" s="39">
        <f>IF(G1106="","",G1106+N(H1106))</f>
        <v/>
      </c>
      <c r="J1106" s="38" t="n"/>
      <c r="K1106" s="41" t="n"/>
      <c r="L1106" s="38" t="n"/>
      <c r="M1106">
        <f>IF($A1106=Ficha!$B$3,COUNTIF($A$5:$A1106,Ficha!$B$3),"")</f>
        <v/>
      </c>
    </row>
    <row r="1107">
      <c r="A1107" s="36" t="n"/>
      <c r="B1107" s="40">
        <f>IF(A1107="","",IFERROR(INDEX(Maniobras!$B$5:$B$504,MATCH(A1107,Maniobras!$A$5:$A$504,0)),""))</f>
        <v/>
      </c>
      <c r="C1107" s="36">
        <f>IF(B1107="","",TEXT(B1107,"yyyy-mm"))</f>
        <v/>
      </c>
      <c r="D1107" s="36">
        <f>IF(A1107="","",IFERROR(INDEX(Maniobras!$D$5:$D$504,MATCH(A1107,Maniobras!$A$5:$A$504,0)),""))</f>
        <v/>
      </c>
      <c r="E1107" s="36" t="n"/>
      <c r="F1107" s="37">
        <f>IF(A1107="","",IFERROR(INDEX(Maniobras!$K$5:$K$504,MATCH(A1107,Maniobras!$A$5:$A$504,0)),""))</f>
        <v/>
      </c>
      <c r="G1107" s="37" t="n"/>
      <c r="H1107" s="37" t="n"/>
      <c r="I1107" s="37">
        <f>IF(G1107="","",G1107+N(H1107))</f>
        <v/>
      </c>
      <c r="J1107" s="36" t="n"/>
      <c r="K1107" s="40" t="n"/>
      <c r="L1107" s="36" t="n"/>
      <c r="M1107">
        <f>IF($A1107=Ficha!$B$3,COUNTIF($A$5:$A1107,Ficha!$B$3),"")</f>
        <v/>
      </c>
    </row>
    <row r="1108">
      <c r="A1108" s="38" t="n"/>
      <c r="B1108" s="41">
        <f>IF(A1108="","",IFERROR(INDEX(Maniobras!$B$5:$B$504,MATCH(A1108,Maniobras!$A$5:$A$504,0)),""))</f>
        <v/>
      </c>
      <c r="C1108" s="38">
        <f>IF(B1108="","",TEXT(B1108,"yyyy-mm"))</f>
        <v/>
      </c>
      <c r="D1108" s="38">
        <f>IF(A1108="","",IFERROR(INDEX(Maniobras!$D$5:$D$504,MATCH(A1108,Maniobras!$A$5:$A$504,0)),""))</f>
        <v/>
      </c>
      <c r="E1108" s="38" t="n"/>
      <c r="F1108" s="39">
        <f>IF(A1108="","",IFERROR(INDEX(Maniobras!$K$5:$K$504,MATCH(A1108,Maniobras!$A$5:$A$504,0)),""))</f>
        <v/>
      </c>
      <c r="G1108" s="39" t="n"/>
      <c r="H1108" s="39" t="n"/>
      <c r="I1108" s="39">
        <f>IF(G1108="","",G1108+N(H1108))</f>
        <v/>
      </c>
      <c r="J1108" s="38" t="n"/>
      <c r="K1108" s="41" t="n"/>
      <c r="L1108" s="38" t="n"/>
      <c r="M1108">
        <f>IF($A1108=Ficha!$B$3,COUNTIF($A$5:$A1108,Ficha!$B$3),"")</f>
        <v/>
      </c>
    </row>
    <row r="1109">
      <c r="A1109" s="36" t="n"/>
      <c r="B1109" s="40">
        <f>IF(A1109="","",IFERROR(INDEX(Maniobras!$B$5:$B$504,MATCH(A1109,Maniobras!$A$5:$A$504,0)),""))</f>
        <v/>
      </c>
      <c r="C1109" s="36">
        <f>IF(B1109="","",TEXT(B1109,"yyyy-mm"))</f>
        <v/>
      </c>
      <c r="D1109" s="36">
        <f>IF(A1109="","",IFERROR(INDEX(Maniobras!$D$5:$D$504,MATCH(A1109,Maniobras!$A$5:$A$504,0)),""))</f>
        <v/>
      </c>
      <c r="E1109" s="36" t="n"/>
      <c r="F1109" s="37">
        <f>IF(A1109="","",IFERROR(INDEX(Maniobras!$K$5:$K$504,MATCH(A1109,Maniobras!$A$5:$A$504,0)),""))</f>
        <v/>
      </c>
      <c r="G1109" s="37" t="n"/>
      <c r="H1109" s="37" t="n"/>
      <c r="I1109" s="37">
        <f>IF(G1109="","",G1109+N(H1109))</f>
        <v/>
      </c>
      <c r="J1109" s="36" t="n"/>
      <c r="K1109" s="40" t="n"/>
      <c r="L1109" s="36" t="n"/>
      <c r="M1109">
        <f>IF($A1109=Ficha!$B$3,COUNTIF($A$5:$A1109,Ficha!$B$3),"")</f>
        <v/>
      </c>
    </row>
    <row r="1110">
      <c r="A1110" s="38" t="n"/>
      <c r="B1110" s="41">
        <f>IF(A1110="","",IFERROR(INDEX(Maniobras!$B$5:$B$504,MATCH(A1110,Maniobras!$A$5:$A$504,0)),""))</f>
        <v/>
      </c>
      <c r="C1110" s="38">
        <f>IF(B1110="","",TEXT(B1110,"yyyy-mm"))</f>
        <v/>
      </c>
      <c r="D1110" s="38">
        <f>IF(A1110="","",IFERROR(INDEX(Maniobras!$D$5:$D$504,MATCH(A1110,Maniobras!$A$5:$A$504,0)),""))</f>
        <v/>
      </c>
      <c r="E1110" s="38" t="n"/>
      <c r="F1110" s="39">
        <f>IF(A1110="","",IFERROR(INDEX(Maniobras!$K$5:$K$504,MATCH(A1110,Maniobras!$A$5:$A$504,0)),""))</f>
        <v/>
      </c>
      <c r="G1110" s="39" t="n"/>
      <c r="H1110" s="39" t="n"/>
      <c r="I1110" s="39">
        <f>IF(G1110="","",G1110+N(H1110))</f>
        <v/>
      </c>
      <c r="J1110" s="38" t="n"/>
      <c r="K1110" s="41" t="n"/>
      <c r="L1110" s="38" t="n"/>
      <c r="M1110">
        <f>IF($A1110=Ficha!$B$3,COUNTIF($A$5:$A1110,Ficha!$B$3),"")</f>
        <v/>
      </c>
    </row>
    <row r="1111">
      <c r="A1111" s="36" t="n"/>
      <c r="B1111" s="40">
        <f>IF(A1111="","",IFERROR(INDEX(Maniobras!$B$5:$B$504,MATCH(A1111,Maniobras!$A$5:$A$504,0)),""))</f>
        <v/>
      </c>
      <c r="C1111" s="36">
        <f>IF(B1111="","",TEXT(B1111,"yyyy-mm"))</f>
        <v/>
      </c>
      <c r="D1111" s="36">
        <f>IF(A1111="","",IFERROR(INDEX(Maniobras!$D$5:$D$504,MATCH(A1111,Maniobras!$A$5:$A$504,0)),""))</f>
        <v/>
      </c>
      <c r="E1111" s="36" t="n"/>
      <c r="F1111" s="37">
        <f>IF(A1111="","",IFERROR(INDEX(Maniobras!$K$5:$K$504,MATCH(A1111,Maniobras!$A$5:$A$504,0)),""))</f>
        <v/>
      </c>
      <c r="G1111" s="37" t="n"/>
      <c r="H1111" s="37" t="n"/>
      <c r="I1111" s="37">
        <f>IF(G1111="","",G1111+N(H1111))</f>
        <v/>
      </c>
      <c r="J1111" s="36" t="n"/>
      <c r="K1111" s="40" t="n"/>
      <c r="L1111" s="36" t="n"/>
      <c r="M1111">
        <f>IF($A1111=Ficha!$B$3,COUNTIF($A$5:$A1111,Ficha!$B$3),"")</f>
        <v/>
      </c>
    </row>
    <row r="1112">
      <c r="A1112" s="38" t="n"/>
      <c r="B1112" s="41">
        <f>IF(A1112="","",IFERROR(INDEX(Maniobras!$B$5:$B$504,MATCH(A1112,Maniobras!$A$5:$A$504,0)),""))</f>
        <v/>
      </c>
      <c r="C1112" s="38">
        <f>IF(B1112="","",TEXT(B1112,"yyyy-mm"))</f>
        <v/>
      </c>
      <c r="D1112" s="38">
        <f>IF(A1112="","",IFERROR(INDEX(Maniobras!$D$5:$D$504,MATCH(A1112,Maniobras!$A$5:$A$504,0)),""))</f>
        <v/>
      </c>
      <c r="E1112" s="38" t="n"/>
      <c r="F1112" s="39">
        <f>IF(A1112="","",IFERROR(INDEX(Maniobras!$K$5:$K$504,MATCH(A1112,Maniobras!$A$5:$A$504,0)),""))</f>
        <v/>
      </c>
      <c r="G1112" s="39" t="n"/>
      <c r="H1112" s="39" t="n"/>
      <c r="I1112" s="39">
        <f>IF(G1112="","",G1112+N(H1112))</f>
        <v/>
      </c>
      <c r="J1112" s="38" t="n"/>
      <c r="K1112" s="41" t="n"/>
      <c r="L1112" s="38" t="n"/>
      <c r="M1112">
        <f>IF($A1112=Ficha!$B$3,COUNTIF($A$5:$A1112,Ficha!$B$3),"")</f>
        <v/>
      </c>
    </row>
    <row r="1113">
      <c r="A1113" s="36" t="n"/>
      <c r="B1113" s="40">
        <f>IF(A1113="","",IFERROR(INDEX(Maniobras!$B$5:$B$504,MATCH(A1113,Maniobras!$A$5:$A$504,0)),""))</f>
        <v/>
      </c>
      <c r="C1113" s="36">
        <f>IF(B1113="","",TEXT(B1113,"yyyy-mm"))</f>
        <v/>
      </c>
      <c r="D1113" s="36">
        <f>IF(A1113="","",IFERROR(INDEX(Maniobras!$D$5:$D$504,MATCH(A1113,Maniobras!$A$5:$A$504,0)),""))</f>
        <v/>
      </c>
      <c r="E1113" s="36" t="n"/>
      <c r="F1113" s="37">
        <f>IF(A1113="","",IFERROR(INDEX(Maniobras!$K$5:$K$504,MATCH(A1113,Maniobras!$A$5:$A$504,0)),""))</f>
        <v/>
      </c>
      <c r="G1113" s="37" t="n"/>
      <c r="H1113" s="37" t="n"/>
      <c r="I1113" s="37">
        <f>IF(G1113="","",G1113+N(H1113))</f>
        <v/>
      </c>
      <c r="J1113" s="36" t="n"/>
      <c r="K1113" s="40" t="n"/>
      <c r="L1113" s="36" t="n"/>
      <c r="M1113">
        <f>IF($A1113=Ficha!$B$3,COUNTIF($A$5:$A1113,Ficha!$B$3),"")</f>
        <v/>
      </c>
    </row>
    <row r="1114">
      <c r="A1114" s="38" t="n"/>
      <c r="B1114" s="41">
        <f>IF(A1114="","",IFERROR(INDEX(Maniobras!$B$5:$B$504,MATCH(A1114,Maniobras!$A$5:$A$504,0)),""))</f>
        <v/>
      </c>
      <c r="C1114" s="38">
        <f>IF(B1114="","",TEXT(B1114,"yyyy-mm"))</f>
        <v/>
      </c>
      <c r="D1114" s="38">
        <f>IF(A1114="","",IFERROR(INDEX(Maniobras!$D$5:$D$504,MATCH(A1114,Maniobras!$A$5:$A$504,0)),""))</f>
        <v/>
      </c>
      <c r="E1114" s="38" t="n"/>
      <c r="F1114" s="39">
        <f>IF(A1114="","",IFERROR(INDEX(Maniobras!$K$5:$K$504,MATCH(A1114,Maniobras!$A$5:$A$504,0)),""))</f>
        <v/>
      </c>
      <c r="G1114" s="39" t="n"/>
      <c r="H1114" s="39" t="n"/>
      <c r="I1114" s="39">
        <f>IF(G1114="","",G1114+N(H1114))</f>
        <v/>
      </c>
      <c r="J1114" s="38" t="n"/>
      <c r="K1114" s="41" t="n"/>
      <c r="L1114" s="38" t="n"/>
      <c r="M1114">
        <f>IF($A1114=Ficha!$B$3,COUNTIF($A$5:$A1114,Ficha!$B$3),"")</f>
        <v/>
      </c>
    </row>
    <row r="1115">
      <c r="A1115" s="36" t="n"/>
      <c r="B1115" s="40">
        <f>IF(A1115="","",IFERROR(INDEX(Maniobras!$B$5:$B$504,MATCH(A1115,Maniobras!$A$5:$A$504,0)),""))</f>
        <v/>
      </c>
      <c r="C1115" s="36">
        <f>IF(B1115="","",TEXT(B1115,"yyyy-mm"))</f>
        <v/>
      </c>
      <c r="D1115" s="36">
        <f>IF(A1115="","",IFERROR(INDEX(Maniobras!$D$5:$D$504,MATCH(A1115,Maniobras!$A$5:$A$504,0)),""))</f>
        <v/>
      </c>
      <c r="E1115" s="36" t="n"/>
      <c r="F1115" s="37">
        <f>IF(A1115="","",IFERROR(INDEX(Maniobras!$K$5:$K$504,MATCH(A1115,Maniobras!$A$5:$A$504,0)),""))</f>
        <v/>
      </c>
      <c r="G1115" s="37" t="n"/>
      <c r="H1115" s="37" t="n"/>
      <c r="I1115" s="37">
        <f>IF(G1115="","",G1115+N(H1115))</f>
        <v/>
      </c>
      <c r="J1115" s="36" t="n"/>
      <c r="K1115" s="40" t="n"/>
      <c r="L1115" s="36" t="n"/>
      <c r="M1115">
        <f>IF($A1115=Ficha!$B$3,COUNTIF($A$5:$A1115,Ficha!$B$3),"")</f>
        <v/>
      </c>
    </row>
    <row r="1116">
      <c r="A1116" s="38" t="n"/>
      <c r="B1116" s="41">
        <f>IF(A1116="","",IFERROR(INDEX(Maniobras!$B$5:$B$504,MATCH(A1116,Maniobras!$A$5:$A$504,0)),""))</f>
        <v/>
      </c>
      <c r="C1116" s="38">
        <f>IF(B1116="","",TEXT(B1116,"yyyy-mm"))</f>
        <v/>
      </c>
      <c r="D1116" s="38">
        <f>IF(A1116="","",IFERROR(INDEX(Maniobras!$D$5:$D$504,MATCH(A1116,Maniobras!$A$5:$A$504,0)),""))</f>
        <v/>
      </c>
      <c r="E1116" s="38" t="n"/>
      <c r="F1116" s="39">
        <f>IF(A1116="","",IFERROR(INDEX(Maniobras!$K$5:$K$504,MATCH(A1116,Maniobras!$A$5:$A$504,0)),""))</f>
        <v/>
      </c>
      <c r="G1116" s="39" t="n"/>
      <c r="H1116" s="39" t="n"/>
      <c r="I1116" s="39">
        <f>IF(G1116="","",G1116+N(H1116))</f>
        <v/>
      </c>
      <c r="J1116" s="38" t="n"/>
      <c r="K1116" s="41" t="n"/>
      <c r="L1116" s="38" t="n"/>
      <c r="M1116">
        <f>IF($A1116=Ficha!$B$3,COUNTIF($A$5:$A1116,Ficha!$B$3),"")</f>
        <v/>
      </c>
    </row>
    <row r="1117">
      <c r="A1117" s="36" t="n"/>
      <c r="B1117" s="40">
        <f>IF(A1117="","",IFERROR(INDEX(Maniobras!$B$5:$B$504,MATCH(A1117,Maniobras!$A$5:$A$504,0)),""))</f>
        <v/>
      </c>
      <c r="C1117" s="36">
        <f>IF(B1117="","",TEXT(B1117,"yyyy-mm"))</f>
        <v/>
      </c>
      <c r="D1117" s="36">
        <f>IF(A1117="","",IFERROR(INDEX(Maniobras!$D$5:$D$504,MATCH(A1117,Maniobras!$A$5:$A$504,0)),""))</f>
        <v/>
      </c>
      <c r="E1117" s="36" t="n"/>
      <c r="F1117" s="37">
        <f>IF(A1117="","",IFERROR(INDEX(Maniobras!$K$5:$K$504,MATCH(A1117,Maniobras!$A$5:$A$504,0)),""))</f>
        <v/>
      </c>
      <c r="G1117" s="37" t="n"/>
      <c r="H1117" s="37" t="n"/>
      <c r="I1117" s="37">
        <f>IF(G1117="","",G1117+N(H1117))</f>
        <v/>
      </c>
      <c r="J1117" s="36" t="n"/>
      <c r="K1117" s="40" t="n"/>
      <c r="L1117" s="36" t="n"/>
      <c r="M1117">
        <f>IF($A1117=Ficha!$B$3,COUNTIF($A$5:$A1117,Ficha!$B$3),"")</f>
        <v/>
      </c>
    </row>
    <row r="1118">
      <c r="A1118" s="38" t="n"/>
      <c r="B1118" s="41">
        <f>IF(A1118="","",IFERROR(INDEX(Maniobras!$B$5:$B$504,MATCH(A1118,Maniobras!$A$5:$A$504,0)),""))</f>
        <v/>
      </c>
      <c r="C1118" s="38">
        <f>IF(B1118="","",TEXT(B1118,"yyyy-mm"))</f>
        <v/>
      </c>
      <c r="D1118" s="38">
        <f>IF(A1118="","",IFERROR(INDEX(Maniobras!$D$5:$D$504,MATCH(A1118,Maniobras!$A$5:$A$504,0)),""))</f>
        <v/>
      </c>
      <c r="E1118" s="38" t="n"/>
      <c r="F1118" s="39">
        <f>IF(A1118="","",IFERROR(INDEX(Maniobras!$K$5:$K$504,MATCH(A1118,Maniobras!$A$5:$A$504,0)),""))</f>
        <v/>
      </c>
      <c r="G1118" s="39" t="n"/>
      <c r="H1118" s="39" t="n"/>
      <c r="I1118" s="39">
        <f>IF(G1118="","",G1118+N(H1118))</f>
        <v/>
      </c>
      <c r="J1118" s="38" t="n"/>
      <c r="K1118" s="41" t="n"/>
      <c r="L1118" s="38" t="n"/>
      <c r="M1118">
        <f>IF($A1118=Ficha!$B$3,COUNTIF($A$5:$A1118,Ficha!$B$3),"")</f>
        <v/>
      </c>
    </row>
    <row r="1119">
      <c r="A1119" s="36" t="n"/>
      <c r="B1119" s="40">
        <f>IF(A1119="","",IFERROR(INDEX(Maniobras!$B$5:$B$504,MATCH(A1119,Maniobras!$A$5:$A$504,0)),""))</f>
        <v/>
      </c>
      <c r="C1119" s="36">
        <f>IF(B1119="","",TEXT(B1119,"yyyy-mm"))</f>
        <v/>
      </c>
      <c r="D1119" s="36">
        <f>IF(A1119="","",IFERROR(INDEX(Maniobras!$D$5:$D$504,MATCH(A1119,Maniobras!$A$5:$A$504,0)),""))</f>
        <v/>
      </c>
      <c r="E1119" s="36" t="n"/>
      <c r="F1119" s="37">
        <f>IF(A1119="","",IFERROR(INDEX(Maniobras!$K$5:$K$504,MATCH(A1119,Maniobras!$A$5:$A$504,0)),""))</f>
        <v/>
      </c>
      <c r="G1119" s="37" t="n"/>
      <c r="H1119" s="37" t="n"/>
      <c r="I1119" s="37">
        <f>IF(G1119="","",G1119+N(H1119))</f>
        <v/>
      </c>
      <c r="J1119" s="36" t="n"/>
      <c r="K1119" s="40" t="n"/>
      <c r="L1119" s="36" t="n"/>
      <c r="M1119">
        <f>IF($A1119=Ficha!$B$3,COUNTIF($A$5:$A1119,Ficha!$B$3),"")</f>
        <v/>
      </c>
    </row>
    <row r="1120">
      <c r="A1120" s="38" t="n"/>
      <c r="B1120" s="41">
        <f>IF(A1120="","",IFERROR(INDEX(Maniobras!$B$5:$B$504,MATCH(A1120,Maniobras!$A$5:$A$504,0)),""))</f>
        <v/>
      </c>
      <c r="C1120" s="38">
        <f>IF(B1120="","",TEXT(B1120,"yyyy-mm"))</f>
        <v/>
      </c>
      <c r="D1120" s="38">
        <f>IF(A1120="","",IFERROR(INDEX(Maniobras!$D$5:$D$504,MATCH(A1120,Maniobras!$A$5:$A$504,0)),""))</f>
        <v/>
      </c>
      <c r="E1120" s="38" t="n"/>
      <c r="F1120" s="39">
        <f>IF(A1120="","",IFERROR(INDEX(Maniobras!$K$5:$K$504,MATCH(A1120,Maniobras!$A$5:$A$504,0)),""))</f>
        <v/>
      </c>
      <c r="G1120" s="39" t="n"/>
      <c r="H1120" s="39" t="n"/>
      <c r="I1120" s="39">
        <f>IF(G1120="","",G1120+N(H1120))</f>
        <v/>
      </c>
      <c r="J1120" s="38" t="n"/>
      <c r="K1120" s="41" t="n"/>
      <c r="L1120" s="38" t="n"/>
      <c r="M1120">
        <f>IF($A1120=Ficha!$B$3,COUNTIF($A$5:$A1120,Ficha!$B$3),"")</f>
        <v/>
      </c>
    </row>
    <row r="1121">
      <c r="A1121" s="36" t="n"/>
      <c r="B1121" s="40">
        <f>IF(A1121="","",IFERROR(INDEX(Maniobras!$B$5:$B$504,MATCH(A1121,Maniobras!$A$5:$A$504,0)),""))</f>
        <v/>
      </c>
      <c r="C1121" s="36">
        <f>IF(B1121="","",TEXT(B1121,"yyyy-mm"))</f>
        <v/>
      </c>
      <c r="D1121" s="36">
        <f>IF(A1121="","",IFERROR(INDEX(Maniobras!$D$5:$D$504,MATCH(A1121,Maniobras!$A$5:$A$504,0)),""))</f>
        <v/>
      </c>
      <c r="E1121" s="36" t="n"/>
      <c r="F1121" s="37">
        <f>IF(A1121="","",IFERROR(INDEX(Maniobras!$K$5:$K$504,MATCH(A1121,Maniobras!$A$5:$A$504,0)),""))</f>
        <v/>
      </c>
      <c r="G1121" s="37" t="n"/>
      <c r="H1121" s="37" t="n"/>
      <c r="I1121" s="37">
        <f>IF(G1121="","",G1121+N(H1121))</f>
        <v/>
      </c>
      <c r="J1121" s="36" t="n"/>
      <c r="K1121" s="40" t="n"/>
      <c r="L1121" s="36" t="n"/>
      <c r="M1121">
        <f>IF($A1121=Ficha!$B$3,COUNTIF($A$5:$A1121,Ficha!$B$3),"")</f>
        <v/>
      </c>
    </row>
    <row r="1122">
      <c r="A1122" s="38" t="n"/>
      <c r="B1122" s="41">
        <f>IF(A1122="","",IFERROR(INDEX(Maniobras!$B$5:$B$504,MATCH(A1122,Maniobras!$A$5:$A$504,0)),""))</f>
        <v/>
      </c>
      <c r="C1122" s="38">
        <f>IF(B1122="","",TEXT(B1122,"yyyy-mm"))</f>
        <v/>
      </c>
      <c r="D1122" s="38">
        <f>IF(A1122="","",IFERROR(INDEX(Maniobras!$D$5:$D$504,MATCH(A1122,Maniobras!$A$5:$A$504,0)),""))</f>
        <v/>
      </c>
      <c r="E1122" s="38" t="n"/>
      <c r="F1122" s="39">
        <f>IF(A1122="","",IFERROR(INDEX(Maniobras!$K$5:$K$504,MATCH(A1122,Maniobras!$A$5:$A$504,0)),""))</f>
        <v/>
      </c>
      <c r="G1122" s="39" t="n"/>
      <c r="H1122" s="39" t="n"/>
      <c r="I1122" s="39">
        <f>IF(G1122="","",G1122+N(H1122))</f>
        <v/>
      </c>
      <c r="J1122" s="38" t="n"/>
      <c r="K1122" s="41" t="n"/>
      <c r="L1122" s="38" t="n"/>
      <c r="M1122">
        <f>IF($A1122=Ficha!$B$3,COUNTIF($A$5:$A1122,Ficha!$B$3),"")</f>
        <v/>
      </c>
    </row>
    <row r="1123">
      <c r="A1123" s="36" t="n"/>
      <c r="B1123" s="40">
        <f>IF(A1123="","",IFERROR(INDEX(Maniobras!$B$5:$B$504,MATCH(A1123,Maniobras!$A$5:$A$504,0)),""))</f>
        <v/>
      </c>
      <c r="C1123" s="36">
        <f>IF(B1123="","",TEXT(B1123,"yyyy-mm"))</f>
        <v/>
      </c>
      <c r="D1123" s="36">
        <f>IF(A1123="","",IFERROR(INDEX(Maniobras!$D$5:$D$504,MATCH(A1123,Maniobras!$A$5:$A$504,0)),""))</f>
        <v/>
      </c>
      <c r="E1123" s="36" t="n"/>
      <c r="F1123" s="37">
        <f>IF(A1123="","",IFERROR(INDEX(Maniobras!$K$5:$K$504,MATCH(A1123,Maniobras!$A$5:$A$504,0)),""))</f>
        <v/>
      </c>
      <c r="G1123" s="37" t="n"/>
      <c r="H1123" s="37" t="n"/>
      <c r="I1123" s="37">
        <f>IF(G1123="","",G1123+N(H1123))</f>
        <v/>
      </c>
      <c r="J1123" s="36" t="n"/>
      <c r="K1123" s="40" t="n"/>
      <c r="L1123" s="36" t="n"/>
      <c r="M1123">
        <f>IF($A1123=Ficha!$B$3,COUNTIF($A$5:$A1123,Ficha!$B$3),"")</f>
        <v/>
      </c>
    </row>
    <row r="1124">
      <c r="A1124" s="38" t="n"/>
      <c r="B1124" s="41">
        <f>IF(A1124="","",IFERROR(INDEX(Maniobras!$B$5:$B$504,MATCH(A1124,Maniobras!$A$5:$A$504,0)),""))</f>
        <v/>
      </c>
      <c r="C1124" s="38">
        <f>IF(B1124="","",TEXT(B1124,"yyyy-mm"))</f>
        <v/>
      </c>
      <c r="D1124" s="38">
        <f>IF(A1124="","",IFERROR(INDEX(Maniobras!$D$5:$D$504,MATCH(A1124,Maniobras!$A$5:$A$504,0)),""))</f>
        <v/>
      </c>
      <c r="E1124" s="38" t="n"/>
      <c r="F1124" s="39">
        <f>IF(A1124="","",IFERROR(INDEX(Maniobras!$K$5:$K$504,MATCH(A1124,Maniobras!$A$5:$A$504,0)),""))</f>
        <v/>
      </c>
      <c r="G1124" s="39" t="n"/>
      <c r="H1124" s="39" t="n"/>
      <c r="I1124" s="39">
        <f>IF(G1124="","",G1124+N(H1124))</f>
        <v/>
      </c>
      <c r="J1124" s="38" t="n"/>
      <c r="K1124" s="41" t="n"/>
      <c r="L1124" s="38" t="n"/>
      <c r="M1124">
        <f>IF($A1124=Ficha!$B$3,COUNTIF($A$5:$A1124,Ficha!$B$3),"")</f>
        <v/>
      </c>
    </row>
    <row r="1125">
      <c r="A1125" s="36" t="n"/>
      <c r="B1125" s="40">
        <f>IF(A1125="","",IFERROR(INDEX(Maniobras!$B$5:$B$504,MATCH(A1125,Maniobras!$A$5:$A$504,0)),""))</f>
        <v/>
      </c>
      <c r="C1125" s="36">
        <f>IF(B1125="","",TEXT(B1125,"yyyy-mm"))</f>
        <v/>
      </c>
      <c r="D1125" s="36">
        <f>IF(A1125="","",IFERROR(INDEX(Maniobras!$D$5:$D$504,MATCH(A1125,Maniobras!$A$5:$A$504,0)),""))</f>
        <v/>
      </c>
      <c r="E1125" s="36" t="n"/>
      <c r="F1125" s="37">
        <f>IF(A1125="","",IFERROR(INDEX(Maniobras!$K$5:$K$504,MATCH(A1125,Maniobras!$A$5:$A$504,0)),""))</f>
        <v/>
      </c>
      <c r="G1125" s="37" t="n"/>
      <c r="H1125" s="37" t="n"/>
      <c r="I1125" s="37">
        <f>IF(G1125="","",G1125+N(H1125))</f>
        <v/>
      </c>
      <c r="J1125" s="36" t="n"/>
      <c r="K1125" s="40" t="n"/>
      <c r="L1125" s="36" t="n"/>
      <c r="M1125">
        <f>IF($A1125=Ficha!$B$3,COUNTIF($A$5:$A1125,Ficha!$B$3),"")</f>
        <v/>
      </c>
    </row>
    <row r="1126">
      <c r="A1126" s="38" t="n"/>
      <c r="B1126" s="41">
        <f>IF(A1126="","",IFERROR(INDEX(Maniobras!$B$5:$B$504,MATCH(A1126,Maniobras!$A$5:$A$504,0)),""))</f>
        <v/>
      </c>
      <c r="C1126" s="38">
        <f>IF(B1126="","",TEXT(B1126,"yyyy-mm"))</f>
        <v/>
      </c>
      <c r="D1126" s="38">
        <f>IF(A1126="","",IFERROR(INDEX(Maniobras!$D$5:$D$504,MATCH(A1126,Maniobras!$A$5:$A$504,0)),""))</f>
        <v/>
      </c>
      <c r="E1126" s="38" t="n"/>
      <c r="F1126" s="39">
        <f>IF(A1126="","",IFERROR(INDEX(Maniobras!$K$5:$K$504,MATCH(A1126,Maniobras!$A$5:$A$504,0)),""))</f>
        <v/>
      </c>
      <c r="G1126" s="39" t="n"/>
      <c r="H1126" s="39" t="n"/>
      <c r="I1126" s="39">
        <f>IF(G1126="","",G1126+N(H1126))</f>
        <v/>
      </c>
      <c r="J1126" s="38" t="n"/>
      <c r="K1126" s="41" t="n"/>
      <c r="L1126" s="38" t="n"/>
      <c r="M1126">
        <f>IF($A1126=Ficha!$B$3,COUNTIF($A$5:$A1126,Ficha!$B$3),"")</f>
        <v/>
      </c>
    </row>
    <row r="1127">
      <c r="A1127" s="36" t="n"/>
      <c r="B1127" s="40">
        <f>IF(A1127="","",IFERROR(INDEX(Maniobras!$B$5:$B$504,MATCH(A1127,Maniobras!$A$5:$A$504,0)),""))</f>
        <v/>
      </c>
      <c r="C1127" s="36">
        <f>IF(B1127="","",TEXT(B1127,"yyyy-mm"))</f>
        <v/>
      </c>
      <c r="D1127" s="36">
        <f>IF(A1127="","",IFERROR(INDEX(Maniobras!$D$5:$D$504,MATCH(A1127,Maniobras!$A$5:$A$504,0)),""))</f>
        <v/>
      </c>
      <c r="E1127" s="36" t="n"/>
      <c r="F1127" s="37">
        <f>IF(A1127="","",IFERROR(INDEX(Maniobras!$K$5:$K$504,MATCH(A1127,Maniobras!$A$5:$A$504,0)),""))</f>
        <v/>
      </c>
      <c r="G1127" s="37" t="n"/>
      <c r="H1127" s="37" t="n"/>
      <c r="I1127" s="37">
        <f>IF(G1127="","",G1127+N(H1127))</f>
        <v/>
      </c>
      <c r="J1127" s="36" t="n"/>
      <c r="K1127" s="40" t="n"/>
      <c r="L1127" s="36" t="n"/>
      <c r="M1127">
        <f>IF($A1127=Ficha!$B$3,COUNTIF($A$5:$A1127,Ficha!$B$3),"")</f>
        <v/>
      </c>
    </row>
    <row r="1128">
      <c r="A1128" s="38" t="n"/>
      <c r="B1128" s="41">
        <f>IF(A1128="","",IFERROR(INDEX(Maniobras!$B$5:$B$504,MATCH(A1128,Maniobras!$A$5:$A$504,0)),""))</f>
        <v/>
      </c>
      <c r="C1128" s="38">
        <f>IF(B1128="","",TEXT(B1128,"yyyy-mm"))</f>
        <v/>
      </c>
      <c r="D1128" s="38">
        <f>IF(A1128="","",IFERROR(INDEX(Maniobras!$D$5:$D$504,MATCH(A1128,Maniobras!$A$5:$A$504,0)),""))</f>
        <v/>
      </c>
      <c r="E1128" s="38" t="n"/>
      <c r="F1128" s="39">
        <f>IF(A1128="","",IFERROR(INDEX(Maniobras!$K$5:$K$504,MATCH(A1128,Maniobras!$A$5:$A$504,0)),""))</f>
        <v/>
      </c>
      <c r="G1128" s="39" t="n"/>
      <c r="H1128" s="39" t="n"/>
      <c r="I1128" s="39">
        <f>IF(G1128="","",G1128+N(H1128))</f>
        <v/>
      </c>
      <c r="J1128" s="38" t="n"/>
      <c r="K1128" s="41" t="n"/>
      <c r="L1128" s="38" t="n"/>
      <c r="M1128">
        <f>IF($A1128=Ficha!$B$3,COUNTIF($A$5:$A1128,Ficha!$B$3),"")</f>
        <v/>
      </c>
    </row>
    <row r="1129">
      <c r="A1129" s="36" t="n"/>
      <c r="B1129" s="40">
        <f>IF(A1129="","",IFERROR(INDEX(Maniobras!$B$5:$B$504,MATCH(A1129,Maniobras!$A$5:$A$504,0)),""))</f>
        <v/>
      </c>
      <c r="C1129" s="36">
        <f>IF(B1129="","",TEXT(B1129,"yyyy-mm"))</f>
        <v/>
      </c>
      <c r="D1129" s="36">
        <f>IF(A1129="","",IFERROR(INDEX(Maniobras!$D$5:$D$504,MATCH(A1129,Maniobras!$A$5:$A$504,0)),""))</f>
        <v/>
      </c>
      <c r="E1129" s="36" t="n"/>
      <c r="F1129" s="37">
        <f>IF(A1129="","",IFERROR(INDEX(Maniobras!$K$5:$K$504,MATCH(A1129,Maniobras!$A$5:$A$504,0)),""))</f>
        <v/>
      </c>
      <c r="G1129" s="37" t="n"/>
      <c r="H1129" s="37" t="n"/>
      <c r="I1129" s="37">
        <f>IF(G1129="","",G1129+N(H1129))</f>
        <v/>
      </c>
      <c r="J1129" s="36" t="n"/>
      <c r="K1129" s="40" t="n"/>
      <c r="L1129" s="36" t="n"/>
      <c r="M1129">
        <f>IF($A1129=Ficha!$B$3,COUNTIF($A$5:$A1129,Ficha!$B$3),"")</f>
        <v/>
      </c>
    </row>
    <row r="1130">
      <c r="A1130" s="38" t="n"/>
      <c r="B1130" s="41">
        <f>IF(A1130="","",IFERROR(INDEX(Maniobras!$B$5:$B$504,MATCH(A1130,Maniobras!$A$5:$A$504,0)),""))</f>
        <v/>
      </c>
      <c r="C1130" s="38">
        <f>IF(B1130="","",TEXT(B1130,"yyyy-mm"))</f>
        <v/>
      </c>
      <c r="D1130" s="38">
        <f>IF(A1130="","",IFERROR(INDEX(Maniobras!$D$5:$D$504,MATCH(A1130,Maniobras!$A$5:$A$504,0)),""))</f>
        <v/>
      </c>
      <c r="E1130" s="38" t="n"/>
      <c r="F1130" s="39">
        <f>IF(A1130="","",IFERROR(INDEX(Maniobras!$K$5:$K$504,MATCH(A1130,Maniobras!$A$5:$A$504,0)),""))</f>
        <v/>
      </c>
      <c r="G1130" s="39" t="n"/>
      <c r="H1130" s="39" t="n"/>
      <c r="I1130" s="39">
        <f>IF(G1130="","",G1130+N(H1130))</f>
        <v/>
      </c>
      <c r="J1130" s="38" t="n"/>
      <c r="K1130" s="41" t="n"/>
      <c r="L1130" s="38" t="n"/>
      <c r="M1130">
        <f>IF($A1130=Ficha!$B$3,COUNTIF($A$5:$A1130,Ficha!$B$3),"")</f>
        <v/>
      </c>
    </row>
    <row r="1131">
      <c r="A1131" s="36" t="n"/>
      <c r="B1131" s="40">
        <f>IF(A1131="","",IFERROR(INDEX(Maniobras!$B$5:$B$504,MATCH(A1131,Maniobras!$A$5:$A$504,0)),""))</f>
        <v/>
      </c>
      <c r="C1131" s="36">
        <f>IF(B1131="","",TEXT(B1131,"yyyy-mm"))</f>
        <v/>
      </c>
      <c r="D1131" s="36">
        <f>IF(A1131="","",IFERROR(INDEX(Maniobras!$D$5:$D$504,MATCH(A1131,Maniobras!$A$5:$A$504,0)),""))</f>
        <v/>
      </c>
      <c r="E1131" s="36" t="n"/>
      <c r="F1131" s="37">
        <f>IF(A1131="","",IFERROR(INDEX(Maniobras!$K$5:$K$504,MATCH(A1131,Maniobras!$A$5:$A$504,0)),""))</f>
        <v/>
      </c>
      <c r="G1131" s="37" t="n"/>
      <c r="H1131" s="37" t="n"/>
      <c r="I1131" s="37">
        <f>IF(G1131="","",G1131+N(H1131))</f>
        <v/>
      </c>
      <c r="J1131" s="36" t="n"/>
      <c r="K1131" s="40" t="n"/>
      <c r="L1131" s="36" t="n"/>
      <c r="M1131">
        <f>IF($A1131=Ficha!$B$3,COUNTIF($A$5:$A1131,Ficha!$B$3),"")</f>
        <v/>
      </c>
    </row>
    <row r="1132">
      <c r="A1132" s="38" t="n"/>
      <c r="B1132" s="41">
        <f>IF(A1132="","",IFERROR(INDEX(Maniobras!$B$5:$B$504,MATCH(A1132,Maniobras!$A$5:$A$504,0)),""))</f>
        <v/>
      </c>
      <c r="C1132" s="38">
        <f>IF(B1132="","",TEXT(B1132,"yyyy-mm"))</f>
        <v/>
      </c>
      <c r="D1132" s="38">
        <f>IF(A1132="","",IFERROR(INDEX(Maniobras!$D$5:$D$504,MATCH(A1132,Maniobras!$A$5:$A$504,0)),""))</f>
        <v/>
      </c>
      <c r="E1132" s="38" t="n"/>
      <c r="F1132" s="39">
        <f>IF(A1132="","",IFERROR(INDEX(Maniobras!$K$5:$K$504,MATCH(A1132,Maniobras!$A$5:$A$504,0)),""))</f>
        <v/>
      </c>
      <c r="G1132" s="39" t="n"/>
      <c r="H1132" s="39" t="n"/>
      <c r="I1132" s="39">
        <f>IF(G1132="","",G1132+N(H1132))</f>
        <v/>
      </c>
      <c r="J1132" s="38" t="n"/>
      <c r="K1132" s="41" t="n"/>
      <c r="L1132" s="38" t="n"/>
      <c r="M1132">
        <f>IF($A1132=Ficha!$B$3,COUNTIF($A$5:$A1132,Ficha!$B$3),"")</f>
        <v/>
      </c>
    </row>
    <row r="1133">
      <c r="A1133" s="36" t="n"/>
      <c r="B1133" s="40">
        <f>IF(A1133="","",IFERROR(INDEX(Maniobras!$B$5:$B$504,MATCH(A1133,Maniobras!$A$5:$A$504,0)),""))</f>
        <v/>
      </c>
      <c r="C1133" s="36">
        <f>IF(B1133="","",TEXT(B1133,"yyyy-mm"))</f>
        <v/>
      </c>
      <c r="D1133" s="36">
        <f>IF(A1133="","",IFERROR(INDEX(Maniobras!$D$5:$D$504,MATCH(A1133,Maniobras!$A$5:$A$504,0)),""))</f>
        <v/>
      </c>
      <c r="E1133" s="36" t="n"/>
      <c r="F1133" s="37">
        <f>IF(A1133="","",IFERROR(INDEX(Maniobras!$K$5:$K$504,MATCH(A1133,Maniobras!$A$5:$A$504,0)),""))</f>
        <v/>
      </c>
      <c r="G1133" s="37" t="n"/>
      <c r="H1133" s="37" t="n"/>
      <c r="I1133" s="37">
        <f>IF(G1133="","",G1133+N(H1133))</f>
        <v/>
      </c>
      <c r="J1133" s="36" t="n"/>
      <c r="K1133" s="40" t="n"/>
      <c r="L1133" s="36" t="n"/>
      <c r="M1133">
        <f>IF($A1133=Ficha!$B$3,COUNTIF($A$5:$A1133,Ficha!$B$3),"")</f>
        <v/>
      </c>
    </row>
    <row r="1134">
      <c r="A1134" s="38" t="n"/>
      <c r="B1134" s="41">
        <f>IF(A1134="","",IFERROR(INDEX(Maniobras!$B$5:$B$504,MATCH(A1134,Maniobras!$A$5:$A$504,0)),""))</f>
        <v/>
      </c>
      <c r="C1134" s="38">
        <f>IF(B1134="","",TEXT(B1134,"yyyy-mm"))</f>
        <v/>
      </c>
      <c r="D1134" s="38">
        <f>IF(A1134="","",IFERROR(INDEX(Maniobras!$D$5:$D$504,MATCH(A1134,Maniobras!$A$5:$A$504,0)),""))</f>
        <v/>
      </c>
      <c r="E1134" s="38" t="n"/>
      <c r="F1134" s="39">
        <f>IF(A1134="","",IFERROR(INDEX(Maniobras!$K$5:$K$504,MATCH(A1134,Maniobras!$A$5:$A$504,0)),""))</f>
        <v/>
      </c>
      <c r="G1134" s="39" t="n"/>
      <c r="H1134" s="39" t="n"/>
      <c r="I1134" s="39">
        <f>IF(G1134="","",G1134+N(H1134))</f>
        <v/>
      </c>
      <c r="J1134" s="38" t="n"/>
      <c r="K1134" s="41" t="n"/>
      <c r="L1134" s="38" t="n"/>
      <c r="M1134">
        <f>IF($A1134=Ficha!$B$3,COUNTIF($A$5:$A1134,Ficha!$B$3),"")</f>
        <v/>
      </c>
    </row>
    <row r="1135">
      <c r="A1135" s="36" t="n"/>
      <c r="B1135" s="40">
        <f>IF(A1135="","",IFERROR(INDEX(Maniobras!$B$5:$B$504,MATCH(A1135,Maniobras!$A$5:$A$504,0)),""))</f>
        <v/>
      </c>
      <c r="C1135" s="36">
        <f>IF(B1135="","",TEXT(B1135,"yyyy-mm"))</f>
        <v/>
      </c>
      <c r="D1135" s="36">
        <f>IF(A1135="","",IFERROR(INDEX(Maniobras!$D$5:$D$504,MATCH(A1135,Maniobras!$A$5:$A$504,0)),""))</f>
        <v/>
      </c>
      <c r="E1135" s="36" t="n"/>
      <c r="F1135" s="37">
        <f>IF(A1135="","",IFERROR(INDEX(Maniobras!$K$5:$K$504,MATCH(A1135,Maniobras!$A$5:$A$504,0)),""))</f>
        <v/>
      </c>
      <c r="G1135" s="37" t="n"/>
      <c r="H1135" s="37" t="n"/>
      <c r="I1135" s="37">
        <f>IF(G1135="","",G1135+N(H1135))</f>
        <v/>
      </c>
      <c r="J1135" s="36" t="n"/>
      <c r="K1135" s="40" t="n"/>
      <c r="L1135" s="36" t="n"/>
      <c r="M1135">
        <f>IF($A1135=Ficha!$B$3,COUNTIF($A$5:$A1135,Ficha!$B$3),"")</f>
        <v/>
      </c>
    </row>
    <row r="1136">
      <c r="A1136" s="38" t="n"/>
      <c r="B1136" s="41">
        <f>IF(A1136="","",IFERROR(INDEX(Maniobras!$B$5:$B$504,MATCH(A1136,Maniobras!$A$5:$A$504,0)),""))</f>
        <v/>
      </c>
      <c r="C1136" s="38">
        <f>IF(B1136="","",TEXT(B1136,"yyyy-mm"))</f>
        <v/>
      </c>
      <c r="D1136" s="38">
        <f>IF(A1136="","",IFERROR(INDEX(Maniobras!$D$5:$D$504,MATCH(A1136,Maniobras!$A$5:$A$504,0)),""))</f>
        <v/>
      </c>
      <c r="E1136" s="38" t="n"/>
      <c r="F1136" s="39">
        <f>IF(A1136="","",IFERROR(INDEX(Maniobras!$K$5:$K$504,MATCH(A1136,Maniobras!$A$5:$A$504,0)),""))</f>
        <v/>
      </c>
      <c r="G1136" s="39" t="n"/>
      <c r="H1136" s="39" t="n"/>
      <c r="I1136" s="39">
        <f>IF(G1136="","",G1136+N(H1136))</f>
        <v/>
      </c>
      <c r="J1136" s="38" t="n"/>
      <c r="K1136" s="41" t="n"/>
      <c r="L1136" s="38" t="n"/>
      <c r="M1136">
        <f>IF($A1136=Ficha!$B$3,COUNTIF($A$5:$A1136,Ficha!$B$3),"")</f>
        <v/>
      </c>
    </row>
    <row r="1137">
      <c r="A1137" s="36" t="n"/>
      <c r="B1137" s="40">
        <f>IF(A1137="","",IFERROR(INDEX(Maniobras!$B$5:$B$504,MATCH(A1137,Maniobras!$A$5:$A$504,0)),""))</f>
        <v/>
      </c>
      <c r="C1137" s="36">
        <f>IF(B1137="","",TEXT(B1137,"yyyy-mm"))</f>
        <v/>
      </c>
      <c r="D1137" s="36">
        <f>IF(A1137="","",IFERROR(INDEX(Maniobras!$D$5:$D$504,MATCH(A1137,Maniobras!$A$5:$A$504,0)),""))</f>
        <v/>
      </c>
      <c r="E1137" s="36" t="n"/>
      <c r="F1137" s="37">
        <f>IF(A1137="","",IFERROR(INDEX(Maniobras!$K$5:$K$504,MATCH(A1137,Maniobras!$A$5:$A$504,0)),""))</f>
        <v/>
      </c>
      <c r="G1137" s="37" t="n"/>
      <c r="H1137" s="37" t="n"/>
      <c r="I1137" s="37">
        <f>IF(G1137="","",G1137+N(H1137))</f>
        <v/>
      </c>
      <c r="J1137" s="36" t="n"/>
      <c r="K1137" s="40" t="n"/>
      <c r="L1137" s="36" t="n"/>
      <c r="M1137">
        <f>IF($A1137=Ficha!$B$3,COUNTIF($A$5:$A1137,Ficha!$B$3),"")</f>
        <v/>
      </c>
    </row>
    <row r="1138">
      <c r="A1138" s="38" t="n"/>
      <c r="B1138" s="41">
        <f>IF(A1138="","",IFERROR(INDEX(Maniobras!$B$5:$B$504,MATCH(A1138,Maniobras!$A$5:$A$504,0)),""))</f>
        <v/>
      </c>
      <c r="C1138" s="38">
        <f>IF(B1138="","",TEXT(B1138,"yyyy-mm"))</f>
        <v/>
      </c>
      <c r="D1138" s="38">
        <f>IF(A1138="","",IFERROR(INDEX(Maniobras!$D$5:$D$504,MATCH(A1138,Maniobras!$A$5:$A$504,0)),""))</f>
        <v/>
      </c>
      <c r="E1138" s="38" t="n"/>
      <c r="F1138" s="39">
        <f>IF(A1138="","",IFERROR(INDEX(Maniobras!$K$5:$K$504,MATCH(A1138,Maniobras!$A$5:$A$504,0)),""))</f>
        <v/>
      </c>
      <c r="G1138" s="39" t="n"/>
      <c r="H1138" s="39" t="n"/>
      <c r="I1138" s="39">
        <f>IF(G1138="","",G1138+N(H1138))</f>
        <v/>
      </c>
      <c r="J1138" s="38" t="n"/>
      <c r="K1138" s="41" t="n"/>
      <c r="L1138" s="38" t="n"/>
      <c r="M1138">
        <f>IF($A1138=Ficha!$B$3,COUNTIF($A$5:$A1138,Ficha!$B$3),"")</f>
        <v/>
      </c>
    </row>
    <row r="1139">
      <c r="A1139" s="36" t="n"/>
      <c r="B1139" s="40">
        <f>IF(A1139="","",IFERROR(INDEX(Maniobras!$B$5:$B$504,MATCH(A1139,Maniobras!$A$5:$A$504,0)),""))</f>
        <v/>
      </c>
      <c r="C1139" s="36">
        <f>IF(B1139="","",TEXT(B1139,"yyyy-mm"))</f>
        <v/>
      </c>
      <c r="D1139" s="36">
        <f>IF(A1139="","",IFERROR(INDEX(Maniobras!$D$5:$D$504,MATCH(A1139,Maniobras!$A$5:$A$504,0)),""))</f>
        <v/>
      </c>
      <c r="E1139" s="36" t="n"/>
      <c r="F1139" s="37">
        <f>IF(A1139="","",IFERROR(INDEX(Maniobras!$K$5:$K$504,MATCH(A1139,Maniobras!$A$5:$A$504,0)),""))</f>
        <v/>
      </c>
      <c r="G1139" s="37" t="n"/>
      <c r="H1139" s="37" t="n"/>
      <c r="I1139" s="37">
        <f>IF(G1139="","",G1139+N(H1139))</f>
        <v/>
      </c>
      <c r="J1139" s="36" t="n"/>
      <c r="K1139" s="40" t="n"/>
      <c r="L1139" s="36" t="n"/>
      <c r="M1139">
        <f>IF($A1139=Ficha!$B$3,COUNTIF($A$5:$A1139,Ficha!$B$3),"")</f>
        <v/>
      </c>
    </row>
    <row r="1140">
      <c r="A1140" s="38" t="n"/>
      <c r="B1140" s="41">
        <f>IF(A1140="","",IFERROR(INDEX(Maniobras!$B$5:$B$504,MATCH(A1140,Maniobras!$A$5:$A$504,0)),""))</f>
        <v/>
      </c>
      <c r="C1140" s="38">
        <f>IF(B1140="","",TEXT(B1140,"yyyy-mm"))</f>
        <v/>
      </c>
      <c r="D1140" s="38">
        <f>IF(A1140="","",IFERROR(INDEX(Maniobras!$D$5:$D$504,MATCH(A1140,Maniobras!$A$5:$A$504,0)),""))</f>
        <v/>
      </c>
      <c r="E1140" s="38" t="n"/>
      <c r="F1140" s="39">
        <f>IF(A1140="","",IFERROR(INDEX(Maniobras!$K$5:$K$504,MATCH(A1140,Maniobras!$A$5:$A$504,0)),""))</f>
        <v/>
      </c>
      <c r="G1140" s="39" t="n"/>
      <c r="H1140" s="39" t="n"/>
      <c r="I1140" s="39">
        <f>IF(G1140="","",G1140+N(H1140))</f>
        <v/>
      </c>
      <c r="J1140" s="38" t="n"/>
      <c r="K1140" s="41" t="n"/>
      <c r="L1140" s="38" t="n"/>
      <c r="M1140">
        <f>IF($A1140=Ficha!$B$3,COUNTIF($A$5:$A1140,Ficha!$B$3),"")</f>
        <v/>
      </c>
    </row>
    <row r="1141">
      <c r="A1141" s="36" t="n"/>
      <c r="B1141" s="40">
        <f>IF(A1141="","",IFERROR(INDEX(Maniobras!$B$5:$B$504,MATCH(A1141,Maniobras!$A$5:$A$504,0)),""))</f>
        <v/>
      </c>
      <c r="C1141" s="36">
        <f>IF(B1141="","",TEXT(B1141,"yyyy-mm"))</f>
        <v/>
      </c>
      <c r="D1141" s="36">
        <f>IF(A1141="","",IFERROR(INDEX(Maniobras!$D$5:$D$504,MATCH(A1141,Maniobras!$A$5:$A$504,0)),""))</f>
        <v/>
      </c>
      <c r="E1141" s="36" t="n"/>
      <c r="F1141" s="37">
        <f>IF(A1141="","",IFERROR(INDEX(Maniobras!$K$5:$K$504,MATCH(A1141,Maniobras!$A$5:$A$504,0)),""))</f>
        <v/>
      </c>
      <c r="G1141" s="37" t="n"/>
      <c r="H1141" s="37" t="n"/>
      <c r="I1141" s="37">
        <f>IF(G1141="","",G1141+N(H1141))</f>
        <v/>
      </c>
      <c r="J1141" s="36" t="n"/>
      <c r="K1141" s="40" t="n"/>
      <c r="L1141" s="36" t="n"/>
      <c r="M1141">
        <f>IF($A1141=Ficha!$B$3,COUNTIF($A$5:$A1141,Ficha!$B$3),"")</f>
        <v/>
      </c>
    </row>
    <row r="1142">
      <c r="A1142" s="38" t="n"/>
      <c r="B1142" s="41">
        <f>IF(A1142="","",IFERROR(INDEX(Maniobras!$B$5:$B$504,MATCH(A1142,Maniobras!$A$5:$A$504,0)),""))</f>
        <v/>
      </c>
      <c r="C1142" s="38">
        <f>IF(B1142="","",TEXT(B1142,"yyyy-mm"))</f>
        <v/>
      </c>
      <c r="D1142" s="38">
        <f>IF(A1142="","",IFERROR(INDEX(Maniobras!$D$5:$D$504,MATCH(A1142,Maniobras!$A$5:$A$504,0)),""))</f>
        <v/>
      </c>
      <c r="E1142" s="38" t="n"/>
      <c r="F1142" s="39">
        <f>IF(A1142="","",IFERROR(INDEX(Maniobras!$K$5:$K$504,MATCH(A1142,Maniobras!$A$5:$A$504,0)),""))</f>
        <v/>
      </c>
      <c r="G1142" s="39" t="n"/>
      <c r="H1142" s="39" t="n"/>
      <c r="I1142" s="39">
        <f>IF(G1142="","",G1142+N(H1142))</f>
        <v/>
      </c>
      <c r="J1142" s="38" t="n"/>
      <c r="K1142" s="41" t="n"/>
      <c r="L1142" s="38" t="n"/>
      <c r="M1142">
        <f>IF($A1142=Ficha!$B$3,COUNTIF($A$5:$A1142,Ficha!$B$3),"")</f>
        <v/>
      </c>
    </row>
    <row r="1143">
      <c r="A1143" s="36" t="n"/>
      <c r="B1143" s="40">
        <f>IF(A1143="","",IFERROR(INDEX(Maniobras!$B$5:$B$504,MATCH(A1143,Maniobras!$A$5:$A$504,0)),""))</f>
        <v/>
      </c>
      <c r="C1143" s="36">
        <f>IF(B1143="","",TEXT(B1143,"yyyy-mm"))</f>
        <v/>
      </c>
      <c r="D1143" s="36">
        <f>IF(A1143="","",IFERROR(INDEX(Maniobras!$D$5:$D$504,MATCH(A1143,Maniobras!$A$5:$A$504,0)),""))</f>
        <v/>
      </c>
      <c r="E1143" s="36" t="n"/>
      <c r="F1143" s="37">
        <f>IF(A1143="","",IFERROR(INDEX(Maniobras!$K$5:$K$504,MATCH(A1143,Maniobras!$A$5:$A$504,0)),""))</f>
        <v/>
      </c>
      <c r="G1143" s="37" t="n"/>
      <c r="H1143" s="37" t="n"/>
      <c r="I1143" s="37">
        <f>IF(G1143="","",G1143+N(H1143))</f>
        <v/>
      </c>
      <c r="J1143" s="36" t="n"/>
      <c r="K1143" s="40" t="n"/>
      <c r="L1143" s="36" t="n"/>
      <c r="M1143">
        <f>IF($A1143=Ficha!$B$3,COUNTIF($A$5:$A1143,Ficha!$B$3),"")</f>
        <v/>
      </c>
    </row>
    <row r="1144">
      <c r="A1144" s="38" t="n"/>
      <c r="B1144" s="41">
        <f>IF(A1144="","",IFERROR(INDEX(Maniobras!$B$5:$B$504,MATCH(A1144,Maniobras!$A$5:$A$504,0)),""))</f>
        <v/>
      </c>
      <c r="C1144" s="38">
        <f>IF(B1144="","",TEXT(B1144,"yyyy-mm"))</f>
        <v/>
      </c>
      <c r="D1144" s="38">
        <f>IF(A1144="","",IFERROR(INDEX(Maniobras!$D$5:$D$504,MATCH(A1144,Maniobras!$A$5:$A$504,0)),""))</f>
        <v/>
      </c>
      <c r="E1144" s="38" t="n"/>
      <c r="F1144" s="39">
        <f>IF(A1144="","",IFERROR(INDEX(Maniobras!$K$5:$K$504,MATCH(A1144,Maniobras!$A$5:$A$504,0)),""))</f>
        <v/>
      </c>
      <c r="G1144" s="39" t="n"/>
      <c r="H1144" s="39" t="n"/>
      <c r="I1144" s="39">
        <f>IF(G1144="","",G1144+N(H1144))</f>
        <v/>
      </c>
      <c r="J1144" s="38" t="n"/>
      <c r="K1144" s="41" t="n"/>
      <c r="L1144" s="38" t="n"/>
      <c r="M1144">
        <f>IF($A1144=Ficha!$B$3,COUNTIF($A$5:$A1144,Ficha!$B$3),"")</f>
        <v/>
      </c>
    </row>
    <row r="1145">
      <c r="A1145" s="36" t="n"/>
      <c r="B1145" s="40">
        <f>IF(A1145="","",IFERROR(INDEX(Maniobras!$B$5:$B$504,MATCH(A1145,Maniobras!$A$5:$A$504,0)),""))</f>
        <v/>
      </c>
      <c r="C1145" s="36">
        <f>IF(B1145="","",TEXT(B1145,"yyyy-mm"))</f>
        <v/>
      </c>
      <c r="D1145" s="36">
        <f>IF(A1145="","",IFERROR(INDEX(Maniobras!$D$5:$D$504,MATCH(A1145,Maniobras!$A$5:$A$504,0)),""))</f>
        <v/>
      </c>
      <c r="E1145" s="36" t="n"/>
      <c r="F1145" s="37">
        <f>IF(A1145="","",IFERROR(INDEX(Maniobras!$K$5:$K$504,MATCH(A1145,Maniobras!$A$5:$A$504,0)),""))</f>
        <v/>
      </c>
      <c r="G1145" s="37" t="n"/>
      <c r="H1145" s="37" t="n"/>
      <c r="I1145" s="37">
        <f>IF(G1145="","",G1145+N(H1145))</f>
        <v/>
      </c>
      <c r="J1145" s="36" t="n"/>
      <c r="K1145" s="40" t="n"/>
      <c r="L1145" s="36" t="n"/>
      <c r="M1145">
        <f>IF($A1145=Ficha!$B$3,COUNTIF($A$5:$A1145,Ficha!$B$3),"")</f>
        <v/>
      </c>
    </row>
    <row r="1146">
      <c r="A1146" s="38" t="n"/>
      <c r="B1146" s="41">
        <f>IF(A1146="","",IFERROR(INDEX(Maniobras!$B$5:$B$504,MATCH(A1146,Maniobras!$A$5:$A$504,0)),""))</f>
        <v/>
      </c>
      <c r="C1146" s="38">
        <f>IF(B1146="","",TEXT(B1146,"yyyy-mm"))</f>
        <v/>
      </c>
      <c r="D1146" s="38">
        <f>IF(A1146="","",IFERROR(INDEX(Maniobras!$D$5:$D$504,MATCH(A1146,Maniobras!$A$5:$A$504,0)),""))</f>
        <v/>
      </c>
      <c r="E1146" s="38" t="n"/>
      <c r="F1146" s="39">
        <f>IF(A1146="","",IFERROR(INDEX(Maniobras!$K$5:$K$504,MATCH(A1146,Maniobras!$A$5:$A$504,0)),""))</f>
        <v/>
      </c>
      <c r="G1146" s="39" t="n"/>
      <c r="H1146" s="39" t="n"/>
      <c r="I1146" s="39">
        <f>IF(G1146="","",G1146+N(H1146))</f>
        <v/>
      </c>
      <c r="J1146" s="38" t="n"/>
      <c r="K1146" s="41" t="n"/>
      <c r="L1146" s="38" t="n"/>
      <c r="M1146">
        <f>IF($A1146=Ficha!$B$3,COUNTIF($A$5:$A1146,Ficha!$B$3),"")</f>
        <v/>
      </c>
    </row>
    <row r="1147">
      <c r="A1147" s="36" t="n"/>
      <c r="B1147" s="40">
        <f>IF(A1147="","",IFERROR(INDEX(Maniobras!$B$5:$B$504,MATCH(A1147,Maniobras!$A$5:$A$504,0)),""))</f>
        <v/>
      </c>
      <c r="C1147" s="36">
        <f>IF(B1147="","",TEXT(B1147,"yyyy-mm"))</f>
        <v/>
      </c>
      <c r="D1147" s="36">
        <f>IF(A1147="","",IFERROR(INDEX(Maniobras!$D$5:$D$504,MATCH(A1147,Maniobras!$A$5:$A$504,0)),""))</f>
        <v/>
      </c>
      <c r="E1147" s="36" t="n"/>
      <c r="F1147" s="37">
        <f>IF(A1147="","",IFERROR(INDEX(Maniobras!$K$5:$K$504,MATCH(A1147,Maniobras!$A$5:$A$504,0)),""))</f>
        <v/>
      </c>
      <c r="G1147" s="37" t="n"/>
      <c r="H1147" s="37" t="n"/>
      <c r="I1147" s="37">
        <f>IF(G1147="","",G1147+N(H1147))</f>
        <v/>
      </c>
      <c r="J1147" s="36" t="n"/>
      <c r="K1147" s="40" t="n"/>
      <c r="L1147" s="36" t="n"/>
      <c r="M1147">
        <f>IF($A1147=Ficha!$B$3,COUNTIF($A$5:$A1147,Ficha!$B$3),"")</f>
        <v/>
      </c>
    </row>
    <row r="1148">
      <c r="A1148" s="38" t="n"/>
      <c r="B1148" s="41">
        <f>IF(A1148="","",IFERROR(INDEX(Maniobras!$B$5:$B$504,MATCH(A1148,Maniobras!$A$5:$A$504,0)),""))</f>
        <v/>
      </c>
      <c r="C1148" s="38">
        <f>IF(B1148="","",TEXT(B1148,"yyyy-mm"))</f>
        <v/>
      </c>
      <c r="D1148" s="38">
        <f>IF(A1148="","",IFERROR(INDEX(Maniobras!$D$5:$D$504,MATCH(A1148,Maniobras!$A$5:$A$504,0)),""))</f>
        <v/>
      </c>
      <c r="E1148" s="38" t="n"/>
      <c r="F1148" s="39">
        <f>IF(A1148="","",IFERROR(INDEX(Maniobras!$K$5:$K$504,MATCH(A1148,Maniobras!$A$5:$A$504,0)),""))</f>
        <v/>
      </c>
      <c r="G1148" s="39" t="n"/>
      <c r="H1148" s="39" t="n"/>
      <c r="I1148" s="39">
        <f>IF(G1148="","",G1148+N(H1148))</f>
        <v/>
      </c>
      <c r="J1148" s="38" t="n"/>
      <c r="K1148" s="41" t="n"/>
      <c r="L1148" s="38" t="n"/>
      <c r="M1148">
        <f>IF($A1148=Ficha!$B$3,COUNTIF($A$5:$A1148,Ficha!$B$3),"")</f>
        <v/>
      </c>
    </row>
    <row r="1149">
      <c r="A1149" s="36" t="n"/>
      <c r="B1149" s="40">
        <f>IF(A1149="","",IFERROR(INDEX(Maniobras!$B$5:$B$504,MATCH(A1149,Maniobras!$A$5:$A$504,0)),""))</f>
        <v/>
      </c>
      <c r="C1149" s="36">
        <f>IF(B1149="","",TEXT(B1149,"yyyy-mm"))</f>
        <v/>
      </c>
      <c r="D1149" s="36">
        <f>IF(A1149="","",IFERROR(INDEX(Maniobras!$D$5:$D$504,MATCH(A1149,Maniobras!$A$5:$A$504,0)),""))</f>
        <v/>
      </c>
      <c r="E1149" s="36" t="n"/>
      <c r="F1149" s="37">
        <f>IF(A1149="","",IFERROR(INDEX(Maniobras!$K$5:$K$504,MATCH(A1149,Maniobras!$A$5:$A$504,0)),""))</f>
        <v/>
      </c>
      <c r="G1149" s="37" t="n"/>
      <c r="H1149" s="37" t="n"/>
      <c r="I1149" s="37">
        <f>IF(G1149="","",G1149+N(H1149))</f>
        <v/>
      </c>
      <c r="J1149" s="36" t="n"/>
      <c r="K1149" s="40" t="n"/>
      <c r="L1149" s="36" t="n"/>
      <c r="M1149">
        <f>IF($A1149=Ficha!$B$3,COUNTIF($A$5:$A1149,Ficha!$B$3),"")</f>
        <v/>
      </c>
    </row>
    <row r="1150">
      <c r="A1150" s="38" t="n"/>
      <c r="B1150" s="41">
        <f>IF(A1150="","",IFERROR(INDEX(Maniobras!$B$5:$B$504,MATCH(A1150,Maniobras!$A$5:$A$504,0)),""))</f>
        <v/>
      </c>
      <c r="C1150" s="38">
        <f>IF(B1150="","",TEXT(B1150,"yyyy-mm"))</f>
        <v/>
      </c>
      <c r="D1150" s="38">
        <f>IF(A1150="","",IFERROR(INDEX(Maniobras!$D$5:$D$504,MATCH(A1150,Maniobras!$A$5:$A$504,0)),""))</f>
        <v/>
      </c>
      <c r="E1150" s="38" t="n"/>
      <c r="F1150" s="39">
        <f>IF(A1150="","",IFERROR(INDEX(Maniobras!$K$5:$K$504,MATCH(A1150,Maniobras!$A$5:$A$504,0)),""))</f>
        <v/>
      </c>
      <c r="G1150" s="39" t="n"/>
      <c r="H1150" s="39" t="n"/>
      <c r="I1150" s="39">
        <f>IF(G1150="","",G1150+N(H1150))</f>
        <v/>
      </c>
      <c r="J1150" s="38" t="n"/>
      <c r="K1150" s="41" t="n"/>
      <c r="L1150" s="38" t="n"/>
      <c r="M1150">
        <f>IF($A1150=Ficha!$B$3,COUNTIF($A$5:$A1150,Ficha!$B$3),"")</f>
        <v/>
      </c>
    </row>
    <row r="1151">
      <c r="A1151" s="36" t="n"/>
      <c r="B1151" s="40">
        <f>IF(A1151="","",IFERROR(INDEX(Maniobras!$B$5:$B$504,MATCH(A1151,Maniobras!$A$5:$A$504,0)),""))</f>
        <v/>
      </c>
      <c r="C1151" s="36">
        <f>IF(B1151="","",TEXT(B1151,"yyyy-mm"))</f>
        <v/>
      </c>
      <c r="D1151" s="36">
        <f>IF(A1151="","",IFERROR(INDEX(Maniobras!$D$5:$D$504,MATCH(A1151,Maniobras!$A$5:$A$504,0)),""))</f>
        <v/>
      </c>
      <c r="E1151" s="36" t="n"/>
      <c r="F1151" s="37">
        <f>IF(A1151="","",IFERROR(INDEX(Maniobras!$K$5:$K$504,MATCH(A1151,Maniobras!$A$5:$A$504,0)),""))</f>
        <v/>
      </c>
      <c r="G1151" s="37" t="n"/>
      <c r="H1151" s="37" t="n"/>
      <c r="I1151" s="37">
        <f>IF(G1151="","",G1151+N(H1151))</f>
        <v/>
      </c>
      <c r="J1151" s="36" t="n"/>
      <c r="K1151" s="40" t="n"/>
      <c r="L1151" s="36" t="n"/>
      <c r="M1151">
        <f>IF($A1151=Ficha!$B$3,COUNTIF($A$5:$A1151,Ficha!$B$3),"")</f>
        <v/>
      </c>
    </row>
    <row r="1152">
      <c r="A1152" s="38" t="n"/>
      <c r="B1152" s="41">
        <f>IF(A1152="","",IFERROR(INDEX(Maniobras!$B$5:$B$504,MATCH(A1152,Maniobras!$A$5:$A$504,0)),""))</f>
        <v/>
      </c>
      <c r="C1152" s="38">
        <f>IF(B1152="","",TEXT(B1152,"yyyy-mm"))</f>
        <v/>
      </c>
      <c r="D1152" s="38">
        <f>IF(A1152="","",IFERROR(INDEX(Maniobras!$D$5:$D$504,MATCH(A1152,Maniobras!$A$5:$A$504,0)),""))</f>
        <v/>
      </c>
      <c r="E1152" s="38" t="n"/>
      <c r="F1152" s="39">
        <f>IF(A1152="","",IFERROR(INDEX(Maniobras!$K$5:$K$504,MATCH(A1152,Maniobras!$A$5:$A$504,0)),""))</f>
        <v/>
      </c>
      <c r="G1152" s="39" t="n"/>
      <c r="H1152" s="39" t="n"/>
      <c r="I1152" s="39">
        <f>IF(G1152="","",G1152+N(H1152))</f>
        <v/>
      </c>
      <c r="J1152" s="38" t="n"/>
      <c r="K1152" s="41" t="n"/>
      <c r="L1152" s="38" t="n"/>
      <c r="M1152">
        <f>IF($A1152=Ficha!$B$3,COUNTIF($A$5:$A1152,Ficha!$B$3),"")</f>
        <v/>
      </c>
    </row>
    <row r="1153">
      <c r="A1153" s="36" t="n"/>
      <c r="B1153" s="40">
        <f>IF(A1153="","",IFERROR(INDEX(Maniobras!$B$5:$B$504,MATCH(A1153,Maniobras!$A$5:$A$504,0)),""))</f>
        <v/>
      </c>
      <c r="C1153" s="36">
        <f>IF(B1153="","",TEXT(B1153,"yyyy-mm"))</f>
        <v/>
      </c>
      <c r="D1153" s="36">
        <f>IF(A1153="","",IFERROR(INDEX(Maniobras!$D$5:$D$504,MATCH(A1153,Maniobras!$A$5:$A$504,0)),""))</f>
        <v/>
      </c>
      <c r="E1153" s="36" t="n"/>
      <c r="F1153" s="37">
        <f>IF(A1153="","",IFERROR(INDEX(Maniobras!$K$5:$K$504,MATCH(A1153,Maniobras!$A$5:$A$504,0)),""))</f>
        <v/>
      </c>
      <c r="G1153" s="37" t="n"/>
      <c r="H1153" s="37" t="n"/>
      <c r="I1153" s="37">
        <f>IF(G1153="","",G1153+N(H1153))</f>
        <v/>
      </c>
      <c r="J1153" s="36" t="n"/>
      <c r="K1153" s="40" t="n"/>
      <c r="L1153" s="36" t="n"/>
      <c r="M1153">
        <f>IF($A1153=Ficha!$B$3,COUNTIF($A$5:$A1153,Ficha!$B$3),"")</f>
        <v/>
      </c>
    </row>
    <row r="1154">
      <c r="A1154" s="38" t="n"/>
      <c r="B1154" s="41">
        <f>IF(A1154="","",IFERROR(INDEX(Maniobras!$B$5:$B$504,MATCH(A1154,Maniobras!$A$5:$A$504,0)),""))</f>
        <v/>
      </c>
      <c r="C1154" s="38">
        <f>IF(B1154="","",TEXT(B1154,"yyyy-mm"))</f>
        <v/>
      </c>
      <c r="D1154" s="38">
        <f>IF(A1154="","",IFERROR(INDEX(Maniobras!$D$5:$D$504,MATCH(A1154,Maniobras!$A$5:$A$504,0)),""))</f>
        <v/>
      </c>
      <c r="E1154" s="38" t="n"/>
      <c r="F1154" s="39">
        <f>IF(A1154="","",IFERROR(INDEX(Maniobras!$K$5:$K$504,MATCH(A1154,Maniobras!$A$5:$A$504,0)),""))</f>
        <v/>
      </c>
      <c r="G1154" s="39" t="n"/>
      <c r="H1154" s="39" t="n"/>
      <c r="I1154" s="39">
        <f>IF(G1154="","",G1154+N(H1154))</f>
        <v/>
      </c>
      <c r="J1154" s="38" t="n"/>
      <c r="K1154" s="41" t="n"/>
      <c r="L1154" s="38" t="n"/>
      <c r="M1154">
        <f>IF($A1154=Ficha!$B$3,COUNTIF($A$5:$A1154,Ficha!$B$3),"")</f>
        <v/>
      </c>
    </row>
    <row r="1155">
      <c r="A1155" s="36" t="n"/>
      <c r="B1155" s="40">
        <f>IF(A1155="","",IFERROR(INDEX(Maniobras!$B$5:$B$504,MATCH(A1155,Maniobras!$A$5:$A$504,0)),""))</f>
        <v/>
      </c>
      <c r="C1155" s="36">
        <f>IF(B1155="","",TEXT(B1155,"yyyy-mm"))</f>
        <v/>
      </c>
      <c r="D1155" s="36">
        <f>IF(A1155="","",IFERROR(INDEX(Maniobras!$D$5:$D$504,MATCH(A1155,Maniobras!$A$5:$A$504,0)),""))</f>
        <v/>
      </c>
      <c r="E1155" s="36" t="n"/>
      <c r="F1155" s="37">
        <f>IF(A1155="","",IFERROR(INDEX(Maniobras!$K$5:$K$504,MATCH(A1155,Maniobras!$A$5:$A$504,0)),""))</f>
        <v/>
      </c>
      <c r="G1155" s="37" t="n"/>
      <c r="H1155" s="37" t="n"/>
      <c r="I1155" s="37">
        <f>IF(G1155="","",G1155+N(H1155))</f>
        <v/>
      </c>
      <c r="J1155" s="36" t="n"/>
      <c r="K1155" s="40" t="n"/>
      <c r="L1155" s="36" t="n"/>
      <c r="M1155">
        <f>IF($A1155=Ficha!$B$3,COUNTIF($A$5:$A1155,Ficha!$B$3),"")</f>
        <v/>
      </c>
    </row>
    <row r="1156">
      <c r="A1156" s="38" t="n"/>
      <c r="B1156" s="41">
        <f>IF(A1156="","",IFERROR(INDEX(Maniobras!$B$5:$B$504,MATCH(A1156,Maniobras!$A$5:$A$504,0)),""))</f>
        <v/>
      </c>
      <c r="C1156" s="38">
        <f>IF(B1156="","",TEXT(B1156,"yyyy-mm"))</f>
        <v/>
      </c>
      <c r="D1156" s="38">
        <f>IF(A1156="","",IFERROR(INDEX(Maniobras!$D$5:$D$504,MATCH(A1156,Maniobras!$A$5:$A$504,0)),""))</f>
        <v/>
      </c>
      <c r="E1156" s="38" t="n"/>
      <c r="F1156" s="39">
        <f>IF(A1156="","",IFERROR(INDEX(Maniobras!$K$5:$K$504,MATCH(A1156,Maniobras!$A$5:$A$504,0)),""))</f>
        <v/>
      </c>
      <c r="G1156" s="39" t="n"/>
      <c r="H1156" s="39" t="n"/>
      <c r="I1156" s="39">
        <f>IF(G1156="","",G1156+N(H1156))</f>
        <v/>
      </c>
      <c r="J1156" s="38" t="n"/>
      <c r="K1156" s="41" t="n"/>
      <c r="L1156" s="38" t="n"/>
      <c r="M1156">
        <f>IF($A1156=Ficha!$B$3,COUNTIF($A$5:$A1156,Ficha!$B$3),"")</f>
        <v/>
      </c>
    </row>
    <row r="1157">
      <c r="A1157" s="36" t="n"/>
      <c r="B1157" s="40">
        <f>IF(A1157="","",IFERROR(INDEX(Maniobras!$B$5:$B$504,MATCH(A1157,Maniobras!$A$5:$A$504,0)),""))</f>
        <v/>
      </c>
      <c r="C1157" s="36">
        <f>IF(B1157="","",TEXT(B1157,"yyyy-mm"))</f>
        <v/>
      </c>
      <c r="D1157" s="36">
        <f>IF(A1157="","",IFERROR(INDEX(Maniobras!$D$5:$D$504,MATCH(A1157,Maniobras!$A$5:$A$504,0)),""))</f>
        <v/>
      </c>
      <c r="E1157" s="36" t="n"/>
      <c r="F1157" s="37">
        <f>IF(A1157="","",IFERROR(INDEX(Maniobras!$K$5:$K$504,MATCH(A1157,Maniobras!$A$5:$A$504,0)),""))</f>
        <v/>
      </c>
      <c r="G1157" s="37" t="n"/>
      <c r="H1157" s="37" t="n"/>
      <c r="I1157" s="37">
        <f>IF(G1157="","",G1157+N(H1157))</f>
        <v/>
      </c>
      <c r="J1157" s="36" t="n"/>
      <c r="K1157" s="40" t="n"/>
      <c r="L1157" s="36" t="n"/>
      <c r="M1157">
        <f>IF($A1157=Ficha!$B$3,COUNTIF($A$5:$A1157,Ficha!$B$3),"")</f>
        <v/>
      </c>
    </row>
    <row r="1158">
      <c r="A1158" s="38" t="n"/>
      <c r="B1158" s="41">
        <f>IF(A1158="","",IFERROR(INDEX(Maniobras!$B$5:$B$504,MATCH(A1158,Maniobras!$A$5:$A$504,0)),""))</f>
        <v/>
      </c>
      <c r="C1158" s="38">
        <f>IF(B1158="","",TEXT(B1158,"yyyy-mm"))</f>
        <v/>
      </c>
      <c r="D1158" s="38">
        <f>IF(A1158="","",IFERROR(INDEX(Maniobras!$D$5:$D$504,MATCH(A1158,Maniobras!$A$5:$A$504,0)),""))</f>
        <v/>
      </c>
      <c r="E1158" s="38" t="n"/>
      <c r="F1158" s="39">
        <f>IF(A1158="","",IFERROR(INDEX(Maniobras!$K$5:$K$504,MATCH(A1158,Maniobras!$A$5:$A$504,0)),""))</f>
        <v/>
      </c>
      <c r="G1158" s="39" t="n"/>
      <c r="H1158" s="39" t="n"/>
      <c r="I1158" s="39">
        <f>IF(G1158="","",G1158+N(H1158))</f>
        <v/>
      </c>
      <c r="J1158" s="38" t="n"/>
      <c r="K1158" s="41" t="n"/>
      <c r="L1158" s="38" t="n"/>
      <c r="M1158">
        <f>IF($A1158=Ficha!$B$3,COUNTIF($A$5:$A1158,Ficha!$B$3),"")</f>
        <v/>
      </c>
    </row>
    <row r="1159">
      <c r="A1159" s="36" t="n"/>
      <c r="B1159" s="40">
        <f>IF(A1159="","",IFERROR(INDEX(Maniobras!$B$5:$B$504,MATCH(A1159,Maniobras!$A$5:$A$504,0)),""))</f>
        <v/>
      </c>
      <c r="C1159" s="36">
        <f>IF(B1159="","",TEXT(B1159,"yyyy-mm"))</f>
        <v/>
      </c>
      <c r="D1159" s="36">
        <f>IF(A1159="","",IFERROR(INDEX(Maniobras!$D$5:$D$504,MATCH(A1159,Maniobras!$A$5:$A$504,0)),""))</f>
        <v/>
      </c>
      <c r="E1159" s="36" t="n"/>
      <c r="F1159" s="37">
        <f>IF(A1159="","",IFERROR(INDEX(Maniobras!$K$5:$K$504,MATCH(A1159,Maniobras!$A$5:$A$504,0)),""))</f>
        <v/>
      </c>
      <c r="G1159" s="37" t="n"/>
      <c r="H1159" s="37" t="n"/>
      <c r="I1159" s="37">
        <f>IF(G1159="","",G1159+N(H1159))</f>
        <v/>
      </c>
      <c r="J1159" s="36" t="n"/>
      <c r="K1159" s="40" t="n"/>
      <c r="L1159" s="36" t="n"/>
      <c r="M1159">
        <f>IF($A1159=Ficha!$B$3,COUNTIF($A$5:$A1159,Ficha!$B$3),"")</f>
        <v/>
      </c>
    </row>
    <row r="1160">
      <c r="A1160" s="38" t="n"/>
      <c r="B1160" s="41">
        <f>IF(A1160="","",IFERROR(INDEX(Maniobras!$B$5:$B$504,MATCH(A1160,Maniobras!$A$5:$A$504,0)),""))</f>
        <v/>
      </c>
      <c r="C1160" s="38">
        <f>IF(B1160="","",TEXT(B1160,"yyyy-mm"))</f>
        <v/>
      </c>
      <c r="D1160" s="38">
        <f>IF(A1160="","",IFERROR(INDEX(Maniobras!$D$5:$D$504,MATCH(A1160,Maniobras!$A$5:$A$504,0)),""))</f>
        <v/>
      </c>
      <c r="E1160" s="38" t="n"/>
      <c r="F1160" s="39">
        <f>IF(A1160="","",IFERROR(INDEX(Maniobras!$K$5:$K$504,MATCH(A1160,Maniobras!$A$5:$A$504,0)),""))</f>
        <v/>
      </c>
      <c r="G1160" s="39" t="n"/>
      <c r="H1160" s="39" t="n"/>
      <c r="I1160" s="39">
        <f>IF(G1160="","",G1160+N(H1160))</f>
        <v/>
      </c>
      <c r="J1160" s="38" t="n"/>
      <c r="K1160" s="41" t="n"/>
      <c r="L1160" s="38" t="n"/>
      <c r="M1160">
        <f>IF($A1160=Ficha!$B$3,COUNTIF($A$5:$A1160,Ficha!$B$3),"")</f>
        <v/>
      </c>
    </row>
    <row r="1161">
      <c r="A1161" s="36" t="n"/>
      <c r="B1161" s="40">
        <f>IF(A1161="","",IFERROR(INDEX(Maniobras!$B$5:$B$504,MATCH(A1161,Maniobras!$A$5:$A$504,0)),""))</f>
        <v/>
      </c>
      <c r="C1161" s="36">
        <f>IF(B1161="","",TEXT(B1161,"yyyy-mm"))</f>
        <v/>
      </c>
      <c r="D1161" s="36">
        <f>IF(A1161="","",IFERROR(INDEX(Maniobras!$D$5:$D$504,MATCH(A1161,Maniobras!$A$5:$A$504,0)),""))</f>
        <v/>
      </c>
      <c r="E1161" s="36" t="n"/>
      <c r="F1161" s="37">
        <f>IF(A1161="","",IFERROR(INDEX(Maniobras!$K$5:$K$504,MATCH(A1161,Maniobras!$A$5:$A$504,0)),""))</f>
        <v/>
      </c>
      <c r="G1161" s="37" t="n"/>
      <c r="H1161" s="37" t="n"/>
      <c r="I1161" s="37">
        <f>IF(G1161="","",G1161+N(H1161))</f>
        <v/>
      </c>
      <c r="J1161" s="36" t="n"/>
      <c r="K1161" s="40" t="n"/>
      <c r="L1161" s="36" t="n"/>
      <c r="M1161">
        <f>IF($A1161=Ficha!$B$3,COUNTIF($A$5:$A1161,Ficha!$B$3),"")</f>
        <v/>
      </c>
    </row>
    <row r="1162">
      <c r="A1162" s="38" t="n"/>
      <c r="B1162" s="41">
        <f>IF(A1162="","",IFERROR(INDEX(Maniobras!$B$5:$B$504,MATCH(A1162,Maniobras!$A$5:$A$504,0)),""))</f>
        <v/>
      </c>
      <c r="C1162" s="38">
        <f>IF(B1162="","",TEXT(B1162,"yyyy-mm"))</f>
        <v/>
      </c>
      <c r="D1162" s="38">
        <f>IF(A1162="","",IFERROR(INDEX(Maniobras!$D$5:$D$504,MATCH(A1162,Maniobras!$A$5:$A$504,0)),""))</f>
        <v/>
      </c>
      <c r="E1162" s="38" t="n"/>
      <c r="F1162" s="39">
        <f>IF(A1162="","",IFERROR(INDEX(Maniobras!$K$5:$K$504,MATCH(A1162,Maniobras!$A$5:$A$504,0)),""))</f>
        <v/>
      </c>
      <c r="G1162" s="39" t="n"/>
      <c r="H1162" s="39" t="n"/>
      <c r="I1162" s="39">
        <f>IF(G1162="","",G1162+N(H1162))</f>
        <v/>
      </c>
      <c r="J1162" s="38" t="n"/>
      <c r="K1162" s="41" t="n"/>
      <c r="L1162" s="38" t="n"/>
      <c r="M1162">
        <f>IF($A1162=Ficha!$B$3,COUNTIF($A$5:$A1162,Ficha!$B$3),"")</f>
        <v/>
      </c>
    </row>
    <row r="1163">
      <c r="A1163" s="36" t="n"/>
      <c r="B1163" s="40">
        <f>IF(A1163="","",IFERROR(INDEX(Maniobras!$B$5:$B$504,MATCH(A1163,Maniobras!$A$5:$A$504,0)),""))</f>
        <v/>
      </c>
      <c r="C1163" s="36">
        <f>IF(B1163="","",TEXT(B1163,"yyyy-mm"))</f>
        <v/>
      </c>
      <c r="D1163" s="36">
        <f>IF(A1163="","",IFERROR(INDEX(Maniobras!$D$5:$D$504,MATCH(A1163,Maniobras!$A$5:$A$504,0)),""))</f>
        <v/>
      </c>
      <c r="E1163" s="36" t="n"/>
      <c r="F1163" s="37">
        <f>IF(A1163="","",IFERROR(INDEX(Maniobras!$K$5:$K$504,MATCH(A1163,Maniobras!$A$5:$A$504,0)),""))</f>
        <v/>
      </c>
      <c r="G1163" s="37" t="n"/>
      <c r="H1163" s="37" t="n"/>
      <c r="I1163" s="37">
        <f>IF(G1163="","",G1163+N(H1163))</f>
        <v/>
      </c>
      <c r="J1163" s="36" t="n"/>
      <c r="K1163" s="40" t="n"/>
      <c r="L1163" s="36" t="n"/>
      <c r="M1163">
        <f>IF($A1163=Ficha!$B$3,COUNTIF($A$5:$A1163,Ficha!$B$3),"")</f>
        <v/>
      </c>
    </row>
    <row r="1164">
      <c r="A1164" s="38" t="n"/>
      <c r="B1164" s="41">
        <f>IF(A1164="","",IFERROR(INDEX(Maniobras!$B$5:$B$504,MATCH(A1164,Maniobras!$A$5:$A$504,0)),""))</f>
        <v/>
      </c>
      <c r="C1164" s="38">
        <f>IF(B1164="","",TEXT(B1164,"yyyy-mm"))</f>
        <v/>
      </c>
      <c r="D1164" s="38">
        <f>IF(A1164="","",IFERROR(INDEX(Maniobras!$D$5:$D$504,MATCH(A1164,Maniobras!$A$5:$A$504,0)),""))</f>
        <v/>
      </c>
      <c r="E1164" s="38" t="n"/>
      <c r="F1164" s="39">
        <f>IF(A1164="","",IFERROR(INDEX(Maniobras!$K$5:$K$504,MATCH(A1164,Maniobras!$A$5:$A$504,0)),""))</f>
        <v/>
      </c>
      <c r="G1164" s="39" t="n"/>
      <c r="H1164" s="39" t="n"/>
      <c r="I1164" s="39">
        <f>IF(G1164="","",G1164+N(H1164))</f>
        <v/>
      </c>
      <c r="J1164" s="38" t="n"/>
      <c r="K1164" s="41" t="n"/>
      <c r="L1164" s="38" t="n"/>
      <c r="M1164">
        <f>IF($A1164=Ficha!$B$3,COUNTIF($A$5:$A1164,Ficha!$B$3),"")</f>
        <v/>
      </c>
    </row>
    <row r="1165">
      <c r="A1165" s="36" t="n"/>
      <c r="B1165" s="40">
        <f>IF(A1165="","",IFERROR(INDEX(Maniobras!$B$5:$B$504,MATCH(A1165,Maniobras!$A$5:$A$504,0)),""))</f>
        <v/>
      </c>
      <c r="C1165" s="36">
        <f>IF(B1165="","",TEXT(B1165,"yyyy-mm"))</f>
        <v/>
      </c>
      <c r="D1165" s="36">
        <f>IF(A1165="","",IFERROR(INDEX(Maniobras!$D$5:$D$504,MATCH(A1165,Maniobras!$A$5:$A$504,0)),""))</f>
        <v/>
      </c>
      <c r="E1165" s="36" t="n"/>
      <c r="F1165" s="37">
        <f>IF(A1165="","",IFERROR(INDEX(Maniobras!$K$5:$K$504,MATCH(A1165,Maniobras!$A$5:$A$504,0)),""))</f>
        <v/>
      </c>
      <c r="G1165" s="37" t="n"/>
      <c r="H1165" s="37" t="n"/>
      <c r="I1165" s="37">
        <f>IF(G1165="","",G1165+N(H1165))</f>
        <v/>
      </c>
      <c r="J1165" s="36" t="n"/>
      <c r="K1165" s="40" t="n"/>
      <c r="L1165" s="36" t="n"/>
      <c r="M1165">
        <f>IF($A1165=Ficha!$B$3,COUNTIF($A$5:$A1165,Ficha!$B$3),"")</f>
        <v/>
      </c>
    </row>
    <row r="1166">
      <c r="A1166" s="38" t="n"/>
      <c r="B1166" s="41">
        <f>IF(A1166="","",IFERROR(INDEX(Maniobras!$B$5:$B$504,MATCH(A1166,Maniobras!$A$5:$A$504,0)),""))</f>
        <v/>
      </c>
      <c r="C1166" s="38">
        <f>IF(B1166="","",TEXT(B1166,"yyyy-mm"))</f>
        <v/>
      </c>
      <c r="D1166" s="38">
        <f>IF(A1166="","",IFERROR(INDEX(Maniobras!$D$5:$D$504,MATCH(A1166,Maniobras!$A$5:$A$504,0)),""))</f>
        <v/>
      </c>
      <c r="E1166" s="38" t="n"/>
      <c r="F1166" s="39">
        <f>IF(A1166="","",IFERROR(INDEX(Maniobras!$K$5:$K$504,MATCH(A1166,Maniobras!$A$5:$A$504,0)),""))</f>
        <v/>
      </c>
      <c r="G1166" s="39" t="n"/>
      <c r="H1166" s="39" t="n"/>
      <c r="I1166" s="39">
        <f>IF(G1166="","",G1166+N(H1166))</f>
        <v/>
      </c>
      <c r="J1166" s="38" t="n"/>
      <c r="K1166" s="41" t="n"/>
      <c r="L1166" s="38" t="n"/>
      <c r="M1166">
        <f>IF($A1166=Ficha!$B$3,COUNTIF($A$5:$A1166,Ficha!$B$3),"")</f>
        <v/>
      </c>
    </row>
    <row r="1167">
      <c r="A1167" s="36" t="n"/>
      <c r="B1167" s="40">
        <f>IF(A1167="","",IFERROR(INDEX(Maniobras!$B$5:$B$504,MATCH(A1167,Maniobras!$A$5:$A$504,0)),""))</f>
        <v/>
      </c>
      <c r="C1167" s="36">
        <f>IF(B1167="","",TEXT(B1167,"yyyy-mm"))</f>
        <v/>
      </c>
      <c r="D1167" s="36">
        <f>IF(A1167="","",IFERROR(INDEX(Maniobras!$D$5:$D$504,MATCH(A1167,Maniobras!$A$5:$A$504,0)),""))</f>
        <v/>
      </c>
      <c r="E1167" s="36" t="n"/>
      <c r="F1167" s="37">
        <f>IF(A1167="","",IFERROR(INDEX(Maniobras!$K$5:$K$504,MATCH(A1167,Maniobras!$A$5:$A$504,0)),""))</f>
        <v/>
      </c>
      <c r="G1167" s="37" t="n"/>
      <c r="H1167" s="37" t="n"/>
      <c r="I1167" s="37">
        <f>IF(G1167="","",G1167+N(H1167))</f>
        <v/>
      </c>
      <c r="J1167" s="36" t="n"/>
      <c r="K1167" s="40" t="n"/>
      <c r="L1167" s="36" t="n"/>
      <c r="M1167">
        <f>IF($A1167=Ficha!$B$3,COUNTIF($A$5:$A1167,Ficha!$B$3),"")</f>
        <v/>
      </c>
    </row>
    <row r="1168">
      <c r="A1168" s="38" t="n"/>
      <c r="B1168" s="41">
        <f>IF(A1168="","",IFERROR(INDEX(Maniobras!$B$5:$B$504,MATCH(A1168,Maniobras!$A$5:$A$504,0)),""))</f>
        <v/>
      </c>
      <c r="C1168" s="38">
        <f>IF(B1168="","",TEXT(B1168,"yyyy-mm"))</f>
        <v/>
      </c>
      <c r="D1168" s="38">
        <f>IF(A1168="","",IFERROR(INDEX(Maniobras!$D$5:$D$504,MATCH(A1168,Maniobras!$A$5:$A$504,0)),""))</f>
        <v/>
      </c>
      <c r="E1168" s="38" t="n"/>
      <c r="F1168" s="39">
        <f>IF(A1168="","",IFERROR(INDEX(Maniobras!$K$5:$K$504,MATCH(A1168,Maniobras!$A$5:$A$504,0)),""))</f>
        <v/>
      </c>
      <c r="G1168" s="39" t="n"/>
      <c r="H1168" s="39" t="n"/>
      <c r="I1168" s="39">
        <f>IF(G1168="","",G1168+N(H1168))</f>
        <v/>
      </c>
      <c r="J1168" s="38" t="n"/>
      <c r="K1168" s="41" t="n"/>
      <c r="L1168" s="38" t="n"/>
      <c r="M1168">
        <f>IF($A1168=Ficha!$B$3,COUNTIF($A$5:$A1168,Ficha!$B$3),"")</f>
        <v/>
      </c>
    </row>
    <row r="1169">
      <c r="A1169" s="36" t="n"/>
      <c r="B1169" s="40">
        <f>IF(A1169="","",IFERROR(INDEX(Maniobras!$B$5:$B$504,MATCH(A1169,Maniobras!$A$5:$A$504,0)),""))</f>
        <v/>
      </c>
      <c r="C1169" s="36">
        <f>IF(B1169="","",TEXT(B1169,"yyyy-mm"))</f>
        <v/>
      </c>
      <c r="D1169" s="36">
        <f>IF(A1169="","",IFERROR(INDEX(Maniobras!$D$5:$D$504,MATCH(A1169,Maniobras!$A$5:$A$504,0)),""))</f>
        <v/>
      </c>
      <c r="E1169" s="36" t="n"/>
      <c r="F1169" s="37">
        <f>IF(A1169="","",IFERROR(INDEX(Maniobras!$K$5:$K$504,MATCH(A1169,Maniobras!$A$5:$A$504,0)),""))</f>
        <v/>
      </c>
      <c r="G1169" s="37" t="n"/>
      <c r="H1169" s="37" t="n"/>
      <c r="I1169" s="37">
        <f>IF(G1169="","",G1169+N(H1169))</f>
        <v/>
      </c>
      <c r="J1169" s="36" t="n"/>
      <c r="K1169" s="40" t="n"/>
      <c r="L1169" s="36" t="n"/>
      <c r="M1169">
        <f>IF($A1169=Ficha!$B$3,COUNTIF($A$5:$A1169,Ficha!$B$3),"")</f>
        <v/>
      </c>
    </row>
    <row r="1170">
      <c r="A1170" s="38" t="n"/>
      <c r="B1170" s="41">
        <f>IF(A1170="","",IFERROR(INDEX(Maniobras!$B$5:$B$504,MATCH(A1170,Maniobras!$A$5:$A$504,0)),""))</f>
        <v/>
      </c>
      <c r="C1170" s="38">
        <f>IF(B1170="","",TEXT(B1170,"yyyy-mm"))</f>
        <v/>
      </c>
      <c r="D1170" s="38">
        <f>IF(A1170="","",IFERROR(INDEX(Maniobras!$D$5:$D$504,MATCH(A1170,Maniobras!$A$5:$A$504,0)),""))</f>
        <v/>
      </c>
      <c r="E1170" s="38" t="n"/>
      <c r="F1170" s="39">
        <f>IF(A1170="","",IFERROR(INDEX(Maniobras!$K$5:$K$504,MATCH(A1170,Maniobras!$A$5:$A$504,0)),""))</f>
        <v/>
      </c>
      <c r="G1170" s="39" t="n"/>
      <c r="H1170" s="39" t="n"/>
      <c r="I1170" s="39">
        <f>IF(G1170="","",G1170+N(H1170))</f>
        <v/>
      </c>
      <c r="J1170" s="38" t="n"/>
      <c r="K1170" s="41" t="n"/>
      <c r="L1170" s="38" t="n"/>
      <c r="M1170">
        <f>IF($A1170=Ficha!$B$3,COUNTIF($A$5:$A1170,Ficha!$B$3),"")</f>
        <v/>
      </c>
    </row>
    <row r="1171">
      <c r="A1171" s="36" t="n"/>
      <c r="B1171" s="40">
        <f>IF(A1171="","",IFERROR(INDEX(Maniobras!$B$5:$B$504,MATCH(A1171,Maniobras!$A$5:$A$504,0)),""))</f>
        <v/>
      </c>
      <c r="C1171" s="36">
        <f>IF(B1171="","",TEXT(B1171,"yyyy-mm"))</f>
        <v/>
      </c>
      <c r="D1171" s="36">
        <f>IF(A1171="","",IFERROR(INDEX(Maniobras!$D$5:$D$504,MATCH(A1171,Maniobras!$A$5:$A$504,0)),""))</f>
        <v/>
      </c>
      <c r="E1171" s="36" t="n"/>
      <c r="F1171" s="37">
        <f>IF(A1171="","",IFERROR(INDEX(Maniobras!$K$5:$K$504,MATCH(A1171,Maniobras!$A$5:$A$504,0)),""))</f>
        <v/>
      </c>
      <c r="G1171" s="37" t="n"/>
      <c r="H1171" s="37" t="n"/>
      <c r="I1171" s="37">
        <f>IF(G1171="","",G1171+N(H1171))</f>
        <v/>
      </c>
      <c r="J1171" s="36" t="n"/>
      <c r="K1171" s="40" t="n"/>
      <c r="L1171" s="36" t="n"/>
      <c r="M1171">
        <f>IF($A1171=Ficha!$B$3,COUNTIF($A$5:$A1171,Ficha!$B$3),"")</f>
        <v/>
      </c>
    </row>
    <row r="1172">
      <c r="A1172" s="38" t="n"/>
      <c r="B1172" s="41">
        <f>IF(A1172="","",IFERROR(INDEX(Maniobras!$B$5:$B$504,MATCH(A1172,Maniobras!$A$5:$A$504,0)),""))</f>
        <v/>
      </c>
      <c r="C1172" s="38">
        <f>IF(B1172="","",TEXT(B1172,"yyyy-mm"))</f>
        <v/>
      </c>
      <c r="D1172" s="38">
        <f>IF(A1172="","",IFERROR(INDEX(Maniobras!$D$5:$D$504,MATCH(A1172,Maniobras!$A$5:$A$504,0)),""))</f>
        <v/>
      </c>
      <c r="E1172" s="38" t="n"/>
      <c r="F1172" s="39">
        <f>IF(A1172="","",IFERROR(INDEX(Maniobras!$K$5:$K$504,MATCH(A1172,Maniobras!$A$5:$A$504,0)),""))</f>
        <v/>
      </c>
      <c r="G1172" s="39" t="n"/>
      <c r="H1172" s="39" t="n"/>
      <c r="I1172" s="39">
        <f>IF(G1172="","",G1172+N(H1172))</f>
        <v/>
      </c>
      <c r="J1172" s="38" t="n"/>
      <c r="K1172" s="41" t="n"/>
      <c r="L1172" s="38" t="n"/>
      <c r="M1172">
        <f>IF($A1172=Ficha!$B$3,COUNTIF($A$5:$A1172,Ficha!$B$3),"")</f>
        <v/>
      </c>
    </row>
    <row r="1173">
      <c r="A1173" s="36" t="n"/>
      <c r="B1173" s="40">
        <f>IF(A1173="","",IFERROR(INDEX(Maniobras!$B$5:$B$504,MATCH(A1173,Maniobras!$A$5:$A$504,0)),""))</f>
        <v/>
      </c>
      <c r="C1173" s="36">
        <f>IF(B1173="","",TEXT(B1173,"yyyy-mm"))</f>
        <v/>
      </c>
      <c r="D1173" s="36">
        <f>IF(A1173="","",IFERROR(INDEX(Maniobras!$D$5:$D$504,MATCH(A1173,Maniobras!$A$5:$A$504,0)),""))</f>
        <v/>
      </c>
      <c r="E1173" s="36" t="n"/>
      <c r="F1173" s="37">
        <f>IF(A1173="","",IFERROR(INDEX(Maniobras!$K$5:$K$504,MATCH(A1173,Maniobras!$A$5:$A$504,0)),""))</f>
        <v/>
      </c>
      <c r="G1173" s="37" t="n"/>
      <c r="H1173" s="37" t="n"/>
      <c r="I1173" s="37">
        <f>IF(G1173="","",G1173+N(H1173))</f>
        <v/>
      </c>
      <c r="J1173" s="36" t="n"/>
      <c r="K1173" s="40" t="n"/>
      <c r="L1173" s="36" t="n"/>
      <c r="M1173">
        <f>IF($A1173=Ficha!$B$3,COUNTIF($A$5:$A1173,Ficha!$B$3),"")</f>
        <v/>
      </c>
    </row>
    <row r="1174">
      <c r="A1174" s="38" t="n"/>
      <c r="B1174" s="41">
        <f>IF(A1174="","",IFERROR(INDEX(Maniobras!$B$5:$B$504,MATCH(A1174,Maniobras!$A$5:$A$504,0)),""))</f>
        <v/>
      </c>
      <c r="C1174" s="38">
        <f>IF(B1174="","",TEXT(B1174,"yyyy-mm"))</f>
        <v/>
      </c>
      <c r="D1174" s="38">
        <f>IF(A1174="","",IFERROR(INDEX(Maniobras!$D$5:$D$504,MATCH(A1174,Maniobras!$A$5:$A$504,0)),""))</f>
        <v/>
      </c>
      <c r="E1174" s="38" t="n"/>
      <c r="F1174" s="39">
        <f>IF(A1174="","",IFERROR(INDEX(Maniobras!$K$5:$K$504,MATCH(A1174,Maniobras!$A$5:$A$504,0)),""))</f>
        <v/>
      </c>
      <c r="G1174" s="39" t="n"/>
      <c r="H1174" s="39" t="n"/>
      <c r="I1174" s="39">
        <f>IF(G1174="","",G1174+N(H1174))</f>
        <v/>
      </c>
      <c r="J1174" s="38" t="n"/>
      <c r="K1174" s="41" t="n"/>
      <c r="L1174" s="38" t="n"/>
      <c r="M1174">
        <f>IF($A1174=Ficha!$B$3,COUNTIF($A$5:$A1174,Ficha!$B$3),"")</f>
        <v/>
      </c>
    </row>
    <row r="1175">
      <c r="A1175" s="36" t="n"/>
      <c r="B1175" s="40">
        <f>IF(A1175="","",IFERROR(INDEX(Maniobras!$B$5:$B$504,MATCH(A1175,Maniobras!$A$5:$A$504,0)),""))</f>
        <v/>
      </c>
      <c r="C1175" s="36">
        <f>IF(B1175="","",TEXT(B1175,"yyyy-mm"))</f>
        <v/>
      </c>
      <c r="D1175" s="36">
        <f>IF(A1175="","",IFERROR(INDEX(Maniobras!$D$5:$D$504,MATCH(A1175,Maniobras!$A$5:$A$504,0)),""))</f>
        <v/>
      </c>
      <c r="E1175" s="36" t="n"/>
      <c r="F1175" s="37">
        <f>IF(A1175="","",IFERROR(INDEX(Maniobras!$K$5:$K$504,MATCH(A1175,Maniobras!$A$5:$A$504,0)),""))</f>
        <v/>
      </c>
      <c r="G1175" s="37" t="n"/>
      <c r="H1175" s="37" t="n"/>
      <c r="I1175" s="37">
        <f>IF(G1175="","",G1175+N(H1175))</f>
        <v/>
      </c>
      <c r="J1175" s="36" t="n"/>
      <c r="K1175" s="40" t="n"/>
      <c r="L1175" s="36" t="n"/>
      <c r="M1175">
        <f>IF($A1175=Ficha!$B$3,COUNTIF($A$5:$A1175,Ficha!$B$3),"")</f>
        <v/>
      </c>
    </row>
    <row r="1176">
      <c r="A1176" s="38" t="n"/>
      <c r="B1176" s="41">
        <f>IF(A1176="","",IFERROR(INDEX(Maniobras!$B$5:$B$504,MATCH(A1176,Maniobras!$A$5:$A$504,0)),""))</f>
        <v/>
      </c>
      <c r="C1176" s="38">
        <f>IF(B1176="","",TEXT(B1176,"yyyy-mm"))</f>
        <v/>
      </c>
      <c r="D1176" s="38">
        <f>IF(A1176="","",IFERROR(INDEX(Maniobras!$D$5:$D$504,MATCH(A1176,Maniobras!$A$5:$A$504,0)),""))</f>
        <v/>
      </c>
      <c r="E1176" s="38" t="n"/>
      <c r="F1176" s="39">
        <f>IF(A1176="","",IFERROR(INDEX(Maniobras!$K$5:$K$504,MATCH(A1176,Maniobras!$A$5:$A$504,0)),""))</f>
        <v/>
      </c>
      <c r="G1176" s="39" t="n"/>
      <c r="H1176" s="39" t="n"/>
      <c r="I1176" s="39">
        <f>IF(G1176="","",G1176+N(H1176))</f>
        <v/>
      </c>
      <c r="J1176" s="38" t="n"/>
      <c r="K1176" s="41" t="n"/>
      <c r="L1176" s="38" t="n"/>
      <c r="M1176">
        <f>IF($A1176=Ficha!$B$3,COUNTIF($A$5:$A1176,Ficha!$B$3),"")</f>
        <v/>
      </c>
    </row>
    <row r="1177">
      <c r="A1177" s="36" t="n"/>
      <c r="B1177" s="40">
        <f>IF(A1177="","",IFERROR(INDEX(Maniobras!$B$5:$B$504,MATCH(A1177,Maniobras!$A$5:$A$504,0)),""))</f>
        <v/>
      </c>
      <c r="C1177" s="36">
        <f>IF(B1177="","",TEXT(B1177,"yyyy-mm"))</f>
        <v/>
      </c>
      <c r="D1177" s="36">
        <f>IF(A1177="","",IFERROR(INDEX(Maniobras!$D$5:$D$504,MATCH(A1177,Maniobras!$A$5:$A$504,0)),""))</f>
        <v/>
      </c>
      <c r="E1177" s="36" t="n"/>
      <c r="F1177" s="37">
        <f>IF(A1177="","",IFERROR(INDEX(Maniobras!$K$5:$K$504,MATCH(A1177,Maniobras!$A$5:$A$504,0)),""))</f>
        <v/>
      </c>
      <c r="G1177" s="37" t="n"/>
      <c r="H1177" s="37" t="n"/>
      <c r="I1177" s="37">
        <f>IF(G1177="","",G1177+N(H1177))</f>
        <v/>
      </c>
      <c r="J1177" s="36" t="n"/>
      <c r="K1177" s="40" t="n"/>
      <c r="L1177" s="36" t="n"/>
      <c r="M1177">
        <f>IF($A1177=Ficha!$B$3,COUNTIF($A$5:$A1177,Ficha!$B$3),"")</f>
        <v/>
      </c>
    </row>
    <row r="1178">
      <c r="A1178" s="38" t="n"/>
      <c r="B1178" s="41">
        <f>IF(A1178="","",IFERROR(INDEX(Maniobras!$B$5:$B$504,MATCH(A1178,Maniobras!$A$5:$A$504,0)),""))</f>
        <v/>
      </c>
      <c r="C1178" s="38">
        <f>IF(B1178="","",TEXT(B1178,"yyyy-mm"))</f>
        <v/>
      </c>
      <c r="D1178" s="38">
        <f>IF(A1178="","",IFERROR(INDEX(Maniobras!$D$5:$D$504,MATCH(A1178,Maniobras!$A$5:$A$504,0)),""))</f>
        <v/>
      </c>
      <c r="E1178" s="38" t="n"/>
      <c r="F1178" s="39">
        <f>IF(A1178="","",IFERROR(INDEX(Maniobras!$K$5:$K$504,MATCH(A1178,Maniobras!$A$5:$A$504,0)),""))</f>
        <v/>
      </c>
      <c r="G1178" s="39" t="n"/>
      <c r="H1178" s="39" t="n"/>
      <c r="I1178" s="39">
        <f>IF(G1178="","",G1178+N(H1178))</f>
        <v/>
      </c>
      <c r="J1178" s="38" t="n"/>
      <c r="K1178" s="41" t="n"/>
      <c r="L1178" s="38" t="n"/>
      <c r="M1178">
        <f>IF($A1178=Ficha!$B$3,COUNTIF($A$5:$A1178,Ficha!$B$3),"")</f>
        <v/>
      </c>
    </row>
    <row r="1179">
      <c r="A1179" s="36" t="n"/>
      <c r="B1179" s="40">
        <f>IF(A1179="","",IFERROR(INDEX(Maniobras!$B$5:$B$504,MATCH(A1179,Maniobras!$A$5:$A$504,0)),""))</f>
        <v/>
      </c>
      <c r="C1179" s="36">
        <f>IF(B1179="","",TEXT(B1179,"yyyy-mm"))</f>
        <v/>
      </c>
      <c r="D1179" s="36">
        <f>IF(A1179="","",IFERROR(INDEX(Maniobras!$D$5:$D$504,MATCH(A1179,Maniobras!$A$5:$A$504,0)),""))</f>
        <v/>
      </c>
      <c r="E1179" s="36" t="n"/>
      <c r="F1179" s="37">
        <f>IF(A1179="","",IFERROR(INDEX(Maniobras!$K$5:$K$504,MATCH(A1179,Maniobras!$A$5:$A$504,0)),""))</f>
        <v/>
      </c>
      <c r="G1179" s="37" t="n"/>
      <c r="H1179" s="37" t="n"/>
      <c r="I1179" s="37">
        <f>IF(G1179="","",G1179+N(H1179))</f>
        <v/>
      </c>
      <c r="J1179" s="36" t="n"/>
      <c r="K1179" s="40" t="n"/>
      <c r="L1179" s="36" t="n"/>
      <c r="M1179">
        <f>IF($A1179=Ficha!$B$3,COUNTIF($A$5:$A1179,Ficha!$B$3),"")</f>
        <v/>
      </c>
    </row>
    <row r="1180">
      <c r="A1180" s="38" t="n"/>
      <c r="B1180" s="41">
        <f>IF(A1180="","",IFERROR(INDEX(Maniobras!$B$5:$B$504,MATCH(A1180,Maniobras!$A$5:$A$504,0)),""))</f>
        <v/>
      </c>
      <c r="C1180" s="38">
        <f>IF(B1180="","",TEXT(B1180,"yyyy-mm"))</f>
        <v/>
      </c>
      <c r="D1180" s="38">
        <f>IF(A1180="","",IFERROR(INDEX(Maniobras!$D$5:$D$504,MATCH(A1180,Maniobras!$A$5:$A$504,0)),""))</f>
        <v/>
      </c>
      <c r="E1180" s="38" t="n"/>
      <c r="F1180" s="39">
        <f>IF(A1180="","",IFERROR(INDEX(Maniobras!$K$5:$K$504,MATCH(A1180,Maniobras!$A$5:$A$504,0)),""))</f>
        <v/>
      </c>
      <c r="G1180" s="39" t="n"/>
      <c r="H1180" s="39" t="n"/>
      <c r="I1180" s="39">
        <f>IF(G1180="","",G1180+N(H1180))</f>
        <v/>
      </c>
      <c r="J1180" s="38" t="n"/>
      <c r="K1180" s="41" t="n"/>
      <c r="L1180" s="38" t="n"/>
      <c r="M1180">
        <f>IF($A1180=Ficha!$B$3,COUNTIF($A$5:$A1180,Ficha!$B$3),"")</f>
        <v/>
      </c>
    </row>
    <row r="1181">
      <c r="A1181" s="36" t="n"/>
      <c r="B1181" s="40">
        <f>IF(A1181="","",IFERROR(INDEX(Maniobras!$B$5:$B$504,MATCH(A1181,Maniobras!$A$5:$A$504,0)),""))</f>
        <v/>
      </c>
      <c r="C1181" s="36">
        <f>IF(B1181="","",TEXT(B1181,"yyyy-mm"))</f>
        <v/>
      </c>
      <c r="D1181" s="36">
        <f>IF(A1181="","",IFERROR(INDEX(Maniobras!$D$5:$D$504,MATCH(A1181,Maniobras!$A$5:$A$504,0)),""))</f>
        <v/>
      </c>
      <c r="E1181" s="36" t="n"/>
      <c r="F1181" s="37">
        <f>IF(A1181="","",IFERROR(INDEX(Maniobras!$K$5:$K$504,MATCH(A1181,Maniobras!$A$5:$A$504,0)),""))</f>
        <v/>
      </c>
      <c r="G1181" s="37" t="n"/>
      <c r="H1181" s="37" t="n"/>
      <c r="I1181" s="37">
        <f>IF(G1181="","",G1181+N(H1181))</f>
        <v/>
      </c>
      <c r="J1181" s="36" t="n"/>
      <c r="K1181" s="40" t="n"/>
      <c r="L1181" s="36" t="n"/>
      <c r="M1181">
        <f>IF($A1181=Ficha!$B$3,COUNTIF($A$5:$A1181,Ficha!$B$3),"")</f>
        <v/>
      </c>
    </row>
    <row r="1182">
      <c r="A1182" s="38" t="n"/>
      <c r="B1182" s="41">
        <f>IF(A1182="","",IFERROR(INDEX(Maniobras!$B$5:$B$504,MATCH(A1182,Maniobras!$A$5:$A$504,0)),""))</f>
        <v/>
      </c>
      <c r="C1182" s="38">
        <f>IF(B1182="","",TEXT(B1182,"yyyy-mm"))</f>
        <v/>
      </c>
      <c r="D1182" s="38">
        <f>IF(A1182="","",IFERROR(INDEX(Maniobras!$D$5:$D$504,MATCH(A1182,Maniobras!$A$5:$A$504,0)),""))</f>
        <v/>
      </c>
      <c r="E1182" s="38" t="n"/>
      <c r="F1182" s="39">
        <f>IF(A1182="","",IFERROR(INDEX(Maniobras!$K$5:$K$504,MATCH(A1182,Maniobras!$A$5:$A$504,0)),""))</f>
        <v/>
      </c>
      <c r="G1182" s="39" t="n"/>
      <c r="H1182" s="39" t="n"/>
      <c r="I1182" s="39">
        <f>IF(G1182="","",G1182+N(H1182))</f>
        <v/>
      </c>
      <c r="J1182" s="38" t="n"/>
      <c r="K1182" s="41" t="n"/>
      <c r="L1182" s="38" t="n"/>
      <c r="M1182">
        <f>IF($A1182=Ficha!$B$3,COUNTIF($A$5:$A1182,Ficha!$B$3),"")</f>
        <v/>
      </c>
    </row>
    <row r="1183">
      <c r="A1183" s="36" t="n"/>
      <c r="B1183" s="40">
        <f>IF(A1183="","",IFERROR(INDEX(Maniobras!$B$5:$B$504,MATCH(A1183,Maniobras!$A$5:$A$504,0)),""))</f>
        <v/>
      </c>
      <c r="C1183" s="36">
        <f>IF(B1183="","",TEXT(B1183,"yyyy-mm"))</f>
        <v/>
      </c>
      <c r="D1183" s="36">
        <f>IF(A1183="","",IFERROR(INDEX(Maniobras!$D$5:$D$504,MATCH(A1183,Maniobras!$A$5:$A$504,0)),""))</f>
        <v/>
      </c>
      <c r="E1183" s="36" t="n"/>
      <c r="F1183" s="37">
        <f>IF(A1183="","",IFERROR(INDEX(Maniobras!$K$5:$K$504,MATCH(A1183,Maniobras!$A$5:$A$504,0)),""))</f>
        <v/>
      </c>
      <c r="G1183" s="37" t="n"/>
      <c r="H1183" s="37" t="n"/>
      <c r="I1183" s="37">
        <f>IF(G1183="","",G1183+N(H1183))</f>
        <v/>
      </c>
      <c r="J1183" s="36" t="n"/>
      <c r="K1183" s="40" t="n"/>
      <c r="L1183" s="36" t="n"/>
      <c r="M1183">
        <f>IF($A1183=Ficha!$B$3,COUNTIF($A$5:$A1183,Ficha!$B$3),"")</f>
        <v/>
      </c>
    </row>
    <row r="1184">
      <c r="A1184" s="38" t="n"/>
      <c r="B1184" s="41">
        <f>IF(A1184="","",IFERROR(INDEX(Maniobras!$B$5:$B$504,MATCH(A1184,Maniobras!$A$5:$A$504,0)),""))</f>
        <v/>
      </c>
      <c r="C1184" s="38">
        <f>IF(B1184="","",TEXT(B1184,"yyyy-mm"))</f>
        <v/>
      </c>
      <c r="D1184" s="38">
        <f>IF(A1184="","",IFERROR(INDEX(Maniobras!$D$5:$D$504,MATCH(A1184,Maniobras!$A$5:$A$504,0)),""))</f>
        <v/>
      </c>
      <c r="E1184" s="38" t="n"/>
      <c r="F1184" s="39">
        <f>IF(A1184="","",IFERROR(INDEX(Maniobras!$K$5:$K$504,MATCH(A1184,Maniobras!$A$5:$A$504,0)),""))</f>
        <v/>
      </c>
      <c r="G1184" s="39" t="n"/>
      <c r="H1184" s="39" t="n"/>
      <c r="I1184" s="39">
        <f>IF(G1184="","",G1184+N(H1184))</f>
        <v/>
      </c>
      <c r="J1184" s="38" t="n"/>
      <c r="K1184" s="41" t="n"/>
      <c r="L1184" s="38" t="n"/>
      <c r="M1184">
        <f>IF($A1184=Ficha!$B$3,COUNTIF($A$5:$A1184,Ficha!$B$3),"")</f>
        <v/>
      </c>
    </row>
    <row r="1185">
      <c r="A1185" s="36" t="n"/>
      <c r="B1185" s="40">
        <f>IF(A1185="","",IFERROR(INDEX(Maniobras!$B$5:$B$504,MATCH(A1185,Maniobras!$A$5:$A$504,0)),""))</f>
        <v/>
      </c>
      <c r="C1185" s="36">
        <f>IF(B1185="","",TEXT(B1185,"yyyy-mm"))</f>
        <v/>
      </c>
      <c r="D1185" s="36">
        <f>IF(A1185="","",IFERROR(INDEX(Maniobras!$D$5:$D$504,MATCH(A1185,Maniobras!$A$5:$A$504,0)),""))</f>
        <v/>
      </c>
      <c r="E1185" s="36" t="n"/>
      <c r="F1185" s="37">
        <f>IF(A1185="","",IFERROR(INDEX(Maniobras!$K$5:$K$504,MATCH(A1185,Maniobras!$A$5:$A$504,0)),""))</f>
        <v/>
      </c>
      <c r="G1185" s="37" t="n"/>
      <c r="H1185" s="37" t="n"/>
      <c r="I1185" s="37">
        <f>IF(G1185="","",G1185+N(H1185))</f>
        <v/>
      </c>
      <c r="J1185" s="36" t="n"/>
      <c r="K1185" s="40" t="n"/>
      <c r="L1185" s="36" t="n"/>
      <c r="M1185">
        <f>IF($A1185=Ficha!$B$3,COUNTIF($A$5:$A1185,Ficha!$B$3),"")</f>
        <v/>
      </c>
    </row>
    <row r="1186">
      <c r="A1186" s="38" t="n"/>
      <c r="B1186" s="41">
        <f>IF(A1186="","",IFERROR(INDEX(Maniobras!$B$5:$B$504,MATCH(A1186,Maniobras!$A$5:$A$504,0)),""))</f>
        <v/>
      </c>
      <c r="C1186" s="38">
        <f>IF(B1186="","",TEXT(B1186,"yyyy-mm"))</f>
        <v/>
      </c>
      <c r="D1186" s="38">
        <f>IF(A1186="","",IFERROR(INDEX(Maniobras!$D$5:$D$504,MATCH(A1186,Maniobras!$A$5:$A$504,0)),""))</f>
        <v/>
      </c>
      <c r="E1186" s="38" t="n"/>
      <c r="F1186" s="39">
        <f>IF(A1186="","",IFERROR(INDEX(Maniobras!$K$5:$K$504,MATCH(A1186,Maniobras!$A$5:$A$504,0)),""))</f>
        <v/>
      </c>
      <c r="G1186" s="39" t="n"/>
      <c r="H1186" s="39" t="n"/>
      <c r="I1186" s="39">
        <f>IF(G1186="","",G1186+N(H1186))</f>
        <v/>
      </c>
      <c r="J1186" s="38" t="n"/>
      <c r="K1186" s="41" t="n"/>
      <c r="L1186" s="38" t="n"/>
      <c r="M1186">
        <f>IF($A1186=Ficha!$B$3,COUNTIF($A$5:$A1186,Ficha!$B$3),"")</f>
        <v/>
      </c>
    </row>
    <row r="1187">
      <c r="A1187" s="36" t="n"/>
      <c r="B1187" s="40">
        <f>IF(A1187="","",IFERROR(INDEX(Maniobras!$B$5:$B$504,MATCH(A1187,Maniobras!$A$5:$A$504,0)),""))</f>
        <v/>
      </c>
      <c r="C1187" s="36">
        <f>IF(B1187="","",TEXT(B1187,"yyyy-mm"))</f>
        <v/>
      </c>
      <c r="D1187" s="36">
        <f>IF(A1187="","",IFERROR(INDEX(Maniobras!$D$5:$D$504,MATCH(A1187,Maniobras!$A$5:$A$504,0)),""))</f>
        <v/>
      </c>
      <c r="E1187" s="36" t="n"/>
      <c r="F1187" s="37">
        <f>IF(A1187="","",IFERROR(INDEX(Maniobras!$K$5:$K$504,MATCH(A1187,Maniobras!$A$5:$A$504,0)),""))</f>
        <v/>
      </c>
      <c r="G1187" s="37" t="n"/>
      <c r="H1187" s="37" t="n"/>
      <c r="I1187" s="37">
        <f>IF(G1187="","",G1187+N(H1187))</f>
        <v/>
      </c>
      <c r="J1187" s="36" t="n"/>
      <c r="K1187" s="40" t="n"/>
      <c r="L1187" s="36" t="n"/>
      <c r="M1187">
        <f>IF($A1187=Ficha!$B$3,COUNTIF($A$5:$A1187,Ficha!$B$3),"")</f>
        <v/>
      </c>
    </row>
    <row r="1188">
      <c r="A1188" s="38" t="n"/>
      <c r="B1188" s="41">
        <f>IF(A1188="","",IFERROR(INDEX(Maniobras!$B$5:$B$504,MATCH(A1188,Maniobras!$A$5:$A$504,0)),""))</f>
        <v/>
      </c>
      <c r="C1188" s="38">
        <f>IF(B1188="","",TEXT(B1188,"yyyy-mm"))</f>
        <v/>
      </c>
      <c r="D1188" s="38">
        <f>IF(A1188="","",IFERROR(INDEX(Maniobras!$D$5:$D$504,MATCH(A1188,Maniobras!$A$5:$A$504,0)),""))</f>
        <v/>
      </c>
      <c r="E1188" s="38" t="n"/>
      <c r="F1188" s="39">
        <f>IF(A1188="","",IFERROR(INDEX(Maniobras!$K$5:$K$504,MATCH(A1188,Maniobras!$A$5:$A$504,0)),""))</f>
        <v/>
      </c>
      <c r="G1188" s="39" t="n"/>
      <c r="H1188" s="39" t="n"/>
      <c r="I1188" s="39">
        <f>IF(G1188="","",G1188+N(H1188))</f>
        <v/>
      </c>
      <c r="J1188" s="38" t="n"/>
      <c r="K1188" s="41" t="n"/>
      <c r="L1188" s="38" t="n"/>
      <c r="M1188">
        <f>IF($A1188=Ficha!$B$3,COUNTIF($A$5:$A1188,Ficha!$B$3),"")</f>
        <v/>
      </c>
    </row>
    <row r="1189">
      <c r="A1189" s="36" t="n"/>
      <c r="B1189" s="40">
        <f>IF(A1189="","",IFERROR(INDEX(Maniobras!$B$5:$B$504,MATCH(A1189,Maniobras!$A$5:$A$504,0)),""))</f>
        <v/>
      </c>
      <c r="C1189" s="36">
        <f>IF(B1189="","",TEXT(B1189,"yyyy-mm"))</f>
        <v/>
      </c>
      <c r="D1189" s="36">
        <f>IF(A1189="","",IFERROR(INDEX(Maniobras!$D$5:$D$504,MATCH(A1189,Maniobras!$A$5:$A$504,0)),""))</f>
        <v/>
      </c>
      <c r="E1189" s="36" t="n"/>
      <c r="F1189" s="37">
        <f>IF(A1189="","",IFERROR(INDEX(Maniobras!$K$5:$K$504,MATCH(A1189,Maniobras!$A$5:$A$504,0)),""))</f>
        <v/>
      </c>
      <c r="G1189" s="37" t="n"/>
      <c r="H1189" s="37" t="n"/>
      <c r="I1189" s="37">
        <f>IF(G1189="","",G1189+N(H1189))</f>
        <v/>
      </c>
      <c r="J1189" s="36" t="n"/>
      <c r="K1189" s="40" t="n"/>
      <c r="L1189" s="36" t="n"/>
      <c r="M1189">
        <f>IF($A1189=Ficha!$B$3,COUNTIF($A$5:$A1189,Ficha!$B$3),"")</f>
        <v/>
      </c>
    </row>
    <row r="1190">
      <c r="A1190" s="38" t="n"/>
      <c r="B1190" s="41">
        <f>IF(A1190="","",IFERROR(INDEX(Maniobras!$B$5:$B$504,MATCH(A1190,Maniobras!$A$5:$A$504,0)),""))</f>
        <v/>
      </c>
      <c r="C1190" s="38">
        <f>IF(B1190="","",TEXT(B1190,"yyyy-mm"))</f>
        <v/>
      </c>
      <c r="D1190" s="38">
        <f>IF(A1190="","",IFERROR(INDEX(Maniobras!$D$5:$D$504,MATCH(A1190,Maniobras!$A$5:$A$504,0)),""))</f>
        <v/>
      </c>
      <c r="E1190" s="38" t="n"/>
      <c r="F1190" s="39">
        <f>IF(A1190="","",IFERROR(INDEX(Maniobras!$K$5:$K$504,MATCH(A1190,Maniobras!$A$5:$A$504,0)),""))</f>
        <v/>
      </c>
      <c r="G1190" s="39" t="n"/>
      <c r="H1190" s="39" t="n"/>
      <c r="I1190" s="39">
        <f>IF(G1190="","",G1190+N(H1190))</f>
        <v/>
      </c>
      <c r="J1190" s="38" t="n"/>
      <c r="K1190" s="41" t="n"/>
      <c r="L1190" s="38" t="n"/>
      <c r="M1190">
        <f>IF($A1190=Ficha!$B$3,COUNTIF($A$5:$A1190,Ficha!$B$3),"")</f>
        <v/>
      </c>
    </row>
    <row r="1191">
      <c r="A1191" s="36" t="n"/>
      <c r="B1191" s="40">
        <f>IF(A1191="","",IFERROR(INDEX(Maniobras!$B$5:$B$504,MATCH(A1191,Maniobras!$A$5:$A$504,0)),""))</f>
        <v/>
      </c>
      <c r="C1191" s="36">
        <f>IF(B1191="","",TEXT(B1191,"yyyy-mm"))</f>
        <v/>
      </c>
      <c r="D1191" s="36">
        <f>IF(A1191="","",IFERROR(INDEX(Maniobras!$D$5:$D$504,MATCH(A1191,Maniobras!$A$5:$A$504,0)),""))</f>
        <v/>
      </c>
      <c r="E1191" s="36" t="n"/>
      <c r="F1191" s="37">
        <f>IF(A1191="","",IFERROR(INDEX(Maniobras!$K$5:$K$504,MATCH(A1191,Maniobras!$A$5:$A$504,0)),""))</f>
        <v/>
      </c>
      <c r="G1191" s="37" t="n"/>
      <c r="H1191" s="37" t="n"/>
      <c r="I1191" s="37">
        <f>IF(G1191="","",G1191+N(H1191))</f>
        <v/>
      </c>
      <c r="J1191" s="36" t="n"/>
      <c r="K1191" s="40" t="n"/>
      <c r="L1191" s="36" t="n"/>
      <c r="M1191">
        <f>IF($A1191=Ficha!$B$3,COUNTIF($A$5:$A1191,Ficha!$B$3),"")</f>
        <v/>
      </c>
    </row>
    <row r="1192">
      <c r="A1192" s="38" t="n"/>
      <c r="B1192" s="41">
        <f>IF(A1192="","",IFERROR(INDEX(Maniobras!$B$5:$B$504,MATCH(A1192,Maniobras!$A$5:$A$504,0)),""))</f>
        <v/>
      </c>
      <c r="C1192" s="38">
        <f>IF(B1192="","",TEXT(B1192,"yyyy-mm"))</f>
        <v/>
      </c>
      <c r="D1192" s="38">
        <f>IF(A1192="","",IFERROR(INDEX(Maniobras!$D$5:$D$504,MATCH(A1192,Maniobras!$A$5:$A$504,0)),""))</f>
        <v/>
      </c>
      <c r="E1192" s="38" t="n"/>
      <c r="F1192" s="39">
        <f>IF(A1192="","",IFERROR(INDEX(Maniobras!$K$5:$K$504,MATCH(A1192,Maniobras!$A$5:$A$504,0)),""))</f>
        <v/>
      </c>
      <c r="G1192" s="39" t="n"/>
      <c r="H1192" s="39" t="n"/>
      <c r="I1192" s="39">
        <f>IF(G1192="","",G1192+N(H1192))</f>
        <v/>
      </c>
      <c r="J1192" s="38" t="n"/>
      <c r="K1192" s="41" t="n"/>
      <c r="L1192" s="38" t="n"/>
      <c r="M1192">
        <f>IF($A1192=Ficha!$B$3,COUNTIF($A$5:$A1192,Ficha!$B$3),"")</f>
        <v/>
      </c>
    </row>
    <row r="1193">
      <c r="A1193" s="36" t="n"/>
      <c r="B1193" s="40">
        <f>IF(A1193="","",IFERROR(INDEX(Maniobras!$B$5:$B$504,MATCH(A1193,Maniobras!$A$5:$A$504,0)),""))</f>
        <v/>
      </c>
      <c r="C1193" s="36">
        <f>IF(B1193="","",TEXT(B1193,"yyyy-mm"))</f>
        <v/>
      </c>
      <c r="D1193" s="36">
        <f>IF(A1193="","",IFERROR(INDEX(Maniobras!$D$5:$D$504,MATCH(A1193,Maniobras!$A$5:$A$504,0)),""))</f>
        <v/>
      </c>
      <c r="E1193" s="36" t="n"/>
      <c r="F1193" s="37">
        <f>IF(A1193="","",IFERROR(INDEX(Maniobras!$K$5:$K$504,MATCH(A1193,Maniobras!$A$5:$A$504,0)),""))</f>
        <v/>
      </c>
      <c r="G1193" s="37" t="n"/>
      <c r="H1193" s="37" t="n"/>
      <c r="I1193" s="37">
        <f>IF(G1193="","",G1193+N(H1193))</f>
        <v/>
      </c>
      <c r="J1193" s="36" t="n"/>
      <c r="K1193" s="40" t="n"/>
      <c r="L1193" s="36" t="n"/>
      <c r="M1193">
        <f>IF($A1193=Ficha!$B$3,COUNTIF($A$5:$A1193,Ficha!$B$3),"")</f>
        <v/>
      </c>
    </row>
    <row r="1194">
      <c r="A1194" s="38" t="n"/>
      <c r="B1194" s="41">
        <f>IF(A1194="","",IFERROR(INDEX(Maniobras!$B$5:$B$504,MATCH(A1194,Maniobras!$A$5:$A$504,0)),""))</f>
        <v/>
      </c>
      <c r="C1194" s="38">
        <f>IF(B1194="","",TEXT(B1194,"yyyy-mm"))</f>
        <v/>
      </c>
      <c r="D1194" s="38">
        <f>IF(A1194="","",IFERROR(INDEX(Maniobras!$D$5:$D$504,MATCH(A1194,Maniobras!$A$5:$A$504,0)),""))</f>
        <v/>
      </c>
      <c r="E1194" s="38" t="n"/>
      <c r="F1194" s="39">
        <f>IF(A1194="","",IFERROR(INDEX(Maniobras!$K$5:$K$504,MATCH(A1194,Maniobras!$A$5:$A$504,0)),""))</f>
        <v/>
      </c>
      <c r="G1194" s="39" t="n"/>
      <c r="H1194" s="39" t="n"/>
      <c r="I1194" s="39">
        <f>IF(G1194="","",G1194+N(H1194))</f>
        <v/>
      </c>
      <c r="J1194" s="38" t="n"/>
      <c r="K1194" s="41" t="n"/>
      <c r="L1194" s="38" t="n"/>
      <c r="M1194">
        <f>IF($A1194=Ficha!$B$3,COUNTIF($A$5:$A1194,Ficha!$B$3),"")</f>
        <v/>
      </c>
    </row>
    <row r="1195">
      <c r="A1195" s="36" t="n"/>
      <c r="B1195" s="40">
        <f>IF(A1195="","",IFERROR(INDEX(Maniobras!$B$5:$B$504,MATCH(A1195,Maniobras!$A$5:$A$504,0)),""))</f>
        <v/>
      </c>
      <c r="C1195" s="36">
        <f>IF(B1195="","",TEXT(B1195,"yyyy-mm"))</f>
        <v/>
      </c>
      <c r="D1195" s="36">
        <f>IF(A1195="","",IFERROR(INDEX(Maniobras!$D$5:$D$504,MATCH(A1195,Maniobras!$A$5:$A$504,0)),""))</f>
        <v/>
      </c>
      <c r="E1195" s="36" t="n"/>
      <c r="F1195" s="37">
        <f>IF(A1195="","",IFERROR(INDEX(Maniobras!$K$5:$K$504,MATCH(A1195,Maniobras!$A$5:$A$504,0)),""))</f>
        <v/>
      </c>
      <c r="G1195" s="37" t="n"/>
      <c r="H1195" s="37" t="n"/>
      <c r="I1195" s="37">
        <f>IF(G1195="","",G1195+N(H1195))</f>
        <v/>
      </c>
      <c r="J1195" s="36" t="n"/>
      <c r="K1195" s="40" t="n"/>
      <c r="L1195" s="36" t="n"/>
      <c r="M1195">
        <f>IF($A1195=Ficha!$B$3,COUNTIF($A$5:$A1195,Ficha!$B$3),"")</f>
        <v/>
      </c>
    </row>
    <row r="1196">
      <c r="A1196" s="38" t="n"/>
      <c r="B1196" s="41">
        <f>IF(A1196="","",IFERROR(INDEX(Maniobras!$B$5:$B$504,MATCH(A1196,Maniobras!$A$5:$A$504,0)),""))</f>
        <v/>
      </c>
      <c r="C1196" s="38">
        <f>IF(B1196="","",TEXT(B1196,"yyyy-mm"))</f>
        <v/>
      </c>
      <c r="D1196" s="38">
        <f>IF(A1196="","",IFERROR(INDEX(Maniobras!$D$5:$D$504,MATCH(A1196,Maniobras!$A$5:$A$504,0)),""))</f>
        <v/>
      </c>
      <c r="E1196" s="38" t="n"/>
      <c r="F1196" s="39">
        <f>IF(A1196="","",IFERROR(INDEX(Maniobras!$K$5:$K$504,MATCH(A1196,Maniobras!$A$5:$A$504,0)),""))</f>
        <v/>
      </c>
      <c r="G1196" s="39" t="n"/>
      <c r="H1196" s="39" t="n"/>
      <c r="I1196" s="39">
        <f>IF(G1196="","",G1196+N(H1196))</f>
        <v/>
      </c>
      <c r="J1196" s="38" t="n"/>
      <c r="K1196" s="41" t="n"/>
      <c r="L1196" s="38" t="n"/>
      <c r="M1196">
        <f>IF($A1196=Ficha!$B$3,COUNTIF($A$5:$A1196,Ficha!$B$3),"")</f>
        <v/>
      </c>
    </row>
    <row r="1197">
      <c r="A1197" s="36" t="n"/>
      <c r="B1197" s="40">
        <f>IF(A1197="","",IFERROR(INDEX(Maniobras!$B$5:$B$504,MATCH(A1197,Maniobras!$A$5:$A$504,0)),""))</f>
        <v/>
      </c>
      <c r="C1197" s="36">
        <f>IF(B1197="","",TEXT(B1197,"yyyy-mm"))</f>
        <v/>
      </c>
      <c r="D1197" s="36">
        <f>IF(A1197="","",IFERROR(INDEX(Maniobras!$D$5:$D$504,MATCH(A1197,Maniobras!$A$5:$A$504,0)),""))</f>
        <v/>
      </c>
      <c r="E1197" s="36" t="n"/>
      <c r="F1197" s="37">
        <f>IF(A1197="","",IFERROR(INDEX(Maniobras!$K$5:$K$504,MATCH(A1197,Maniobras!$A$5:$A$504,0)),""))</f>
        <v/>
      </c>
      <c r="G1197" s="37" t="n"/>
      <c r="H1197" s="37" t="n"/>
      <c r="I1197" s="37">
        <f>IF(G1197="","",G1197+N(H1197))</f>
        <v/>
      </c>
      <c r="J1197" s="36" t="n"/>
      <c r="K1197" s="40" t="n"/>
      <c r="L1197" s="36" t="n"/>
      <c r="M1197">
        <f>IF($A1197=Ficha!$B$3,COUNTIF($A$5:$A1197,Ficha!$B$3),"")</f>
        <v/>
      </c>
    </row>
    <row r="1198">
      <c r="A1198" s="38" t="n"/>
      <c r="B1198" s="41">
        <f>IF(A1198="","",IFERROR(INDEX(Maniobras!$B$5:$B$504,MATCH(A1198,Maniobras!$A$5:$A$504,0)),""))</f>
        <v/>
      </c>
      <c r="C1198" s="38">
        <f>IF(B1198="","",TEXT(B1198,"yyyy-mm"))</f>
        <v/>
      </c>
      <c r="D1198" s="38">
        <f>IF(A1198="","",IFERROR(INDEX(Maniobras!$D$5:$D$504,MATCH(A1198,Maniobras!$A$5:$A$504,0)),""))</f>
        <v/>
      </c>
      <c r="E1198" s="38" t="n"/>
      <c r="F1198" s="39">
        <f>IF(A1198="","",IFERROR(INDEX(Maniobras!$K$5:$K$504,MATCH(A1198,Maniobras!$A$5:$A$504,0)),""))</f>
        <v/>
      </c>
      <c r="G1198" s="39" t="n"/>
      <c r="H1198" s="39" t="n"/>
      <c r="I1198" s="39">
        <f>IF(G1198="","",G1198+N(H1198))</f>
        <v/>
      </c>
      <c r="J1198" s="38" t="n"/>
      <c r="K1198" s="41" t="n"/>
      <c r="L1198" s="38" t="n"/>
      <c r="M1198">
        <f>IF($A1198=Ficha!$B$3,COUNTIF($A$5:$A1198,Ficha!$B$3),"")</f>
        <v/>
      </c>
    </row>
    <row r="1199">
      <c r="A1199" s="36" t="n"/>
      <c r="B1199" s="40">
        <f>IF(A1199="","",IFERROR(INDEX(Maniobras!$B$5:$B$504,MATCH(A1199,Maniobras!$A$5:$A$504,0)),""))</f>
        <v/>
      </c>
      <c r="C1199" s="36">
        <f>IF(B1199="","",TEXT(B1199,"yyyy-mm"))</f>
        <v/>
      </c>
      <c r="D1199" s="36">
        <f>IF(A1199="","",IFERROR(INDEX(Maniobras!$D$5:$D$504,MATCH(A1199,Maniobras!$A$5:$A$504,0)),""))</f>
        <v/>
      </c>
      <c r="E1199" s="36" t="n"/>
      <c r="F1199" s="37">
        <f>IF(A1199="","",IFERROR(INDEX(Maniobras!$K$5:$K$504,MATCH(A1199,Maniobras!$A$5:$A$504,0)),""))</f>
        <v/>
      </c>
      <c r="G1199" s="37" t="n"/>
      <c r="H1199" s="37" t="n"/>
      <c r="I1199" s="37">
        <f>IF(G1199="","",G1199+N(H1199))</f>
        <v/>
      </c>
      <c r="J1199" s="36" t="n"/>
      <c r="K1199" s="40" t="n"/>
      <c r="L1199" s="36" t="n"/>
      <c r="M1199">
        <f>IF($A1199=Ficha!$B$3,COUNTIF($A$5:$A1199,Ficha!$B$3),"")</f>
        <v/>
      </c>
    </row>
    <row r="1200">
      <c r="A1200" s="38" t="n"/>
      <c r="B1200" s="41">
        <f>IF(A1200="","",IFERROR(INDEX(Maniobras!$B$5:$B$504,MATCH(A1200,Maniobras!$A$5:$A$504,0)),""))</f>
        <v/>
      </c>
      <c r="C1200" s="38">
        <f>IF(B1200="","",TEXT(B1200,"yyyy-mm"))</f>
        <v/>
      </c>
      <c r="D1200" s="38">
        <f>IF(A1200="","",IFERROR(INDEX(Maniobras!$D$5:$D$504,MATCH(A1200,Maniobras!$A$5:$A$504,0)),""))</f>
        <v/>
      </c>
      <c r="E1200" s="38" t="n"/>
      <c r="F1200" s="39">
        <f>IF(A1200="","",IFERROR(INDEX(Maniobras!$K$5:$K$504,MATCH(A1200,Maniobras!$A$5:$A$504,0)),""))</f>
        <v/>
      </c>
      <c r="G1200" s="39" t="n"/>
      <c r="H1200" s="39" t="n"/>
      <c r="I1200" s="39">
        <f>IF(G1200="","",G1200+N(H1200))</f>
        <v/>
      </c>
      <c r="J1200" s="38" t="n"/>
      <c r="K1200" s="41" t="n"/>
      <c r="L1200" s="38" t="n"/>
      <c r="M1200">
        <f>IF($A1200=Ficha!$B$3,COUNTIF($A$5:$A1200,Ficha!$B$3),"")</f>
        <v/>
      </c>
    </row>
    <row r="1201">
      <c r="A1201" s="36" t="n"/>
      <c r="B1201" s="40">
        <f>IF(A1201="","",IFERROR(INDEX(Maniobras!$B$5:$B$504,MATCH(A1201,Maniobras!$A$5:$A$504,0)),""))</f>
        <v/>
      </c>
      <c r="C1201" s="36">
        <f>IF(B1201="","",TEXT(B1201,"yyyy-mm"))</f>
        <v/>
      </c>
      <c r="D1201" s="36">
        <f>IF(A1201="","",IFERROR(INDEX(Maniobras!$D$5:$D$504,MATCH(A1201,Maniobras!$A$5:$A$504,0)),""))</f>
        <v/>
      </c>
      <c r="E1201" s="36" t="n"/>
      <c r="F1201" s="37">
        <f>IF(A1201="","",IFERROR(INDEX(Maniobras!$K$5:$K$504,MATCH(A1201,Maniobras!$A$5:$A$504,0)),""))</f>
        <v/>
      </c>
      <c r="G1201" s="37" t="n"/>
      <c r="H1201" s="37" t="n"/>
      <c r="I1201" s="37">
        <f>IF(G1201="","",G1201+N(H1201))</f>
        <v/>
      </c>
      <c r="J1201" s="36" t="n"/>
      <c r="K1201" s="40" t="n"/>
      <c r="L1201" s="36" t="n"/>
      <c r="M1201">
        <f>IF($A1201=Ficha!$B$3,COUNTIF($A$5:$A1201,Ficha!$B$3),"")</f>
        <v/>
      </c>
    </row>
    <row r="1202">
      <c r="A1202" s="38" t="n"/>
      <c r="B1202" s="41">
        <f>IF(A1202="","",IFERROR(INDEX(Maniobras!$B$5:$B$504,MATCH(A1202,Maniobras!$A$5:$A$504,0)),""))</f>
        <v/>
      </c>
      <c r="C1202" s="38">
        <f>IF(B1202="","",TEXT(B1202,"yyyy-mm"))</f>
        <v/>
      </c>
      <c r="D1202" s="38">
        <f>IF(A1202="","",IFERROR(INDEX(Maniobras!$D$5:$D$504,MATCH(A1202,Maniobras!$A$5:$A$504,0)),""))</f>
        <v/>
      </c>
      <c r="E1202" s="38" t="n"/>
      <c r="F1202" s="39">
        <f>IF(A1202="","",IFERROR(INDEX(Maniobras!$K$5:$K$504,MATCH(A1202,Maniobras!$A$5:$A$504,0)),""))</f>
        <v/>
      </c>
      <c r="G1202" s="39" t="n"/>
      <c r="H1202" s="39" t="n"/>
      <c r="I1202" s="39">
        <f>IF(G1202="","",G1202+N(H1202))</f>
        <v/>
      </c>
      <c r="J1202" s="38" t="n"/>
      <c r="K1202" s="41" t="n"/>
      <c r="L1202" s="38" t="n"/>
      <c r="M1202">
        <f>IF($A1202=Ficha!$B$3,COUNTIF($A$5:$A1202,Ficha!$B$3),"")</f>
        <v/>
      </c>
    </row>
    <row r="1203">
      <c r="A1203" s="36" t="n"/>
      <c r="B1203" s="40">
        <f>IF(A1203="","",IFERROR(INDEX(Maniobras!$B$5:$B$504,MATCH(A1203,Maniobras!$A$5:$A$504,0)),""))</f>
        <v/>
      </c>
      <c r="C1203" s="36">
        <f>IF(B1203="","",TEXT(B1203,"yyyy-mm"))</f>
        <v/>
      </c>
      <c r="D1203" s="36">
        <f>IF(A1203="","",IFERROR(INDEX(Maniobras!$D$5:$D$504,MATCH(A1203,Maniobras!$A$5:$A$504,0)),""))</f>
        <v/>
      </c>
      <c r="E1203" s="36" t="n"/>
      <c r="F1203" s="37">
        <f>IF(A1203="","",IFERROR(INDEX(Maniobras!$K$5:$K$504,MATCH(A1203,Maniobras!$A$5:$A$504,0)),""))</f>
        <v/>
      </c>
      <c r="G1203" s="37" t="n"/>
      <c r="H1203" s="37" t="n"/>
      <c r="I1203" s="37">
        <f>IF(G1203="","",G1203+N(H1203))</f>
        <v/>
      </c>
      <c r="J1203" s="36" t="n"/>
      <c r="K1203" s="40" t="n"/>
      <c r="L1203" s="36" t="n"/>
      <c r="M1203">
        <f>IF($A1203=Ficha!$B$3,COUNTIF($A$5:$A1203,Ficha!$B$3),"")</f>
        <v/>
      </c>
    </row>
    <row r="1204">
      <c r="A1204" s="38" t="n"/>
      <c r="B1204" s="41">
        <f>IF(A1204="","",IFERROR(INDEX(Maniobras!$B$5:$B$504,MATCH(A1204,Maniobras!$A$5:$A$504,0)),""))</f>
        <v/>
      </c>
      <c r="C1204" s="38">
        <f>IF(B1204="","",TEXT(B1204,"yyyy-mm"))</f>
        <v/>
      </c>
      <c r="D1204" s="38">
        <f>IF(A1204="","",IFERROR(INDEX(Maniobras!$D$5:$D$504,MATCH(A1204,Maniobras!$A$5:$A$504,0)),""))</f>
        <v/>
      </c>
      <c r="E1204" s="38" t="n"/>
      <c r="F1204" s="39">
        <f>IF(A1204="","",IFERROR(INDEX(Maniobras!$K$5:$K$504,MATCH(A1204,Maniobras!$A$5:$A$504,0)),""))</f>
        <v/>
      </c>
      <c r="G1204" s="39" t="n"/>
      <c r="H1204" s="39" t="n"/>
      <c r="I1204" s="39">
        <f>IF(G1204="","",G1204+N(H1204))</f>
        <v/>
      </c>
      <c r="J1204" s="38" t="n"/>
      <c r="K1204" s="41" t="n"/>
      <c r="L1204" s="38" t="n"/>
      <c r="M1204">
        <f>IF($A1204=Ficha!$B$3,COUNTIF($A$5:$A1204,Ficha!$B$3),"")</f>
        <v/>
      </c>
    </row>
    <row r="1205">
      <c r="A1205" s="36" t="n"/>
      <c r="B1205" s="40">
        <f>IF(A1205="","",IFERROR(INDEX(Maniobras!$B$5:$B$504,MATCH(A1205,Maniobras!$A$5:$A$504,0)),""))</f>
        <v/>
      </c>
      <c r="C1205" s="36">
        <f>IF(B1205="","",TEXT(B1205,"yyyy-mm"))</f>
        <v/>
      </c>
      <c r="D1205" s="36">
        <f>IF(A1205="","",IFERROR(INDEX(Maniobras!$D$5:$D$504,MATCH(A1205,Maniobras!$A$5:$A$504,0)),""))</f>
        <v/>
      </c>
      <c r="E1205" s="36" t="n"/>
      <c r="F1205" s="37">
        <f>IF(A1205="","",IFERROR(INDEX(Maniobras!$K$5:$K$504,MATCH(A1205,Maniobras!$A$5:$A$504,0)),""))</f>
        <v/>
      </c>
      <c r="G1205" s="37" t="n"/>
      <c r="H1205" s="37" t="n"/>
      <c r="I1205" s="37">
        <f>IF(G1205="","",G1205+N(H1205))</f>
        <v/>
      </c>
      <c r="J1205" s="36" t="n"/>
      <c r="K1205" s="40" t="n"/>
      <c r="L1205" s="36" t="n"/>
      <c r="M1205">
        <f>IF($A1205=Ficha!$B$3,COUNTIF($A$5:$A1205,Ficha!$B$3),"")</f>
        <v/>
      </c>
    </row>
    <row r="1206">
      <c r="A1206" s="38" t="n"/>
      <c r="B1206" s="41">
        <f>IF(A1206="","",IFERROR(INDEX(Maniobras!$B$5:$B$504,MATCH(A1206,Maniobras!$A$5:$A$504,0)),""))</f>
        <v/>
      </c>
      <c r="C1206" s="38">
        <f>IF(B1206="","",TEXT(B1206,"yyyy-mm"))</f>
        <v/>
      </c>
      <c r="D1206" s="38">
        <f>IF(A1206="","",IFERROR(INDEX(Maniobras!$D$5:$D$504,MATCH(A1206,Maniobras!$A$5:$A$504,0)),""))</f>
        <v/>
      </c>
      <c r="E1206" s="38" t="n"/>
      <c r="F1206" s="39">
        <f>IF(A1206="","",IFERROR(INDEX(Maniobras!$K$5:$K$504,MATCH(A1206,Maniobras!$A$5:$A$504,0)),""))</f>
        <v/>
      </c>
      <c r="G1206" s="39" t="n"/>
      <c r="H1206" s="39" t="n"/>
      <c r="I1206" s="39">
        <f>IF(G1206="","",G1206+N(H1206))</f>
        <v/>
      </c>
      <c r="J1206" s="38" t="n"/>
      <c r="K1206" s="41" t="n"/>
      <c r="L1206" s="38" t="n"/>
      <c r="M1206">
        <f>IF($A1206=Ficha!$B$3,COUNTIF($A$5:$A1206,Ficha!$B$3),"")</f>
        <v/>
      </c>
    </row>
    <row r="1207">
      <c r="A1207" s="36" t="n"/>
      <c r="B1207" s="40">
        <f>IF(A1207="","",IFERROR(INDEX(Maniobras!$B$5:$B$504,MATCH(A1207,Maniobras!$A$5:$A$504,0)),""))</f>
        <v/>
      </c>
      <c r="C1207" s="36">
        <f>IF(B1207="","",TEXT(B1207,"yyyy-mm"))</f>
        <v/>
      </c>
      <c r="D1207" s="36">
        <f>IF(A1207="","",IFERROR(INDEX(Maniobras!$D$5:$D$504,MATCH(A1207,Maniobras!$A$5:$A$504,0)),""))</f>
        <v/>
      </c>
      <c r="E1207" s="36" t="n"/>
      <c r="F1207" s="37">
        <f>IF(A1207="","",IFERROR(INDEX(Maniobras!$K$5:$K$504,MATCH(A1207,Maniobras!$A$5:$A$504,0)),""))</f>
        <v/>
      </c>
      <c r="G1207" s="37" t="n"/>
      <c r="H1207" s="37" t="n"/>
      <c r="I1207" s="37">
        <f>IF(G1207="","",G1207+N(H1207))</f>
        <v/>
      </c>
      <c r="J1207" s="36" t="n"/>
      <c r="K1207" s="40" t="n"/>
      <c r="L1207" s="36" t="n"/>
      <c r="M1207">
        <f>IF($A1207=Ficha!$B$3,COUNTIF($A$5:$A1207,Ficha!$B$3),"")</f>
        <v/>
      </c>
    </row>
    <row r="1208">
      <c r="A1208" s="38" t="n"/>
      <c r="B1208" s="41">
        <f>IF(A1208="","",IFERROR(INDEX(Maniobras!$B$5:$B$504,MATCH(A1208,Maniobras!$A$5:$A$504,0)),""))</f>
        <v/>
      </c>
      <c r="C1208" s="38">
        <f>IF(B1208="","",TEXT(B1208,"yyyy-mm"))</f>
        <v/>
      </c>
      <c r="D1208" s="38">
        <f>IF(A1208="","",IFERROR(INDEX(Maniobras!$D$5:$D$504,MATCH(A1208,Maniobras!$A$5:$A$504,0)),""))</f>
        <v/>
      </c>
      <c r="E1208" s="38" t="n"/>
      <c r="F1208" s="39">
        <f>IF(A1208="","",IFERROR(INDEX(Maniobras!$K$5:$K$504,MATCH(A1208,Maniobras!$A$5:$A$504,0)),""))</f>
        <v/>
      </c>
      <c r="G1208" s="39" t="n"/>
      <c r="H1208" s="39" t="n"/>
      <c r="I1208" s="39">
        <f>IF(G1208="","",G1208+N(H1208))</f>
        <v/>
      </c>
      <c r="J1208" s="38" t="n"/>
      <c r="K1208" s="41" t="n"/>
      <c r="L1208" s="38" t="n"/>
      <c r="M1208">
        <f>IF($A1208=Ficha!$B$3,COUNTIF($A$5:$A1208,Ficha!$B$3),"")</f>
        <v/>
      </c>
    </row>
    <row r="1209">
      <c r="A1209" s="36" t="n"/>
      <c r="B1209" s="40">
        <f>IF(A1209="","",IFERROR(INDEX(Maniobras!$B$5:$B$504,MATCH(A1209,Maniobras!$A$5:$A$504,0)),""))</f>
        <v/>
      </c>
      <c r="C1209" s="36">
        <f>IF(B1209="","",TEXT(B1209,"yyyy-mm"))</f>
        <v/>
      </c>
      <c r="D1209" s="36">
        <f>IF(A1209="","",IFERROR(INDEX(Maniobras!$D$5:$D$504,MATCH(A1209,Maniobras!$A$5:$A$504,0)),""))</f>
        <v/>
      </c>
      <c r="E1209" s="36" t="n"/>
      <c r="F1209" s="37">
        <f>IF(A1209="","",IFERROR(INDEX(Maniobras!$K$5:$K$504,MATCH(A1209,Maniobras!$A$5:$A$504,0)),""))</f>
        <v/>
      </c>
      <c r="G1209" s="37" t="n"/>
      <c r="H1209" s="37" t="n"/>
      <c r="I1209" s="37">
        <f>IF(G1209="","",G1209+N(H1209))</f>
        <v/>
      </c>
      <c r="J1209" s="36" t="n"/>
      <c r="K1209" s="40" t="n"/>
      <c r="L1209" s="36" t="n"/>
      <c r="M1209">
        <f>IF($A1209=Ficha!$B$3,COUNTIF($A$5:$A1209,Ficha!$B$3),"")</f>
        <v/>
      </c>
    </row>
    <row r="1210">
      <c r="A1210" s="38" t="n"/>
      <c r="B1210" s="41">
        <f>IF(A1210="","",IFERROR(INDEX(Maniobras!$B$5:$B$504,MATCH(A1210,Maniobras!$A$5:$A$504,0)),""))</f>
        <v/>
      </c>
      <c r="C1210" s="38">
        <f>IF(B1210="","",TEXT(B1210,"yyyy-mm"))</f>
        <v/>
      </c>
      <c r="D1210" s="38">
        <f>IF(A1210="","",IFERROR(INDEX(Maniobras!$D$5:$D$504,MATCH(A1210,Maniobras!$A$5:$A$504,0)),""))</f>
        <v/>
      </c>
      <c r="E1210" s="38" t="n"/>
      <c r="F1210" s="39">
        <f>IF(A1210="","",IFERROR(INDEX(Maniobras!$K$5:$K$504,MATCH(A1210,Maniobras!$A$5:$A$504,0)),""))</f>
        <v/>
      </c>
      <c r="G1210" s="39" t="n"/>
      <c r="H1210" s="39" t="n"/>
      <c r="I1210" s="39">
        <f>IF(G1210="","",G1210+N(H1210))</f>
        <v/>
      </c>
      <c r="J1210" s="38" t="n"/>
      <c r="K1210" s="41" t="n"/>
      <c r="L1210" s="38" t="n"/>
      <c r="M1210">
        <f>IF($A1210=Ficha!$B$3,COUNTIF($A$5:$A1210,Ficha!$B$3),"")</f>
        <v/>
      </c>
    </row>
    <row r="1211">
      <c r="A1211" s="36" t="n"/>
      <c r="B1211" s="40">
        <f>IF(A1211="","",IFERROR(INDEX(Maniobras!$B$5:$B$504,MATCH(A1211,Maniobras!$A$5:$A$504,0)),""))</f>
        <v/>
      </c>
      <c r="C1211" s="36">
        <f>IF(B1211="","",TEXT(B1211,"yyyy-mm"))</f>
        <v/>
      </c>
      <c r="D1211" s="36">
        <f>IF(A1211="","",IFERROR(INDEX(Maniobras!$D$5:$D$504,MATCH(A1211,Maniobras!$A$5:$A$504,0)),""))</f>
        <v/>
      </c>
      <c r="E1211" s="36" t="n"/>
      <c r="F1211" s="37">
        <f>IF(A1211="","",IFERROR(INDEX(Maniobras!$K$5:$K$504,MATCH(A1211,Maniobras!$A$5:$A$504,0)),""))</f>
        <v/>
      </c>
      <c r="G1211" s="37" t="n"/>
      <c r="H1211" s="37" t="n"/>
      <c r="I1211" s="37">
        <f>IF(G1211="","",G1211+N(H1211))</f>
        <v/>
      </c>
      <c r="J1211" s="36" t="n"/>
      <c r="K1211" s="40" t="n"/>
      <c r="L1211" s="36" t="n"/>
      <c r="M1211">
        <f>IF($A1211=Ficha!$B$3,COUNTIF($A$5:$A1211,Ficha!$B$3),"")</f>
        <v/>
      </c>
    </row>
    <row r="1212">
      <c r="A1212" s="38" t="n"/>
      <c r="B1212" s="41">
        <f>IF(A1212="","",IFERROR(INDEX(Maniobras!$B$5:$B$504,MATCH(A1212,Maniobras!$A$5:$A$504,0)),""))</f>
        <v/>
      </c>
      <c r="C1212" s="38">
        <f>IF(B1212="","",TEXT(B1212,"yyyy-mm"))</f>
        <v/>
      </c>
      <c r="D1212" s="38">
        <f>IF(A1212="","",IFERROR(INDEX(Maniobras!$D$5:$D$504,MATCH(A1212,Maniobras!$A$5:$A$504,0)),""))</f>
        <v/>
      </c>
      <c r="E1212" s="38" t="n"/>
      <c r="F1212" s="39">
        <f>IF(A1212="","",IFERROR(INDEX(Maniobras!$K$5:$K$504,MATCH(A1212,Maniobras!$A$5:$A$504,0)),""))</f>
        <v/>
      </c>
      <c r="G1212" s="39" t="n"/>
      <c r="H1212" s="39" t="n"/>
      <c r="I1212" s="39">
        <f>IF(G1212="","",G1212+N(H1212))</f>
        <v/>
      </c>
      <c r="J1212" s="38" t="n"/>
      <c r="K1212" s="41" t="n"/>
      <c r="L1212" s="38" t="n"/>
      <c r="M1212">
        <f>IF($A1212=Ficha!$B$3,COUNTIF($A$5:$A1212,Ficha!$B$3),"")</f>
        <v/>
      </c>
    </row>
    <row r="1213">
      <c r="A1213" s="36" t="n"/>
      <c r="B1213" s="40">
        <f>IF(A1213="","",IFERROR(INDEX(Maniobras!$B$5:$B$504,MATCH(A1213,Maniobras!$A$5:$A$504,0)),""))</f>
        <v/>
      </c>
      <c r="C1213" s="36">
        <f>IF(B1213="","",TEXT(B1213,"yyyy-mm"))</f>
        <v/>
      </c>
      <c r="D1213" s="36">
        <f>IF(A1213="","",IFERROR(INDEX(Maniobras!$D$5:$D$504,MATCH(A1213,Maniobras!$A$5:$A$504,0)),""))</f>
        <v/>
      </c>
      <c r="E1213" s="36" t="n"/>
      <c r="F1213" s="37">
        <f>IF(A1213="","",IFERROR(INDEX(Maniobras!$K$5:$K$504,MATCH(A1213,Maniobras!$A$5:$A$504,0)),""))</f>
        <v/>
      </c>
      <c r="G1213" s="37" t="n"/>
      <c r="H1213" s="37" t="n"/>
      <c r="I1213" s="37">
        <f>IF(G1213="","",G1213+N(H1213))</f>
        <v/>
      </c>
      <c r="J1213" s="36" t="n"/>
      <c r="K1213" s="40" t="n"/>
      <c r="L1213" s="36" t="n"/>
      <c r="M1213">
        <f>IF($A1213=Ficha!$B$3,COUNTIF($A$5:$A1213,Ficha!$B$3),"")</f>
        <v/>
      </c>
    </row>
    <row r="1214">
      <c r="A1214" s="38" t="n"/>
      <c r="B1214" s="41">
        <f>IF(A1214="","",IFERROR(INDEX(Maniobras!$B$5:$B$504,MATCH(A1214,Maniobras!$A$5:$A$504,0)),""))</f>
        <v/>
      </c>
      <c r="C1214" s="38">
        <f>IF(B1214="","",TEXT(B1214,"yyyy-mm"))</f>
        <v/>
      </c>
      <c r="D1214" s="38">
        <f>IF(A1214="","",IFERROR(INDEX(Maniobras!$D$5:$D$504,MATCH(A1214,Maniobras!$A$5:$A$504,0)),""))</f>
        <v/>
      </c>
      <c r="E1214" s="38" t="n"/>
      <c r="F1214" s="39">
        <f>IF(A1214="","",IFERROR(INDEX(Maniobras!$K$5:$K$504,MATCH(A1214,Maniobras!$A$5:$A$504,0)),""))</f>
        <v/>
      </c>
      <c r="G1214" s="39" t="n"/>
      <c r="H1214" s="39" t="n"/>
      <c r="I1214" s="39">
        <f>IF(G1214="","",G1214+N(H1214))</f>
        <v/>
      </c>
      <c r="J1214" s="38" t="n"/>
      <c r="K1214" s="41" t="n"/>
      <c r="L1214" s="38" t="n"/>
      <c r="M1214">
        <f>IF($A1214=Ficha!$B$3,COUNTIF($A$5:$A1214,Ficha!$B$3),"")</f>
        <v/>
      </c>
    </row>
    <row r="1215">
      <c r="A1215" s="36" t="n"/>
      <c r="B1215" s="40">
        <f>IF(A1215="","",IFERROR(INDEX(Maniobras!$B$5:$B$504,MATCH(A1215,Maniobras!$A$5:$A$504,0)),""))</f>
        <v/>
      </c>
      <c r="C1215" s="36">
        <f>IF(B1215="","",TEXT(B1215,"yyyy-mm"))</f>
        <v/>
      </c>
      <c r="D1215" s="36">
        <f>IF(A1215="","",IFERROR(INDEX(Maniobras!$D$5:$D$504,MATCH(A1215,Maniobras!$A$5:$A$504,0)),""))</f>
        <v/>
      </c>
      <c r="E1215" s="36" t="n"/>
      <c r="F1215" s="37">
        <f>IF(A1215="","",IFERROR(INDEX(Maniobras!$K$5:$K$504,MATCH(A1215,Maniobras!$A$5:$A$504,0)),""))</f>
        <v/>
      </c>
      <c r="G1215" s="37" t="n"/>
      <c r="H1215" s="37" t="n"/>
      <c r="I1215" s="37">
        <f>IF(G1215="","",G1215+N(H1215))</f>
        <v/>
      </c>
      <c r="J1215" s="36" t="n"/>
      <c r="K1215" s="40" t="n"/>
      <c r="L1215" s="36" t="n"/>
      <c r="M1215">
        <f>IF($A1215=Ficha!$B$3,COUNTIF($A$5:$A1215,Ficha!$B$3),"")</f>
        <v/>
      </c>
    </row>
    <row r="1216">
      <c r="A1216" s="38" t="n"/>
      <c r="B1216" s="41">
        <f>IF(A1216="","",IFERROR(INDEX(Maniobras!$B$5:$B$504,MATCH(A1216,Maniobras!$A$5:$A$504,0)),""))</f>
        <v/>
      </c>
      <c r="C1216" s="38">
        <f>IF(B1216="","",TEXT(B1216,"yyyy-mm"))</f>
        <v/>
      </c>
      <c r="D1216" s="38">
        <f>IF(A1216="","",IFERROR(INDEX(Maniobras!$D$5:$D$504,MATCH(A1216,Maniobras!$A$5:$A$504,0)),""))</f>
        <v/>
      </c>
      <c r="E1216" s="38" t="n"/>
      <c r="F1216" s="39">
        <f>IF(A1216="","",IFERROR(INDEX(Maniobras!$K$5:$K$504,MATCH(A1216,Maniobras!$A$5:$A$504,0)),""))</f>
        <v/>
      </c>
      <c r="G1216" s="39" t="n"/>
      <c r="H1216" s="39" t="n"/>
      <c r="I1216" s="39">
        <f>IF(G1216="","",G1216+N(H1216))</f>
        <v/>
      </c>
      <c r="J1216" s="38" t="n"/>
      <c r="K1216" s="41" t="n"/>
      <c r="L1216" s="38" t="n"/>
      <c r="M1216">
        <f>IF($A1216=Ficha!$B$3,COUNTIF($A$5:$A1216,Ficha!$B$3),"")</f>
        <v/>
      </c>
    </row>
    <row r="1217">
      <c r="A1217" s="36" t="n"/>
      <c r="B1217" s="40">
        <f>IF(A1217="","",IFERROR(INDEX(Maniobras!$B$5:$B$504,MATCH(A1217,Maniobras!$A$5:$A$504,0)),""))</f>
        <v/>
      </c>
      <c r="C1217" s="36">
        <f>IF(B1217="","",TEXT(B1217,"yyyy-mm"))</f>
        <v/>
      </c>
      <c r="D1217" s="36">
        <f>IF(A1217="","",IFERROR(INDEX(Maniobras!$D$5:$D$504,MATCH(A1217,Maniobras!$A$5:$A$504,0)),""))</f>
        <v/>
      </c>
      <c r="E1217" s="36" t="n"/>
      <c r="F1217" s="37">
        <f>IF(A1217="","",IFERROR(INDEX(Maniobras!$K$5:$K$504,MATCH(A1217,Maniobras!$A$5:$A$504,0)),""))</f>
        <v/>
      </c>
      <c r="G1217" s="37" t="n"/>
      <c r="H1217" s="37" t="n"/>
      <c r="I1217" s="37">
        <f>IF(G1217="","",G1217+N(H1217))</f>
        <v/>
      </c>
      <c r="J1217" s="36" t="n"/>
      <c r="K1217" s="40" t="n"/>
      <c r="L1217" s="36" t="n"/>
      <c r="M1217">
        <f>IF($A1217=Ficha!$B$3,COUNTIF($A$5:$A1217,Ficha!$B$3),"")</f>
        <v/>
      </c>
    </row>
    <row r="1218">
      <c r="A1218" s="38" t="n"/>
      <c r="B1218" s="41">
        <f>IF(A1218="","",IFERROR(INDEX(Maniobras!$B$5:$B$504,MATCH(A1218,Maniobras!$A$5:$A$504,0)),""))</f>
        <v/>
      </c>
      <c r="C1218" s="38">
        <f>IF(B1218="","",TEXT(B1218,"yyyy-mm"))</f>
        <v/>
      </c>
      <c r="D1218" s="38">
        <f>IF(A1218="","",IFERROR(INDEX(Maniobras!$D$5:$D$504,MATCH(A1218,Maniobras!$A$5:$A$504,0)),""))</f>
        <v/>
      </c>
      <c r="E1218" s="38" t="n"/>
      <c r="F1218" s="39">
        <f>IF(A1218="","",IFERROR(INDEX(Maniobras!$K$5:$K$504,MATCH(A1218,Maniobras!$A$5:$A$504,0)),""))</f>
        <v/>
      </c>
      <c r="G1218" s="39" t="n"/>
      <c r="H1218" s="39" t="n"/>
      <c r="I1218" s="39">
        <f>IF(G1218="","",G1218+N(H1218))</f>
        <v/>
      </c>
      <c r="J1218" s="38" t="n"/>
      <c r="K1218" s="41" t="n"/>
      <c r="L1218" s="38" t="n"/>
      <c r="M1218">
        <f>IF($A1218=Ficha!$B$3,COUNTIF($A$5:$A1218,Ficha!$B$3),"")</f>
        <v/>
      </c>
    </row>
    <row r="1219">
      <c r="A1219" s="36" t="n"/>
      <c r="B1219" s="40">
        <f>IF(A1219="","",IFERROR(INDEX(Maniobras!$B$5:$B$504,MATCH(A1219,Maniobras!$A$5:$A$504,0)),""))</f>
        <v/>
      </c>
      <c r="C1219" s="36">
        <f>IF(B1219="","",TEXT(B1219,"yyyy-mm"))</f>
        <v/>
      </c>
      <c r="D1219" s="36">
        <f>IF(A1219="","",IFERROR(INDEX(Maniobras!$D$5:$D$504,MATCH(A1219,Maniobras!$A$5:$A$504,0)),""))</f>
        <v/>
      </c>
      <c r="E1219" s="36" t="n"/>
      <c r="F1219" s="37">
        <f>IF(A1219="","",IFERROR(INDEX(Maniobras!$K$5:$K$504,MATCH(A1219,Maniobras!$A$5:$A$504,0)),""))</f>
        <v/>
      </c>
      <c r="G1219" s="37" t="n"/>
      <c r="H1219" s="37" t="n"/>
      <c r="I1219" s="37">
        <f>IF(G1219="","",G1219+N(H1219))</f>
        <v/>
      </c>
      <c r="J1219" s="36" t="n"/>
      <c r="K1219" s="40" t="n"/>
      <c r="L1219" s="36" t="n"/>
      <c r="M1219">
        <f>IF($A1219=Ficha!$B$3,COUNTIF($A$5:$A1219,Ficha!$B$3),"")</f>
        <v/>
      </c>
    </row>
    <row r="1220">
      <c r="A1220" s="38" t="n"/>
      <c r="B1220" s="41">
        <f>IF(A1220="","",IFERROR(INDEX(Maniobras!$B$5:$B$504,MATCH(A1220,Maniobras!$A$5:$A$504,0)),""))</f>
        <v/>
      </c>
      <c r="C1220" s="38">
        <f>IF(B1220="","",TEXT(B1220,"yyyy-mm"))</f>
        <v/>
      </c>
      <c r="D1220" s="38">
        <f>IF(A1220="","",IFERROR(INDEX(Maniobras!$D$5:$D$504,MATCH(A1220,Maniobras!$A$5:$A$504,0)),""))</f>
        <v/>
      </c>
      <c r="E1220" s="38" t="n"/>
      <c r="F1220" s="39">
        <f>IF(A1220="","",IFERROR(INDEX(Maniobras!$K$5:$K$504,MATCH(A1220,Maniobras!$A$5:$A$504,0)),""))</f>
        <v/>
      </c>
      <c r="G1220" s="39" t="n"/>
      <c r="H1220" s="39" t="n"/>
      <c r="I1220" s="39">
        <f>IF(G1220="","",G1220+N(H1220))</f>
        <v/>
      </c>
      <c r="J1220" s="38" t="n"/>
      <c r="K1220" s="41" t="n"/>
      <c r="L1220" s="38" t="n"/>
      <c r="M1220">
        <f>IF($A1220=Ficha!$B$3,COUNTIF($A$5:$A1220,Ficha!$B$3),"")</f>
        <v/>
      </c>
    </row>
    <row r="1221">
      <c r="A1221" s="36" t="n"/>
      <c r="B1221" s="40">
        <f>IF(A1221="","",IFERROR(INDEX(Maniobras!$B$5:$B$504,MATCH(A1221,Maniobras!$A$5:$A$504,0)),""))</f>
        <v/>
      </c>
      <c r="C1221" s="36">
        <f>IF(B1221="","",TEXT(B1221,"yyyy-mm"))</f>
        <v/>
      </c>
      <c r="D1221" s="36">
        <f>IF(A1221="","",IFERROR(INDEX(Maniobras!$D$5:$D$504,MATCH(A1221,Maniobras!$A$5:$A$504,0)),""))</f>
        <v/>
      </c>
      <c r="E1221" s="36" t="n"/>
      <c r="F1221" s="37">
        <f>IF(A1221="","",IFERROR(INDEX(Maniobras!$K$5:$K$504,MATCH(A1221,Maniobras!$A$5:$A$504,0)),""))</f>
        <v/>
      </c>
      <c r="G1221" s="37" t="n"/>
      <c r="H1221" s="37" t="n"/>
      <c r="I1221" s="37">
        <f>IF(G1221="","",G1221+N(H1221))</f>
        <v/>
      </c>
      <c r="J1221" s="36" t="n"/>
      <c r="K1221" s="40" t="n"/>
      <c r="L1221" s="36" t="n"/>
      <c r="M1221">
        <f>IF($A1221=Ficha!$B$3,COUNTIF($A$5:$A1221,Ficha!$B$3),"")</f>
        <v/>
      </c>
    </row>
    <row r="1222">
      <c r="A1222" s="38" t="n"/>
      <c r="B1222" s="41">
        <f>IF(A1222="","",IFERROR(INDEX(Maniobras!$B$5:$B$504,MATCH(A1222,Maniobras!$A$5:$A$504,0)),""))</f>
        <v/>
      </c>
      <c r="C1222" s="38">
        <f>IF(B1222="","",TEXT(B1222,"yyyy-mm"))</f>
        <v/>
      </c>
      <c r="D1222" s="38">
        <f>IF(A1222="","",IFERROR(INDEX(Maniobras!$D$5:$D$504,MATCH(A1222,Maniobras!$A$5:$A$504,0)),""))</f>
        <v/>
      </c>
      <c r="E1222" s="38" t="n"/>
      <c r="F1222" s="39">
        <f>IF(A1222="","",IFERROR(INDEX(Maniobras!$K$5:$K$504,MATCH(A1222,Maniobras!$A$5:$A$504,0)),""))</f>
        <v/>
      </c>
      <c r="G1222" s="39" t="n"/>
      <c r="H1222" s="39" t="n"/>
      <c r="I1222" s="39">
        <f>IF(G1222="","",G1222+N(H1222))</f>
        <v/>
      </c>
      <c r="J1222" s="38" t="n"/>
      <c r="K1222" s="41" t="n"/>
      <c r="L1222" s="38" t="n"/>
      <c r="M1222">
        <f>IF($A1222=Ficha!$B$3,COUNTIF($A$5:$A1222,Ficha!$B$3),"")</f>
        <v/>
      </c>
    </row>
    <row r="1223">
      <c r="A1223" s="36" t="n"/>
      <c r="B1223" s="40">
        <f>IF(A1223="","",IFERROR(INDEX(Maniobras!$B$5:$B$504,MATCH(A1223,Maniobras!$A$5:$A$504,0)),""))</f>
        <v/>
      </c>
      <c r="C1223" s="36">
        <f>IF(B1223="","",TEXT(B1223,"yyyy-mm"))</f>
        <v/>
      </c>
      <c r="D1223" s="36">
        <f>IF(A1223="","",IFERROR(INDEX(Maniobras!$D$5:$D$504,MATCH(A1223,Maniobras!$A$5:$A$504,0)),""))</f>
        <v/>
      </c>
      <c r="E1223" s="36" t="n"/>
      <c r="F1223" s="37">
        <f>IF(A1223="","",IFERROR(INDEX(Maniobras!$K$5:$K$504,MATCH(A1223,Maniobras!$A$5:$A$504,0)),""))</f>
        <v/>
      </c>
      <c r="G1223" s="37" t="n"/>
      <c r="H1223" s="37" t="n"/>
      <c r="I1223" s="37">
        <f>IF(G1223="","",G1223+N(H1223))</f>
        <v/>
      </c>
      <c r="J1223" s="36" t="n"/>
      <c r="K1223" s="40" t="n"/>
      <c r="L1223" s="36" t="n"/>
      <c r="M1223">
        <f>IF($A1223=Ficha!$B$3,COUNTIF($A$5:$A1223,Ficha!$B$3),"")</f>
        <v/>
      </c>
    </row>
    <row r="1224">
      <c r="A1224" s="38" t="n"/>
      <c r="B1224" s="41">
        <f>IF(A1224="","",IFERROR(INDEX(Maniobras!$B$5:$B$504,MATCH(A1224,Maniobras!$A$5:$A$504,0)),""))</f>
        <v/>
      </c>
      <c r="C1224" s="38">
        <f>IF(B1224="","",TEXT(B1224,"yyyy-mm"))</f>
        <v/>
      </c>
      <c r="D1224" s="38">
        <f>IF(A1224="","",IFERROR(INDEX(Maniobras!$D$5:$D$504,MATCH(A1224,Maniobras!$A$5:$A$504,0)),""))</f>
        <v/>
      </c>
      <c r="E1224" s="38" t="n"/>
      <c r="F1224" s="39">
        <f>IF(A1224="","",IFERROR(INDEX(Maniobras!$K$5:$K$504,MATCH(A1224,Maniobras!$A$5:$A$504,0)),""))</f>
        <v/>
      </c>
      <c r="G1224" s="39" t="n"/>
      <c r="H1224" s="39" t="n"/>
      <c r="I1224" s="39">
        <f>IF(G1224="","",G1224+N(H1224))</f>
        <v/>
      </c>
      <c r="J1224" s="38" t="n"/>
      <c r="K1224" s="41" t="n"/>
      <c r="L1224" s="38" t="n"/>
      <c r="M1224">
        <f>IF($A1224=Ficha!$B$3,COUNTIF($A$5:$A1224,Ficha!$B$3),"")</f>
        <v/>
      </c>
    </row>
    <row r="1225">
      <c r="A1225" s="36" t="n"/>
      <c r="B1225" s="40">
        <f>IF(A1225="","",IFERROR(INDEX(Maniobras!$B$5:$B$504,MATCH(A1225,Maniobras!$A$5:$A$504,0)),""))</f>
        <v/>
      </c>
      <c r="C1225" s="36">
        <f>IF(B1225="","",TEXT(B1225,"yyyy-mm"))</f>
        <v/>
      </c>
      <c r="D1225" s="36">
        <f>IF(A1225="","",IFERROR(INDEX(Maniobras!$D$5:$D$504,MATCH(A1225,Maniobras!$A$5:$A$504,0)),""))</f>
        <v/>
      </c>
      <c r="E1225" s="36" t="n"/>
      <c r="F1225" s="37">
        <f>IF(A1225="","",IFERROR(INDEX(Maniobras!$K$5:$K$504,MATCH(A1225,Maniobras!$A$5:$A$504,0)),""))</f>
        <v/>
      </c>
      <c r="G1225" s="37" t="n"/>
      <c r="H1225" s="37" t="n"/>
      <c r="I1225" s="37">
        <f>IF(G1225="","",G1225+N(H1225))</f>
        <v/>
      </c>
      <c r="J1225" s="36" t="n"/>
      <c r="K1225" s="40" t="n"/>
      <c r="L1225" s="36" t="n"/>
      <c r="M1225">
        <f>IF($A1225=Ficha!$B$3,COUNTIF($A$5:$A1225,Ficha!$B$3),"")</f>
        <v/>
      </c>
    </row>
    <row r="1226">
      <c r="A1226" s="38" t="n"/>
      <c r="B1226" s="41">
        <f>IF(A1226="","",IFERROR(INDEX(Maniobras!$B$5:$B$504,MATCH(A1226,Maniobras!$A$5:$A$504,0)),""))</f>
        <v/>
      </c>
      <c r="C1226" s="38">
        <f>IF(B1226="","",TEXT(B1226,"yyyy-mm"))</f>
        <v/>
      </c>
      <c r="D1226" s="38">
        <f>IF(A1226="","",IFERROR(INDEX(Maniobras!$D$5:$D$504,MATCH(A1226,Maniobras!$A$5:$A$504,0)),""))</f>
        <v/>
      </c>
      <c r="E1226" s="38" t="n"/>
      <c r="F1226" s="39">
        <f>IF(A1226="","",IFERROR(INDEX(Maniobras!$K$5:$K$504,MATCH(A1226,Maniobras!$A$5:$A$504,0)),""))</f>
        <v/>
      </c>
      <c r="G1226" s="39" t="n"/>
      <c r="H1226" s="39" t="n"/>
      <c r="I1226" s="39">
        <f>IF(G1226="","",G1226+N(H1226))</f>
        <v/>
      </c>
      <c r="J1226" s="38" t="n"/>
      <c r="K1226" s="41" t="n"/>
      <c r="L1226" s="38" t="n"/>
      <c r="M1226">
        <f>IF($A1226=Ficha!$B$3,COUNTIF($A$5:$A1226,Ficha!$B$3),"")</f>
        <v/>
      </c>
    </row>
    <row r="1227">
      <c r="A1227" s="36" t="n"/>
      <c r="B1227" s="40">
        <f>IF(A1227="","",IFERROR(INDEX(Maniobras!$B$5:$B$504,MATCH(A1227,Maniobras!$A$5:$A$504,0)),""))</f>
        <v/>
      </c>
      <c r="C1227" s="36">
        <f>IF(B1227="","",TEXT(B1227,"yyyy-mm"))</f>
        <v/>
      </c>
      <c r="D1227" s="36">
        <f>IF(A1227="","",IFERROR(INDEX(Maniobras!$D$5:$D$504,MATCH(A1227,Maniobras!$A$5:$A$504,0)),""))</f>
        <v/>
      </c>
      <c r="E1227" s="36" t="n"/>
      <c r="F1227" s="37">
        <f>IF(A1227="","",IFERROR(INDEX(Maniobras!$K$5:$K$504,MATCH(A1227,Maniobras!$A$5:$A$504,0)),""))</f>
        <v/>
      </c>
      <c r="G1227" s="37" t="n"/>
      <c r="H1227" s="37" t="n"/>
      <c r="I1227" s="37">
        <f>IF(G1227="","",G1227+N(H1227))</f>
        <v/>
      </c>
      <c r="J1227" s="36" t="n"/>
      <c r="K1227" s="40" t="n"/>
      <c r="L1227" s="36" t="n"/>
      <c r="M1227">
        <f>IF($A1227=Ficha!$B$3,COUNTIF($A$5:$A1227,Ficha!$B$3),"")</f>
        <v/>
      </c>
    </row>
    <row r="1228">
      <c r="A1228" s="38" t="n"/>
      <c r="B1228" s="41">
        <f>IF(A1228="","",IFERROR(INDEX(Maniobras!$B$5:$B$504,MATCH(A1228,Maniobras!$A$5:$A$504,0)),""))</f>
        <v/>
      </c>
      <c r="C1228" s="38">
        <f>IF(B1228="","",TEXT(B1228,"yyyy-mm"))</f>
        <v/>
      </c>
      <c r="D1228" s="38">
        <f>IF(A1228="","",IFERROR(INDEX(Maniobras!$D$5:$D$504,MATCH(A1228,Maniobras!$A$5:$A$504,0)),""))</f>
        <v/>
      </c>
      <c r="E1228" s="38" t="n"/>
      <c r="F1228" s="39">
        <f>IF(A1228="","",IFERROR(INDEX(Maniobras!$K$5:$K$504,MATCH(A1228,Maniobras!$A$5:$A$504,0)),""))</f>
        <v/>
      </c>
      <c r="G1228" s="39" t="n"/>
      <c r="H1228" s="39" t="n"/>
      <c r="I1228" s="39">
        <f>IF(G1228="","",G1228+N(H1228))</f>
        <v/>
      </c>
      <c r="J1228" s="38" t="n"/>
      <c r="K1228" s="41" t="n"/>
      <c r="L1228" s="38" t="n"/>
      <c r="M1228">
        <f>IF($A1228=Ficha!$B$3,COUNTIF($A$5:$A1228,Ficha!$B$3),"")</f>
        <v/>
      </c>
    </row>
    <row r="1229">
      <c r="A1229" s="36" t="n"/>
      <c r="B1229" s="40">
        <f>IF(A1229="","",IFERROR(INDEX(Maniobras!$B$5:$B$504,MATCH(A1229,Maniobras!$A$5:$A$504,0)),""))</f>
        <v/>
      </c>
      <c r="C1229" s="36">
        <f>IF(B1229="","",TEXT(B1229,"yyyy-mm"))</f>
        <v/>
      </c>
      <c r="D1229" s="36">
        <f>IF(A1229="","",IFERROR(INDEX(Maniobras!$D$5:$D$504,MATCH(A1229,Maniobras!$A$5:$A$504,0)),""))</f>
        <v/>
      </c>
      <c r="E1229" s="36" t="n"/>
      <c r="F1229" s="37">
        <f>IF(A1229="","",IFERROR(INDEX(Maniobras!$K$5:$K$504,MATCH(A1229,Maniobras!$A$5:$A$504,0)),""))</f>
        <v/>
      </c>
      <c r="G1229" s="37" t="n"/>
      <c r="H1229" s="37" t="n"/>
      <c r="I1229" s="37">
        <f>IF(G1229="","",G1229+N(H1229))</f>
        <v/>
      </c>
      <c r="J1229" s="36" t="n"/>
      <c r="K1229" s="40" t="n"/>
      <c r="L1229" s="36" t="n"/>
      <c r="M1229">
        <f>IF($A1229=Ficha!$B$3,COUNTIF($A$5:$A1229,Ficha!$B$3),"")</f>
        <v/>
      </c>
    </row>
    <row r="1230">
      <c r="A1230" s="38" t="n"/>
      <c r="B1230" s="41">
        <f>IF(A1230="","",IFERROR(INDEX(Maniobras!$B$5:$B$504,MATCH(A1230,Maniobras!$A$5:$A$504,0)),""))</f>
        <v/>
      </c>
      <c r="C1230" s="38">
        <f>IF(B1230="","",TEXT(B1230,"yyyy-mm"))</f>
        <v/>
      </c>
      <c r="D1230" s="38">
        <f>IF(A1230="","",IFERROR(INDEX(Maniobras!$D$5:$D$504,MATCH(A1230,Maniobras!$A$5:$A$504,0)),""))</f>
        <v/>
      </c>
      <c r="E1230" s="38" t="n"/>
      <c r="F1230" s="39">
        <f>IF(A1230="","",IFERROR(INDEX(Maniobras!$K$5:$K$504,MATCH(A1230,Maniobras!$A$5:$A$504,0)),""))</f>
        <v/>
      </c>
      <c r="G1230" s="39" t="n"/>
      <c r="H1230" s="39" t="n"/>
      <c r="I1230" s="39">
        <f>IF(G1230="","",G1230+N(H1230))</f>
        <v/>
      </c>
      <c r="J1230" s="38" t="n"/>
      <c r="K1230" s="41" t="n"/>
      <c r="L1230" s="38" t="n"/>
      <c r="M1230">
        <f>IF($A1230=Ficha!$B$3,COUNTIF($A$5:$A1230,Ficha!$B$3),"")</f>
        <v/>
      </c>
    </row>
    <row r="1231">
      <c r="A1231" s="36" t="n"/>
      <c r="B1231" s="40">
        <f>IF(A1231="","",IFERROR(INDEX(Maniobras!$B$5:$B$504,MATCH(A1231,Maniobras!$A$5:$A$504,0)),""))</f>
        <v/>
      </c>
      <c r="C1231" s="36">
        <f>IF(B1231="","",TEXT(B1231,"yyyy-mm"))</f>
        <v/>
      </c>
      <c r="D1231" s="36">
        <f>IF(A1231="","",IFERROR(INDEX(Maniobras!$D$5:$D$504,MATCH(A1231,Maniobras!$A$5:$A$504,0)),""))</f>
        <v/>
      </c>
      <c r="E1231" s="36" t="n"/>
      <c r="F1231" s="37">
        <f>IF(A1231="","",IFERROR(INDEX(Maniobras!$K$5:$K$504,MATCH(A1231,Maniobras!$A$5:$A$504,0)),""))</f>
        <v/>
      </c>
      <c r="G1231" s="37" t="n"/>
      <c r="H1231" s="37" t="n"/>
      <c r="I1231" s="37">
        <f>IF(G1231="","",G1231+N(H1231))</f>
        <v/>
      </c>
      <c r="J1231" s="36" t="n"/>
      <c r="K1231" s="40" t="n"/>
      <c r="L1231" s="36" t="n"/>
      <c r="M1231">
        <f>IF($A1231=Ficha!$B$3,COUNTIF($A$5:$A1231,Ficha!$B$3),"")</f>
        <v/>
      </c>
    </row>
    <row r="1232">
      <c r="A1232" s="38" t="n"/>
      <c r="B1232" s="41">
        <f>IF(A1232="","",IFERROR(INDEX(Maniobras!$B$5:$B$504,MATCH(A1232,Maniobras!$A$5:$A$504,0)),""))</f>
        <v/>
      </c>
      <c r="C1232" s="38">
        <f>IF(B1232="","",TEXT(B1232,"yyyy-mm"))</f>
        <v/>
      </c>
      <c r="D1232" s="38">
        <f>IF(A1232="","",IFERROR(INDEX(Maniobras!$D$5:$D$504,MATCH(A1232,Maniobras!$A$5:$A$504,0)),""))</f>
        <v/>
      </c>
      <c r="E1232" s="38" t="n"/>
      <c r="F1232" s="39">
        <f>IF(A1232="","",IFERROR(INDEX(Maniobras!$K$5:$K$504,MATCH(A1232,Maniobras!$A$5:$A$504,0)),""))</f>
        <v/>
      </c>
      <c r="G1232" s="39" t="n"/>
      <c r="H1232" s="39" t="n"/>
      <c r="I1232" s="39">
        <f>IF(G1232="","",G1232+N(H1232))</f>
        <v/>
      </c>
      <c r="J1232" s="38" t="n"/>
      <c r="K1232" s="41" t="n"/>
      <c r="L1232" s="38" t="n"/>
      <c r="M1232">
        <f>IF($A1232=Ficha!$B$3,COUNTIF($A$5:$A1232,Ficha!$B$3),"")</f>
        <v/>
      </c>
    </row>
    <row r="1233">
      <c r="A1233" s="36" t="n"/>
      <c r="B1233" s="40">
        <f>IF(A1233="","",IFERROR(INDEX(Maniobras!$B$5:$B$504,MATCH(A1233,Maniobras!$A$5:$A$504,0)),""))</f>
        <v/>
      </c>
      <c r="C1233" s="36">
        <f>IF(B1233="","",TEXT(B1233,"yyyy-mm"))</f>
        <v/>
      </c>
      <c r="D1233" s="36">
        <f>IF(A1233="","",IFERROR(INDEX(Maniobras!$D$5:$D$504,MATCH(A1233,Maniobras!$A$5:$A$504,0)),""))</f>
        <v/>
      </c>
      <c r="E1233" s="36" t="n"/>
      <c r="F1233" s="37">
        <f>IF(A1233="","",IFERROR(INDEX(Maniobras!$K$5:$K$504,MATCH(A1233,Maniobras!$A$5:$A$504,0)),""))</f>
        <v/>
      </c>
      <c r="G1233" s="37" t="n"/>
      <c r="H1233" s="37" t="n"/>
      <c r="I1233" s="37">
        <f>IF(G1233="","",G1233+N(H1233))</f>
        <v/>
      </c>
      <c r="J1233" s="36" t="n"/>
      <c r="K1233" s="40" t="n"/>
      <c r="L1233" s="36" t="n"/>
      <c r="M1233">
        <f>IF($A1233=Ficha!$B$3,COUNTIF($A$5:$A1233,Ficha!$B$3),"")</f>
        <v/>
      </c>
    </row>
    <row r="1234">
      <c r="A1234" s="38" t="n"/>
      <c r="B1234" s="41">
        <f>IF(A1234="","",IFERROR(INDEX(Maniobras!$B$5:$B$504,MATCH(A1234,Maniobras!$A$5:$A$504,0)),""))</f>
        <v/>
      </c>
      <c r="C1234" s="38">
        <f>IF(B1234="","",TEXT(B1234,"yyyy-mm"))</f>
        <v/>
      </c>
      <c r="D1234" s="38">
        <f>IF(A1234="","",IFERROR(INDEX(Maniobras!$D$5:$D$504,MATCH(A1234,Maniobras!$A$5:$A$504,0)),""))</f>
        <v/>
      </c>
      <c r="E1234" s="38" t="n"/>
      <c r="F1234" s="39">
        <f>IF(A1234="","",IFERROR(INDEX(Maniobras!$K$5:$K$504,MATCH(A1234,Maniobras!$A$5:$A$504,0)),""))</f>
        <v/>
      </c>
      <c r="G1234" s="39" t="n"/>
      <c r="H1234" s="39" t="n"/>
      <c r="I1234" s="39">
        <f>IF(G1234="","",G1234+N(H1234))</f>
        <v/>
      </c>
      <c r="J1234" s="38" t="n"/>
      <c r="K1234" s="41" t="n"/>
      <c r="L1234" s="38" t="n"/>
      <c r="M1234">
        <f>IF($A1234=Ficha!$B$3,COUNTIF($A$5:$A1234,Ficha!$B$3),"")</f>
        <v/>
      </c>
    </row>
    <row r="1235">
      <c r="A1235" s="36" t="n"/>
      <c r="B1235" s="40">
        <f>IF(A1235="","",IFERROR(INDEX(Maniobras!$B$5:$B$504,MATCH(A1235,Maniobras!$A$5:$A$504,0)),""))</f>
        <v/>
      </c>
      <c r="C1235" s="36">
        <f>IF(B1235="","",TEXT(B1235,"yyyy-mm"))</f>
        <v/>
      </c>
      <c r="D1235" s="36">
        <f>IF(A1235="","",IFERROR(INDEX(Maniobras!$D$5:$D$504,MATCH(A1235,Maniobras!$A$5:$A$504,0)),""))</f>
        <v/>
      </c>
      <c r="E1235" s="36" t="n"/>
      <c r="F1235" s="37">
        <f>IF(A1235="","",IFERROR(INDEX(Maniobras!$K$5:$K$504,MATCH(A1235,Maniobras!$A$5:$A$504,0)),""))</f>
        <v/>
      </c>
      <c r="G1235" s="37" t="n"/>
      <c r="H1235" s="37" t="n"/>
      <c r="I1235" s="37">
        <f>IF(G1235="","",G1235+N(H1235))</f>
        <v/>
      </c>
      <c r="J1235" s="36" t="n"/>
      <c r="K1235" s="40" t="n"/>
      <c r="L1235" s="36" t="n"/>
      <c r="M1235">
        <f>IF($A1235=Ficha!$B$3,COUNTIF($A$5:$A1235,Ficha!$B$3),"")</f>
        <v/>
      </c>
    </row>
    <row r="1236">
      <c r="A1236" s="38" t="n"/>
      <c r="B1236" s="41">
        <f>IF(A1236="","",IFERROR(INDEX(Maniobras!$B$5:$B$504,MATCH(A1236,Maniobras!$A$5:$A$504,0)),""))</f>
        <v/>
      </c>
      <c r="C1236" s="38">
        <f>IF(B1236="","",TEXT(B1236,"yyyy-mm"))</f>
        <v/>
      </c>
      <c r="D1236" s="38">
        <f>IF(A1236="","",IFERROR(INDEX(Maniobras!$D$5:$D$504,MATCH(A1236,Maniobras!$A$5:$A$504,0)),""))</f>
        <v/>
      </c>
      <c r="E1236" s="38" t="n"/>
      <c r="F1236" s="39">
        <f>IF(A1236="","",IFERROR(INDEX(Maniobras!$K$5:$K$504,MATCH(A1236,Maniobras!$A$5:$A$504,0)),""))</f>
        <v/>
      </c>
      <c r="G1236" s="39" t="n"/>
      <c r="H1236" s="39" t="n"/>
      <c r="I1236" s="39">
        <f>IF(G1236="","",G1236+N(H1236))</f>
        <v/>
      </c>
      <c r="J1236" s="38" t="n"/>
      <c r="K1236" s="41" t="n"/>
      <c r="L1236" s="38" t="n"/>
      <c r="M1236">
        <f>IF($A1236=Ficha!$B$3,COUNTIF($A$5:$A1236,Ficha!$B$3),"")</f>
        <v/>
      </c>
    </row>
    <row r="1237">
      <c r="A1237" s="36" t="n"/>
      <c r="B1237" s="40">
        <f>IF(A1237="","",IFERROR(INDEX(Maniobras!$B$5:$B$504,MATCH(A1237,Maniobras!$A$5:$A$504,0)),""))</f>
        <v/>
      </c>
      <c r="C1237" s="36">
        <f>IF(B1237="","",TEXT(B1237,"yyyy-mm"))</f>
        <v/>
      </c>
      <c r="D1237" s="36">
        <f>IF(A1237="","",IFERROR(INDEX(Maniobras!$D$5:$D$504,MATCH(A1237,Maniobras!$A$5:$A$504,0)),""))</f>
        <v/>
      </c>
      <c r="E1237" s="36" t="n"/>
      <c r="F1237" s="37">
        <f>IF(A1237="","",IFERROR(INDEX(Maniobras!$K$5:$K$504,MATCH(A1237,Maniobras!$A$5:$A$504,0)),""))</f>
        <v/>
      </c>
      <c r="G1237" s="37" t="n"/>
      <c r="H1237" s="37" t="n"/>
      <c r="I1237" s="37">
        <f>IF(G1237="","",G1237+N(H1237))</f>
        <v/>
      </c>
      <c r="J1237" s="36" t="n"/>
      <c r="K1237" s="40" t="n"/>
      <c r="L1237" s="36" t="n"/>
      <c r="M1237">
        <f>IF($A1237=Ficha!$B$3,COUNTIF($A$5:$A1237,Ficha!$B$3),"")</f>
        <v/>
      </c>
    </row>
    <row r="1238">
      <c r="A1238" s="38" t="n"/>
      <c r="B1238" s="41">
        <f>IF(A1238="","",IFERROR(INDEX(Maniobras!$B$5:$B$504,MATCH(A1238,Maniobras!$A$5:$A$504,0)),""))</f>
        <v/>
      </c>
      <c r="C1238" s="38">
        <f>IF(B1238="","",TEXT(B1238,"yyyy-mm"))</f>
        <v/>
      </c>
      <c r="D1238" s="38">
        <f>IF(A1238="","",IFERROR(INDEX(Maniobras!$D$5:$D$504,MATCH(A1238,Maniobras!$A$5:$A$504,0)),""))</f>
        <v/>
      </c>
      <c r="E1238" s="38" t="n"/>
      <c r="F1238" s="39">
        <f>IF(A1238="","",IFERROR(INDEX(Maniobras!$K$5:$K$504,MATCH(A1238,Maniobras!$A$5:$A$504,0)),""))</f>
        <v/>
      </c>
      <c r="G1238" s="39" t="n"/>
      <c r="H1238" s="39" t="n"/>
      <c r="I1238" s="39">
        <f>IF(G1238="","",G1238+N(H1238))</f>
        <v/>
      </c>
      <c r="J1238" s="38" t="n"/>
      <c r="K1238" s="41" t="n"/>
      <c r="L1238" s="38" t="n"/>
      <c r="M1238">
        <f>IF($A1238=Ficha!$B$3,COUNTIF($A$5:$A1238,Ficha!$B$3),"")</f>
        <v/>
      </c>
    </row>
    <row r="1239">
      <c r="A1239" s="36" t="n"/>
      <c r="B1239" s="40">
        <f>IF(A1239="","",IFERROR(INDEX(Maniobras!$B$5:$B$504,MATCH(A1239,Maniobras!$A$5:$A$504,0)),""))</f>
        <v/>
      </c>
      <c r="C1239" s="36">
        <f>IF(B1239="","",TEXT(B1239,"yyyy-mm"))</f>
        <v/>
      </c>
      <c r="D1239" s="36">
        <f>IF(A1239="","",IFERROR(INDEX(Maniobras!$D$5:$D$504,MATCH(A1239,Maniobras!$A$5:$A$504,0)),""))</f>
        <v/>
      </c>
      <c r="E1239" s="36" t="n"/>
      <c r="F1239" s="37">
        <f>IF(A1239="","",IFERROR(INDEX(Maniobras!$K$5:$K$504,MATCH(A1239,Maniobras!$A$5:$A$504,0)),""))</f>
        <v/>
      </c>
      <c r="G1239" s="37" t="n"/>
      <c r="H1239" s="37" t="n"/>
      <c r="I1239" s="37">
        <f>IF(G1239="","",G1239+N(H1239))</f>
        <v/>
      </c>
      <c r="J1239" s="36" t="n"/>
      <c r="K1239" s="40" t="n"/>
      <c r="L1239" s="36" t="n"/>
      <c r="M1239">
        <f>IF($A1239=Ficha!$B$3,COUNTIF($A$5:$A1239,Ficha!$B$3),"")</f>
        <v/>
      </c>
    </row>
    <row r="1240">
      <c r="A1240" s="38" t="n"/>
      <c r="B1240" s="41">
        <f>IF(A1240="","",IFERROR(INDEX(Maniobras!$B$5:$B$504,MATCH(A1240,Maniobras!$A$5:$A$504,0)),""))</f>
        <v/>
      </c>
      <c r="C1240" s="38">
        <f>IF(B1240="","",TEXT(B1240,"yyyy-mm"))</f>
        <v/>
      </c>
      <c r="D1240" s="38">
        <f>IF(A1240="","",IFERROR(INDEX(Maniobras!$D$5:$D$504,MATCH(A1240,Maniobras!$A$5:$A$504,0)),""))</f>
        <v/>
      </c>
      <c r="E1240" s="38" t="n"/>
      <c r="F1240" s="39">
        <f>IF(A1240="","",IFERROR(INDEX(Maniobras!$K$5:$K$504,MATCH(A1240,Maniobras!$A$5:$A$504,0)),""))</f>
        <v/>
      </c>
      <c r="G1240" s="39" t="n"/>
      <c r="H1240" s="39" t="n"/>
      <c r="I1240" s="39">
        <f>IF(G1240="","",G1240+N(H1240))</f>
        <v/>
      </c>
      <c r="J1240" s="38" t="n"/>
      <c r="K1240" s="41" t="n"/>
      <c r="L1240" s="38" t="n"/>
      <c r="M1240">
        <f>IF($A1240=Ficha!$B$3,COUNTIF($A$5:$A1240,Ficha!$B$3),"")</f>
        <v/>
      </c>
    </row>
    <row r="1241">
      <c r="A1241" s="36" t="n"/>
      <c r="B1241" s="40">
        <f>IF(A1241="","",IFERROR(INDEX(Maniobras!$B$5:$B$504,MATCH(A1241,Maniobras!$A$5:$A$504,0)),""))</f>
        <v/>
      </c>
      <c r="C1241" s="36">
        <f>IF(B1241="","",TEXT(B1241,"yyyy-mm"))</f>
        <v/>
      </c>
      <c r="D1241" s="36">
        <f>IF(A1241="","",IFERROR(INDEX(Maniobras!$D$5:$D$504,MATCH(A1241,Maniobras!$A$5:$A$504,0)),""))</f>
        <v/>
      </c>
      <c r="E1241" s="36" t="n"/>
      <c r="F1241" s="37">
        <f>IF(A1241="","",IFERROR(INDEX(Maniobras!$K$5:$K$504,MATCH(A1241,Maniobras!$A$5:$A$504,0)),""))</f>
        <v/>
      </c>
      <c r="G1241" s="37" t="n"/>
      <c r="H1241" s="37" t="n"/>
      <c r="I1241" s="37">
        <f>IF(G1241="","",G1241+N(H1241))</f>
        <v/>
      </c>
      <c r="J1241" s="36" t="n"/>
      <c r="K1241" s="40" t="n"/>
      <c r="L1241" s="36" t="n"/>
      <c r="M1241">
        <f>IF($A1241=Ficha!$B$3,COUNTIF($A$5:$A1241,Ficha!$B$3),"")</f>
        <v/>
      </c>
    </row>
    <row r="1242">
      <c r="A1242" s="38" t="n"/>
      <c r="B1242" s="41">
        <f>IF(A1242="","",IFERROR(INDEX(Maniobras!$B$5:$B$504,MATCH(A1242,Maniobras!$A$5:$A$504,0)),""))</f>
        <v/>
      </c>
      <c r="C1242" s="38">
        <f>IF(B1242="","",TEXT(B1242,"yyyy-mm"))</f>
        <v/>
      </c>
      <c r="D1242" s="38">
        <f>IF(A1242="","",IFERROR(INDEX(Maniobras!$D$5:$D$504,MATCH(A1242,Maniobras!$A$5:$A$504,0)),""))</f>
        <v/>
      </c>
      <c r="E1242" s="38" t="n"/>
      <c r="F1242" s="39">
        <f>IF(A1242="","",IFERROR(INDEX(Maniobras!$K$5:$K$504,MATCH(A1242,Maniobras!$A$5:$A$504,0)),""))</f>
        <v/>
      </c>
      <c r="G1242" s="39" t="n"/>
      <c r="H1242" s="39" t="n"/>
      <c r="I1242" s="39">
        <f>IF(G1242="","",G1242+N(H1242))</f>
        <v/>
      </c>
      <c r="J1242" s="38" t="n"/>
      <c r="K1242" s="41" t="n"/>
      <c r="L1242" s="38" t="n"/>
      <c r="M1242">
        <f>IF($A1242=Ficha!$B$3,COUNTIF($A$5:$A1242,Ficha!$B$3),"")</f>
        <v/>
      </c>
    </row>
    <row r="1243">
      <c r="A1243" s="36" t="n"/>
      <c r="B1243" s="40">
        <f>IF(A1243="","",IFERROR(INDEX(Maniobras!$B$5:$B$504,MATCH(A1243,Maniobras!$A$5:$A$504,0)),""))</f>
        <v/>
      </c>
      <c r="C1243" s="36">
        <f>IF(B1243="","",TEXT(B1243,"yyyy-mm"))</f>
        <v/>
      </c>
      <c r="D1243" s="36">
        <f>IF(A1243="","",IFERROR(INDEX(Maniobras!$D$5:$D$504,MATCH(A1243,Maniobras!$A$5:$A$504,0)),""))</f>
        <v/>
      </c>
      <c r="E1243" s="36" t="n"/>
      <c r="F1243" s="37">
        <f>IF(A1243="","",IFERROR(INDEX(Maniobras!$K$5:$K$504,MATCH(A1243,Maniobras!$A$5:$A$504,0)),""))</f>
        <v/>
      </c>
      <c r="G1243" s="37" t="n"/>
      <c r="H1243" s="37" t="n"/>
      <c r="I1243" s="37">
        <f>IF(G1243="","",G1243+N(H1243))</f>
        <v/>
      </c>
      <c r="J1243" s="36" t="n"/>
      <c r="K1243" s="40" t="n"/>
      <c r="L1243" s="36" t="n"/>
      <c r="M1243">
        <f>IF($A1243=Ficha!$B$3,COUNTIF($A$5:$A1243,Ficha!$B$3),"")</f>
        <v/>
      </c>
    </row>
    <row r="1244">
      <c r="A1244" s="38" t="n"/>
      <c r="B1244" s="41">
        <f>IF(A1244="","",IFERROR(INDEX(Maniobras!$B$5:$B$504,MATCH(A1244,Maniobras!$A$5:$A$504,0)),""))</f>
        <v/>
      </c>
      <c r="C1244" s="38">
        <f>IF(B1244="","",TEXT(B1244,"yyyy-mm"))</f>
        <v/>
      </c>
      <c r="D1244" s="38">
        <f>IF(A1244="","",IFERROR(INDEX(Maniobras!$D$5:$D$504,MATCH(A1244,Maniobras!$A$5:$A$504,0)),""))</f>
        <v/>
      </c>
      <c r="E1244" s="38" t="n"/>
      <c r="F1244" s="39">
        <f>IF(A1244="","",IFERROR(INDEX(Maniobras!$K$5:$K$504,MATCH(A1244,Maniobras!$A$5:$A$504,0)),""))</f>
        <v/>
      </c>
      <c r="G1244" s="39" t="n"/>
      <c r="H1244" s="39" t="n"/>
      <c r="I1244" s="39">
        <f>IF(G1244="","",G1244+N(H1244))</f>
        <v/>
      </c>
      <c r="J1244" s="38" t="n"/>
      <c r="K1244" s="41" t="n"/>
      <c r="L1244" s="38" t="n"/>
      <c r="M1244">
        <f>IF($A1244=Ficha!$B$3,COUNTIF($A$5:$A1244,Ficha!$B$3),"")</f>
        <v/>
      </c>
    </row>
    <row r="1245">
      <c r="A1245" s="36" t="n"/>
      <c r="B1245" s="40">
        <f>IF(A1245="","",IFERROR(INDEX(Maniobras!$B$5:$B$504,MATCH(A1245,Maniobras!$A$5:$A$504,0)),""))</f>
        <v/>
      </c>
      <c r="C1245" s="36">
        <f>IF(B1245="","",TEXT(B1245,"yyyy-mm"))</f>
        <v/>
      </c>
      <c r="D1245" s="36">
        <f>IF(A1245="","",IFERROR(INDEX(Maniobras!$D$5:$D$504,MATCH(A1245,Maniobras!$A$5:$A$504,0)),""))</f>
        <v/>
      </c>
      <c r="E1245" s="36" t="n"/>
      <c r="F1245" s="37">
        <f>IF(A1245="","",IFERROR(INDEX(Maniobras!$K$5:$K$504,MATCH(A1245,Maniobras!$A$5:$A$504,0)),""))</f>
        <v/>
      </c>
      <c r="G1245" s="37" t="n"/>
      <c r="H1245" s="37" t="n"/>
      <c r="I1245" s="37">
        <f>IF(G1245="","",G1245+N(H1245))</f>
        <v/>
      </c>
      <c r="J1245" s="36" t="n"/>
      <c r="K1245" s="40" t="n"/>
      <c r="L1245" s="36" t="n"/>
      <c r="M1245">
        <f>IF($A1245=Ficha!$B$3,COUNTIF($A$5:$A1245,Ficha!$B$3),"")</f>
        <v/>
      </c>
    </row>
    <row r="1246">
      <c r="A1246" s="38" t="n"/>
      <c r="B1246" s="41">
        <f>IF(A1246="","",IFERROR(INDEX(Maniobras!$B$5:$B$504,MATCH(A1246,Maniobras!$A$5:$A$504,0)),""))</f>
        <v/>
      </c>
      <c r="C1246" s="38">
        <f>IF(B1246="","",TEXT(B1246,"yyyy-mm"))</f>
        <v/>
      </c>
      <c r="D1246" s="38">
        <f>IF(A1246="","",IFERROR(INDEX(Maniobras!$D$5:$D$504,MATCH(A1246,Maniobras!$A$5:$A$504,0)),""))</f>
        <v/>
      </c>
      <c r="E1246" s="38" t="n"/>
      <c r="F1246" s="39">
        <f>IF(A1246="","",IFERROR(INDEX(Maniobras!$K$5:$K$504,MATCH(A1246,Maniobras!$A$5:$A$504,0)),""))</f>
        <v/>
      </c>
      <c r="G1246" s="39" t="n"/>
      <c r="H1246" s="39" t="n"/>
      <c r="I1246" s="39">
        <f>IF(G1246="","",G1246+N(H1246))</f>
        <v/>
      </c>
      <c r="J1246" s="38" t="n"/>
      <c r="K1246" s="41" t="n"/>
      <c r="L1246" s="38" t="n"/>
      <c r="M1246">
        <f>IF($A1246=Ficha!$B$3,COUNTIF($A$5:$A1246,Ficha!$B$3),"")</f>
        <v/>
      </c>
    </row>
    <row r="1247">
      <c r="A1247" s="36" t="n"/>
      <c r="B1247" s="40">
        <f>IF(A1247="","",IFERROR(INDEX(Maniobras!$B$5:$B$504,MATCH(A1247,Maniobras!$A$5:$A$504,0)),""))</f>
        <v/>
      </c>
      <c r="C1247" s="36">
        <f>IF(B1247="","",TEXT(B1247,"yyyy-mm"))</f>
        <v/>
      </c>
      <c r="D1247" s="36">
        <f>IF(A1247="","",IFERROR(INDEX(Maniobras!$D$5:$D$504,MATCH(A1247,Maniobras!$A$5:$A$504,0)),""))</f>
        <v/>
      </c>
      <c r="E1247" s="36" t="n"/>
      <c r="F1247" s="37">
        <f>IF(A1247="","",IFERROR(INDEX(Maniobras!$K$5:$K$504,MATCH(A1247,Maniobras!$A$5:$A$504,0)),""))</f>
        <v/>
      </c>
      <c r="G1247" s="37" t="n"/>
      <c r="H1247" s="37" t="n"/>
      <c r="I1247" s="37">
        <f>IF(G1247="","",G1247+N(H1247))</f>
        <v/>
      </c>
      <c r="J1247" s="36" t="n"/>
      <c r="K1247" s="40" t="n"/>
      <c r="L1247" s="36" t="n"/>
      <c r="M1247">
        <f>IF($A1247=Ficha!$B$3,COUNTIF($A$5:$A1247,Ficha!$B$3),"")</f>
        <v/>
      </c>
    </row>
    <row r="1248">
      <c r="A1248" s="38" t="n"/>
      <c r="B1248" s="41">
        <f>IF(A1248="","",IFERROR(INDEX(Maniobras!$B$5:$B$504,MATCH(A1248,Maniobras!$A$5:$A$504,0)),""))</f>
        <v/>
      </c>
      <c r="C1248" s="38">
        <f>IF(B1248="","",TEXT(B1248,"yyyy-mm"))</f>
        <v/>
      </c>
      <c r="D1248" s="38">
        <f>IF(A1248="","",IFERROR(INDEX(Maniobras!$D$5:$D$504,MATCH(A1248,Maniobras!$A$5:$A$504,0)),""))</f>
        <v/>
      </c>
      <c r="E1248" s="38" t="n"/>
      <c r="F1248" s="39">
        <f>IF(A1248="","",IFERROR(INDEX(Maniobras!$K$5:$K$504,MATCH(A1248,Maniobras!$A$5:$A$504,0)),""))</f>
        <v/>
      </c>
      <c r="G1248" s="39" t="n"/>
      <c r="H1248" s="39" t="n"/>
      <c r="I1248" s="39">
        <f>IF(G1248="","",G1248+N(H1248))</f>
        <v/>
      </c>
      <c r="J1248" s="38" t="n"/>
      <c r="K1248" s="41" t="n"/>
      <c r="L1248" s="38" t="n"/>
      <c r="M1248">
        <f>IF($A1248=Ficha!$B$3,COUNTIF($A$5:$A1248,Ficha!$B$3),"")</f>
        <v/>
      </c>
    </row>
    <row r="1249">
      <c r="A1249" s="36" t="n"/>
      <c r="B1249" s="40">
        <f>IF(A1249="","",IFERROR(INDEX(Maniobras!$B$5:$B$504,MATCH(A1249,Maniobras!$A$5:$A$504,0)),""))</f>
        <v/>
      </c>
      <c r="C1249" s="36">
        <f>IF(B1249="","",TEXT(B1249,"yyyy-mm"))</f>
        <v/>
      </c>
      <c r="D1249" s="36">
        <f>IF(A1249="","",IFERROR(INDEX(Maniobras!$D$5:$D$504,MATCH(A1249,Maniobras!$A$5:$A$504,0)),""))</f>
        <v/>
      </c>
      <c r="E1249" s="36" t="n"/>
      <c r="F1249" s="37">
        <f>IF(A1249="","",IFERROR(INDEX(Maniobras!$K$5:$K$504,MATCH(A1249,Maniobras!$A$5:$A$504,0)),""))</f>
        <v/>
      </c>
      <c r="G1249" s="37" t="n"/>
      <c r="H1249" s="37" t="n"/>
      <c r="I1249" s="37">
        <f>IF(G1249="","",G1249+N(H1249))</f>
        <v/>
      </c>
      <c r="J1249" s="36" t="n"/>
      <c r="K1249" s="40" t="n"/>
      <c r="L1249" s="36" t="n"/>
      <c r="M1249">
        <f>IF($A1249=Ficha!$B$3,COUNTIF($A$5:$A1249,Ficha!$B$3),"")</f>
        <v/>
      </c>
    </row>
    <row r="1250">
      <c r="A1250" s="38" t="n"/>
      <c r="B1250" s="41">
        <f>IF(A1250="","",IFERROR(INDEX(Maniobras!$B$5:$B$504,MATCH(A1250,Maniobras!$A$5:$A$504,0)),""))</f>
        <v/>
      </c>
      <c r="C1250" s="38">
        <f>IF(B1250="","",TEXT(B1250,"yyyy-mm"))</f>
        <v/>
      </c>
      <c r="D1250" s="38">
        <f>IF(A1250="","",IFERROR(INDEX(Maniobras!$D$5:$D$504,MATCH(A1250,Maniobras!$A$5:$A$504,0)),""))</f>
        <v/>
      </c>
      <c r="E1250" s="38" t="n"/>
      <c r="F1250" s="39">
        <f>IF(A1250="","",IFERROR(INDEX(Maniobras!$K$5:$K$504,MATCH(A1250,Maniobras!$A$5:$A$504,0)),""))</f>
        <v/>
      </c>
      <c r="G1250" s="39" t="n"/>
      <c r="H1250" s="39" t="n"/>
      <c r="I1250" s="39">
        <f>IF(G1250="","",G1250+N(H1250))</f>
        <v/>
      </c>
      <c r="J1250" s="38" t="n"/>
      <c r="K1250" s="41" t="n"/>
      <c r="L1250" s="38" t="n"/>
      <c r="M1250">
        <f>IF($A1250=Ficha!$B$3,COUNTIF($A$5:$A1250,Ficha!$B$3),"")</f>
        <v/>
      </c>
    </row>
    <row r="1251">
      <c r="A1251" s="36" t="n"/>
      <c r="B1251" s="40">
        <f>IF(A1251="","",IFERROR(INDEX(Maniobras!$B$5:$B$504,MATCH(A1251,Maniobras!$A$5:$A$504,0)),""))</f>
        <v/>
      </c>
      <c r="C1251" s="36">
        <f>IF(B1251="","",TEXT(B1251,"yyyy-mm"))</f>
        <v/>
      </c>
      <c r="D1251" s="36">
        <f>IF(A1251="","",IFERROR(INDEX(Maniobras!$D$5:$D$504,MATCH(A1251,Maniobras!$A$5:$A$504,0)),""))</f>
        <v/>
      </c>
      <c r="E1251" s="36" t="n"/>
      <c r="F1251" s="37">
        <f>IF(A1251="","",IFERROR(INDEX(Maniobras!$K$5:$K$504,MATCH(A1251,Maniobras!$A$5:$A$504,0)),""))</f>
        <v/>
      </c>
      <c r="G1251" s="37" t="n"/>
      <c r="H1251" s="37" t="n"/>
      <c r="I1251" s="37">
        <f>IF(G1251="","",G1251+N(H1251))</f>
        <v/>
      </c>
      <c r="J1251" s="36" t="n"/>
      <c r="K1251" s="40" t="n"/>
      <c r="L1251" s="36" t="n"/>
      <c r="M1251">
        <f>IF($A1251=Ficha!$B$3,COUNTIF($A$5:$A1251,Ficha!$B$3),"")</f>
        <v/>
      </c>
    </row>
    <row r="1252">
      <c r="A1252" s="38" t="n"/>
      <c r="B1252" s="41">
        <f>IF(A1252="","",IFERROR(INDEX(Maniobras!$B$5:$B$504,MATCH(A1252,Maniobras!$A$5:$A$504,0)),""))</f>
        <v/>
      </c>
      <c r="C1252" s="38">
        <f>IF(B1252="","",TEXT(B1252,"yyyy-mm"))</f>
        <v/>
      </c>
      <c r="D1252" s="38">
        <f>IF(A1252="","",IFERROR(INDEX(Maniobras!$D$5:$D$504,MATCH(A1252,Maniobras!$A$5:$A$504,0)),""))</f>
        <v/>
      </c>
      <c r="E1252" s="38" t="n"/>
      <c r="F1252" s="39">
        <f>IF(A1252="","",IFERROR(INDEX(Maniobras!$K$5:$K$504,MATCH(A1252,Maniobras!$A$5:$A$504,0)),""))</f>
        <v/>
      </c>
      <c r="G1252" s="39" t="n"/>
      <c r="H1252" s="39" t="n"/>
      <c r="I1252" s="39">
        <f>IF(G1252="","",G1252+N(H1252))</f>
        <v/>
      </c>
      <c r="J1252" s="38" t="n"/>
      <c r="K1252" s="41" t="n"/>
      <c r="L1252" s="38" t="n"/>
      <c r="M1252">
        <f>IF($A1252=Ficha!$B$3,COUNTIF($A$5:$A1252,Ficha!$B$3),"")</f>
        <v/>
      </c>
    </row>
    <row r="1253">
      <c r="A1253" s="36" t="n"/>
      <c r="B1253" s="40">
        <f>IF(A1253="","",IFERROR(INDEX(Maniobras!$B$5:$B$504,MATCH(A1253,Maniobras!$A$5:$A$504,0)),""))</f>
        <v/>
      </c>
      <c r="C1253" s="36">
        <f>IF(B1253="","",TEXT(B1253,"yyyy-mm"))</f>
        <v/>
      </c>
      <c r="D1253" s="36">
        <f>IF(A1253="","",IFERROR(INDEX(Maniobras!$D$5:$D$504,MATCH(A1253,Maniobras!$A$5:$A$504,0)),""))</f>
        <v/>
      </c>
      <c r="E1253" s="36" t="n"/>
      <c r="F1253" s="37">
        <f>IF(A1253="","",IFERROR(INDEX(Maniobras!$K$5:$K$504,MATCH(A1253,Maniobras!$A$5:$A$504,0)),""))</f>
        <v/>
      </c>
      <c r="G1253" s="37" t="n"/>
      <c r="H1253" s="37" t="n"/>
      <c r="I1253" s="37">
        <f>IF(G1253="","",G1253+N(H1253))</f>
        <v/>
      </c>
      <c r="J1253" s="36" t="n"/>
      <c r="K1253" s="40" t="n"/>
      <c r="L1253" s="36" t="n"/>
      <c r="M1253">
        <f>IF($A1253=Ficha!$B$3,COUNTIF($A$5:$A1253,Ficha!$B$3),"")</f>
        <v/>
      </c>
    </row>
    <row r="1254">
      <c r="A1254" s="38" t="n"/>
      <c r="B1254" s="41">
        <f>IF(A1254="","",IFERROR(INDEX(Maniobras!$B$5:$B$504,MATCH(A1254,Maniobras!$A$5:$A$504,0)),""))</f>
        <v/>
      </c>
      <c r="C1254" s="38">
        <f>IF(B1254="","",TEXT(B1254,"yyyy-mm"))</f>
        <v/>
      </c>
      <c r="D1254" s="38">
        <f>IF(A1254="","",IFERROR(INDEX(Maniobras!$D$5:$D$504,MATCH(A1254,Maniobras!$A$5:$A$504,0)),""))</f>
        <v/>
      </c>
      <c r="E1254" s="38" t="n"/>
      <c r="F1254" s="39">
        <f>IF(A1254="","",IFERROR(INDEX(Maniobras!$K$5:$K$504,MATCH(A1254,Maniobras!$A$5:$A$504,0)),""))</f>
        <v/>
      </c>
      <c r="G1254" s="39" t="n"/>
      <c r="H1254" s="39" t="n"/>
      <c r="I1254" s="39">
        <f>IF(G1254="","",G1254+N(H1254))</f>
        <v/>
      </c>
      <c r="J1254" s="38" t="n"/>
      <c r="K1254" s="41" t="n"/>
      <c r="L1254" s="38" t="n"/>
      <c r="M1254">
        <f>IF($A1254=Ficha!$B$3,COUNTIF($A$5:$A1254,Ficha!$B$3),"")</f>
        <v/>
      </c>
    </row>
    <row r="1255">
      <c r="A1255" s="36" t="n"/>
      <c r="B1255" s="40">
        <f>IF(A1255="","",IFERROR(INDEX(Maniobras!$B$5:$B$504,MATCH(A1255,Maniobras!$A$5:$A$504,0)),""))</f>
        <v/>
      </c>
      <c r="C1255" s="36">
        <f>IF(B1255="","",TEXT(B1255,"yyyy-mm"))</f>
        <v/>
      </c>
      <c r="D1255" s="36">
        <f>IF(A1255="","",IFERROR(INDEX(Maniobras!$D$5:$D$504,MATCH(A1255,Maniobras!$A$5:$A$504,0)),""))</f>
        <v/>
      </c>
      <c r="E1255" s="36" t="n"/>
      <c r="F1255" s="37">
        <f>IF(A1255="","",IFERROR(INDEX(Maniobras!$K$5:$K$504,MATCH(A1255,Maniobras!$A$5:$A$504,0)),""))</f>
        <v/>
      </c>
      <c r="G1255" s="37" t="n"/>
      <c r="H1255" s="37" t="n"/>
      <c r="I1255" s="37">
        <f>IF(G1255="","",G1255+N(H1255))</f>
        <v/>
      </c>
      <c r="J1255" s="36" t="n"/>
      <c r="K1255" s="40" t="n"/>
      <c r="L1255" s="36" t="n"/>
      <c r="M1255">
        <f>IF($A1255=Ficha!$B$3,COUNTIF($A$5:$A1255,Ficha!$B$3),"")</f>
        <v/>
      </c>
    </row>
    <row r="1256">
      <c r="A1256" s="38" t="n"/>
      <c r="B1256" s="41">
        <f>IF(A1256="","",IFERROR(INDEX(Maniobras!$B$5:$B$504,MATCH(A1256,Maniobras!$A$5:$A$504,0)),""))</f>
        <v/>
      </c>
      <c r="C1256" s="38">
        <f>IF(B1256="","",TEXT(B1256,"yyyy-mm"))</f>
        <v/>
      </c>
      <c r="D1256" s="38">
        <f>IF(A1256="","",IFERROR(INDEX(Maniobras!$D$5:$D$504,MATCH(A1256,Maniobras!$A$5:$A$504,0)),""))</f>
        <v/>
      </c>
      <c r="E1256" s="38" t="n"/>
      <c r="F1256" s="39">
        <f>IF(A1256="","",IFERROR(INDEX(Maniobras!$K$5:$K$504,MATCH(A1256,Maniobras!$A$5:$A$504,0)),""))</f>
        <v/>
      </c>
      <c r="G1256" s="39" t="n"/>
      <c r="H1256" s="39" t="n"/>
      <c r="I1256" s="39">
        <f>IF(G1256="","",G1256+N(H1256))</f>
        <v/>
      </c>
      <c r="J1256" s="38" t="n"/>
      <c r="K1256" s="41" t="n"/>
      <c r="L1256" s="38" t="n"/>
      <c r="M1256">
        <f>IF($A1256=Ficha!$B$3,COUNTIF($A$5:$A1256,Ficha!$B$3),"")</f>
        <v/>
      </c>
    </row>
    <row r="1257">
      <c r="A1257" s="36" t="n"/>
      <c r="B1257" s="40">
        <f>IF(A1257="","",IFERROR(INDEX(Maniobras!$B$5:$B$504,MATCH(A1257,Maniobras!$A$5:$A$504,0)),""))</f>
        <v/>
      </c>
      <c r="C1257" s="36">
        <f>IF(B1257="","",TEXT(B1257,"yyyy-mm"))</f>
        <v/>
      </c>
      <c r="D1257" s="36">
        <f>IF(A1257="","",IFERROR(INDEX(Maniobras!$D$5:$D$504,MATCH(A1257,Maniobras!$A$5:$A$504,0)),""))</f>
        <v/>
      </c>
      <c r="E1257" s="36" t="n"/>
      <c r="F1257" s="37">
        <f>IF(A1257="","",IFERROR(INDEX(Maniobras!$K$5:$K$504,MATCH(A1257,Maniobras!$A$5:$A$504,0)),""))</f>
        <v/>
      </c>
      <c r="G1257" s="37" t="n"/>
      <c r="H1257" s="37" t="n"/>
      <c r="I1257" s="37">
        <f>IF(G1257="","",G1257+N(H1257))</f>
        <v/>
      </c>
      <c r="J1257" s="36" t="n"/>
      <c r="K1257" s="40" t="n"/>
      <c r="L1257" s="36" t="n"/>
      <c r="M1257">
        <f>IF($A1257=Ficha!$B$3,COUNTIF($A$5:$A1257,Ficha!$B$3),"")</f>
        <v/>
      </c>
    </row>
    <row r="1258">
      <c r="A1258" s="38" t="n"/>
      <c r="B1258" s="41">
        <f>IF(A1258="","",IFERROR(INDEX(Maniobras!$B$5:$B$504,MATCH(A1258,Maniobras!$A$5:$A$504,0)),""))</f>
        <v/>
      </c>
      <c r="C1258" s="38">
        <f>IF(B1258="","",TEXT(B1258,"yyyy-mm"))</f>
        <v/>
      </c>
      <c r="D1258" s="38">
        <f>IF(A1258="","",IFERROR(INDEX(Maniobras!$D$5:$D$504,MATCH(A1258,Maniobras!$A$5:$A$504,0)),""))</f>
        <v/>
      </c>
      <c r="E1258" s="38" t="n"/>
      <c r="F1258" s="39">
        <f>IF(A1258="","",IFERROR(INDEX(Maniobras!$K$5:$K$504,MATCH(A1258,Maniobras!$A$5:$A$504,0)),""))</f>
        <v/>
      </c>
      <c r="G1258" s="39" t="n"/>
      <c r="H1258" s="39" t="n"/>
      <c r="I1258" s="39">
        <f>IF(G1258="","",G1258+N(H1258))</f>
        <v/>
      </c>
      <c r="J1258" s="38" t="n"/>
      <c r="K1258" s="41" t="n"/>
      <c r="L1258" s="38" t="n"/>
      <c r="M1258">
        <f>IF($A1258=Ficha!$B$3,COUNTIF($A$5:$A1258,Ficha!$B$3),"")</f>
        <v/>
      </c>
    </row>
    <row r="1259">
      <c r="A1259" s="36" t="n"/>
      <c r="B1259" s="40">
        <f>IF(A1259="","",IFERROR(INDEX(Maniobras!$B$5:$B$504,MATCH(A1259,Maniobras!$A$5:$A$504,0)),""))</f>
        <v/>
      </c>
      <c r="C1259" s="36">
        <f>IF(B1259="","",TEXT(B1259,"yyyy-mm"))</f>
        <v/>
      </c>
      <c r="D1259" s="36">
        <f>IF(A1259="","",IFERROR(INDEX(Maniobras!$D$5:$D$504,MATCH(A1259,Maniobras!$A$5:$A$504,0)),""))</f>
        <v/>
      </c>
      <c r="E1259" s="36" t="n"/>
      <c r="F1259" s="37">
        <f>IF(A1259="","",IFERROR(INDEX(Maniobras!$K$5:$K$504,MATCH(A1259,Maniobras!$A$5:$A$504,0)),""))</f>
        <v/>
      </c>
      <c r="G1259" s="37" t="n"/>
      <c r="H1259" s="37" t="n"/>
      <c r="I1259" s="37">
        <f>IF(G1259="","",G1259+N(H1259))</f>
        <v/>
      </c>
      <c r="J1259" s="36" t="n"/>
      <c r="K1259" s="40" t="n"/>
      <c r="L1259" s="36" t="n"/>
      <c r="M1259">
        <f>IF($A1259=Ficha!$B$3,COUNTIF($A$5:$A1259,Ficha!$B$3),"")</f>
        <v/>
      </c>
    </row>
    <row r="1260">
      <c r="A1260" s="38" t="n"/>
      <c r="B1260" s="41">
        <f>IF(A1260="","",IFERROR(INDEX(Maniobras!$B$5:$B$504,MATCH(A1260,Maniobras!$A$5:$A$504,0)),""))</f>
        <v/>
      </c>
      <c r="C1260" s="38">
        <f>IF(B1260="","",TEXT(B1260,"yyyy-mm"))</f>
        <v/>
      </c>
      <c r="D1260" s="38">
        <f>IF(A1260="","",IFERROR(INDEX(Maniobras!$D$5:$D$504,MATCH(A1260,Maniobras!$A$5:$A$504,0)),""))</f>
        <v/>
      </c>
      <c r="E1260" s="38" t="n"/>
      <c r="F1260" s="39">
        <f>IF(A1260="","",IFERROR(INDEX(Maniobras!$K$5:$K$504,MATCH(A1260,Maniobras!$A$5:$A$504,0)),""))</f>
        <v/>
      </c>
      <c r="G1260" s="39" t="n"/>
      <c r="H1260" s="39" t="n"/>
      <c r="I1260" s="39">
        <f>IF(G1260="","",G1260+N(H1260))</f>
        <v/>
      </c>
      <c r="J1260" s="38" t="n"/>
      <c r="K1260" s="41" t="n"/>
      <c r="L1260" s="38" t="n"/>
      <c r="M1260">
        <f>IF($A1260=Ficha!$B$3,COUNTIF($A$5:$A1260,Ficha!$B$3),"")</f>
        <v/>
      </c>
    </row>
    <row r="1261">
      <c r="A1261" s="36" t="n"/>
      <c r="B1261" s="40">
        <f>IF(A1261="","",IFERROR(INDEX(Maniobras!$B$5:$B$504,MATCH(A1261,Maniobras!$A$5:$A$504,0)),""))</f>
        <v/>
      </c>
      <c r="C1261" s="36">
        <f>IF(B1261="","",TEXT(B1261,"yyyy-mm"))</f>
        <v/>
      </c>
      <c r="D1261" s="36">
        <f>IF(A1261="","",IFERROR(INDEX(Maniobras!$D$5:$D$504,MATCH(A1261,Maniobras!$A$5:$A$504,0)),""))</f>
        <v/>
      </c>
      <c r="E1261" s="36" t="n"/>
      <c r="F1261" s="37">
        <f>IF(A1261="","",IFERROR(INDEX(Maniobras!$K$5:$K$504,MATCH(A1261,Maniobras!$A$5:$A$504,0)),""))</f>
        <v/>
      </c>
      <c r="G1261" s="37" t="n"/>
      <c r="H1261" s="37" t="n"/>
      <c r="I1261" s="37">
        <f>IF(G1261="","",G1261+N(H1261))</f>
        <v/>
      </c>
      <c r="J1261" s="36" t="n"/>
      <c r="K1261" s="40" t="n"/>
      <c r="L1261" s="36" t="n"/>
      <c r="M1261">
        <f>IF($A1261=Ficha!$B$3,COUNTIF($A$5:$A1261,Ficha!$B$3),"")</f>
        <v/>
      </c>
    </row>
    <row r="1262">
      <c r="A1262" s="38" t="n"/>
      <c r="B1262" s="41">
        <f>IF(A1262="","",IFERROR(INDEX(Maniobras!$B$5:$B$504,MATCH(A1262,Maniobras!$A$5:$A$504,0)),""))</f>
        <v/>
      </c>
      <c r="C1262" s="38">
        <f>IF(B1262="","",TEXT(B1262,"yyyy-mm"))</f>
        <v/>
      </c>
      <c r="D1262" s="38">
        <f>IF(A1262="","",IFERROR(INDEX(Maniobras!$D$5:$D$504,MATCH(A1262,Maniobras!$A$5:$A$504,0)),""))</f>
        <v/>
      </c>
      <c r="E1262" s="38" t="n"/>
      <c r="F1262" s="39">
        <f>IF(A1262="","",IFERROR(INDEX(Maniobras!$K$5:$K$504,MATCH(A1262,Maniobras!$A$5:$A$504,0)),""))</f>
        <v/>
      </c>
      <c r="G1262" s="39" t="n"/>
      <c r="H1262" s="39" t="n"/>
      <c r="I1262" s="39">
        <f>IF(G1262="","",G1262+N(H1262))</f>
        <v/>
      </c>
      <c r="J1262" s="38" t="n"/>
      <c r="K1262" s="41" t="n"/>
      <c r="L1262" s="38" t="n"/>
      <c r="M1262">
        <f>IF($A1262=Ficha!$B$3,COUNTIF($A$5:$A1262,Ficha!$B$3),"")</f>
        <v/>
      </c>
    </row>
    <row r="1263">
      <c r="A1263" s="36" t="n"/>
      <c r="B1263" s="40">
        <f>IF(A1263="","",IFERROR(INDEX(Maniobras!$B$5:$B$504,MATCH(A1263,Maniobras!$A$5:$A$504,0)),""))</f>
        <v/>
      </c>
      <c r="C1263" s="36">
        <f>IF(B1263="","",TEXT(B1263,"yyyy-mm"))</f>
        <v/>
      </c>
      <c r="D1263" s="36">
        <f>IF(A1263="","",IFERROR(INDEX(Maniobras!$D$5:$D$504,MATCH(A1263,Maniobras!$A$5:$A$504,0)),""))</f>
        <v/>
      </c>
      <c r="E1263" s="36" t="n"/>
      <c r="F1263" s="37">
        <f>IF(A1263="","",IFERROR(INDEX(Maniobras!$K$5:$K$504,MATCH(A1263,Maniobras!$A$5:$A$504,0)),""))</f>
        <v/>
      </c>
      <c r="G1263" s="37" t="n"/>
      <c r="H1263" s="37" t="n"/>
      <c r="I1263" s="37">
        <f>IF(G1263="","",G1263+N(H1263))</f>
        <v/>
      </c>
      <c r="J1263" s="36" t="n"/>
      <c r="K1263" s="40" t="n"/>
      <c r="L1263" s="36" t="n"/>
      <c r="M1263">
        <f>IF($A1263=Ficha!$B$3,COUNTIF($A$5:$A1263,Ficha!$B$3),"")</f>
        <v/>
      </c>
    </row>
    <row r="1264">
      <c r="A1264" s="38" t="n"/>
      <c r="B1264" s="41">
        <f>IF(A1264="","",IFERROR(INDEX(Maniobras!$B$5:$B$504,MATCH(A1264,Maniobras!$A$5:$A$504,0)),""))</f>
        <v/>
      </c>
      <c r="C1264" s="38">
        <f>IF(B1264="","",TEXT(B1264,"yyyy-mm"))</f>
        <v/>
      </c>
      <c r="D1264" s="38">
        <f>IF(A1264="","",IFERROR(INDEX(Maniobras!$D$5:$D$504,MATCH(A1264,Maniobras!$A$5:$A$504,0)),""))</f>
        <v/>
      </c>
      <c r="E1264" s="38" t="n"/>
      <c r="F1264" s="39">
        <f>IF(A1264="","",IFERROR(INDEX(Maniobras!$K$5:$K$504,MATCH(A1264,Maniobras!$A$5:$A$504,0)),""))</f>
        <v/>
      </c>
      <c r="G1264" s="39" t="n"/>
      <c r="H1264" s="39" t="n"/>
      <c r="I1264" s="39">
        <f>IF(G1264="","",G1264+N(H1264))</f>
        <v/>
      </c>
      <c r="J1264" s="38" t="n"/>
      <c r="K1264" s="41" t="n"/>
      <c r="L1264" s="38" t="n"/>
      <c r="M1264">
        <f>IF($A1264=Ficha!$B$3,COUNTIF($A$5:$A1264,Ficha!$B$3),"")</f>
        <v/>
      </c>
    </row>
    <row r="1265">
      <c r="A1265" s="36" t="n"/>
      <c r="B1265" s="40">
        <f>IF(A1265="","",IFERROR(INDEX(Maniobras!$B$5:$B$504,MATCH(A1265,Maniobras!$A$5:$A$504,0)),""))</f>
        <v/>
      </c>
      <c r="C1265" s="36">
        <f>IF(B1265="","",TEXT(B1265,"yyyy-mm"))</f>
        <v/>
      </c>
      <c r="D1265" s="36">
        <f>IF(A1265="","",IFERROR(INDEX(Maniobras!$D$5:$D$504,MATCH(A1265,Maniobras!$A$5:$A$504,0)),""))</f>
        <v/>
      </c>
      <c r="E1265" s="36" t="n"/>
      <c r="F1265" s="37">
        <f>IF(A1265="","",IFERROR(INDEX(Maniobras!$K$5:$K$504,MATCH(A1265,Maniobras!$A$5:$A$504,0)),""))</f>
        <v/>
      </c>
      <c r="G1265" s="37" t="n"/>
      <c r="H1265" s="37" t="n"/>
      <c r="I1265" s="37">
        <f>IF(G1265="","",G1265+N(H1265))</f>
        <v/>
      </c>
      <c r="J1265" s="36" t="n"/>
      <c r="K1265" s="40" t="n"/>
      <c r="L1265" s="36" t="n"/>
      <c r="M1265">
        <f>IF($A1265=Ficha!$B$3,COUNTIF($A$5:$A1265,Ficha!$B$3),"")</f>
        <v/>
      </c>
    </row>
    <row r="1266">
      <c r="A1266" s="38" t="n"/>
      <c r="B1266" s="41">
        <f>IF(A1266="","",IFERROR(INDEX(Maniobras!$B$5:$B$504,MATCH(A1266,Maniobras!$A$5:$A$504,0)),""))</f>
        <v/>
      </c>
      <c r="C1266" s="38">
        <f>IF(B1266="","",TEXT(B1266,"yyyy-mm"))</f>
        <v/>
      </c>
      <c r="D1266" s="38">
        <f>IF(A1266="","",IFERROR(INDEX(Maniobras!$D$5:$D$504,MATCH(A1266,Maniobras!$A$5:$A$504,0)),""))</f>
        <v/>
      </c>
      <c r="E1266" s="38" t="n"/>
      <c r="F1266" s="39">
        <f>IF(A1266="","",IFERROR(INDEX(Maniobras!$K$5:$K$504,MATCH(A1266,Maniobras!$A$5:$A$504,0)),""))</f>
        <v/>
      </c>
      <c r="G1266" s="39" t="n"/>
      <c r="H1266" s="39" t="n"/>
      <c r="I1266" s="39">
        <f>IF(G1266="","",G1266+N(H1266))</f>
        <v/>
      </c>
      <c r="J1266" s="38" t="n"/>
      <c r="K1266" s="41" t="n"/>
      <c r="L1266" s="38" t="n"/>
      <c r="M1266">
        <f>IF($A1266=Ficha!$B$3,COUNTIF($A$5:$A1266,Ficha!$B$3),"")</f>
        <v/>
      </c>
    </row>
    <row r="1267">
      <c r="A1267" s="36" t="n"/>
      <c r="B1267" s="40">
        <f>IF(A1267="","",IFERROR(INDEX(Maniobras!$B$5:$B$504,MATCH(A1267,Maniobras!$A$5:$A$504,0)),""))</f>
        <v/>
      </c>
      <c r="C1267" s="36">
        <f>IF(B1267="","",TEXT(B1267,"yyyy-mm"))</f>
        <v/>
      </c>
      <c r="D1267" s="36">
        <f>IF(A1267="","",IFERROR(INDEX(Maniobras!$D$5:$D$504,MATCH(A1267,Maniobras!$A$5:$A$504,0)),""))</f>
        <v/>
      </c>
      <c r="E1267" s="36" t="n"/>
      <c r="F1267" s="37">
        <f>IF(A1267="","",IFERROR(INDEX(Maniobras!$K$5:$K$504,MATCH(A1267,Maniobras!$A$5:$A$504,0)),""))</f>
        <v/>
      </c>
      <c r="G1267" s="37" t="n"/>
      <c r="H1267" s="37" t="n"/>
      <c r="I1267" s="37">
        <f>IF(G1267="","",G1267+N(H1267))</f>
        <v/>
      </c>
      <c r="J1267" s="36" t="n"/>
      <c r="K1267" s="40" t="n"/>
      <c r="L1267" s="36" t="n"/>
      <c r="M1267">
        <f>IF($A1267=Ficha!$B$3,COUNTIF($A$5:$A1267,Ficha!$B$3),"")</f>
        <v/>
      </c>
    </row>
    <row r="1268">
      <c r="A1268" s="38" t="n"/>
      <c r="B1268" s="41">
        <f>IF(A1268="","",IFERROR(INDEX(Maniobras!$B$5:$B$504,MATCH(A1268,Maniobras!$A$5:$A$504,0)),""))</f>
        <v/>
      </c>
      <c r="C1268" s="38">
        <f>IF(B1268="","",TEXT(B1268,"yyyy-mm"))</f>
        <v/>
      </c>
      <c r="D1268" s="38">
        <f>IF(A1268="","",IFERROR(INDEX(Maniobras!$D$5:$D$504,MATCH(A1268,Maniobras!$A$5:$A$504,0)),""))</f>
        <v/>
      </c>
      <c r="E1268" s="38" t="n"/>
      <c r="F1268" s="39">
        <f>IF(A1268="","",IFERROR(INDEX(Maniobras!$K$5:$K$504,MATCH(A1268,Maniobras!$A$5:$A$504,0)),""))</f>
        <v/>
      </c>
      <c r="G1268" s="39" t="n"/>
      <c r="H1268" s="39" t="n"/>
      <c r="I1268" s="39">
        <f>IF(G1268="","",G1268+N(H1268))</f>
        <v/>
      </c>
      <c r="J1268" s="38" t="n"/>
      <c r="K1268" s="41" t="n"/>
      <c r="L1268" s="38" t="n"/>
      <c r="M1268">
        <f>IF($A1268=Ficha!$B$3,COUNTIF($A$5:$A1268,Ficha!$B$3),"")</f>
        <v/>
      </c>
    </row>
    <row r="1269">
      <c r="A1269" s="36" t="n"/>
      <c r="B1269" s="40">
        <f>IF(A1269="","",IFERROR(INDEX(Maniobras!$B$5:$B$504,MATCH(A1269,Maniobras!$A$5:$A$504,0)),""))</f>
        <v/>
      </c>
      <c r="C1269" s="36">
        <f>IF(B1269="","",TEXT(B1269,"yyyy-mm"))</f>
        <v/>
      </c>
      <c r="D1269" s="36">
        <f>IF(A1269="","",IFERROR(INDEX(Maniobras!$D$5:$D$504,MATCH(A1269,Maniobras!$A$5:$A$504,0)),""))</f>
        <v/>
      </c>
      <c r="E1269" s="36" t="n"/>
      <c r="F1269" s="37">
        <f>IF(A1269="","",IFERROR(INDEX(Maniobras!$K$5:$K$504,MATCH(A1269,Maniobras!$A$5:$A$504,0)),""))</f>
        <v/>
      </c>
      <c r="G1269" s="37" t="n"/>
      <c r="H1269" s="37" t="n"/>
      <c r="I1269" s="37">
        <f>IF(G1269="","",G1269+N(H1269))</f>
        <v/>
      </c>
      <c r="J1269" s="36" t="n"/>
      <c r="K1269" s="40" t="n"/>
      <c r="L1269" s="36" t="n"/>
      <c r="M1269">
        <f>IF($A1269=Ficha!$B$3,COUNTIF($A$5:$A1269,Ficha!$B$3),"")</f>
        <v/>
      </c>
    </row>
    <row r="1270">
      <c r="A1270" s="38" t="n"/>
      <c r="B1270" s="41">
        <f>IF(A1270="","",IFERROR(INDEX(Maniobras!$B$5:$B$504,MATCH(A1270,Maniobras!$A$5:$A$504,0)),""))</f>
        <v/>
      </c>
      <c r="C1270" s="38">
        <f>IF(B1270="","",TEXT(B1270,"yyyy-mm"))</f>
        <v/>
      </c>
      <c r="D1270" s="38">
        <f>IF(A1270="","",IFERROR(INDEX(Maniobras!$D$5:$D$504,MATCH(A1270,Maniobras!$A$5:$A$504,0)),""))</f>
        <v/>
      </c>
      <c r="E1270" s="38" t="n"/>
      <c r="F1270" s="39">
        <f>IF(A1270="","",IFERROR(INDEX(Maniobras!$K$5:$K$504,MATCH(A1270,Maniobras!$A$5:$A$504,0)),""))</f>
        <v/>
      </c>
      <c r="G1270" s="39" t="n"/>
      <c r="H1270" s="39" t="n"/>
      <c r="I1270" s="39">
        <f>IF(G1270="","",G1270+N(H1270))</f>
        <v/>
      </c>
      <c r="J1270" s="38" t="n"/>
      <c r="K1270" s="41" t="n"/>
      <c r="L1270" s="38" t="n"/>
      <c r="M1270">
        <f>IF($A1270=Ficha!$B$3,COUNTIF($A$5:$A1270,Ficha!$B$3),"")</f>
        <v/>
      </c>
    </row>
    <row r="1271">
      <c r="A1271" s="36" t="n"/>
      <c r="B1271" s="40">
        <f>IF(A1271="","",IFERROR(INDEX(Maniobras!$B$5:$B$504,MATCH(A1271,Maniobras!$A$5:$A$504,0)),""))</f>
        <v/>
      </c>
      <c r="C1271" s="36">
        <f>IF(B1271="","",TEXT(B1271,"yyyy-mm"))</f>
        <v/>
      </c>
      <c r="D1271" s="36">
        <f>IF(A1271="","",IFERROR(INDEX(Maniobras!$D$5:$D$504,MATCH(A1271,Maniobras!$A$5:$A$504,0)),""))</f>
        <v/>
      </c>
      <c r="E1271" s="36" t="n"/>
      <c r="F1271" s="37">
        <f>IF(A1271="","",IFERROR(INDEX(Maniobras!$K$5:$K$504,MATCH(A1271,Maniobras!$A$5:$A$504,0)),""))</f>
        <v/>
      </c>
      <c r="G1271" s="37" t="n"/>
      <c r="H1271" s="37" t="n"/>
      <c r="I1271" s="37">
        <f>IF(G1271="","",G1271+N(H1271))</f>
        <v/>
      </c>
      <c r="J1271" s="36" t="n"/>
      <c r="K1271" s="40" t="n"/>
      <c r="L1271" s="36" t="n"/>
      <c r="M1271">
        <f>IF($A1271=Ficha!$B$3,COUNTIF($A$5:$A1271,Ficha!$B$3),"")</f>
        <v/>
      </c>
    </row>
    <row r="1272">
      <c r="A1272" s="38" t="n"/>
      <c r="B1272" s="41">
        <f>IF(A1272="","",IFERROR(INDEX(Maniobras!$B$5:$B$504,MATCH(A1272,Maniobras!$A$5:$A$504,0)),""))</f>
        <v/>
      </c>
      <c r="C1272" s="38">
        <f>IF(B1272="","",TEXT(B1272,"yyyy-mm"))</f>
        <v/>
      </c>
      <c r="D1272" s="38">
        <f>IF(A1272="","",IFERROR(INDEX(Maniobras!$D$5:$D$504,MATCH(A1272,Maniobras!$A$5:$A$504,0)),""))</f>
        <v/>
      </c>
      <c r="E1272" s="38" t="n"/>
      <c r="F1272" s="39">
        <f>IF(A1272="","",IFERROR(INDEX(Maniobras!$K$5:$K$504,MATCH(A1272,Maniobras!$A$5:$A$504,0)),""))</f>
        <v/>
      </c>
      <c r="G1272" s="39" t="n"/>
      <c r="H1272" s="39" t="n"/>
      <c r="I1272" s="39">
        <f>IF(G1272="","",G1272+N(H1272))</f>
        <v/>
      </c>
      <c r="J1272" s="38" t="n"/>
      <c r="K1272" s="41" t="n"/>
      <c r="L1272" s="38" t="n"/>
      <c r="M1272">
        <f>IF($A1272=Ficha!$B$3,COUNTIF($A$5:$A1272,Ficha!$B$3),"")</f>
        <v/>
      </c>
    </row>
    <row r="1273">
      <c r="A1273" s="36" t="n"/>
      <c r="B1273" s="40">
        <f>IF(A1273="","",IFERROR(INDEX(Maniobras!$B$5:$B$504,MATCH(A1273,Maniobras!$A$5:$A$504,0)),""))</f>
        <v/>
      </c>
      <c r="C1273" s="36">
        <f>IF(B1273="","",TEXT(B1273,"yyyy-mm"))</f>
        <v/>
      </c>
      <c r="D1273" s="36">
        <f>IF(A1273="","",IFERROR(INDEX(Maniobras!$D$5:$D$504,MATCH(A1273,Maniobras!$A$5:$A$504,0)),""))</f>
        <v/>
      </c>
      <c r="E1273" s="36" t="n"/>
      <c r="F1273" s="37">
        <f>IF(A1273="","",IFERROR(INDEX(Maniobras!$K$5:$K$504,MATCH(A1273,Maniobras!$A$5:$A$504,0)),""))</f>
        <v/>
      </c>
      <c r="G1273" s="37" t="n"/>
      <c r="H1273" s="37" t="n"/>
      <c r="I1273" s="37">
        <f>IF(G1273="","",G1273+N(H1273))</f>
        <v/>
      </c>
      <c r="J1273" s="36" t="n"/>
      <c r="K1273" s="40" t="n"/>
      <c r="L1273" s="36" t="n"/>
      <c r="M1273">
        <f>IF($A1273=Ficha!$B$3,COUNTIF($A$5:$A1273,Ficha!$B$3),"")</f>
        <v/>
      </c>
    </row>
    <row r="1274">
      <c r="A1274" s="38" t="n"/>
      <c r="B1274" s="41">
        <f>IF(A1274="","",IFERROR(INDEX(Maniobras!$B$5:$B$504,MATCH(A1274,Maniobras!$A$5:$A$504,0)),""))</f>
        <v/>
      </c>
      <c r="C1274" s="38">
        <f>IF(B1274="","",TEXT(B1274,"yyyy-mm"))</f>
        <v/>
      </c>
      <c r="D1274" s="38">
        <f>IF(A1274="","",IFERROR(INDEX(Maniobras!$D$5:$D$504,MATCH(A1274,Maniobras!$A$5:$A$504,0)),""))</f>
        <v/>
      </c>
      <c r="E1274" s="38" t="n"/>
      <c r="F1274" s="39">
        <f>IF(A1274="","",IFERROR(INDEX(Maniobras!$K$5:$K$504,MATCH(A1274,Maniobras!$A$5:$A$504,0)),""))</f>
        <v/>
      </c>
      <c r="G1274" s="39" t="n"/>
      <c r="H1274" s="39" t="n"/>
      <c r="I1274" s="39">
        <f>IF(G1274="","",G1274+N(H1274))</f>
        <v/>
      </c>
      <c r="J1274" s="38" t="n"/>
      <c r="K1274" s="41" t="n"/>
      <c r="L1274" s="38" t="n"/>
      <c r="M1274">
        <f>IF($A1274=Ficha!$B$3,COUNTIF($A$5:$A1274,Ficha!$B$3),"")</f>
        <v/>
      </c>
    </row>
    <row r="1275">
      <c r="A1275" s="36" t="n"/>
      <c r="B1275" s="40">
        <f>IF(A1275="","",IFERROR(INDEX(Maniobras!$B$5:$B$504,MATCH(A1275,Maniobras!$A$5:$A$504,0)),""))</f>
        <v/>
      </c>
      <c r="C1275" s="36">
        <f>IF(B1275="","",TEXT(B1275,"yyyy-mm"))</f>
        <v/>
      </c>
      <c r="D1275" s="36">
        <f>IF(A1275="","",IFERROR(INDEX(Maniobras!$D$5:$D$504,MATCH(A1275,Maniobras!$A$5:$A$504,0)),""))</f>
        <v/>
      </c>
      <c r="E1275" s="36" t="n"/>
      <c r="F1275" s="37">
        <f>IF(A1275="","",IFERROR(INDEX(Maniobras!$K$5:$K$504,MATCH(A1275,Maniobras!$A$5:$A$504,0)),""))</f>
        <v/>
      </c>
      <c r="G1275" s="37" t="n"/>
      <c r="H1275" s="37" t="n"/>
      <c r="I1275" s="37">
        <f>IF(G1275="","",G1275+N(H1275))</f>
        <v/>
      </c>
      <c r="J1275" s="36" t="n"/>
      <c r="K1275" s="40" t="n"/>
      <c r="L1275" s="36" t="n"/>
      <c r="M1275">
        <f>IF($A1275=Ficha!$B$3,COUNTIF($A$5:$A1275,Ficha!$B$3),"")</f>
        <v/>
      </c>
    </row>
    <row r="1276">
      <c r="A1276" s="38" t="n"/>
      <c r="B1276" s="41">
        <f>IF(A1276="","",IFERROR(INDEX(Maniobras!$B$5:$B$504,MATCH(A1276,Maniobras!$A$5:$A$504,0)),""))</f>
        <v/>
      </c>
      <c r="C1276" s="38">
        <f>IF(B1276="","",TEXT(B1276,"yyyy-mm"))</f>
        <v/>
      </c>
      <c r="D1276" s="38">
        <f>IF(A1276="","",IFERROR(INDEX(Maniobras!$D$5:$D$504,MATCH(A1276,Maniobras!$A$5:$A$504,0)),""))</f>
        <v/>
      </c>
      <c r="E1276" s="38" t="n"/>
      <c r="F1276" s="39">
        <f>IF(A1276="","",IFERROR(INDEX(Maniobras!$K$5:$K$504,MATCH(A1276,Maniobras!$A$5:$A$504,0)),""))</f>
        <v/>
      </c>
      <c r="G1276" s="39" t="n"/>
      <c r="H1276" s="39" t="n"/>
      <c r="I1276" s="39">
        <f>IF(G1276="","",G1276+N(H1276))</f>
        <v/>
      </c>
      <c r="J1276" s="38" t="n"/>
      <c r="K1276" s="41" t="n"/>
      <c r="L1276" s="38" t="n"/>
      <c r="M1276">
        <f>IF($A1276=Ficha!$B$3,COUNTIF($A$5:$A1276,Ficha!$B$3),"")</f>
        <v/>
      </c>
    </row>
    <row r="1277">
      <c r="A1277" s="36" t="n"/>
      <c r="B1277" s="40">
        <f>IF(A1277="","",IFERROR(INDEX(Maniobras!$B$5:$B$504,MATCH(A1277,Maniobras!$A$5:$A$504,0)),""))</f>
        <v/>
      </c>
      <c r="C1277" s="36">
        <f>IF(B1277="","",TEXT(B1277,"yyyy-mm"))</f>
        <v/>
      </c>
      <c r="D1277" s="36">
        <f>IF(A1277="","",IFERROR(INDEX(Maniobras!$D$5:$D$504,MATCH(A1277,Maniobras!$A$5:$A$504,0)),""))</f>
        <v/>
      </c>
      <c r="E1277" s="36" t="n"/>
      <c r="F1277" s="37">
        <f>IF(A1277="","",IFERROR(INDEX(Maniobras!$K$5:$K$504,MATCH(A1277,Maniobras!$A$5:$A$504,0)),""))</f>
        <v/>
      </c>
      <c r="G1277" s="37" t="n"/>
      <c r="H1277" s="37" t="n"/>
      <c r="I1277" s="37">
        <f>IF(G1277="","",G1277+N(H1277))</f>
        <v/>
      </c>
      <c r="J1277" s="36" t="n"/>
      <c r="K1277" s="40" t="n"/>
      <c r="L1277" s="36" t="n"/>
      <c r="M1277">
        <f>IF($A1277=Ficha!$B$3,COUNTIF($A$5:$A1277,Ficha!$B$3),"")</f>
        <v/>
      </c>
    </row>
    <row r="1278">
      <c r="A1278" s="38" t="n"/>
      <c r="B1278" s="41">
        <f>IF(A1278="","",IFERROR(INDEX(Maniobras!$B$5:$B$504,MATCH(A1278,Maniobras!$A$5:$A$504,0)),""))</f>
        <v/>
      </c>
      <c r="C1278" s="38">
        <f>IF(B1278="","",TEXT(B1278,"yyyy-mm"))</f>
        <v/>
      </c>
      <c r="D1278" s="38">
        <f>IF(A1278="","",IFERROR(INDEX(Maniobras!$D$5:$D$504,MATCH(A1278,Maniobras!$A$5:$A$504,0)),""))</f>
        <v/>
      </c>
      <c r="E1278" s="38" t="n"/>
      <c r="F1278" s="39">
        <f>IF(A1278="","",IFERROR(INDEX(Maniobras!$K$5:$K$504,MATCH(A1278,Maniobras!$A$5:$A$504,0)),""))</f>
        <v/>
      </c>
      <c r="G1278" s="39" t="n"/>
      <c r="H1278" s="39" t="n"/>
      <c r="I1278" s="39">
        <f>IF(G1278="","",G1278+N(H1278))</f>
        <v/>
      </c>
      <c r="J1278" s="38" t="n"/>
      <c r="K1278" s="41" t="n"/>
      <c r="L1278" s="38" t="n"/>
      <c r="M1278">
        <f>IF($A1278=Ficha!$B$3,COUNTIF($A$5:$A1278,Ficha!$B$3),"")</f>
        <v/>
      </c>
    </row>
    <row r="1279">
      <c r="A1279" s="36" t="n"/>
      <c r="B1279" s="40">
        <f>IF(A1279="","",IFERROR(INDEX(Maniobras!$B$5:$B$504,MATCH(A1279,Maniobras!$A$5:$A$504,0)),""))</f>
        <v/>
      </c>
      <c r="C1279" s="36">
        <f>IF(B1279="","",TEXT(B1279,"yyyy-mm"))</f>
        <v/>
      </c>
      <c r="D1279" s="36">
        <f>IF(A1279="","",IFERROR(INDEX(Maniobras!$D$5:$D$504,MATCH(A1279,Maniobras!$A$5:$A$504,0)),""))</f>
        <v/>
      </c>
      <c r="E1279" s="36" t="n"/>
      <c r="F1279" s="37">
        <f>IF(A1279="","",IFERROR(INDEX(Maniobras!$K$5:$K$504,MATCH(A1279,Maniobras!$A$5:$A$504,0)),""))</f>
        <v/>
      </c>
      <c r="G1279" s="37" t="n"/>
      <c r="H1279" s="37" t="n"/>
      <c r="I1279" s="37">
        <f>IF(G1279="","",G1279+N(H1279))</f>
        <v/>
      </c>
      <c r="J1279" s="36" t="n"/>
      <c r="K1279" s="40" t="n"/>
      <c r="L1279" s="36" t="n"/>
      <c r="M1279">
        <f>IF($A1279=Ficha!$B$3,COUNTIF($A$5:$A1279,Ficha!$B$3),"")</f>
        <v/>
      </c>
    </row>
    <row r="1280">
      <c r="A1280" s="38" t="n"/>
      <c r="B1280" s="41">
        <f>IF(A1280="","",IFERROR(INDEX(Maniobras!$B$5:$B$504,MATCH(A1280,Maniobras!$A$5:$A$504,0)),""))</f>
        <v/>
      </c>
      <c r="C1280" s="38">
        <f>IF(B1280="","",TEXT(B1280,"yyyy-mm"))</f>
        <v/>
      </c>
      <c r="D1280" s="38">
        <f>IF(A1280="","",IFERROR(INDEX(Maniobras!$D$5:$D$504,MATCH(A1280,Maniobras!$A$5:$A$504,0)),""))</f>
        <v/>
      </c>
      <c r="E1280" s="38" t="n"/>
      <c r="F1280" s="39">
        <f>IF(A1280="","",IFERROR(INDEX(Maniobras!$K$5:$K$504,MATCH(A1280,Maniobras!$A$5:$A$504,0)),""))</f>
        <v/>
      </c>
      <c r="G1280" s="39" t="n"/>
      <c r="H1280" s="39" t="n"/>
      <c r="I1280" s="39">
        <f>IF(G1280="","",G1280+N(H1280))</f>
        <v/>
      </c>
      <c r="J1280" s="38" t="n"/>
      <c r="K1280" s="41" t="n"/>
      <c r="L1280" s="38" t="n"/>
      <c r="M1280">
        <f>IF($A1280=Ficha!$B$3,COUNTIF($A$5:$A1280,Ficha!$B$3),"")</f>
        <v/>
      </c>
    </row>
    <row r="1281">
      <c r="A1281" s="36" t="n"/>
      <c r="B1281" s="40">
        <f>IF(A1281="","",IFERROR(INDEX(Maniobras!$B$5:$B$504,MATCH(A1281,Maniobras!$A$5:$A$504,0)),""))</f>
        <v/>
      </c>
      <c r="C1281" s="36">
        <f>IF(B1281="","",TEXT(B1281,"yyyy-mm"))</f>
        <v/>
      </c>
      <c r="D1281" s="36">
        <f>IF(A1281="","",IFERROR(INDEX(Maniobras!$D$5:$D$504,MATCH(A1281,Maniobras!$A$5:$A$504,0)),""))</f>
        <v/>
      </c>
      <c r="E1281" s="36" t="n"/>
      <c r="F1281" s="37">
        <f>IF(A1281="","",IFERROR(INDEX(Maniobras!$K$5:$K$504,MATCH(A1281,Maniobras!$A$5:$A$504,0)),""))</f>
        <v/>
      </c>
      <c r="G1281" s="37" t="n"/>
      <c r="H1281" s="37" t="n"/>
      <c r="I1281" s="37">
        <f>IF(G1281="","",G1281+N(H1281))</f>
        <v/>
      </c>
      <c r="J1281" s="36" t="n"/>
      <c r="K1281" s="40" t="n"/>
      <c r="L1281" s="36" t="n"/>
      <c r="M1281">
        <f>IF($A1281=Ficha!$B$3,COUNTIF($A$5:$A1281,Ficha!$B$3),"")</f>
        <v/>
      </c>
    </row>
    <row r="1282">
      <c r="A1282" s="38" t="n"/>
      <c r="B1282" s="41">
        <f>IF(A1282="","",IFERROR(INDEX(Maniobras!$B$5:$B$504,MATCH(A1282,Maniobras!$A$5:$A$504,0)),""))</f>
        <v/>
      </c>
      <c r="C1282" s="38">
        <f>IF(B1282="","",TEXT(B1282,"yyyy-mm"))</f>
        <v/>
      </c>
      <c r="D1282" s="38">
        <f>IF(A1282="","",IFERROR(INDEX(Maniobras!$D$5:$D$504,MATCH(A1282,Maniobras!$A$5:$A$504,0)),""))</f>
        <v/>
      </c>
      <c r="E1282" s="38" t="n"/>
      <c r="F1282" s="39">
        <f>IF(A1282="","",IFERROR(INDEX(Maniobras!$K$5:$K$504,MATCH(A1282,Maniobras!$A$5:$A$504,0)),""))</f>
        <v/>
      </c>
      <c r="G1282" s="39" t="n"/>
      <c r="H1282" s="39" t="n"/>
      <c r="I1282" s="39">
        <f>IF(G1282="","",G1282+N(H1282))</f>
        <v/>
      </c>
      <c r="J1282" s="38" t="n"/>
      <c r="K1282" s="41" t="n"/>
      <c r="L1282" s="38" t="n"/>
      <c r="M1282">
        <f>IF($A1282=Ficha!$B$3,COUNTIF($A$5:$A1282,Ficha!$B$3),"")</f>
        <v/>
      </c>
    </row>
    <row r="1283">
      <c r="A1283" s="36" t="n"/>
      <c r="B1283" s="40">
        <f>IF(A1283="","",IFERROR(INDEX(Maniobras!$B$5:$B$504,MATCH(A1283,Maniobras!$A$5:$A$504,0)),""))</f>
        <v/>
      </c>
      <c r="C1283" s="36">
        <f>IF(B1283="","",TEXT(B1283,"yyyy-mm"))</f>
        <v/>
      </c>
      <c r="D1283" s="36">
        <f>IF(A1283="","",IFERROR(INDEX(Maniobras!$D$5:$D$504,MATCH(A1283,Maniobras!$A$5:$A$504,0)),""))</f>
        <v/>
      </c>
      <c r="E1283" s="36" t="n"/>
      <c r="F1283" s="37">
        <f>IF(A1283="","",IFERROR(INDEX(Maniobras!$K$5:$K$504,MATCH(A1283,Maniobras!$A$5:$A$504,0)),""))</f>
        <v/>
      </c>
      <c r="G1283" s="37" t="n"/>
      <c r="H1283" s="37" t="n"/>
      <c r="I1283" s="37">
        <f>IF(G1283="","",G1283+N(H1283))</f>
        <v/>
      </c>
      <c r="J1283" s="36" t="n"/>
      <c r="K1283" s="40" t="n"/>
      <c r="L1283" s="36" t="n"/>
      <c r="M1283">
        <f>IF($A1283=Ficha!$B$3,COUNTIF($A$5:$A1283,Ficha!$B$3),"")</f>
        <v/>
      </c>
    </row>
    <row r="1284">
      <c r="A1284" s="38" t="n"/>
      <c r="B1284" s="41">
        <f>IF(A1284="","",IFERROR(INDEX(Maniobras!$B$5:$B$504,MATCH(A1284,Maniobras!$A$5:$A$504,0)),""))</f>
        <v/>
      </c>
      <c r="C1284" s="38">
        <f>IF(B1284="","",TEXT(B1284,"yyyy-mm"))</f>
        <v/>
      </c>
      <c r="D1284" s="38">
        <f>IF(A1284="","",IFERROR(INDEX(Maniobras!$D$5:$D$504,MATCH(A1284,Maniobras!$A$5:$A$504,0)),""))</f>
        <v/>
      </c>
      <c r="E1284" s="38" t="n"/>
      <c r="F1284" s="39">
        <f>IF(A1284="","",IFERROR(INDEX(Maniobras!$K$5:$K$504,MATCH(A1284,Maniobras!$A$5:$A$504,0)),""))</f>
        <v/>
      </c>
      <c r="G1284" s="39" t="n"/>
      <c r="H1284" s="39" t="n"/>
      <c r="I1284" s="39">
        <f>IF(G1284="","",G1284+N(H1284))</f>
        <v/>
      </c>
      <c r="J1284" s="38" t="n"/>
      <c r="K1284" s="41" t="n"/>
      <c r="L1284" s="38" t="n"/>
      <c r="M1284">
        <f>IF($A1284=Ficha!$B$3,COUNTIF($A$5:$A1284,Ficha!$B$3),"")</f>
        <v/>
      </c>
    </row>
    <row r="1285">
      <c r="A1285" s="36" t="n"/>
      <c r="B1285" s="40">
        <f>IF(A1285="","",IFERROR(INDEX(Maniobras!$B$5:$B$504,MATCH(A1285,Maniobras!$A$5:$A$504,0)),""))</f>
        <v/>
      </c>
      <c r="C1285" s="36">
        <f>IF(B1285="","",TEXT(B1285,"yyyy-mm"))</f>
        <v/>
      </c>
      <c r="D1285" s="36">
        <f>IF(A1285="","",IFERROR(INDEX(Maniobras!$D$5:$D$504,MATCH(A1285,Maniobras!$A$5:$A$504,0)),""))</f>
        <v/>
      </c>
      <c r="E1285" s="36" t="n"/>
      <c r="F1285" s="37">
        <f>IF(A1285="","",IFERROR(INDEX(Maniobras!$K$5:$K$504,MATCH(A1285,Maniobras!$A$5:$A$504,0)),""))</f>
        <v/>
      </c>
      <c r="G1285" s="37" t="n"/>
      <c r="H1285" s="37" t="n"/>
      <c r="I1285" s="37">
        <f>IF(G1285="","",G1285+N(H1285))</f>
        <v/>
      </c>
      <c r="J1285" s="36" t="n"/>
      <c r="K1285" s="40" t="n"/>
      <c r="L1285" s="36" t="n"/>
      <c r="M1285">
        <f>IF($A1285=Ficha!$B$3,COUNTIF($A$5:$A1285,Ficha!$B$3),"")</f>
        <v/>
      </c>
    </row>
    <row r="1286">
      <c r="A1286" s="38" t="n"/>
      <c r="B1286" s="41">
        <f>IF(A1286="","",IFERROR(INDEX(Maniobras!$B$5:$B$504,MATCH(A1286,Maniobras!$A$5:$A$504,0)),""))</f>
        <v/>
      </c>
      <c r="C1286" s="38">
        <f>IF(B1286="","",TEXT(B1286,"yyyy-mm"))</f>
        <v/>
      </c>
      <c r="D1286" s="38">
        <f>IF(A1286="","",IFERROR(INDEX(Maniobras!$D$5:$D$504,MATCH(A1286,Maniobras!$A$5:$A$504,0)),""))</f>
        <v/>
      </c>
      <c r="E1286" s="38" t="n"/>
      <c r="F1286" s="39">
        <f>IF(A1286="","",IFERROR(INDEX(Maniobras!$K$5:$K$504,MATCH(A1286,Maniobras!$A$5:$A$504,0)),""))</f>
        <v/>
      </c>
      <c r="G1286" s="39" t="n"/>
      <c r="H1286" s="39" t="n"/>
      <c r="I1286" s="39">
        <f>IF(G1286="","",G1286+N(H1286))</f>
        <v/>
      </c>
      <c r="J1286" s="38" t="n"/>
      <c r="K1286" s="41" t="n"/>
      <c r="L1286" s="38" t="n"/>
      <c r="M1286">
        <f>IF($A1286=Ficha!$B$3,COUNTIF($A$5:$A1286,Ficha!$B$3),"")</f>
        <v/>
      </c>
    </row>
    <row r="1287">
      <c r="A1287" s="36" t="n"/>
      <c r="B1287" s="40">
        <f>IF(A1287="","",IFERROR(INDEX(Maniobras!$B$5:$B$504,MATCH(A1287,Maniobras!$A$5:$A$504,0)),""))</f>
        <v/>
      </c>
      <c r="C1287" s="36">
        <f>IF(B1287="","",TEXT(B1287,"yyyy-mm"))</f>
        <v/>
      </c>
      <c r="D1287" s="36">
        <f>IF(A1287="","",IFERROR(INDEX(Maniobras!$D$5:$D$504,MATCH(A1287,Maniobras!$A$5:$A$504,0)),""))</f>
        <v/>
      </c>
      <c r="E1287" s="36" t="n"/>
      <c r="F1287" s="37">
        <f>IF(A1287="","",IFERROR(INDEX(Maniobras!$K$5:$K$504,MATCH(A1287,Maniobras!$A$5:$A$504,0)),""))</f>
        <v/>
      </c>
      <c r="G1287" s="37" t="n"/>
      <c r="H1287" s="37" t="n"/>
      <c r="I1287" s="37">
        <f>IF(G1287="","",G1287+N(H1287))</f>
        <v/>
      </c>
      <c r="J1287" s="36" t="n"/>
      <c r="K1287" s="40" t="n"/>
      <c r="L1287" s="36" t="n"/>
      <c r="M1287">
        <f>IF($A1287=Ficha!$B$3,COUNTIF($A$5:$A1287,Ficha!$B$3),"")</f>
        <v/>
      </c>
    </row>
    <row r="1288">
      <c r="A1288" s="38" t="n"/>
      <c r="B1288" s="41">
        <f>IF(A1288="","",IFERROR(INDEX(Maniobras!$B$5:$B$504,MATCH(A1288,Maniobras!$A$5:$A$504,0)),""))</f>
        <v/>
      </c>
      <c r="C1288" s="38">
        <f>IF(B1288="","",TEXT(B1288,"yyyy-mm"))</f>
        <v/>
      </c>
      <c r="D1288" s="38">
        <f>IF(A1288="","",IFERROR(INDEX(Maniobras!$D$5:$D$504,MATCH(A1288,Maniobras!$A$5:$A$504,0)),""))</f>
        <v/>
      </c>
      <c r="E1288" s="38" t="n"/>
      <c r="F1288" s="39">
        <f>IF(A1288="","",IFERROR(INDEX(Maniobras!$K$5:$K$504,MATCH(A1288,Maniobras!$A$5:$A$504,0)),""))</f>
        <v/>
      </c>
      <c r="G1288" s="39" t="n"/>
      <c r="H1288" s="39" t="n"/>
      <c r="I1288" s="39">
        <f>IF(G1288="","",G1288+N(H1288))</f>
        <v/>
      </c>
      <c r="J1288" s="38" t="n"/>
      <c r="K1288" s="41" t="n"/>
      <c r="L1288" s="38" t="n"/>
      <c r="M1288">
        <f>IF($A1288=Ficha!$B$3,COUNTIF($A$5:$A1288,Ficha!$B$3),"")</f>
        <v/>
      </c>
    </row>
    <row r="1289">
      <c r="A1289" s="36" t="n"/>
      <c r="B1289" s="40">
        <f>IF(A1289="","",IFERROR(INDEX(Maniobras!$B$5:$B$504,MATCH(A1289,Maniobras!$A$5:$A$504,0)),""))</f>
        <v/>
      </c>
      <c r="C1289" s="36">
        <f>IF(B1289="","",TEXT(B1289,"yyyy-mm"))</f>
        <v/>
      </c>
      <c r="D1289" s="36">
        <f>IF(A1289="","",IFERROR(INDEX(Maniobras!$D$5:$D$504,MATCH(A1289,Maniobras!$A$5:$A$504,0)),""))</f>
        <v/>
      </c>
      <c r="E1289" s="36" t="n"/>
      <c r="F1289" s="37">
        <f>IF(A1289="","",IFERROR(INDEX(Maniobras!$K$5:$K$504,MATCH(A1289,Maniobras!$A$5:$A$504,0)),""))</f>
        <v/>
      </c>
      <c r="G1289" s="37" t="n"/>
      <c r="H1289" s="37" t="n"/>
      <c r="I1289" s="37">
        <f>IF(G1289="","",G1289+N(H1289))</f>
        <v/>
      </c>
      <c r="J1289" s="36" t="n"/>
      <c r="K1289" s="40" t="n"/>
      <c r="L1289" s="36" t="n"/>
      <c r="M1289">
        <f>IF($A1289=Ficha!$B$3,COUNTIF($A$5:$A1289,Ficha!$B$3),"")</f>
        <v/>
      </c>
    </row>
    <row r="1290">
      <c r="A1290" s="38" t="n"/>
      <c r="B1290" s="41">
        <f>IF(A1290="","",IFERROR(INDEX(Maniobras!$B$5:$B$504,MATCH(A1290,Maniobras!$A$5:$A$504,0)),""))</f>
        <v/>
      </c>
      <c r="C1290" s="38">
        <f>IF(B1290="","",TEXT(B1290,"yyyy-mm"))</f>
        <v/>
      </c>
      <c r="D1290" s="38">
        <f>IF(A1290="","",IFERROR(INDEX(Maniobras!$D$5:$D$504,MATCH(A1290,Maniobras!$A$5:$A$504,0)),""))</f>
        <v/>
      </c>
      <c r="E1290" s="38" t="n"/>
      <c r="F1290" s="39">
        <f>IF(A1290="","",IFERROR(INDEX(Maniobras!$K$5:$K$504,MATCH(A1290,Maniobras!$A$5:$A$504,0)),""))</f>
        <v/>
      </c>
      <c r="G1290" s="39" t="n"/>
      <c r="H1290" s="39" t="n"/>
      <c r="I1290" s="39">
        <f>IF(G1290="","",G1290+N(H1290))</f>
        <v/>
      </c>
      <c r="J1290" s="38" t="n"/>
      <c r="K1290" s="41" t="n"/>
      <c r="L1290" s="38" t="n"/>
      <c r="M1290">
        <f>IF($A1290=Ficha!$B$3,COUNTIF($A$5:$A1290,Ficha!$B$3),"")</f>
        <v/>
      </c>
    </row>
    <row r="1291">
      <c r="A1291" s="36" t="n"/>
      <c r="B1291" s="40">
        <f>IF(A1291="","",IFERROR(INDEX(Maniobras!$B$5:$B$504,MATCH(A1291,Maniobras!$A$5:$A$504,0)),""))</f>
        <v/>
      </c>
      <c r="C1291" s="36">
        <f>IF(B1291="","",TEXT(B1291,"yyyy-mm"))</f>
        <v/>
      </c>
      <c r="D1291" s="36">
        <f>IF(A1291="","",IFERROR(INDEX(Maniobras!$D$5:$D$504,MATCH(A1291,Maniobras!$A$5:$A$504,0)),""))</f>
        <v/>
      </c>
      <c r="E1291" s="36" t="n"/>
      <c r="F1291" s="37">
        <f>IF(A1291="","",IFERROR(INDEX(Maniobras!$K$5:$K$504,MATCH(A1291,Maniobras!$A$5:$A$504,0)),""))</f>
        <v/>
      </c>
      <c r="G1291" s="37" t="n"/>
      <c r="H1291" s="37" t="n"/>
      <c r="I1291" s="37">
        <f>IF(G1291="","",G1291+N(H1291))</f>
        <v/>
      </c>
      <c r="J1291" s="36" t="n"/>
      <c r="K1291" s="40" t="n"/>
      <c r="L1291" s="36" t="n"/>
      <c r="M1291">
        <f>IF($A1291=Ficha!$B$3,COUNTIF($A$5:$A1291,Ficha!$B$3),"")</f>
        <v/>
      </c>
    </row>
    <row r="1292">
      <c r="A1292" s="38" t="n"/>
      <c r="B1292" s="41">
        <f>IF(A1292="","",IFERROR(INDEX(Maniobras!$B$5:$B$504,MATCH(A1292,Maniobras!$A$5:$A$504,0)),""))</f>
        <v/>
      </c>
      <c r="C1292" s="38">
        <f>IF(B1292="","",TEXT(B1292,"yyyy-mm"))</f>
        <v/>
      </c>
      <c r="D1292" s="38">
        <f>IF(A1292="","",IFERROR(INDEX(Maniobras!$D$5:$D$504,MATCH(A1292,Maniobras!$A$5:$A$504,0)),""))</f>
        <v/>
      </c>
      <c r="E1292" s="38" t="n"/>
      <c r="F1292" s="39">
        <f>IF(A1292="","",IFERROR(INDEX(Maniobras!$K$5:$K$504,MATCH(A1292,Maniobras!$A$5:$A$504,0)),""))</f>
        <v/>
      </c>
      <c r="G1292" s="39" t="n"/>
      <c r="H1292" s="39" t="n"/>
      <c r="I1292" s="39">
        <f>IF(G1292="","",G1292+N(H1292))</f>
        <v/>
      </c>
      <c r="J1292" s="38" t="n"/>
      <c r="K1292" s="41" t="n"/>
      <c r="L1292" s="38" t="n"/>
      <c r="M1292">
        <f>IF($A1292=Ficha!$B$3,COUNTIF($A$5:$A1292,Ficha!$B$3),"")</f>
        <v/>
      </c>
    </row>
    <row r="1293">
      <c r="A1293" s="36" t="n"/>
      <c r="B1293" s="40">
        <f>IF(A1293="","",IFERROR(INDEX(Maniobras!$B$5:$B$504,MATCH(A1293,Maniobras!$A$5:$A$504,0)),""))</f>
        <v/>
      </c>
      <c r="C1293" s="36">
        <f>IF(B1293="","",TEXT(B1293,"yyyy-mm"))</f>
        <v/>
      </c>
      <c r="D1293" s="36">
        <f>IF(A1293="","",IFERROR(INDEX(Maniobras!$D$5:$D$504,MATCH(A1293,Maniobras!$A$5:$A$504,0)),""))</f>
        <v/>
      </c>
      <c r="E1293" s="36" t="n"/>
      <c r="F1293" s="37">
        <f>IF(A1293="","",IFERROR(INDEX(Maniobras!$K$5:$K$504,MATCH(A1293,Maniobras!$A$5:$A$504,0)),""))</f>
        <v/>
      </c>
      <c r="G1293" s="37" t="n"/>
      <c r="H1293" s="37" t="n"/>
      <c r="I1293" s="37">
        <f>IF(G1293="","",G1293+N(H1293))</f>
        <v/>
      </c>
      <c r="J1293" s="36" t="n"/>
      <c r="K1293" s="40" t="n"/>
      <c r="L1293" s="36" t="n"/>
      <c r="M1293">
        <f>IF($A1293=Ficha!$B$3,COUNTIF($A$5:$A1293,Ficha!$B$3),"")</f>
        <v/>
      </c>
    </row>
    <row r="1294">
      <c r="A1294" s="38" t="n"/>
      <c r="B1294" s="41">
        <f>IF(A1294="","",IFERROR(INDEX(Maniobras!$B$5:$B$504,MATCH(A1294,Maniobras!$A$5:$A$504,0)),""))</f>
        <v/>
      </c>
      <c r="C1294" s="38">
        <f>IF(B1294="","",TEXT(B1294,"yyyy-mm"))</f>
        <v/>
      </c>
      <c r="D1294" s="38">
        <f>IF(A1294="","",IFERROR(INDEX(Maniobras!$D$5:$D$504,MATCH(A1294,Maniobras!$A$5:$A$504,0)),""))</f>
        <v/>
      </c>
      <c r="E1294" s="38" t="n"/>
      <c r="F1294" s="39">
        <f>IF(A1294="","",IFERROR(INDEX(Maniobras!$K$5:$K$504,MATCH(A1294,Maniobras!$A$5:$A$504,0)),""))</f>
        <v/>
      </c>
      <c r="G1294" s="39" t="n"/>
      <c r="H1294" s="39" t="n"/>
      <c r="I1294" s="39">
        <f>IF(G1294="","",G1294+N(H1294))</f>
        <v/>
      </c>
      <c r="J1294" s="38" t="n"/>
      <c r="K1294" s="41" t="n"/>
      <c r="L1294" s="38" t="n"/>
      <c r="M1294">
        <f>IF($A1294=Ficha!$B$3,COUNTIF($A$5:$A1294,Ficha!$B$3),"")</f>
        <v/>
      </c>
    </row>
    <row r="1295">
      <c r="A1295" s="36" t="n"/>
      <c r="B1295" s="40">
        <f>IF(A1295="","",IFERROR(INDEX(Maniobras!$B$5:$B$504,MATCH(A1295,Maniobras!$A$5:$A$504,0)),""))</f>
        <v/>
      </c>
      <c r="C1295" s="36">
        <f>IF(B1295="","",TEXT(B1295,"yyyy-mm"))</f>
        <v/>
      </c>
      <c r="D1295" s="36">
        <f>IF(A1295="","",IFERROR(INDEX(Maniobras!$D$5:$D$504,MATCH(A1295,Maniobras!$A$5:$A$504,0)),""))</f>
        <v/>
      </c>
      <c r="E1295" s="36" t="n"/>
      <c r="F1295" s="37">
        <f>IF(A1295="","",IFERROR(INDEX(Maniobras!$K$5:$K$504,MATCH(A1295,Maniobras!$A$5:$A$504,0)),""))</f>
        <v/>
      </c>
      <c r="G1295" s="37" t="n"/>
      <c r="H1295" s="37" t="n"/>
      <c r="I1295" s="37">
        <f>IF(G1295="","",G1295+N(H1295))</f>
        <v/>
      </c>
      <c r="J1295" s="36" t="n"/>
      <c r="K1295" s="40" t="n"/>
      <c r="L1295" s="36" t="n"/>
      <c r="M1295">
        <f>IF($A1295=Ficha!$B$3,COUNTIF($A$5:$A1295,Ficha!$B$3),"")</f>
        <v/>
      </c>
    </row>
    <row r="1296">
      <c r="A1296" s="38" t="n"/>
      <c r="B1296" s="41">
        <f>IF(A1296="","",IFERROR(INDEX(Maniobras!$B$5:$B$504,MATCH(A1296,Maniobras!$A$5:$A$504,0)),""))</f>
        <v/>
      </c>
      <c r="C1296" s="38">
        <f>IF(B1296="","",TEXT(B1296,"yyyy-mm"))</f>
        <v/>
      </c>
      <c r="D1296" s="38">
        <f>IF(A1296="","",IFERROR(INDEX(Maniobras!$D$5:$D$504,MATCH(A1296,Maniobras!$A$5:$A$504,0)),""))</f>
        <v/>
      </c>
      <c r="E1296" s="38" t="n"/>
      <c r="F1296" s="39">
        <f>IF(A1296="","",IFERROR(INDEX(Maniobras!$K$5:$K$504,MATCH(A1296,Maniobras!$A$5:$A$504,0)),""))</f>
        <v/>
      </c>
      <c r="G1296" s="39" t="n"/>
      <c r="H1296" s="39" t="n"/>
      <c r="I1296" s="39">
        <f>IF(G1296="","",G1296+N(H1296))</f>
        <v/>
      </c>
      <c r="J1296" s="38" t="n"/>
      <c r="K1296" s="41" t="n"/>
      <c r="L1296" s="38" t="n"/>
      <c r="M1296">
        <f>IF($A1296=Ficha!$B$3,COUNTIF($A$5:$A1296,Ficha!$B$3),"")</f>
        <v/>
      </c>
    </row>
    <row r="1297">
      <c r="A1297" s="36" t="n"/>
      <c r="B1297" s="40">
        <f>IF(A1297="","",IFERROR(INDEX(Maniobras!$B$5:$B$504,MATCH(A1297,Maniobras!$A$5:$A$504,0)),""))</f>
        <v/>
      </c>
      <c r="C1297" s="36">
        <f>IF(B1297="","",TEXT(B1297,"yyyy-mm"))</f>
        <v/>
      </c>
      <c r="D1297" s="36">
        <f>IF(A1297="","",IFERROR(INDEX(Maniobras!$D$5:$D$504,MATCH(A1297,Maniobras!$A$5:$A$504,0)),""))</f>
        <v/>
      </c>
      <c r="E1297" s="36" t="n"/>
      <c r="F1297" s="37">
        <f>IF(A1297="","",IFERROR(INDEX(Maniobras!$K$5:$K$504,MATCH(A1297,Maniobras!$A$5:$A$504,0)),""))</f>
        <v/>
      </c>
      <c r="G1297" s="37" t="n"/>
      <c r="H1297" s="37" t="n"/>
      <c r="I1297" s="37">
        <f>IF(G1297="","",G1297+N(H1297))</f>
        <v/>
      </c>
      <c r="J1297" s="36" t="n"/>
      <c r="K1297" s="40" t="n"/>
      <c r="L1297" s="36" t="n"/>
      <c r="M1297">
        <f>IF($A1297=Ficha!$B$3,COUNTIF($A$5:$A1297,Ficha!$B$3),"")</f>
        <v/>
      </c>
    </row>
    <row r="1298">
      <c r="A1298" s="38" t="n"/>
      <c r="B1298" s="41">
        <f>IF(A1298="","",IFERROR(INDEX(Maniobras!$B$5:$B$504,MATCH(A1298,Maniobras!$A$5:$A$504,0)),""))</f>
        <v/>
      </c>
      <c r="C1298" s="38">
        <f>IF(B1298="","",TEXT(B1298,"yyyy-mm"))</f>
        <v/>
      </c>
      <c r="D1298" s="38">
        <f>IF(A1298="","",IFERROR(INDEX(Maniobras!$D$5:$D$504,MATCH(A1298,Maniobras!$A$5:$A$504,0)),""))</f>
        <v/>
      </c>
      <c r="E1298" s="38" t="n"/>
      <c r="F1298" s="39">
        <f>IF(A1298="","",IFERROR(INDEX(Maniobras!$K$5:$K$504,MATCH(A1298,Maniobras!$A$5:$A$504,0)),""))</f>
        <v/>
      </c>
      <c r="G1298" s="39" t="n"/>
      <c r="H1298" s="39" t="n"/>
      <c r="I1298" s="39">
        <f>IF(G1298="","",G1298+N(H1298))</f>
        <v/>
      </c>
      <c r="J1298" s="38" t="n"/>
      <c r="K1298" s="41" t="n"/>
      <c r="L1298" s="38" t="n"/>
      <c r="M1298">
        <f>IF($A1298=Ficha!$B$3,COUNTIF($A$5:$A1298,Ficha!$B$3),"")</f>
        <v/>
      </c>
    </row>
    <row r="1299">
      <c r="A1299" s="36" t="n"/>
      <c r="B1299" s="40">
        <f>IF(A1299="","",IFERROR(INDEX(Maniobras!$B$5:$B$504,MATCH(A1299,Maniobras!$A$5:$A$504,0)),""))</f>
        <v/>
      </c>
      <c r="C1299" s="36">
        <f>IF(B1299="","",TEXT(B1299,"yyyy-mm"))</f>
        <v/>
      </c>
      <c r="D1299" s="36">
        <f>IF(A1299="","",IFERROR(INDEX(Maniobras!$D$5:$D$504,MATCH(A1299,Maniobras!$A$5:$A$504,0)),""))</f>
        <v/>
      </c>
      <c r="E1299" s="36" t="n"/>
      <c r="F1299" s="37">
        <f>IF(A1299="","",IFERROR(INDEX(Maniobras!$K$5:$K$504,MATCH(A1299,Maniobras!$A$5:$A$504,0)),""))</f>
        <v/>
      </c>
      <c r="G1299" s="37" t="n"/>
      <c r="H1299" s="37" t="n"/>
      <c r="I1299" s="37">
        <f>IF(G1299="","",G1299+N(H1299))</f>
        <v/>
      </c>
      <c r="J1299" s="36" t="n"/>
      <c r="K1299" s="40" t="n"/>
      <c r="L1299" s="36" t="n"/>
      <c r="M1299">
        <f>IF($A1299=Ficha!$B$3,COUNTIF($A$5:$A1299,Ficha!$B$3),"")</f>
        <v/>
      </c>
    </row>
    <row r="1300">
      <c r="A1300" s="38" t="n"/>
      <c r="B1300" s="41">
        <f>IF(A1300="","",IFERROR(INDEX(Maniobras!$B$5:$B$504,MATCH(A1300,Maniobras!$A$5:$A$504,0)),""))</f>
        <v/>
      </c>
      <c r="C1300" s="38">
        <f>IF(B1300="","",TEXT(B1300,"yyyy-mm"))</f>
        <v/>
      </c>
      <c r="D1300" s="38">
        <f>IF(A1300="","",IFERROR(INDEX(Maniobras!$D$5:$D$504,MATCH(A1300,Maniobras!$A$5:$A$504,0)),""))</f>
        <v/>
      </c>
      <c r="E1300" s="38" t="n"/>
      <c r="F1300" s="39">
        <f>IF(A1300="","",IFERROR(INDEX(Maniobras!$K$5:$K$504,MATCH(A1300,Maniobras!$A$5:$A$504,0)),""))</f>
        <v/>
      </c>
      <c r="G1300" s="39" t="n"/>
      <c r="H1300" s="39" t="n"/>
      <c r="I1300" s="39">
        <f>IF(G1300="","",G1300+N(H1300))</f>
        <v/>
      </c>
      <c r="J1300" s="38" t="n"/>
      <c r="K1300" s="41" t="n"/>
      <c r="L1300" s="38" t="n"/>
      <c r="M1300">
        <f>IF($A1300=Ficha!$B$3,COUNTIF($A$5:$A1300,Ficha!$B$3),"")</f>
        <v/>
      </c>
    </row>
    <row r="1301">
      <c r="A1301" s="36" t="n"/>
      <c r="B1301" s="40">
        <f>IF(A1301="","",IFERROR(INDEX(Maniobras!$B$5:$B$504,MATCH(A1301,Maniobras!$A$5:$A$504,0)),""))</f>
        <v/>
      </c>
      <c r="C1301" s="36">
        <f>IF(B1301="","",TEXT(B1301,"yyyy-mm"))</f>
        <v/>
      </c>
      <c r="D1301" s="36">
        <f>IF(A1301="","",IFERROR(INDEX(Maniobras!$D$5:$D$504,MATCH(A1301,Maniobras!$A$5:$A$504,0)),""))</f>
        <v/>
      </c>
      <c r="E1301" s="36" t="n"/>
      <c r="F1301" s="37">
        <f>IF(A1301="","",IFERROR(INDEX(Maniobras!$K$5:$K$504,MATCH(A1301,Maniobras!$A$5:$A$504,0)),""))</f>
        <v/>
      </c>
      <c r="G1301" s="37" t="n"/>
      <c r="H1301" s="37" t="n"/>
      <c r="I1301" s="37">
        <f>IF(G1301="","",G1301+N(H1301))</f>
        <v/>
      </c>
      <c r="J1301" s="36" t="n"/>
      <c r="K1301" s="40" t="n"/>
      <c r="L1301" s="36" t="n"/>
      <c r="M1301">
        <f>IF($A1301=Ficha!$B$3,COUNTIF($A$5:$A1301,Ficha!$B$3),"")</f>
        <v/>
      </c>
    </row>
    <row r="1302">
      <c r="A1302" s="38" t="n"/>
      <c r="B1302" s="41">
        <f>IF(A1302="","",IFERROR(INDEX(Maniobras!$B$5:$B$504,MATCH(A1302,Maniobras!$A$5:$A$504,0)),""))</f>
        <v/>
      </c>
      <c r="C1302" s="38">
        <f>IF(B1302="","",TEXT(B1302,"yyyy-mm"))</f>
        <v/>
      </c>
      <c r="D1302" s="38">
        <f>IF(A1302="","",IFERROR(INDEX(Maniobras!$D$5:$D$504,MATCH(A1302,Maniobras!$A$5:$A$504,0)),""))</f>
        <v/>
      </c>
      <c r="E1302" s="38" t="n"/>
      <c r="F1302" s="39">
        <f>IF(A1302="","",IFERROR(INDEX(Maniobras!$K$5:$K$504,MATCH(A1302,Maniobras!$A$5:$A$504,0)),""))</f>
        <v/>
      </c>
      <c r="G1302" s="39" t="n"/>
      <c r="H1302" s="39" t="n"/>
      <c r="I1302" s="39">
        <f>IF(G1302="","",G1302+N(H1302))</f>
        <v/>
      </c>
      <c r="J1302" s="38" t="n"/>
      <c r="K1302" s="41" t="n"/>
      <c r="L1302" s="38" t="n"/>
      <c r="M1302">
        <f>IF($A1302=Ficha!$B$3,COUNTIF($A$5:$A1302,Ficha!$B$3),"")</f>
        <v/>
      </c>
    </row>
    <row r="1303">
      <c r="A1303" s="36" t="n"/>
      <c r="B1303" s="40">
        <f>IF(A1303="","",IFERROR(INDEX(Maniobras!$B$5:$B$504,MATCH(A1303,Maniobras!$A$5:$A$504,0)),""))</f>
        <v/>
      </c>
      <c r="C1303" s="36">
        <f>IF(B1303="","",TEXT(B1303,"yyyy-mm"))</f>
        <v/>
      </c>
      <c r="D1303" s="36">
        <f>IF(A1303="","",IFERROR(INDEX(Maniobras!$D$5:$D$504,MATCH(A1303,Maniobras!$A$5:$A$504,0)),""))</f>
        <v/>
      </c>
      <c r="E1303" s="36" t="n"/>
      <c r="F1303" s="37">
        <f>IF(A1303="","",IFERROR(INDEX(Maniobras!$K$5:$K$504,MATCH(A1303,Maniobras!$A$5:$A$504,0)),""))</f>
        <v/>
      </c>
      <c r="G1303" s="37" t="n"/>
      <c r="H1303" s="37" t="n"/>
      <c r="I1303" s="37">
        <f>IF(G1303="","",G1303+N(H1303))</f>
        <v/>
      </c>
      <c r="J1303" s="36" t="n"/>
      <c r="K1303" s="40" t="n"/>
      <c r="L1303" s="36" t="n"/>
      <c r="M1303">
        <f>IF($A1303=Ficha!$B$3,COUNTIF($A$5:$A1303,Ficha!$B$3),"")</f>
        <v/>
      </c>
    </row>
    <row r="1304">
      <c r="A1304" s="38" t="n"/>
      <c r="B1304" s="41">
        <f>IF(A1304="","",IFERROR(INDEX(Maniobras!$B$5:$B$504,MATCH(A1304,Maniobras!$A$5:$A$504,0)),""))</f>
        <v/>
      </c>
      <c r="C1304" s="38">
        <f>IF(B1304="","",TEXT(B1304,"yyyy-mm"))</f>
        <v/>
      </c>
      <c r="D1304" s="38">
        <f>IF(A1304="","",IFERROR(INDEX(Maniobras!$D$5:$D$504,MATCH(A1304,Maniobras!$A$5:$A$504,0)),""))</f>
        <v/>
      </c>
      <c r="E1304" s="38" t="n"/>
      <c r="F1304" s="39">
        <f>IF(A1304="","",IFERROR(INDEX(Maniobras!$K$5:$K$504,MATCH(A1304,Maniobras!$A$5:$A$504,0)),""))</f>
        <v/>
      </c>
      <c r="G1304" s="39" t="n"/>
      <c r="H1304" s="39" t="n"/>
      <c r="I1304" s="39">
        <f>IF(G1304="","",G1304+N(H1304))</f>
        <v/>
      </c>
      <c r="J1304" s="38" t="n"/>
      <c r="K1304" s="41" t="n"/>
      <c r="L1304" s="38" t="n"/>
      <c r="M1304">
        <f>IF($A1304=Ficha!$B$3,COUNTIF($A$5:$A1304,Ficha!$B$3),"")</f>
        <v/>
      </c>
    </row>
    <row r="1305">
      <c r="A1305" s="36" t="n"/>
      <c r="B1305" s="40">
        <f>IF(A1305="","",IFERROR(INDEX(Maniobras!$B$5:$B$504,MATCH(A1305,Maniobras!$A$5:$A$504,0)),""))</f>
        <v/>
      </c>
      <c r="C1305" s="36">
        <f>IF(B1305="","",TEXT(B1305,"yyyy-mm"))</f>
        <v/>
      </c>
      <c r="D1305" s="36">
        <f>IF(A1305="","",IFERROR(INDEX(Maniobras!$D$5:$D$504,MATCH(A1305,Maniobras!$A$5:$A$504,0)),""))</f>
        <v/>
      </c>
      <c r="E1305" s="36" t="n"/>
      <c r="F1305" s="37">
        <f>IF(A1305="","",IFERROR(INDEX(Maniobras!$K$5:$K$504,MATCH(A1305,Maniobras!$A$5:$A$504,0)),""))</f>
        <v/>
      </c>
      <c r="G1305" s="37" t="n"/>
      <c r="H1305" s="37" t="n"/>
      <c r="I1305" s="37">
        <f>IF(G1305="","",G1305+N(H1305))</f>
        <v/>
      </c>
      <c r="J1305" s="36" t="n"/>
      <c r="K1305" s="40" t="n"/>
      <c r="L1305" s="36" t="n"/>
      <c r="M1305">
        <f>IF($A1305=Ficha!$B$3,COUNTIF($A$5:$A1305,Ficha!$B$3),"")</f>
        <v/>
      </c>
    </row>
    <row r="1306">
      <c r="A1306" s="38" t="n"/>
      <c r="B1306" s="41">
        <f>IF(A1306="","",IFERROR(INDEX(Maniobras!$B$5:$B$504,MATCH(A1306,Maniobras!$A$5:$A$504,0)),""))</f>
        <v/>
      </c>
      <c r="C1306" s="38">
        <f>IF(B1306="","",TEXT(B1306,"yyyy-mm"))</f>
        <v/>
      </c>
      <c r="D1306" s="38">
        <f>IF(A1306="","",IFERROR(INDEX(Maniobras!$D$5:$D$504,MATCH(A1306,Maniobras!$A$5:$A$504,0)),""))</f>
        <v/>
      </c>
      <c r="E1306" s="38" t="n"/>
      <c r="F1306" s="39">
        <f>IF(A1306="","",IFERROR(INDEX(Maniobras!$K$5:$K$504,MATCH(A1306,Maniobras!$A$5:$A$504,0)),""))</f>
        <v/>
      </c>
      <c r="G1306" s="39" t="n"/>
      <c r="H1306" s="39" t="n"/>
      <c r="I1306" s="39">
        <f>IF(G1306="","",G1306+N(H1306))</f>
        <v/>
      </c>
      <c r="J1306" s="38" t="n"/>
      <c r="K1306" s="41" t="n"/>
      <c r="L1306" s="38" t="n"/>
      <c r="M1306">
        <f>IF($A1306=Ficha!$B$3,COUNTIF($A$5:$A1306,Ficha!$B$3),"")</f>
        <v/>
      </c>
    </row>
    <row r="1307">
      <c r="A1307" s="36" t="n"/>
      <c r="B1307" s="40">
        <f>IF(A1307="","",IFERROR(INDEX(Maniobras!$B$5:$B$504,MATCH(A1307,Maniobras!$A$5:$A$504,0)),""))</f>
        <v/>
      </c>
      <c r="C1307" s="36">
        <f>IF(B1307="","",TEXT(B1307,"yyyy-mm"))</f>
        <v/>
      </c>
      <c r="D1307" s="36">
        <f>IF(A1307="","",IFERROR(INDEX(Maniobras!$D$5:$D$504,MATCH(A1307,Maniobras!$A$5:$A$504,0)),""))</f>
        <v/>
      </c>
      <c r="E1307" s="36" t="n"/>
      <c r="F1307" s="37">
        <f>IF(A1307="","",IFERROR(INDEX(Maniobras!$K$5:$K$504,MATCH(A1307,Maniobras!$A$5:$A$504,0)),""))</f>
        <v/>
      </c>
      <c r="G1307" s="37" t="n"/>
      <c r="H1307" s="37" t="n"/>
      <c r="I1307" s="37">
        <f>IF(G1307="","",G1307+N(H1307))</f>
        <v/>
      </c>
      <c r="J1307" s="36" t="n"/>
      <c r="K1307" s="40" t="n"/>
      <c r="L1307" s="36" t="n"/>
      <c r="M1307">
        <f>IF($A1307=Ficha!$B$3,COUNTIF($A$5:$A1307,Ficha!$B$3),"")</f>
        <v/>
      </c>
    </row>
    <row r="1308">
      <c r="A1308" s="38" t="n"/>
      <c r="B1308" s="41">
        <f>IF(A1308="","",IFERROR(INDEX(Maniobras!$B$5:$B$504,MATCH(A1308,Maniobras!$A$5:$A$504,0)),""))</f>
        <v/>
      </c>
      <c r="C1308" s="38">
        <f>IF(B1308="","",TEXT(B1308,"yyyy-mm"))</f>
        <v/>
      </c>
      <c r="D1308" s="38">
        <f>IF(A1308="","",IFERROR(INDEX(Maniobras!$D$5:$D$504,MATCH(A1308,Maniobras!$A$5:$A$504,0)),""))</f>
        <v/>
      </c>
      <c r="E1308" s="38" t="n"/>
      <c r="F1308" s="39">
        <f>IF(A1308="","",IFERROR(INDEX(Maniobras!$K$5:$K$504,MATCH(A1308,Maniobras!$A$5:$A$504,0)),""))</f>
        <v/>
      </c>
      <c r="G1308" s="39" t="n"/>
      <c r="H1308" s="39" t="n"/>
      <c r="I1308" s="39">
        <f>IF(G1308="","",G1308+N(H1308))</f>
        <v/>
      </c>
      <c r="J1308" s="38" t="n"/>
      <c r="K1308" s="41" t="n"/>
      <c r="L1308" s="38" t="n"/>
      <c r="M1308">
        <f>IF($A1308=Ficha!$B$3,COUNTIF($A$5:$A1308,Ficha!$B$3),"")</f>
        <v/>
      </c>
    </row>
    <row r="1309">
      <c r="A1309" s="36" t="n"/>
      <c r="B1309" s="40">
        <f>IF(A1309="","",IFERROR(INDEX(Maniobras!$B$5:$B$504,MATCH(A1309,Maniobras!$A$5:$A$504,0)),""))</f>
        <v/>
      </c>
      <c r="C1309" s="36">
        <f>IF(B1309="","",TEXT(B1309,"yyyy-mm"))</f>
        <v/>
      </c>
      <c r="D1309" s="36">
        <f>IF(A1309="","",IFERROR(INDEX(Maniobras!$D$5:$D$504,MATCH(A1309,Maniobras!$A$5:$A$504,0)),""))</f>
        <v/>
      </c>
      <c r="E1309" s="36" t="n"/>
      <c r="F1309" s="37">
        <f>IF(A1309="","",IFERROR(INDEX(Maniobras!$K$5:$K$504,MATCH(A1309,Maniobras!$A$5:$A$504,0)),""))</f>
        <v/>
      </c>
      <c r="G1309" s="37" t="n"/>
      <c r="H1309" s="37" t="n"/>
      <c r="I1309" s="37">
        <f>IF(G1309="","",G1309+N(H1309))</f>
        <v/>
      </c>
      <c r="J1309" s="36" t="n"/>
      <c r="K1309" s="40" t="n"/>
      <c r="L1309" s="36" t="n"/>
      <c r="M1309">
        <f>IF($A1309=Ficha!$B$3,COUNTIF($A$5:$A1309,Ficha!$B$3),"")</f>
        <v/>
      </c>
    </row>
    <row r="1310">
      <c r="A1310" s="38" t="n"/>
      <c r="B1310" s="41">
        <f>IF(A1310="","",IFERROR(INDEX(Maniobras!$B$5:$B$504,MATCH(A1310,Maniobras!$A$5:$A$504,0)),""))</f>
        <v/>
      </c>
      <c r="C1310" s="38">
        <f>IF(B1310="","",TEXT(B1310,"yyyy-mm"))</f>
        <v/>
      </c>
      <c r="D1310" s="38">
        <f>IF(A1310="","",IFERROR(INDEX(Maniobras!$D$5:$D$504,MATCH(A1310,Maniobras!$A$5:$A$504,0)),""))</f>
        <v/>
      </c>
      <c r="E1310" s="38" t="n"/>
      <c r="F1310" s="39">
        <f>IF(A1310="","",IFERROR(INDEX(Maniobras!$K$5:$K$504,MATCH(A1310,Maniobras!$A$5:$A$504,0)),""))</f>
        <v/>
      </c>
      <c r="G1310" s="39" t="n"/>
      <c r="H1310" s="39" t="n"/>
      <c r="I1310" s="39">
        <f>IF(G1310="","",G1310+N(H1310))</f>
        <v/>
      </c>
      <c r="J1310" s="38" t="n"/>
      <c r="K1310" s="41" t="n"/>
      <c r="L1310" s="38" t="n"/>
      <c r="M1310">
        <f>IF($A1310=Ficha!$B$3,COUNTIF($A$5:$A1310,Ficha!$B$3),"")</f>
        <v/>
      </c>
    </row>
    <row r="1311">
      <c r="A1311" s="36" t="n"/>
      <c r="B1311" s="40">
        <f>IF(A1311="","",IFERROR(INDEX(Maniobras!$B$5:$B$504,MATCH(A1311,Maniobras!$A$5:$A$504,0)),""))</f>
        <v/>
      </c>
      <c r="C1311" s="36">
        <f>IF(B1311="","",TEXT(B1311,"yyyy-mm"))</f>
        <v/>
      </c>
      <c r="D1311" s="36">
        <f>IF(A1311="","",IFERROR(INDEX(Maniobras!$D$5:$D$504,MATCH(A1311,Maniobras!$A$5:$A$504,0)),""))</f>
        <v/>
      </c>
      <c r="E1311" s="36" t="n"/>
      <c r="F1311" s="37">
        <f>IF(A1311="","",IFERROR(INDEX(Maniobras!$K$5:$K$504,MATCH(A1311,Maniobras!$A$5:$A$504,0)),""))</f>
        <v/>
      </c>
      <c r="G1311" s="37" t="n"/>
      <c r="H1311" s="37" t="n"/>
      <c r="I1311" s="37">
        <f>IF(G1311="","",G1311+N(H1311))</f>
        <v/>
      </c>
      <c r="J1311" s="36" t="n"/>
      <c r="K1311" s="40" t="n"/>
      <c r="L1311" s="36" t="n"/>
      <c r="M1311">
        <f>IF($A1311=Ficha!$B$3,COUNTIF($A$5:$A1311,Ficha!$B$3),"")</f>
        <v/>
      </c>
    </row>
    <row r="1312">
      <c r="A1312" s="38" t="n"/>
      <c r="B1312" s="41">
        <f>IF(A1312="","",IFERROR(INDEX(Maniobras!$B$5:$B$504,MATCH(A1312,Maniobras!$A$5:$A$504,0)),""))</f>
        <v/>
      </c>
      <c r="C1312" s="38">
        <f>IF(B1312="","",TEXT(B1312,"yyyy-mm"))</f>
        <v/>
      </c>
      <c r="D1312" s="38">
        <f>IF(A1312="","",IFERROR(INDEX(Maniobras!$D$5:$D$504,MATCH(A1312,Maniobras!$A$5:$A$504,0)),""))</f>
        <v/>
      </c>
      <c r="E1312" s="38" t="n"/>
      <c r="F1312" s="39">
        <f>IF(A1312="","",IFERROR(INDEX(Maniobras!$K$5:$K$504,MATCH(A1312,Maniobras!$A$5:$A$504,0)),""))</f>
        <v/>
      </c>
      <c r="G1312" s="39" t="n"/>
      <c r="H1312" s="39" t="n"/>
      <c r="I1312" s="39">
        <f>IF(G1312="","",G1312+N(H1312))</f>
        <v/>
      </c>
      <c r="J1312" s="38" t="n"/>
      <c r="K1312" s="41" t="n"/>
      <c r="L1312" s="38" t="n"/>
      <c r="M1312">
        <f>IF($A1312=Ficha!$B$3,COUNTIF($A$5:$A1312,Ficha!$B$3),"")</f>
        <v/>
      </c>
    </row>
    <row r="1313">
      <c r="A1313" s="36" t="n"/>
      <c r="B1313" s="40">
        <f>IF(A1313="","",IFERROR(INDEX(Maniobras!$B$5:$B$504,MATCH(A1313,Maniobras!$A$5:$A$504,0)),""))</f>
        <v/>
      </c>
      <c r="C1313" s="36">
        <f>IF(B1313="","",TEXT(B1313,"yyyy-mm"))</f>
        <v/>
      </c>
      <c r="D1313" s="36">
        <f>IF(A1313="","",IFERROR(INDEX(Maniobras!$D$5:$D$504,MATCH(A1313,Maniobras!$A$5:$A$504,0)),""))</f>
        <v/>
      </c>
      <c r="E1313" s="36" t="n"/>
      <c r="F1313" s="37">
        <f>IF(A1313="","",IFERROR(INDEX(Maniobras!$K$5:$K$504,MATCH(A1313,Maniobras!$A$5:$A$504,0)),""))</f>
        <v/>
      </c>
      <c r="G1313" s="37" t="n"/>
      <c r="H1313" s="37" t="n"/>
      <c r="I1313" s="37">
        <f>IF(G1313="","",G1313+N(H1313))</f>
        <v/>
      </c>
      <c r="J1313" s="36" t="n"/>
      <c r="K1313" s="40" t="n"/>
      <c r="L1313" s="36" t="n"/>
      <c r="M1313">
        <f>IF($A1313=Ficha!$B$3,COUNTIF($A$5:$A1313,Ficha!$B$3),"")</f>
        <v/>
      </c>
    </row>
    <row r="1314">
      <c r="A1314" s="38" t="n"/>
      <c r="B1314" s="41">
        <f>IF(A1314="","",IFERROR(INDEX(Maniobras!$B$5:$B$504,MATCH(A1314,Maniobras!$A$5:$A$504,0)),""))</f>
        <v/>
      </c>
      <c r="C1314" s="38">
        <f>IF(B1314="","",TEXT(B1314,"yyyy-mm"))</f>
        <v/>
      </c>
      <c r="D1314" s="38">
        <f>IF(A1314="","",IFERROR(INDEX(Maniobras!$D$5:$D$504,MATCH(A1314,Maniobras!$A$5:$A$504,0)),""))</f>
        <v/>
      </c>
      <c r="E1314" s="38" t="n"/>
      <c r="F1314" s="39">
        <f>IF(A1314="","",IFERROR(INDEX(Maniobras!$K$5:$K$504,MATCH(A1314,Maniobras!$A$5:$A$504,0)),""))</f>
        <v/>
      </c>
      <c r="G1314" s="39" t="n"/>
      <c r="H1314" s="39" t="n"/>
      <c r="I1314" s="39">
        <f>IF(G1314="","",G1314+N(H1314))</f>
        <v/>
      </c>
      <c r="J1314" s="38" t="n"/>
      <c r="K1314" s="41" t="n"/>
      <c r="L1314" s="38" t="n"/>
      <c r="M1314">
        <f>IF($A1314=Ficha!$B$3,COUNTIF($A$5:$A1314,Ficha!$B$3),"")</f>
        <v/>
      </c>
    </row>
    <row r="1315">
      <c r="A1315" s="36" t="n"/>
      <c r="B1315" s="40">
        <f>IF(A1315="","",IFERROR(INDEX(Maniobras!$B$5:$B$504,MATCH(A1315,Maniobras!$A$5:$A$504,0)),""))</f>
        <v/>
      </c>
      <c r="C1315" s="36">
        <f>IF(B1315="","",TEXT(B1315,"yyyy-mm"))</f>
        <v/>
      </c>
      <c r="D1315" s="36">
        <f>IF(A1315="","",IFERROR(INDEX(Maniobras!$D$5:$D$504,MATCH(A1315,Maniobras!$A$5:$A$504,0)),""))</f>
        <v/>
      </c>
      <c r="E1315" s="36" t="n"/>
      <c r="F1315" s="37">
        <f>IF(A1315="","",IFERROR(INDEX(Maniobras!$K$5:$K$504,MATCH(A1315,Maniobras!$A$5:$A$504,0)),""))</f>
        <v/>
      </c>
      <c r="G1315" s="37" t="n"/>
      <c r="H1315" s="37" t="n"/>
      <c r="I1315" s="37">
        <f>IF(G1315="","",G1315+N(H1315))</f>
        <v/>
      </c>
      <c r="J1315" s="36" t="n"/>
      <c r="K1315" s="40" t="n"/>
      <c r="L1315" s="36" t="n"/>
      <c r="M1315">
        <f>IF($A1315=Ficha!$B$3,COUNTIF($A$5:$A1315,Ficha!$B$3),"")</f>
        <v/>
      </c>
    </row>
    <row r="1316">
      <c r="A1316" s="38" t="n"/>
      <c r="B1316" s="41">
        <f>IF(A1316="","",IFERROR(INDEX(Maniobras!$B$5:$B$504,MATCH(A1316,Maniobras!$A$5:$A$504,0)),""))</f>
        <v/>
      </c>
      <c r="C1316" s="38">
        <f>IF(B1316="","",TEXT(B1316,"yyyy-mm"))</f>
        <v/>
      </c>
      <c r="D1316" s="38">
        <f>IF(A1316="","",IFERROR(INDEX(Maniobras!$D$5:$D$504,MATCH(A1316,Maniobras!$A$5:$A$504,0)),""))</f>
        <v/>
      </c>
      <c r="E1316" s="38" t="n"/>
      <c r="F1316" s="39">
        <f>IF(A1316="","",IFERROR(INDEX(Maniobras!$K$5:$K$504,MATCH(A1316,Maniobras!$A$5:$A$504,0)),""))</f>
        <v/>
      </c>
      <c r="G1316" s="39" t="n"/>
      <c r="H1316" s="39" t="n"/>
      <c r="I1316" s="39">
        <f>IF(G1316="","",G1316+N(H1316))</f>
        <v/>
      </c>
      <c r="J1316" s="38" t="n"/>
      <c r="K1316" s="41" t="n"/>
      <c r="L1316" s="38" t="n"/>
      <c r="M1316">
        <f>IF($A1316=Ficha!$B$3,COUNTIF($A$5:$A1316,Ficha!$B$3),"")</f>
        <v/>
      </c>
    </row>
    <row r="1317">
      <c r="A1317" s="36" t="n"/>
      <c r="B1317" s="40">
        <f>IF(A1317="","",IFERROR(INDEX(Maniobras!$B$5:$B$504,MATCH(A1317,Maniobras!$A$5:$A$504,0)),""))</f>
        <v/>
      </c>
      <c r="C1317" s="36">
        <f>IF(B1317="","",TEXT(B1317,"yyyy-mm"))</f>
        <v/>
      </c>
      <c r="D1317" s="36">
        <f>IF(A1317="","",IFERROR(INDEX(Maniobras!$D$5:$D$504,MATCH(A1317,Maniobras!$A$5:$A$504,0)),""))</f>
        <v/>
      </c>
      <c r="E1317" s="36" t="n"/>
      <c r="F1317" s="37">
        <f>IF(A1317="","",IFERROR(INDEX(Maniobras!$K$5:$K$504,MATCH(A1317,Maniobras!$A$5:$A$504,0)),""))</f>
        <v/>
      </c>
      <c r="G1317" s="37" t="n"/>
      <c r="H1317" s="37" t="n"/>
      <c r="I1317" s="37">
        <f>IF(G1317="","",G1317+N(H1317))</f>
        <v/>
      </c>
      <c r="J1317" s="36" t="n"/>
      <c r="K1317" s="40" t="n"/>
      <c r="L1317" s="36" t="n"/>
      <c r="M1317">
        <f>IF($A1317=Ficha!$B$3,COUNTIF($A$5:$A1317,Ficha!$B$3),"")</f>
        <v/>
      </c>
    </row>
    <row r="1318">
      <c r="A1318" s="38" t="n"/>
      <c r="B1318" s="41">
        <f>IF(A1318="","",IFERROR(INDEX(Maniobras!$B$5:$B$504,MATCH(A1318,Maniobras!$A$5:$A$504,0)),""))</f>
        <v/>
      </c>
      <c r="C1318" s="38">
        <f>IF(B1318="","",TEXT(B1318,"yyyy-mm"))</f>
        <v/>
      </c>
      <c r="D1318" s="38">
        <f>IF(A1318="","",IFERROR(INDEX(Maniobras!$D$5:$D$504,MATCH(A1318,Maniobras!$A$5:$A$504,0)),""))</f>
        <v/>
      </c>
      <c r="E1318" s="38" t="n"/>
      <c r="F1318" s="39">
        <f>IF(A1318="","",IFERROR(INDEX(Maniobras!$K$5:$K$504,MATCH(A1318,Maniobras!$A$5:$A$504,0)),""))</f>
        <v/>
      </c>
      <c r="G1318" s="39" t="n"/>
      <c r="H1318" s="39" t="n"/>
      <c r="I1318" s="39">
        <f>IF(G1318="","",G1318+N(H1318))</f>
        <v/>
      </c>
      <c r="J1318" s="38" t="n"/>
      <c r="K1318" s="41" t="n"/>
      <c r="L1318" s="38" t="n"/>
      <c r="M1318">
        <f>IF($A1318=Ficha!$B$3,COUNTIF($A$5:$A1318,Ficha!$B$3),"")</f>
        <v/>
      </c>
    </row>
    <row r="1319">
      <c r="A1319" s="36" t="n"/>
      <c r="B1319" s="40">
        <f>IF(A1319="","",IFERROR(INDEX(Maniobras!$B$5:$B$504,MATCH(A1319,Maniobras!$A$5:$A$504,0)),""))</f>
        <v/>
      </c>
      <c r="C1319" s="36">
        <f>IF(B1319="","",TEXT(B1319,"yyyy-mm"))</f>
        <v/>
      </c>
      <c r="D1319" s="36">
        <f>IF(A1319="","",IFERROR(INDEX(Maniobras!$D$5:$D$504,MATCH(A1319,Maniobras!$A$5:$A$504,0)),""))</f>
        <v/>
      </c>
      <c r="E1319" s="36" t="n"/>
      <c r="F1319" s="37">
        <f>IF(A1319="","",IFERROR(INDEX(Maniobras!$K$5:$K$504,MATCH(A1319,Maniobras!$A$5:$A$504,0)),""))</f>
        <v/>
      </c>
      <c r="G1319" s="37" t="n"/>
      <c r="H1319" s="37" t="n"/>
      <c r="I1319" s="37">
        <f>IF(G1319="","",G1319+N(H1319))</f>
        <v/>
      </c>
      <c r="J1319" s="36" t="n"/>
      <c r="K1319" s="40" t="n"/>
      <c r="L1319" s="36" t="n"/>
      <c r="M1319">
        <f>IF($A1319=Ficha!$B$3,COUNTIF($A$5:$A1319,Ficha!$B$3),"")</f>
        <v/>
      </c>
    </row>
    <row r="1320">
      <c r="A1320" s="38" t="n"/>
      <c r="B1320" s="41">
        <f>IF(A1320="","",IFERROR(INDEX(Maniobras!$B$5:$B$504,MATCH(A1320,Maniobras!$A$5:$A$504,0)),""))</f>
        <v/>
      </c>
      <c r="C1320" s="38">
        <f>IF(B1320="","",TEXT(B1320,"yyyy-mm"))</f>
        <v/>
      </c>
      <c r="D1320" s="38">
        <f>IF(A1320="","",IFERROR(INDEX(Maniobras!$D$5:$D$504,MATCH(A1320,Maniobras!$A$5:$A$504,0)),""))</f>
        <v/>
      </c>
      <c r="E1320" s="38" t="n"/>
      <c r="F1320" s="39">
        <f>IF(A1320="","",IFERROR(INDEX(Maniobras!$K$5:$K$504,MATCH(A1320,Maniobras!$A$5:$A$504,0)),""))</f>
        <v/>
      </c>
      <c r="G1320" s="39" t="n"/>
      <c r="H1320" s="39" t="n"/>
      <c r="I1320" s="39">
        <f>IF(G1320="","",G1320+N(H1320))</f>
        <v/>
      </c>
      <c r="J1320" s="38" t="n"/>
      <c r="K1320" s="41" t="n"/>
      <c r="L1320" s="38" t="n"/>
      <c r="M1320">
        <f>IF($A1320=Ficha!$B$3,COUNTIF($A$5:$A1320,Ficha!$B$3),"")</f>
        <v/>
      </c>
    </row>
    <row r="1321">
      <c r="A1321" s="36" t="n"/>
      <c r="B1321" s="40">
        <f>IF(A1321="","",IFERROR(INDEX(Maniobras!$B$5:$B$504,MATCH(A1321,Maniobras!$A$5:$A$504,0)),""))</f>
        <v/>
      </c>
      <c r="C1321" s="36">
        <f>IF(B1321="","",TEXT(B1321,"yyyy-mm"))</f>
        <v/>
      </c>
      <c r="D1321" s="36">
        <f>IF(A1321="","",IFERROR(INDEX(Maniobras!$D$5:$D$504,MATCH(A1321,Maniobras!$A$5:$A$504,0)),""))</f>
        <v/>
      </c>
      <c r="E1321" s="36" t="n"/>
      <c r="F1321" s="37">
        <f>IF(A1321="","",IFERROR(INDEX(Maniobras!$K$5:$K$504,MATCH(A1321,Maniobras!$A$5:$A$504,0)),""))</f>
        <v/>
      </c>
      <c r="G1321" s="37" t="n"/>
      <c r="H1321" s="37" t="n"/>
      <c r="I1321" s="37">
        <f>IF(G1321="","",G1321+N(H1321))</f>
        <v/>
      </c>
      <c r="J1321" s="36" t="n"/>
      <c r="K1321" s="40" t="n"/>
      <c r="L1321" s="36" t="n"/>
      <c r="M1321">
        <f>IF($A1321=Ficha!$B$3,COUNTIF($A$5:$A1321,Ficha!$B$3),"")</f>
        <v/>
      </c>
    </row>
    <row r="1322">
      <c r="A1322" s="38" t="n"/>
      <c r="B1322" s="41">
        <f>IF(A1322="","",IFERROR(INDEX(Maniobras!$B$5:$B$504,MATCH(A1322,Maniobras!$A$5:$A$504,0)),""))</f>
        <v/>
      </c>
      <c r="C1322" s="38">
        <f>IF(B1322="","",TEXT(B1322,"yyyy-mm"))</f>
        <v/>
      </c>
      <c r="D1322" s="38">
        <f>IF(A1322="","",IFERROR(INDEX(Maniobras!$D$5:$D$504,MATCH(A1322,Maniobras!$A$5:$A$504,0)),""))</f>
        <v/>
      </c>
      <c r="E1322" s="38" t="n"/>
      <c r="F1322" s="39">
        <f>IF(A1322="","",IFERROR(INDEX(Maniobras!$K$5:$K$504,MATCH(A1322,Maniobras!$A$5:$A$504,0)),""))</f>
        <v/>
      </c>
      <c r="G1322" s="39" t="n"/>
      <c r="H1322" s="39" t="n"/>
      <c r="I1322" s="39">
        <f>IF(G1322="","",G1322+N(H1322))</f>
        <v/>
      </c>
      <c r="J1322" s="38" t="n"/>
      <c r="K1322" s="41" t="n"/>
      <c r="L1322" s="38" t="n"/>
      <c r="M1322">
        <f>IF($A1322=Ficha!$B$3,COUNTIF($A$5:$A1322,Ficha!$B$3),"")</f>
        <v/>
      </c>
    </row>
    <row r="1323">
      <c r="A1323" s="36" t="n"/>
      <c r="B1323" s="40">
        <f>IF(A1323="","",IFERROR(INDEX(Maniobras!$B$5:$B$504,MATCH(A1323,Maniobras!$A$5:$A$504,0)),""))</f>
        <v/>
      </c>
      <c r="C1323" s="36">
        <f>IF(B1323="","",TEXT(B1323,"yyyy-mm"))</f>
        <v/>
      </c>
      <c r="D1323" s="36">
        <f>IF(A1323="","",IFERROR(INDEX(Maniobras!$D$5:$D$504,MATCH(A1323,Maniobras!$A$5:$A$504,0)),""))</f>
        <v/>
      </c>
      <c r="E1323" s="36" t="n"/>
      <c r="F1323" s="37">
        <f>IF(A1323="","",IFERROR(INDEX(Maniobras!$K$5:$K$504,MATCH(A1323,Maniobras!$A$5:$A$504,0)),""))</f>
        <v/>
      </c>
      <c r="G1323" s="37" t="n"/>
      <c r="H1323" s="37" t="n"/>
      <c r="I1323" s="37">
        <f>IF(G1323="","",G1323+N(H1323))</f>
        <v/>
      </c>
      <c r="J1323" s="36" t="n"/>
      <c r="K1323" s="40" t="n"/>
      <c r="L1323" s="36" t="n"/>
      <c r="M1323">
        <f>IF($A1323=Ficha!$B$3,COUNTIF($A$5:$A1323,Ficha!$B$3),"")</f>
        <v/>
      </c>
    </row>
    <row r="1324">
      <c r="A1324" s="38" t="n"/>
      <c r="B1324" s="41">
        <f>IF(A1324="","",IFERROR(INDEX(Maniobras!$B$5:$B$504,MATCH(A1324,Maniobras!$A$5:$A$504,0)),""))</f>
        <v/>
      </c>
      <c r="C1324" s="38">
        <f>IF(B1324="","",TEXT(B1324,"yyyy-mm"))</f>
        <v/>
      </c>
      <c r="D1324" s="38">
        <f>IF(A1324="","",IFERROR(INDEX(Maniobras!$D$5:$D$504,MATCH(A1324,Maniobras!$A$5:$A$504,0)),""))</f>
        <v/>
      </c>
      <c r="E1324" s="38" t="n"/>
      <c r="F1324" s="39">
        <f>IF(A1324="","",IFERROR(INDEX(Maniobras!$K$5:$K$504,MATCH(A1324,Maniobras!$A$5:$A$504,0)),""))</f>
        <v/>
      </c>
      <c r="G1324" s="39" t="n"/>
      <c r="H1324" s="39" t="n"/>
      <c r="I1324" s="39">
        <f>IF(G1324="","",G1324+N(H1324))</f>
        <v/>
      </c>
      <c r="J1324" s="38" t="n"/>
      <c r="K1324" s="41" t="n"/>
      <c r="L1324" s="38" t="n"/>
      <c r="M1324">
        <f>IF($A1324=Ficha!$B$3,COUNTIF($A$5:$A1324,Ficha!$B$3),"")</f>
        <v/>
      </c>
    </row>
    <row r="1325">
      <c r="A1325" s="36" t="n"/>
      <c r="B1325" s="40">
        <f>IF(A1325="","",IFERROR(INDEX(Maniobras!$B$5:$B$504,MATCH(A1325,Maniobras!$A$5:$A$504,0)),""))</f>
        <v/>
      </c>
      <c r="C1325" s="36">
        <f>IF(B1325="","",TEXT(B1325,"yyyy-mm"))</f>
        <v/>
      </c>
      <c r="D1325" s="36">
        <f>IF(A1325="","",IFERROR(INDEX(Maniobras!$D$5:$D$504,MATCH(A1325,Maniobras!$A$5:$A$504,0)),""))</f>
        <v/>
      </c>
      <c r="E1325" s="36" t="n"/>
      <c r="F1325" s="37">
        <f>IF(A1325="","",IFERROR(INDEX(Maniobras!$K$5:$K$504,MATCH(A1325,Maniobras!$A$5:$A$504,0)),""))</f>
        <v/>
      </c>
      <c r="G1325" s="37" t="n"/>
      <c r="H1325" s="37" t="n"/>
      <c r="I1325" s="37">
        <f>IF(G1325="","",G1325+N(H1325))</f>
        <v/>
      </c>
      <c r="J1325" s="36" t="n"/>
      <c r="K1325" s="40" t="n"/>
      <c r="L1325" s="36" t="n"/>
      <c r="M1325">
        <f>IF($A1325=Ficha!$B$3,COUNTIF($A$5:$A1325,Ficha!$B$3),"")</f>
        <v/>
      </c>
    </row>
    <row r="1326">
      <c r="A1326" s="38" t="n"/>
      <c r="B1326" s="41">
        <f>IF(A1326="","",IFERROR(INDEX(Maniobras!$B$5:$B$504,MATCH(A1326,Maniobras!$A$5:$A$504,0)),""))</f>
        <v/>
      </c>
      <c r="C1326" s="38">
        <f>IF(B1326="","",TEXT(B1326,"yyyy-mm"))</f>
        <v/>
      </c>
      <c r="D1326" s="38">
        <f>IF(A1326="","",IFERROR(INDEX(Maniobras!$D$5:$D$504,MATCH(A1326,Maniobras!$A$5:$A$504,0)),""))</f>
        <v/>
      </c>
      <c r="E1326" s="38" t="n"/>
      <c r="F1326" s="39">
        <f>IF(A1326="","",IFERROR(INDEX(Maniobras!$K$5:$K$504,MATCH(A1326,Maniobras!$A$5:$A$504,0)),""))</f>
        <v/>
      </c>
      <c r="G1326" s="39" t="n"/>
      <c r="H1326" s="39" t="n"/>
      <c r="I1326" s="39">
        <f>IF(G1326="","",G1326+N(H1326))</f>
        <v/>
      </c>
      <c r="J1326" s="38" t="n"/>
      <c r="K1326" s="41" t="n"/>
      <c r="L1326" s="38" t="n"/>
      <c r="M1326">
        <f>IF($A1326=Ficha!$B$3,COUNTIF($A$5:$A1326,Ficha!$B$3),"")</f>
        <v/>
      </c>
    </row>
    <row r="1327">
      <c r="A1327" s="36" t="n"/>
      <c r="B1327" s="40">
        <f>IF(A1327="","",IFERROR(INDEX(Maniobras!$B$5:$B$504,MATCH(A1327,Maniobras!$A$5:$A$504,0)),""))</f>
        <v/>
      </c>
      <c r="C1327" s="36">
        <f>IF(B1327="","",TEXT(B1327,"yyyy-mm"))</f>
        <v/>
      </c>
      <c r="D1327" s="36">
        <f>IF(A1327="","",IFERROR(INDEX(Maniobras!$D$5:$D$504,MATCH(A1327,Maniobras!$A$5:$A$504,0)),""))</f>
        <v/>
      </c>
      <c r="E1327" s="36" t="n"/>
      <c r="F1327" s="37">
        <f>IF(A1327="","",IFERROR(INDEX(Maniobras!$K$5:$K$504,MATCH(A1327,Maniobras!$A$5:$A$504,0)),""))</f>
        <v/>
      </c>
      <c r="G1327" s="37" t="n"/>
      <c r="H1327" s="37" t="n"/>
      <c r="I1327" s="37">
        <f>IF(G1327="","",G1327+N(H1327))</f>
        <v/>
      </c>
      <c r="J1327" s="36" t="n"/>
      <c r="K1327" s="40" t="n"/>
      <c r="L1327" s="36" t="n"/>
      <c r="M1327">
        <f>IF($A1327=Ficha!$B$3,COUNTIF($A$5:$A1327,Ficha!$B$3),"")</f>
        <v/>
      </c>
    </row>
    <row r="1328">
      <c r="A1328" s="38" t="n"/>
      <c r="B1328" s="41">
        <f>IF(A1328="","",IFERROR(INDEX(Maniobras!$B$5:$B$504,MATCH(A1328,Maniobras!$A$5:$A$504,0)),""))</f>
        <v/>
      </c>
      <c r="C1328" s="38">
        <f>IF(B1328="","",TEXT(B1328,"yyyy-mm"))</f>
        <v/>
      </c>
      <c r="D1328" s="38">
        <f>IF(A1328="","",IFERROR(INDEX(Maniobras!$D$5:$D$504,MATCH(A1328,Maniobras!$A$5:$A$504,0)),""))</f>
        <v/>
      </c>
      <c r="E1328" s="38" t="n"/>
      <c r="F1328" s="39">
        <f>IF(A1328="","",IFERROR(INDEX(Maniobras!$K$5:$K$504,MATCH(A1328,Maniobras!$A$5:$A$504,0)),""))</f>
        <v/>
      </c>
      <c r="G1328" s="39" t="n"/>
      <c r="H1328" s="39" t="n"/>
      <c r="I1328" s="39">
        <f>IF(G1328="","",G1328+N(H1328))</f>
        <v/>
      </c>
      <c r="J1328" s="38" t="n"/>
      <c r="K1328" s="41" t="n"/>
      <c r="L1328" s="38" t="n"/>
      <c r="M1328">
        <f>IF($A1328=Ficha!$B$3,COUNTIF($A$5:$A1328,Ficha!$B$3),"")</f>
        <v/>
      </c>
    </row>
    <row r="1329">
      <c r="A1329" s="36" t="n"/>
      <c r="B1329" s="40">
        <f>IF(A1329="","",IFERROR(INDEX(Maniobras!$B$5:$B$504,MATCH(A1329,Maniobras!$A$5:$A$504,0)),""))</f>
        <v/>
      </c>
      <c r="C1329" s="36">
        <f>IF(B1329="","",TEXT(B1329,"yyyy-mm"))</f>
        <v/>
      </c>
      <c r="D1329" s="36">
        <f>IF(A1329="","",IFERROR(INDEX(Maniobras!$D$5:$D$504,MATCH(A1329,Maniobras!$A$5:$A$504,0)),""))</f>
        <v/>
      </c>
      <c r="E1329" s="36" t="n"/>
      <c r="F1329" s="37">
        <f>IF(A1329="","",IFERROR(INDEX(Maniobras!$K$5:$K$504,MATCH(A1329,Maniobras!$A$5:$A$504,0)),""))</f>
        <v/>
      </c>
      <c r="G1329" s="37" t="n"/>
      <c r="H1329" s="37" t="n"/>
      <c r="I1329" s="37">
        <f>IF(G1329="","",G1329+N(H1329))</f>
        <v/>
      </c>
      <c r="J1329" s="36" t="n"/>
      <c r="K1329" s="40" t="n"/>
      <c r="L1329" s="36" t="n"/>
      <c r="M1329">
        <f>IF($A1329=Ficha!$B$3,COUNTIF($A$5:$A1329,Ficha!$B$3),"")</f>
        <v/>
      </c>
    </row>
    <row r="1330">
      <c r="A1330" s="38" t="n"/>
      <c r="B1330" s="41">
        <f>IF(A1330="","",IFERROR(INDEX(Maniobras!$B$5:$B$504,MATCH(A1330,Maniobras!$A$5:$A$504,0)),""))</f>
        <v/>
      </c>
      <c r="C1330" s="38">
        <f>IF(B1330="","",TEXT(B1330,"yyyy-mm"))</f>
        <v/>
      </c>
      <c r="D1330" s="38">
        <f>IF(A1330="","",IFERROR(INDEX(Maniobras!$D$5:$D$504,MATCH(A1330,Maniobras!$A$5:$A$504,0)),""))</f>
        <v/>
      </c>
      <c r="E1330" s="38" t="n"/>
      <c r="F1330" s="39">
        <f>IF(A1330="","",IFERROR(INDEX(Maniobras!$K$5:$K$504,MATCH(A1330,Maniobras!$A$5:$A$504,0)),""))</f>
        <v/>
      </c>
      <c r="G1330" s="39" t="n"/>
      <c r="H1330" s="39" t="n"/>
      <c r="I1330" s="39">
        <f>IF(G1330="","",G1330+N(H1330))</f>
        <v/>
      </c>
      <c r="J1330" s="38" t="n"/>
      <c r="K1330" s="41" t="n"/>
      <c r="L1330" s="38" t="n"/>
      <c r="M1330">
        <f>IF($A1330=Ficha!$B$3,COUNTIF($A$5:$A1330,Ficha!$B$3),"")</f>
        <v/>
      </c>
    </row>
    <row r="1331">
      <c r="A1331" s="36" t="n"/>
      <c r="B1331" s="40">
        <f>IF(A1331="","",IFERROR(INDEX(Maniobras!$B$5:$B$504,MATCH(A1331,Maniobras!$A$5:$A$504,0)),""))</f>
        <v/>
      </c>
      <c r="C1331" s="36">
        <f>IF(B1331="","",TEXT(B1331,"yyyy-mm"))</f>
        <v/>
      </c>
      <c r="D1331" s="36">
        <f>IF(A1331="","",IFERROR(INDEX(Maniobras!$D$5:$D$504,MATCH(A1331,Maniobras!$A$5:$A$504,0)),""))</f>
        <v/>
      </c>
      <c r="E1331" s="36" t="n"/>
      <c r="F1331" s="37">
        <f>IF(A1331="","",IFERROR(INDEX(Maniobras!$K$5:$K$504,MATCH(A1331,Maniobras!$A$5:$A$504,0)),""))</f>
        <v/>
      </c>
      <c r="G1331" s="37" t="n"/>
      <c r="H1331" s="37" t="n"/>
      <c r="I1331" s="37">
        <f>IF(G1331="","",G1331+N(H1331))</f>
        <v/>
      </c>
      <c r="J1331" s="36" t="n"/>
      <c r="K1331" s="40" t="n"/>
      <c r="L1331" s="36" t="n"/>
      <c r="M1331">
        <f>IF($A1331=Ficha!$B$3,COUNTIF($A$5:$A1331,Ficha!$B$3),"")</f>
        <v/>
      </c>
    </row>
    <row r="1332">
      <c r="A1332" s="38" t="n"/>
      <c r="B1332" s="41">
        <f>IF(A1332="","",IFERROR(INDEX(Maniobras!$B$5:$B$504,MATCH(A1332,Maniobras!$A$5:$A$504,0)),""))</f>
        <v/>
      </c>
      <c r="C1332" s="38">
        <f>IF(B1332="","",TEXT(B1332,"yyyy-mm"))</f>
        <v/>
      </c>
      <c r="D1332" s="38">
        <f>IF(A1332="","",IFERROR(INDEX(Maniobras!$D$5:$D$504,MATCH(A1332,Maniobras!$A$5:$A$504,0)),""))</f>
        <v/>
      </c>
      <c r="E1332" s="38" t="n"/>
      <c r="F1332" s="39">
        <f>IF(A1332="","",IFERROR(INDEX(Maniobras!$K$5:$K$504,MATCH(A1332,Maniobras!$A$5:$A$504,0)),""))</f>
        <v/>
      </c>
      <c r="G1332" s="39" t="n"/>
      <c r="H1332" s="39" t="n"/>
      <c r="I1332" s="39">
        <f>IF(G1332="","",G1332+N(H1332))</f>
        <v/>
      </c>
      <c r="J1332" s="38" t="n"/>
      <c r="K1332" s="41" t="n"/>
      <c r="L1332" s="38" t="n"/>
      <c r="M1332">
        <f>IF($A1332=Ficha!$B$3,COUNTIF($A$5:$A1332,Ficha!$B$3),"")</f>
        <v/>
      </c>
    </row>
    <row r="1333">
      <c r="A1333" s="36" t="n"/>
      <c r="B1333" s="40">
        <f>IF(A1333="","",IFERROR(INDEX(Maniobras!$B$5:$B$504,MATCH(A1333,Maniobras!$A$5:$A$504,0)),""))</f>
        <v/>
      </c>
      <c r="C1333" s="36">
        <f>IF(B1333="","",TEXT(B1333,"yyyy-mm"))</f>
        <v/>
      </c>
      <c r="D1333" s="36">
        <f>IF(A1333="","",IFERROR(INDEX(Maniobras!$D$5:$D$504,MATCH(A1333,Maniobras!$A$5:$A$504,0)),""))</f>
        <v/>
      </c>
      <c r="E1333" s="36" t="n"/>
      <c r="F1333" s="37">
        <f>IF(A1333="","",IFERROR(INDEX(Maniobras!$K$5:$K$504,MATCH(A1333,Maniobras!$A$5:$A$504,0)),""))</f>
        <v/>
      </c>
      <c r="G1333" s="37" t="n"/>
      <c r="H1333" s="37" t="n"/>
      <c r="I1333" s="37">
        <f>IF(G1333="","",G1333+N(H1333))</f>
        <v/>
      </c>
      <c r="J1333" s="36" t="n"/>
      <c r="K1333" s="40" t="n"/>
      <c r="L1333" s="36" t="n"/>
      <c r="M1333">
        <f>IF($A1333=Ficha!$B$3,COUNTIF($A$5:$A1333,Ficha!$B$3),"")</f>
        <v/>
      </c>
    </row>
    <row r="1334">
      <c r="A1334" s="38" t="n"/>
      <c r="B1334" s="41">
        <f>IF(A1334="","",IFERROR(INDEX(Maniobras!$B$5:$B$504,MATCH(A1334,Maniobras!$A$5:$A$504,0)),""))</f>
        <v/>
      </c>
      <c r="C1334" s="38">
        <f>IF(B1334="","",TEXT(B1334,"yyyy-mm"))</f>
        <v/>
      </c>
      <c r="D1334" s="38">
        <f>IF(A1334="","",IFERROR(INDEX(Maniobras!$D$5:$D$504,MATCH(A1334,Maniobras!$A$5:$A$504,0)),""))</f>
        <v/>
      </c>
      <c r="E1334" s="38" t="n"/>
      <c r="F1334" s="39">
        <f>IF(A1334="","",IFERROR(INDEX(Maniobras!$K$5:$K$504,MATCH(A1334,Maniobras!$A$5:$A$504,0)),""))</f>
        <v/>
      </c>
      <c r="G1334" s="39" t="n"/>
      <c r="H1334" s="39" t="n"/>
      <c r="I1334" s="39">
        <f>IF(G1334="","",G1334+N(H1334))</f>
        <v/>
      </c>
      <c r="J1334" s="38" t="n"/>
      <c r="K1334" s="41" t="n"/>
      <c r="L1334" s="38" t="n"/>
      <c r="M1334">
        <f>IF($A1334=Ficha!$B$3,COUNTIF($A$5:$A1334,Ficha!$B$3),"")</f>
        <v/>
      </c>
    </row>
    <row r="1335">
      <c r="A1335" s="36" t="n"/>
      <c r="B1335" s="40">
        <f>IF(A1335="","",IFERROR(INDEX(Maniobras!$B$5:$B$504,MATCH(A1335,Maniobras!$A$5:$A$504,0)),""))</f>
        <v/>
      </c>
      <c r="C1335" s="36">
        <f>IF(B1335="","",TEXT(B1335,"yyyy-mm"))</f>
        <v/>
      </c>
      <c r="D1335" s="36">
        <f>IF(A1335="","",IFERROR(INDEX(Maniobras!$D$5:$D$504,MATCH(A1335,Maniobras!$A$5:$A$504,0)),""))</f>
        <v/>
      </c>
      <c r="E1335" s="36" t="n"/>
      <c r="F1335" s="37">
        <f>IF(A1335="","",IFERROR(INDEX(Maniobras!$K$5:$K$504,MATCH(A1335,Maniobras!$A$5:$A$504,0)),""))</f>
        <v/>
      </c>
      <c r="G1335" s="37" t="n"/>
      <c r="H1335" s="37" t="n"/>
      <c r="I1335" s="37">
        <f>IF(G1335="","",G1335+N(H1335))</f>
        <v/>
      </c>
      <c r="J1335" s="36" t="n"/>
      <c r="K1335" s="40" t="n"/>
      <c r="L1335" s="36" t="n"/>
      <c r="M1335">
        <f>IF($A1335=Ficha!$B$3,COUNTIF($A$5:$A1335,Ficha!$B$3),"")</f>
        <v/>
      </c>
    </row>
    <row r="1336">
      <c r="A1336" s="38" t="n"/>
      <c r="B1336" s="41">
        <f>IF(A1336="","",IFERROR(INDEX(Maniobras!$B$5:$B$504,MATCH(A1336,Maniobras!$A$5:$A$504,0)),""))</f>
        <v/>
      </c>
      <c r="C1336" s="38">
        <f>IF(B1336="","",TEXT(B1336,"yyyy-mm"))</f>
        <v/>
      </c>
      <c r="D1336" s="38">
        <f>IF(A1336="","",IFERROR(INDEX(Maniobras!$D$5:$D$504,MATCH(A1336,Maniobras!$A$5:$A$504,0)),""))</f>
        <v/>
      </c>
      <c r="E1336" s="38" t="n"/>
      <c r="F1336" s="39">
        <f>IF(A1336="","",IFERROR(INDEX(Maniobras!$K$5:$K$504,MATCH(A1336,Maniobras!$A$5:$A$504,0)),""))</f>
        <v/>
      </c>
      <c r="G1336" s="39" t="n"/>
      <c r="H1336" s="39" t="n"/>
      <c r="I1336" s="39">
        <f>IF(G1336="","",G1336+N(H1336))</f>
        <v/>
      </c>
      <c r="J1336" s="38" t="n"/>
      <c r="K1336" s="41" t="n"/>
      <c r="L1336" s="38" t="n"/>
      <c r="M1336">
        <f>IF($A1336=Ficha!$B$3,COUNTIF($A$5:$A1336,Ficha!$B$3),"")</f>
        <v/>
      </c>
    </row>
    <row r="1337">
      <c r="A1337" s="36" t="n"/>
      <c r="B1337" s="40">
        <f>IF(A1337="","",IFERROR(INDEX(Maniobras!$B$5:$B$504,MATCH(A1337,Maniobras!$A$5:$A$504,0)),""))</f>
        <v/>
      </c>
      <c r="C1337" s="36">
        <f>IF(B1337="","",TEXT(B1337,"yyyy-mm"))</f>
        <v/>
      </c>
      <c r="D1337" s="36">
        <f>IF(A1337="","",IFERROR(INDEX(Maniobras!$D$5:$D$504,MATCH(A1337,Maniobras!$A$5:$A$504,0)),""))</f>
        <v/>
      </c>
      <c r="E1337" s="36" t="n"/>
      <c r="F1337" s="37">
        <f>IF(A1337="","",IFERROR(INDEX(Maniobras!$K$5:$K$504,MATCH(A1337,Maniobras!$A$5:$A$504,0)),""))</f>
        <v/>
      </c>
      <c r="G1337" s="37" t="n"/>
      <c r="H1337" s="37" t="n"/>
      <c r="I1337" s="37">
        <f>IF(G1337="","",G1337+N(H1337))</f>
        <v/>
      </c>
      <c r="J1337" s="36" t="n"/>
      <c r="K1337" s="40" t="n"/>
      <c r="L1337" s="36" t="n"/>
      <c r="M1337">
        <f>IF($A1337=Ficha!$B$3,COUNTIF($A$5:$A1337,Ficha!$B$3),"")</f>
        <v/>
      </c>
    </row>
    <row r="1338">
      <c r="A1338" s="38" t="n"/>
      <c r="B1338" s="41">
        <f>IF(A1338="","",IFERROR(INDEX(Maniobras!$B$5:$B$504,MATCH(A1338,Maniobras!$A$5:$A$504,0)),""))</f>
        <v/>
      </c>
      <c r="C1338" s="38">
        <f>IF(B1338="","",TEXT(B1338,"yyyy-mm"))</f>
        <v/>
      </c>
      <c r="D1338" s="38">
        <f>IF(A1338="","",IFERROR(INDEX(Maniobras!$D$5:$D$504,MATCH(A1338,Maniobras!$A$5:$A$504,0)),""))</f>
        <v/>
      </c>
      <c r="E1338" s="38" t="n"/>
      <c r="F1338" s="39">
        <f>IF(A1338="","",IFERROR(INDEX(Maniobras!$K$5:$K$504,MATCH(A1338,Maniobras!$A$5:$A$504,0)),""))</f>
        <v/>
      </c>
      <c r="G1338" s="39" t="n"/>
      <c r="H1338" s="39" t="n"/>
      <c r="I1338" s="39">
        <f>IF(G1338="","",G1338+N(H1338))</f>
        <v/>
      </c>
      <c r="J1338" s="38" t="n"/>
      <c r="K1338" s="41" t="n"/>
      <c r="L1338" s="38" t="n"/>
      <c r="M1338">
        <f>IF($A1338=Ficha!$B$3,COUNTIF($A$5:$A1338,Ficha!$B$3),"")</f>
        <v/>
      </c>
    </row>
    <row r="1339">
      <c r="A1339" s="36" t="n"/>
      <c r="B1339" s="40">
        <f>IF(A1339="","",IFERROR(INDEX(Maniobras!$B$5:$B$504,MATCH(A1339,Maniobras!$A$5:$A$504,0)),""))</f>
        <v/>
      </c>
      <c r="C1339" s="36">
        <f>IF(B1339="","",TEXT(B1339,"yyyy-mm"))</f>
        <v/>
      </c>
      <c r="D1339" s="36">
        <f>IF(A1339="","",IFERROR(INDEX(Maniobras!$D$5:$D$504,MATCH(A1339,Maniobras!$A$5:$A$504,0)),""))</f>
        <v/>
      </c>
      <c r="E1339" s="36" t="n"/>
      <c r="F1339" s="37">
        <f>IF(A1339="","",IFERROR(INDEX(Maniobras!$K$5:$K$504,MATCH(A1339,Maniobras!$A$5:$A$504,0)),""))</f>
        <v/>
      </c>
      <c r="G1339" s="37" t="n"/>
      <c r="H1339" s="37" t="n"/>
      <c r="I1339" s="37">
        <f>IF(G1339="","",G1339+N(H1339))</f>
        <v/>
      </c>
      <c r="J1339" s="36" t="n"/>
      <c r="K1339" s="40" t="n"/>
      <c r="L1339" s="36" t="n"/>
      <c r="M1339">
        <f>IF($A1339=Ficha!$B$3,COUNTIF($A$5:$A1339,Ficha!$B$3),"")</f>
        <v/>
      </c>
    </row>
    <row r="1340">
      <c r="A1340" s="38" t="n"/>
      <c r="B1340" s="41">
        <f>IF(A1340="","",IFERROR(INDEX(Maniobras!$B$5:$B$504,MATCH(A1340,Maniobras!$A$5:$A$504,0)),""))</f>
        <v/>
      </c>
      <c r="C1340" s="38">
        <f>IF(B1340="","",TEXT(B1340,"yyyy-mm"))</f>
        <v/>
      </c>
      <c r="D1340" s="38">
        <f>IF(A1340="","",IFERROR(INDEX(Maniobras!$D$5:$D$504,MATCH(A1340,Maniobras!$A$5:$A$504,0)),""))</f>
        <v/>
      </c>
      <c r="E1340" s="38" t="n"/>
      <c r="F1340" s="39">
        <f>IF(A1340="","",IFERROR(INDEX(Maniobras!$K$5:$K$504,MATCH(A1340,Maniobras!$A$5:$A$504,0)),""))</f>
        <v/>
      </c>
      <c r="G1340" s="39" t="n"/>
      <c r="H1340" s="39" t="n"/>
      <c r="I1340" s="39">
        <f>IF(G1340="","",G1340+N(H1340))</f>
        <v/>
      </c>
      <c r="J1340" s="38" t="n"/>
      <c r="K1340" s="41" t="n"/>
      <c r="L1340" s="38" t="n"/>
      <c r="M1340">
        <f>IF($A1340=Ficha!$B$3,COUNTIF($A$5:$A1340,Ficha!$B$3),"")</f>
        <v/>
      </c>
    </row>
    <row r="1341">
      <c r="A1341" s="36" t="n"/>
      <c r="B1341" s="40">
        <f>IF(A1341="","",IFERROR(INDEX(Maniobras!$B$5:$B$504,MATCH(A1341,Maniobras!$A$5:$A$504,0)),""))</f>
        <v/>
      </c>
      <c r="C1341" s="36">
        <f>IF(B1341="","",TEXT(B1341,"yyyy-mm"))</f>
        <v/>
      </c>
      <c r="D1341" s="36">
        <f>IF(A1341="","",IFERROR(INDEX(Maniobras!$D$5:$D$504,MATCH(A1341,Maniobras!$A$5:$A$504,0)),""))</f>
        <v/>
      </c>
      <c r="E1341" s="36" t="n"/>
      <c r="F1341" s="37">
        <f>IF(A1341="","",IFERROR(INDEX(Maniobras!$K$5:$K$504,MATCH(A1341,Maniobras!$A$5:$A$504,0)),""))</f>
        <v/>
      </c>
      <c r="G1341" s="37" t="n"/>
      <c r="H1341" s="37" t="n"/>
      <c r="I1341" s="37">
        <f>IF(G1341="","",G1341+N(H1341))</f>
        <v/>
      </c>
      <c r="J1341" s="36" t="n"/>
      <c r="K1341" s="40" t="n"/>
      <c r="L1341" s="36" t="n"/>
      <c r="M1341">
        <f>IF($A1341=Ficha!$B$3,COUNTIF($A$5:$A1341,Ficha!$B$3),"")</f>
        <v/>
      </c>
    </row>
    <row r="1342">
      <c r="A1342" s="38" t="n"/>
      <c r="B1342" s="41">
        <f>IF(A1342="","",IFERROR(INDEX(Maniobras!$B$5:$B$504,MATCH(A1342,Maniobras!$A$5:$A$504,0)),""))</f>
        <v/>
      </c>
      <c r="C1342" s="38">
        <f>IF(B1342="","",TEXT(B1342,"yyyy-mm"))</f>
        <v/>
      </c>
      <c r="D1342" s="38">
        <f>IF(A1342="","",IFERROR(INDEX(Maniobras!$D$5:$D$504,MATCH(A1342,Maniobras!$A$5:$A$504,0)),""))</f>
        <v/>
      </c>
      <c r="E1342" s="38" t="n"/>
      <c r="F1342" s="39">
        <f>IF(A1342="","",IFERROR(INDEX(Maniobras!$K$5:$K$504,MATCH(A1342,Maniobras!$A$5:$A$504,0)),""))</f>
        <v/>
      </c>
      <c r="G1342" s="39" t="n"/>
      <c r="H1342" s="39" t="n"/>
      <c r="I1342" s="39">
        <f>IF(G1342="","",G1342+N(H1342))</f>
        <v/>
      </c>
      <c r="J1342" s="38" t="n"/>
      <c r="K1342" s="41" t="n"/>
      <c r="L1342" s="38" t="n"/>
      <c r="M1342">
        <f>IF($A1342=Ficha!$B$3,COUNTIF($A$5:$A1342,Ficha!$B$3),"")</f>
        <v/>
      </c>
    </row>
    <row r="1343">
      <c r="A1343" s="36" t="n"/>
      <c r="B1343" s="40">
        <f>IF(A1343="","",IFERROR(INDEX(Maniobras!$B$5:$B$504,MATCH(A1343,Maniobras!$A$5:$A$504,0)),""))</f>
        <v/>
      </c>
      <c r="C1343" s="36">
        <f>IF(B1343="","",TEXT(B1343,"yyyy-mm"))</f>
        <v/>
      </c>
      <c r="D1343" s="36">
        <f>IF(A1343="","",IFERROR(INDEX(Maniobras!$D$5:$D$504,MATCH(A1343,Maniobras!$A$5:$A$504,0)),""))</f>
        <v/>
      </c>
      <c r="E1343" s="36" t="n"/>
      <c r="F1343" s="37">
        <f>IF(A1343="","",IFERROR(INDEX(Maniobras!$K$5:$K$504,MATCH(A1343,Maniobras!$A$5:$A$504,0)),""))</f>
        <v/>
      </c>
      <c r="G1343" s="37" t="n"/>
      <c r="H1343" s="37" t="n"/>
      <c r="I1343" s="37">
        <f>IF(G1343="","",G1343+N(H1343))</f>
        <v/>
      </c>
      <c r="J1343" s="36" t="n"/>
      <c r="K1343" s="40" t="n"/>
      <c r="L1343" s="36" t="n"/>
      <c r="M1343">
        <f>IF($A1343=Ficha!$B$3,COUNTIF($A$5:$A1343,Ficha!$B$3),"")</f>
        <v/>
      </c>
    </row>
    <row r="1344">
      <c r="A1344" s="38" t="n"/>
      <c r="B1344" s="41">
        <f>IF(A1344="","",IFERROR(INDEX(Maniobras!$B$5:$B$504,MATCH(A1344,Maniobras!$A$5:$A$504,0)),""))</f>
        <v/>
      </c>
      <c r="C1344" s="38">
        <f>IF(B1344="","",TEXT(B1344,"yyyy-mm"))</f>
        <v/>
      </c>
      <c r="D1344" s="38">
        <f>IF(A1344="","",IFERROR(INDEX(Maniobras!$D$5:$D$504,MATCH(A1344,Maniobras!$A$5:$A$504,0)),""))</f>
        <v/>
      </c>
      <c r="E1344" s="38" t="n"/>
      <c r="F1344" s="39">
        <f>IF(A1344="","",IFERROR(INDEX(Maniobras!$K$5:$K$504,MATCH(A1344,Maniobras!$A$5:$A$504,0)),""))</f>
        <v/>
      </c>
      <c r="G1344" s="39" t="n"/>
      <c r="H1344" s="39" t="n"/>
      <c r="I1344" s="39">
        <f>IF(G1344="","",G1344+N(H1344))</f>
        <v/>
      </c>
      <c r="J1344" s="38" t="n"/>
      <c r="K1344" s="41" t="n"/>
      <c r="L1344" s="38" t="n"/>
      <c r="M1344">
        <f>IF($A1344=Ficha!$B$3,COUNTIF($A$5:$A1344,Ficha!$B$3),"")</f>
        <v/>
      </c>
    </row>
    <row r="1345">
      <c r="A1345" s="36" t="n"/>
      <c r="B1345" s="40">
        <f>IF(A1345="","",IFERROR(INDEX(Maniobras!$B$5:$B$504,MATCH(A1345,Maniobras!$A$5:$A$504,0)),""))</f>
        <v/>
      </c>
      <c r="C1345" s="36">
        <f>IF(B1345="","",TEXT(B1345,"yyyy-mm"))</f>
        <v/>
      </c>
      <c r="D1345" s="36">
        <f>IF(A1345="","",IFERROR(INDEX(Maniobras!$D$5:$D$504,MATCH(A1345,Maniobras!$A$5:$A$504,0)),""))</f>
        <v/>
      </c>
      <c r="E1345" s="36" t="n"/>
      <c r="F1345" s="37">
        <f>IF(A1345="","",IFERROR(INDEX(Maniobras!$K$5:$K$504,MATCH(A1345,Maniobras!$A$5:$A$504,0)),""))</f>
        <v/>
      </c>
      <c r="G1345" s="37" t="n"/>
      <c r="H1345" s="37" t="n"/>
      <c r="I1345" s="37">
        <f>IF(G1345="","",G1345+N(H1345))</f>
        <v/>
      </c>
      <c r="J1345" s="36" t="n"/>
      <c r="K1345" s="40" t="n"/>
      <c r="L1345" s="36" t="n"/>
      <c r="M1345">
        <f>IF($A1345=Ficha!$B$3,COUNTIF($A$5:$A1345,Ficha!$B$3),"")</f>
        <v/>
      </c>
    </row>
    <row r="1346">
      <c r="A1346" s="38" t="n"/>
      <c r="B1346" s="41">
        <f>IF(A1346="","",IFERROR(INDEX(Maniobras!$B$5:$B$504,MATCH(A1346,Maniobras!$A$5:$A$504,0)),""))</f>
        <v/>
      </c>
      <c r="C1346" s="38">
        <f>IF(B1346="","",TEXT(B1346,"yyyy-mm"))</f>
        <v/>
      </c>
      <c r="D1346" s="38">
        <f>IF(A1346="","",IFERROR(INDEX(Maniobras!$D$5:$D$504,MATCH(A1346,Maniobras!$A$5:$A$504,0)),""))</f>
        <v/>
      </c>
      <c r="E1346" s="38" t="n"/>
      <c r="F1346" s="39">
        <f>IF(A1346="","",IFERROR(INDEX(Maniobras!$K$5:$K$504,MATCH(A1346,Maniobras!$A$5:$A$504,0)),""))</f>
        <v/>
      </c>
      <c r="G1346" s="39" t="n"/>
      <c r="H1346" s="39" t="n"/>
      <c r="I1346" s="39">
        <f>IF(G1346="","",G1346+N(H1346))</f>
        <v/>
      </c>
      <c r="J1346" s="38" t="n"/>
      <c r="K1346" s="41" t="n"/>
      <c r="L1346" s="38" t="n"/>
      <c r="M1346">
        <f>IF($A1346=Ficha!$B$3,COUNTIF($A$5:$A1346,Ficha!$B$3),"")</f>
        <v/>
      </c>
    </row>
    <row r="1347">
      <c r="A1347" s="36" t="n"/>
      <c r="B1347" s="40">
        <f>IF(A1347="","",IFERROR(INDEX(Maniobras!$B$5:$B$504,MATCH(A1347,Maniobras!$A$5:$A$504,0)),""))</f>
        <v/>
      </c>
      <c r="C1347" s="36">
        <f>IF(B1347="","",TEXT(B1347,"yyyy-mm"))</f>
        <v/>
      </c>
      <c r="D1347" s="36">
        <f>IF(A1347="","",IFERROR(INDEX(Maniobras!$D$5:$D$504,MATCH(A1347,Maniobras!$A$5:$A$504,0)),""))</f>
        <v/>
      </c>
      <c r="E1347" s="36" t="n"/>
      <c r="F1347" s="37">
        <f>IF(A1347="","",IFERROR(INDEX(Maniobras!$K$5:$K$504,MATCH(A1347,Maniobras!$A$5:$A$504,0)),""))</f>
        <v/>
      </c>
      <c r="G1347" s="37" t="n"/>
      <c r="H1347" s="37" t="n"/>
      <c r="I1347" s="37">
        <f>IF(G1347="","",G1347+N(H1347))</f>
        <v/>
      </c>
      <c r="J1347" s="36" t="n"/>
      <c r="K1347" s="40" t="n"/>
      <c r="L1347" s="36" t="n"/>
      <c r="M1347">
        <f>IF($A1347=Ficha!$B$3,COUNTIF($A$5:$A1347,Ficha!$B$3),"")</f>
        <v/>
      </c>
    </row>
    <row r="1348">
      <c r="A1348" s="38" t="n"/>
      <c r="B1348" s="41">
        <f>IF(A1348="","",IFERROR(INDEX(Maniobras!$B$5:$B$504,MATCH(A1348,Maniobras!$A$5:$A$504,0)),""))</f>
        <v/>
      </c>
      <c r="C1348" s="38">
        <f>IF(B1348="","",TEXT(B1348,"yyyy-mm"))</f>
        <v/>
      </c>
      <c r="D1348" s="38">
        <f>IF(A1348="","",IFERROR(INDEX(Maniobras!$D$5:$D$504,MATCH(A1348,Maniobras!$A$5:$A$504,0)),""))</f>
        <v/>
      </c>
      <c r="E1348" s="38" t="n"/>
      <c r="F1348" s="39">
        <f>IF(A1348="","",IFERROR(INDEX(Maniobras!$K$5:$K$504,MATCH(A1348,Maniobras!$A$5:$A$504,0)),""))</f>
        <v/>
      </c>
      <c r="G1348" s="39" t="n"/>
      <c r="H1348" s="39" t="n"/>
      <c r="I1348" s="39">
        <f>IF(G1348="","",G1348+N(H1348))</f>
        <v/>
      </c>
      <c r="J1348" s="38" t="n"/>
      <c r="K1348" s="41" t="n"/>
      <c r="L1348" s="38" t="n"/>
      <c r="M1348">
        <f>IF($A1348=Ficha!$B$3,COUNTIF($A$5:$A1348,Ficha!$B$3),"")</f>
        <v/>
      </c>
    </row>
    <row r="1349">
      <c r="A1349" s="36" t="n"/>
      <c r="B1349" s="40">
        <f>IF(A1349="","",IFERROR(INDEX(Maniobras!$B$5:$B$504,MATCH(A1349,Maniobras!$A$5:$A$504,0)),""))</f>
        <v/>
      </c>
      <c r="C1349" s="36">
        <f>IF(B1349="","",TEXT(B1349,"yyyy-mm"))</f>
        <v/>
      </c>
      <c r="D1349" s="36">
        <f>IF(A1349="","",IFERROR(INDEX(Maniobras!$D$5:$D$504,MATCH(A1349,Maniobras!$A$5:$A$504,0)),""))</f>
        <v/>
      </c>
      <c r="E1349" s="36" t="n"/>
      <c r="F1349" s="37">
        <f>IF(A1349="","",IFERROR(INDEX(Maniobras!$K$5:$K$504,MATCH(A1349,Maniobras!$A$5:$A$504,0)),""))</f>
        <v/>
      </c>
      <c r="G1349" s="37" t="n"/>
      <c r="H1349" s="37" t="n"/>
      <c r="I1349" s="37">
        <f>IF(G1349="","",G1349+N(H1349))</f>
        <v/>
      </c>
      <c r="J1349" s="36" t="n"/>
      <c r="K1349" s="40" t="n"/>
      <c r="L1349" s="36" t="n"/>
      <c r="M1349">
        <f>IF($A1349=Ficha!$B$3,COUNTIF($A$5:$A1349,Ficha!$B$3),"")</f>
        <v/>
      </c>
    </row>
    <row r="1350">
      <c r="A1350" s="38" t="n"/>
      <c r="B1350" s="41">
        <f>IF(A1350="","",IFERROR(INDEX(Maniobras!$B$5:$B$504,MATCH(A1350,Maniobras!$A$5:$A$504,0)),""))</f>
        <v/>
      </c>
      <c r="C1350" s="38">
        <f>IF(B1350="","",TEXT(B1350,"yyyy-mm"))</f>
        <v/>
      </c>
      <c r="D1350" s="38">
        <f>IF(A1350="","",IFERROR(INDEX(Maniobras!$D$5:$D$504,MATCH(A1350,Maniobras!$A$5:$A$504,0)),""))</f>
        <v/>
      </c>
      <c r="E1350" s="38" t="n"/>
      <c r="F1350" s="39">
        <f>IF(A1350="","",IFERROR(INDEX(Maniobras!$K$5:$K$504,MATCH(A1350,Maniobras!$A$5:$A$504,0)),""))</f>
        <v/>
      </c>
      <c r="G1350" s="39" t="n"/>
      <c r="H1350" s="39" t="n"/>
      <c r="I1350" s="39">
        <f>IF(G1350="","",G1350+N(H1350))</f>
        <v/>
      </c>
      <c r="J1350" s="38" t="n"/>
      <c r="K1350" s="41" t="n"/>
      <c r="L1350" s="38" t="n"/>
      <c r="M1350">
        <f>IF($A1350=Ficha!$B$3,COUNTIF($A$5:$A1350,Ficha!$B$3),"")</f>
        <v/>
      </c>
    </row>
    <row r="1351">
      <c r="A1351" s="36" t="n"/>
      <c r="B1351" s="40">
        <f>IF(A1351="","",IFERROR(INDEX(Maniobras!$B$5:$B$504,MATCH(A1351,Maniobras!$A$5:$A$504,0)),""))</f>
        <v/>
      </c>
      <c r="C1351" s="36">
        <f>IF(B1351="","",TEXT(B1351,"yyyy-mm"))</f>
        <v/>
      </c>
      <c r="D1351" s="36">
        <f>IF(A1351="","",IFERROR(INDEX(Maniobras!$D$5:$D$504,MATCH(A1351,Maniobras!$A$5:$A$504,0)),""))</f>
        <v/>
      </c>
      <c r="E1351" s="36" t="n"/>
      <c r="F1351" s="37">
        <f>IF(A1351="","",IFERROR(INDEX(Maniobras!$K$5:$K$504,MATCH(A1351,Maniobras!$A$5:$A$504,0)),""))</f>
        <v/>
      </c>
      <c r="G1351" s="37" t="n"/>
      <c r="H1351" s="37" t="n"/>
      <c r="I1351" s="37">
        <f>IF(G1351="","",G1351+N(H1351))</f>
        <v/>
      </c>
      <c r="J1351" s="36" t="n"/>
      <c r="K1351" s="40" t="n"/>
      <c r="L1351" s="36" t="n"/>
      <c r="M1351">
        <f>IF($A1351=Ficha!$B$3,COUNTIF($A$5:$A1351,Ficha!$B$3),"")</f>
        <v/>
      </c>
    </row>
    <row r="1352">
      <c r="A1352" s="38" t="n"/>
      <c r="B1352" s="41">
        <f>IF(A1352="","",IFERROR(INDEX(Maniobras!$B$5:$B$504,MATCH(A1352,Maniobras!$A$5:$A$504,0)),""))</f>
        <v/>
      </c>
      <c r="C1352" s="38">
        <f>IF(B1352="","",TEXT(B1352,"yyyy-mm"))</f>
        <v/>
      </c>
      <c r="D1352" s="38">
        <f>IF(A1352="","",IFERROR(INDEX(Maniobras!$D$5:$D$504,MATCH(A1352,Maniobras!$A$5:$A$504,0)),""))</f>
        <v/>
      </c>
      <c r="E1352" s="38" t="n"/>
      <c r="F1352" s="39">
        <f>IF(A1352="","",IFERROR(INDEX(Maniobras!$K$5:$K$504,MATCH(A1352,Maniobras!$A$5:$A$504,0)),""))</f>
        <v/>
      </c>
      <c r="G1352" s="39" t="n"/>
      <c r="H1352" s="39" t="n"/>
      <c r="I1352" s="39">
        <f>IF(G1352="","",G1352+N(H1352))</f>
        <v/>
      </c>
      <c r="J1352" s="38" t="n"/>
      <c r="K1352" s="41" t="n"/>
      <c r="L1352" s="38" t="n"/>
      <c r="M1352">
        <f>IF($A1352=Ficha!$B$3,COUNTIF($A$5:$A1352,Ficha!$B$3),"")</f>
        <v/>
      </c>
    </row>
    <row r="1353">
      <c r="A1353" s="36" t="n"/>
      <c r="B1353" s="40">
        <f>IF(A1353="","",IFERROR(INDEX(Maniobras!$B$5:$B$504,MATCH(A1353,Maniobras!$A$5:$A$504,0)),""))</f>
        <v/>
      </c>
      <c r="C1353" s="36">
        <f>IF(B1353="","",TEXT(B1353,"yyyy-mm"))</f>
        <v/>
      </c>
      <c r="D1353" s="36">
        <f>IF(A1353="","",IFERROR(INDEX(Maniobras!$D$5:$D$504,MATCH(A1353,Maniobras!$A$5:$A$504,0)),""))</f>
        <v/>
      </c>
      <c r="E1353" s="36" t="n"/>
      <c r="F1353" s="37">
        <f>IF(A1353="","",IFERROR(INDEX(Maniobras!$K$5:$K$504,MATCH(A1353,Maniobras!$A$5:$A$504,0)),""))</f>
        <v/>
      </c>
      <c r="G1353" s="37" t="n"/>
      <c r="H1353" s="37" t="n"/>
      <c r="I1353" s="37">
        <f>IF(G1353="","",G1353+N(H1353))</f>
        <v/>
      </c>
      <c r="J1353" s="36" t="n"/>
      <c r="K1353" s="40" t="n"/>
      <c r="L1353" s="36" t="n"/>
      <c r="M1353">
        <f>IF($A1353=Ficha!$B$3,COUNTIF($A$5:$A1353,Ficha!$B$3),"")</f>
        <v/>
      </c>
    </row>
    <row r="1354">
      <c r="A1354" s="38" t="n"/>
      <c r="B1354" s="41">
        <f>IF(A1354="","",IFERROR(INDEX(Maniobras!$B$5:$B$504,MATCH(A1354,Maniobras!$A$5:$A$504,0)),""))</f>
        <v/>
      </c>
      <c r="C1354" s="38">
        <f>IF(B1354="","",TEXT(B1354,"yyyy-mm"))</f>
        <v/>
      </c>
      <c r="D1354" s="38">
        <f>IF(A1354="","",IFERROR(INDEX(Maniobras!$D$5:$D$504,MATCH(A1354,Maniobras!$A$5:$A$504,0)),""))</f>
        <v/>
      </c>
      <c r="E1354" s="38" t="n"/>
      <c r="F1354" s="39">
        <f>IF(A1354="","",IFERROR(INDEX(Maniobras!$K$5:$K$504,MATCH(A1354,Maniobras!$A$5:$A$504,0)),""))</f>
        <v/>
      </c>
      <c r="G1354" s="39" t="n"/>
      <c r="H1354" s="39" t="n"/>
      <c r="I1354" s="39">
        <f>IF(G1354="","",G1354+N(H1354))</f>
        <v/>
      </c>
      <c r="J1354" s="38" t="n"/>
      <c r="K1354" s="41" t="n"/>
      <c r="L1354" s="38" t="n"/>
      <c r="M1354">
        <f>IF($A1354=Ficha!$B$3,COUNTIF($A$5:$A1354,Ficha!$B$3),"")</f>
        <v/>
      </c>
    </row>
    <row r="1355">
      <c r="A1355" s="36" t="n"/>
      <c r="B1355" s="40">
        <f>IF(A1355="","",IFERROR(INDEX(Maniobras!$B$5:$B$504,MATCH(A1355,Maniobras!$A$5:$A$504,0)),""))</f>
        <v/>
      </c>
      <c r="C1355" s="36">
        <f>IF(B1355="","",TEXT(B1355,"yyyy-mm"))</f>
        <v/>
      </c>
      <c r="D1355" s="36">
        <f>IF(A1355="","",IFERROR(INDEX(Maniobras!$D$5:$D$504,MATCH(A1355,Maniobras!$A$5:$A$504,0)),""))</f>
        <v/>
      </c>
      <c r="E1355" s="36" t="n"/>
      <c r="F1355" s="37">
        <f>IF(A1355="","",IFERROR(INDEX(Maniobras!$K$5:$K$504,MATCH(A1355,Maniobras!$A$5:$A$504,0)),""))</f>
        <v/>
      </c>
      <c r="G1355" s="37" t="n"/>
      <c r="H1355" s="37" t="n"/>
      <c r="I1355" s="37">
        <f>IF(G1355="","",G1355+N(H1355))</f>
        <v/>
      </c>
      <c r="J1355" s="36" t="n"/>
      <c r="K1355" s="40" t="n"/>
      <c r="L1355" s="36" t="n"/>
      <c r="M1355">
        <f>IF($A1355=Ficha!$B$3,COUNTIF($A$5:$A1355,Ficha!$B$3),"")</f>
        <v/>
      </c>
    </row>
    <row r="1356">
      <c r="A1356" s="38" t="n"/>
      <c r="B1356" s="41">
        <f>IF(A1356="","",IFERROR(INDEX(Maniobras!$B$5:$B$504,MATCH(A1356,Maniobras!$A$5:$A$504,0)),""))</f>
        <v/>
      </c>
      <c r="C1356" s="38">
        <f>IF(B1356="","",TEXT(B1356,"yyyy-mm"))</f>
        <v/>
      </c>
      <c r="D1356" s="38">
        <f>IF(A1356="","",IFERROR(INDEX(Maniobras!$D$5:$D$504,MATCH(A1356,Maniobras!$A$5:$A$504,0)),""))</f>
        <v/>
      </c>
      <c r="E1356" s="38" t="n"/>
      <c r="F1356" s="39">
        <f>IF(A1356="","",IFERROR(INDEX(Maniobras!$K$5:$K$504,MATCH(A1356,Maniobras!$A$5:$A$504,0)),""))</f>
        <v/>
      </c>
      <c r="G1356" s="39" t="n"/>
      <c r="H1356" s="39" t="n"/>
      <c r="I1356" s="39">
        <f>IF(G1356="","",G1356+N(H1356))</f>
        <v/>
      </c>
      <c r="J1356" s="38" t="n"/>
      <c r="K1356" s="41" t="n"/>
      <c r="L1356" s="38" t="n"/>
      <c r="M1356">
        <f>IF($A1356=Ficha!$B$3,COUNTIF($A$5:$A1356,Ficha!$B$3),"")</f>
        <v/>
      </c>
    </row>
    <row r="1357">
      <c r="A1357" s="36" t="n"/>
      <c r="B1357" s="40">
        <f>IF(A1357="","",IFERROR(INDEX(Maniobras!$B$5:$B$504,MATCH(A1357,Maniobras!$A$5:$A$504,0)),""))</f>
        <v/>
      </c>
      <c r="C1357" s="36">
        <f>IF(B1357="","",TEXT(B1357,"yyyy-mm"))</f>
        <v/>
      </c>
      <c r="D1357" s="36">
        <f>IF(A1357="","",IFERROR(INDEX(Maniobras!$D$5:$D$504,MATCH(A1357,Maniobras!$A$5:$A$504,0)),""))</f>
        <v/>
      </c>
      <c r="E1357" s="36" t="n"/>
      <c r="F1357" s="37">
        <f>IF(A1357="","",IFERROR(INDEX(Maniobras!$K$5:$K$504,MATCH(A1357,Maniobras!$A$5:$A$504,0)),""))</f>
        <v/>
      </c>
      <c r="G1357" s="37" t="n"/>
      <c r="H1357" s="37" t="n"/>
      <c r="I1357" s="37">
        <f>IF(G1357="","",G1357+N(H1357))</f>
        <v/>
      </c>
      <c r="J1357" s="36" t="n"/>
      <c r="K1357" s="40" t="n"/>
      <c r="L1357" s="36" t="n"/>
      <c r="M1357">
        <f>IF($A1357=Ficha!$B$3,COUNTIF($A$5:$A1357,Ficha!$B$3),"")</f>
        <v/>
      </c>
    </row>
    <row r="1358">
      <c r="A1358" s="38" t="n"/>
      <c r="B1358" s="41">
        <f>IF(A1358="","",IFERROR(INDEX(Maniobras!$B$5:$B$504,MATCH(A1358,Maniobras!$A$5:$A$504,0)),""))</f>
        <v/>
      </c>
      <c r="C1358" s="38">
        <f>IF(B1358="","",TEXT(B1358,"yyyy-mm"))</f>
        <v/>
      </c>
      <c r="D1358" s="38">
        <f>IF(A1358="","",IFERROR(INDEX(Maniobras!$D$5:$D$504,MATCH(A1358,Maniobras!$A$5:$A$504,0)),""))</f>
        <v/>
      </c>
      <c r="E1358" s="38" t="n"/>
      <c r="F1358" s="39">
        <f>IF(A1358="","",IFERROR(INDEX(Maniobras!$K$5:$K$504,MATCH(A1358,Maniobras!$A$5:$A$504,0)),""))</f>
        <v/>
      </c>
      <c r="G1358" s="39" t="n"/>
      <c r="H1358" s="39" t="n"/>
      <c r="I1358" s="39">
        <f>IF(G1358="","",G1358+N(H1358))</f>
        <v/>
      </c>
      <c r="J1358" s="38" t="n"/>
      <c r="K1358" s="41" t="n"/>
      <c r="L1358" s="38" t="n"/>
      <c r="M1358">
        <f>IF($A1358=Ficha!$B$3,COUNTIF($A$5:$A1358,Ficha!$B$3),"")</f>
        <v/>
      </c>
    </row>
    <row r="1359">
      <c r="A1359" s="36" t="n"/>
      <c r="B1359" s="40">
        <f>IF(A1359="","",IFERROR(INDEX(Maniobras!$B$5:$B$504,MATCH(A1359,Maniobras!$A$5:$A$504,0)),""))</f>
        <v/>
      </c>
      <c r="C1359" s="36">
        <f>IF(B1359="","",TEXT(B1359,"yyyy-mm"))</f>
        <v/>
      </c>
      <c r="D1359" s="36">
        <f>IF(A1359="","",IFERROR(INDEX(Maniobras!$D$5:$D$504,MATCH(A1359,Maniobras!$A$5:$A$504,0)),""))</f>
        <v/>
      </c>
      <c r="E1359" s="36" t="n"/>
      <c r="F1359" s="37">
        <f>IF(A1359="","",IFERROR(INDEX(Maniobras!$K$5:$K$504,MATCH(A1359,Maniobras!$A$5:$A$504,0)),""))</f>
        <v/>
      </c>
      <c r="G1359" s="37" t="n"/>
      <c r="H1359" s="37" t="n"/>
      <c r="I1359" s="37">
        <f>IF(G1359="","",G1359+N(H1359))</f>
        <v/>
      </c>
      <c r="J1359" s="36" t="n"/>
      <c r="K1359" s="40" t="n"/>
      <c r="L1359" s="36" t="n"/>
      <c r="M1359">
        <f>IF($A1359=Ficha!$B$3,COUNTIF($A$5:$A1359,Ficha!$B$3),"")</f>
        <v/>
      </c>
    </row>
    <row r="1360">
      <c r="A1360" s="38" t="n"/>
      <c r="B1360" s="41">
        <f>IF(A1360="","",IFERROR(INDEX(Maniobras!$B$5:$B$504,MATCH(A1360,Maniobras!$A$5:$A$504,0)),""))</f>
        <v/>
      </c>
      <c r="C1360" s="38">
        <f>IF(B1360="","",TEXT(B1360,"yyyy-mm"))</f>
        <v/>
      </c>
      <c r="D1360" s="38">
        <f>IF(A1360="","",IFERROR(INDEX(Maniobras!$D$5:$D$504,MATCH(A1360,Maniobras!$A$5:$A$504,0)),""))</f>
        <v/>
      </c>
      <c r="E1360" s="38" t="n"/>
      <c r="F1360" s="39">
        <f>IF(A1360="","",IFERROR(INDEX(Maniobras!$K$5:$K$504,MATCH(A1360,Maniobras!$A$5:$A$504,0)),""))</f>
        <v/>
      </c>
      <c r="G1360" s="39" t="n"/>
      <c r="H1360" s="39" t="n"/>
      <c r="I1360" s="39">
        <f>IF(G1360="","",G1360+N(H1360))</f>
        <v/>
      </c>
      <c r="J1360" s="38" t="n"/>
      <c r="K1360" s="41" t="n"/>
      <c r="L1360" s="38" t="n"/>
      <c r="M1360">
        <f>IF($A1360=Ficha!$B$3,COUNTIF($A$5:$A1360,Ficha!$B$3),"")</f>
        <v/>
      </c>
    </row>
    <row r="1361">
      <c r="A1361" s="36" t="n"/>
      <c r="B1361" s="40">
        <f>IF(A1361="","",IFERROR(INDEX(Maniobras!$B$5:$B$504,MATCH(A1361,Maniobras!$A$5:$A$504,0)),""))</f>
        <v/>
      </c>
      <c r="C1361" s="36">
        <f>IF(B1361="","",TEXT(B1361,"yyyy-mm"))</f>
        <v/>
      </c>
      <c r="D1361" s="36">
        <f>IF(A1361="","",IFERROR(INDEX(Maniobras!$D$5:$D$504,MATCH(A1361,Maniobras!$A$5:$A$504,0)),""))</f>
        <v/>
      </c>
      <c r="E1361" s="36" t="n"/>
      <c r="F1361" s="37">
        <f>IF(A1361="","",IFERROR(INDEX(Maniobras!$K$5:$K$504,MATCH(A1361,Maniobras!$A$5:$A$504,0)),""))</f>
        <v/>
      </c>
      <c r="G1361" s="37" t="n"/>
      <c r="H1361" s="37" t="n"/>
      <c r="I1361" s="37">
        <f>IF(G1361="","",G1361+N(H1361))</f>
        <v/>
      </c>
      <c r="J1361" s="36" t="n"/>
      <c r="K1361" s="40" t="n"/>
      <c r="L1361" s="36" t="n"/>
      <c r="M1361">
        <f>IF($A1361=Ficha!$B$3,COUNTIF($A$5:$A1361,Ficha!$B$3),"")</f>
        <v/>
      </c>
    </row>
    <row r="1362">
      <c r="A1362" s="38" t="n"/>
      <c r="B1362" s="41">
        <f>IF(A1362="","",IFERROR(INDEX(Maniobras!$B$5:$B$504,MATCH(A1362,Maniobras!$A$5:$A$504,0)),""))</f>
        <v/>
      </c>
      <c r="C1362" s="38">
        <f>IF(B1362="","",TEXT(B1362,"yyyy-mm"))</f>
        <v/>
      </c>
      <c r="D1362" s="38">
        <f>IF(A1362="","",IFERROR(INDEX(Maniobras!$D$5:$D$504,MATCH(A1362,Maniobras!$A$5:$A$504,0)),""))</f>
        <v/>
      </c>
      <c r="E1362" s="38" t="n"/>
      <c r="F1362" s="39">
        <f>IF(A1362="","",IFERROR(INDEX(Maniobras!$K$5:$K$504,MATCH(A1362,Maniobras!$A$5:$A$504,0)),""))</f>
        <v/>
      </c>
      <c r="G1362" s="39" t="n"/>
      <c r="H1362" s="39" t="n"/>
      <c r="I1362" s="39">
        <f>IF(G1362="","",G1362+N(H1362))</f>
        <v/>
      </c>
      <c r="J1362" s="38" t="n"/>
      <c r="K1362" s="41" t="n"/>
      <c r="L1362" s="38" t="n"/>
      <c r="M1362">
        <f>IF($A1362=Ficha!$B$3,COUNTIF($A$5:$A1362,Ficha!$B$3),"")</f>
        <v/>
      </c>
    </row>
    <row r="1363">
      <c r="A1363" s="36" t="n"/>
      <c r="B1363" s="40">
        <f>IF(A1363="","",IFERROR(INDEX(Maniobras!$B$5:$B$504,MATCH(A1363,Maniobras!$A$5:$A$504,0)),""))</f>
        <v/>
      </c>
      <c r="C1363" s="36">
        <f>IF(B1363="","",TEXT(B1363,"yyyy-mm"))</f>
        <v/>
      </c>
      <c r="D1363" s="36">
        <f>IF(A1363="","",IFERROR(INDEX(Maniobras!$D$5:$D$504,MATCH(A1363,Maniobras!$A$5:$A$504,0)),""))</f>
        <v/>
      </c>
      <c r="E1363" s="36" t="n"/>
      <c r="F1363" s="37">
        <f>IF(A1363="","",IFERROR(INDEX(Maniobras!$K$5:$K$504,MATCH(A1363,Maniobras!$A$5:$A$504,0)),""))</f>
        <v/>
      </c>
      <c r="G1363" s="37" t="n"/>
      <c r="H1363" s="37" t="n"/>
      <c r="I1363" s="37">
        <f>IF(G1363="","",G1363+N(H1363))</f>
        <v/>
      </c>
      <c r="J1363" s="36" t="n"/>
      <c r="K1363" s="40" t="n"/>
      <c r="L1363" s="36" t="n"/>
      <c r="M1363">
        <f>IF($A1363=Ficha!$B$3,COUNTIF($A$5:$A1363,Ficha!$B$3),"")</f>
        <v/>
      </c>
    </row>
    <row r="1364">
      <c r="A1364" s="38" t="n"/>
      <c r="B1364" s="41">
        <f>IF(A1364="","",IFERROR(INDEX(Maniobras!$B$5:$B$504,MATCH(A1364,Maniobras!$A$5:$A$504,0)),""))</f>
        <v/>
      </c>
      <c r="C1364" s="38">
        <f>IF(B1364="","",TEXT(B1364,"yyyy-mm"))</f>
        <v/>
      </c>
      <c r="D1364" s="38">
        <f>IF(A1364="","",IFERROR(INDEX(Maniobras!$D$5:$D$504,MATCH(A1364,Maniobras!$A$5:$A$504,0)),""))</f>
        <v/>
      </c>
      <c r="E1364" s="38" t="n"/>
      <c r="F1364" s="39">
        <f>IF(A1364="","",IFERROR(INDEX(Maniobras!$K$5:$K$504,MATCH(A1364,Maniobras!$A$5:$A$504,0)),""))</f>
        <v/>
      </c>
      <c r="G1364" s="39" t="n"/>
      <c r="H1364" s="39" t="n"/>
      <c r="I1364" s="39">
        <f>IF(G1364="","",G1364+N(H1364))</f>
        <v/>
      </c>
      <c r="J1364" s="38" t="n"/>
      <c r="K1364" s="41" t="n"/>
      <c r="L1364" s="38" t="n"/>
      <c r="M1364">
        <f>IF($A1364=Ficha!$B$3,COUNTIF($A$5:$A1364,Ficha!$B$3),"")</f>
        <v/>
      </c>
    </row>
    <row r="1365">
      <c r="A1365" s="36" t="n"/>
      <c r="B1365" s="40">
        <f>IF(A1365="","",IFERROR(INDEX(Maniobras!$B$5:$B$504,MATCH(A1365,Maniobras!$A$5:$A$504,0)),""))</f>
        <v/>
      </c>
      <c r="C1365" s="36">
        <f>IF(B1365="","",TEXT(B1365,"yyyy-mm"))</f>
        <v/>
      </c>
      <c r="D1365" s="36">
        <f>IF(A1365="","",IFERROR(INDEX(Maniobras!$D$5:$D$504,MATCH(A1365,Maniobras!$A$5:$A$504,0)),""))</f>
        <v/>
      </c>
      <c r="E1365" s="36" t="n"/>
      <c r="F1365" s="37">
        <f>IF(A1365="","",IFERROR(INDEX(Maniobras!$K$5:$K$504,MATCH(A1365,Maniobras!$A$5:$A$504,0)),""))</f>
        <v/>
      </c>
      <c r="G1365" s="37" t="n"/>
      <c r="H1365" s="37" t="n"/>
      <c r="I1365" s="37">
        <f>IF(G1365="","",G1365+N(H1365))</f>
        <v/>
      </c>
      <c r="J1365" s="36" t="n"/>
      <c r="K1365" s="40" t="n"/>
      <c r="L1365" s="36" t="n"/>
      <c r="M1365">
        <f>IF($A1365=Ficha!$B$3,COUNTIF($A$5:$A1365,Ficha!$B$3),"")</f>
        <v/>
      </c>
    </row>
    <row r="1366">
      <c r="A1366" s="38" t="n"/>
      <c r="B1366" s="41">
        <f>IF(A1366="","",IFERROR(INDEX(Maniobras!$B$5:$B$504,MATCH(A1366,Maniobras!$A$5:$A$504,0)),""))</f>
        <v/>
      </c>
      <c r="C1366" s="38">
        <f>IF(B1366="","",TEXT(B1366,"yyyy-mm"))</f>
        <v/>
      </c>
      <c r="D1366" s="38">
        <f>IF(A1366="","",IFERROR(INDEX(Maniobras!$D$5:$D$504,MATCH(A1366,Maniobras!$A$5:$A$504,0)),""))</f>
        <v/>
      </c>
      <c r="E1366" s="38" t="n"/>
      <c r="F1366" s="39">
        <f>IF(A1366="","",IFERROR(INDEX(Maniobras!$K$5:$K$504,MATCH(A1366,Maniobras!$A$5:$A$504,0)),""))</f>
        <v/>
      </c>
      <c r="G1366" s="39" t="n"/>
      <c r="H1366" s="39" t="n"/>
      <c r="I1366" s="39">
        <f>IF(G1366="","",G1366+N(H1366))</f>
        <v/>
      </c>
      <c r="J1366" s="38" t="n"/>
      <c r="K1366" s="41" t="n"/>
      <c r="L1366" s="38" t="n"/>
      <c r="M1366">
        <f>IF($A1366=Ficha!$B$3,COUNTIF($A$5:$A1366,Ficha!$B$3),"")</f>
        <v/>
      </c>
    </row>
    <row r="1367">
      <c r="A1367" s="36" t="n"/>
      <c r="B1367" s="40">
        <f>IF(A1367="","",IFERROR(INDEX(Maniobras!$B$5:$B$504,MATCH(A1367,Maniobras!$A$5:$A$504,0)),""))</f>
        <v/>
      </c>
      <c r="C1367" s="36">
        <f>IF(B1367="","",TEXT(B1367,"yyyy-mm"))</f>
        <v/>
      </c>
      <c r="D1367" s="36">
        <f>IF(A1367="","",IFERROR(INDEX(Maniobras!$D$5:$D$504,MATCH(A1367,Maniobras!$A$5:$A$504,0)),""))</f>
        <v/>
      </c>
      <c r="E1367" s="36" t="n"/>
      <c r="F1367" s="37">
        <f>IF(A1367="","",IFERROR(INDEX(Maniobras!$K$5:$K$504,MATCH(A1367,Maniobras!$A$5:$A$504,0)),""))</f>
        <v/>
      </c>
      <c r="G1367" s="37" t="n"/>
      <c r="H1367" s="37" t="n"/>
      <c r="I1367" s="37">
        <f>IF(G1367="","",G1367+N(H1367))</f>
        <v/>
      </c>
      <c r="J1367" s="36" t="n"/>
      <c r="K1367" s="40" t="n"/>
      <c r="L1367" s="36" t="n"/>
      <c r="M1367">
        <f>IF($A1367=Ficha!$B$3,COUNTIF($A$5:$A1367,Ficha!$B$3),"")</f>
        <v/>
      </c>
    </row>
    <row r="1368">
      <c r="A1368" s="38" t="n"/>
      <c r="B1368" s="41">
        <f>IF(A1368="","",IFERROR(INDEX(Maniobras!$B$5:$B$504,MATCH(A1368,Maniobras!$A$5:$A$504,0)),""))</f>
        <v/>
      </c>
      <c r="C1368" s="38">
        <f>IF(B1368="","",TEXT(B1368,"yyyy-mm"))</f>
        <v/>
      </c>
      <c r="D1368" s="38">
        <f>IF(A1368="","",IFERROR(INDEX(Maniobras!$D$5:$D$504,MATCH(A1368,Maniobras!$A$5:$A$504,0)),""))</f>
        <v/>
      </c>
      <c r="E1368" s="38" t="n"/>
      <c r="F1368" s="39">
        <f>IF(A1368="","",IFERROR(INDEX(Maniobras!$K$5:$K$504,MATCH(A1368,Maniobras!$A$5:$A$504,0)),""))</f>
        <v/>
      </c>
      <c r="G1368" s="39" t="n"/>
      <c r="H1368" s="39" t="n"/>
      <c r="I1368" s="39">
        <f>IF(G1368="","",G1368+N(H1368))</f>
        <v/>
      </c>
      <c r="J1368" s="38" t="n"/>
      <c r="K1368" s="41" t="n"/>
      <c r="L1368" s="38" t="n"/>
      <c r="M1368">
        <f>IF($A1368=Ficha!$B$3,COUNTIF($A$5:$A1368,Ficha!$B$3),"")</f>
        <v/>
      </c>
    </row>
    <row r="1369">
      <c r="A1369" s="36" t="n"/>
      <c r="B1369" s="40">
        <f>IF(A1369="","",IFERROR(INDEX(Maniobras!$B$5:$B$504,MATCH(A1369,Maniobras!$A$5:$A$504,0)),""))</f>
        <v/>
      </c>
      <c r="C1369" s="36">
        <f>IF(B1369="","",TEXT(B1369,"yyyy-mm"))</f>
        <v/>
      </c>
      <c r="D1369" s="36">
        <f>IF(A1369="","",IFERROR(INDEX(Maniobras!$D$5:$D$504,MATCH(A1369,Maniobras!$A$5:$A$504,0)),""))</f>
        <v/>
      </c>
      <c r="E1369" s="36" t="n"/>
      <c r="F1369" s="37">
        <f>IF(A1369="","",IFERROR(INDEX(Maniobras!$K$5:$K$504,MATCH(A1369,Maniobras!$A$5:$A$504,0)),""))</f>
        <v/>
      </c>
      <c r="G1369" s="37" t="n"/>
      <c r="H1369" s="37" t="n"/>
      <c r="I1369" s="37">
        <f>IF(G1369="","",G1369+N(H1369))</f>
        <v/>
      </c>
      <c r="J1369" s="36" t="n"/>
      <c r="K1369" s="40" t="n"/>
      <c r="L1369" s="36" t="n"/>
      <c r="M1369">
        <f>IF($A1369=Ficha!$B$3,COUNTIF($A$5:$A1369,Ficha!$B$3),"")</f>
        <v/>
      </c>
    </row>
    <row r="1370">
      <c r="A1370" s="38" t="n"/>
      <c r="B1370" s="41">
        <f>IF(A1370="","",IFERROR(INDEX(Maniobras!$B$5:$B$504,MATCH(A1370,Maniobras!$A$5:$A$504,0)),""))</f>
        <v/>
      </c>
      <c r="C1370" s="38">
        <f>IF(B1370="","",TEXT(B1370,"yyyy-mm"))</f>
        <v/>
      </c>
      <c r="D1370" s="38">
        <f>IF(A1370="","",IFERROR(INDEX(Maniobras!$D$5:$D$504,MATCH(A1370,Maniobras!$A$5:$A$504,0)),""))</f>
        <v/>
      </c>
      <c r="E1370" s="38" t="n"/>
      <c r="F1370" s="39">
        <f>IF(A1370="","",IFERROR(INDEX(Maniobras!$K$5:$K$504,MATCH(A1370,Maniobras!$A$5:$A$504,0)),""))</f>
        <v/>
      </c>
      <c r="G1370" s="39" t="n"/>
      <c r="H1370" s="39" t="n"/>
      <c r="I1370" s="39">
        <f>IF(G1370="","",G1370+N(H1370))</f>
        <v/>
      </c>
      <c r="J1370" s="38" t="n"/>
      <c r="K1370" s="41" t="n"/>
      <c r="L1370" s="38" t="n"/>
      <c r="M1370">
        <f>IF($A1370=Ficha!$B$3,COUNTIF($A$5:$A1370,Ficha!$B$3),"")</f>
        <v/>
      </c>
    </row>
    <row r="1371">
      <c r="A1371" s="36" t="n"/>
      <c r="B1371" s="40">
        <f>IF(A1371="","",IFERROR(INDEX(Maniobras!$B$5:$B$504,MATCH(A1371,Maniobras!$A$5:$A$504,0)),""))</f>
        <v/>
      </c>
      <c r="C1371" s="36">
        <f>IF(B1371="","",TEXT(B1371,"yyyy-mm"))</f>
        <v/>
      </c>
      <c r="D1371" s="36">
        <f>IF(A1371="","",IFERROR(INDEX(Maniobras!$D$5:$D$504,MATCH(A1371,Maniobras!$A$5:$A$504,0)),""))</f>
        <v/>
      </c>
      <c r="E1371" s="36" t="n"/>
      <c r="F1371" s="37">
        <f>IF(A1371="","",IFERROR(INDEX(Maniobras!$K$5:$K$504,MATCH(A1371,Maniobras!$A$5:$A$504,0)),""))</f>
        <v/>
      </c>
      <c r="G1371" s="37" t="n"/>
      <c r="H1371" s="37" t="n"/>
      <c r="I1371" s="37">
        <f>IF(G1371="","",G1371+N(H1371))</f>
        <v/>
      </c>
      <c r="J1371" s="36" t="n"/>
      <c r="K1371" s="40" t="n"/>
      <c r="L1371" s="36" t="n"/>
      <c r="M1371">
        <f>IF($A1371=Ficha!$B$3,COUNTIF($A$5:$A1371,Ficha!$B$3),"")</f>
        <v/>
      </c>
    </row>
    <row r="1372">
      <c r="A1372" s="38" t="n"/>
      <c r="B1372" s="41">
        <f>IF(A1372="","",IFERROR(INDEX(Maniobras!$B$5:$B$504,MATCH(A1372,Maniobras!$A$5:$A$504,0)),""))</f>
        <v/>
      </c>
      <c r="C1372" s="38">
        <f>IF(B1372="","",TEXT(B1372,"yyyy-mm"))</f>
        <v/>
      </c>
      <c r="D1372" s="38">
        <f>IF(A1372="","",IFERROR(INDEX(Maniobras!$D$5:$D$504,MATCH(A1372,Maniobras!$A$5:$A$504,0)),""))</f>
        <v/>
      </c>
      <c r="E1372" s="38" t="n"/>
      <c r="F1372" s="39">
        <f>IF(A1372="","",IFERROR(INDEX(Maniobras!$K$5:$K$504,MATCH(A1372,Maniobras!$A$5:$A$504,0)),""))</f>
        <v/>
      </c>
      <c r="G1372" s="39" t="n"/>
      <c r="H1372" s="39" t="n"/>
      <c r="I1372" s="39">
        <f>IF(G1372="","",G1372+N(H1372))</f>
        <v/>
      </c>
      <c r="J1372" s="38" t="n"/>
      <c r="K1372" s="41" t="n"/>
      <c r="L1372" s="38" t="n"/>
      <c r="M1372">
        <f>IF($A1372=Ficha!$B$3,COUNTIF($A$5:$A1372,Ficha!$B$3),"")</f>
        <v/>
      </c>
    </row>
    <row r="1373">
      <c r="A1373" s="36" t="n"/>
      <c r="B1373" s="40">
        <f>IF(A1373="","",IFERROR(INDEX(Maniobras!$B$5:$B$504,MATCH(A1373,Maniobras!$A$5:$A$504,0)),""))</f>
        <v/>
      </c>
      <c r="C1373" s="36">
        <f>IF(B1373="","",TEXT(B1373,"yyyy-mm"))</f>
        <v/>
      </c>
      <c r="D1373" s="36">
        <f>IF(A1373="","",IFERROR(INDEX(Maniobras!$D$5:$D$504,MATCH(A1373,Maniobras!$A$5:$A$504,0)),""))</f>
        <v/>
      </c>
      <c r="E1373" s="36" t="n"/>
      <c r="F1373" s="37">
        <f>IF(A1373="","",IFERROR(INDEX(Maniobras!$K$5:$K$504,MATCH(A1373,Maniobras!$A$5:$A$504,0)),""))</f>
        <v/>
      </c>
      <c r="G1373" s="37" t="n"/>
      <c r="H1373" s="37" t="n"/>
      <c r="I1373" s="37">
        <f>IF(G1373="","",G1373+N(H1373))</f>
        <v/>
      </c>
      <c r="J1373" s="36" t="n"/>
      <c r="K1373" s="40" t="n"/>
      <c r="L1373" s="36" t="n"/>
      <c r="M1373">
        <f>IF($A1373=Ficha!$B$3,COUNTIF($A$5:$A1373,Ficha!$B$3),"")</f>
        <v/>
      </c>
    </row>
    <row r="1374">
      <c r="A1374" s="38" t="n"/>
      <c r="B1374" s="41">
        <f>IF(A1374="","",IFERROR(INDEX(Maniobras!$B$5:$B$504,MATCH(A1374,Maniobras!$A$5:$A$504,0)),""))</f>
        <v/>
      </c>
      <c r="C1374" s="38">
        <f>IF(B1374="","",TEXT(B1374,"yyyy-mm"))</f>
        <v/>
      </c>
      <c r="D1374" s="38">
        <f>IF(A1374="","",IFERROR(INDEX(Maniobras!$D$5:$D$504,MATCH(A1374,Maniobras!$A$5:$A$504,0)),""))</f>
        <v/>
      </c>
      <c r="E1374" s="38" t="n"/>
      <c r="F1374" s="39">
        <f>IF(A1374="","",IFERROR(INDEX(Maniobras!$K$5:$K$504,MATCH(A1374,Maniobras!$A$5:$A$504,0)),""))</f>
        <v/>
      </c>
      <c r="G1374" s="39" t="n"/>
      <c r="H1374" s="39" t="n"/>
      <c r="I1374" s="39">
        <f>IF(G1374="","",G1374+N(H1374))</f>
        <v/>
      </c>
      <c r="J1374" s="38" t="n"/>
      <c r="K1374" s="41" t="n"/>
      <c r="L1374" s="38" t="n"/>
      <c r="M1374">
        <f>IF($A1374=Ficha!$B$3,COUNTIF($A$5:$A1374,Ficha!$B$3),"")</f>
        <v/>
      </c>
    </row>
    <row r="1375">
      <c r="A1375" s="36" t="n"/>
      <c r="B1375" s="40">
        <f>IF(A1375="","",IFERROR(INDEX(Maniobras!$B$5:$B$504,MATCH(A1375,Maniobras!$A$5:$A$504,0)),""))</f>
        <v/>
      </c>
      <c r="C1375" s="36">
        <f>IF(B1375="","",TEXT(B1375,"yyyy-mm"))</f>
        <v/>
      </c>
      <c r="D1375" s="36">
        <f>IF(A1375="","",IFERROR(INDEX(Maniobras!$D$5:$D$504,MATCH(A1375,Maniobras!$A$5:$A$504,0)),""))</f>
        <v/>
      </c>
      <c r="E1375" s="36" t="n"/>
      <c r="F1375" s="37">
        <f>IF(A1375="","",IFERROR(INDEX(Maniobras!$K$5:$K$504,MATCH(A1375,Maniobras!$A$5:$A$504,0)),""))</f>
        <v/>
      </c>
      <c r="G1375" s="37" t="n"/>
      <c r="H1375" s="37" t="n"/>
      <c r="I1375" s="37">
        <f>IF(G1375="","",G1375+N(H1375))</f>
        <v/>
      </c>
      <c r="J1375" s="36" t="n"/>
      <c r="K1375" s="40" t="n"/>
      <c r="L1375" s="36" t="n"/>
      <c r="M1375">
        <f>IF($A1375=Ficha!$B$3,COUNTIF($A$5:$A1375,Ficha!$B$3),"")</f>
        <v/>
      </c>
    </row>
    <row r="1376">
      <c r="A1376" s="38" t="n"/>
      <c r="B1376" s="41">
        <f>IF(A1376="","",IFERROR(INDEX(Maniobras!$B$5:$B$504,MATCH(A1376,Maniobras!$A$5:$A$504,0)),""))</f>
        <v/>
      </c>
      <c r="C1376" s="38">
        <f>IF(B1376="","",TEXT(B1376,"yyyy-mm"))</f>
        <v/>
      </c>
      <c r="D1376" s="38">
        <f>IF(A1376="","",IFERROR(INDEX(Maniobras!$D$5:$D$504,MATCH(A1376,Maniobras!$A$5:$A$504,0)),""))</f>
        <v/>
      </c>
      <c r="E1376" s="38" t="n"/>
      <c r="F1376" s="39">
        <f>IF(A1376="","",IFERROR(INDEX(Maniobras!$K$5:$K$504,MATCH(A1376,Maniobras!$A$5:$A$504,0)),""))</f>
        <v/>
      </c>
      <c r="G1376" s="39" t="n"/>
      <c r="H1376" s="39" t="n"/>
      <c r="I1376" s="39">
        <f>IF(G1376="","",G1376+N(H1376))</f>
        <v/>
      </c>
      <c r="J1376" s="38" t="n"/>
      <c r="K1376" s="41" t="n"/>
      <c r="L1376" s="38" t="n"/>
      <c r="M1376">
        <f>IF($A1376=Ficha!$B$3,COUNTIF($A$5:$A1376,Ficha!$B$3),"")</f>
        <v/>
      </c>
    </row>
    <row r="1377">
      <c r="A1377" s="36" t="n"/>
      <c r="B1377" s="40">
        <f>IF(A1377="","",IFERROR(INDEX(Maniobras!$B$5:$B$504,MATCH(A1377,Maniobras!$A$5:$A$504,0)),""))</f>
        <v/>
      </c>
      <c r="C1377" s="36">
        <f>IF(B1377="","",TEXT(B1377,"yyyy-mm"))</f>
        <v/>
      </c>
      <c r="D1377" s="36">
        <f>IF(A1377="","",IFERROR(INDEX(Maniobras!$D$5:$D$504,MATCH(A1377,Maniobras!$A$5:$A$504,0)),""))</f>
        <v/>
      </c>
      <c r="E1377" s="36" t="n"/>
      <c r="F1377" s="37">
        <f>IF(A1377="","",IFERROR(INDEX(Maniobras!$K$5:$K$504,MATCH(A1377,Maniobras!$A$5:$A$504,0)),""))</f>
        <v/>
      </c>
      <c r="G1377" s="37" t="n"/>
      <c r="H1377" s="37" t="n"/>
      <c r="I1377" s="37">
        <f>IF(G1377="","",G1377+N(H1377))</f>
        <v/>
      </c>
      <c r="J1377" s="36" t="n"/>
      <c r="K1377" s="40" t="n"/>
      <c r="L1377" s="36" t="n"/>
      <c r="M1377">
        <f>IF($A1377=Ficha!$B$3,COUNTIF($A$5:$A1377,Ficha!$B$3),"")</f>
        <v/>
      </c>
    </row>
    <row r="1378">
      <c r="A1378" s="38" t="n"/>
      <c r="B1378" s="41">
        <f>IF(A1378="","",IFERROR(INDEX(Maniobras!$B$5:$B$504,MATCH(A1378,Maniobras!$A$5:$A$504,0)),""))</f>
        <v/>
      </c>
      <c r="C1378" s="38">
        <f>IF(B1378="","",TEXT(B1378,"yyyy-mm"))</f>
        <v/>
      </c>
      <c r="D1378" s="38">
        <f>IF(A1378="","",IFERROR(INDEX(Maniobras!$D$5:$D$504,MATCH(A1378,Maniobras!$A$5:$A$504,0)),""))</f>
        <v/>
      </c>
      <c r="E1378" s="38" t="n"/>
      <c r="F1378" s="39">
        <f>IF(A1378="","",IFERROR(INDEX(Maniobras!$K$5:$K$504,MATCH(A1378,Maniobras!$A$5:$A$504,0)),""))</f>
        <v/>
      </c>
      <c r="G1378" s="39" t="n"/>
      <c r="H1378" s="39" t="n"/>
      <c r="I1378" s="39">
        <f>IF(G1378="","",G1378+N(H1378))</f>
        <v/>
      </c>
      <c r="J1378" s="38" t="n"/>
      <c r="K1378" s="41" t="n"/>
      <c r="L1378" s="38" t="n"/>
      <c r="M1378">
        <f>IF($A1378=Ficha!$B$3,COUNTIF($A$5:$A1378,Ficha!$B$3),"")</f>
        <v/>
      </c>
    </row>
    <row r="1379">
      <c r="A1379" s="36" t="n"/>
      <c r="B1379" s="40">
        <f>IF(A1379="","",IFERROR(INDEX(Maniobras!$B$5:$B$504,MATCH(A1379,Maniobras!$A$5:$A$504,0)),""))</f>
        <v/>
      </c>
      <c r="C1379" s="36">
        <f>IF(B1379="","",TEXT(B1379,"yyyy-mm"))</f>
        <v/>
      </c>
      <c r="D1379" s="36">
        <f>IF(A1379="","",IFERROR(INDEX(Maniobras!$D$5:$D$504,MATCH(A1379,Maniobras!$A$5:$A$504,0)),""))</f>
        <v/>
      </c>
      <c r="E1379" s="36" t="n"/>
      <c r="F1379" s="37">
        <f>IF(A1379="","",IFERROR(INDEX(Maniobras!$K$5:$K$504,MATCH(A1379,Maniobras!$A$5:$A$504,0)),""))</f>
        <v/>
      </c>
      <c r="G1379" s="37" t="n"/>
      <c r="H1379" s="37" t="n"/>
      <c r="I1379" s="37">
        <f>IF(G1379="","",G1379+N(H1379))</f>
        <v/>
      </c>
      <c r="J1379" s="36" t="n"/>
      <c r="K1379" s="40" t="n"/>
      <c r="L1379" s="36" t="n"/>
      <c r="M1379">
        <f>IF($A1379=Ficha!$B$3,COUNTIF($A$5:$A1379,Ficha!$B$3),"")</f>
        <v/>
      </c>
    </row>
    <row r="1380">
      <c r="A1380" s="38" t="n"/>
      <c r="B1380" s="41">
        <f>IF(A1380="","",IFERROR(INDEX(Maniobras!$B$5:$B$504,MATCH(A1380,Maniobras!$A$5:$A$504,0)),""))</f>
        <v/>
      </c>
      <c r="C1380" s="38">
        <f>IF(B1380="","",TEXT(B1380,"yyyy-mm"))</f>
        <v/>
      </c>
      <c r="D1380" s="38">
        <f>IF(A1380="","",IFERROR(INDEX(Maniobras!$D$5:$D$504,MATCH(A1380,Maniobras!$A$5:$A$504,0)),""))</f>
        <v/>
      </c>
      <c r="E1380" s="38" t="n"/>
      <c r="F1380" s="39">
        <f>IF(A1380="","",IFERROR(INDEX(Maniobras!$K$5:$K$504,MATCH(A1380,Maniobras!$A$5:$A$504,0)),""))</f>
        <v/>
      </c>
      <c r="G1380" s="39" t="n"/>
      <c r="H1380" s="39" t="n"/>
      <c r="I1380" s="39">
        <f>IF(G1380="","",G1380+N(H1380))</f>
        <v/>
      </c>
      <c r="J1380" s="38" t="n"/>
      <c r="K1380" s="41" t="n"/>
      <c r="L1380" s="38" t="n"/>
      <c r="M1380">
        <f>IF($A1380=Ficha!$B$3,COUNTIF($A$5:$A1380,Ficha!$B$3),"")</f>
        <v/>
      </c>
    </row>
    <row r="1381">
      <c r="A1381" s="36" t="n"/>
      <c r="B1381" s="40">
        <f>IF(A1381="","",IFERROR(INDEX(Maniobras!$B$5:$B$504,MATCH(A1381,Maniobras!$A$5:$A$504,0)),""))</f>
        <v/>
      </c>
      <c r="C1381" s="36">
        <f>IF(B1381="","",TEXT(B1381,"yyyy-mm"))</f>
        <v/>
      </c>
      <c r="D1381" s="36">
        <f>IF(A1381="","",IFERROR(INDEX(Maniobras!$D$5:$D$504,MATCH(A1381,Maniobras!$A$5:$A$504,0)),""))</f>
        <v/>
      </c>
      <c r="E1381" s="36" t="n"/>
      <c r="F1381" s="37">
        <f>IF(A1381="","",IFERROR(INDEX(Maniobras!$K$5:$K$504,MATCH(A1381,Maniobras!$A$5:$A$504,0)),""))</f>
        <v/>
      </c>
      <c r="G1381" s="37" t="n"/>
      <c r="H1381" s="37" t="n"/>
      <c r="I1381" s="37">
        <f>IF(G1381="","",G1381+N(H1381))</f>
        <v/>
      </c>
      <c r="J1381" s="36" t="n"/>
      <c r="K1381" s="40" t="n"/>
      <c r="L1381" s="36" t="n"/>
      <c r="M1381">
        <f>IF($A1381=Ficha!$B$3,COUNTIF($A$5:$A1381,Ficha!$B$3),"")</f>
        <v/>
      </c>
    </row>
    <row r="1382">
      <c r="A1382" s="38" t="n"/>
      <c r="B1382" s="41">
        <f>IF(A1382="","",IFERROR(INDEX(Maniobras!$B$5:$B$504,MATCH(A1382,Maniobras!$A$5:$A$504,0)),""))</f>
        <v/>
      </c>
      <c r="C1382" s="38">
        <f>IF(B1382="","",TEXT(B1382,"yyyy-mm"))</f>
        <v/>
      </c>
      <c r="D1382" s="38">
        <f>IF(A1382="","",IFERROR(INDEX(Maniobras!$D$5:$D$504,MATCH(A1382,Maniobras!$A$5:$A$504,0)),""))</f>
        <v/>
      </c>
      <c r="E1382" s="38" t="n"/>
      <c r="F1382" s="39">
        <f>IF(A1382="","",IFERROR(INDEX(Maniobras!$K$5:$K$504,MATCH(A1382,Maniobras!$A$5:$A$504,0)),""))</f>
        <v/>
      </c>
      <c r="G1382" s="39" t="n"/>
      <c r="H1382" s="39" t="n"/>
      <c r="I1382" s="39">
        <f>IF(G1382="","",G1382+N(H1382))</f>
        <v/>
      </c>
      <c r="J1382" s="38" t="n"/>
      <c r="K1382" s="41" t="n"/>
      <c r="L1382" s="38" t="n"/>
      <c r="M1382">
        <f>IF($A1382=Ficha!$B$3,COUNTIF($A$5:$A1382,Ficha!$B$3),"")</f>
        <v/>
      </c>
    </row>
    <row r="1383">
      <c r="A1383" s="36" t="n"/>
      <c r="B1383" s="40">
        <f>IF(A1383="","",IFERROR(INDEX(Maniobras!$B$5:$B$504,MATCH(A1383,Maniobras!$A$5:$A$504,0)),""))</f>
        <v/>
      </c>
      <c r="C1383" s="36">
        <f>IF(B1383="","",TEXT(B1383,"yyyy-mm"))</f>
        <v/>
      </c>
      <c r="D1383" s="36">
        <f>IF(A1383="","",IFERROR(INDEX(Maniobras!$D$5:$D$504,MATCH(A1383,Maniobras!$A$5:$A$504,0)),""))</f>
        <v/>
      </c>
      <c r="E1383" s="36" t="n"/>
      <c r="F1383" s="37">
        <f>IF(A1383="","",IFERROR(INDEX(Maniobras!$K$5:$K$504,MATCH(A1383,Maniobras!$A$5:$A$504,0)),""))</f>
        <v/>
      </c>
      <c r="G1383" s="37" t="n"/>
      <c r="H1383" s="37" t="n"/>
      <c r="I1383" s="37">
        <f>IF(G1383="","",G1383+N(H1383))</f>
        <v/>
      </c>
      <c r="J1383" s="36" t="n"/>
      <c r="K1383" s="40" t="n"/>
      <c r="L1383" s="36" t="n"/>
      <c r="M1383">
        <f>IF($A1383=Ficha!$B$3,COUNTIF($A$5:$A1383,Ficha!$B$3),"")</f>
        <v/>
      </c>
    </row>
    <row r="1384">
      <c r="A1384" s="38" t="n"/>
      <c r="B1384" s="41">
        <f>IF(A1384="","",IFERROR(INDEX(Maniobras!$B$5:$B$504,MATCH(A1384,Maniobras!$A$5:$A$504,0)),""))</f>
        <v/>
      </c>
      <c r="C1384" s="38">
        <f>IF(B1384="","",TEXT(B1384,"yyyy-mm"))</f>
        <v/>
      </c>
      <c r="D1384" s="38">
        <f>IF(A1384="","",IFERROR(INDEX(Maniobras!$D$5:$D$504,MATCH(A1384,Maniobras!$A$5:$A$504,0)),""))</f>
        <v/>
      </c>
      <c r="E1384" s="38" t="n"/>
      <c r="F1384" s="39">
        <f>IF(A1384="","",IFERROR(INDEX(Maniobras!$K$5:$K$504,MATCH(A1384,Maniobras!$A$5:$A$504,0)),""))</f>
        <v/>
      </c>
      <c r="G1384" s="39" t="n"/>
      <c r="H1384" s="39" t="n"/>
      <c r="I1384" s="39">
        <f>IF(G1384="","",G1384+N(H1384))</f>
        <v/>
      </c>
      <c r="J1384" s="38" t="n"/>
      <c r="K1384" s="41" t="n"/>
      <c r="L1384" s="38" t="n"/>
      <c r="M1384">
        <f>IF($A1384=Ficha!$B$3,COUNTIF($A$5:$A1384,Ficha!$B$3),"")</f>
        <v/>
      </c>
    </row>
    <row r="1385">
      <c r="A1385" s="36" t="n"/>
      <c r="B1385" s="40">
        <f>IF(A1385="","",IFERROR(INDEX(Maniobras!$B$5:$B$504,MATCH(A1385,Maniobras!$A$5:$A$504,0)),""))</f>
        <v/>
      </c>
      <c r="C1385" s="36">
        <f>IF(B1385="","",TEXT(B1385,"yyyy-mm"))</f>
        <v/>
      </c>
      <c r="D1385" s="36">
        <f>IF(A1385="","",IFERROR(INDEX(Maniobras!$D$5:$D$504,MATCH(A1385,Maniobras!$A$5:$A$504,0)),""))</f>
        <v/>
      </c>
      <c r="E1385" s="36" t="n"/>
      <c r="F1385" s="37">
        <f>IF(A1385="","",IFERROR(INDEX(Maniobras!$K$5:$K$504,MATCH(A1385,Maniobras!$A$5:$A$504,0)),""))</f>
        <v/>
      </c>
      <c r="G1385" s="37" t="n"/>
      <c r="H1385" s="37" t="n"/>
      <c r="I1385" s="37">
        <f>IF(G1385="","",G1385+N(H1385))</f>
        <v/>
      </c>
      <c r="J1385" s="36" t="n"/>
      <c r="K1385" s="40" t="n"/>
      <c r="L1385" s="36" t="n"/>
      <c r="M1385">
        <f>IF($A1385=Ficha!$B$3,COUNTIF($A$5:$A1385,Ficha!$B$3),"")</f>
        <v/>
      </c>
    </row>
    <row r="1386">
      <c r="A1386" s="38" t="n"/>
      <c r="B1386" s="41">
        <f>IF(A1386="","",IFERROR(INDEX(Maniobras!$B$5:$B$504,MATCH(A1386,Maniobras!$A$5:$A$504,0)),""))</f>
        <v/>
      </c>
      <c r="C1386" s="38">
        <f>IF(B1386="","",TEXT(B1386,"yyyy-mm"))</f>
        <v/>
      </c>
      <c r="D1386" s="38">
        <f>IF(A1386="","",IFERROR(INDEX(Maniobras!$D$5:$D$504,MATCH(A1386,Maniobras!$A$5:$A$504,0)),""))</f>
        <v/>
      </c>
      <c r="E1386" s="38" t="n"/>
      <c r="F1386" s="39">
        <f>IF(A1386="","",IFERROR(INDEX(Maniobras!$K$5:$K$504,MATCH(A1386,Maniobras!$A$5:$A$504,0)),""))</f>
        <v/>
      </c>
      <c r="G1386" s="39" t="n"/>
      <c r="H1386" s="39" t="n"/>
      <c r="I1386" s="39">
        <f>IF(G1386="","",G1386+N(H1386))</f>
        <v/>
      </c>
      <c r="J1386" s="38" t="n"/>
      <c r="K1386" s="41" t="n"/>
      <c r="L1386" s="38" t="n"/>
      <c r="M1386">
        <f>IF($A1386=Ficha!$B$3,COUNTIF($A$5:$A1386,Ficha!$B$3),"")</f>
        <v/>
      </c>
    </row>
    <row r="1387">
      <c r="A1387" s="36" t="n"/>
      <c r="B1387" s="40">
        <f>IF(A1387="","",IFERROR(INDEX(Maniobras!$B$5:$B$504,MATCH(A1387,Maniobras!$A$5:$A$504,0)),""))</f>
        <v/>
      </c>
      <c r="C1387" s="36">
        <f>IF(B1387="","",TEXT(B1387,"yyyy-mm"))</f>
        <v/>
      </c>
      <c r="D1387" s="36">
        <f>IF(A1387="","",IFERROR(INDEX(Maniobras!$D$5:$D$504,MATCH(A1387,Maniobras!$A$5:$A$504,0)),""))</f>
        <v/>
      </c>
      <c r="E1387" s="36" t="n"/>
      <c r="F1387" s="37">
        <f>IF(A1387="","",IFERROR(INDEX(Maniobras!$K$5:$K$504,MATCH(A1387,Maniobras!$A$5:$A$504,0)),""))</f>
        <v/>
      </c>
      <c r="G1387" s="37" t="n"/>
      <c r="H1387" s="37" t="n"/>
      <c r="I1387" s="37">
        <f>IF(G1387="","",G1387+N(H1387))</f>
        <v/>
      </c>
      <c r="J1387" s="36" t="n"/>
      <c r="K1387" s="40" t="n"/>
      <c r="L1387" s="36" t="n"/>
      <c r="M1387">
        <f>IF($A1387=Ficha!$B$3,COUNTIF($A$5:$A1387,Ficha!$B$3),"")</f>
        <v/>
      </c>
    </row>
    <row r="1388">
      <c r="A1388" s="38" t="n"/>
      <c r="B1388" s="41">
        <f>IF(A1388="","",IFERROR(INDEX(Maniobras!$B$5:$B$504,MATCH(A1388,Maniobras!$A$5:$A$504,0)),""))</f>
        <v/>
      </c>
      <c r="C1388" s="38">
        <f>IF(B1388="","",TEXT(B1388,"yyyy-mm"))</f>
        <v/>
      </c>
      <c r="D1388" s="38">
        <f>IF(A1388="","",IFERROR(INDEX(Maniobras!$D$5:$D$504,MATCH(A1388,Maniobras!$A$5:$A$504,0)),""))</f>
        <v/>
      </c>
      <c r="E1388" s="38" t="n"/>
      <c r="F1388" s="39">
        <f>IF(A1388="","",IFERROR(INDEX(Maniobras!$K$5:$K$504,MATCH(A1388,Maniobras!$A$5:$A$504,0)),""))</f>
        <v/>
      </c>
      <c r="G1388" s="39" t="n"/>
      <c r="H1388" s="39" t="n"/>
      <c r="I1388" s="39">
        <f>IF(G1388="","",G1388+N(H1388))</f>
        <v/>
      </c>
      <c r="J1388" s="38" t="n"/>
      <c r="K1388" s="41" t="n"/>
      <c r="L1388" s="38" t="n"/>
      <c r="M1388">
        <f>IF($A1388=Ficha!$B$3,COUNTIF($A$5:$A1388,Ficha!$B$3),"")</f>
        <v/>
      </c>
    </row>
    <row r="1389">
      <c r="A1389" s="36" t="n"/>
      <c r="B1389" s="40">
        <f>IF(A1389="","",IFERROR(INDEX(Maniobras!$B$5:$B$504,MATCH(A1389,Maniobras!$A$5:$A$504,0)),""))</f>
        <v/>
      </c>
      <c r="C1389" s="36">
        <f>IF(B1389="","",TEXT(B1389,"yyyy-mm"))</f>
        <v/>
      </c>
      <c r="D1389" s="36">
        <f>IF(A1389="","",IFERROR(INDEX(Maniobras!$D$5:$D$504,MATCH(A1389,Maniobras!$A$5:$A$504,0)),""))</f>
        <v/>
      </c>
      <c r="E1389" s="36" t="n"/>
      <c r="F1389" s="37">
        <f>IF(A1389="","",IFERROR(INDEX(Maniobras!$K$5:$K$504,MATCH(A1389,Maniobras!$A$5:$A$504,0)),""))</f>
        <v/>
      </c>
      <c r="G1389" s="37" t="n"/>
      <c r="H1389" s="37" t="n"/>
      <c r="I1389" s="37">
        <f>IF(G1389="","",G1389+N(H1389))</f>
        <v/>
      </c>
      <c r="J1389" s="36" t="n"/>
      <c r="K1389" s="40" t="n"/>
      <c r="L1389" s="36" t="n"/>
      <c r="M1389">
        <f>IF($A1389=Ficha!$B$3,COUNTIF($A$5:$A1389,Ficha!$B$3),"")</f>
        <v/>
      </c>
    </row>
    <row r="1390">
      <c r="A1390" s="38" t="n"/>
      <c r="B1390" s="41">
        <f>IF(A1390="","",IFERROR(INDEX(Maniobras!$B$5:$B$504,MATCH(A1390,Maniobras!$A$5:$A$504,0)),""))</f>
        <v/>
      </c>
      <c r="C1390" s="38">
        <f>IF(B1390="","",TEXT(B1390,"yyyy-mm"))</f>
        <v/>
      </c>
      <c r="D1390" s="38">
        <f>IF(A1390="","",IFERROR(INDEX(Maniobras!$D$5:$D$504,MATCH(A1390,Maniobras!$A$5:$A$504,0)),""))</f>
        <v/>
      </c>
      <c r="E1390" s="38" t="n"/>
      <c r="F1390" s="39">
        <f>IF(A1390="","",IFERROR(INDEX(Maniobras!$K$5:$K$504,MATCH(A1390,Maniobras!$A$5:$A$504,0)),""))</f>
        <v/>
      </c>
      <c r="G1390" s="39" t="n"/>
      <c r="H1390" s="39" t="n"/>
      <c r="I1390" s="39">
        <f>IF(G1390="","",G1390+N(H1390))</f>
        <v/>
      </c>
      <c r="J1390" s="38" t="n"/>
      <c r="K1390" s="41" t="n"/>
      <c r="L1390" s="38" t="n"/>
      <c r="M1390">
        <f>IF($A1390=Ficha!$B$3,COUNTIF($A$5:$A1390,Ficha!$B$3),"")</f>
        <v/>
      </c>
    </row>
    <row r="1391">
      <c r="A1391" s="36" t="n"/>
      <c r="B1391" s="40">
        <f>IF(A1391="","",IFERROR(INDEX(Maniobras!$B$5:$B$504,MATCH(A1391,Maniobras!$A$5:$A$504,0)),""))</f>
        <v/>
      </c>
      <c r="C1391" s="36">
        <f>IF(B1391="","",TEXT(B1391,"yyyy-mm"))</f>
        <v/>
      </c>
      <c r="D1391" s="36">
        <f>IF(A1391="","",IFERROR(INDEX(Maniobras!$D$5:$D$504,MATCH(A1391,Maniobras!$A$5:$A$504,0)),""))</f>
        <v/>
      </c>
      <c r="E1391" s="36" t="n"/>
      <c r="F1391" s="37">
        <f>IF(A1391="","",IFERROR(INDEX(Maniobras!$K$5:$K$504,MATCH(A1391,Maniobras!$A$5:$A$504,0)),""))</f>
        <v/>
      </c>
      <c r="G1391" s="37" t="n"/>
      <c r="H1391" s="37" t="n"/>
      <c r="I1391" s="37">
        <f>IF(G1391="","",G1391+N(H1391))</f>
        <v/>
      </c>
      <c r="J1391" s="36" t="n"/>
      <c r="K1391" s="40" t="n"/>
      <c r="L1391" s="36" t="n"/>
      <c r="M1391">
        <f>IF($A1391=Ficha!$B$3,COUNTIF($A$5:$A1391,Ficha!$B$3),"")</f>
        <v/>
      </c>
    </row>
    <row r="1392">
      <c r="A1392" s="38" t="n"/>
      <c r="B1392" s="41">
        <f>IF(A1392="","",IFERROR(INDEX(Maniobras!$B$5:$B$504,MATCH(A1392,Maniobras!$A$5:$A$504,0)),""))</f>
        <v/>
      </c>
      <c r="C1392" s="38">
        <f>IF(B1392="","",TEXT(B1392,"yyyy-mm"))</f>
        <v/>
      </c>
      <c r="D1392" s="38">
        <f>IF(A1392="","",IFERROR(INDEX(Maniobras!$D$5:$D$504,MATCH(A1392,Maniobras!$A$5:$A$504,0)),""))</f>
        <v/>
      </c>
      <c r="E1392" s="38" t="n"/>
      <c r="F1392" s="39">
        <f>IF(A1392="","",IFERROR(INDEX(Maniobras!$K$5:$K$504,MATCH(A1392,Maniobras!$A$5:$A$504,0)),""))</f>
        <v/>
      </c>
      <c r="G1392" s="39" t="n"/>
      <c r="H1392" s="39" t="n"/>
      <c r="I1392" s="39">
        <f>IF(G1392="","",G1392+N(H1392))</f>
        <v/>
      </c>
      <c r="J1392" s="38" t="n"/>
      <c r="K1392" s="41" t="n"/>
      <c r="L1392" s="38" t="n"/>
      <c r="M1392">
        <f>IF($A1392=Ficha!$B$3,COUNTIF($A$5:$A1392,Ficha!$B$3),"")</f>
        <v/>
      </c>
    </row>
    <row r="1393">
      <c r="A1393" s="36" t="n"/>
      <c r="B1393" s="40">
        <f>IF(A1393="","",IFERROR(INDEX(Maniobras!$B$5:$B$504,MATCH(A1393,Maniobras!$A$5:$A$504,0)),""))</f>
        <v/>
      </c>
      <c r="C1393" s="36">
        <f>IF(B1393="","",TEXT(B1393,"yyyy-mm"))</f>
        <v/>
      </c>
      <c r="D1393" s="36">
        <f>IF(A1393="","",IFERROR(INDEX(Maniobras!$D$5:$D$504,MATCH(A1393,Maniobras!$A$5:$A$504,0)),""))</f>
        <v/>
      </c>
      <c r="E1393" s="36" t="n"/>
      <c r="F1393" s="37">
        <f>IF(A1393="","",IFERROR(INDEX(Maniobras!$K$5:$K$504,MATCH(A1393,Maniobras!$A$5:$A$504,0)),""))</f>
        <v/>
      </c>
      <c r="G1393" s="37" t="n"/>
      <c r="H1393" s="37" t="n"/>
      <c r="I1393" s="37">
        <f>IF(G1393="","",G1393+N(H1393))</f>
        <v/>
      </c>
      <c r="J1393" s="36" t="n"/>
      <c r="K1393" s="40" t="n"/>
      <c r="L1393" s="36" t="n"/>
      <c r="M1393">
        <f>IF($A1393=Ficha!$B$3,COUNTIF($A$5:$A1393,Ficha!$B$3),"")</f>
        <v/>
      </c>
    </row>
    <row r="1394">
      <c r="A1394" s="38" t="n"/>
      <c r="B1394" s="41">
        <f>IF(A1394="","",IFERROR(INDEX(Maniobras!$B$5:$B$504,MATCH(A1394,Maniobras!$A$5:$A$504,0)),""))</f>
        <v/>
      </c>
      <c r="C1394" s="38">
        <f>IF(B1394="","",TEXT(B1394,"yyyy-mm"))</f>
        <v/>
      </c>
      <c r="D1394" s="38">
        <f>IF(A1394="","",IFERROR(INDEX(Maniobras!$D$5:$D$504,MATCH(A1394,Maniobras!$A$5:$A$504,0)),""))</f>
        <v/>
      </c>
      <c r="E1394" s="38" t="n"/>
      <c r="F1394" s="39">
        <f>IF(A1394="","",IFERROR(INDEX(Maniobras!$K$5:$K$504,MATCH(A1394,Maniobras!$A$5:$A$504,0)),""))</f>
        <v/>
      </c>
      <c r="G1394" s="39" t="n"/>
      <c r="H1394" s="39" t="n"/>
      <c r="I1394" s="39">
        <f>IF(G1394="","",G1394+N(H1394))</f>
        <v/>
      </c>
      <c r="J1394" s="38" t="n"/>
      <c r="K1394" s="41" t="n"/>
      <c r="L1394" s="38" t="n"/>
      <c r="M1394">
        <f>IF($A1394=Ficha!$B$3,COUNTIF($A$5:$A1394,Ficha!$B$3),"")</f>
        <v/>
      </c>
    </row>
    <row r="1395">
      <c r="A1395" s="36" t="n"/>
      <c r="B1395" s="40">
        <f>IF(A1395="","",IFERROR(INDEX(Maniobras!$B$5:$B$504,MATCH(A1395,Maniobras!$A$5:$A$504,0)),""))</f>
        <v/>
      </c>
      <c r="C1395" s="36">
        <f>IF(B1395="","",TEXT(B1395,"yyyy-mm"))</f>
        <v/>
      </c>
      <c r="D1395" s="36">
        <f>IF(A1395="","",IFERROR(INDEX(Maniobras!$D$5:$D$504,MATCH(A1395,Maniobras!$A$5:$A$504,0)),""))</f>
        <v/>
      </c>
      <c r="E1395" s="36" t="n"/>
      <c r="F1395" s="37">
        <f>IF(A1395="","",IFERROR(INDEX(Maniobras!$K$5:$K$504,MATCH(A1395,Maniobras!$A$5:$A$504,0)),""))</f>
        <v/>
      </c>
      <c r="G1395" s="37" t="n"/>
      <c r="H1395" s="37" t="n"/>
      <c r="I1395" s="37">
        <f>IF(G1395="","",G1395+N(H1395))</f>
        <v/>
      </c>
      <c r="J1395" s="36" t="n"/>
      <c r="K1395" s="40" t="n"/>
      <c r="L1395" s="36" t="n"/>
      <c r="M1395">
        <f>IF($A1395=Ficha!$B$3,COUNTIF($A$5:$A1395,Ficha!$B$3),"")</f>
        <v/>
      </c>
    </row>
    <row r="1396">
      <c r="A1396" s="38" t="n"/>
      <c r="B1396" s="41">
        <f>IF(A1396="","",IFERROR(INDEX(Maniobras!$B$5:$B$504,MATCH(A1396,Maniobras!$A$5:$A$504,0)),""))</f>
        <v/>
      </c>
      <c r="C1396" s="38">
        <f>IF(B1396="","",TEXT(B1396,"yyyy-mm"))</f>
        <v/>
      </c>
      <c r="D1396" s="38">
        <f>IF(A1396="","",IFERROR(INDEX(Maniobras!$D$5:$D$504,MATCH(A1396,Maniobras!$A$5:$A$504,0)),""))</f>
        <v/>
      </c>
      <c r="E1396" s="38" t="n"/>
      <c r="F1396" s="39">
        <f>IF(A1396="","",IFERROR(INDEX(Maniobras!$K$5:$K$504,MATCH(A1396,Maniobras!$A$5:$A$504,0)),""))</f>
        <v/>
      </c>
      <c r="G1396" s="39" t="n"/>
      <c r="H1396" s="39" t="n"/>
      <c r="I1396" s="39">
        <f>IF(G1396="","",G1396+N(H1396))</f>
        <v/>
      </c>
      <c r="J1396" s="38" t="n"/>
      <c r="K1396" s="41" t="n"/>
      <c r="L1396" s="38" t="n"/>
      <c r="M1396">
        <f>IF($A1396=Ficha!$B$3,COUNTIF($A$5:$A1396,Ficha!$B$3),"")</f>
        <v/>
      </c>
    </row>
    <row r="1397">
      <c r="A1397" s="36" t="n"/>
      <c r="B1397" s="40">
        <f>IF(A1397="","",IFERROR(INDEX(Maniobras!$B$5:$B$504,MATCH(A1397,Maniobras!$A$5:$A$504,0)),""))</f>
        <v/>
      </c>
      <c r="C1397" s="36">
        <f>IF(B1397="","",TEXT(B1397,"yyyy-mm"))</f>
        <v/>
      </c>
      <c r="D1397" s="36">
        <f>IF(A1397="","",IFERROR(INDEX(Maniobras!$D$5:$D$504,MATCH(A1397,Maniobras!$A$5:$A$504,0)),""))</f>
        <v/>
      </c>
      <c r="E1397" s="36" t="n"/>
      <c r="F1397" s="37">
        <f>IF(A1397="","",IFERROR(INDEX(Maniobras!$K$5:$K$504,MATCH(A1397,Maniobras!$A$5:$A$504,0)),""))</f>
        <v/>
      </c>
      <c r="G1397" s="37" t="n"/>
      <c r="H1397" s="37" t="n"/>
      <c r="I1397" s="37">
        <f>IF(G1397="","",G1397+N(H1397))</f>
        <v/>
      </c>
      <c r="J1397" s="36" t="n"/>
      <c r="K1397" s="40" t="n"/>
      <c r="L1397" s="36" t="n"/>
      <c r="M1397">
        <f>IF($A1397=Ficha!$B$3,COUNTIF($A$5:$A1397,Ficha!$B$3),"")</f>
        <v/>
      </c>
    </row>
    <row r="1398">
      <c r="A1398" s="38" t="n"/>
      <c r="B1398" s="41">
        <f>IF(A1398="","",IFERROR(INDEX(Maniobras!$B$5:$B$504,MATCH(A1398,Maniobras!$A$5:$A$504,0)),""))</f>
        <v/>
      </c>
      <c r="C1398" s="38">
        <f>IF(B1398="","",TEXT(B1398,"yyyy-mm"))</f>
        <v/>
      </c>
      <c r="D1398" s="38">
        <f>IF(A1398="","",IFERROR(INDEX(Maniobras!$D$5:$D$504,MATCH(A1398,Maniobras!$A$5:$A$504,0)),""))</f>
        <v/>
      </c>
      <c r="E1398" s="38" t="n"/>
      <c r="F1398" s="39">
        <f>IF(A1398="","",IFERROR(INDEX(Maniobras!$K$5:$K$504,MATCH(A1398,Maniobras!$A$5:$A$504,0)),""))</f>
        <v/>
      </c>
      <c r="G1398" s="39" t="n"/>
      <c r="H1398" s="39" t="n"/>
      <c r="I1398" s="39">
        <f>IF(G1398="","",G1398+N(H1398))</f>
        <v/>
      </c>
      <c r="J1398" s="38" t="n"/>
      <c r="K1398" s="41" t="n"/>
      <c r="L1398" s="38" t="n"/>
      <c r="M1398">
        <f>IF($A1398=Ficha!$B$3,COUNTIF($A$5:$A1398,Ficha!$B$3),"")</f>
        <v/>
      </c>
    </row>
    <row r="1399">
      <c r="A1399" s="36" t="n"/>
      <c r="B1399" s="40">
        <f>IF(A1399="","",IFERROR(INDEX(Maniobras!$B$5:$B$504,MATCH(A1399,Maniobras!$A$5:$A$504,0)),""))</f>
        <v/>
      </c>
      <c r="C1399" s="36">
        <f>IF(B1399="","",TEXT(B1399,"yyyy-mm"))</f>
        <v/>
      </c>
      <c r="D1399" s="36">
        <f>IF(A1399="","",IFERROR(INDEX(Maniobras!$D$5:$D$504,MATCH(A1399,Maniobras!$A$5:$A$504,0)),""))</f>
        <v/>
      </c>
      <c r="E1399" s="36" t="n"/>
      <c r="F1399" s="37">
        <f>IF(A1399="","",IFERROR(INDEX(Maniobras!$K$5:$K$504,MATCH(A1399,Maniobras!$A$5:$A$504,0)),""))</f>
        <v/>
      </c>
      <c r="G1399" s="37" t="n"/>
      <c r="H1399" s="37" t="n"/>
      <c r="I1399" s="37">
        <f>IF(G1399="","",G1399+N(H1399))</f>
        <v/>
      </c>
      <c r="J1399" s="36" t="n"/>
      <c r="K1399" s="40" t="n"/>
      <c r="L1399" s="36" t="n"/>
      <c r="M1399">
        <f>IF($A1399=Ficha!$B$3,COUNTIF($A$5:$A1399,Ficha!$B$3),"")</f>
        <v/>
      </c>
    </row>
    <row r="1400">
      <c r="A1400" s="38" t="n"/>
      <c r="B1400" s="41">
        <f>IF(A1400="","",IFERROR(INDEX(Maniobras!$B$5:$B$504,MATCH(A1400,Maniobras!$A$5:$A$504,0)),""))</f>
        <v/>
      </c>
      <c r="C1400" s="38">
        <f>IF(B1400="","",TEXT(B1400,"yyyy-mm"))</f>
        <v/>
      </c>
      <c r="D1400" s="38">
        <f>IF(A1400="","",IFERROR(INDEX(Maniobras!$D$5:$D$504,MATCH(A1400,Maniobras!$A$5:$A$504,0)),""))</f>
        <v/>
      </c>
      <c r="E1400" s="38" t="n"/>
      <c r="F1400" s="39">
        <f>IF(A1400="","",IFERROR(INDEX(Maniobras!$K$5:$K$504,MATCH(A1400,Maniobras!$A$5:$A$504,0)),""))</f>
        <v/>
      </c>
      <c r="G1400" s="39" t="n"/>
      <c r="H1400" s="39" t="n"/>
      <c r="I1400" s="39">
        <f>IF(G1400="","",G1400+N(H1400))</f>
        <v/>
      </c>
      <c r="J1400" s="38" t="n"/>
      <c r="K1400" s="41" t="n"/>
      <c r="L1400" s="38" t="n"/>
      <c r="M1400">
        <f>IF($A1400=Ficha!$B$3,COUNTIF($A$5:$A1400,Ficha!$B$3),"")</f>
        <v/>
      </c>
    </row>
    <row r="1401">
      <c r="A1401" s="36" t="n"/>
      <c r="B1401" s="40">
        <f>IF(A1401="","",IFERROR(INDEX(Maniobras!$B$5:$B$504,MATCH(A1401,Maniobras!$A$5:$A$504,0)),""))</f>
        <v/>
      </c>
      <c r="C1401" s="36">
        <f>IF(B1401="","",TEXT(B1401,"yyyy-mm"))</f>
        <v/>
      </c>
      <c r="D1401" s="36">
        <f>IF(A1401="","",IFERROR(INDEX(Maniobras!$D$5:$D$504,MATCH(A1401,Maniobras!$A$5:$A$504,0)),""))</f>
        <v/>
      </c>
      <c r="E1401" s="36" t="n"/>
      <c r="F1401" s="37">
        <f>IF(A1401="","",IFERROR(INDEX(Maniobras!$K$5:$K$504,MATCH(A1401,Maniobras!$A$5:$A$504,0)),""))</f>
        <v/>
      </c>
      <c r="G1401" s="37" t="n"/>
      <c r="H1401" s="37" t="n"/>
      <c r="I1401" s="37">
        <f>IF(G1401="","",G1401+N(H1401))</f>
        <v/>
      </c>
      <c r="J1401" s="36" t="n"/>
      <c r="K1401" s="40" t="n"/>
      <c r="L1401" s="36" t="n"/>
      <c r="M1401">
        <f>IF($A1401=Ficha!$B$3,COUNTIF($A$5:$A1401,Ficha!$B$3),"")</f>
        <v/>
      </c>
    </row>
    <row r="1402">
      <c r="A1402" s="38" t="n"/>
      <c r="B1402" s="41">
        <f>IF(A1402="","",IFERROR(INDEX(Maniobras!$B$5:$B$504,MATCH(A1402,Maniobras!$A$5:$A$504,0)),""))</f>
        <v/>
      </c>
      <c r="C1402" s="38">
        <f>IF(B1402="","",TEXT(B1402,"yyyy-mm"))</f>
        <v/>
      </c>
      <c r="D1402" s="38">
        <f>IF(A1402="","",IFERROR(INDEX(Maniobras!$D$5:$D$504,MATCH(A1402,Maniobras!$A$5:$A$504,0)),""))</f>
        <v/>
      </c>
      <c r="E1402" s="38" t="n"/>
      <c r="F1402" s="39">
        <f>IF(A1402="","",IFERROR(INDEX(Maniobras!$K$5:$K$504,MATCH(A1402,Maniobras!$A$5:$A$504,0)),""))</f>
        <v/>
      </c>
      <c r="G1402" s="39" t="n"/>
      <c r="H1402" s="39" t="n"/>
      <c r="I1402" s="39">
        <f>IF(G1402="","",G1402+N(H1402))</f>
        <v/>
      </c>
      <c r="J1402" s="38" t="n"/>
      <c r="K1402" s="41" t="n"/>
      <c r="L1402" s="38" t="n"/>
      <c r="M1402">
        <f>IF($A1402=Ficha!$B$3,COUNTIF($A$5:$A1402,Ficha!$B$3),"")</f>
        <v/>
      </c>
    </row>
    <row r="1403">
      <c r="A1403" s="36" t="n"/>
      <c r="B1403" s="40">
        <f>IF(A1403="","",IFERROR(INDEX(Maniobras!$B$5:$B$504,MATCH(A1403,Maniobras!$A$5:$A$504,0)),""))</f>
        <v/>
      </c>
      <c r="C1403" s="36">
        <f>IF(B1403="","",TEXT(B1403,"yyyy-mm"))</f>
        <v/>
      </c>
      <c r="D1403" s="36">
        <f>IF(A1403="","",IFERROR(INDEX(Maniobras!$D$5:$D$504,MATCH(A1403,Maniobras!$A$5:$A$504,0)),""))</f>
        <v/>
      </c>
      <c r="E1403" s="36" t="n"/>
      <c r="F1403" s="37">
        <f>IF(A1403="","",IFERROR(INDEX(Maniobras!$K$5:$K$504,MATCH(A1403,Maniobras!$A$5:$A$504,0)),""))</f>
        <v/>
      </c>
      <c r="G1403" s="37" t="n"/>
      <c r="H1403" s="37" t="n"/>
      <c r="I1403" s="37">
        <f>IF(G1403="","",G1403+N(H1403))</f>
        <v/>
      </c>
      <c r="J1403" s="36" t="n"/>
      <c r="K1403" s="40" t="n"/>
      <c r="L1403" s="36" t="n"/>
      <c r="M1403">
        <f>IF($A1403=Ficha!$B$3,COUNTIF($A$5:$A1403,Ficha!$B$3),"")</f>
        <v/>
      </c>
    </row>
    <row r="1404">
      <c r="A1404" s="38" t="n"/>
      <c r="B1404" s="41">
        <f>IF(A1404="","",IFERROR(INDEX(Maniobras!$B$5:$B$504,MATCH(A1404,Maniobras!$A$5:$A$504,0)),""))</f>
        <v/>
      </c>
      <c r="C1404" s="38">
        <f>IF(B1404="","",TEXT(B1404,"yyyy-mm"))</f>
        <v/>
      </c>
      <c r="D1404" s="38">
        <f>IF(A1404="","",IFERROR(INDEX(Maniobras!$D$5:$D$504,MATCH(A1404,Maniobras!$A$5:$A$504,0)),""))</f>
        <v/>
      </c>
      <c r="E1404" s="38" t="n"/>
      <c r="F1404" s="39">
        <f>IF(A1404="","",IFERROR(INDEX(Maniobras!$K$5:$K$504,MATCH(A1404,Maniobras!$A$5:$A$504,0)),""))</f>
        <v/>
      </c>
      <c r="G1404" s="39" t="n"/>
      <c r="H1404" s="39" t="n"/>
      <c r="I1404" s="39">
        <f>IF(G1404="","",G1404+N(H1404))</f>
        <v/>
      </c>
      <c r="J1404" s="38" t="n"/>
      <c r="K1404" s="41" t="n"/>
      <c r="L1404" s="38" t="n"/>
      <c r="M1404">
        <f>IF($A1404=Ficha!$B$3,COUNTIF($A$5:$A1404,Ficha!$B$3),"")</f>
        <v/>
      </c>
    </row>
    <row r="1405">
      <c r="A1405" s="36" t="n"/>
      <c r="B1405" s="40">
        <f>IF(A1405="","",IFERROR(INDEX(Maniobras!$B$5:$B$504,MATCH(A1405,Maniobras!$A$5:$A$504,0)),""))</f>
        <v/>
      </c>
      <c r="C1405" s="36">
        <f>IF(B1405="","",TEXT(B1405,"yyyy-mm"))</f>
        <v/>
      </c>
      <c r="D1405" s="36">
        <f>IF(A1405="","",IFERROR(INDEX(Maniobras!$D$5:$D$504,MATCH(A1405,Maniobras!$A$5:$A$504,0)),""))</f>
        <v/>
      </c>
      <c r="E1405" s="36" t="n"/>
      <c r="F1405" s="37">
        <f>IF(A1405="","",IFERROR(INDEX(Maniobras!$K$5:$K$504,MATCH(A1405,Maniobras!$A$5:$A$504,0)),""))</f>
        <v/>
      </c>
      <c r="G1405" s="37" t="n"/>
      <c r="H1405" s="37" t="n"/>
      <c r="I1405" s="37">
        <f>IF(G1405="","",G1405+N(H1405))</f>
        <v/>
      </c>
      <c r="J1405" s="36" t="n"/>
      <c r="K1405" s="40" t="n"/>
      <c r="L1405" s="36" t="n"/>
      <c r="M1405">
        <f>IF($A1405=Ficha!$B$3,COUNTIF($A$5:$A1405,Ficha!$B$3),"")</f>
        <v/>
      </c>
    </row>
    <row r="1406">
      <c r="A1406" s="38" t="n"/>
      <c r="B1406" s="41">
        <f>IF(A1406="","",IFERROR(INDEX(Maniobras!$B$5:$B$504,MATCH(A1406,Maniobras!$A$5:$A$504,0)),""))</f>
        <v/>
      </c>
      <c r="C1406" s="38">
        <f>IF(B1406="","",TEXT(B1406,"yyyy-mm"))</f>
        <v/>
      </c>
      <c r="D1406" s="38">
        <f>IF(A1406="","",IFERROR(INDEX(Maniobras!$D$5:$D$504,MATCH(A1406,Maniobras!$A$5:$A$504,0)),""))</f>
        <v/>
      </c>
      <c r="E1406" s="38" t="n"/>
      <c r="F1406" s="39">
        <f>IF(A1406="","",IFERROR(INDEX(Maniobras!$K$5:$K$504,MATCH(A1406,Maniobras!$A$5:$A$504,0)),""))</f>
        <v/>
      </c>
      <c r="G1406" s="39" t="n"/>
      <c r="H1406" s="39" t="n"/>
      <c r="I1406" s="39">
        <f>IF(G1406="","",G1406+N(H1406))</f>
        <v/>
      </c>
      <c r="J1406" s="38" t="n"/>
      <c r="K1406" s="41" t="n"/>
      <c r="L1406" s="38" t="n"/>
      <c r="M1406">
        <f>IF($A1406=Ficha!$B$3,COUNTIF($A$5:$A1406,Ficha!$B$3),"")</f>
        <v/>
      </c>
    </row>
    <row r="1407">
      <c r="A1407" s="36" t="n"/>
      <c r="B1407" s="40">
        <f>IF(A1407="","",IFERROR(INDEX(Maniobras!$B$5:$B$504,MATCH(A1407,Maniobras!$A$5:$A$504,0)),""))</f>
        <v/>
      </c>
      <c r="C1407" s="36">
        <f>IF(B1407="","",TEXT(B1407,"yyyy-mm"))</f>
        <v/>
      </c>
      <c r="D1407" s="36">
        <f>IF(A1407="","",IFERROR(INDEX(Maniobras!$D$5:$D$504,MATCH(A1407,Maniobras!$A$5:$A$504,0)),""))</f>
        <v/>
      </c>
      <c r="E1407" s="36" t="n"/>
      <c r="F1407" s="37">
        <f>IF(A1407="","",IFERROR(INDEX(Maniobras!$K$5:$K$504,MATCH(A1407,Maniobras!$A$5:$A$504,0)),""))</f>
        <v/>
      </c>
      <c r="G1407" s="37" t="n"/>
      <c r="H1407" s="37" t="n"/>
      <c r="I1407" s="37">
        <f>IF(G1407="","",G1407+N(H1407))</f>
        <v/>
      </c>
      <c r="J1407" s="36" t="n"/>
      <c r="K1407" s="40" t="n"/>
      <c r="L1407" s="36" t="n"/>
      <c r="M1407">
        <f>IF($A1407=Ficha!$B$3,COUNTIF($A$5:$A1407,Ficha!$B$3),"")</f>
        <v/>
      </c>
    </row>
    <row r="1408">
      <c r="A1408" s="38" t="n"/>
      <c r="B1408" s="41">
        <f>IF(A1408="","",IFERROR(INDEX(Maniobras!$B$5:$B$504,MATCH(A1408,Maniobras!$A$5:$A$504,0)),""))</f>
        <v/>
      </c>
      <c r="C1408" s="38">
        <f>IF(B1408="","",TEXT(B1408,"yyyy-mm"))</f>
        <v/>
      </c>
      <c r="D1408" s="38">
        <f>IF(A1408="","",IFERROR(INDEX(Maniobras!$D$5:$D$504,MATCH(A1408,Maniobras!$A$5:$A$504,0)),""))</f>
        <v/>
      </c>
      <c r="E1408" s="38" t="n"/>
      <c r="F1408" s="39">
        <f>IF(A1408="","",IFERROR(INDEX(Maniobras!$K$5:$K$504,MATCH(A1408,Maniobras!$A$5:$A$504,0)),""))</f>
        <v/>
      </c>
      <c r="G1408" s="39" t="n"/>
      <c r="H1408" s="39" t="n"/>
      <c r="I1408" s="39">
        <f>IF(G1408="","",G1408+N(H1408))</f>
        <v/>
      </c>
      <c r="J1408" s="38" t="n"/>
      <c r="K1408" s="41" t="n"/>
      <c r="L1408" s="38" t="n"/>
      <c r="M1408">
        <f>IF($A1408=Ficha!$B$3,COUNTIF($A$5:$A1408,Ficha!$B$3),"")</f>
        <v/>
      </c>
    </row>
    <row r="1409">
      <c r="A1409" s="36" t="n"/>
      <c r="B1409" s="40">
        <f>IF(A1409="","",IFERROR(INDEX(Maniobras!$B$5:$B$504,MATCH(A1409,Maniobras!$A$5:$A$504,0)),""))</f>
        <v/>
      </c>
      <c r="C1409" s="36">
        <f>IF(B1409="","",TEXT(B1409,"yyyy-mm"))</f>
        <v/>
      </c>
      <c r="D1409" s="36">
        <f>IF(A1409="","",IFERROR(INDEX(Maniobras!$D$5:$D$504,MATCH(A1409,Maniobras!$A$5:$A$504,0)),""))</f>
        <v/>
      </c>
      <c r="E1409" s="36" t="n"/>
      <c r="F1409" s="37">
        <f>IF(A1409="","",IFERROR(INDEX(Maniobras!$K$5:$K$504,MATCH(A1409,Maniobras!$A$5:$A$504,0)),""))</f>
        <v/>
      </c>
      <c r="G1409" s="37" t="n"/>
      <c r="H1409" s="37" t="n"/>
      <c r="I1409" s="37">
        <f>IF(G1409="","",G1409+N(H1409))</f>
        <v/>
      </c>
      <c r="J1409" s="36" t="n"/>
      <c r="K1409" s="40" t="n"/>
      <c r="L1409" s="36" t="n"/>
      <c r="M1409">
        <f>IF($A1409=Ficha!$B$3,COUNTIF($A$5:$A1409,Ficha!$B$3),"")</f>
        <v/>
      </c>
    </row>
    <row r="1410">
      <c r="A1410" s="38" t="n"/>
      <c r="B1410" s="41">
        <f>IF(A1410="","",IFERROR(INDEX(Maniobras!$B$5:$B$504,MATCH(A1410,Maniobras!$A$5:$A$504,0)),""))</f>
        <v/>
      </c>
      <c r="C1410" s="38">
        <f>IF(B1410="","",TEXT(B1410,"yyyy-mm"))</f>
        <v/>
      </c>
      <c r="D1410" s="38">
        <f>IF(A1410="","",IFERROR(INDEX(Maniobras!$D$5:$D$504,MATCH(A1410,Maniobras!$A$5:$A$504,0)),""))</f>
        <v/>
      </c>
      <c r="E1410" s="38" t="n"/>
      <c r="F1410" s="39">
        <f>IF(A1410="","",IFERROR(INDEX(Maniobras!$K$5:$K$504,MATCH(A1410,Maniobras!$A$5:$A$504,0)),""))</f>
        <v/>
      </c>
      <c r="G1410" s="39" t="n"/>
      <c r="H1410" s="39" t="n"/>
      <c r="I1410" s="39">
        <f>IF(G1410="","",G1410+N(H1410))</f>
        <v/>
      </c>
      <c r="J1410" s="38" t="n"/>
      <c r="K1410" s="41" t="n"/>
      <c r="L1410" s="38" t="n"/>
      <c r="M1410">
        <f>IF($A1410=Ficha!$B$3,COUNTIF($A$5:$A1410,Ficha!$B$3),"")</f>
        <v/>
      </c>
    </row>
    <row r="1411">
      <c r="A1411" s="36" t="n"/>
      <c r="B1411" s="40">
        <f>IF(A1411="","",IFERROR(INDEX(Maniobras!$B$5:$B$504,MATCH(A1411,Maniobras!$A$5:$A$504,0)),""))</f>
        <v/>
      </c>
      <c r="C1411" s="36">
        <f>IF(B1411="","",TEXT(B1411,"yyyy-mm"))</f>
        <v/>
      </c>
      <c r="D1411" s="36">
        <f>IF(A1411="","",IFERROR(INDEX(Maniobras!$D$5:$D$504,MATCH(A1411,Maniobras!$A$5:$A$504,0)),""))</f>
        <v/>
      </c>
      <c r="E1411" s="36" t="n"/>
      <c r="F1411" s="37">
        <f>IF(A1411="","",IFERROR(INDEX(Maniobras!$K$5:$K$504,MATCH(A1411,Maniobras!$A$5:$A$504,0)),""))</f>
        <v/>
      </c>
      <c r="G1411" s="37" t="n"/>
      <c r="H1411" s="37" t="n"/>
      <c r="I1411" s="37">
        <f>IF(G1411="","",G1411+N(H1411))</f>
        <v/>
      </c>
      <c r="J1411" s="36" t="n"/>
      <c r="K1411" s="40" t="n"/>
      <c r="L1411" s="36" t="n"/>
      <c r="M1411">
        <f>IF($A1411=Ficha!$B$3,COUNTIF($A$5:$A1411,Ficha!$B$3),"")</f>
        <v/>
      </c>
    </row>
    <row r="1412">
      <c r="A1412" s="38" t="n"/>
      <c r="B1412" s="41">
        <f>IF(A1412="","",IFERROR(INDEX(Maniobras!$B$5:$B$504,MATCH(A1412,Maniobras!$A$5:$A$504,0)),""))</f>
        <v/>
      </c>
      <c r="C1412" s="38">
        <f>IF(B1412="","",TEXT(B1412,"yyyy-mm"))</f>
        <v/>
      </c>
      <c r="D1412" s="38">
        <f>IF(A1412="","",IFERROR(INDEX(Maniobras!$D$5:$D$504,MATCH(A1412,Maniobras!$A$5:$A$504,0)),""))</f>
        <v/>
      </c>
      <c r="E1412" s="38" t="n"/>
      <c r="F1412" s="39">
        <f>IF(A1412="","",IFERROR(INDEX(Maniobras!$K$5:$K$504,MATCH(A1412,Maniobras!$A$5:$A$504,0)),""))</f>
        <v/>
      </c>
      <c r="G1412" s="39" t="n"/>
      <c r="H1412" s="39" t="n"/>
      <c r="I1412" s="39">
        <f>IF(G1412="","",G1412+N(H1412))</f>
        <v/>
      </c>
      <c r="J1412" s="38" t="n"/>
      <c r="K1412" s="41" t="n"/>
      <c r="L1412" s="38" t="n"/>
      <c r="M1412">
        <f>IF($A1412=Ficha!$B$3,COUNTIF($A$5:$A1412,Ficha!$B$3),"")</f>
        <v/>
      </c>
    </row>
    <row r="1413">
      <c r="A1413" s="36" t="n"/>
      <c r="B1413" s="40">
        <f>IF(A1413="","",IFERROR(INDEX(Maniobras!$B$5:$B$504,MATCH(A1413,Maniobras!$A$5:$A$504,0)),""))</f>
        <v/>
      </c>
      <c r="C1413" s="36">
        <f>IF(B1413="","",TEXT(B1413,"yyyy-mm"))</f>
        <v/>
      </c>
      <c r="D1413" s="36">
        <f>IF(A1413="","",IFERROR(INDEX(Maniobras!$D$5:$D$504,MATCH(A1413,Maniobras!$A$5:$A$504,0)),""))</f>
        <v/>
      </c>
      <c r="E1413" s="36" t="n"/>
      <c r="F1413" s="37">
        <f>IF(A1413="","",IFERROR(INDEX(Maniobras!$K$5:$K$504,MATCH(A1413,Maniobras!$A$5:$A$504,0)),""))</f>
        <v/>
      </c>
      <c r="G1413" s="37" t="n"/>
      <c r="H1413" s="37" t="n"/>
      <c r="I1413" s="37">
        <f>IF(G1413="","",G1413+N(H1413))</f>
        <v/>
      </c>
      <c r="J1413" s="36" t="n"/>
      <c r="K1413" s="40" t="n"/>
      <c r="L1413" s="36" t="n"/>
      <c r="M1413">
        <f>IF($A1413=Ficha!$B$3,COUNTIF($A$5:$A1413,Ficha!$B$3),"")</f>
        <v/>
      </c>
    </row>
    <row r="1414">
      <c r="A1414" s="38" t="n"/>
      <c r="B1414" s="41">
        <f>IF(A1414="","",IFERROR(INDEX(Maniobras!$B$5:$B$504,MATCH(A1414,Maniobras!$A$5:$A$504,0)),""))</f>
        <v/>
      </c>
      <c r="C1414" s="38">
        <f>IF(B1414="","",TEXT(B1414,"yyyy-mm"))</f>
        <v/>
      </c>
      <c r="D1414" s="38">
        <f>IF(A1414="","",IFERROR(INDEX(Maniobras!$D$5:$D$504,MATCH(A1414,Maniobras!$A$5:$A$504,0)),""))</f>
        <v/>
      </c>
      <c r="E1414" s="38" t="n"/>
      <c r="F1414" s="39">
        <f>IF(A1414="","",IFERROR(INDEX(Maniobras!$K$5:$K$504,MATCH(A1414,Maniobras!$A$5:$A$504,0)),""))</f>
        <v/>
      </c>
      <c r="G1414" s="39" t="n"/>
      <c r="H1414" s="39" t="n"/>
      <c r="I1414" s="39">
        <f>IF(G1414="","",G1414+N(H1414))</f>
        <v/>
      </c>
      <c r="J1414" s="38" t="n"/>
      <c r="K1414" s="41" t="n"/>
      <c r="L1414" s="38" t="n"/>
      <c r="M1414">
        <f>IF($A1414=Ficha!$B$3,COUNTIF($A$5:$A1414,Ficha!$B$3),"")</f>
        <v/>
      </c>
    </row>
    <row r="1415">
      <c r="A1415" s="36" t="n"/>
      <c r="B1415" s="40">
        <f>IF(A1415="","",IFERROR(INDEX(Maniobras!$B$5:$B$504,MATCH(A1415,Maniobras!$A$5:$A$504,0)),""))</f>
        <v/>
      </c>
      <c r="C1415" s="36">
        <f>IF(B1415="","",TEXT(B1415,"yyyy-mm"))</f>
        <v/>
      </c>
      <c r="D1415" s="36">
        <f>IF(A1415="","",IFERROR(INDEX(Maniobras!$D$5:$D$504,MATCH(A1415,Maniobras!$A$5:$A$504,0)),""))</f>
        <v/>
      </c>
      <c r="E1415" s="36" t="n"/>
      <c r="F1415" s="37">
        <f>IF(A1415="","",IFERROR(INDEX(Maniobras!$K$5:$K$504,MATCH(A1415,Maniobras!$A$5:$A$504,0)),""))</f>
        <v/>
      </c>
      <c r="G1415" s="37" t="n"/>
      <c r="H1415" s="37" t="n"/>
      <c r="I1415" s="37">
        <f>IF(G1415="","",G1415+N(H1415))</f>
        <v/>
      </c>
      <c r="J1415" s="36" t="n"/>
      <c r="K1415" s="40" t="n"/>
      <c r="L1415" s="36" t="n"/>
      <c r="M1415">
        <f>IF($A1415=Ficha!$B$3,COUNTIF($A$5:$A1415,Ficha!$B$3),"")</f>
        <v/>
      </c>
    </row>
    <row r="1416">
      <c r="A1416" s="38" t="n"/>
      <c r="B1416" s="41">
        <f>IF(A1416="","",IFERROR(INDEX(Maniobras!$B$5:$B$504,MATCH(A1416,Maniobras!$A$5:$A$504,0)),""))</f>
        <v/>
      </c>
      <c r="C1416" s="38">
        <f>IF(B1416="","",TEXT(B1416,"yyyy-mm"))</f>
        <v/>
      </c>
      <c r="D1416" s="38">
        <f>IF(A1416="","",IFERROR(INDEX(Maniobras!$D$5:$D$504,MATCH(A1416,Maniobras!$A$5:$A$504,0)),""))</f>
        <v/>
      </c>
      <c r="E1416" s="38" t="n"/>
      <c r="F1416" s="39">
        <f>IF(A1416="","",IFERROR(INDEX(Maniobras!$K$5:$K$504,MATCH(A1416,Maniobras!$A$5:$A$504,0)),""))</f>
        <v/>
      </c>
      <c r="G1416" s="39" t="n"/>
      <c r="H1416" s="39" t="n"/>
      <c r="I1416" s="39">
        <f>IF(G1416="","",G1416+N(H1416))</f>
        <v/>
      </c>
      <c r="J1416" s="38" t="n"/>
      <c r="K1416" s="41" t="n"/>
      <c r="L1416" s="38" t="n"/>
      <c r="M1416">
        <f>IF($A1416=Ficha!$B$3,COUNTIF($A$5:$A1416,Ficha!$B$3),"")</f>
        <v/>
      </c>
    </row>
    <row r="1417">
      <c r="A1417" s="36" t="n"/>
      <c r="B1417" s="40">
        <f>IF(A1417="","",IFERROR(INDEX(Maniobras!$B$5:$B$504,MATCH(A1417,Maniobras!$A$5:$A$504,0)),""))</f>
        <v/>
      </c>
      <c r="C1417" s="36">
        <f>IF(B1417="","",TEXT(B1417,"yyyy-mm"))</f>
        <v/>
      </c>
      <c r="D1417" s="36">
        <f>IF(A1417="","",IFERROR(INDEX(Maniobras!$D$5:$D$504,MATCH(A1417,Maniobras!$A$5:$A$504,0)),""))</f>
        <v/>
      </c>
      <c r="E1417" s="36" t="n"/>
      <c r="F1417" s="37">
        <f>IF(A1417="","",IFERROR(INDEX(Maniobras!$K$5:$K$504,MATCH(A1417,Maniobras!$A$5:$A$504,0)),""))</f>
        <v/>
      </c>
      <c r="G1417" s="37" t="n"/>
      <c r="H1417" s="37" t="n"/>
      <c r="I1417" s="37">
        <f>IF(G1417="","",G1417+N(H1417))</f>
        <v/>
      </c>
      <c r="J1417" s="36" t="n"/>
      <c r="K1417" s="40" t="n"/>
      <c r="L1417" s="36" t="n"/>
      <c r="M1417">
        <f>IF($A1417=Ficha!$B$3,COUNTIF($A$5:$A1417,Ficha!$B$3),"")</f>
        <v/>
      </c>
    </row>
    <row r="1418">
      <c r="A1418" s="38" t="n"/>
      <c r="B1418" s="41">
        <f>IF(A1418="","",IFERROR(INDEX(Maniobras!$B$5:$B$504,MATCH(A1418,Maniobras!$A$5:$A$504,0)),""))</f>
        <v/>
      </c>
      <c r="C1418" s="38">
        <f>IF(B1418="","",TEXT(B1418,"yyyy-mm"))</f>
        <v/>
      </c>
      <c r="D1418" s="38">
        <f>IF(A1418="","",IFERROR(INDEX(Maniobras!$D$5:$D$504,MATCH(A1418,Maniobras!$A$5:$A$504,0)),""))</f>
        <v/>
      </c>
      <c r="E1418" s="38" t="n"/>
      <c r="F1418" s="39">
        <f>IF(A1418="","",IFERROR(INDEX(Maniobras!$K$5:$K$504,MATCH(A1418,Maniobras!$A$5:$A$504,0)),""))</f>
        <v/>
      </c>
      <c r="G1418" s="39" t="n"/>
      <c r="H1418" s="39" t="n"/>
      <c r="I1418" s="39">
        <f>IF(G1418="","",G1418+N(H1418))</f>
        <v/>
      </c>
      <c r="J1418" s="38" t="n"/>
      <c r="K1418" s="41" t="n"/>
      <c r="L1418" s="38" t="n"/>
      <c r="M1418">
        <f>IF($A1418=Ficha!$B$3,COUNTIF($A$5:$A1418,Ficha!$B$3),"")</f>
        <v/>
      </c>
    </row>
    <row r="1419">
      <c r="A1419" s="36" t="n"/>
      <c r="B1419" s="40">
        <f>IF(A1419="","",IFERROR(INDEX(Maniobras!$B$5:$B$504,MATCH(A1419,Maniobras!$A$5:$A$504,0)),""))</f>
        <v/>
      </c>
      <c r="C1419" s="36">
        <f>IF(B1419="","",TEXT(B1419,"yyyy-mm"))</f>
        <v/>
      </c>
      <c r="D1419" s="36">
        <f>IF(A1419="","",IFERROR(INDEX(Maniobras!$D$5:$D$504,MATCH(A1419,Maniobras!$A$5:$A$504,0)),""))</f>
        <v/>
      </c>
      <c r="E1419" s="36" t="n"/>
      <c r="F1419" s="37">
        <f>IF(A1419="","",IFERROR(INDEX(Maniobras!$K$5:$K$504,MATCH(A1419,Maniobras!$A$5:$A$504,0)),""))</f>
        <v/>
      </c>
      <c r="G1419" s="37" t="n"/>
      <c r="H1419" s="37" t="n"/>
      <c r="I1419" s="37">
        <f>IF(G1419="","",G1419+N(H1419))</f>
        <v/>
      </c>
      <c r="J1419" s="36" t="n"/>
      <c r="K1419" s="40" t="n"/>
      <c r="L1419" s="36" t="n"/>
      <c r="M1419">
        <f>IF($A1419=Ficha!$B$3,COUNTIF($A$5:$A1419,Ficha!$B$3),"")</f>
        <v/>
      </c>
    </row>
    <row r="1420">
      <c r="A1420" s="38" t="n"/>
      <c r="B1420" s="41">
        <f>IF(A1420="","",IFERROR(INDEX(Maniobras!$B$5:$B$504,MATCH(A1420,Maniobras!$A$5:$A$504,0)),""))</f>
        <v/>
      </c>
      <c r="C1420" s="38">
        <f>IF(B1420="","",TEXT(B1420,"yyyy-mm"))</f>
        <v/>
      </c>
      <c r="D1420" s="38">
        <f>IF(A1420="","",IFERROR(INDEX(Maniobras!$D$5:$D$504,MATCH(A1420,Maniobras!$A$5:$A$504,0)),""))</f>
        <v/>
      </c>
      <c r="E1420" s="38" t="n"/>
      <c r="F1420" s="39">
        <f>IF(A1420="","",IFERROR(INDEX(Maniobras!$K$5:$K$504,MATCH(A1420,Maniobras!$A$5:$A$504,0)),""))</f>
        <v/>
      </c>
      <c r="G1420" s="39" t="n"/>
      <c r="H1420" s="39" t="n"/>
      <c r="I1420" s="39">
        <f>IF(G1420="","",G1420+N(H1420))</f>
        <v/>
      </c>
      <c r="J1420" s="38" t="n"/>
      <c r="K1420" s="41" t="n"/>
      <c r="L1420" s="38" t="n"/>
      <c r="M1420">
        <f>IF($A1420=Ficha!$B$3,COUNTIF($A$5:$A1420,Ficha!$B$3),"")</f>
        <v/>
      </c>
    </row>
    <row r="1421">
      <c r="A1421" s="36" t="n"/>
      <c r="B1421" s="40">
        <f>IF(A1421="","",IFERROR(INDEX(Maniobras!$B$5:$B$504,MATCH(A1421,Maniobras!$A$5:$A$504,0)),""))</f>
        <v/>
      </c>
      <c r="C1421" s="36">
        <f>IF(B1421="","",TEXT(B1421,"yyyy-mm"))</f>
        <v/>
      </c>
      <c r="D1421" s="36">
        <f>IF(A1421="","",IFERROR(INDEX(Maniobras!$D$5:$D$504,MATCH(A1421,Maniobras!$A$5:$A$504,0)),""))</f>
        <v/>
      </c>
      <c r="E1421" s="36" t="n"/>
      <c r="F1421" s="37">
        <f>IF(A1421="","",IFERROR(INDEX(Maniobras!$K$5:$K$504,MATCH(A1421,Maniobras!$A$5:$A$504,0)),""))</f>
        <v/>
      </c>
      <c r="G1421" s="37" t="n"/>
      <c r="H1421" s="37" t="n"/>
      <c r="I1421" s="37">
        <f>IF(G1421="","",G1421+N(H1421))</f>
        <v/>
      </c>
      <c r="J1421" s="36" t="n"/>
      <c r="K1421" s="40" t="n"/>
      <c r="L1421" s="36" t="n"/>
      <c r="M1421">
        <f>IF($A1421=Ficha!$B$3,COUNTIF($A$5:$A1421,Ficha!$B$3),"")</f>
        <v/>
      </c>
    </row>
    <row r="1422">
      <c r="A1422" s="38" t="n"/>
      <c r="B1422" s="41">
        <f>IF(A1422="","",IFERROR(INDEX(Maniobras!$B$5:$B$504,MATCH(A1422,Maniobras!$A$5:$A$504,0)),""))</f>
        <v/>
      </c>
      <c r="C1422" s="38">
        <f>IF(B1422="","",TEXT(B1422,"yyyy-mm"))</f>
        <v/>
      </c>
      <c r="D1422" s="38">
        <f>IF(A1422="","",IFERROR(INDEX(Maniobras!$D$5:$D$504,MATCH(A1422,Maniobras!$A$5:$A$504,0)),""))</f>
        <v/>
      </c>
      <c r="E1422" s="38" t="n"/>
      <c r="F1422" s="39">
        <f>IF(A1422="","",IFERROR(INDEX(Maniobras!$K$5:$K$504,MATCH(A1422,Maniobras!$A$5:$A$504,0)),""))</f>
        <v/>
      </c>
      <c r="G1422" s="39" t="n"/>
      <c r="H1422" s="39" t="n"/>
      <c r="I1422" s="39">
        <f>IF(G1422="","",G1422+N(H1422))</f>
        <v/>
      </c>
      <c r="J1422" s="38" t="n"/>
      <c r="K1422" s="41" t="n"/>
      <c r="L1422" s="38" t="n"/>
      <c r="M1422">
        <f>IF($A1422=Ficha!$B$3,COUNTIF($A$5:$A1422,Ficha!$B$3),"")</f>
        <v/>
      </c>
    </row>
    <row r="1423">
      <c r="A1423" s="36" t="n"/>
      <c r="B1423" s="40">
        <f>IF(A1423="","",IFERROR(INDEX(Maniobras!$B$5:$B$504,MATCH(A1423,Maniobras!$A$5:$A$504,0)),""))</f>
        <v/>
      </c>
      <c r="C1423" s="36">
        <f>IF(B1423="","",TEXT(B1423,"yyyy-mm"))</f>
        <v/>
      </c>
      <c r="D1423" s="36">
        <f>IF(A1423="","",IFERROR(INDEX(Maniobras!$D$5:$D$504,MATCH(A1423,Maniobras!$A$5:$A$504,0)),""))</f>
        <v/>
      </c>
      <c r="E1423" s="36" t="n"/>
      <c r="F1423" s="37">
        <f>IF(A1423="","",IFERROR(INDEX(Maniobras!$K$5:$K$504,MATCH(A1423,Maniobras!$A$5:$A$504,0)),""))</f>
        <v/>
      </c>
      <c r="G1423" s="37" t="n"/>
      <c r="H1423" s="37" t="n"/>
      <c r="I1423" s="37">
        <f>IF(G1423="","",G1423+N(H1423))</f>
        <v/>
      </c>
      <c r="J1423" s="36" t="n"/>
      <c r="K1423" s="40" t="n"/>
      <c r="L1423" s="36" t="n"/>
      <c r="M1423">
        <f>IF($A1423=Ficha!$B$3,COUNTIF($A$5:$A1423,Ficha!$B$3),"")</f>
        <v/>
      </c>
    </row>
    <row r="1424">
      <c r="A1424" s="38" t="n"/>
      <c r="B1424" s="41">
        <f>IF(A1424="","",IFERROR(INDEX(Maniobras!$B$5:$B$504,MATCH(A1424,Maniobras!$A$5:$A$504,0)),""))</f>
        <v/>
      </c>
      <c r="C1424" s="38">
        <f>IF(B1424="","",TEXT(B1424,"yyyy-mm"))</f>
        <v/>
      </c>
      <c r="D1424" s="38">
        <f>IF(A1424="","",IFERROR(INDEX(Maniobras!$D$5:$D$504,MATCH(A1424,Maniobras!$A$5:$A$504,0)),""))</f>
        <v/>
      </c>
      <c r="E1424" s="38" t="n"/>
      <c r="F1424" s="39">
        <f>IF(A1424="","",IFERROR(INDEX(Maniobras!$K$5:$K$504,MATCH(A1424,Maniobras!$A$5:$A$504,0)),""))</f>
        <v/>
      </c>
      <c r="G1424" s="39" t="n"/>
      <c r="H1424" s="39" t="n"/>
      <c r="I1424" s="39">
        <f>IF(G1424="","",G1424+N(H1424))</f>
        <v/>
      </c>
      <c r="J1424" s="38" t="n"/>
      <c r="K1424" s="41" t="n"/>
      <c r="L1424" s="38" t="n"/>
      <c r="M1424">
        <f>IF($A1424=Ficha!$B$3,COUNTIF($A$5:$A1424,Ficha!$B$3),"")</f>
        <v/>
      </c>
    </row>
    <row r="1425">
      <c r="A1425" s="36" t="n"/>
      <c r="B1425" s="40">
        <f>IF(A1425="","",IFERROR(INDEX(Maniobras!$B$5:$B$504,MATCH(A1425,Maniobras!$A$5:$A$504,0)),""))</f>
        <v/>
      </c>
      <c r="C1425" s="36">
        <f>IF(B1425="","",TEXT(B1425,"yyyy-mm"))</f>
        <v/>
      </c>
      <c r="D1425" s="36">
        <f>IF(A1425="","",IFERROR(INDEX(Maniobras!$D$5:$D$504,MATCH(A1425,Maniobras!$A$5:$A$504,0)),""))</f>
        <v/>
      </c>
      <c r="E1425" s="36" t="n"/>
      <c r="F1425" s="37">
        <f>IF(A1425="","",IFERROR(INDEX(Maniobras!$K$5:$K$504,MATCH(A1425,Maniobras!$A$5:$A$504,0)),""))</f>
        <v/>
      </c>
      <c r="G1425" s="37" t="n"/>
      <c r="H1425" s="37" t="n"/>
      <c r="I1425" s="37">
        <f>IF(G1425="","",G1425+N(H1425))</f>
        <v/>
      </c>
      <c r="J1425" s="36" t="n"/>
      <c r="K1425" s="40" t="n"/>
      <c r="L1425" s="36" t="n"/>
      <c r="M1425">
        <f>IF($A1425=Ficha!$B$3,COUNTIF($A$5:$A1425,Ficha!$B$3),"")</f>
        <v/>
      </c>
    </row>
    <row r="1426">
      <c r="A1426" s="38" t="n"/>
      <c r="B1426" s="41">
        <f>IF(A1426="","",IFERROR(INDEX(Maniobras!$B$5:$B$504,MATCH(A1426,Maniobras!$A$5:$A$504,0)),""))</f>
        <v/>
      </c>
      <c r="C1426" s="38">
        <f>IF(B1426="","",TEXT(B1426,"yyyy-mm"))</f>
        <v/>
      </c>
      <c r="D1426" s="38">
        <f>IF(A1426="","",IFERROR(INDEX(Maniobras!$D$5:$D$504,MATCH(A1426,Maniobras!$A$5:$A$504,0)),""))</f>
        <v/>
      </c>
      <c r="E1426" s="38" t="n"/>
      <c r="F1426" s="39">
        <f>IF(A1426="","",IFERROR(INDEX(Maniobras!$K$5:$K$504,MATCH(A1426,Maniobras!$A$5:$A$504,0)),""))</f>
        <v/>
      </c>
      <c r="G1426" s="39" t="n"/>
      <c r="H1426" s="39" t="n"/>
      <c r="I1426" s="39">
        <f>IF(G1426="","",G1426+N(H1426))</f>
        <v/>
      </c>
      <c r="J1426" s="38" t="n"/>
      <c r="K1426" s="41" t="n"/>
      <c r="L1426" s="38" t="n"/>
      <c r="M1426">
        <f>IF($A1426=Ficha!$B$3,COUNTIF($A$5:$A1426,Ficha!$B$3),"")</f>
        <v/>
      </c>
    </row>
    <row r="1427">
      <c r="A1427" s="36" t="n"/>
      <c r="B1427" s="40">
        <f>IF(A1427="","",IFERROR(INDEX(Maniobras!$B$5:$B$504,MATCH(A1427,Maniobras!$A$5:$A$504,0)),""))</f>
        <v/>
      </c>
      <c r="C1427" s="36">
        <f>IF(B1427="","",TEXT(B1427,"yyyy-mm"))</f>
        <v/>
      </c>
      <c r="D1427" s="36">
        <f>IF(A1427="","",IFERROR(INDEX(Maniobras!$D$5:$D$504,MATCH(A1427,Maniobras!$A$5:$A$504,0)),""))</f>
        <v/>
      </c>
      <c r="E1427" s="36" t="n"/>
      <c r="F1427" s="37">
        <f>IF(A1427="","",IFERROR(INDEX(Maniobras!$K$5:$K$504,MATCH(A1427,Maniobras!$A$5:$A$504,0)),""))</f>
        <v/>
      </c>
      <c r="G1427" s="37" t="n"/>
      <c r="H1427" s="37" t="n"/>
      <c r="I1427" s="37">
        <f>IF(G1427="","",G1427+N(H1427))</f>
        <v/>
      </c>
      <c r="J1427" s="36" t="n"/>
      <c r="K1427" s="40" t="n"/>
      <c r="L1427" s="36" t="n"/>
      <c r="M1427">
        <f>IF($A1427=Ficha!$B$3,COUNTIF($A$5:$A1427,Ficha!$B$3),"")</f>
        <v/>
      </c>
    </row>
    <row r="1428">
      <c r="A1428" s="38" t="n"/>
      <c r="B1428" s="41">
        <f>IF(A1428="","",IFERROR(INDEX(Maniobras!$B$5:$B$504,MATCH(A1428,Maniobras!$A$5:$A$504,0)),""))</f>
        <v/>
      </c>
      <c r="C1428" s="38">
        <f>IF(B1428="","",TEXT(B1428,"yyyy-mm"))</f>
        <v/>
      </c>
      <c r="D1428" s="38">
        <f>IF(A1428="","",IFERROR(INDEX(Maniobras!$D$5:$D$504,MATCH(A1428,Maniobras!$A$5:$A$504,0)),""))</f>
        <v/>
      </c>
      <c r="E1428" s="38" t="n"/>
      <c r="F1428" s="39">
        <f>IF(A1428="","",IFERROR(INDEX(Maniobras!$K$5:$K$504,MATCH(A1428,Maniobras!$A$5:$A$504,0)),""))</f>
        <v/>
      </c>
      <c r="G1428" s="39" t="n"/>
      <c r="H1428" s="39" t="n"/>
      <c r="I1428" s="39">
        <f>IF(G1428="","",G1428+N(H1428))</f>
        <v/>
      </c>
      <c r="J1428" s="38" t="n"/>
      <c r="K1428" s="41" t="n"/>
      <c r="L1428" s="38" t="n"/>
      <c r="M1428">
        <f>IF($A1428=Ficha!$B$3,COUNTIF($A$5:$A1428,Ficha!$B$3),"")</f>
        <v/>
      </c>
    </row>
    <row r="1429">
      <c r="A1429" s="36" t="n"/>
      <c r="B1429" s="40">
        <f>IF(A1429="","",IFERROR(INDEX(Maniobras!$B$5:$B$504,MATCH(A1429,Maniobras!$A$5:$A$504,0)),""))</f>
        <v/>
      </c>
      <c r="C1429" s="36">
        <f>IF(B1429="","",TEXT(B1429,"yyyy-mm"))</f>
        <v/>
      </c>
      <c r="D1429" s="36">
        <f>IF(A1429="","",IFERROR(INDEX(Maniobras!$D$5:$D$504,MATCH(A1429,Maniobras!$A$5:$A$504,0)),""))</f>
        <v/>
      </c>
      <c r="E1429" s="36" t="n"/>
      <c r="F1429" s="37">
        <f>IF(A1429="","",IFERROR(INDEX(Maniobras!$K$5:$K$504,MATCH(A1429,Maniobras!$A$5:$A$504,0)),""))</f>
        <v/>
      </c>
      <c r="G1429" s="37" t="n"/>
      <c r="H1429" s="37" t="n"/>
      <c r="I1429" s="37">
        <f>IF(G1429="","",G1429+N(H1429))</f>
        <v/>
      </c>
      <c r="J1429" s="36" t="n"/>
      <c r="K1429" s="40" t="n"/>
      <c r="L1429" s="36" t="n"/>
      <c r="M1429">
        <f>IF($A1429=Ficha!$B$3,COUNTIF($A$5:$A1429,Ficha!$B$3),"")</f>
        <v/>
      </c>
    </row>
    <row r="1430">
      <c r="A1430" s="38" t="n"/>
      <c r="B1430" s="41">
        <f>IF(A1430="","",IFERROR(INDEX(Maniobras!$B$5:$B$504,MATCH(A1430,Maniobras!$A$5:$A$504,0)),""))</f>
        <v/>
      </c>
      <c r="C1430" s="38">
        <f>IF(B1430="","",TEXT(B1430,"yyyy-mm"))</f>
        <v/>
      </c>
      <c r="D1430" s="38">
        <f>IF(A1430="","",IFERROR(INDEX(Maniobras!$D$5:$D$504,MATCH(A1430,Maniobras!$A$5:$A$504,0)),""))</f>
        <v/>
      </c>
      <c r="E1430" s="38" t="n"/>
      <c r="F1430" s="39">
        <f>IF(A1430="","",IFERROR(INDEX(Maniobras!$K$5:$K$504,MATCH(A1430,Maniobras!$A$5:$A$504,0)),""))</f>
        <v/>
      </c>
      <c r="G1430" s="39" t="n"/>
      <c r="H1430" s="39" t="n"/>
      <c r="I1430" s="39">
        <f>IF(G1430="","",G1430+N(H1430))</f>
        <v/>
      </c>
      <c r="J1430" s="38" t="n"/>
      <c r="K1430" s="41" t="n"/>
      <c r="L1430" s="38" t="n"/>
      <c r="M1430">
        <f>IF($A1430=Ficha!$B$3,COUNTIF($A$5:$A1430,Ficha!$B$3),"")</f>
        <v/>
      </c>
    </row>
    <row r="1431">
      <c r="A1431" s="36" t="n"/>
      <c r="B1431" s="40">
        <f>IF(A1431="","",IFERROR(INDEX(Maniobras!$B$5:$B$504,MATCH(A1431,Maniobras!$A$5:$A$504,0)),""))</f>
        <v/>
      </c>
      <c r="C1431" s="36">
        <f>IF(B1431="","",TEXT(B1431,"yyyy-mm"))</f>
        <v/>
      </c>
      <c r="D1431" s="36">
        <f>IF(A1431="","",IFERROR(INDEX(Maniobras!$D$5:$D$504,MATCH(A1431,Maniobras!$A$5:$A$504,0)),""))</f>
        <v/>
      </c>
      <c r="E1431" s="36" t="n"/>
      <c r="F1431" s="37">
        <f>IF(A1431="","",IFERROR(INDEX(Maniobras!$K$5:$K$504,MATCH(A1431,Maniobras!$A$5:$A$504,0)),""))</f>
        <v/>
      </c>
      <c r="G1431" s="37" t="n"/>
      <c r="H1431" s="37" t="n"/>
      <c r="I1431" s="37">
        <f>IF(G1431="","",G1431+N(H1431))</f>
        <v/>
      </c>
      <c r="J1431" s="36" t="n"/>
      <c r="K1431" s="40" t="n"/>
      <c r="L1431" s="36" t="n"/>
      <c r="M1431">
        <f>IF($A1431=Ficha!$B$3,COUNTIF($A$5:$A1431,Ficha!$B$3),"")</f>
        <v/>
      </c>
    </row>
    <row r="1432">
      <c r="A1432" s="38" t="n"/>
      <c r="B1432" s="41">
        <f>IF(A1432="","",IFERROR(INDEX(Maniobras!$B$5:$B$504,MATCH(A1432,Maniobras!$A$5:$A$504,0)),""))</f>
        <v/>
      </c>
      <c r="C1432" s="38">
        <f>IF(B1432="","",TEXT(B1432,"yyyy-mm"))</f>
        <v/>
      </c>
      <c r="D1432" s="38">
        <f>IF(A1432="","",IFERROR(INDEX(Maniobras!$D$5:$D$504,MATCH(A1432,Maniobras!$A$5:$A$504,0)),""))</f>
        <v/>
      </c>
      <c r="E1432" s="38" t="n"/>
      <c r="F1432" s="39">
        <f>IF(A1432="","",IFERROR(INDEX(Maniobras!$K$5:$K$504,MATCH(A1432,Maniobras!$A$5:$A$504,0)),""))</f>
        <v/>
      </c>
      <c r="G1432" s="39" t="n"/>
      <c r="H1432" s="39" t="n"/>
      <c r="I1432" s="39">
        <f>IF(G1432="","",G1432+N(H1432))</f>
        <v/>
      </c>
      <c r="J1432" s="38" t="n"/>
      <c r="K1432" s="41" t="n"/>
      <c r="L1432" s="38" t="n"/>
      <c r="M1432">
        <f>IF($A1432=Ficha!$B$3,COUNTIF($A$5:$A1432,Ficha!$B$3),"")</f>
        <v/>
      </c>
    </row>
    <row r="1433">
      <c r="A1433" s="36" t="n"/>
      <c r="B1433" s="40">
        <f>IF(A1433="","",IFERROR(INDEX(Maniobras!$B$5:$B$504,MATCH(A1433,Maniobras!$A$5:$A$504,0)),""))</f>
        <v/>
      </c>
      <c r="C1433" s="36">
        <f>IF(B1433="","",TEXT(B1433,"yyyy-mm"))</f>
        <v/>
      </c>
      <c r="D1433" s="36">
        <f>IF(A1433="","",IFERROR(INDEX(Maniobras!$D$5:$D$504,MATCH(A1433,Maniobras!$A$5:$A$504,0)),""))</f>
        <v/>
      </c>
      <c r="E1433" s="36" t="n"/>
      <c r="F1433" s="37">
        <f>IF(A1433="","",IFERROR(INDEX(Maniobras!$K$5:$K$504,MATCH(A1433,Maniobras!$A$5:$A$504,0)),""))</f>
        <v/>
      </c>
      <c r="G1433" s="37" t="n"/>
      <c r="H1433" s="37" t="n"/>
      <c r="I1433" s="37">
        <f>IF(G1433="","",G1433+N(H1433))</f>
        <v/>
      </c>
      <c r="J1433" s="36" t="n"/>
      <c r="K1433" s="40" t="n"/>
      <c r="L1433" s="36" t="n"/>
      <c r="M1433">
        <f>IF($A1433=Ficha!$B$3,COUNTIF($A$5:$A1433,Ficha!$B$3),"")</f>
        <v/>
      </c>
    </row>
    <row r="1434">
      <c r="A1434" s="38" t="n"/>
      <c r="B1434" s="41">
        <f>IF(A1434="","",IFERROR(INDEX(Maniobras!$B$5:$B$504,MATCH(A1434,Maniobras!$A$5:$A$504,0)),""))</f>
        <v/>
      </c>
      <c r="C1434" s="38">
        <f>IF(B1434="","",TEXT(B1434,"yyyy-mm"))</f>
        <v/>
      </c>
      <c r="D1434" s="38">
        <f>IF(A1434="","",IFERROR(INDEX(Maniobras!$D$5:$D$504,MATCH(A1434,Maniobras!$A$5:$A$504,0)),""))</f>
        <v/>
      </c>
      <c r="E1434" s="38" t="n"/>
      <c r="F1434" s="39">
        <f>IF(A1434="","",IFERROR(INDEX(Maniobras!$K$5:$K$504,MATCH(A1434,Maniobras!$A$5:$A$504,0)),""))</f>
        <v/>
      </c>
      <c r="G1434" s="39" t="n"/>
      <c r="H1434" s="39" t="n"/>
      <c r="I1434" s="39">
        <f>IF(G1434="","",G1434+N(H1434))</f>
        <v/>
      </c>
      <c r="J1434" s="38" t="n"/>
      <c r="K1434" s="41" t="n"/>
      <c r="L1434" s="38" t="n"/>
      <c r="M1434">
        <f>IF($A1434=Ficha!$B$3,COUNTIF($A$5:$A1434,Ficha!$B$3),"")</f>
        <v/>
      </c>
    </row>
    <row r="1435">
      <c r="A1435" s="36" t="n"/>
      <c r="B1435" s="40">
        <f>IF(A1435="","",IFERROR(INDEX(Maniobras!$B$5:$B$504,MATCH(A1435,Maniobras!$A$5:$A$504,0)),""))</f>
        <v/>
      </c>
      <c r="C1435" s="36">
        <f>IF(B1435="","",TEXT(B1435,"yyyy-mm"))</f>
        <v/>
      </c>
      <c r="D1435" s="36">
        <f>IF(A1435="","",IFERROR(INDEX(Maniobras!$D$5:$D$504,MATCH(A1435,Maniobras!$A$5:$A$504,0)),""))</f>
        <v/>
      </c>
      <c r="E1435" s="36" t="n"/>
      <c r="F1435" s="37">
        <f>IF(A1435="","",IFERROR(INDEX(Maniobras!$K$5:$K$504,MATCH(A1435,Maniobras!$A$5:$A$504,0)),""))</f>
        <v/>
      </c>
      <c r="G1435" s="37" t="n"/>
      <c r="H1435" s="37" t="n"/>
      <c r="I1435" s="37">
        <f>IF(G1435="","",G1435+N(H1435))</f>
        <v/>
      </c>
      <c r="J1435" s="36" t="n"/>
      <c r="K1435" s="40" t="n"/>
      <c r="L1435" s="36" t="n"/>
      <c r="M1435">
        <f>IF($A1435=Ficha!$B$3,COUNTIF($A$5:$A1435,Ficha!$B$3),"")</f>
        <v/>
      </c>
    </row>
    <row r="1436">
      <c r="A1436" s="38" t="n"/>
      <c r="B1436" s="41">
        <f>IF(A1436="","",IFERROR(INDEX(Maniobras!$B$5:$B$504,MATCH(A1436,Maniobras!$A$5:$A$504,0)),""))</f>
        <v/>
      </c>
      <c r="C1436" s="38">
        <f>IF(B1436="","",TEXT(B1436,"yyyy-mm"))</f>
        <v/>
      </c>
      <c r="D1436" s="38">
        <f>IF(A1436="","",IFERROR(INDEX(Maniobras!$D$5:$D$504,MATCH(A1436,Maniobras!$A$5:$A$504,0)),""))</f>
        <v/>
      </c>
      <c r="E1436" s="38" t="n"/>
      <c r="F1436" s="39">
        <f>IF(A1436="","",IFERROR(INDEX(Maniobras!$K$5:$K$504,MATCH(A1436,Maniobras!$A$5:$A$504,0)),""))</f>
        <v/>
      </c>
      <c r="G1436" s="39" t="n"/>
      <c r="H1436" s="39" t="n"/>
      <c r="I1436" s="39">
        <f>IF(G1436="","",G1436+N(H1436))</f>
        <v/>
      </c>
      <c r="J1436" s="38" t="n"/>
      <c r="K1436" s="41" t="n"/>
      <c r="L1436" s="38" t="n"/>
      <c r="M1436">
        <f>IF($A1436=Ficha!$B$3,COUNTIF($A$5:$A1436,Ficha!$B$3),"")</f>
        <v/>
      </c>
    </row>
    <row r="1437">
      <c r="A1437" s="36" t="n"/>
      <c r="B1437" s="40">
        <f>IF(A1437="","",IFERROR(INDEX(Maniobras!$B$5:$B$504,MATCH(A1437,Maniobras!$A$5:$A$504,0)),""))</f>
        <v/>
      </c>
      <c r="C1437" s="36">
        <f>IF(B1437="","",TEXT(B1437,"yyyy-mm"))</f>
        <v/>
      </c>
      <c r="D1437" s="36">
        <f>IF(A1437="","",IFERROR(INDEX(Maniobras!$D$5:$D$504,MATCH(A1437,Maniobras!$A$5:$A$504,0)),""))</f>
        <v/>
      </c>
      <c r="E1437" s="36" t="n"/>
      <c r="F1437" s="37">
        <f>IF(A1437="","",IFERROR(INDEX(Maniobras!$K$5:$K$504,MATCH(A1437,Maniobras!$A$5:$A$504,0)),""))</f>
        <v/>
      </c>
      <c r="G1437" s="37" t="n"/>
      <c r="H1437" s="37" t="n"/>
      <c r="I1437" s="37">
        <f>IF(G1437="","",G1437+N(H1437))</f>
        <v/>
      </c>
      <c r="J1437" s="36" t="n"/>
      <c r="K1437" s="40" t="n"/>
      <c r="L1437" s="36" t="n"/>
      <c r="M1437">
        <f>IF($A1437=Ficha!$B$3,COUNTIF($A$5:$A1437,Ficha!$B$3),"")</f>
        <v/>
      </c>
    </row>
    <row r="1438">
      <c r="A1438" s="38" t="n"/>
      <c r="B1438" s="41">
        <f>IF(A1438="","",IFERROR(INDEX(Maniobras!$B$5:$B$504,MATCH(A1438,Maniobras!$A$5:$A$504,0)),""))</f>
        <v/>
      </c>
      <c r="C1438" s="38">
        <f>IF(B1438="","",TEXT(B1438,"yyyy-mm"))</f>
        <v/>
      </c>
      <c r="D1438" s="38">
        <f>IF(A1438="","",IFERROR(INDEX(Maniobras!$D$5:$D$504,MATCH(A1438,Maniobras!$A$5:$A$504,0)),""))</f>
        <v/>
      </c>
      <c r="E1438" s="38" t="n"/>
      <c r="F1438" s="39">
        <f>IF(A1438="","",IFERROR(INDEX(Maniobras!$K$5:$K$504,MATCH(A1438,Maniobras!$A$5:$A$504,0)),""))</f>
        <v/>
      </c>
      <c r="G1438" s="39" t="n"/>
      <c r="H1438" s="39" t="n"/>
      <c r="I1438" s="39">
        <f>IF(G1438="","",G1438+N(H1438))</f>
        <v/>
      </c>
      <c r="J1438" s="38" t="n"/>
      <c r="K1438" s="41" t="n"/>
      <c r="L1438" s="38" t="n"/>
      <c r="M1438">
        <f>IF($A1438=Ficha!$B$3,COUNTIF($A$5:$A1438,Ficha!$B$3),"")</f>
        <v/>
      </c>
    </row>
    <row r="1439">
      <c r="A1439" s="36" t="n"/>
      <c r="B1439" s="40">
        <f>IF(A1439="","",IFERROR(INDEX(Maniobras!$B$5:$B$504,MATCH(A1439,Maniobras!$A$5:$A$504,0)),""))</f>
        <v/>
      </c>
      <c r="C1439" s="36">
        <f>IF(B1439="","",TEXT(B1439,"yyyy-mm"))</f>
        <v/>
      </c>
      <c r="D1439" s="36">
        <f>IF(A1439="","",IFERROR(INDEX(Maniobras!$D$5:$D$504,MATCH(A1439,Maniobras!$A$5:$A$504,0)),""))</f>
        <v/>
      </c>
      <c r="E1439" s="36" t="n"/>
      <c r="F1439" s="37">
        <f>IF(A1439="","",IFERROR(INDEX(Maniobras!$K$5:$K$504,MATCH(A1439,Maniobras!$A$5:$A$504,0)),""))</f>
        <v/>
      </c>
      <c r="G1439" s="37" t="n"/>
      <c r="H1439" s="37" t="n"/>
      <c r="I1439" s="37">
        <f>IF(G1439="","",G1439+N(H1439))</f>
        <v/>
      </c>
      <c r="J1439" s="36" t="n"/>
      <c r="K1439" s="40" t="n"/>
      <c r="L1439" s="36" t="n"/>
      <c r="M1439">
        <f>IF($A1439=Ficha!$B$3,COUNTIF($A$5:$A1439,Ficha!$B$3),"")</f>
        <v/>
      </c>
    </row>
    <row r="1440">
      <c r="A1440" s="38" t="n"/>
      <c r="B1440" s="41">
        <f>IF(A1440="","",IFERROR(INDEX(Maniobras!$B$5:$B$504,MATCH(A1440,Maniobras!$A$5:$A$504,0)),""))</f>
        <v/>
      </c>
      <c r="C1440" s="38">
        <f>IF(B1440="","",TEXT(B1440,"yyyy-mm"))</f>
        <v/>
      </c>
      <c r="D1440" s="38">
        <f>IF(A1440="","",IFERROR(INDEX(Maniobras!$D$5:$D$504,MATCH(A1440,Maniobras!$A$5:$A$504,0)),""))</f>
        <v/>
      </c>
      <c r="E1440" s="38" t="n"/>
      <c r="F1440" s="39">
        <f>IF(A1440="","",IFERROR(INDEX(Maniobras!$K$5:$K$504,MATCH(A1440,Maniobras!$A$5:$A$504,0)),""))</f>
        <v/>
      </c>
      <c r="G1440" s="39" t="n"/>
      <c r="H1440" s="39" t="n"/>
      <c r="I1440" s="39">
        <f>IF(G1440="","",G1440+N(H1440))</f>
        <v/>
      </c>
      <c r="J1440" s="38" t="n"/>
      <c r="K1440" s="41" t="n"/>
      <c r="L1440" s="38" t="n"/>
      <c r="M1440">
        <f>IF($A1440=Ficha!$B$3,COUNTIF($A$5:$A1440,Ficha!$B$3),"")</f>
        <v/>
      </c>
    </row>
    <row r="1441">
      <c r="A1441" s="36" t="n"/>
      <c r="B1441" s="40">
        <f>IF(A1441="","",IFERROR(INDEX(Maniobras!$B$5:$B$504,MATCH(A1441,Maniobras!$A$5:$A$504,0)),""))</f>
        <v/>
      </c>
      <c r="C1441" s="36">
        <f>IF(B1441="","",TEXT(B1441,"yyyy-mm"))</f>
        <v/>
      </c>
      <c r="D1441" s="36">
        <f>IF(A1441="","",IFERROR(INDEX(Maniobras!$D$5:$D$504,MATCH(A1441,Maniobras!$A$5:$A$504,0)),""))</f>
        <v/>
      </c>
      <c r="E1441" s="36" t="n"/>
      <c r="F1441" s="37">
        <f>IF(A1441="","",IFERROR(INDEX(Maniobras!$K$5:$K$504,MATCH(A1441,Maniobras!$A$5:$A$504,0)),""))</f>
        <v/>
      </c>
      <c r="G1441" s="37" t="n"/>
      <c r="H1441" s="37" t="n"/>
      <c r="I1441" s="37">
        <f>IF(G1441="","",G1441+N(H1441))</f>
        <v/>
      </c>
      <c r="J1441" s="36" t="n"/>
      <c r="K1441" s="40" t="n"/>
      <c r="L1441" s="36" t="n"/>
      <c r="M1441">
        <f>IF($A1441=Ficha!$B$3,COUNTIF($A$5:$A1441,Ficha!$B$3),"")</f>
        <v/>
      </c>
    </row>
    <row r="1442">
      <c r="A1442" s="38" t="n"/>
      <c r="B1442" s="41">
        <f>IF(A1442="","",IFERROR(INDEX(Maniobras!$B$5:$B$504,MATCH(A1442,Maniobras!$A$5:$A$504,0)),""))</f>
        <v/>
      </c>
      <c r="C1442" s="38">
        <f>IF(B1442="","",TEXT(B1442,"yyyy-mm"))</f>
        <v/>
      </c>
      <c r="D1442" s="38">
        <f>IF(A1442="","",IFERROR(INDEX(Maniobras!$D$5:$D$504,MATCH(A1442,Maniobras!$A$5:$A$504,0)),""))</f>
        <v/>
      </c>
      <c r="E1442" s="38" t="n"/>
      <c r="F1442" s="39">
        <f>IF(A1442="","",IFERROR(INDEX(Maniobras!$K$5:$K$504,MATCH(A1442,Maniobras!$A$5:$A$504,0)),""))</f>
        <v/>
      </c>
      <c r="G1442" s="39" t="n"/>
      <c r="H1442" s="39" t="n"/>
      <c r="I1442" s="39">
        <f>IF(G1442="","",G1442+N(H1442))</f>
        <v/>
      </c>
      <c r="J1442" s="38" t="n"/>
      <c r="K1442" s="41" t="n"/>
      <c r="L1442" s="38" t="n"/>
      <c r="M1442">
        <f>IF($A1442=Ficha!$B$3,COUNTIF($A$5:$A1442,Ficha!$B$3),"")</f>
        <v/>
      </c>
    </row>
    <row r="1443">
      <c r="A1443" s="36" t="n"/>
      <c r="B1443" s="40">
        <f>IF(A1443="","",IFERROR(INDEX(Maniobras!$B$5:$B$504,MATCH(A1443,Maniobras!$A$5:$A$504,0)),""))</f>
        <v/>
      </c>
      <c r="C1443" s="36">
        <f>IF(B1443="","",TEXT(B1443,"yyyy-mm"))</f>
        <v/>
      </c>
      <c r="D1443" s="36">
        <f>IF(A1443="","",IFERROR(INDEX(Maniobras!$D$5:$D$504,MATCH(A1443,Maniobras!$A$5:$A$504,0)),""))</f>
        <v/>
      </c>
      <c r="E1443" s="36" t="n"/>
      <c r="F1443" s="37">
        <f>IF(A1443="","",IFERROR(INDEX(Maniobras!$K$5:$K$504,MATCH(A1443,Maniobras!$A$5:$A$504,0)),""))</f>
        <v/>
      </c>
      <c r="G1443" s="37" t="n"/>
      <c r="H1443" s="37" t="n"/>
      <c r="I1443" s="37">
        <f>IF(G1443="","",G1443+N(H1443))</f>
        <v/>
      </c>
      <c r="J1443" s="36" t="n"/>
      <c r="K1443" s="40" t="n"/>
      <c r="L1443" s="36" t="n"/>
      <c r="M1443">
        <f>IF($A1443=Ficha!$B$3,COUNTIF($A$5:$A1443,Ficha!$B$3),"")</f>
        <v/>
      </c>
    </row>
    <row r="1444">
      <c r="A1444" s="38" t="n"/>
      <c r="B1444" s="41">
        <f>IF(A1444="","",IFERROR(INDEX(Maniobras!$B$5:$B$504,MATCH(A1444,Maniobras!$A$5:$A$504,0)),""))</f>
        <v/>
      </c>
      <c r="C1444" s="38">
        <f>IF(B1444="","",TEXT(B1444,"yyyy-mm"))</f>
        <v/>
      </c>
      <c r="D1444" s="38">
        <f>IF(A1444="","",IFERROR(INDEX(Maniobras!$D$5:$D$504,MATCH(A1444,Maniobras!$A$5:$A$504,0)),""))</f>
        <v/>
      </c>
      <c r="E1444" s="38" t="n"/>
      <c r="F1444" s="39">
        <f>IF(A1444="","",IFERROR(INDEX(Maniobras!$K$5:$K$504,MATCH(A1444,Maniobras!$A$5:$A$504,0)),""))</f>
        <v/>
      </c>
      <c r="G1444" s="39" t="n"/>
      <c r="H1444" s="39" t="n"/>
      <c r="I1444" s="39">
        <f>IF(G1444="","",G1444+N(H1444))</f>
        <v/>
      </c>
      <c r="J1444" s="38" t="n"/>
      <c r="K1444" s="41" t="n"/>
      <c r="L1444" s="38" t="n"/>
      <c r="M1444">
        <f>IF($A1444=Ficha!$B$3,COUNTIF($A$5:$A1444,Ficha!$B$3),"")</f>
        <v/>
      </c>
    </row>
    <row r="1445">
      <c r="A1445" s="36" t="n"/>
      <c r="B1445" s="40">
        <f>IF(A1445="","",IFERROR(INDEX(Maniobras!$B$5:$B$504,MATCH(A1445,Maniobras!$A$5:$A$504,0)),""))</f>
        <v/>
      </c>
      <c r="C1445" s="36">
        <f>IF(B1445="","",TEXT(B1445,"yyyy-mm"))</f>
        <v/>
      </c>
      <c r="D1445" s="36">
        <f>IF(A1445="","",IFERROR(INDEX(Maniobras!$D$5:$D$504,MATCH(A1445,Maniobras!$A$5:$A$504,0)),""))</f>
        <v/>
      </c>
      <c r="E1445" s="36" t="n"/>
      <c r="F1445" s="37">
        <f>IF(A1445="","",IFERROR(INDEX(Maniobras!$K$5:$K$504,MATCH(A1445,Maniobras!$A$5:$A$504,0)),""))</f>
        <v/>
      </c>
      <c r="G1445" s="37" t="n"/>
      <c r="H1445" s="37" t="n"/>
      <c r="I1445" s="37">
        <f>IF(G1445="","",G1445+N(H1445))</f>
        <v/>
      </c>
      <c r="J1445" s="36" t="n"/>
      <c r="K1445" s="40" t="n"/>
      <c r="L1445" s="36" t="n"/>
      <c r="M1445">
        <f>IF($A1445=Ficha!$B$3,COUNTIF($A$5:$A1445,Ficha!$B$3),"")</f>
        <v/>
      </c>
    </row>
    <row r="1446">
      <c r="A1446" s="38" t="n"/>
      <c r="B1446" s="41">
        <f>IF(A1446="","",IFERROR(INDEX(Maniobras!$B$5:$B$504,MATCH(A1446,Maniobras!$A$5:$A$504,0)),""))</f>
        <v/>
      </c>
      <c r="C1446" s="38">
        <f>IF(B1446="","",TEXT(B1446,"yyyy-mm"))</f>
        <v/>
      </c>
      <c r="D1446" s="38">
        <f>IF(A1446="","",IFERROR(INDEX(Maniobras!$D$5:$D$504,MATCH(A1446,Maniobras!$A$5:$A$504,0)),""))</f>
        <v/>
      </c>
      <c r="E1446" s="38" t="n"/>
      <c r="F1446" s="39">
        <f>IF(A1446="","",IFERROR(INDEX(Maniobras!$K$5:$K$504,MATCH(A1446,Maniobras!$A$5:$A$504,0)),""))</f>
        <v/>
      </c>
      <c r="G1446" s="39" t="n"/>
      <c r="H1446" s="39" t="n"/>
      <c r="I1446" s="39">
        <f>IF(G1446="","",G1446+N(H1446))</f>
        <v/>
      </c>
      <c r="J1446" s="38" t="n"/>
      <c r="K1446" s="41" t="n"/>
      <c r="L1446" s="38" t="n"/>
      <c r="M1446">
        <f>IF($A1446=Ficha!$B$3,COUNTIF($A$5:$A1446,Ficha!$B$3),"")</f>
        <v/>
      </c>
    </row>
    <row r="1447">
      <c r="A1447" s="36" t="n"/>
      <c r="B1447" s="40">
        <f>IF(A1447="","",IFERROR(INDEX(Maniobras!$B$5:$B$504,MATCH(A1447,Maniobras!$A$5:$A$504,0)),""))</f>
        <v/>
      </c>
      <c r="C1447" s="36">
        <f>IF(B1447="","",TEXT(B1447,"yyyy-mm"))</f>
        <v/>
      </c>
      <c r="D1447" s="36">
        <f>IF(A1447="","",IFERROR(INDEX(Maniobras!$D$5:$D$504,MATCH(A1447,Maniobras!$A$5:$A$504,0)),""))</f>
        <v/>
      </c>
      <c r="E1447" s="36" t="n"/>
      <c r="F1447" s="37">
        <f>IF(A1447="","",IFERROR(INDEX(Maniobras!$K$5:$K$504,MATCH(A1447,Maniobras!$A$5:$A$504,0)),""))</f>
        <v/>
      </c>
      <c r="G1447" s="37" t="n"/>
      <c r="H1447" s="37" t="n"/>
      <c r="I1447" s="37">
        <f>IF(G1447="","",G1447+N(H1447))</f>
        <v/>
      </c>
      <c r="J1447" s="36" t="n"/>
      <c r="K1447" s="40" t="n"/>
      <c r="L1447" s="36" t="n"/>
      <c r="M1447">
        <f>IF($A1447=Ficha!$B$3,COUNTIF($A$5:$A1447,Ficha!$B$3),"")</f>
        <v/>
      </c>
    </row>
    <row r="1448">
      <c r="A1448" s="38" t="n"/>
      <c r="B1448" s="41">
        <f>IF(A1448="","",IFERROR(INDEX(Maniobras!$B$5:$B$504,MATCH(A1448,Maniobras!$A$5:$A$504,0)),""))</f>
        <v/>
      </c>
      <c r="C1448" s="38">
        <f>IF(B1448="","",TEXT(B1448,"yyyy-mm"))</f>
        <v/>
      </c>
      <c r="D1448" s="38">
        <f>IF(A1448="","",IFERROR(INDEX(Maniobras!$D$5:$D$504,MATCH(A1448,Maniobras!$A$5:$A$504,0)),""))</f>
        <v/>
      </c>
      <c r="E1448" s="38" t="n"/>
      <c r="F1448" s="39">
        <f>IF(A1448="","",IFERROR(INDEX(Maniobras!$K$5:$K$504,MATCH(A1448,Maniobras!$A$5:$A$504,0)),""))</f>
        <v/>
      </c>
      <c r="G1448" s="39" t="n"/>
      <c r="H1448" s="39" t="n"/>
      <c r="I1448" s="39">
        <f>IF(G1448="","",G1448+N(H1448))</f>
        <v/>
      </c>
      <c r="J1448" s="38" t="n"/>
      <c r="K1448" s="41" t="n"/>
      <c r="L1448" s="38" t="n"/>
      <c r="M1448">
        <f>IF($A1448=Ficha!$B$3,COUNTIF($A$5:$A1448,Ficha!$B$3),"")</f>
        <v/>
      </c>
    </row>
    <row r="1449">
      <c r="A1449" s="36" t="n"/>
      <c r="B1449" s="40">
        <f>IF(A1449="","",IFERROR(INDEX(Maniobras!$B$5:$B$504,MATCH(A1449,Maniobras!$A$5:$A$504,0)),""))</f>
        <v/>
      </c>
      <c r="C1449" s="36">
        <f>IF(B1449="","",TEXT(B1449,"yyyy-mm"))</f>
        <v/>
      </c>
      <c r="D1449" s="36">
        <f>IF(A1449="","",IFERROR(INDEX(Maniobras!$D$5:$D$504,MATCH(A1449,Maniobras!$A$5:$A$504,0)),""))</f>
        <v/>
      </c>
      <c r="E1449" s="36" t="n"/>
      <c r="F1449" s="37">
        <f>IF(A1449="","",IFERROR(INDEX(Maniobras!$K$5:$K$504,MATCH(A1449,Maniobras!$A$5:$A$504,0)),""))</f>
        <v/>
      </c>
      <c r="G1449" s="37" t="n"/>
      <c r="H1449" s="37" t="n"/>
      <c r="I1449" s="37">
        <f>IF(G1449="","",G1449+N(H1449))</f>
        <v/>
      </c>
      <c r="J1449" s="36" t="n"/>
      <c r="K1449" s="40" t="n"/>
      <c r="L1449" s="36" t="n"/>
      <c r="M1449">
        <f>IF($A1449=Ficha!$B$3,COUNTIF($A$5:$A1449,Ficha!$B$3),"")</f>
        <v/>
      </c>
    </row>
    <row r="1450">
      <c r="A1450" s="38" t="n"/>
      <c r="B1450" s="41">
        <f>IF(A1450="","",IFERROR(INDEX(Maniobras!$B$5:$B$504,MATCH(A1450,Maniobras!$A$5:$A$504,0)),""))</f>
        <v/>
      </c>
      <c r="C1450" s="38">
        <f>IF(B1450="","",TEXT(B1450,"yyyy-mm"))</f>
        <v/>
      </c>
      <c r="D1450" s="38">
        <f>IF(A1450="","",IFERROR(INDEX(Maniobras!$D$5:$D$504,MATCH(A1450,Maniobras!$A$5:$A$504,0)),""))</f>
        <v/>
      </c>
      <c r="E1450" s="38" t="n"/>
      <c r="F1450" s="39">
        <f>IF(A1450="","",IFERROR(INDEX(Maniobras!$K$5:$K$504,MATCH(A1450,Maniobras!$A$5:$A$504,0)),""))</f>
        <v/>
      </c>
      <c r="G1450" s="39" t="n"/>
      <c r="H1450" s="39" t="n"/>
      <c r="I1450" s="39">
        <f>IF(G1450="","",G1450+N(H1450))</f>
        <v/>
      </c>
      <c r="J1450" s="38" t="n"/>
      <c r="K1450" s="41" t="n"/>
      <c r="L1450" s="38" t="n"/>
      <c r="M1450">
        <f>IF($A1450=Ficha!$B$3,COUNTIF($A$5:$A1450,Ficha!$B$3),"")</f>
        <v/>
      </c>
    </row>
    <row r="1451">
      <c r="A1451" s="36" t="n"/>
      <c r="B1451" s="40">
        <f>IF(A1451="","",IFERROR(INDEX(Maniobras!$B$5:$B$504,MATCH(A1451,Maniobras!$A$5:$A$504,0)),""))</f>
        <v/>
      </c>
      <c r="C1451" s="36">
        <f>IF(B1451="","",TEXT(B1451,"yyyy-mm"))</f>
        <v/>
      </c>
      <c r="D1451" s="36">
        <f>IF(A1451="","",IFERROR(INDEX(Maniobras!$D$5:$D$504,MATCH(A1451,Maniobras!$A$5:$A$504,0)),""))</f>
        <v/>
      </c>
      <c r="E1451" s="36" t="n"/>
      <c r="F1451" s="37">
        <f>IF(A1451="","",IFERROR(INDEX(Maniobras!$K$5:$K$504,MATCH(A1451,Maniobras!$A$5:$A$504,0)),""))</f>
        <v/>
      </c>
      <c r="G1451" s="37" t="n"/>
      <c r="H1451" s="37" t="n"/>
      <c r="I1451" s="37">
        <f>IF(G1451="","",G1451+N(H1451))</f>
        <v/>
      </c>
      <c r="J1451" s="36" t="n"/>
      <c r="K1451" s="40" t="n"/>
      <c r="L1451" s="36" t="n"/>
      <c r="M1451">
        <f>IF($A1451=Ficha!$B$3,COUNTIF($A$5:$A1451,Ficha!$B$3),"")</f>
        <v/>
      </c>
    </row>
    <row r="1452">
      <c r="A1452" s="38" t="n"/>
      <c r="B1452" s="41">
        <f>IF(A1452="","",IFERROR(INDEX(Maniobras!$B$5:$B$504,MATCH(A1452,Maniobras!$A$5:$A$504,0)),""))</f>
        <v/>
      </c>
      <c r="C1452" s="38">
        <f>IF(B1452="","",TEXT(B1452,"yyyy-mm"))</f>
        <v/>
      </c>
      <c r="D1452" s="38">
        <f>IF(A1452="","",IFERROR(INDEX(Maniobras!$D$5:$D$504,MATCH(A1452,Maniobras!$A$5:$A$504,0)),""))</f>
        <v/>
      </c>
      <c r="E1452" s="38" t="n"/>
      <c r="F1452" s="39">
        <f>IF(A1452="","",IFERROR(INDEX(Maniobras!$K$5:$K$504,MATCH(A1452,Maniobras!$A$5:$A$504,0)),""))</f>
        <v/>
      </c>
      <c r="G1452" s="39" t="n"/>
      <c r="H1452" s="39" t="n"/>
      <c r="I1452" s="39">
        <f>IF(G1452="","",G1452+N(H1452))</f>
        <v/>
      </c>
      <c r="J1452" s="38" t="n"/>
      <c r="K1452" s="41" t="n"/>
      <c r="L1452" s="38" t="n"/>
      <c r="M1452">
        <f>IF($A1452=Ficha!$B$3,COUNTIF($A$5:$A1452,Ficha!$B$3),"")</f>
        <v/>
      </c>
    </row>
    <row r="1453">
      <c r="A1453" s="36" t="n"/>
      <c r="B1453" s="40">
        <f>IF(A1453="","",IFERROR(INDEX(Maniobras!$B$5:$B$504,MATCH(A1453,Maniobras!$A$5:$A$504,0)),""))</f>
        <v/>
      </c>
      <c r="C1453" s="36">
        <f>IF(B1453="","",TEXT(B1453,"yyyy-mm"))</f>
        <v/>
      </c>
      <c r="D1453" s="36">
        <f>IF(A1453="","",IFERROR(INDEX(Maniobras!$D$5:$D$504,MATCH(A1453,Maniobras!$A$5:$A$504,0)),""))</f>
        <v/>
      </c>
      <c r="E1453" s="36" t="n"/>
      <c r="F1453" s="37">
        <f>IF(A1453="","",IFERROR(INDEX(Maniobras!$K$5:$K$504,MATCH(A1453,Maniobras!$A$5:$A$504,0)),""))</f>
        <v/>
      </c>
      <c r="G1453" s="37" t="n"/>
      <c r="H1453" s="37" t="n"/>
      <c r="I1453" s="37">
        <f>IF(G1453="","",G1453+N(H1453))</f>
        <v/>
      </c>
      <c r="J1453" s="36" t="n"/>
      <c r="K1453" s="40" t="n"/>
      <c r="L1453" s="36" t="n"/>
      <c r="M1453">
        <f>IF($A1453=Ficha!$B$3,COUNTIF($A$5:$A1453,Ficha!$B$3),"")</f>
        <v/>
      </c>
    </row>
    <row r="1454">
      <c r="A1454" s="38" t="n"/>
      <c r="B1454" s="41">
        <f>IF(A1454="","",IFERROR(INDEX(Maniobras!$B$5:$B$504,MATCH(A1454,Maniobras!$A$5:$A$504,0)),""))</f>
        <v/>
      </c>
      <c r="C1454" s="38">
        <f>IF(B1454="","",TEXT(B1454,"yyyy-mm"))</f>
        <v/>
      </c>
      <c r="D1454" s="38">
        <f>IF(A1454="","",IFERROR(INDEX(Maniobras!$D$5:$D$504,MATCH(A1454,Maniobras!$A$5:$A$504,0)),""))</f>
        <v/>
      </c>
      <c r="E1454" s="38" t="n"/>
      <c r="F1454" s="39">
        <f>IF(A1454="","",IFERROR(INDEX(Maniobras!$K$5:$K$504,MATCH(A1454,Maniobras!$A$5:$A$504,0)),""))</f>
        <v/>
      </c>
      <c r="G1454" s="39" t="n"/>
      <c r="H1454" s="39" t="n"/>
      <c r="I1454" s="39">
        <f>IF(G1454="","",G1454+N(H1454))</f>
        <v/>
      </c>
      <c r="J1454" s="38" t="n"/>
      <c r="K1454" s="41" t="n"/>
      <c r="L1454" s="38" t="n"/>
      <c r="M1454">
        <f>IF($A1454=Ficha!$B$3,COUNTIF($A$5:$A1454,Ficha!$B$3),"")</f>
        <v/>
      </c>
    </row>
    <row r="1455">
      <c r="A1455" s="36" t="n"/>
      <c r="B1455" s="40">
        <f>IF(A1455="","",IFERROR(INDEX(Maniobras!$B$5:$B$504,MATCH(A1455,Maniobras!$A$5:$A$504,0)),""))</f>
        <v/>
      </c>
      <c r="C1455" s="36">
        <f>IF(B1455="","",TEXT(B1455,"yyyy-mm"))</f>
        <v/>
      </c>
      <c r="D1455" s="36">
        <f>IF(A1455="","",IFERROR(INDEX(Maniobras!$D$5:$D$504,MATCH(A1455,Maniobras!$A$5:$A$504,0)),""))</f>
        <v/>
      </c>
      <c r="E1455" s="36" t="n"/>
      <c r="F1455" s="37">
        <f>IF(A1455="","",IFERROR(INDEX(Maniobras!$K$5:$K$504,MATCH(A1455,Maniobras!$A$5:$A$504,0)),""))</f>
        <v/>
      </c>
      <c r="G1455" s="37" t="n"/>
      <c r="H1455" s="37" t="n"/>
      <c r="I1455" s="37">
        <f>IF(G1455="","",G1455+N(H1455))</f>
        <v/>
      </c>
      <c r="J1455" s="36" t="n"/>
      <c r="K1455" s="40" t="n"/>
      <c r="L1455" s="36" t="n"/>
      <c r="M1455">
        <f>IF($A1455=Ficha!$B$3,COUNTIF($A$5:$A1455,Ficha!$B$3),"")</f>
        <v/>
      </c>
    </row>
    <row r="1456">
      <c r="A1456" s="38" t="n"/>
      <c r="B1456" s="41">
        <f>IF(A1456="","",IFERROR(INDEX(Maniobras!$B$5:$B$504,MATCH(A1456,Maniobras!$A$5:$A$504,0)),""))</f>
        <v/>
      </c>
      <c r="C1456" s="38">
        <f>IF(B1456="","",TEXT(B1456,"yyyy-mm"))</f>
        <v/>
      </c>
      <c r="D1456" s="38">
        <f>IF(A1456="","",IFERROR(INDEX(Maniobras!$D$5:$D$504,MATCH(A1456,Maniobras!$A$5:$A$504,0)),""))</f>
        <v/>
      </c>
      <c r="E1456" s="38" t="n"/>
      <c r="F1456" s="39">
        <f>IF(A1456="","",IFERROR(INDEX(Maniobras!$K$5:$K$504,MATCH(A1456,Maniobras!$A$5:$A$504,0)),""))</f>
        <v/>
      </c>
      <c r="G1456" s="39" t="n"/>
      <c r="H1456" s="39" t="n"/>
      <c r="I1456" s="39">
        <f>IF(G1456="","",G1456+N(H1456))</f>
        <v/>
      </c>
      <c r="J1456" s="38" t="n"/>
      <c r="K1456" s="41" t="n"/>
      <c r="L1456" s="38" t="n"/>
      <c r="M1456">
        <f>IF($A1456=Ficha!$B$3,COUNTIF($A$5:$A1456,Ficha!$B$3),"")</f>
        <v/>
      </c>
    </row>
    <row r="1457">
      <c r="A1457" s="36" t="n"/>
      <c r="B1457" s="40">
        <f>IF(A1457="","",IFERROR(INDEX(Maniobras!$B$5:$B$504,MATCH(A1457,Maniobras!$A$5:$A$504,0)),""))</f>
        <v/>
      </c>
      <c r="C1457" s="36">
        <f>IF(B1457="","",TEXT(B1457,"yyyy-mm"))</f>
        <v/>
      </c>
      <c r="D1457" s="36">
        <f>IF(A1457="","",IFERROR(INDEX(Maniobras!$D$5:$D$504,MATCH(A1457,Maniobras!$A$5:$A$504,0)),""))</f>
        <v/>
      </c>
      <c r="E1457" s="36" t="n"/>
      <c r="F1457" s="37">
        <f>IF(A1457="","",IFERROR(INDEX(Maniobras!$K$5:$K$504,MATCH(A1457,Maniobras!$A$5:$A$504,0)),""))</f>
        <v/>
      </c>
      <c r="G1457" s="37" t="n"/>
      <c r="H1457" s="37" t="n"/>
      <c r="I1457" s="37">
        <f>IF(G1457="","",G1457+N(H1457))</f>
        <v/>
      </c>
      <c r="J1457" s="36" t="n"/>
      <c r="K1457" s="40" t="n"/>
      <c r="L1457" s="36" t="n"/>
      <c r="M1457">
        <f>IF($A1457=Ficha!$B$3,COUNTIF($A$5:$A1457,Ficha!$B$3),"")</f>
        <v/>
      </c>
    </row>
    <row r="1458">
      <c r="A1458" s="38" t="n"/>
      <c r="B1458" s="41">
        <f>IF(A1458="","",IFERROR(INDEX(Maniobras!$B$5:$B$504,MATCH(A1458,Maniobras!$A$5:$A$504,0)),""))</f>
        <v/>
      </c>
      <c r="C1458" s="38">
        <f>IF(B1458="","",TEXT(B1458,"yyyy-mm"))</f>
        <v/>
      </c>
      <c r="D1458" s="38">
        <f>IF(A1458="","",IFERROR(INDEX(Maniobras!$D$5:$D$504,MATCH(A1458,Maniobras!$A$5:$A$504,0)),""))</f>
        <v/>
      </c>
      <c r="E1458" s="38" t="n"/>
      <c r="F1458" s="39">
        <f>IF(A1458="","",IFERROR(INDEX(Maniobras!$K$5:$K$504,MATCH(A1458,Maniobras!$A$5:$A$504,0)),""))</f>
        <v/>
      </c>
      <c r="G1458" s="39" t="n"/>
      <c r="H1458" s="39" t="n"/>
      <c r="I1458" s="39">
        <f>IF(G1458="","",G1458+N(H1458))</f>
        <v/>
      </c>
      <c r="J1458" s="38" t="n"/>
      <c r="K1458" s="41" t="n"/>
      <c r="L1458" s="38" t="n"/>
      <c r="M1458">
        <f>IF($A1458=Ficha!$B$3,COUNTIF($A$5:$A1458,Ficha!$B$3),"")</f>
        <v/>
      </c>
    </row>
    <row r="1459">
      <c r="A1459" s="36" t="n"/>
      <c r="B1459" s="40">
        <f>IF(A1459="","",IFERROR(INDEX(Maniobras!$B$5:$B$504,MATCH(A1459,Maniobras!$A$5:$A$504,0)),""))</f>
        <v/>
      </c>
      <c r="C1459" s="36">
        <f>IF(B1459="","",TEXT(B1459,"yyyy-mm"))</f>
        <v/>
      </c>
      <c r="D1459" s="36">
        <f>IF(A1459="","",IFERROR(INDEX(Maniobras!$D$5:$D$504,MATCH(A1459,Maniobras!$A$5:$A$504,0)),""))</f>
        <v/>
      </c>
      <c r="E1459" s="36" t="n"/>
      <c r="F1459" s="37">
        <f>IF(A1459="","",IFERROR(INDEX(Maniobras!$K$5:$K$504,MATCH(A1459,Maniobras!$A$5:$A$504,0)),""))</f>
        <v/>
      </c>
      <c r="G1459" s="37" t="n"/>
      <c r="H1459" s="37" t="n"/>
      <c r="I1459" s="37">
        <f>IF(G1459="","",G1459+N(H1459))</f>
        <v/>
      </c>
      <c r="J1459" s="36" t="n"/>
      <c r="K1459" s="40" t="n"/>
      <c r="L1459" s="36" t="n"/>
      <c r="M1459">
        <f>IF($A1459=Ficha!$B$3,COUNTIF($A$5:$A1459,Ficha!$B$3),"")</f>
        <v/>
      </c>
    </row>
    <row r="1460">
      <c r="A1460" s="38" t="n"/>
      <c r="B1460" s="41">
        <f>IF(A1460="","",IFERROR(INDEX(Maniobras!$B$5:$B$504,MATCH(A1460,Maniobras!$A$5:$A$504,0)),""))</f>
        <v/>
      </c>
      <c r="C1460" s="38">
        <f>IF(B1460="","",TEXT(B1460,"yyyy-mm"))</f>
        <v/>
      </c>
      <c r="D1460" s="38">
        <f>IF(A1460="","",IFERROR(INDEX(Maniobras!$D$5:$D$504,MATCH(A1460,Maniobras!$A$5:$A$504,0)),""))</f>
        <v/>
      </c>
      <c r="E1460" s="38" t="n"/>
      <c r="F1460" s="39">
        <f>IF(A1460="","",IFERROR(INDEX(Maniobras!$K$5:$K$504,MATCH(A1460,Maniobras!$A$5:$A$504,0)),""))</f>
        <v/>
      </c>
      <c r="G1460" s="39" t="n"/>
      <c r="H1460" s="39" t="n"/>
      <c r="I1460" s="39">
        <f>IF(G1460="","",G1460+N(H1460))</f>
        <v/>
      </c>
      <c r="J1460" s="38" t="n"/>
      <c r="K1460" s="41" t="n"/>
      <c r="L1460" s="38" t="n"/>
      <c r="M1460">
        <f>IF($A1460=Ficha!$B$3,COUNTIF($A$5:$A1460,Ficha!$B$3),"")</f>
        <v/>
      </c>
    </row>
    <row r="1461">
      <c r="A1461" s="36" t="n"/>
      <c r="B1461" s="40">
        <f>IF(A1461="","",IFERROR(INDEX(Maniobras!$B$5:$B$504,MATCH(A1461,Maniobras!$A$5:$A$504,0)),""))</f>
        <v/>
      </c>
      <c r="C1461" s="36">
        <f>IF(B1461="","",TEXT(B1461,"yyyy-mm"))</f>
        <v/>
      </c>
      <c r="D1461" s="36">
        <f>IF(A1461="","",IFERROR(INDEX(Maniobras!$D$5:$D$504,MATCH(A1461,Maniobras!$A$5:$A$504,0)),""))</f>
        <v/>
      </c>
      <c r="E1461" s="36" t="n"/>
      <c r="F1461" s="37">
        <f>IF(A1461="","",IFERROR(INDEX(Maniobras!$K$5:$K$504,MATCH(A1461,Maniobras!$A$5:$A$504,0)),""))</f>
        <v/>
      </c>
      <c r="G1461" s="37" t="n"/>
      <c r="H1461" s="37" t="n"/>
      <c r="I1461" s="37">
        <f>IF(G1461="","",G1461+N(H1461))</f>
        <v/>
      </c>
      <c r="J1461" s="36" t="n"/>
      <c r="K1461" s="40" t="n"/>
      <c r="L1461" s="36" t="n"/>
      <c r="M1461">
        <f>IF($A1461=Ficha!$B$3,COUNTIF($A$5:$A1461,Ficha!$B$3),"")</f>
        <v/>
      </c>
    </row>
    <row r="1462">
      <c r="A1462" s="38" t="n"/>
      <c r="B1462" s="41">
        <f>IF(A1462="","",IFERROR(INDEX(Maniobras!$B$5:$B$504,MATCH(A1462,Maniobras!$A$5:$A$504,0)),""))</f>
        <v/>
      </c>
      <c r="C1462" s="38">
        <f>IF(B1462="","",TEXT(B1462,"yyyy-mm"))</f>
        <v/>
      </c>
      <c r="D1462" s="38">
        <f>IF(A1462="","",IFERROR(INDEX(Maniobras!$D$5:$D$504,MATCH(A1462,Maniobras!$A$5:$A$504,0)),""))</f>
        <v/>
      </c>
      <c r="E1462" s="38" t="n"/>
      <c r="F1462" s="39">
        <f>IF(A1462="","",IFERROR(INDEX(Maniobras!$K$5:$K$504,MATCH(A1462,Maniobras!$A$5:$A$504,0)),""))</f>
        <v/>
      </c>
      <c r="G1462" s="39" t="n"/>
      <c r="H1462" s="39" t="n"/>
      <c r="I1462" s="39">
        <f>IF(G1462="","",G1462+N(H1462))</f>
        <v/>
      </c>
      <c r="J1462" s="38" t="n"/>
      <c r="K1462" s="41" t="n"/>
      <c r="L1462" s="38" t="n"/>
      <c r="M1462">
        <f>IF($A1462=Ficha!$B$3,COUNTIF($A$5:$A1462,Ficha!$B$3),"")</f>
        <v/>
      </c>
    </row>
    <row r="1463">
      <c r="A1463" s="36" t="n"/>
      <c r="B1463" s="40">
        <f>IF(A1463="","",IFERROR(INDEX(Maniobras!$B$5:$B$504,MATCH(A1463,Maniobras!$A$5:$A$504,0)),""))</f>
        <v/>
      </c>
      <c r="C1463" s="36">
        <f>IF(B1463="","",TEXT(B1463,"yyyy-mm"))</f>
        <v/>
      </c>
      <c r="D1463" s="36">
        <f>IF(A1463="","",IFERROR(INDEX(Maniobras!$D$5:$D$504,MATCH(A1463,Maniobras!$A$5:$A$504,0)),""))</f>
        <v/>
      </c>
      <c r="E1463" s="36" t="n"/>
      <c r="F1463" s="37">
        <f>IF(A1463="","",IFERROR(INDEX(Maniobras!$K$5:$K$504,MATCH(A1463,Maniobras!$A$5:$A$504,0)),""))</f>
        <v/>
      </c>
      <c r="G1463" s="37" t="n"/>
      <c r="H1463" s="37" t="n"/>
      <c r="I1463" s="37">
        <f>IF(G1463="","",G1463+N(H1463))</f>
        <v/>
      </c>
      <c r="J1463" s="36" t="n"/>
      <c r="K1463" s="40" t="n"/>
      <c r="L1463" s="36" t="n"/>
      <c r="M1463">
        <f>IF($A1463=Ficha!$B$3,COUNTIF($A$5:$A1463,Ficha!$B$3),"")</f>
        <v/>
      </c>
    </row>
    <row r="1464">
      <c r="A1464" s="38" t="n"/>
      <c r="B1464" s="41">
        <f>IF(A1464="","",IFERROR(INDEX(Maniobras!$B$5:$B$504,MATCH(A1464,Maniobras!$A$5:$A$504,0)),""))</f>
        <v/>
      </c>
      <c r="C1464" s="38">
        <f>IF(B1464="","",TEXT(B1464,"yyyy-mm"))</f>
        <v/>
      </c>
      <c r="D1464" s="38">
        <f>IF(A1464="","",IFERROR(INDEX(Maniobras!$D$5:$D$504,MATCH(A1464,Maniobras!$A$5:$A$504,0)),""))</f>
        <v/>
      </c>
      <c r="E1464" s="38" t="n"/>
      <c r="F1464" s="39">
        <f>IF(A1464="","",IFERROR(INDEX(Maniobras!$K$5:$K$504,MATCH(A1464,Maniobras!$A$5:$A$504,0)),""))</f>
        <v/>
      </c>
      <c r="G1464" s="39" t="n"/>
      <c r="H1464" s="39" t="n"/>
      <c r="I1464" s="39">
        <f>IF(G1464="","",G1464+N(H1464))</f>
        <v/>
      </c>
      <c r="J1464" s="38" t="n"/>
      <c r="K1464" s="41" t="n"/>
      <c r="L1464" s="38" t="n"/>
      <c r="M1464">
        <f>IF($A1464=Ficha!$B$3,COUNTIF($A$5:$A1464,Ficha!$B$3),"")</f>
        <v/>
      </c>
    </row>
    <row r="1465">
      <c r="A1465" s="36" t="n"/>
      <c r="B1465" s="40">
        <f>IF(A1465="","",IFERROR(INDEX(Maniobras!$B$5:$B$504,MATCH(A1465,Maniobras!$A$5:$A$504,0)),""))</f>
        <v/>
      </c>
      <c r="C1465" s="36">
        <f>IF(B1465="","",TEXT(B1465,"yyyy-mm"))</f>
        <v/>
      </c>
      <c r="D1465" s="36">
        <f>IF(A1465="","",IFERROR(INDEX(Maniobras!$D$5:$D$504,MATCH(A1465,Maniobras!$A$5:$A$504,0)),""))</f>
        <v/>
      </c>
      <c r="E1465" s="36" t="n"/>
      <c r="F1465" s="37">
        <f>IF(A1465="","",IFERROR(INDEX(Maniobras!$K$5:$K$504,MATCH(A1465,Maniobras!$A$5:$A$504,0)),""))</f>
        <v/>
      </c>
      <c r="G1465" s="37" t="n"/>
      <c r="H1465" s="37" t="n"/>
      <c r="I1465" s="37">
        <f>IF(G1465="","",G1465+N(H1465))</f>
        <v/>
      </c>
      <c r="J1465" s="36" t="n"/>
      <c r="K1465" s="40" t="n"/>
      <c r="L1465" s="36" t="n"/>
      <c r="M1465">
        <f>IF($A1465=Ficha!$B$3,COUNTIF($A$5:$A1465,Ficha!$B$3),"")</f>
        <v/>
      </c>
    </row>
    <row r="1466">
      <c r="A1466" s="38" t="n"/>
      <c r="B1466" s="41">
        <f>IF(A1466="","",IFERROR(INDEX(Maniobras!$B$5:$B$504,MATCH(A1466,Maniobras!$A$5:$A$504,0)),""))</f>
        <v/>
      </c>
      <c r="C1466" s="38">
        <f>IF(B1466="","",TEXT(B1466,"yyyy-mm"))</f>
        <v/>
      </c>
      <c r="D1466" s="38">
        <f>IF(A1466="","",IFERROR(INDEX(Maniobras!$D$5:$D$504,MATCH(A1466,Maniobras!$A$5:$A$504,0)),""))</f>
        <v/>
      </c>
      <c r="E1466" s="38" t="n"/>
      <c r="F1466" s="39">
        <f>IF(A1466="","",IFERROR(INDEX(Maniobras!$K$5:$K$504,MATCH(A1466,Maniobras!$A$5:$A$504,0)),""))</f>
        <v/>
      </c>
      <c r="G1466" s="39" t="n"/>
      <c r="H1466" s="39" t="n"/>
      <c r="I1466" s="39">
        <f>IF(G1466="","",G1466+N(H1466))</f>
        <v/>
      </c>
      <c r="J1466" s="38" t="n"/>
      <c r="K1466" s="41" t="n"/>
      <c r="L1466" s="38" t="n"/>
      <c r="M1466">
        <f>IF($A1466=Ficha!$B$3,COUNTIF($A$5:$A1466,Ficha!$B$3),"")</f>
        <v/>
      </c>
    </row>
    <row r="1467">
      <c r="A1467" s="36" t="n"/>
      <c r="B1467" s="40">
        <f>IF(A1467="","",IFERROR(INDEX(Maniobras!$B$5:$B$504,MATCH(A1467,Maniobras!$A$5:$A$504,0)),""))</f>
        <v/>
      </c>
      <c r="C1467" s="36">
        <f>IF(B1467="","",TEXT(B1467,"yyyy-mm"))</f>
        <v/>
      </c>
      <c r="D1467" s="36">
        <f>IF(A1467="","",IFERROR(INDEX(Maniobras!$D$5:$D$504,MATCH(A1467,Maniobras!$A$5:$A$504,0)),""))</f>
        <v/>
      </c>
      <c r="E1467" s="36" t="n"/>
      <c r="F1467" s="37">
        <f>IF(A1467="","",IFERROR(INDEX(Maniobras!$K$5:$K$504,MATCH(A1467,Maniobras!$A$5:$A$504,0)),""))</f>
        <v/>
      </c>
      <c r="G1467" s="37" t="n"/>
      <c r="H1467" s="37" t="n"/>
      <c r="I1467" s="37">
        <f>IF(G1467="","",G1467+N(H1467))</f>
        <v/>
      </c>
      <c r="J1467" s="36" t="n"/>
      <c r="K1467" s="40" t="n"/>
      <c r="L1467" s="36" t="n"/>
      <c r="M1467">
        <f>IF($A1467=Ficha!$B$3,COUNTIF($A$5:$A1467,Ficha!$B$3),"")</f>
        <v/>
      </c>
    </row>
    <row r="1468">
      <c r="A1468" s="38" t="n"/>
      <c r="B1468" s="41">
        <f>IF(A1468="","",IFERROR(INDEX(Maniobras!$B$5:$B$504,MATCH(A1468,Maniobras!$A$5:$A$504,0)),""))</f>
        <v/>
      </c>
      <c r="C1468" s="38">
        <f>IF(B1468="","",TEXT(B1468,"yyyy-mm"))</f>
        <v/>
      </c>
      <c r="D1468" s="38">
        <f>IF(A1468="","",IFERROR(INDEX(Maniobras!$D$5:$D$504,MATCH(A1468,Maniobras!$A$5:$A$504,0)),""))</f>
        <v/>
      </c>
      <c r="E1468" s="38" t="n"/>
      <c r="F1468" s="39">
        <f>IF(A1468="","",IFERROR(INDEX(Maniobras!$K$5:$K$504,MATCH(A1468,Maniobras!$A$5:$A$504,0)),""))</f>
        <v/>
      </c>
      <c r="G1468" s="39" t="n"/>
      <c r="H1468" s="39" t="n"/>
      <c r="I1468" s="39">
        <f>IF(G1468="","",G1468+N(H1468))</f>
        <v/>
      </c>
      <c r="J1468" s="38" t="n"/>
      <c r="K1468" s="41" t="n"/>
      <c r="L1468" s="38" t="n"/>
      <c r="M1468">
        <f>IF($A1468=Ficha!$B$3,COUNTIF($A$5:$A1468,Ficha!$B$3),"")</f>
        <v/>
      </c>
    </row>
    <row r="1469">
      <c r="A1469" s="36" t="n"/>
      <c r="B1469" s="40">
        <f>IF(A1469="","",IFERROR(INDEX(Maniobras!$B$5:$B$504,MATCH(A1469,Maniobras!$A$5:$A$504,0)),""))</f>
        <v/>
      </c>
      <c r="C1469" s="36">
        <f>IF(B1469="","",TEXT(B1469,"yyyy-mm"))</f>
        <v/>
      </c>
      <c r="D1469" s="36">
        <f>IF(A1469="","",IFERROR(INDEX(Maniobras!$D$5:$D$504,MATCH(A1469,Maniobras!$A$5:$A$504,0)),""))</f>
        <v/>
      </c>
      <c r="E1469" s="36" t="n"/>
      <c r="F1469" s="37">
        <f>IF(A1469="","",IFERROR(INDEX(Maniobras!$K$5:$K$504,MATCH(A1469,Maniobras!$A$5:$A$504,0)),""))</f>
        <v/>
      </c>
      <c r="G1469" s="37" t="n"/>
      <c r="H1469" s="37" t="n"/>
      <c r="I1469" s="37">
        <f>IF(G1469="","",G1469+N(H1469))</f>
        <v/>
      </c>
      <c r="J1469" s="36" t="n"/>
      <c r="K1469" s="40" t="n"/>
      <c r="L1469" s="36" t="n"/>
      <c r="M1469">
        <f>IF($A1469=Ficha!$B$3,COUNTIF($A$5:$A1469,Ficha!$B$3),"")</f>
        <v/>
      </c>
    </row>
    <row r="1470">
      <c r="A1470" s="38" t="n"/>
      <c r="B1470" s="41">
        <f>IF(A1470="","",IFERROR(INDEX(Maniobras!$B$5:$B$504,MATCH(A1470,Maniobras!$A$5:$A$504,0)),""))</f>
        <v/>
      </c>
      <c r="C1470" s="38">
        <f>IF(B1470="","",TEXT(B1470,"yyyy-mm"))</f>
        <v/>
      </c>
      <c r="D1470" s="38">
        <f>IF(A1470="","",IFERROR(INDEX(Maniobras!$D$5:$D$504,MATCH(A1470,Maniobras!$A$5:$A$504,0)),""))</f>
        <v/>
      </c>
      <c r="E1470" s="38" t="n"/>
      <c r="F1470" s="39">
        <f>IF(A1470="","",IFERROR(INDEX(Maniobras!$K$5:$K$504,MATCH(A1470,Maniobras!$A$5:$A$504,0)),""))</f>
        <v/>
      </c>
      <c r="G1470" s="39" t="n"/>
      <c r="H1470" s="39" t="n"/>
      <c r="I1470" s="39">
        <f>IF(G1470="","",G1470+N(H1470))</f>
        <v/>
      </c>
      <c r="J1470" s="38" t="n"/>
      <c r="K1470" s="41" t="n"/>
      <c r="L1470" s="38" t="n"/>
      <c r="M1470">
        <f>IF($A1470=Ficha!$B$3,COUNTIF($A$5:$A1470,Ficha!$B$3),"")</f>
        <v/>
      </c>
    </row>
    <row r="1471">
      <c r="A1471" s="36" t="n"/>
      <c r="B1471" s="40">
        <f>IF(A1471="","",IFERROR(INDEX(Maniobras!$B$5:$B$504,MATCH(A1471,Maniobras!$A$5:$A$504,0)),""))</f>
        <v/>
      </c>
      <c r="C1471" s="36">
        <f>IF(B1471="","",TEXT(B1471,"yyyy-mm"))</f>
        <v/>
      </c>
      <c r="D1471" s="36">
        <f>IF(A1471="","",IFERROR(INDEX(Maniobras!$D$5:$D$504,MATCH(A1471,Maniobras!$A$5:$A$504,0)),""))</f>
        <v/>
      </c>
      <c r="E1471" s="36" t="n"/>
      <c r="F1471" s="37">
        <f>IF(A1471="","",IFERROR(INDEX(Maniobras!$K$5:$K$504,MATCH(A1471,Maniobras!$A$5:$A$504,0)),""))</f>
        <v/>
      </c>
      <c r="G1471" s="37" t="n"/>
      <c r="H1471" s="37" t="n"/>
      <c r="I1471" s="37">
        <f>IF(G1471="","",G1471+N(H1471))</f>
        <v/>
      </c>
      <c r="J1471" s="36" t="n"/>
      <c r="K1471" s="40" t="n"/>
      <c r="L1471" s="36" t="n"/>
      <c r="M1471">
        <f>IF($A1471=Ficha!$B$3,COUNTIF($A$5:$A1471,Ficha!$B$3),"")</f>
        <v/>
      </c>
    </row>
    <row r="1472">
      <c r="A1472" s="38" t="n"/>
      <c r="B1472" s="41">
        <f>IF(A1472="","",IFERROR(INDEX(Maniobras!$B$5:$B$504,MATCH(A1472,Maniobras!$A$5:$A$504,0)),""))</f>
        <v/>
      </c>
      <c r="C1472" s="38">
        <f>IF(B1472="","",TEXT(B1472,"yyyy-mm"))</f>
        <v/>
      </c>
      <c r="D1472" s="38">
        <f>IF(A1472="","",IFERROR(INDEX(Maniobras!$D$5:$D$504,MATCH(A1472,Maniobras!$A$5:$A$504,0)),""))</f>
        <v/>
      </c>
      <c r="E1472" s="38" t="n"/>
      <c r="F1472" s="39">
        <f>IF(A1472="","",IFERROR(INDEX(Maniobras!$K$5:$K$504,MATCH(A1472,Maniobras!$A$5:$A$504,0)),""))</f>
        <v/>
      </c>
      <c r="G1472" s="39" t="n"/>
      <c r="H1472" s="39" t="n"/>
      <c r="I1472" s="39">
        <f>IF(G1472="","",G1472+N(H1472))</f>
        <v/>
      </c>
      <c r="J1472" s="38" t="n"/>
      <c r="K1472" s="41" t="n"/>
      <c r="L1472" s="38" t="n"/>
      <c r="M1472">
        <f>IF($A1472=Ficha!$B$3,COUNTIF($A$5:$A1472,Ficha!$B$3),"")</f>
        <v/>
      </c>
    </row>
    <row r="1473">
      <c r="A1473" s="36" t="n"/>
      <c r="B1473" s="40">
        <f>IF(A1473="","",IFERROR(INDEX(Maniobras!$B$5:$B$504,MATCH(A1473,Maniobras!$A$5:$A$504,0)),""))</f>
        <v/>
      </c>
      <c r="C1473" s="36">
        <f>IF(B1473="","",TEXT(B1473,"yyyy-mm"))</f>
        <v/>
      </c>
      <c r="D1473" s="36">
        <f>IF(A1473="","",IFERROR(INDEX(Maniobras!$D$5:$D$504,MATCH(A1473,Maniobras!$A$5:$A$504,0)),""))</f>
        <v/>
      </c>
      <c r="E1473" s="36" t="n"/>
      <c r="F1473" s="37">
        <f>IF(A1473="","",IFERROR(INDEX(Maniobras!$K$5:$K$504,MATCH(A1473,Maniobras!$A$5:$A$504,0)),""))</f>
        <v/>
      </c>
      <c r="G1473" s="37" t="n"/>
      <c r="H1473" s="37" t="n"/>
      <c r="I1473" s="37">
        <f>IF(G1473="","",G1473+N(H1473))</f>
        <v/>
      </c>
      <c r="J1473" s="36" t="n"/>
      <c r="K1473" s="40" t="n"/>
      <c r="L1473" s="36" t="n"/>
      <c r="M1473">
        <f>IF($A1473=Ficha!$B$3,COUNTIF($A$5:$A1473,Ficha!$B$3),"")</f>
        <v/>
      </c>
    </row>
    <row r="1474">
      <c r="A1474" s="38" t="n"/>
      <c r="B1474" s="41">
        <f>IF(A1474="","",IFERROR(INDEX(Maniobras!$B$5:$B$504,MATCH(A1474,Maniobras!$A$5:$A$504,0)),""))</f>
        <v/>
      </c>
      <c r="C1474" s="38">
        <f>IF(B1474="","",TEXT(B1474,"yyyy-mm"))</f>
        <v/>
      </c>
      <c r="D1474" s="38">
        <f>IF(A1474="","",IFERROR(INDEX(Maniobras!$D$5:$D$504,MATCH(A1474,Maniobras!$A$5:$A$504,0)),""))</f>
        <v/>
      </c>
      <c r="E1474" s="38" t="n"/>
      <c r="F1474" s="39">
        <f>IF(A1474="","",IFERROR(INDEX(Maniobras!$K$5:$K$504,MATCH(A1474,Maniobras!$A$5:$A$504,0)),""))</f>
        <v/>
      </c>
      <c r="G1474" s="39" t="n"/>
      <c r="H1474" s="39" t="n"/>
      <c r="I1474" s="39">
        <f>IF(G1474="","",G1474+N(H1474))</f>
        <v/>
      </c>
      <c r="J1474" s="38" t="n"/>
      <c r="K1474" s="41" t="n"/>
      <c r="L1474" s="38" t="n"/>
      <c r="M1474">
        <f>IF($A1474=Ficha!$B$3,COUNTIF($A$5:$A1474,Ficha!$B$3),"")</f>
        <v/>
      </c>
    </row>
    <row r="1475">
      <c r="A1475" s="36" t="n"/>
      <c r="B1475" s="40">
        <f>IF(A1475="","",IFERROR(INDEX(Maniobras!$B$5:$B$504,MATCH(A1475,Maniobras!$A$5:$A$504,0)),""))</f>
        <v/>
      </c>
      <c r="C1475" s="36">
        <f>IF(B1475="","",TEXT(B1475,"yyyy-mm"))</f>
        <v/>
      </c>
      <c r="D1475" s="36">
        <f>IF(A1475="","",IFERROR(INDEX(Maniobras!$D$5:$D$504,MATCH(A1475,Maniobras!$A$5:$A$504,0)),""))</f>
        <v/>
      </c>
      <c r="E1475" s="36" t="n"/>
      <c r="F1475" s="37">
        <f>IF(A1475="","",IFERROR(INDEX(Maniobras!$K$5:$K$504,MATCH(A1475,Maniobras!$A$5:$A$504,0)),""))</f>
        <v/>
      </c>
      <c r="G1475" s="37" t="n"/>
      <c r="H1475" s="37" t="n"/>
      <c r="I1475" s="37">
        <f>IF(G1475="","",G1475+N(H1475))</f>
        <v/>
      </c>
      <c r="J1475" s="36" t="n"/>
      <c r="K1475" s="40" t="n"/>
      <c r="L1475" s="36" t="n"/>
      <c r="M1475">
        <f>IF($A1475=Ficha!$B$3,COUNTIF($A$5:$A1475,Ficha!$B$3),"")</f>
        <v/>
      </c>
    </row>
    <row r="1476">
      <c r="A1476" s="38" t="n"/>
      <c r="B1476" s="41">
        <f>IF(A1476="","",IFERROR(INDEX(Maniobras!$B$5:$B$504,MATCH(A1476,Maniobras!$A$5:$A$504,0)),""))</f>
        <v/>
      </c>
      <c r="C1476" s="38">
        <f>IF(B1476="","",TEXT(B1476,"yyyy-mm"))</f>
        <v/>
      </c>
      <c r="D1476" s="38">
        <f>IF(A1476="","",IFERROR(INDEX(Maniobras!$D$5:$D$504,MATCH(A1476,Maniobras!$A$5:$A$504,0)),""))</f>
        <v/>
      </c>
      <c r="E1476" s="38" t="n"/>
      <c r="F1476" s="39">
        <f>IF(A1476="","",IFERROR(INDEX(Maniobras!$K$5:$K$504,MATCH(A1476,Maniobras!$A$5:$A$504,0)),""))</f>
        <v/>
      </c>
      <c r="G1476" s="39" t="n"/>
      <c r="H1476" s="39" t="n"/>
      <c r="I1476" s="39">
        <f>IF(G1476="","",G1476+N(H1476))</f>
        <v/>
      </c>
      <c r="J1476" s="38" t="n"/>
      <c r="K1476" s="41" t="n"/>
      <c r="L1476" s="38" t="n"/>
      <c r="M1476">
        <f>IF($A1476=Ficha!$B$3,COUNTIF($A$5:$A1476,Ficha!$B$3),"")</f>
        <v/>
      </c>
    </row>
    <row r="1477">
      <c r="A1477" s="36" t="n"/>
      <c r="B1477" s="40">
        <f>IF(A1477="","",IFERROR(INDEX(Maniobras!$B$5:$B$504,MATCH(A1477,Maniobras!$A$5:$A$504,0)),""))</f>
        <v/>
      </c>
      <c r="C1477" s="36">
        <f>IF(B1477="","",TEXT(B1477,"yyyy-mm"))</f>
        <v/>
      </c>
      <c r="D1477" s="36">
        <f>IF(A1477="","",IFERROR(INDEX(Maniobras!$D$5:$D$504,MATCH(A1477,Maniobras!$A$5:$A$504,0)),""))</f>
        <v/>
      </c>
      <c r="E1477" s="36" t="n"/>
      <c r="F1477" s="37">
        <f>IF(A1477="","",IFERROR(INDEX(Maniobras!$K$5:$K$504,MATCH(A1477,Maniobras!$A$5:$A$504,0)),""))</f>
        <v/>
      </c>
      <c r="G1477" s="37" t="n"/>
      <c r="H1477" s="37" t="n"/>
      <c r="I1477" s="37">
        <f>IF(G1477="","",G1477+N(H1477))</f>
        <v/>
      </c>
      <c r="J1477" s="36" t="n"/>
      <c r="K1477" s="40" t="n"/>
      <c r="L1477" s="36" t="n"/>
      <c r="M1477">
        <f>IF($A1477=Ficha!$B$3,COUNTIF($A$5:$A1477,Ficha!$B$3),"")</f>
        <v/>
      </c>
    </row>
    <row r="1478">
      <c r="A1478" s="38" t="n"/>
      <c r="B1478" s="41">
        <f>IF(A1478="","",IFERROR(INDEX(Maniobras!$B$5:$B$504,MATCH(A1478,Maniobras!$A$5:$A$504,0)),""))</f>
        <v/>
      </c>
      <c r="C1478" s="38">
        <f>IF(B1478="","",TEXT(B1478,"yyyy-mm"))</f>
        <v/>
      </c>
      <c r="D1478" s="38">
        <f>IF(A1478="","",IFERROR(INDEX(Maniobras!$D$5:$D$504,MATCH(A1478,Maniobras!$A$5:$A$504,0)),""))</f>
        <v/>
      </c>
      <c r="E1478" s="38" t="n"/>
      <c r="F1478" s="39">
        <f>IF(A1478="","",IFERROR(INDEX(Maniobras!$K$5:$K$504,MATCH(A1478,Maniobras!$A$5:$A$504,0)),""))</f>
        <v/>
      </c>
      <c r="G1478" s="39" t="n"/>
      <c r="H1478" s="39" t="n"/>
      <c r="I1478" s="39">
        <f>IF(G1478="","",G1478+N(H1478))</f>
        <v/>
      </c>
      <c r="J1478" s="38" t="n"/>
      <c r="K1478" s="41" t="n"/>
      <c r="L1478" s="38" t="n"/>
      <c r="M1478">
        <f>IF($A1478=Ficha!$B$3,COUNTIF($A$5:$A1478,Ficha!$B$3),"")</f>
        <v/>
      </c>
    </row>
    <row r="1479">
      <c r="A1479" s="36" t="n"/>
      <c r="B1479" s="40">
        <f>IF(A1479="","",IFERROR(INDEX(Maniobras!$B$5:$B$504,MATCH(A1479,Maniobras!$A$5:$A$504,0)),""))</f>
        <v/>
      </c>
      <c r="C1479" s="36">
        <f>IF(B1479="","",TEXT(B1479,"yyyy-mm"))</f>
        <v/>
      </c>
      <c r="D1479" s="36">
        <f>IF(A1479="","",IFERROR(INDEX(Maniobras!$D$5:$D$504,MATCH(A1479,Maniobras!$A$5:$A$504,0)),""))</f>
        <v/>
      </c>
      <c r="E1479" s="36" t="n"/>
      <c r="F1479" s="37">
        <f>IF(A1479="","",IFERROR(INDEX(Maniobras!$K$5:$K$504,MATCH(A1479,Maniobras!$A$5:$A$504,0)),""))</f>
        <v/>
      </c>
      <c r="G1479" s="37" t="n"/>
      <c r="H1479" s="37" t="n"/>
      <c r="I1479" s="37">
        <f>IF(G1479="","",G1479+N(H1479))</f>
        <v/>
      </c>
      <c r="J1479" s="36" t="n"/>
      <c r="K1479" s="40" t="n"/>
      <c r="L1479" s="36" t="n"/>
      <c r="M1479">
        <f>IF($A1479=Ficha!$B$3,COUNTIF($A$5:$A1479,Ficha!$B$3),"")</f>
        <v/>
      </c>
    </row>
    <row r="1480">
      <c r="A1480" s="38" t="n"/>
      <c r="B1480" s="41">
        <f>IF(A1480="","",IFERROR(INDEX(Maniobras!$B$5:$B$504,MATCH(A1480,Maniobras!$A$5:$A$504,0)),""))</f>
        <v/>
      </c>
      <c r="C1480" s="38">
        <f>IF(B1480="","",TEXT(B1480,"yyyy-mm"))</f>
        <v/>
      </c>
      <c r="D1480" s="38">
        <f>IF(A1480="","",IFERROR(INDEX(Maniobras!$D$5:$D$504,MATCH(A1480,Maniobras!$A$5:$A$504,0)),""))</f>
        <v/>
      </c>
      <c r="E1480" s="38" t="n"/>
      <c r="F1480" s="39">
        <f>IF(A1480="","",IFERROR(INDEX(Maniobras!$K$5:$K$504,MATCH(A1480,Maniobras!$A$5:$A$504,0)),""))</f>
        <v/>
      </c>
      <c r="G1480" s="39" t="n"/>
      <c r="H1480" s="39" t="n"/>
      <c r="I1480" s="39">
        <f>IF(G1480="","",G1480+N(H1480))</f>
        <v/>
      </c>
      <c r="J1480" s="38" t="n"/>
      <c r="K1480" s="41" t="n"/>
      <c r="L1480" s="38" t="n"/>
      <c r="M1480">
        <f>IF($A1480=Ficha!$B$3,COUNTIF($A$5:$A1480,Ficha!$B$3),"")</f>
        <v/>
      </c>
    </row>
    <row r="1481">
      <c r="A1481" s="36" t="n"/>
      <c r="B1481" s="40">
        <f>IF(A1481="","",IFERROR(INDEX(Maniobras!$B$5:$B$504,MATCH(A1481,Maniobras!$A$5:$A$504,0)),""))</f>
        <v/>
      </c>
      <c r="C1481" s="36">
        <f>IF(B1481="","",TEXT(B1481,"yyyy-mm"))</f>
        <v/>
      </c>
      <c r="D1481" s="36">
        <f>IF(A1481="","",IFERROR(INDEX(Maniobras!$D$5:$D$504,MATCH(A1481,Maniobras!$A$5:$A$504,0)),""))</f>
        <v/>
      </c>
      <c r="E1481" s="36" t="n"/>
      <c r="F1481" s="37">
        <f>IF(A1481="","",IFERROR(INDEX(Maniobras!$K$5:$K$504,MATCH(A1481,Maniobras!$A$5:$A$504,0)),""))</f>
        <v/>
      </c>
      <c r="G1481" s="37" t="n"/>
      <c r="H1481" s="37" t="n"/>
      <c r="I1481" s="37">
        <f>IF(G1481="","",G1481+N(H1481))</f>
        <v/>
      </c>
      <c r="J1481" s="36" t="n"/>
      <c r="K1481" s="40" t="n"/>
      <c r="L1481" s="36" t="n"/>
      <c r="M1481">
        <f>IF($A1481=Ficha!$B$3,COUNTIF($A$5:$A1481,Ficha!$B$3),"")</f>
        <v/>
      </c>
    </row>
    <row r="1482">
      <c r="A1482" s="38" t="n"/>
      <c r="B1482" s="41">
        <f>IF(A1482="","",IFERROR(INDEX(Maniobras!$B$5:$B$504,MATCH(A1482,Maniobras!$A$5:$A$504,0)),""))</f>
        <v/>
      </c>
      <c r="C1482" s="38">
        <f>IF(B1482="","",TEXT(B1482,"yyyy-mm"))</f>
        <v/>
      </c>
      <c r="D1482" s="38">
        <f>IF(A1482="","",IFERROR(INDEX(Maniobras!$D$5:$D$504,MATCH(A1482,Maniobras!$A$5:$A$504,0)),""))</f>
        <v/>
      </c>
      <c r="E1482" s="38" t="n"/>
      <c r="F1482" s="39">
        <f>IF(A1482="","",IFERROR(INDEX(Maniobras!$K$5:$K$504,MATCH(A1482,Maniobras!$A$5:$A$504,0)),""))</f>
        <v/>
      </c>
      <c r="G1482" s="39" t="n"/>
      <c r="H1482" s="39" t="n"/>
      <c r="I1482" s="39">
        <f>IF(G1482="","",G1482+N(H1482))</f>
        <v/>
      </c>
      <c r="J1482" s="38" t="n"/>
      <c r="K1482" s="41" t="n"/>
      <c r="L1482" s="38" t="n"/>
      <c r="M1482">
        <f>IF($A1482=Ficha!$B$3,COUNTIF($A$5:$A1482,Ficha!$B$3),"")</f>
        <v/>
      </c>
    </row>
    <row r="1483">
      <c r="A1483" s="36" t="n"/>
      <c r="B1483" s="40">
        <f>IF(A1483="","",IFERROR(INDEX(Maniobras!$B$5:$B$504,MATCH(A1483,Maniobras!$A$5:$A$504,0)),""))</f>
        <v/>
      </c>
      <c r="C1483" s="36">
        <f>IF(B1483="","",TEXT(B1483,"yyyy-mm"))</f>
        <v/>
      </c>
      <c r="D1483" s="36">
        <f>IF(A1483="","",IFERROR(INDEX(Maniobras!$D$5:$D$504,MATCH(A1483,Maniobras!$A$5:$A$504,0)),""))</f>
        <v/>
      </c>
      <c r="E1483" s="36" t="n"/>
      <c r="F1483" s="37">
        <f>IF(A1483="","",IFERROR(INDEX(Maniobras!$K$5:$K$504,MATCH(A1483,Maniobras!$A$5:$A$504,0)),""))</f>
        <v/>
      </c>
      <c r="G1483" s="37" t="n"/>
      <c r="H1483" s="37" t="n"/>
      <c r="I1483" s="37">
        <f>IF(G1483="","",G1483+N(H1483))</f>
        <v/>
      </c>
      <c r="J1483" s="36" t="n"/>
      <c r="K1483" s="40" t="n"/>
      <c r="L1483" s="36" t="n"/>
      <c r="M1483">
        <f>IF($A1483=Ficha!$B$3,COUNTIF($A$5:$A1483,Ficha!$B$3),"")</f>
        <v/>
      </c>
    </row>
    <row r="1484">
      <c r="A1484" s="38" t="n"/>
      <c r="B1484" s="41">
        <f>IF(A1484="","",IFERROR(INDEX(Maniobras!$B$5:$B$504,MATCH(A1484,Maniobras!$A$5:$A$504,0)),""))</f>
        <v/>
      </c>
      <c r="C1484" s="38">
        <f>IF(B1484="","",TEXT(B1484,"yyyy-mm"))</f>
        <v/>
      </c>
      <c r="D1484" s="38">
        <f>IF(A1484="","",IFERROR(INDEX(Maniobras!$D$5:$D$504,MATCH(A1484,Maniobras!$A$5:$A$504,0)),""))</f>
        <v/>
      </c>
      <c r="E1484" s="38" t="n"/>
      <c r="F1484" s="39">
        <f>IF(A1484="","",IFERROR(INDEX(Maniobras!$K$5:$K$504,MATCH(A1484,Maniobras!$A$5:$A$504,0)),""))</f>
        <v/>
      </c>
      <c r="G1484" s="39" t="n"/>
      <c r="H1484" s="39" t="n"/>
      <c r="I1484" s="39">
        <f>IF(G1484="","",G1484+N(H1484))</f>
        <v/>
      </c>
      <c r="J1484" s="38" t="n"/>
      <c r="K1484" s="41" t="n"/>
      <c r="L1484" s="38" t="n"/>
      <c r="M1484">
        <f>IF($A1484=Ficha!$B$3,COUNTIF($A$5:$A1484,Ficha!$B$3),"")</f>
        <v/>
      </c>
    </row>
    <row r="1485">
      <c r="A1485" s="36" t="n"/>
      <c r="B1485" s="40">
        <f>IF(A1485="","",IFERROR(INDEX(Maniobras!$B$5:$B$504,MATCH(A1485,Maniobras!$A$5:$A$504,0)),""))</f>
        <v/>
      </c>
      <c r="C1485" s="36">
        <f>IF(B1485="","",TEXT(B1485,"yyyy-mm"))</f>
        <v/>
      </c>
      <c r="D1485" s="36">
        <f>IF(A1485="","",IFERROR(INDEX(Maniobras!$D$5:$D$504,MATCH(A1485,Maniobras!$A$5:$A$504,0)),""))</f>
        <v/>
      </c>
      <c r="E1485" s="36" t="n"/>
      <c r="F1485" s="37">
        <f>IF(A1485="","",IFERROR(INDEX(Maniobras!$K$5:$K$504,MATCH(A1485,Maniobras!$A$5:$A$504,0)),""))</f>
        <v/>
      </c>
      <c r="G1485" s="37" t="n"/>
      <c r="H1485" s="37" t="n"/>
      <c r="I1485" s="37">
        <f>IF(G1485="","",G1485+N(H1485))</f>
        <v/>
      </c>
      <c r="J1485" s="36" t="n"/>
      <c r="K1485" s="40" t="n"/>
      <c r="L1485" s="36" t="n"/>
      <c r="M1485">
        <f>IF($A1485=Ficha!$B$3,COUNTIF($A$5:$A1485,Ficha!$B$3),"")</f>
        <v/>
      </c>
    </row>
    <row r="1486">
      <c r="A1486" s="38" t="n"/>
      <c r="B1486" s="41">
        <f>IF(A1486="","",IFERROR(INDEX(Maniobras!$B$5:$B$504,MATCH(A1486,Maniobras!$A$5:$A$504,0)),""))</f>
        <v/>
      </c>
      <c r="C1486" s="38">
        <f>IF(B1486="","",TEXT(B1486,"yyyy-mm"))</f>
        <v/>
      </c>
      <c r="D1486" s="38">
        <f>IF(A1486="","",IFERROR(INDEX(Maniobras!$D$5:$D$504,MATCH(A1486,Maniobras!$A$5:$A$504,0)),""))</f>
        <v/>
      </c>
      <c r="E1486" s="38" t="n"/>
      <c r="F1486" s="39">
        <f>IF(A1486="","",IFERROR(INDEX(Maniobras!$K$5:$K$504,MATCH(A1486,Maniobras!$A$5:$A$504,0)),""))</f>
        <v/>
      </c>
      <c r="G1486" s="39" t="n"/>
      <c r="H1486" s="39" t="n"/>
      <c r="I1486" s="39">
        <f>IF(G1486="","",G1486+N(H1486))</f>
        <v/>
      </c>
      <c r="J1486" s="38" t="n"/>
      <c r="K1486" s="41" t="n"/>
      <c r="L1486" s="38" t="n"/>
      <c r="M1486">
        <f>IF($A1486=Ficha!$B$3,COUNTIF($A$5:$A1486,Ficha!$B$3),"")</f>
        <v/>
      </c>
    </row>
    <row r="1487">
      <c r="A1487" s="36" t="n"/>
      <c r="B1487" s="40">
        <f>IF(A1487="","",IFERROR(INDEX(Maniobras!$B$5:$B$504,MATCH(A1487,Maniobras!$A$5:$A$504,0)),""))</f>
        <v/>
      </c>
      <c r="C1487" s="36">
        <f>IF(B1487="","",TEXT(B1487,"yyyy-mm"))</f>
        <v/>
      </c>
      <c r="D1487" s="36">
        <f>IF(A1487="","",IFERROR(INDEX(Maniobras!$D$5:$D$504,MATCH(A1487,Maniobras!$A$5:$A$504,0)),""))</f>
        <v/>
      </c>
      <c r="E1487" s="36" t="n"/>
      <c r="F1487" s="37">
        <f>IF(A1487="","",IFERROR(INDEX(Maniobras!$K$5:$K$504,MATCH(A1487,Maniobras!$A$5:$A$504,0)),""))</f>
        <v/>
      </c>
      <c r="G1487" s="37" t="n"/>
      <c r="H1487" s="37" t="n"/>
      <c r="I1487" s="37">
        <f>IF(G1487="","",G1487+N(H1487))</f>
        <v/>
      </c>
      <c r="J1487" s="36" t="n"/>
      <c r="K1487" s="40" t="n"/>
      <c r="L1487" s="36" t="n"/>
      <c r="M1487">
        <f>IF($A1487=Ficha!$B$3,COUNTIF($A$5:$A1487,Ficha!$B$3),"")</f>
        <v/>
      </c>
    </row>
    <row r="1488">
      <c r="A1488" s="38" t="n"/>
      <c r="B1488" s="41">
        <f>IF(A1488="","",IFERROR(INDEX(Maniobras!$B$5:$B$504,MATCH(A1488,Maniobras!$A$5:$A$504,0)),""))</f>
        <v/>
      </c>
      <c r="C1488" s="38">
        <f>IF(B1488="","",TEXT(B1488,"yyyy-mm"))</f>
        <v/>
      </c>
      <c r="D1488" s="38">
        <f>IF(A1488="","",IFERROR(INDEX(Maniobras!$D$5:$D$504,MATCH(A1488,Maniobras!$A$5:$A$504,0)),""))</f>
        <v/>
      </c>
      <c r="E1488" s="38" t="n"/>
      <c r="F1488" s="39">
        <f>IF(A1488="","",IFERROR(INDEX(Maniobras!$K$5:$K$504,MATCH(A1488,Maniobras!$A$5:$A$504,0)),""))</f>
        <v/>
      </c>
      <c r="G1488" s="39" t="n"/>
      <c r="H1488" s="39" t="n"/>
      <c r="I1488" s="39">
        <f>IF(G1488="","",G1488+N(H1488))</f>
        <v/>
      </c>
      <c r="J1488" s="38" t="n"/>
      <c r="K1488" s="41" t="n"/>
      <c r="L1488" s="38" t="n"/>
      <c r="M1488">
        <f>IF($A1488=Ficha!$B$3,COUNTIF($A$5:$A1488,Ficha!$B$3),"")</f>
        <v/>
      </c>
    </row>
    <row r="1489">
      <c r="A1489" s="36" t="n"/>
      <c r="B1489" s="40">
        <f>IF(A1489="","",IFERROR(INDEX(Maniobras!$B$5:$B$504,MATCH(A1489,Maniobras!$A$5:$A$504,0)),""))</f>
        <v/>
      </c>
      <c r="C1489" s="36">
        <f>IF(B1489="","",TEXT(B1489,"yyyy-mm"))</f>
        <v/>
      </c>
      <c r="D1489" s="36">
        <f>IF(A1489="","",IFERROR(INDEX(Maniobras!$D$5:$D$504,MATCH(A1489,Maniobras!$A$5:$A$504,0)),""))</f>
        <v/>
      </c>
      <c r="E1489" s="36" t="n"/>
      <c r="F1489" s="37">
        <f>IF(A1489="","",IFERROR(INDEX(Maniobras!$K$5:$K$504,MATCH(A1489,Maniobras!$A$5:$A$504,0)),""))</f>
        <v/>
      </c>
      <c r="G1489" s="37" t="n"/>
      <c r="H1489" s="37" t="n"/>
      <c r="I1489" s="37">
        <f>IF(G1489="","",G1489+N(H1489))</f>
        <v/>
      </c>
      <c r="J1489" s="36" t="n"/>
      <c r="K1489" s="40" t="n"/>
      <c r="L1489" s="36" t="n"/>
      <c r="M1489">
        <f>IF($A1489=Ficha!$B$3,COUNTIF($A$5:$A1489,Ficha!$B$3),"")</f>
        <v/>
      </c>
    </row>
    <row r="1490">
      <c r="A1490" s="38" t="n"/>
      <c r="B1490" s="41">
        <f>IF(A1490="","",IFERROR(INDEX(Maniobras!$B$5:$B$504,MATCH(A1490,Maniobras!$A$5:$A$504,0)),""))</f>
        <v/>
      </c>
      <c r="C1490" s="38">
        <f>IF(B1490="","",TEXT(B1490,"yyyy-mm"))</f>
        <v/>
      </c>
      <c r="D1490" s="38">
        <f>IF(A1490="","",IFERROR(INDEX(Maniobras!$D$5:$D$504,MATCH(A1490,Maniobras!$A$5:$A$504,0)),""))</f>
        <v/>
      </c>
      <c r="E1490" s="38" t="n"/>
      <c r="F1490" s="39">
        <f>IF(A1490="","",IFERROR(INDEX(Maniobras!$K$5:$K$504,MATCH(A1490,Maniobras!$A$5:$A$504,0)),""))</f>
        <v/>
      </c>
      <c r="G1490" s="39" t="n"/>
      <c r="H1490" s="39" t="n"/>
      <c r="I1490" s="39">
        <f>IF(G1490="","",G1490+N(H1490))</f>
        <v/>
      </c>
      <c r="J1490" s="38" t="n"/>
      <c r="K1490" s="41" t="n"/>
      <c r="L1490" s="38" t="n"/>
      <c r="M1490">
        <f>IF($A1490=Ficha!$B$3,COUNTIF($A$5:$A1490,Ficha!$B$3),"")</f>
        <v/>
      </c>
    </row>
    <row r="1491">
      <c r="A1491" s="36" t="n"/>
      <c r="B1491" s="40">
        <f>IF(A1491="","",IFERROR(INDEX(Maniobras!$B$5:$B$504,MATCH(A1491,Maniobras!$A$5:$A$504,0)),""))</f>
        <v/>
      </c>
      <c r="C1491" s="36">
        <f>IF(B1491="","",TEXT(B1491,"yyyy-mm"))</f>
        <v/>
      </c>
      <c r="D1491" s="36">
        <f>IF(A1491="","",IFERROR(INDEX(Maniobras!$D$5:$D$504,MATCH(A1491,Maniobras!$A$5:$A$504,0)),""))</f>
        <v/>
      </c>
      <c r="E1491" s="36" t="n"/>
      <c r="F1491" s="37">
        <f>IF(A1491="","",IFERROR(INDEX(Maniobras!$K$5:$K$504,MATCH(A1491,Maniobras!$A$5:$A$504,0)),""))</f>
        <v/>
      </c>
      <c r="G1491" s="37" t="n"/>
      <c r="H1491" s="37" t="n"/>
      <c r="I1491" s="37">
        <f>IF(G1491="","",G1491+N(H1491))</f>
        <v/>
      </c>
      <c r="J1491" s="36" t="n"/>
      <c r="K1491" s="40" t="n"/>
      <c r="L1491" s="36" t="n"/>
      <c r="M1491">
        <f>IF($A1491=Ficha!$B$3,COUNTIF($A$5:$A1491,Ficha!$B$3),"")</f>
        <v/>
      </c>
    </row>
    <row r="1492">
      <c r="A1492" s="38" t="n"/>
      <c r="B1492" s="41">
        <f>IF(A1492="","",IFERROR(INDEX(Maniobras!$B$5:$B$504,MATCH(A1492,Maniobras!$A$5:$A$504,0)),""))</f>
        <v/>
      </c>
      <c r="C1492" s="38">
        <f>IF(B1492="","",TEXT(B1492,"yyyy-mm"))</f>
        <v/>
      </c>
      <c r="D1492" s="38">
        <f>IF(A1492="","",IFERROR(INDEX(Maniobras!$D$5:$D$504,MATCH(A1492,Maniobras!$A$5:$A$504,0)),""))</f>
        <v/>
      </c>
      <c r="E1492" s="38" t="n"/>
      <c r="F1492" s="39">
        <f>IF(A1492="","",IFERROR(INDEX(Maniobras!$K$5:$K$504,MATCH(A1492,Maniobras!$A$5:$A$504,0)),""))</f>
        <v/>
      </c>
      <c r="G1492" s="39" t="n"/>
      <c r="H1492" s="39" t="n"/>
      <c r="I1492" s="39">
        <f>IF(G1492="","",G1492+N(H1492))</f>
        <v/>
      </c>
      <c r="J1492" s="38" t="n"/>
      <c r="K1492" s="41" t="n"/>
      <c r="L1492" s="38" t="n"/>
      <c r="M1492">
        <f>IF($A1492=Ficha!$B$3,COUNTIF($A$5:$A1492,Ficha!$B$3),"")</f>
        <v/>
      </c>
    </row>
    <row r="1493">
      <c r="A1493" s="36" t="n"/>
      <c r="B1493" s="40">
        <f>IF(A1493="","",IFERROR(INDEX(Maniobras!$B$5:$B$504,MATCH(A1493,Maniobras!$A$5:$A$504,0)),""))</f>
        <v/>
      </c>
      <c r="C1493" s="36">
        <f>IF(B1493="","",TEXT(B1493,"yyyy-mm"))</f>
        <v/>
      </c>
      <c r="D1493" s="36">
        <f>IF(A1493="","",IFERROR(INDEX(Maniobras!$D$5:$D$504,MATCH(A1493,Maniobras!$A$5:$A$504,0)),""))</f>
        <v/>
      </c>
      <c r="E1493" s="36" t="n"/>
      <c r="F1493" s="37">
        <f>IF(A1493="","",IFERROR(INDEX(Maniobras!$K$5:$K$504,MATCH(A1493,Maniobras!$A$5:$A$504,0)),""))</f>
        <v/>
      </c>
      <c r="G1493" s="37" t="n"/>
      <c r="H1493" s="37" t="n"/>
      <c r="I1493" s="37">
        <f>IF(G1493="","",G1493+N(H1493))</f>
        <v/>
      </c>
      <c r="J1493" s="36" t="n"/>
      <c r="K1493" s="40" t="n"/>
      <c r="L1493" s="36" t="n"/>
      <c r="M1493">
        <f>IF($A1493=Ficha!$B$3,COUNTIF($A$5:$A1493,Ficha!$B$3),"")</f>
        <v/>
      </c>
    </row>
    <row r="1494">
      <c r="A1494" s="38" t="n"/>
      <c r="B1494" s="41">
        <f>IF(A1494="","",IFERROR(INDEX(Maniobras!$B$5:$B$504,MATCH(A1494,Maniobras!$A$5:$A$504,0)),""))</f>
        <v/>
      </c>
      <c r="C1494" s="38">
        <f>IF(B1494="","",TEXT(B1494,"yyyy-mm"))</f>
        <v/>
      </c>
      <c r="D1494" s="38">
        <f>IF(A1494="","",IFERROR(INDEX(Maniobras!$D$5:$D$504,MATCH(A1494,Maniobras!$A$5:$A$504,0)),""))</f>
        <v/>
      </c>
      <c r="E1494" s="38" t="n"/>
      <c r="F1494" s="39">
        <f>IF(A1494="","",IFERROR(INDEX(Maniobras!$K$5:$K$504,MATCH(A1494,Maniobras!$A$5:$A$504,0)),""))</f>
        <v/>
      </c>
      <c r="G1494" s="39" t="n"/>
      <c r="H1494" s="39" t="n"/>
      <c r="I1494" s="39">
        <f>IF(G1494="","",G1494+N(H1494))</f>
        <v/>
      </c>
      <c r="J1494" s="38" t="n"/>
      <c r="K1494" s="41" t="n"/>
      <c r="L1494" s="38" t="n"/>
      <c r="M1494">
        <f>IF($A1494=Ficha!$B$3,COUNTIF($A$5:$A1494,Ficha!$B$3),"")</f>
        <v/>
      </c>
    </row>
    <row r="1495">
      <c r="A1495" s="36" t="n"/>
      <c r="B1495" s="40">
        <f>IF(A1495="","",IFERROR(INDEX(Maniobras!$B$5:$B$504,MATCH(A1495,Maniobras!$A$5:$A$504,0)),""))</f>
        <v/>
      </c>
      <c r="C1495" s="36">
        <f>IF(B1495="","",TEXT(B1495,"yyyy-mm"))</f>
        <v/>
      </c>
      <c r="D1495" s="36">
        <f>IF(A1495="","",IFERROR(INDEX(Maniobras!$D$5:$D$504,MATCH(A1495,Maniobras!$A$5:$A$504,0)),""))</f>
        <v/>
      </c>
      <c r="E1495" s="36" t="n"/>
      <c r="F1495" s="37">
        <f>IF(A1495="","",IFERROR(INDEX(Maniobras!$K$5:$K$504,MATCH(A1495,Maniobras!$A$5:$A$504,0)),""))</f>
        <v/>
      </c>
      <c r="G1495" s="37" t="n"/>
      <c r="H1495" s="37" t="n"/>
      <c r="I1495" s="37">
        <f>IF(G1495="","",G1495+N(H1495))</f>
        <v/>
      </c>
      <c r="J1495" s="36" t="n"/>
      <c r="K1495" s="40" t="n"/>
      <c r="L1495" s="36" t="n"/>
      <c r="M1495">
        <f>IF($A1495=Ficha!$B$3,COUNTIF($A$5:$A1495,Ficha!$B$3),"")</f>
        <v/>
      </c>
    </row>
    <row r="1496">
      <c r="A1496" s="38" t="n"/>
      <c r="B1496" s="41">
        <f>IF(A1496="","",IFERROR(INDEX(Maniobras!$B$5:$B$504,MATCH(A1496,Maniobras!$A$5:$A$504,0)),""))</f>
        <v/>
      </c>
      <c r="C1496" s="38">
        <f>IF(B1496="","",TEXT(B1496,"yyyy-mm"))</f>
        <v/>
      </c>
      <c r="D1496" s="38">
        <f>IF(A1496="","",IFERROR(INDEX(Maniobras!$D$5:$D$504,MATCH(A1496,Maniobras!$A$5:$A$504,0)),""))</f>
        <v/>
      </c>
      <c r="E1496" s="38" t="n"/>
      <c r="F1496" s="39">
        <f>IF(A1496="","",IFERROR(INDEX(Maniobras!$K$5:$K$504,MATCH(A1496,Maniobras!$A$5:$A$504,0)),""))</f>
        <v/>
      </c>
      <c r="G1496" s="39" t="n"/>
      <c r="H1496" s="39" t="n"/>
      <c r="I1496" s="39">
        <f>IF(G1496="","",G1496+N(H1496))</f>
        <v/>
      </c>
      <c r="J1496" s="38" t="n"/>
      <c r="K1496" s="41" t="n"/>
      <c r="L1496" s="38" t="n"/>
      <c r="M1496">
        <f>IF($A1496=Ficha!$B$3,COUNTIF($A$5:$A1496,Ficha!$B$3),"")</f>
        <v/>
      </c>
    </row>
    <row r="1497">
      <c r="A1497" s="36" t="n"/>
      <c r="B1497" s="40">
        <f>IF(A1497="","",IFERROR(INDEX(Maniobras!$B$5:$B$504,MATCH(A1497,Maniobras!$A$5:$A$504,0)),""))</f>
        <v/>
      </c>
      <c r="C1497" s="36">
        <f>IF(B1497="","",TEXT(B1497,"yyyy-mm"))</f>
        <v/>
      </c>
      <c r="D1497" s="36">
        <f>IF(A1497="","",IFERROR(INDEX(Maniobras!$D$5:$D$504,MATCH(A1497,Maniobras!$A$5:$A$504,0)),""))</f>
        <v/>
      </c>
      <c r="E1497" s="36" t="n"/>
      <c r="F1497" s="37">
        <f>IF(A1497="","",IFERROR(INDEX(Maniobras!$K$5:$K$504,MATCH(A1497,Maniobras!$A$5:$A$504,0)),""))</f>
        <v/>
      </c>
      <c r="G1497" s="37" t="n"/>
      <c r="H1497" s="37" t="n"/>
      <c r="I1497" s="37">
        <f>IF(G1497="","",G1497+N(H1497))</f>
        <v/>
      </c>
      <c r="J1497" s="36" t="n"/>
      <c r="K1497" s="40" t="n"/>
      <c r="L1497" s="36" t="n"/>
      <c r="M1497">
        <f>IF($A1497=Ficha!$B$3,COUNTIF($A$5:$A1497,Ficha!$B$3),"")</f>
        <v/>
      </c>
    </row>
    <row r="1498">
      <c r="A1498" s="38" t="n"/>
      <c r="B1498" s="41">
        <f>IF(A1498="","",IFERROR(INDEX(Maniobras!$B$5:$B$504,MATCH(A1498,Maniobras!$A$5:$A$504,0)),""))</f>
        <v/>
      </c>
      <c r="C1498" s="38">
        <f>IF(B1498="","",TEXT(B1498,"yyyy-mm"))</f>
        <v/>
      </c>
      <c r="D1498" s="38">
        <f>IF(A1498="","",IFERROR(INDEX(Maniobras!$D$5:$D$504,MATCH(A1498,Maniobras!$A$5:$A$504,0)),""))</f>
        <v/>
      </c>
      <c r="E1498" s="38" t="n"/>
      <c r="F1498" s="39">
        <f>IF(A1498="","",IFERROR(INDEX(Maniobras!$K$5:$K$504,MATCH(A1498,Maniobras!$A$5:$A$504,0)),""))</f>
        <v/>
      </c>
      <c r="G1498" s="39" t="n"/>
      <c r="H1498" s="39" t="n"/>
      <c r="I1498" s="39">
        <f>IF(G1498="","",G1498+N(H1498))</f>
        <v/>
      </c>
      <c r="J1498" s="38" t="n"/>
      <c r="K1498" s="41" t="n"/>
      <c r="L1498" s="38" t="n"/>
      <c r="M1498">
        <f>IF($A1498=Ficha!$B$3,COUNTIF($A$5:$A1498,Ficha!$B$3),"")</f>
        <v/>
      </c>
    </row>
    <row r="1499">
      <c r="A1499" s="36" t="n"/>
      <c r="B1499" s="40">
        <f>IF(A1499="","",IFERROR(INDEX(Maniobras!$B$5:$B$504,MATCH(A1499,Maniobras!$A$5:$A$504,0)),""))</f>
        <v/>
      </c>
      <c r="C1499" s="36">
        <f>IF(B1499="","",TEXT(B1499,"yyyy-mm"))</f>
        <v/>
      </c>
      <c r="D1499" s="36">
        <f>IF(A1499="","",IFERROR(INDEX(Maniobras!$D$5:$D$504,MATCH(A1499,Maniobras!$A$5:$A$504,0)),""))</f>
        <v/>
      </c>
      <c r="E1499" s="36" t="n"/>
      <c r="F1499" s="37">
        <f>IF(A1499="","",IFERROR(INDEX(Maniobras!$K$5:$K$504,MATCH(A1499,Maniobras!$A$5:$A$504,0)),""))</f>
        <v/>
      </c>
      <c r="G1499" s="37" t="n"/>
      <c r="H1499" s="37" t="n"/>
      <c r="I1499" s="37">
        <f>IF(G1499="","",G1499+N(H1499))</f>
        <v/>
      </c>
      <c r="J1499" s="36" t="n"/>
      <c r="K1499" s="40" t="n"/>
      <c r="L1499" s="36" t="n"/>
      <c r="M1499">
        <f>IF($A1499=Ficha!$B$3,COUNTIF($A$5:$A1499,Ficha!$B$3),"")</f>
        <v/>
      </c>
    </row>
    <row r="1500">
      <c r="A1500" s="38" t="n"/>
      <c r="B1500" s="41">
        <f>IF(A1500="","",IFERROR(INDEX(Maniobras!$B$5:$B$504,MATCH(A1500,Maniobras!$A$5:$A$504,0)),""))</f>
        <v/>
      </c>
      <c r="C1500" s="38">
        <f>IF(B1500="","",TEXT(B1500,"yyyy-mm"))</f>
        <v/>
      </c>
      <c r="D1500" s="38">
        <f>IF(A1500="","",IFERROR(INDEX(Maniobras!$D$5:$D$504,MATCH(A1500,Maniobras!$A$5:$A$504,0)),""))</f>
        <v/>
      </c>
      <c r="E1500" s="38" t="n"/>
      <c r="F1500" s="39">
        <f>IF(A1500="","",IFERROR(INDEX(Maniobras!$K$5:$K$504,MATCH(A1500,Maniobras!$A$5:$A$504,0)),""))</f>
        <v/>
      </c>
      <c r="G1500" s="39" t="n"/>
      <c r="H1500" s="39" t="n"/>
      <c r="I1500" s="39">
        <f>IF(G1500="","",G1500+N(H1500))</f>
        <v/>
      </c>
      <c r="J1500" s="38" t="n"/>
      <c r="K1500" s="41" t="n"/>
      <c r="L1500" s="38" t="n"/>
      <c r="M1500">
        <f>IF($A1500=Ficha!$B$3,COUNTIF($A$5:$A1500,Ficha!$B$3),"")</f>
        <v/>
      </c>
    </row>
    <row r="1501">
      <c r="A1501" s="36" t="n"/>
      <c r="B1501" s="40">
        <f>IF(A1501="","",IFERROR(INDEX(Maniobras!$B$5:$B$504,MATCH(A1501,Maniobras!$A$5:$A$504,0)),""))</f>
        <v/>
      </c>
      <c r="C1501" s="36">
        <f>IF(B1501="","",TEXT(B1501,"yyyy-mm"))</f>
        <v/>
      </c>
      <c r="D1501" s="36">
        <f>IF(A1501="","",IFERROR(INDEX(Maniobras!$D$5:$D$504,MATCH(A1501,Maniobras!$A$5:$A$504,0)),""))</f>
        <v/>
      </c>
      <c r="E1501" s="36" t="n"/>
      <c r="F1501" s="37">
        <f>IF(A1501="","",IFERROR(INDEX(Maniobras!$K$5:$K$504,MATCH(A1501,Maniobras!$A$5:$A$504,0)),""))</f>
        <v/>
      </c>
      <c r="G1501" s="37" t="n"/>
      <c r="H1501" s="37" t="n"/>
      <c r="I1501" s="37">
        <f>IF(G1501="","",G1501+N(H1501))</f>
        <v/>
      </c>
      <c r="J1501" s="36" t="n"/>
      <c r="K1501" s="40" t="n"/>
      <c r="L1501" s="36" t="n"/>
      <c r="M1501">
        <f>IF($A1501=Ficha!$B$3,COUNTIF($A$5:$A1501,Ficha!$B$3),"")</f>
        <v/>
      </c>
    </row>
    <row r="1502">
      <c r="A1502" s="38" t="n"/>
      <c r="B1502" s="41">
        <f>IF(A1502="","",IFERROR(INDEX(Maniobras!$B$5:$B$504,MATCH(A1502,Maniobras!$A$5:$A$504,0)),""))</f>
        <v/>
      </c>
      <c r="C1502" s="38">
        <f>IF(B1502="","",TEXT(B1502,"yyyy-mm"))</f>
        <v/>
      </c>
      <c r="D1502" s="38">
        <f>IF(A1502="","",IFERROR(INDEX(Maniobras!$D$5:$D$504,MATCH(A1502,Maniobras!$A$5:$A$504,0)),""))</f>
        <v/>
      </c>
      <c r="E1502" s="38" t="n"/>
      <c r="F1502" s="39">
        <f>IF(A1502="","",IFERROR(INDEX(Maniobras!$K$5:$K$504,MATCH(A1502,Maniobras!$A$5:$A$504,0)),""))</f>
        <v/>
      </c>
      <c r="G1502" s="39" t="n"/>
      <c r="H1502" s="39" t="n"/>
      <c r="I1502" s="39">
        <f>IF(G1502="","",G1502+N(H1502))</f>
        <v/>
      </c>
      <c r="J1502" s="38" t="n"/>
      <c r="K1502" s="41" t="n"/>
      <c r="L1502" s="38" t="n"/>
      <c r="M1502">
        <f>IF($A1502=Ficha!$B$3,COUNTIF($A$5:$A1502,Ficha!$B$3),"")</f>
        <v/>
      </c>
    </row>
    <row r="1503">
      <c r="A1503" s="36" t="n"/>
      <c r="B1503" s="40">
        <f>IF(A1503="","",IFERROR(INDEX(Maniobras!$B$5:$B$504,MATCH(A1503,Maniobras!$A$5:$A$504,0)),""))</f>
        <v/>
      </c>
      <c r="C1503" s="36">
        <f>IF(B1503="","",TEXT(B1503,"yyyy-mm"))</f>
        <v/>
      </c>
      <c r="D1503" s="36">
        <f>IF(A1503="","",IFERROR(INDEX(Maniobras!$D$5:$D$504,MATCH(A1503,Maniobras!$A$5:$A$504,0)),""))</f>
        <v/>
      </c>
      <c r="E1503" s="36" t="n"/>
      <c r="F1503" s="37">
        <f>IF(A1503="","",IFERROR(INDEX(Maniobras!$K$5:$K$504,MATCH(A1503,Maniobras!$A$5:$A$504,0)),""))</f>
        <v/>
      </c>
      <c r="G1503" s="37" t="n"/>
      <c r="H1503" s="37" t="n"/>
      <c r="I1503" s="37">
        <f>IF(G1503="","",G1503+N(H1503))</f>
        <v/>
      </c>
      <c r="J1503" s="36" t="n"/>
      <c r="K1503" s="40" t="n"/>
      <c r="L1503" s="36" t="n"/>
      <c r="M1503">
        <f>IF($A1503=Ficha!$B$3,COUNTIF($A$5:$A1503,Ficha!$B$3),"")</f>
        <v/>
      </c>
    </row>
    <row r="1504">
      <c r="A1504" s="38" t="n"/>
      <c r="B1504" s="41">
        <f>IF(A1504="","",IFERROR(INDEX(Maniobras!$B$5:$B$504,MATCH(A1504,Maniobras!$A$5:$A$504,0)),""))</f>
        <v/>
      </c>
      <c r="C1504" s="38">
        <f>IF(B1504="","",TEXT(B1504,"yyyy-mm"))</f>
        <v/>
      </c>
      <c r="D1504" s="38">
        <f>IF(A1504="","",IFERROR(INDEX(Maniobras!$D$5:$D$504,MATCH(A1504,Maniobras!$A$5:$A$504,0)),""))</f>
        <v/>
      </c>
      <c r="E1504" s="38" t="n"/>
      <c r="F1504" s="39">
        <f>IF(A1504="","",IFERROR(INDEX(Maniobras!$K$5:$K$504,MATCH(A1504,Maniobras!$A$5:$A$504,0)),""))</f>
        <v/>
      </c>
      <c r="G1504" s="39" t="n"/>
      <c r="H1504" s="39" t="n"/>
      <c r="I1504" s="39">
        <f>IF(G1504="","",G1504+N(H1504))</f>
        <v/>
      </c>
      <c r="J1504" s="38" t="n"/>
      <c r="K1504" s="41" t="n"/>
      <c r="L1504" s="38" t="n"/>
      <c r="M1504">
        <f>IF($A1504=Ficha!$B$3,COUNTIF($A$5:$A1504,Ficha!$B$3),"")</f>
        <v/>
      </c>
    </row>
    <row r="1505">
      <c r="A1505" s="36" t="n"/>
      <c r="B1505" s="40">
        <f>IF(A1505="","",IFERROR(INDEX(Maniobras!$B$5:$B$504,MATCH(A1505,Maniobras!$A$5:$A$504,0)),""))</f>
        <v/>
      </c>
      <c r="C1505" s="36">
        <f>IF(B1505="","",TEXT(B1505,"yyyy-mm"))</f>
        <v/>
      </c>
      <c r="D1505" s="36">
        <f>IF(A1505="","",IFERROR(INDEX(Maniobras!$D$5:$D$504,MATCH(A1505,Maniobras!$A$5:$A$504,0)),""))</f>
        <v/>
      </c>
      <c r="E1505" s="36" t="n"/>
      <c r="F1505" s="37">
        <f>IF(A1505="","",IFERROR(INDEX(Maniobras!$K$5:$K$504,MATCH(A1505,Maniobras!$A$5:$A$504,0)),""))</f>
        <v/>
      </c>
      <c r="G1505" s="37" t="n"/>
      <c r="H1505" s="37" t="n"/>
      <c r="I1505" s="37">
        <f>IF(G1505="","",G1505+N(H1505))</f>
        <v/>
      </c>
      <c r="J1505" s="36" t="n"/>
      <c r="K1505" s="40" t="n"/>
      <c r="L1505" s="36" t="n"/>
      <c r="M1505">
        <f>IF($A1505=Ficha!$B$3,COUNTIF($A$5:$A1505,Ficha!$B$3),"")</f>
        <v/>
      </c>
    </row>
    <row r="1506">
      <c r="A1506" s="38" t="n"/>
      <c r="B1506" s="41">
        <f>IF(A1506="","",IFERROR(INDEX(Maniobras!$B$5:$B$504,MATCH(A1506,Maniobras!$A$5:$A$504,0)),""))</f>
        <v/>
      </c>
      <c r="C1506" s="38">
        <f>IF(B1506="","",TEXT(B1506,"yyyy-mm"))</f>
        <v/>
      </c>
      <c r="D1506" s="38">
        <f>IF(A1506="","",IFERROR(INDEX(Maniobras!$D$5:$D$504,MATCH(A1506,Maniobras!$A$5:$A$504,0)),""))</f>
        <v/>
      </c>
      <c r="E1506" s="38" t="n"/>
      <c r="F1506" s="39">
        <f>IF(A1506="","",IFERROR(INDEX(Maniobras!$K$5:$K$504,MATCH(A1506,Maniobras!$A$5:$A$504,0)),""))</f>
        <v/>
      </c>
      <c r="G1506" s="39" t="n"/>
      <c r="H1506" s="39" t="n"/>
      <c r="I1506" s="39">
        <f>IF(G1506="","",G1506+N(H1506))</f>
        <v/>
      </c>
      <c r="J1506" s="38" t="n"/>
      <c r="K1506" s="41" t="n"/>
      <c r="L1506" s="38" t="n"/>
      <c r="M1506">
        <f>IF($A1506=Ficha!$B$3,COUNTIF($A$5:$A1506,Ficha!$B$3),"")</f>
        <v/>
      </c>
    </row>
    <row r="1507">
      <c r="A1507" s="36" t="n"/>
      <c r="B1507" s="40">
        <f>IF(A1507="","",IFERROR(INDEX(Maniobras!$B$5:$B$504,MATCH(A1507,Maniobras!$A$5:$A$504,0)),""))</f>
        <v/>
      </c>
      <c r="C1507" s="36">
        <f>IF(B1507="","",TEXT(B1507,"yyyy-mm"))</f>
        <v/>
      </c>
      <c r="D1507" s="36">
        <f>IF(A1507="","",IFERROR(INDEX(Maniobras!$D$5:$D$504,MATCH(A1507,Maniobras!$A$5:$A$504,0)),""))</f>
        <v/>
      </c>
      <c r="E1507" s="36" t="n"/>
      <c r="F1507" s="37">
        <f>IF(A1507="","",IFERROR(INDEX(Maniobras!$K$5:$K$504,MATCH(A1507,Maniobras!$A$5:$A$504,0)),""))</f>
        <v/>
      </c>
      <c r="G1507" s="37" t="n"/>
      <c r="H1507" s="37" t="n"/>
      <c r="I1507" s="37">
        <f>IF(G1507="","",G1507+N(H1507))</f>
        <v/>
      </c>
      <c r="J1507" s="36" t="n"/>
      <c r="K1507" s="40" t="n"/>
      <c r="L1507" s="36" t="n"/>
      <c r="M1507">
        <f>IF($A1507=Ficha!$B$3,COUNTIF($A$5:$A1507,Ficha!$B$3),"")</f>
        <v/>
      </c>
    </row>
    <row r="1508">
      <c r="A1508" s="38" t="n"/>
      <c r="B1508" s="41">
        <f>IF(A1508="","",IFERROR(INDEX(Maniobras!$B$5:$B$504,MATCH(A1508,Maniobras!$A$5:$A$504,0)),""))</f>
        <v/>
      </c>
      <c r="C1508" s="38">
        <f>IF(B1508="","",TEXT(B1508,"yyyy-mm"))</f>
        <v/>
      </c>
      <c r="D1508" s="38">
        <f>IF(A1508="","",IFERROR(INDEX(Maniobras!$D$5:$D$504,MATCH(A1508,Maniobras!$A$5:$A$504,0)),""))</f>
        <v/>
      </c>
      <c r="E1508" s="38" t="n"/>
      <c r="F1508" s="39">
        <f>IF(A1508="","",IFERROR(INDEX(Maniobras!$K$5:$K$504,MATCH(A1508,Maniobras!$A$5:$A$504,0)),""))</f>
        <v/>
      </c>
      <c r="G1508" s="39" t="n"/>
      <c r="H1508" s="39" t="n"/>
      <c r="I1508" s="39">
        <f>IF(G1508="","",G1508+N(H1508))</f>
        <v/>
      </c>
      <c r="J1508" s="38" t="n"/>
      <c r="K1508" s="41" t="n"/>
      <c r="L1508" s="38" t="n"/>
      <c r="M1508">
        <f>IF($A1508=Ficha!$B$3,COUNTIF($A$5:$A1508,Ficha!$B$3),"")</f>
        <v/>
      </c>
    </row>
    <row r="1509">
      <c r="A1509" s="36" t="n"/>
      <c r="B1509" s="40">
        <f>IF(A1509="","",IFERROR(INDEX(Maniobras!$B$5:$B$504,MATCH(A1509,Maniobras!$A$5:$A$504,0)),""))</f>
        <v/>
      </c>
      <c r="C1509" s="36">
        <f>IF(B1509="","",TEXT(B1509,"yyyy-mm"))</f>
        <v/>
      </c>
      <c r="D1509" s="36">
        <f>IF(A1509="","",IFERROR(INDEX(Maniobras!$D$5:$D$504,MATCH(A1509,Maniobras!$A$5:$A$504,0)),""))</f>
        <v/>
      </c>
      <c r="E1509" s="36" t="n"/>
      <c r="F1509" s="37">
        <f>IF(A1509="","",IFERROR(INDEX(Maniobras!$K$5:$K$504,MATCH(A1509,Maniobras!$A$5:$A$504,0)),""))</f>
        <v/>
      </c>
      <c r="G1509" s="37" t="n"/>
      <c r="H1509" s="37" t="n"/>
      <c r="I1509" s="37">
        <f>IF(G1509="","",G1509+N(H1509))</f>
        <v/>
      </c>
      <c r="J1509" s="36" t="n"/>
      <c r="K1509" s="40" t="n"/>
      <c r="L1509" s="36" t="n"/>
      <c r="M1509">
        <f>IF($A1509=Ficha!$B$3,COUNTIF($A$5:$A1509,Ficha!$B$3),"")</f>
        <v/>
      </c>
    </row>
    <row r="1510">
      <c r="A1510" s="38" t="n"/>
      <c r="B1510" s="41">
        <f>IF(A1510="","",IFERROR(INDEX(Maniobras!$B$5:$B$504,MATCH(A1510,Maniobras!$A$5:$A$504,0)),""))</f>
        <v/>
      </c>
      <c r="C1510" s="38">
        <f>IF(B1510="","",TEXT(B1510,"yyyy-mm"))</f>
        <v/>
      </c>
      <c r="D1510" s="38">
        <f>IF(A1510="","",IFERROR(INDEX(Maniobras!$D$5:$D$504,MATCH(A1510,Maniobras!$A$5:$A$504,0)),""))</f>
        <v/>
      </c>
      <c r="E1510" s="38" t="n"/>
      <c r="F1510" s="39">
        <f>IF(A1510="","",IFERROR(INDEX(Maniobras!$K$5:$K$504,MATCH(A1510,Maniobras!$A$5:$A$504,0)),""))</f>
        <v/>
      </c>
      <c r="G1510" s="39" t="n"/>
      <c r="H1510" s="39" t="n"/>
      <c r="I1510" s="39">
        <f>IF(G1510="","",G1510+N(H1510))</f>
        <v/>
      </c>
      <c r="J1510" s="38" t="n"/>
      <c r="K1510" s="41" t="n"/>
      <c r="L1510" s="38" t="n"/>
      <c r="M1510">
        <f>IF($A1510=Ficha!$B$3,COUNTIF($A$5:$A1510,Ficha!$B$3),"")</f>
        <v/>
      </c>
    </row>
    <row r="1511">
      <c r="A1511" s="36" t="n"/>
      <c r="B1511" s="40">
        <f>IF(A1511="","",IFERROR(INDEX(Maniobras!$B$5:$B$504,MATCH(A1511,Maniobras!$A$5:$A$504,0)),""))</f>
        <v/>
      </c>
      <c r="C1511" s="36">
        <f>IF(B1511="","",TEXT(B1511,"yyyy-mm"))</f>
        <v/>
      </c>
      <c r="D1511" s="36">
        <f>IF(A1511="","",IFERROR(INDEX(Maniobras!$D$5:$D$504,MATCH(A1511,Maniobras!$A$5:$A$504,0)),""))</f>
        <v/>
      </c>
      <c r="E1511" s="36" t="n"/>
      <c r="F1511" s="37">
        <f>IF(A1511="","",IFERROR(INDEX(Maniobras!$K$5:$K$504,MATCH(A1511,Maniobras!$A$5:$A$504,0)),""))</f>
        <v/>
      </c>
      <c r="G1511" s="37" t="n"/>
      <c r="H1511" s="37" t="n"/>
      <c r="I1511" s="37">
        <f>IF(G1511="","",G1511+N(H1511))</f>
        <v/>
      </c>
      <c r="J1511" s="36" t="n"/>
      <c r="K1511" s="40" t="n"/>
      <c r="L1511" s="36" t="n"/>
      <c r="M1511">
        <f>IF($A1511=Ficha!$B$3,COUNTIF($A$5:$A1511,Ficha!$B$3),"")</f>
        <v/>
      </c>
    </row>
    <row r="1512">
      <c r="A1512" s="38" t="n"/>
      <c r="B1512" s="41">
        <f>IF(A1512="","",IFERROR(INDEX(Maniobras!$B$5:$B$504,MATCH(A1512,Maniobras!$A$5:$A$504,0)),""))</f>
        <v/>
      </c>
      <c r="C1512" s="38">
        <f>IF(B1512="","",TEXT(B1512,"yyyy-mm"))</f>
        <v/>
      </c>
      <c r="D1512" s="38">
        <f>IF(A1512="","",IFERROR(INDEX(Maniobras!$D$5:$D$504,MATCH(A1512,Maniobras!$A$5:$A$504,0)),""))</f>
        <v/>
      </c>
      <c r="E1512" s="38" t="n"/>
      <c r="F1512" s="39">
        <f>IF(A1512="","",IFERROR(INDEX(Maniobras!$K$5:$K$504,MATCH(A1512,Maniobras!$A$5:$A$504,0)),""))</f>
        <v/>
      </c>
      <c r="G1512" s="39" t="n"/>
      <c r="H1512" s="39" t="n"/>
      <c r="I1512" s="39">
        <f>IF(G1512="","",G1512+N(H1512))</f>
        <v/>
      </c>
      <c r="J1512" s="38" t="n"/>
      <c r="K1512" s="41" t="n"/>
      <c r="L1512" s="38" t="n"/>
      <c r="M1512">
        <f>IF($A1512=Ficha!$B$3,COUNTIF($A$5:$A1512,Ficha!$B$3),"")</f>
        <v/>
      </c>
    </row>
    <row r="1513">
      <c r="A1513" s="36" t="n"/>
      <c r="B1513" s="40">
        <f>IF(A1513="","",IFERROR(INDEX(Maniobras!$B$5:$B$504,MATCH(A1513,Maniobras!$A$5:$A$504,0)),""))</f>
        <v/>
      </c>
      <c r="C1513" s="36">
        <f>IF(B1513="","",TEXT(B1513,"yyyy-mm"))</f>
        <v/>
      </c>
      <c r="D1513" s="36">
        <f>IF(A1513="","",IFERROR(INDEX(Maniobras!$D$5:$D$504,MATCH(A1513,Maniobras!$A$5:$A$504,0)),""))</f>
        <v/>
      </c>
      <c r="E1513" s="36" t="n"/>
      <c r="F1513" s="37">
        <f>IF(A1513="","",IFERROR(INDEX(Maniobras!$K$5:$K$504,MATCH(A1513,Maniobras!$A$5:$A$504,0)),""))</f>
        <v/>
      </c>
      <c r="G1513" s="37" t="n"/>
      <c r="H1513" s="37" t="n"/>
      <c r="I1513" s="37">
        <f>IF(G1513="","",G1513+N(H1513))</f>
        <v/>
      </c>
      <c r="J1513" s="36" t="n"/>
      <c r="K1513" s="40" t="n"/>
      <c r="L1513" s="36" t="n"/>
      <c r="M1513">
        <f>IF($A1513=Ficha!$B$3,COUNTIF($A$5:$A1513,Ficha!$B$3),"")</f>
        <v/>
      </c>
    </row>
    <row r="1514">
      <c r="A1514" s="38" t="n"/>
      <c r="B1514" s="41">
        <f>IF(A1514="","",IFERROR(INDEX(Maniobras!$B$5:$B$504,MATCH(A1514,Maniobras!$A$5:$A$504,0)),""))</f>
        <v/>
      </c>
      <c r="C1514" s="38">
        <f>IF(B1514="","",TEXT(B1514,"yyyy-mm"))</f>
        <v/>
      </c>
      <c r="D1514" s="38">
        <f>IF(A1514="","",IFERROR(INDEX(Maniobras!$D$5:$D$504,MATCH(A1514,Maniobras!$A$5:$A$504,0)),""))</f>
        <v/>
      </c>
      <c r="E1514" s="38" t="n"/>
      <c r="F1514" s="39">
        <f>IF(A1514="","",IFERROR(INDEX(Maniobras!$K$5:$K$504,MATCH(A1514,Maniobras!$A$5:$A$504,0)),""))</f>
        <v/>
      </c>
      <c r="G1514" s="39" t="n"/>
      <c r="H1514" s="39" t="n"/>
      <c r="I1514" s="39">
        <f>IF(G1514="","",G1514+N(H1514))</f>
        <v/>
      </c>
      <c r="J1514" s="38" t="n"/>
      <c r="K1514" s="41" t="n"/>
      <c r="L1514" s="38" t="n"/>
      <c r="M1514">
        <f>IF($A1514=Ficha!$B$3,COUNTIF($A$5:$A1514,Ficha!$B$3),"")</f>
        <v/>
      </c>
    </row>
    <row r="1515">
      <c r="A1515" s="36" t="n"/>
      <c r="B1515" s="40">
        <f>IF(A1515="","",IFERROR(INDEX(Maniobras!$B$5:$B$504,MATCH(A1515,Maniobras!$A$5:$A$504,0)),""))</f>
        <v/>
      </c>
      <c r="C1515" s="36">
        <f>IF(B1515="","",TEXT(B1515,"yyyy-mm"))</f>
        <v/>
      </c>
      <c r="D1515" s="36">
        <f>IF(A1515="","",IFERROR(INDEX(Maniobras!$D$5:$D$504,MATCH(A1515,Maniobras!$A$5:$A$504,0)),""))</f>
        <v/>
      </c>
      <c r="E1515" s="36" t="n"/>
      <c r="F1515" s="37">
        <f>IF(A1515="","",IFERROR(INDEX(Maniobras!$K$5:$K$504,MATCH(A1515,Maniobras!$A$5:$A$504,0)),""))</f>
        <v/>
      </c>
      <c r="G1515" s="37" t="n"/>
      <c r="H1515" s="37" t="n"/>
      <c r="I1515" s="37">
        <f>IF(G1515="","",G1515+N(H1515))</f>
        <v/>
      </c>
      <c r="J1515" s="36" t="n"/>
      <c r="K1515" s="40" t="n"/>
      <c r="L1515" s="36" t="n"/>
      <c r="M1515">
        <f>IF($A1515=Ficha!$B$3,COUNTIF($A$5:$A1515,Ficha!$B$3),"")</f>
        <v/>
      </c>
    </row>
    <row r="1516">
      <c r="A1516" s="38" t="n"/>
      <c r="B1516" s="41">
        <f>IF(A1516="","",IFERROR(INDEX(Maniobras!$B$5:$B$504,MATCH(A1516,Maniobras!$A$5:$A$504,0)),""))</f>
        <v/>
      </c>
      <c r="C1516" s="38">
        <f>IF(B1516="","",TEXT(B1516,"yyyy-mm"))</f>
        <v/>
      </c>
      <c r="D1516" s="38">
        <f>IF(A1516="","",IFERROR(INDEX(Maniobras!$D$5:$D$504,MATCH(A1516,Maniobras!$A$5:$A$504,0)),""))</f>
        <v/>
      </c>
      <c r="E1516" s="38" t="n"/>
      <c r="F1516" s="39">
        <f>IF(A1516="","",IFERROR(INDEX(Maniobras!$K$5:$K$504,MATCH(A1516,Maniobras!$A$5:$A$504,0)),""))</f>
        <v/>
      </c>
      <c r="G1516" s="39" t="n"/>
      <c r="H1516" s="39" t="n"/>
      <c r="I1516" s="39">
        <f>IF(G1516="","",G1516+N(H1516))</f>
        <v/>
      </c>
      <c r="J1516" s="38" t="n"/>
      <c r="K1516" s="41" t="n"/>
      <c r="L1516" s="38" t="n"/>
      <c r="M1516">
        <f>IF($A1516=Ficha!$B$3,COUNTIF($A$5:$A1516,Ficha!$B$3),"")</f>
        <v/>
      </c>
    </row>
    <row r="1517">
      <c r="A1517" s="36" t="n"/>
      <c r="B1517" s="40">
        <f>IF(A1517="","",IFERROR(INDEX(Maniobras!$B$5:$B$504,MATCH(A1517,Maniobras!$A$5:$A$504,0)),""))</f>
        <v/>
      </c>
      <c r="C1517" s="36">
        <f>IF(B1517="","",TEXT(B1517,"yyyy-mm"))</f>
        <v/>
      </c>
      <c r="D1517" s="36">
        <f>IF(A1517="","",IFERROR(INDEX(Maniobras!$D$5:$D$504,MATCH(A1517,Maniobras!$A$5:$A$504,0)),""))</f>
        <v/>
      </c>
      <c r="E1517" s="36" t="n"/>
      <c r="F1517" s="37">
        <f>IF(A1517="","",IFERROR(INDEX(Maniobras!$K$5:$K$504,MATCH(A1517,Maniobras!$A$5:$A$504,0)),""))</f>
        <v/>
      </c>
      <c r="G1517" s="37" t="n"/>
      <c r="H1517" s="37" t="n"/>
      <c r="I1517" s="37">
        <f>IF(G1517="","",G1517+N(H1517))</f>
        <v/>
      </c>
      <c r="J1517" s="36" t="n"/>
      <c r="K1517" s="40" t="n"/>
      <c r="L1517" s="36" t="n"/>
      <c r="M1517">
        <f>IF($A1517=Ficha!$B$3,COUNTIF($A$5:$A1517,Ficha!$B$3),"")</f>
        <v/>
      </c>
    </row>
    <row r="1518">
      <c r="A1518" s="38" t="n"/>
      <c r="B1518" s="41">
        <f>IF(A1518="","",IFERROR(INDEX(Maniobras!$B$5:$B$504,MATCH(A1518,Maniobras!$A$5:$A$504,0)),""))</f>
        <v/>
      </c>
      <c r="C1518" s="38">
        <f>IF(B1518="","",TEXT(B1518,"yyyy-mm"))</f>
        <v/>
      </c>
      <c r="D1518" s="38">
        <f>IF(A1518="","",IFERROR(INDEX(Maniobras!$D$5:$D$504,MATCH(A1518,Maniobras!$A$5:$A$504,0)),""))</f>
        <v/>
      </c>
      <c r="E1518" s="38" t="n"/>
      <c r="F1518" s="39">
        <f>IF(A1518="","",IFERROR(INDEX(Maniobras!$K$5:$K$504,MATCH(A1518,Maniobras!$A$5:$A$504,0)),""))</f>
        <v/>
      </c>
      <c r="G1518" s="39" t="n"/>
      <c r="H1518" s="39" t="n"/>
      <c r="I1518" s="39">
        <f>IF(G1518="","",G1518+N(H1518))</f>
        <v/>
      </c>
      <c r="J1518" s="38" t="n"/>
      <c r="K1518" s="41" t="n"/>
      <c r="L1518" s="38" t="n"/>
      <c r="M1518">
        <f>IF($A1518=Ficha!$B$3,COUNTIF($A$5:$A1518,Ficha!$B$3),"")</f>
        <v/>
      </c>
    </row>
    <row r="1519">
      <c r="A1519" s="36" t="n"/>
      <c r="B1519" s="40">
        <f>IF(A1519="","",IFERROR(INDEX(Maniobras!$B$5:$B$504,MATCH(A1519,Maniobras!$A$5:$A$504,0)),""))</f>
        <v/>
      </c>
      <c r="C1519" s="36">
        <f>IF(B1519="","",TEXT(B1519,"yyyy-mm"))</f>
        <v/>
      </c>
      <c r="D1519" s="36">
        <f>IF(A1519="","",IFERROR(INDEX(Maniobras!$D$5:$D$504,MATCH(A1519,Maniobras!$A$5:$A$504,0)),""))</f>
        <v/>
      </c>
      <c r="E1519" s="36" t="n"/>
      <c r="F1519" s="37">
        <f>IF(A1519="","",IFERROR(INDEX(Maniobras!$K$5:$K$504,MATCH(A1519,Maniobras!$A$5:$A$504,0)),""))</f>
        <v/>
      </c>
      <c r="G1519" s="37" t="n"/>
      <c r="H1519" s="37" t="n"/>
      <c r="I1519" s="37">
        <f>IF(G1519="","",G1519+N(H1519))</f>
        <v/>
      </c>
      <c r="J1519" s="36" t="n"/>
      <c r="K1519" s="40" t="n"/>
      <c r="L1519" s="36" t="n"/>
      <c r="M1519">
        <f>IF($A1519=Ficha!$B$3,COUNTIF($A$5:$A1519,Ficha!$B$3),"")</f>
        <v/>
      </c>
    </row>
    <row r="1520">
      <c r="A1520" s="38" t="n"/>
      <c r="B1520" s="41">
        <f>IF(A1520="","",IFERROR(INDEX(Maniobras!$B$5:$B$504,MATCH(A1520,Maniobras!$A$5:$A$504,0)),""))</f>
        <v/>
      </c>
      <c r="C1520" s="38">
        <f>IF(B1520="","",TEXT(B1520,"yyyy-mm"))</f>
        <v/>
      </c>
      <c r="D1520" s="38">
        <f>IF(A1520="","",IFERROR(INDEX(Maniobras!$D$5:$D$504,MATCH(A1520,Maniobras!$A$5:$A$504,0)),""))</f>
        <v/>
      </c>
      <c r="E1520" s="38" t="n"/>
      <c r="F1520" s="39">
        <f>IF(A1520="","",IFERROR(INDEX(Maniobras!$K$5:$K$504,MATCH(A1520,Maniobras!$A$5:$A$504,0)),""))</f>
        <v/>
      </c>
      <c r="G1520" s="39" t="n"/>
      <c r="H1520" s="39" t="n"/>
      <c r="I1520" s="39">
        <f>IF(G1520="","",G1520+N(H1520))</f>
        <v/>
      </c>
      <c r="J1520" s="38" t="n"/>
      <c r="K1520" s="41" t="n"/>
      <c r="L1520" s="38" t="n"/>
      <c r="M1520">
        <f>IF($A1520=Ficha!$B$3,COUNTIF($A$5:$A1520,Ficha!$B$3),"")</f>
        <v/>
      </c>
    </row>
    <row r="1521">
      <c r="A1521" s="36" t="n"/>
      <c r="B1521" s="40">
        <f>IF(A1521="","",IFERROR(INDEX(Maniobras!$B$5:$B$504,MATCH(A1521,Maniobras!$A$5:$A$504,0)),""))</f>
        <v/>
      </c>
      <c r="C1521" s="36">
        <f>IF(B1521="","",TEXT(B1521,"yyyy-mm"))</f>
        <v/>
      </c>
      <c r="D1521" s="36">
        <f>IF(A1521="","",IFERROR(INDEX(Maniobras!$D$5:$D$504,MATCH(A1521,Maniobras!$A$5:$A$504,0)),""))</f>
        <v/>
      </c>
      <c r="E1521" s="36" t="n"/>
      <c r="F1521" s="37">
        <f>IF(A1521="","",IFERROR(INDEX(Maniobras!$K$5:$K$504,MATCH(A1521,Maniobras!$A$5:$A$504,0)),""))</f>
        <v/>
      </c>
      <c r="G1521" s="37" t="n"/>
      <c r="H1521" s="37" t="n"/>
      <c r="I1521" s="37">
        <f>IF(G1521="","",G1521+N(H1521))</f>
        <v/>
      </c>
      <c r="J1521" s="36" t="n"/>
      <c r="K1521" s="40" t="n"/>
      <c r="L1521" s="36" t="n"/>
      <c r="M1521">
        <f>IF($A1521=Ficha!$B$3,COUNTIF($A$5:$A1521,Ficha!$B$3),"")</f>
        <v/>
      </c>
    </row>
    <row r="1522">
      <c r="A1522" s="38" t="n"/>
      <c r="B1522" s="41">
        <f>IF(A1522="","",IFERROR(INDEX(Maniobras!$B$5:$B$504,MATCH(A1522,Maniobras!$A$5:$A$504,0)),""))</f>
        <v/>
      </c>
      <c r="C1522" s="38">
        <f>IF(B1522="","",TEXT(B1522,"yyyy-mm"))</f>
        <v/>
      </c>
      <c r="D1522" s="38">
        <f>IF(A1522="","",IFERROR(INDEX(Maniobras!$D$5:$D$504,MATCH(A1522,Maniobras!$A$5:$A$504,0)),""))</f>
        <v/>
      </c>
      <c r="E1522" s="38" t="n"/>
      <c r="F1522" s="39">
        <f>IF(A1522="","",IFERROR(INDEX(Maniobras!$K$5:$K$504,MATCH(A1522,Maniobras!$A$5:$A$504,0)),""))</f>
        <v/>
      </c>
      <c r="G1522" s="39" t="n"/>
      <c r="H1522" s="39" t="n"/>
      <c r="I1522" s="39">
        <f>IF(G1522="","",G1522+N(H1522))</f>
        <v/>
      </c>
      <c r="J1522" s="38" t="n"/>
      <c r="K1522" s="41" t="n"/>
      <c r="L1522" s="38" t="n"/>
      <c r="M1522">
        <f>IF($A1522=Ficha!$B$3,COUNTIF($A$5:$A1522,Ficha!$B$3),"")</f>
        <v/>
      </c>
    </row>
    <row r="1523">
      <c r="A1523" s="36" t="n"/>
      <c r="B1523" s="40">
        <f>IF(A1523="","",IFERROR(INDEX(Maniobras!$B$5:$B$504,MATCH(A1523,Maniobras!$A$5:$A$504,0)),""))</f>
        <v/>
      </c>
      <c r="C1523" s="36">
        <f>IF(B1523="","",TEXT(B1523,"yyyy-mm"))</f>
        <v/>
      </c>
      <c r="D1523" s="36">
        <f>IF(A1523="","",IFERROR(INDEX(Maniobras!$D$5:$D$504,MATCH(A1523,Maniobras!$A$5:$A$504,0)),""))</f>
        <v/>
      </c>
      <c r="E1523" s="36" t="n"/>
      <c r="F1523" s="37">
        <f>IF(A1523="","",IFERROR(INDEX(Maniobras!$K$5:$K$504,MATCH(A1523,Maniobras!$A$5:$A$504,0)),""))</f>
        <v/>
      </c>
      <c r="G1523" s="37" t="n"/>
      <c r="H1523" s="37" t="n"/>
      <c r="I1523" s="37">
        <f>IF(G1523="","",G1523+N(H1523))</f>
        <v/>
      </c>
      <c r="J1523" s="36" t="n"/>
      <c r="K1523" s="40" t="n"/>
      <c r="L1523" s="36" t="n"/>
      <c r="M1523">
        <f>IF($A1523=Ficha!$B$3,COUNTIF($A$5:$A1523,Ficha!$B$3),"")</f>
        <v/>
      </c>
    </row>
    <row r="1524">
      <c r="A1524" s="38" t="n"/>
      <c r="B1524" s="41">
        <f>IF(A1524="","",IFERROR(INDEX(Maniobras!$B$5:$B$504,MATCH(A1524,Maniobras!$A$5:$A$504,0)),""))</f>
        <v/>
      </c>
      <c r="C1524" s="38">
        <f>IF(B1524="","",TEXT(B1524,"yyyy-mm"))</f>
        <v/>
      </c>
      <c r="D1524" s="38">
        <f>IF(A1524="","",IFERROR(INDEX(Maniobras!$D$5:$D$504,MATCH(A1524,Maniobras!$A$5:$A$504,0)),""))</f>
        <v/>
      </c>
      <c r="E1524" s="38" t="n"/>
      <c r="F1524" s="39">
        <f>IF(A1524="","",IFERROR(INDEX(Maniobras!$K$5:$K$504,MATCH(A1524,Maniobras!$A$5:$A$504,0)),""))</f>
        <v/>
      </c>
      <c r="G1524" s="39" t="n"/>
      <c r="H1524" s="39" t="n"/>
      <c r="I1524" s="39">
        <f>IF(G1524="","",G1524+N(H1524))</f>
        <v/>
      </c>
      <c r="J1524" s="38" t="n"/>
      <c r="K1524" s="41" t="n"/>
      <c r="L1524" s="38" t="n"/>
      <c r="M1524">
        <f>IF($A1524=Ficha!$B$3,COUNTIF($A$5:$A1524,Ficha!$B$3),"")</f>
        <v/>
      </c>
    </row>
    <row r="1525">
      <c r="A1525" s="36" t="n"/>
      <c r="B1525" s="40">
        <f>IF(A1525="","",IFERROR(INDEX(Maniobras!$B$5:$B$504,MATCH(A1525,Maniobras!$A$5:$A$504,0)),""))</f>
        <v/>
      </c>
      <c r="C1525" s="36">
        <f>IF(B1525="","",TEXT(B1525,"yyyy-mm"))</f>
        <v/>
      </c>
      <c r="D1525" s="36">
        <f>IF(A1525="","",IFERROR(INDEX(Maniobras!$D$5:$D$504,MATCH(A1525,Maniobras!$A$5:$A$504,0)),""))</f>
        <v/>
      </c>
      <c r="E1525" s="36" t="n"/>
      <c r="F1525" s="37">
        <f>IF(A1525="","",IFERROR(INDEX(Maniobras!$K$5:$K$504,MATCH(A1525,Maniobras!$A$5:$A$504,0)),""))</f>
        <v/>
      </c>
      <c r="G1525" s="37" t="n"/>
      <c r="H1525" s="37" t="n"/>
      <c r="I1525" s="37">
        <f>IF(G1525="","",G1525+N(H1525))</f>
        <v/>
      </c>
      <c r="J1525" s="36" t="n"/>
      <c r="K1525" s="40" t="n"/>
      <c r="L1525" s="36" t="n"/>
      <c r="M1525">
        <f>IF($A1525=Ficha!$B$3,COUNTIF($A$5:$A1525,Ficha!$B$3),"")</f>
        <v/>
      </c>
    </row>
    <row r="1526">
      <c r="A1526" s="38" t="n"/>
      <c r="B1526" s="41">
        <f>IF(A1526="","",IFERROR(INDEX(Maniobras!$B$5:$B$504,MATCH(A1526,Maniobras!$A$5:$A$504,0)),""))</f>
        <v/>
      </c>
      <c r="C1526" s="38">
        <f>IF(B1526="","",TEXT(B1526,"yyyy-mm"))</f>
        <v/>
      </c>
      <c r="D1526" s="38">
        <f>IF(A1526="","",IFERROR(INDEX(Maniobras!$D$5:$D$504,MATCH(A1526,Maniobras!$A$5:$A$504,0)),""))</f>
        <v/>
      </c>
      <c r="E1526" s="38" t="n"/>
      <c r="F1526" s="39">
        <f>IF(A1526="","",IFERROR(INDEX(Maniobras!$K$5:$K$504,MATCH(A1526,Maniobras!$A$5:$A$504,0)),""))</f>
        <v/>
      </c>
      <c r="G1526" s="39" t="n"/>
      <c r="H1526" s="39" t="n"/>
      <c r="I1526" s="39">
        <f>IF(G1526="","",G1526+N(H1526))</f>
        <v/>
      </c>
      <c r="J1526" s="38" t="n"/>
      <c r="K1526" s="41" t="n"/>
      <c r="L1526" s="38" t="n"/>
      <c r="M1526">
        <f>IF($A1526=Ficha!$B$3,COUNTIF($A$5:$A1526,Ficha!$B$3),"")</f>
        <v/>
      </c>
    </row>
    <row r="1527">
      <c r="A1527" s="36" t="n"/>
      <c r="B1527" s="40">
        <f>IF(A1527="","",IFERROR(INDEX(Maniobras!$B$5:$B$504,MATCH(A1527,Maniobras!$A$5:$A$504,0)),""))</f>
        <v/>
      </c>
      <c r="C1527" s="36">
        <f>IF(B1527="","",TEXT(B1527,"yyyy-mm"))</f>
        <v/>
      </c>
      <c r="D1527" s="36">
        <f>IF(A1527="","",IFERROR(INDEX(Maniobras!$D$5:$D$504,MATCH(A1527,Maniobras!$A$5:$A$504,0)),""))</f>
        <v/>
      </c>
      <c r="E1527" s="36" t="n"/>
      <c r="F1527" s="37">
        <f>IF(A1527="","",IFERROR(INDEX(Maniobras!$K$5:$K$504,MATCH(A1527,Maniobras!$A$5:$A$504,0)),""))</f>
        <v/>
      </c>
      <c r="G1527" s="37" t="n"/>
      <c r="H1527" s="37" t="n"/>
      <c r="I1527" s="37">
        <f>IF(G1527="","",G1527+N(H1527))</f>
        <v/>
      </c>
      <c r="J1527" s="36" t="n"/>
      <c r="K1527" s="40" t="n"/>
      <c r="L1527" s="36" t="n"/>
      <c r="M1527">
        <f>IF($A1527=Ficha!$B$3,COUNTIF($A$5:$A1527,Ficha!$B$3),"")</f>
        <v/>
      </c>
    </row>
    <row r="1528">
      <c r="A1528" s="38" t="n"/>
      <c r="B1528" s="41">
        <f>IF(A1528="","",IFERROR(INDEX(Maniobras!$B$5:$B$504,MATCH(A1528,Maniobras!$A$5:$A$504,0)),""))</f>
        <v/>
      </c>
      <c r="C1528" s="38">
        <f>IF(B1528="","",TEXT(B1528,"yyyy-mm"))</f>
        <v/>
      </c>
      <c r="D1528" s="38">
        <f>IF(A1528="","",IFERROR(INDEX(Maniobras!$D$5:$D$504,MATCH(A1528,Maniobras!$A$5:$A$504,0)),""))</f>
        <v/>
      </c>
      <c r="E1528" s="38" t="n"/>
      <c r="F1528" s="39">
        <f>IF(A1528="","",IFERROR(INDEX(Maniobras!$K$5:$K$504,MATCH(A1528,Maniobras!$A$5:$A$504,0)),""))</f>
        <v/>
      </c>
      <c r="G1528" s="39" t="n"/>
      <c r="H1528" s="39" t="n"/>
      <c r="I1528" s="39">
        <f>IF(G1528="","",G1528+N(H1528))</f>
        <v/>
      </c>
      <c r="J1528" s="38" t="n"/>
      <c r="K1528" s="41" t="n"/>
      <c r="L1528" s="38" t="n"/>
      <c r="M1528">
        <f>IF($A1528=Ficha!$B$3,COUNTIF($A$5:$A1528,Ficha!$B$3),"")</f>
        <v/>
      </c>
    </row>
    <row r="1529">
      <c r="A1529" s="36" t="n"/>
      <c r="B1529" s="40">
        <f>IF(A1529="","",IFERROR(INDEX(Maniobras!$B$5:$B$504,MATCH(A1529,Maniobras!$A$5:$A$504,0)),""))</f>
        <v/>
      </c>
      <c r="C1529" s="36">
        <f>IF(B1529="","",TEXT(B1529,"yyyy-mm"))</f>
        <v/>
      </c>
      <c r="D1529" s="36">
        <f>IF(A1529="","",IFERROR(INDEX(Maniobras!$D$5:$D$504,MATCH(A1529,Maniobras!$A$5:$A$504,0)),""))</f>
        <v/>
      </c>
      <c r="E1529" s="36" t="n"/>
      <c r="F1529" s="37">
        <f>IF(A1529="","",IFERROR(INDEX(Maniobras!$K$5:$K$504,MATCH(A1529,Maniobras!$A$5:$A$504,0)),""))</f>
        <v/>
      </c>
      <c r="G1529" s="37" t="n"/>
      <c r="H1529" s="37" t="n"/>
      <c r="I1529" s="37">
        <f>IF(G1529="","",G1529+N(H1529))</f>
        <v/>
      </c>
      <c r="J1529" s="36" t="n"/>
      <c r="K1529" s="40" t="n"/>
      <c r="L1529" s="36" t="n"/>
      <c r="M1529">
        <f>IF($A1529=Ficha!$B$3,COUNTIF($A$5:$A1529,Ficha!$B$3),"")</f>
        <v/>
      </c>
    </row>
    <row r="1530">
      <c r="A1530" s="38" t="n"/>
      <c r="B1530" s="41">
        <f>IF(A1530="","",IFERROR(INDEX(Maniobras!$B$5:$B$504,MATCH(A1530,Maniobras!$A$5:$A$504,0)),""))</f>
        <v/>
      </c>
      <c r="C1530" s="38">
        <f>IF(B1530="","",TEXT(B1530,"yyyy-mm"))</f>
        <v/>
      </c>
      <c r="D1530" s="38">
        <f>IF(A1530="","",IFERROR(INDEX(Maniobras!$D$5:$D$504,MATCH(A1530,Maniobras!$A$5:$A$504,0)),""))</f>
        <v/>
      </c>
      <c r="E1530" s="38" t="n"/>
      <c r="F1530" s="39">
        <f>IF(A1530="","",IFERROR(INDEX(Maniobras!$K$5:$K$504,MATCH(A1530,Maniobras!$A$5:$A$504,0)),""))</f>
        <v/>
      </c>
      <c r="G1530" s="39" t="n"/>
      <c r="H1530" s="39" t="n"/>
      <c r="I1530" s="39">
        <f>IF(G1530="","",G1530+N(H1530))</f>
        <v/>
      </c>
      <c r="J1530" s="38" t="n"/>
      <c r="K1530" s="41" t="n"/>
      <c r="L1530" s="38" t="n"/>
      <c r="M1530">
        <f>IF($A1530=Ficha!$B$3,COUNTIF($A$5:$A1530,Ficha!$B$3),"")</f>
        <v/>
      </c>
    </row>
    <row r="1531">
      <c r="A1531" s="36" t="n"/>
      <c r="B1531" s="40">
        <f>IF(A1531="","",IFERROR(INDEX(Maniobras!$B$5:$B$504,MATCH(A1531,Maniobras!$A$5:$A$504,0)),""))</f>
        <v/>
      </c>
      <c r="C1531" s="36">
        <f>IF(B1531="","",TEXT(B1531,"yyyy-mm"))</f>
        <v/>
      </c>
      <c r="D1531" s="36">
        <f>IF(A1531="","",IFERROR(INDEX(Maniobras!$D$5:$D$504,MATCH(A1531,Maniobras!$A$5:$A$504,0)),""))</f>
        <v/>
      </c>
      <c r="E1531" s="36" t="n"/>
      <c r="F1531" s="37">
        <f>IF(A1531="","",IFERROR(INDEX(Maniobras!$K$5:$K$504,MATCH(A1531,Maniobras!$A$5:$A$504,0)),""))</f>
        <v/>
      </c>
      <c r="G1531" s="37" t="n"/>
      <c r="H1531" s="37" t="n"/>
      <c r="I1531" s="37">
        <f>IF(G1531="","",G1531+N(H1531))</f>
        <v/>
      </c>
      <c r="J1531" s="36" t="n"/>
      <c r="K1531" s="40" t="n"/>
      <c r="L1531" s="36" t="n"/>
      <c r="M1531">
        <f>IF($A1531=Ficha!$B$3,COUNTIF($A$5:$A1531,Ficha!$B$3),"")</f>
        <v/>
      </c>
    </row>
    <row r="1532">
      <c r="A1532" s="38" t="n"/>
      <c r="B1532" s="41">
        <f>IF(A1532="","",IFERROR(INDEX(Maniobras!$B$5:$B$504,MATCH(A1532,Maniobras!$A$5:$A$504,0)),""))</f>
        <v/>
      </c>
      <c r="C1532" s="38">
        <f>IF(B1532="","",TEXT(B1532,"yyyy-mm"))</f>
        <v/>
      </c>
      <c r="D1532" s="38">
        <f>IF(A1532="","",IFERROR(INDEX(Maniobras!$D$5:$D$504,MATCH(A1532,Maniobras!$A$5:$A$504,0)),""))</f>
        <v/>
      </c>
      <c r="E1532" s="38" t="n"/>
      <c r="F1532" s="39">
        <f>IF(A1532="","",IFERROR(INDEX(Maniobras!$K$5:$K$504,MATCH(A1532,Maniobras!$A$5:$A$504,0)),""))</f>
        <v/>
      </c>
      <c r="G1532" s="39" t="n"/>
      <c r="H1532" s="39" t="n"/>
      <c r="I1532" s="39">
        <f>IF(G1532="","",G1532+N(H1532))</f>
        <v/>
      </c>
      <c r="J1532" s="38" t="n"/>
      <c r="K1532" s="41" t="n"/>
      <c r="L1532" s="38" t="n"/>
      <c r="M1532">
        <f>IF($A1532=Ficha!$B$3,COUNTIF($A$5:$A1532,Ficha!$B$3),"")</f>
        <v/>
      </c>
    </row>
    <row r="1533">
      <c r="A1533" s="36" t="n"/>
      <c r="B1533" s="40">
        <f>IF(A1533="","",IFERROR(INDEX(Maniobras!$B$5:$B$504,MATCH(A1533,Maniobras!$A$5:$A$504,0)),""))</f>
        <v/>
      </c>
      <c r="C1533" s="36">
        <f>IF(B1533="","",TEXT(B1533,"yyyy-mm"))</f>
        <v/>
      </c>
      <c r="D1533" s="36">
        <f>IF(A1533="","",IFERROR(INDEX(Maniobras!$D$5:$D$504,MATCH(A1533,Maniobras!$A$5:$A$504,0)),""))</f>
        <v/>
      </c>
      <c r="E1533" s="36" t="n"/>
      <c r="F1533" s="37">
        <f>IF(A1533="","",IFERROR(INDEX(Maniobras!$K$5:$K$504,MATCH(A1533,Maniobras!$A$5:$A$504,0)),""))</f>
        <v/>
      </c>
      <c r="G1533" s="37" t="n"/>
      <c r="H1533" s="37" t="n"/>
      <c r="I1533" s="37">
        <f>IF(G1533="","",G1533+N(H1533))</f>
        <v/>
      </c>
      <c r="J1533" s="36" t="n"/>
      <c r="K1533" s="40" t="n"/>
      <c r="L1533" s="36" t="n"/>
      <c r="M1533">
        <f>IF($A1533=Ficha!$B$3,COUNTIF($A$5:$A1533,Ficha!$B$3),"")</f>
        <v/>
      </c>
    </row>
    <row r="1534">
      <c r="A1534" s="38" t="n"/>
      <c r="B1534" s="41">
        <f>IF(A1534="","",IFERROR(INDEX(Maniobras!$B$5:$B$504,MATCH(A1534,Maniobras!$A$5:$A$504,0)),""))</f>
        <v/>
      </c>
      <c r="C1534" s="38">
        <f>IF(B1534="","",TEXT(B1534,"yyyy-mm"))</f>
        <v/>
      </c>
      <c r="D1534" s="38">
        <f>IF(A1534="","",IFERROR(INDEX(Maniobras!$D$5:$D$504,MATCH(A1534,Maniobras!$A$5:$A$504,0)),""))</f>
        <v/>
      </c>
      <c r="E1534" s="38" t="n"/>
      <c r="F1534" s="39">
        <f>IF(A1534="","",IFERROR(INDEX(Maniobras!$K$5:$K$504,MATCH(A1534,Maniobras!$A$5:$A$504,0)),""))</f>
        <v/>
      </c>
      <c r="G1534" s="39" t="n"/>
      <c r="H1534" s="39" t="n"/>
      <c r="I1534" s="39">
        <f>IF(G1534="","",G1534+N(H1534))</f>
        <v/>
      </c>
      <c r="J1534" s="38" t="n"/>
      <c r="K1534" s="41" t="n"/>
      <c r="L1534" s="38" t="n"/>
      <c r="M1534">
        <f>IF($A1534=Ficha!$B$3,COUNTIF($A$5:$A1534,Ficha!$B$3),"")</f>
        <v/>
      </c>
    </row>
    <row r="1535">
      <c r="A1535" s="36" t="n"/>
      <c r="B1535" s="40">
        <f>IF(A1535="","",IFERROR(INDEX(Maniobras!$B$5:$B$504,MATCH(A1535,Maniobras!$A$5:$A$504,0)),""))</f>
        <v/>
      </c>
      <c r="C1535" s="36">
        <f>IF(B1535="","",TEXT(B1535,"yyyy-mm"))</f>
        <v/>
      </c>
      <c r="D1535" s="36">
        <f>IF(A1535="","",IFERROR(INDEX(Maniobras!$D$5:$D$504,MATCH(A1535,Maniobras!$A$5:$A$504,0)),""))</f>
        <v/>
      </c>
      <c r="E1535" s="36" t="n"/>
      <c r="F1535" s="37">
        <f>IF(A1535="","",IFERROR(INDEX(Maniobras!$K$5:$K$504,MATCH(A1535,Maniobras!$A$5:$A$504,0)),""))</f>
        <v/>
      </c>
      <c r="G1535" s="37" t="n"/>
      <c r="H1535" s="37" t="n"/>
      <c r="I1535" s="37">
        <f>IF(G1535="","",G1535+N(H1535))</f>
        <v/>
      </c>
      <c r="J1535" s="36" t="n"/>
      <c r="K1535" s="40" t="n"/>
      <c r="L1535" s="36" t="n"/>
      <c r="M1535">
        <f>IF($A1535=Ficha!$B$3,COUNTIF($A$5:$A1535,Ficha!$B$3),"")</f>
        <v/>
      </c>
    </row>
    <row r="1536">
      <c r="A1536" s="38" t="n"/>
      <c r="B1536" s="41">
        <f>IF(A1536="","",IFERROR(INDEX(Maniobras!$B$5:$B$504,MATCH(A1536,Maniobras!$A$5:$A$504,0)),""))</f>
        <v/>
      </c>
      <c r="C1536" s="38">
        <f>IF(B1536="","",TEXT(B1536,"yyyy-mm"))</f>
        <v/>
      </c>
      <c r="D1536" s="38">
        <f>IF(A1536="","",IFERROR(INDEX(Maniobras!$D$5:$D$504,MATCH(A1536,Maniobras!$A$5:$A$504,0)),""))</f>
        <v/>
      </c>
      <c r="E1536" s="38" t="n"/>
      <c r="F1536" s="39">
        <f>IF(A1536="","",IFERROR(INDEX(Maniobras!$K$5:$K$504,MATCH(A1536,Maniobras!$A$5:$A$504,0)),""))</f>
        <v/>
      </c>
      <c r="G1536" s="39" t="n"/>
      <c r="H1536" s="39" t="n"/>
      <c r="I1536" s="39">
        <f>IF(G1536="","",G1536+N(H1536))</f>
        <v/>
      </c>
      <c r="J1536" s="38" t="n"/>
      <c r="K1536" s="41" t="n"/>
      <c r="L1536" s="38" t="n"/>
      <c r="M1536">
        <f>IF($A1536=Ficha!$B$3,COUNTIF($A$5:$A1536,Ficha!$B$3),"")</f>
        <v/>
      </c>
    </row>
    <row r="1537">
      <c r="A1537" s="36" t="n"/>
      <c r="B1537" s="40">
        <f>IF(A1537="","",IFERROR(INDEX(Maniobras!$B$5:$B$504,MATCH(A1537,Maniobras!$A$5:$A$504,0)),""))</f>
        <v/>
      </c>
      <c r="C1537" s="36">
        <f>IF(B1537="","",TEXT(B1537,"yyyy-mm"))</f>
        <v/>
      </c>
      <c r="D1537" s="36">
        <f>IF(A1537="","",IFERROR(INDEX(Maniobras!$D$5:$D$504,MATCH(A1537,Maniobras!$A$5:$A$504,0)),""))</f>
        <v/>
      </c>
      <c r="E1537" s="36" t="n"/>
      <c r="F1537" s="37">
        <f>IF(A1537="","",IFERROR(INDEX(Maniobras!$K$5:$K$504,MATCH(A1537,Maniobras!$A$5:$A$504,0)),""))</f>
        <v/>
      </c>
      <c r="G1537" s="37" t="n"/>
      <c r="H1537" s="37" t="n"/>
      <c r="I1537" s="37">
        <f>IF(G1537="","",G1537+N(H1537))</f>
        <v/>
      </c>
      <c r="J1537" s="36" t="n"/>
      <c r="K1537" s="40" t="n"/>
      <c r="L1537" s="36" t="n"/>
      <c r="M1537">
        <f>IF($A1537=Ficha!$B$3,COUNTIF($A$5:$A1537,Ficha!$B$3),"")</f>
        <v/>
      </c>
    </row>
    <row r="1538">
      <c r="A1538" s="38" t="n"/>
      <c r="B1538" s="41">
        <f>IF(A1538="","",IFERROR(INDEX(Maniobras!$B$5:$B$504,MATCH(A1538,Maniobras!$A$5:$A$504,0)),""))</f>
        <v/>
      </c>
      <c r="C1538" s="38">
        <f>IF(B1538="","",TEXT(B1538,"yyyy-mm"))</f>
        <v/>
      </c>
      <c r="D1538" s="38">
        <f>IF(A1538="","",IFERROR(INDEX(Maniobras!$D$5:$D$504,MATCH(A1538,Maniobras!$A$5:$A$504,0)),""))</f>
        <v/>
      </c>
      <c r="E1538" s="38" t="n"/>
      <c r="F1538" s="39">
        <f>IF(A1538="","",IFERROR(INDEX(Maniobras!$K$5:$K$504,MATCH(A1538,Maniobras!$A$5:$A$504,0)),""))</f>
        <v/>
      </c>
      <c r="G1538" s="39" t="n"/>
      <c r="H1538" s="39" t="n"/>
      <c r="I1538" s="39">
        <f>IF(G1538="","",G1538+N(H1538))</f>
        <v/>
      </c>
      <c r="J1538" s="38" t="n"/>
      <c r="K1538" s="41" t="n"/>
      <c r="L1538" s="38" t="n"/>
      <c r="M1538">
        <f>IF($A1538=Ficha!$B$3,COUNTIF($A$5:$A1538,Ficha!$B$3),"")</f>
        <v/>
      </c>
    </row>
    <row r="1539">
      <c r="A1539" s="36" t="n"/>
      <c r="B1539" s="40">
        <f>IF(A1539="","",IFERROR(INDEX(Maniobras!$B$5:$B$504,MATCH(A1539,Maniobras!$A$5:$A$504,0)),""))</f>
        <v/>
      </c>
      <c r="C1539" s="36">
        <f>IF(B1539="","",TEXT(B1539,"yyyy-mm"))</f>
        <v/>
      </c>
      <c r="D1539" s="36">
        <f>IF(A1539="","",IFERROR(INDEX(Maniobras!$D$5:$D$504,MATCH(A1539,Maniobras!$A$5:$A$504,0)),""))</f>
        <v/>
      </c>
      <c r="E1539" s="36" t="n"/>
      <c r="F1539" s="37">
        <f>IF(A1539="","",IFERROR(INDEX(Maniobras!$K$5:$K$504,MATCH(A1539,Maniobras!$A$5:$A$504,0)),""))</f>
        <v/>
      </c>
      <c r="G1539" s="37" t="n"/>
      <c r="H1539" s="37" t="n"/>
      <c r="I1539" s="37">
        <f>IF(G1539="","",G1539+N(H1539))</f>
        <v/>
      </c>
      <c r="J1539" s="36" t="n"/>
      <c r="K1539" s="40" t="n"/>
      <c r="L1539" s="36" t="n"/>
      <c r="M1539">
        <f>IF($A1539=Ficha!$B$3,COUNTIF($A$5:$A1539,Ficha!$B$3),"")</f>
        <v/>
      </c>
    </row>
    <row r="1540">
      <c r="A1540" s="38" t="n"/>
      <c r="B1540" s="41">
        <f>IF(A1540="","",IFERROR(INDEX(Maniobras!$B$5:$B$504,MATCH(A1540,Maniobras!$A$5:$A$504,0)),""))</f>
        <v/>
      </c>
      <c r="C1540" s="38">
        <f>IF(B1540="","",TEXT(B1540,"yyyy-mm"))</f>
        <v/>
      </c>
      <c r="D1540" s="38">
        <f>IF(A1540="","",IFERROR(INDEX(Maniobras!$D$5:$D$504,MATCH(A1540,Maniobras!$A$5:$A$504,0)),""))</f>
        <v/>
      </c>
      <c r="E1540" s="38" t="n"/>
      <c r="F1540" s="39">
        <f>IF(A1540="","",IFERROR(INDEX(Maniobras!$K$5:$K$504,MATCH(A1540,Maniobras!$A$5:$A$504,0)),""))</f>
        <v/>
      </c>
      <c r="G1540" s="39" t="n"/>
      <c r="H1540" s="39" t="n"/>
      <c r="I1540" s="39">
        <f>IF(G1540="","",G1540+N(H1540))</f>
        <v/>
      </c>
      <c r="J1540" s="38" t="n"/>
      <c r="K1540" s="41" t="n"/>
      <c r="L1540" s="38" t="n"/>
      <c r="M1540">
        <f>IF($A1540=Ficha!$B$3,COUNTIF($A$5:$A1540,Ficha!$B$3),"")</f>
        <v/>
      </c>
    </row>
    <row r="1541">
      <c r="A1541" s="36" t="n"/>
      <c r="B1541" s="40">
        <f>IF(A1541="","",IFERROR(INDEX(Maniobras!$B$5:$B$504,MATCH(A1541,Maniobras!$A$5:$A$504,0)),""))</f>
        <v/>
      </c>
      <c r="C1541" s="36">
        <f>IF(B1541="","",TEXT(B1541,"yyyy-mm"))</f>
        <v/>
      </c>
      <c r="D1541" s="36">
        <f>IF(A1541="","",IFERROR(INDEX(Maniobras!$D$5:$D$504,MATCH(A1541,Maniobras!$A$5:$A$504,0)),""))</f>
        <v/>
      </c>
      <c r="E1541" s="36" t="n"/>
      <c r="F1541" s="37">
        <f>IF(A1541="","",IFERROR(INDEX(Maniobras!$K$5:$K$504,MATCH(A1541,Maniobras!$A$5:$A$504,0)),""))</f>
        <v/>
      </c>
      <c r="G1541" s="37" t="n"/>
      <c r="H1541" s="37" t="n"/>
      <c r="I1541" s="37">
        <f>IF(G1541="","",G1541+N(H1541))</f>
        <v/>
      </c>
      <c r="J1541" s="36" t="n"/>
      <c r="K1541" s="40" t="n"/>
      <c r="L1541" s="36" t="n"/>
      <c r="M1541">
        <f>IF($A1541=Ficha!$B$3,COUNTIF($A$5:$A1541,Ficha!$B$3),"")</f>
        <v/>
      </c>
    </row>
    <row r="1542">
      <c r="A1542" s="38" t="n"/>
      <c r="B1542" s="41">
        <f>IF(A1542="","",IFERROR(INDEX(Maniobras!$B$5:$B$504,MATCH(A1542,Maniobras!$A$5:$A$504,0)),""))</f>
        <v/>
      </c>
      <c r="C1542" s="38">
        <f>IF(B1542="","",TEXT(B1542,"yyyy-mm"))</f>
        <v/>
      </c>
      <c r="D1542" s="38">
        <f>IF(A1542="","",IFERROR(INDEX(Maniobras!$D$5:$D$504,MATCH(A1542,Maniobras!$A$5:$A$504,0)),""))</f>
        <v/>
      </c>
      <c r="E1542" s="38" t="n"/>
      <c r="F1542" s="39">
        <f>IF(A1542="","",IFERROR(INDEX(Maniobras!$K$5:$K$504,MATCH(A1542,Maniobras!$A$5:$A$504,0)),""))</f>
        <v/>
      </c>
      <c r="G1542" s="39" t="n"/>
      <c r="H1542" s="39" t="n"/>
      <c r="I1542" s="39">
        <f>IF(G1542="","",G1542+N(H1542))</f>
        <v/>
      </c>
      <c r="J1542" s="38" t="n"/>
      <c r="K1542" s="41" t="n"/>
      <c r="L1542" s="38" t="n"/>
      <c r="M1542">
        <f>IF($A1542=Ficha!$B$3,COUNTIF($A$5:$A1542,Ficha!$B$3),"")</f>
        <v/>
      </c>
    </row>
    <row r="1543">
      <c r="A1543" s="36" t="n"/>
      <c r="B1543" s="40">
        <f>IF(A1543="","",IFERROR(INDEX(Maniobras!$B$5:$B$504,MATCH(A1543,Maniobras!$A$5:$A$504,0)),""))</f>
        <v/>
      </c>
      <c r="C1543" s="36">
        <f>IF(B1543="","",TEXT(B1543,"yyyy-mm"))</f>
        <v/>
      </c>
      <c r="D1543" s="36">
        <f>IF(A1543="","",IFERROR(INDEX(Maniobras!$D$5:$D$504,MATCH(A1543,Maniobras!$A$5:$A$504,0)),""))</f>
        <v/>
      </c>
      <c r="E1543" s="36" t="n"/>
      <c r="F1543" s="37">
        <f>IF(A1543="","",IFERROR(INDEX(Maniobras!$K$5:$K$504,MATCH(A1543,Maniobras!$A$5:$A$504,0)),""))</f>
        <v/>
      </c>
      <c r="G1543" s="37" t="n"/>
      <c r="H1543" s="37" t="n"/>
      <c r="I1543" s="37">
        <f>IF(G1543="","",G1543+N(H1543))</f>
        <v/>
      </c>
      <c r="J1543" s="36" t="n"/>
      <c r="K1543" s="40" t="n"/>
      <c r="L1543" s="36" t="n"/>
      <c r="M1543">
        <f>IF($A1543=Ficha!$B$3,COUNTIF($A$5:$A1543,Ficha!$B$3),"")</f>
        <v/>
      </c>
    </row>
    <row r="1544">
      <c r="A1544" s="38" t="n"/>
      <c r="B1544" s="41">
        <f>IF(A1544="","",IFERROR(INDEX(Maniobras!$B$5:$B$504,MATCH(A1544,Maniobras!$A$5:$A$504,0)),""))</f>
        <v/>
      </c>
      <c r="C1544" s="38">
        <f>IF(B1544="","",TEXT(B1544,"yyyy-mm"))</f>
        <v/>
      </c>
      <c r="D1544" s="38">
        <f>IF(A1544="","",IFERROR(INDEX(Maniobras!$D$5:$D$504,MATCH(A1544,Maniobras!$A$5:$A$504,0)),""))</f>
        <v/>
      </c>
      <c r="E1544" s="38" t="n"/>
      <c r="F1544" s="39">
        <f>IF(A1544="","",IFERROR(INDEX(Maniobras!$K$5:$K$504,MATCH(A1544,Maniobras!$A$5:$A$504,0)),""))</f>
        <v/>
      </c>
      <c r="G1544" s="39" t="n"/>
      <c r="H1544" s="39" t="n"/>
      <c r="I1544" s="39">
        <f>IF(G1544="","",G1544+N(H1544))</f>
        <v/>
      </c>
      <c r="J1544" s="38" t="n"/>
      <c r="K1544" s="41" t="n"/>
      <c r="L1544" s="38" t="n"/>
      <c r="M1544">
        <f>IF($A1544=Ficha!$B$3,COUNTIF($A$5:$A1544,Ficha!$B$3),"")</f>
        <v/>
      </c>
    </row>
    <row r="1545">
      <c r="A1545" s="36" t="n"/>
      <c r="B1545" s="40">
        <f>IF(A1545="","",IFERROR(INDEX(Maniobras!$B$5:$B$504,MATCH(A1545,Maniobras!$A$5:$A$504,0)),""))</f>
        <v/>
      </c>
      <c r="C1545" s="36">
        <f>IF(B1545="","",TEXT(B1545,"yyyy-mm"))</f>
        <v/>
      </c>
      <c r="D1545" s="36">
        <f>IF(A1545="","",IFERROR(INDEX(Maniobras!$D$5:$D$504,MATCH(A1545,Maniobras!$A$5:$A$504,0)),""))</f>
        <v/>
      </c>
      <c r="E1545" s="36" t="n"/>
      <c r="F1545" s="37">
        <f>IF(A1545="","",IFERROR(INDEX(Maniobras!$K$5:$K$504,MATCH(A1545,Maniobras!$A$5:$A$504,0)),""))</f>
        <v/>
      </c>
      <c r="G1545" s="37" t="n"/>
      <c r="H1545" s="37" t="n"/>
      <c r="I1545" s="37">
        <f>IF(G1545="","",G1545+N(H1545))</f>
        <v/>
      </c>
      <c r="J1545" s="36" t="n"/>
      <c r="K1545" s="40" t="n"/>
      <c r="L1545" s="36" t="n"/>
      <c r="M1545">
        <f>IF($A1545=Ficha!$B$3,COUNTIF($A$5:$A1545,Ficha!$B$3),"")</f>
        <v/>
      </c>
    </row>
    <row r="1546">
      <c r="A1546" s="38" t="n"/>
      <c r="B1546" s="41">
        <f>IF(A1546="","",IFERROR(INDEX(Maniobras!$B$5:$B$504,MATCH(A1546,Maniobras!$A$5:$A$504,0)),""))</f>
        <v/>
      </c>
      <c r="C1546" s="38">
        <f>IF(B1546="","",TEXT(B1546,"yyyy-mm"))</f>
        <v/>
      </c>
      <c r="D1546" s="38">
        <f>IF(A1546="","",IFERROR(INDEX(Maniobras!$D$5:$D$504,MATCH(A1546,Maniobras!$A$5:$A$504,0)),""))</f>
        <v/>
      </c>
      <c r="E1546" s="38" t="n"/>
      <c r="F1546" s="39">
        <f>IF(A1546="","",IFERROR(INDEX(Maniobras!$K$5:$K$504,MATCH(A1546,Maniobras!$A$5:$A$504,0)),""))</f>
        <v/>
      </c>
      <c r="G1546" s="39" t="n"/>
      <c r="H1546" s="39" t="n"/>
      <c r="I1546" s="39">
        <f>IF(G1546="","",G1546+N(H1546))</f>
        <v/>
      </c>
      <c r="J1546" s="38" t="n"/>
      <c r="K1546" s="41" t="n"/>
      <c r="L1546" s="38" t="n"/>
      <c r="M1546">
        <f>IF($A1546=Ficha!$B$3,COUNTIF($A$5:$A1546,Ficha!$B$3),"")</f>
        <v/>
      </c>
    </row>
    <row r="1547">
      <c r="A1547" s="36" t="n"/>
      <c r="B1547" s="40">
        <f>IF(A1547="","",IFERROR(INDEX(Maniobras!$B$5:$B$504,MATCH(A1547,Maniobras!$A$5:$A$504,0)),""))</f>
        <v/>
      </c>
      <c r="C1547" s="36">
        <f>IF(B1547="","",TEXT(B1547,"yyyy-mm"))</f>
        <v/>
      </c>
      <c r="D1547" s="36">
        <f>IF(A1547="","",IFERROR(INDEX(Maniobras!$D$5:$D$504,MATCH(A1547,Maniobras!$A$5:$A$504,0)),""))</f>
        <v/>
      </c>
      <c r="E1547" s="36" t="n"/>
      <c r="F1547" s="37">
        <f>IF(A1547="","",IFERROR(INDEX(Maniobras!$K$5:$K$504,MATCH(A1547,Maniobras!$A$5:$A$504,0)),""))</f>
        <v/>
      </c>
      <c r="G1547" s="37" t="n"/>
      <c r="H1547" s="37" t="n"/>
      <c r="I1547" s="37">
        <f>IF(G1547="","",G1547+N(H1547))</f>
        <v/>
      </c>
      <c r="J1547" s="36" t="n"/>
      <c r="K1547" s="40" t="n"/>
      <c r="L1547" s="36" t="n"/>
      <c r="M1547">
        <f>IF($A1547=Ficha!$B$3,COUNTIF($A$5:$A1547,Ficha!$B$3),"")</f>
        <v/>
      </c>
    </row>
    <row r="1548">
      <c r="A1548" s="38" t="n"/>
      <c r="B1548" s="41">
        <f>IF(A1548="","",IFERROR(INDEX(Maniobras!$B$5:$B$504,MATCH(A1548,Maniobras!$A$5:$A$504,0)),""))</f>
        <v/>
      </c>
      <c r="C1548" s="38">
        <f>IF(B1548="","",TEXT(B1548,"yyyy-mm"))</f>
        <v/>
      </c>
      <c r="D1548" s="38">
        <f>IF(A1548="","",IFERROR(INDEX(Maniobras!$D$5:$D$504,MATCH(A1548,Maniobras!$A$5:$A$504,0)),""))</f>
        <v/>
      </c>
      <c r="E1548" s="38" t="n"/>
      <c r="F1548" s="39">
        <f>IF(A1548="","",IFERROR(INDEX(Maniobras!$K$5:$K$504,MATCH(A1548,Maniobras!$A$5:$A$504,0)),""))</f>
        <v/>
      </c>
      <c r="G1548" s="39" t="n"/>
      <c r="H1548" s="39" t="n"/>
      <c r="I1548" s="39">
        <f>IF(G1548="","",G1548+N(H1548))</f>
        <v/>
      </c>
      <c r="J1548" s="38" t="n"/>
      <c r="K1548" s="41" t="n"/>
      <c r="L1548" s="38" t="n"/>
      <c r="M1548">
        <f>IF($A1548=Ficha!$B$3,COUNTIF($A$5:$A1548,Ficha!$B$3),"")</f>
        <v/>
      </c>
    </row>
    <row r="1549">
      <c r="A1549" s="36" t="n"/>
      <c r="B1549" s="40">
        <f>IF(A1549="","",IFERROR(INDEX(Maniobras!$B$5:$B$504,MATCH(A1549,Maniobras!$A$5:$A$504,0)),""))</f>
        <v/>
      </c>
      <c r="C1549" s="36">
        <f>IF(B1549="","",TEXT(B1549,"yyyy-mm"))</f>
        <v/>
      </c>
      <c r="D1549" s="36">
        <f>IF(A1549="","",IFERROR(INDEX(Maniobras!$D$5:$D$504,MATCH(A1549,Maniobras!$A$5:$A$504,0)),""))</f>
        <v/>
      </c>
      <c r="E1549" s="36" t="n"/>
      <c r="F1549" s="37">
        <f>IF(A1549="","",IFERROR(INDEX(Maniobras!$K$5:$K$504,MATCH(A1549,Maniobras!$A$5:$A$504,0)),""))</f>
        <v/>
      </c>
      <c r="G1549" s="37" t="n"/>
      <c r="H1549" s="37" t="n"/>
      <c r="I1549" s="37">
        <f>IF(G1549="","",G1549+N(H1549))</f>
        <v/>
      </c>
      <c r="J1549" s="36" t="n"/>
      <c r="K1549" s="40" t="n"/>
      <c r="L1549" s="36" t="n"/>
      <c r="M1549">
        <f>IF($A1549=Ficha!$B$3,COUNTIF($A$5:$A1549,Ficha!$B$3),"")</f>
        <v/>
      </c>
    </row>
    <row r="1550">
      <c r="A1550" s="38" t="n"/>
      <c r="B1550" s="41">
        <f>IF(A1550="","",IFERROR(INDEX(Maniobras!$B$5:$B$504,MATCH(A1550,Maniobras!$A$5:$A$504,0)),""))</f>
        <v/>
      </c>
      <c r="C1550" s="38">
        <f>IF(B1550="","",TEXT(B1550,"yyyy-mm"))</f>
        <v/>
      </c>
      <c r="D1550" s="38">
        <f>IF(A1550="","",IFERROR(INDEX(Maniobras!$D$5:$D$504,MATCH(A1550,Maniobras!$A$5:$A$504,0)),""))</f>
        <v/>
      </c>
      <c r="E1550" s="38" t="n"/>
      <c r="F1550" s="39">
        <f>IF(A1550="","",IFERROR(INDEX(Maniobras!$K$5:$K$504,MATCH(A1550,Maniobras!$A$5:$A$504,0)),""))</f>
        <v/>
      </c>
      <c r="G1550" s="39" t="n"/>
      <c r="H1550" s="39" t="n"/>
      <c r="I1550" s="39">
        <f>IF(G1550="","",G1550+N(H1550))</f>
        <v/>
      </c>
      <c r="J1550" s="38" t="n"/>
      <c r="K1550" s="41" t="n"/>
      <c r="L1550" s="38" t="n"/>
      <c r="M1550">
        <f>IF($A1550=Ficha!$B$3,COUNTIF($A$5:$A1550,Ficha!$B$3),"")</f>
        <v/>
      </c>
    </row>
    <row r="1551">
      <c r="A1551" s="36" t="n"/>
      <c r="B1551" s="40">
        <f>IF(A1551="","",IFERROR(INDEX(Maniobras!$B$5:$B$504,MATCH(A1551,Maniobras!$A$5:$A$504,0)),""))</f>
        <v/>
      </c>
      <c r="C1551" s="36">
        <f>IF(B1551="","",TEXT(B1551,"yyyy-mm"))</f>
        <v/>
      </c>
      <c r="D1551" s="36">
        <f>IF(A1551="","",IFERROR(INDEX(Maniobras!$D$5:$D$504,MATCH(A1551,Maniobras!$A$5:$A$504,0)),""))</f>
        <v/>
      </c>
      <c r="E1551" s="36" t="n"/>
      <c r="F1551" s="37">
        <f>IF(A1551="","",IFERROR(INDEX(Maniobras!$K$5:$K$504,MATCH(A1551,Maniobras!$A$5:$A$504,0)),""))</f>
        <v/>
      </c>
      <c r="G1551" s="37" t="n"/>
      <c r="H1551" s="37" t="n"/>
      <c r="I1551" s="37">
        <f>IF(G1551="","",G1551+N(H1551))</f>
        <v/>
      </c>
      <c r="J1551" s="36" t="n"/>
      <c r="K1551" s="40" t="n"/>
      <c r="L1551" s="36" t="n"/>
      <c r="M1551">
        <f>IF($A1551=Ficha!$B$3,COUNTIF($A$5:$A1551,Ficha!$B$3),"")</f>
        <v/>
      </c>
    </row>
    <row r="1552">
      <c r="A1552" s="38" t="n"/>
      <c r="B1552" s="41">
        <f>IF(A1552="","",IFERROR(INDEX(Maniobras!$B$5:$B$504,MATCH(A1552,Maniobras!$A$5:$A$504,0)),""))</f>
        <v/>
      </c>
      <c r="C1552" s="38">
        <f>IF(B1552="","",TEXT(B1552,"yyyy-mm"))</f>
        <v/>
      </c>
      <c r="D1552" s="38">
        <f>IF(A1552="","",IFERROR(INDEX(Maniobras!$D$5:$D$504,MATCH(A1552,Maniobras!$A$5:$A$504,0)),""))</f>
        <v/>
      </c>
      <c r="E1552" s="38" t="n"/>
      <c r="F1552" s="39">
        <f>IF(A1552="","",IFERROR(INDEX(Maniobras!$K$5:$K$504,MATCH(A1552,Maniobras!$A$5:$A$504,0)),""))</f>
        <v/>
      </c>
      <c r="G1552" s="39" t="n"/>
      <c r="H1552" s="39" t="n"/>
      <c r="I1552" s="39">
        <f>IF(G1552="","",G1552+N(H1552))</f>
        <v/>
      </c>
      <c r="J1552" s="38" t="n"/>
      <c r="K1552" s="41" t="n"/>
      <c r="L1552" s="38" t="n"/>
      <c r="M1552">
        <f>IF($A1552=Ficha!$B$3,COUNTIF($A$5:$A1552,Ficha!$B$3),"")</f>
        <v/>
      </c>
    </row>
    <row r="1553">
      <c r="A1553" s="36" t="n"/>
      <c r="B1553" s="40">
        <f>IF(A1553="","",IFERROR(INDEX(Maniobras!$B$5:$B$504,MATCH(A1553,Maniobras!$A$5:$A$504,0)),""))</f>
        <v/>
      </c>
      <c r="C1553" s="36">
        <f>IF(B1553="","",TEXT(B1553,"yyyy-mm"))</f>
        <v/>
      </c>
      <c r="D1553" s="36">
        <f>IF(A1553="","",IFERROR(INDEX(Maniobras!$D$5:$D$504,MATCH(A1553,Maniobras!$A$5:$A$504,0)),""))</f>
        <v/>
      </c>
      <c r="E1553" s="36" t="n"/>
      <c r="F1553" s="37">
        <f>IF(A1553="","",IFERROR(INDEX(Maniobras!$K$5:$K$504,MATCH(A1553,Maniobras!$A$5:$A$504,0)),""))</f>
        <v/>
      </c>
      <c r="G1553" s="37" t="n"/>
      <c r="H1553" s="37" t="n"/>
      <c r="I1553" s="37">
        <f>IF(G1553="","",G1553+N(H1553))</f>
        <v/>
      </c>
      <c r="J1553" s="36" t="n"/>
      <c r="K1553" s="40" t="n"/>
      <c r="L1553" s="36" t="n"/>
      <c r="M1553">
        <f>IF($A1553=Ficha!$B$3,COUNTIF($A$5:$A1553,Ficha!$B$3),"")</f>
        <v/>
      </c>
    </row>
    <row r="1554">
      <c r="A1554" s="38" t="n"/>
      <c r="B1554" s="41">
        <f>IF(A1554="","",IFERROR(INDEX(Maniobras!$B$5:$B$504,MATCH(A1554,Maniobras!$A$5:$A$504,0)),""))</f>
        <v/>
      </c>
      <c r="C1554" s="38">
        <f>IF(B1554="","",TEXT(B1554,"yyyy-mm"))</f>
        <v/>
      </c>
      <c r="D1554" s="38">
        <f>IF(A1554="","",IFERROR(INDEX(Maniobras!$D$5:$D$504,MATCH(A1554,Maniobras!$A$5:$A$504,0)),""))</f>
        <v/>
      </c>
      <c r="E1554" s="38" t="n"/>
      <c r="F1554" s="39">
        <f>IF(A1554="","",IFERROR(INDEX(Maniobras!$K$5:$K$504,MATCH(A1554,Maniobras!$A$5:$A$504,0)),""))</f>
        <v/>
      </c>
      <c r="G1554" s="39" t="n"/>
      <c r="H1554" s="39" t="n"/>
      <c r="I1554" s="39">
        <f>IF(G1554="","",G1554+N(H1554))</f>
        <v/>
      </c>
      <c r="J1554" s="38" t="n"/>
      <c r="K1554" s="41" t="n"/>
      <c r="L1554" s="38" t="n"/>
      <c r="M1554">
        <f>IF($A1554=Ficha!$B$3,COUNTIF($A$5:$A1554,Ficha!$B$3),"")</f>
        <v/>
      </c>
    </row>
    <row r="1555">
      <c r="A1555" s="36" t="n"/>
      <c r="B1555" s="40">
        <f>IF(A1555="","",IFERROR(INDEX(Maniobras!$B$5:$B$504,MATCH(A1555,Maniobras!$A$5:$A$504,0)),""))</f>
        <v/>
      </c>
      <c r="C1555" s="36">
        <f>IF(B1555="","",TEXT(B1555,"yyyy-mm"))</f>
        <v/>
      </c>
      <c r="D1555" s="36">
        <f>IF(A1555="","",IFERROR(INDEX(Maniobras!$D$5:$D$504,MATCH(A1555,Maniobras!$A$5:$A$504,0)),""))</f>
        <v/>
      </c>
      <c r="E1555" s="36" t="n"/>
      <c r="F1555" s="37">
        <f>IF(A1555="","",IFERROR(INDEX(Maniobras!$K$5:$K$504,MATCH(A1555,Maniobras!$A$5:$A$504,0)),""))</f>
        <v/>
      </c>
      <c r="G1555" s="37" t="n"/>
      <c r="H1555" s="37" t="n"/>
      <c r="I1555" s="37">
        <f>IF(G1555="","",G1555+N(H1555))</f>
        <v/>
      </c>
      <c r="J1555" s="36" t="n"/>
      <c r="K1555" s="40" t="n"/>
      <c r="L1555" s="36" t="n"/>
      <c r="M1555">
        <f>IF($A1555=Ficha!$B$3,COUNTIF($A$5:$A1555,Ficha!$B$3),"")</f>
        <v/>
      </c>
    </row>
    <row r="1556">
      <c r="A1556" s="38" t="n"/>
      <c r="B1556" s="41">
        <f>IF(A1556="","",IFERROR(INDEX(Maniobras!$B$5:$B$504,MATCH(A1556,Maniobras!$A$5:$A$504,0)),""))</f>
        <v/>
      </c>
      <c r="C1556" s="38">
        <f>IF(B1556="","",TEXT(B1556,"yyyy-mm"))</f>
        <v/>
      </c>
      <c r="D1556" s="38">
        <f>IF(A1556="","",IFERROR(INDEX(Maniobras!$D$5:$D$504,MATCH(A1556,Maniobras!$A$5:$A$504,0)),""))</f>
        <v/>
      </c>
      <c r="E1556" s="38" t="n"/>
      <c r="F1556" s="39">
        <f>IF(A1556="","",IFERROR(INDEX(Maniobras!$K$5:$K$504,MATCH(A1556,Maniobras!$A$5:$A$504,0)),""))</f>
        <v/>
      </c>
      <c r="G1556" s="39" t="n"/>
      <c r="H1556" s="39" t="n"/>
      <c r="I1556" s="39">
        <f>IF(G1556="","",G1556+N(H1556))</f>
        <v/>
      </c>
      <c r="J1556" s="38" t="n"/>
      <c r="K1556" s="41" t="n"/>
      <c r="L1556" s="38" t="n"/>
      <c r="M1556">
        <f>IF($A1556=Ficha!$B$3,COUNTIF($A$5:$A1556,Ficha!$B$3),"")</f>
        <v/>
      </c>
    </row>
    <row r="1557">
      <c r="A1557" s="36" t="n"/>
      <c r="B1557" s="40">
        <f>IF(A1557="","",IFERROR(INDEX(Maniobras!$B$5:$B$504,MATCH(A1557,Maniobras!$A$5:$A$504,0)),""))</f>
        <v/>
      </c>
      <c r="C1557" s="36">
        <f>IF(B1557="","",TEXT(B1557,"yyyy-mm"))</f>
        <v/>
      </c>
      <c r="D1557" s="36">
        <f>IF(A1557="","",IFERROR(INDEX(Maniobras!$D$5:$D$504,MATCH(A1557,Maniobras!$A$5:$A$504,0)),""))</f>
        <v/>
      </c>
      <c r="E1557" s="36" t="n"/>
      <c r="F1557" s="37">
        <f>IF(A1557="","",IFERROR(INDEX(Maniobras!$K$5:$K$504,MATCH(A1557,Maniobras!$A$5:$A$504,0)),""))</f>
        <v/>
      </c>
      <c r="G1557" s="37" t="n"/>
      <c r="H1557" s="37" t="n"/>
      <c r="I1557" s="37">
        <f>IF(G1557="","",G1557+N(H1557))</f>
        <v/>
      </c>
      <c r="J1557" s="36" t="n"/>
      <c r="K1557" s="40" t="n"/>
      <c r="L1557" s="36" t="n"/>
      <c r="M1557">
        <f>IF($A1557=Ficha!$B$3,COUNTIF($A$5:$A1557,Ficha!$B$3),"")</f>
        <v/>
      </c>
    </row>
    <row r="1558">
      <c r="A1558" s="38" t="n"/>
      <c r="B1558" s="41">
        <f>IF(A1558="","",IFERROR(INDEX(Maniobras!$B$5:$B$504,MATCH(A1558,Maniobras!$A$5:$A$504,0)),""))</f>
        <v/>
      </c>
      <c r="C1558" s="38">
        <f>IF(B1558="","",TEXT(B1558,"yyyy-mm"))</f>
        <v/>
      </c>
      <c r="D1558" s="38">
        <f>IF(A1558="","",IFERROR(INDEX(Maniobras!$D$5:$D$504,MATCH(A1558,Maniobras!$A$5:$A$504,0)),""))</f>
        <v/>
      </c>
      <c r="E1558" s="38" t="n"/>
      <c r="F1558" s="39">
        <f>IF(A1558="","",IFERROR(INDEX(Maniobras!$K$5:$K$504,MATCH(A1558,Maniobras!$A$5:$A$504,0)),""))</f>
        <v/>
      </c>
      <c r="G1558" s="39" t="n"/>
      <c r="H1558" s="39" t="n"/>
      <c r="I1558" s="39">
        <f>IF(G1558="","",G1558+N(H1558))</f>
        <v/>
      </c>
      <c r="J1558" s="38" t="n"/>
      <c r="K1558" s="41" t="n"/>
      <c r="L1558" s="38" t="n"/>
      <c r="M1558">
        <f>IF($A1558=Ficha!$B$3,COUNTIF($A$5:$A1558,Ficha!$B$3),"")</f>
        <v/>
      </c>
    </row>
    <row r="1559">
      <c r="A1559" s="36" t="n"/>
      <c r="B1559" s="40">
        <f>IF(A1559="","",IFERROR(INDEX(Maniobras!$B$5:$B$504,MATCH(A1559,Maniobras!$A$5:$A$504,0)),""))</f>
        <v/>
      </c>
      <c r="C1559" s="36">
        <f>IF(B1559="","",TEXT(B1559,"yyyy-mm"))</f>
        <v/>
      </c>
      <c r="D1559" s="36">
        <f>IF(A1559="","",IFERROR(INDEX(Maniobras!$D$5:$D$504,MATCH(A1559,Maniobras!$A$5:$A$504,0)),""))</f>
        <v/>
      </c>
      <c r="E1559" s="36" t="n"/>
      <c r="F1559" s="37">
        <f>IF(A1559="","",IFERROR(INDEX(Maniobras!$K$5:$K$504,MATCH(A1559,Maniobras!$A$5:$A$504,0)),""))</f>
        <v/>
      </c>
      <c r="G1559" s="37" t="n"/>
      <c r="H1559" s="37" t="n"/>
      <c r="I1559" s="37">
        <f>IF(G1559="","",G1559+N(H1559))</f>
        <v/>
      </c>
      <c r="J1559" s="36" t="n"/>
      <c r="K1559" s="40" t="n"/>
      <c r="L1559" s="36" t="n"/>
      <c r="M1559">
        <f>IF($A1559=Ficha!$B$3,COUNTIF($A$5:$A1559,Ficha!$B$3),"")</f>
        <v/>
      </c>
    </row>
    <row r="1560">
      <c r="A1560" s="38" t="n"/>
      <c r="B1560" s="41">
        <f>IF(A1560="","",IFERROR(INDEX(Maniobras!$B$5:$B$504,MATCH(A1560,Maniobras!$A$5:$A$504,0)),""))</f>
        <v/>
      </c>
      <c r="C1560" s="38">
        <f>IF(B1560="","",TEXT(B1560,"yyyy-mm"))</f>
        <v/>
      </c>
      <c r="D1560" s="38">
        <f>IF(A1560="","",IFERROR(INDEX(Maniobras!$D$5:$D$504,MATCH(A1560,Maniobras!$A$5:$A$504,0)),""))</f>
        <v/>
      </c>
      <c r="E1560" s="38" t="n"/>
      <c r="F1560" s="39">
        <f>IF(A1560="","",IFERROR(INDEX(Maniobras!$K$5:$K$504,MATCH(A1560,Maniobras!$A$5:$A$504,0)),""))</f>
        <v/>
      </c>
      <c r="G1560" s="39" t="n"/>
      <c r="H1560" s="39" t="n"/>
      <c r="I1560" s="39">
        <f>IF(G1560="","",G1560+N(H1560))</f>
        <v/>
      </c>
      <c r="J1560" s="38" t="n"/>
      <c r="K1560" s="41" t="n"/>
      <c r="L1560" s="38" t="n"/>
      <c r="M1560">
        <f>IF($A1560=Ficha!$B$3,COUNTIF($A$5:$A1560,Ficha!$B$3),"")</f>
        <v/>
      </c>
    </row>
    <row r="1561">
      <c r="A1561" s="36" t="n"/>
      <c r="B1561" s="40">
        <f>IF(A1561="","",IFERROR(INDEX(Maniobras!$B$5:$B$504,MATCH(A1561,Maniobras!$A$5:$A$504,0)),""))</f>
        <v/>
      </c>
      <c r="C1561" s="36">
        <f>IF(B1561="","",TEXT(B1561,"yyyy-mm"))</f>
        <v/>
      </c>
      <c r="D1561" s="36">
        <f>IF(A1561="","",IFERROR(INDEX(Maniobras!$D$5:$D$504,MATCH(A1561,Maniobras!$A$5:$A$504,0)),""))</f>
        <v/>
      </c>
      <c r="E1561" s="36" t="n"/>
      <c r="F1561" s="37">
        <f>IF(A1561="","",IFERROR(INDEX(Maniobras!$K$5:$K$504,MATCH(A1561,Maniobras!$A$5:$A$504,0)),""))</f>
        <v/>
      </c>
      <c r="G1561" s="37" t="n"/>
      <c r="H1561" s="37" t="n"/>
      <c r="I1561" s="37">
        <f>IF(G1561="","",G1561+N(H1561))</f>
        <v/>
      </c>
      <c r="J1561" s="36" t="n"/>
      <c r="K1561" s="40" t="n"/>
      <c r="L1561" s="36" t="n"/>
      <c r="M1561">
        <f>IF($A1561=Ficha!$B$3,COUNTIF($A$5:$A1561,Ficha!$B$3),"")</f>
        <v/>
      </c>
    </row>
    <row r="1562">
      <c r="A1562" s="38" t="n"/>
      <c r="B1562" s="41">
        <f>IF(A1562="","",IFERROR(INDEX(Maniobras!$B$5:$B$504,MATCH(A1562,Maniobras!$A$5:$A$504,0)),""))</f>
        <v/>
      </c>
      <c r="C1562" s="38">
        <f>IF(B1562="","",TEXT(B1562,"yyyy-mm"))</f>
        <v/>
      </c>
      <c r="D1562" s="38">
        <f>IF(A1562="","",IFERROR(INDEX(Maniobras!$D$5:$D$504,MATCH(A1562,Maniobras!$A$5:$A$504,0)),""))</f>
        <v/>
      </c>
      <c r="E1562" s="38" t="n"/>
      <c r="F1562" s="39">
        <f>IF(A1562="","",IFERROR(INDEX(Maniobras!$K$5:$K$504,MATCH(A1562,Maniobras!$A$5:$A$504,0)),""))</f>
        <v/>
      </c>
      <c r="G1562" s="39" t="n"/>
      <c r="H1562" s="39" t="n"/>
      <c r="I1562" s="39">
        <f>IF(G1562="","",G1562+N(H1562))</f>
        <v/>
      </c>
      <c r="J1562" s="38" t="n"/>
      <c r="K1562" s="41" t="n"/>
      <c r="L1562" s="38" t="n"/>
      <c r="M1562">
        <f>IF($A1562=Ficha!$B$3,COUNTIF($A$5:$A1562,Ficha!$B$3),"")</f>
        <v/>
      </c>
    </row>
    <row r="1563">
      <c r="A1563" s="36" t="n"/>
      <c r="B1563" s="40">
        <f>IF(A1563="","",IFERROR(INDEX(Maniobras!$B$5:$B$504,MATCH(A1563,Maniobras!$A$5:$A$504,0)),""))</f>
        <v/>
      </c>
      <c r="C1563" s="36">
        <f>IF(B1563="","",TEXT(B1563,"yyyy-mm"))</f>
        <v/>
      </c>
      <c r="D1563" s="36">
        <f>IF(A1563="","",IFERROR(INDEX(Maniobras!$D$5:$D$504,MATCH(A1563,Maniobras!$A$5:$A$504,0)),""))</f>
        <v/>
      </c>
      <c r="E1563" s="36" t="n"/>
      <c r="F1563" s="37">
        <f>IF(A1563="","",IFERROR(INDEX(Maniobras!$K$5:$K$504,MATCH(A1563,Maniobras!$A$5:$A$504,0)),""))</f>
        <v/>
      </c>
      <c r="G1563" s="37" t="n"/>
      <c r="H1563" s="37" t="n"/>
      <c r="I1563" s="37">
        <f>IF(G1563="","",G1563+N(H1563))</f>
        <v/>
      </c>
      <c r="J1563" s="36" t="n"/>
      <c r="K1563" s="40" t="n"/>
      <c r="L1563" s="36" t="n"/>
      <c r="M1563">
        <f>IF($A1563=Ficha!$B$3,COUNTIF($A$5:$A1563,Ficha!$B$3),"")</f>
        <v/>
      </c>
    </row>
    <row r="1564">
      <c r="A1564" s="38" t="n"/>
      <c r="B1564" s="41">
        <f>IF(A1564="","",IFERROR(INDEX(Maniobras!$B$5:$B$504,MATCH(A1564,Maniobras!$A$5:$A$504,0)),""))</f>
        <v/>
      </c>
      <c r="C1564" s="38">
        <f>IF(B1564="","",TEXT(B1564,"yyyy-mm"))</f>
        <v/>
      </c>
      <c r="D1564" s="38">
        <f>IF(A1564="","",IFERROR(INDEX(Maniobras!$D$5:$D$504,MATCH(A1564,Maniobras!$A$5:$A$504,0)),""))</f>
        <v/>
      </c>
      <c r="E1564" s="38" t="n"/>
      <c r="F1564" s="39">
        <f>IF(A1564="","",IFERROR(INDEX(Maniobras!$K$5:$K$504,MATCH(A1564,Maniobras!$A$5:$A$504,0)),""))</f>
        <v/>
      </c>
      <c r="G1564" s="39" t="n"/>
      <c r="H1564" s="39" t="n"/>
      <c r="I1564" s="39">
        <f>IF(G1564="","",G1564+N(H1564))</f>
        <v/>
      </c>
      <c r="J1564" s="38" t="n"/>
      <c r="K1564" s="41" t="n"/>
      <c r="L1564" s="38" t="n"/>
      <c r="M1564">
        <f>IF($A1564=Ficha!$B$3,COUNTIF($A$5:$A1564,Ficha!$B$3),"")</f>
        <v/>
      </c>
    </row>
    <row r="1565">
      <c r="A1565" s="36" t="n"/>
      <c r="B1565" s="40">
        <f>IF(A1565="","",IFERROR(INDEX(Maniobras!$B$5:$B$504,MATCH(A1565,Maniobras!$A$5:$A$504,0)),""))</f>
        <v/>
      </c>
      <c r="C1565" s="36">
        <f>IF(B1565="","",TEXT(B1565,"yyyy-mm"))</f>
        <v/>
      </c>
      <c r="D1565" s="36">
        <f>IF(A1565="","",IFERROR(INDEX(Maniobras!$D$5:$D$504,MATCH(A1565,Maniobras!$A$5:$A$504,0)),""))</f>
        <v/>
      </c>
      <c r="E1565" s="36" t="n"/>
      <c r="F1565" s="37">
        <f>IF(A1565="","",IFERROR(INDEX(Maniobras!$K$5:$K$504,MATCH(A1565,Maniobras!$A$5:$A$504,0)),""))</f>
        <v/>
      </c>
      <c r="G1565" s="37" t="n"/>
      <c r="H1565" s="37" t="n"/>
      <c r="I1565" s="37">
        <f>IF(G1565="","",G1565+N(H1565))</f>
        <v/>
      </c>
      <c r="J1565" s="36" t="n"/>
      <c r="K1565" s="40" t="n"/>
      <c r="L1565" s="36" t="n"/>
      <c r="M1565">
        <f>IF($A1565=Ficha!$B$3,COUNTIF($A$5:$A1565,Ficha!$B$3),"")</f>
        <v/>
      </c>
    </row>
    <row r="1566">
      <c r="A1566" s="38" t="n"/>
      <c r="B1566" s="41">
        <f>IF(A1566="","",IFERROR(INDEX(Maniobras!$B$5:$B$504,MATCH(A1566,Maniobras!$A$5:$A$504,0)),""))</f>
        <v/>
      </c>
      <c r="C1566" s="38">
        <f>IF(B1566="","",TEXT(B1566,"yyyy-mm"))</f>
        <v/>
      </c>
      <c r="D1566" s="38">
        <f>IF(A1566="","",IFERROR(INDEX(Maniobras!$D$5:$D$504,MATCH(A1566,Maniobras!$A$5:$A$504,0)),""))</f>
        <v/>
      </c>
      <c r="E1566" s="38" t="n"/>
      <c r="F1566" s="39">
        <f>IF(A1566="","",IFERROR(INDEX(Maniobras!$K$5:$K$504,MATCH(A1566,Maniobras!$A$5:$A$504,0)),""))</f>
        <v/>
      </c>
      <c r="G1566" s="39" t="n"/>
      <c r="H1566" s="39" t="n"/>
      <c r="I1566" s="39">
        <f>IF(G1566="","",G1566+N(H1566))</f>
        <v/>
      </c>
      <c r="J1566" s="38" t="n"/>
      <c r="K1566" s="41" t="n"/>
      <c r="L1566" s="38" t="n"/>
      <c r="M1566">
        <f>IF($A1566=Ficha!$B$3,COUNTIF($A$5:$A1566,Ficha!$B$3),"")</f>
        <v/>
      </c>
    </row>
    <row r="1567">
      <c r="A1567" s="36" t="n"/>
      <c r="B1567" s="40">
        <f>IF(A1567="","",IFERROR(INDEX(Maniobras!$B$5:$B$504,MATCH(A1567,Maniobras!$A$5:$A$504,0)),""))</f>
        <v/>
      </c>
      <c r="C1567" s="36">
        <f>IF(B1567="","",TEXT(B1567,"yyyy-mm"))</f>
        <v/>
      </c>
      <c r="D1567" s="36">
        <f>IF(A1567="","",IFERROR(INDEX(Maniobras!$D$5:$D$504,MATCH(A1567,Maniobras!$A$5:$A$504,0)),""))</f>
        <v/>
      </c>
      <c r="E1567" s="36" t="n"/>
      <c r="F1567" s="37">
        <f>IF(A1567="","",IFERROR(INDEX(Maniobras!$K$5:$K$504,MATCH(A1567,Maniobras!$A$5:$A$504,0)),""))</f>
        <v/>
      </c>
      <c r="G1567" s="37" t="n"/>
      <c r="H1567" s="37" t="n"/>
      <c r="I1567" s="37">
        <f>IF(G1567="","",G1567+N(H1567))</f>
        <v/>
      </c>
      <c r="J1567" s="36" t="n"/>
      <c r="K1567" s="40" t="n"/>
      <c r="L1567" s="36" t="n"/>
      <c r="M1567">
        <f>IF($A1567=Ficha!$B$3,COUNTIF($A$5:$A1567,Ficha!$B$3),"")</f>
        <v/>
      </c>
    </row>
    <row r="1568">
      <c r="A1568" s="38" t="n"/>
      <c r="B1568" s="41">
        <f>IF(A1568="","",IFERROR(INDEX(Maniobras!$B$5:$B$504,MATCH(A1568,Maniobras!$A$5:$A$504,0)),""))</f>
        <v/>
      </c>
      <c r="C1568" s="38">
        <f>IF(B1568="","",TEXT(B1568,"yyyy-mm"))</f>
        <v/>
      </c>
      <c r="D1568" s="38">
        <f>IF(A1568="","",IFERROR(INDEX(Maniobras!$D$5:$D$504,MATCH(A1568,Maniobras!$A$5:$A$504,0)),""))</f>
        <v/>
      </c>
      <c r="E1568" s="38" t="n"/>
      <c r="F1568" s="39">
        <f>IF(A1568="","",IFERROR(INDEX(Maniobras!$K$5:$K$504,MATCH(A1568,Maniobras!$A$5:$A$504,0)),""))</f>
        <v/>
      </c>
      <c r="G1568" s="39" t="n"/>
      <c r="H1568" s="39" t="n"/>
      <c r="I1568" s="39">
        <f>IF(G1568="","",G1568+N(H1568))</f>
        <v/>
      </c>
      <c r="J1568" s="38" t="n"/>
      <c r="K1568" s="41" t="n"/>
      <c r="L1568" s="38" t="n"/>
      <c r="M1568">
        <f>IF($A1568=Ficha!$B$3,COUNTIF($A$5:$A1568,Ficha!$B$3),"")</f>
        <v/>
      </c>
    </row>
    <row r="1569">
      <c r="A1569" s="36" t="n"/>
      <c r="B1569" s="40">
        <f>IF(A1569="","",IFERROR(INDEX(Maniobras!$B$5:$B$504,MATCH(A1569,Maniobras!$A$5:$A$504,0)),""))</f>
        <v/>
      </c>
      <c r="C1569" s="36">
        <f>IF(B1569="","",TEXT(B1569,"yyyy-mm"))</f>
        <v/>
      </c>
      <c r="D1569" s="36">
        <f>IF(A1569="","",IFERROR(INDEX(Maniobras!$D$5:$D$504,MATCH(A1569,Maniobras!$A$5:$A$504,0)),""))</f>
        <v/>
      </c>
      <c r="E1569" s="36" t="n"/>
      <c r="F1569" s="37">
        <f>IF(A1569="","",IFERROR(INDEX(Maniobras!$K$5:$K$504,MATCH(A1569,Maniobras!$A$5:$A$504,0)),""))</f>
        <v/>
      </c>
      <c r="G1569" s="37" t="n"/>
      <c r="H1569" s="37" t="n"/>
      <c r="I1569" s="37">
        <f>IF(G1569="","",G1569+N(H1569))</f>
        <v/>
      </c>
      <c r="J1569" s="36" t="n"/>
      <c r="K1569" s="40" t="n"/>
      <c r="L1569" s="36" t="n"/>
      <c r="M1569">
        <f>IF($A1569=Ficha!$B$3,COUNTIF($A$5:$A1569,Ficha!$B$3),"")</f>
        <v/>
      </c>
    </row>
    <row r="1570">
      <c r="A1570" s="38" t="n"/>
      <c r="B1570" s="41">
        <f>IF(A1570="","",IFERROR(INDEX(Maniobras!$B$5:$B$504,MATCH(A1570,Maniobras!$A$5:$A$504,0)),""))</f>
        <v/>
      </c>
      <c r="C1570" s="38">
        <f>IF(B1570="","",TEXT(B1570,"yyyy-mm"))</f>
        <v/>
      </c>
      <c r="D1570" s="38">
        <f>IF(A1570="","",IFERROR(INDEX(Maniobras!$D$5:$D$504,MATCH(A1570,Maniobras!$A$5:$A$504,0)),""))</f>
        <v/>
      </c>
      <c r="E1570" s="38" t="n"/>
      <c r="F1570" s="39">
        <f>IF(A1570="","",IFERROR(INDEX(Maniobras!$K$5:$K$504,MATCH(A1570,Maniobras!$A$5:$A$504,0)),""))</f>
        <v/>
      </c>
      <c r="G1570" s="39" t="n"/>
      <c r="H1570" s="39" t="n"/>
      <c r="I1570" s="39">
        <f>IF(G1570="","",G1570+N(H1570))</f>
        <v/>
      </c>
      <c r="J1570" s="38" t="n"/>
      <c r="K1570" s="41" t="n"/>
      <c r="L1570" s="38" t="n"/>
      <c r="M1570">
        <f>IF($A1570=Ficha!$B$3,COUNTIF($A$5:$A1570,Ficha!$B$3),"")</f>
        <v/>
      </c>
    </row>
    <row r="1571">
      <c r="A1571" s="36" t="n"/>
      <c r="B1571" s="40">
        <f>IF(A1571="","",IFERROR(INDEX(Maniobras!$B$5:$B$504,MATCH(A1571,Maniobras!$A$5:$A$504,0)),""))</f>
        <v/>
      </c>
      <c r="C1571" s="36">
        <f>IF(B1571="","",TEXT(B1571,"yyyy-mm"))</f>
        <v/>
      </c>
      <c r="D1571" s="36">
        <f>IF(A1571="","",IFERROR(INDEX(Maniobras!$D$5:$D$504,MATCH(A1571,Maniobras!$A$5:$A$504,0)),""))</f>
        <v/>
      </c>
      <c r="E1571" s="36" t="n"/>
      <c r="F1571" s="37">
        <f>IF(A1571="","",IFERROR(INDEX(Maniobras!$K$5:$K$504,MATCH(A1571,Maniobras!$A$5:$A$504,0)),""))</f>
        <v/>
      </c>
      <c r="G1571" s="37" t="n"/>
      <c r="H1571" s="37" t="n"/>
      <c r="I1571" s="37">
        <f>IF(G1571="","",G1571+N(H1571))</f>
        <v/>
      </c>
      <c r="J1571" s="36" t="n"/>
      <c r="K1571" s="40" t="n"/>
      <c r="L1571" s="36" t="n"/>
      <c r="M1571">
        <f>IF($A1571=Ficha!$B$3,COUNTIF($A$5:$A1571,Ficha!$B$3),"")</f>
        <v/>
      </c>
    </row>
    <row r="1572">
      <c r="A1572" s="38" t="n"/>
      <c r="B1572" s="41">
        <f>IF(A1572="","",IFERROR(INDEX(Maniobras!$B$5:$B$504,MATCH(A1572,Maniobras!$A$5:$A$504,0)),""))</f>
        <v/>
      </c>
      <c r="C1572" s="38">
        <f>IF(B1572="","",TEXT(B1572,"yyyy-mm"))</f>
        <v/>
      </c>
      <c r="D1572" s="38">
        <f>IF(A1572="","",IFERROR(INDEX(Maniobras!$D$5:$D$504,MATCH(A1572,Maniobras!$A$5:$A$504,0)),""))</f>
        <v/>
      </c>
      <c r="E1572" s="38" t="n"/>
      <c r="F1572" s="39">
        <f>IF(A1572="","",IFERROR(INDEX(Maniobras!$K$5:$K$504,MATCH(A1572,Maniobras!$A$5:$A$504,0)),""))</f>
        <v/>
      </c>
      <c r="G1572" s="39" t="n"/>
      <c r="H1572" s="39" t="n"/>
      <c r="I1572" s="39">
        <f>IF(G1572="","",G1572+N(H1572))</f>
        <v/>
      </c>
      <c r="J1572" s="38" t="n"/>
      <c r="K1572" s="41" t="n"/>
      <c r="L1572" s="38" t="n"/>
      <c r="M1572">
        <f>IF($A1572=Ficha!$B$3,COUNTIF($A$5:$A1572,Ficha!$B$3),"")</f>
        <v/>
      </c>
    </row>
    <row r="1573">
      <c r="A1573" s="36" t="n"/>
      <c r="B1573" s="40">
        <f>IF(A1573="","",IFERROR(INDEX(Maniobras!$B$5:$B$504,MATCH(A1573,Maniobras!$A$5:$A$504,0)),""))</f>
        <v/>
      </c>
      <c r="C1573" s="36">
        <f>IF(B1573="","",TEXT(B1573,"yyyy-mm"))</f>
        <v/>
      </c>
      <c r="D1573" s="36">
        <f>IF(A1573="","",IFERROR(INDEX(Maniobras!$D$5:$D$504,MATCH(A1573,Maniobras!$A$5:$A$504,0)),""))</f>
        <v/>
      </c>
      <c r="E1573" s="36" t="n"/>
      <c r="F1573" s="37">
        <f>IF(A1573="","",IFERROR(INDEX(Maniobras!$K$5:$K$504,MATCH(A1573,Maniobras!$A$5:$A$504,0)),""))</f>
        <v/>
      </c>
      <c r="G1573" s="37" t="n"/>
      <c r="H1573" s="37" t="n"/>
      <c r="I1573" s="37">
        <f>IF(G1573="","",G1573+N(H1573))</f>
        <v/>
      </c>
      <c r="J1573" s="36" t="n"/>
      <c r="K1573" s="40" t="n"/>
      <c r="L1573" s="36" t="n"/>
      <c r="M1573">
        <f>IF($A1573=Ficha!$B$3,COUNTIF($A$5:$A1573,Ficha!$B$3),"")</f>
        <v/>
      </c>
    </row>
    <row r="1574">
      <c r="A1574" s="38" t="n"/>
      <c r="B1574" s="41">
        <f>IF(A1574="","",IFERROR(INDEX(Maniobras!$B$5:$B$504,MATCH(A1574,Maniobras!$A$5:$A$504,0)),""))</f>
        <v/>
      </c>
      <c r="C1574" s="38">
        <f>IF(B1574="","",TEXT(B1574,"yyyy-mm"))</f>
        <v/>
      </c>
      <c r="D1574" s="38">
        <f>IF(A1574="","",IFERROR(INDEX(Maniobras!$D$5:$D$504,MATCH(A1574,Maniobras!$A$5:$A$504,0)),""))</f>
        <v/>
      </c>
      <c r="E1574" s="38" t="n"/>
      <c r="F1574" s="39">
        <f>IF(A1574="","",IFERROR(INDEX(Maniobras!$K$5:$K$504,MATCH(A1574,Maniobras!$A$5:$A$504,0)),""))</f>
        <v/>
      </c>
      <c r="G1574" s="39" t="n"/>
      <c r="H1574" s="39" t="n"/>
      <c r="I1574" s="39">
        <f>IF(G1574="","",G1574+N(H1574))</f>
        <v/>
      </c>
      <c r="J1574" s="38" t="n"/>
      <c r="K1574" s="41" t="n"/>
      <c r="L1574" s="38" t="n"/>
      <c r="M1574">
        <f>IF($A1574=Ficha!$B$3,COUNTIF($A$5:$A1574,Ficha!$B$3),"")</f>
        <v/>
      </c>
    </row>
    <row r="1575">
      <c r="A1575" s="36" t="n"/>
      <c r="B1575" s="40">
        <f>IF(A1575="","",IFERROR(INDEX(Maniobras!$B$5:$B$504,MATCH(A1575,Maniobras!$A$5:$A$504,0)),""))</f>
        <v/>
      </c>
      <c r="C1575" s="36">
        <f>IF(B1575="","",TEXT(B1575,"yyyy-mm"))</f>
        <v/>
      </c>
      <c r="D1575" s="36">
        <f>IF(A1575="","",IFERROR(INDEX(Maniobras!$D$5:$D$504,MATCH(A1575,Maniobras!$A$5:$A$504,0)),""))</f>
        <v/>
      </c>
      <c r="E1575" s="36" t="n"/>
      <c r="F1575" s="37">
        <f>IF(A1575="","",IFERROR(INDEX(Maniobras!$K$5:$K$504,MATCH(A1575,Maniobras!$A$5:$A$504,0)),""))</f>
        <v/>
      </c>
      <c r="G1575" s="37" t="n"/>
      <c r="H1575" s="37" t="n"/>
      <c r="I1575" s="37">
        <f>IF(G1575="","",G1575+N(H1575))</f>
        <v/>
      </c>
      <c r="J1575" s="36" t="n"/>
      <c r="K1575" s="40" t="n"/>
      <c r="L1575" s="36" t="n"/>
      <c r="M1575">
        <f>IF($A1575=Ficha!$B$3,COUNTIF($A$5:$A1575,Ficha!$B$3),"")</f>
        <v/>
      </c>
    </row>
    <row r="1576">
      <c r="A1576" s="38" t="n"/>
      <c r="B1576" s="41">
        <f>IF(A1576="","",IFERROR(INDEX(Maniobras!$B$5:$B$504,MATCH(A1576,Maniobras!$A$5:$A$504,0)),""))</f>
        <v/>
      </c>
      <c r="C1576" s="38">
        <f>IF(B1576="","",TEXT(B1576,"yyyy-mm"))</f>
        <v/>
      </c>
      <c r="D1576" s="38">
        <f>IF(A1576="","",IFERROR(INDEX(Maniobras!$D$5:$D$504,MATCH(A1576,Maniobras!$A$5:$A$504,0)),""))</f>
        <v/>
      </c>
      <c r="E1576" s="38" t="n"/>
      <c r="F1576" s="39">
        <f>IF(A1576="","",IFERROR(INDEX(Maniobras!$K$5:$K$504,MATCH(A1576,Maniobras!$A$5:$A$504,0)),""))</f>
        <v/>
      </c>
      <c r="G1576" s="39" t="n"/>
      <c r="H1576" s="39" t="n"/>
      <c r="I1576" s="39">
        <f>IF(G1576="","",G1576+N(H1576))</f>
        <v/>
      </c>
      <c r="J1576" s="38" t="n"/>
      <c r="K1576" s="41" t="n"/>
      <c r="L1576" s="38" t="n"/>
      <c r="M1576">
        <f>IF($A1576=Ficha!$B$3,COUNTIF($A$5:$A1576,Ficha!$B$3),"")</f>
        <v/>
      </c>
    </row>
    <row r="1577">
      <c r="A1577" s="36" t="n"/>
      <c r="B1577" s="40">
        <f>IF(A1577="","",IFERROR(INDEX(Maniobras!$B$5:$B$504,MATCH(A1577,Maniobras!$A$5:$A$504,0)),""))</f>
        <v/>
      </c>
      <c r="C1577" s="36">
        <f>IF(B1577="","",TEXT(B1577,"yyyy-mm"))</f>
        <v/>
      </c>
      <c r="D1577" s="36">
        <f>IF(A1577="","",IFERROR(INDEX(Maniobras!$D$5:$D$504,MATCH(A1577,Maniobras!$A$5:$A$504,0)),""))</f>
        <v/>
      </c>
      <c r="E1577" s="36" t="n"/>
      <c r="F1577" s="37">
        <f>IF(A1577="","",IFERROR(INDEX(Maniobras!$K$5:$K$504,MATCH(A1577,Maniobras!$A$5:$A$504,0)),""))</f>
        <v/>
      </c>
      <c r="G1577" s="37" t="n"/>
      <c r="H1577" s="37" t="n"/>
      <c r="I1577" s="37">
        <f>IF(G1577="","",G1577+N(H1577))</f>
        <v/>
      </c>
      <c r="J1577" s="36" t="n"/>
      <c r="K1577" s="40" t="n"/>
      <c r="L1577" s="36" t="n"/>
      <c r="M1577">
        <f>IF($A1577=Ficha!$B$3,COUNTIF($A$5:$A1577,Ficha!$B$3),"")</f>
        <v/>
      </c>
    </row>
    <row r="1578">
      <c r="A1578" s="38" t="n"/>
      <c r="B1578" s="41">
        <f>IF(A1578="","",IFERROR(INDEX(Maniobras!$B$5:$B$504,MATCH(A1578,Maniobras!$A$5:$A$504,0)),""))</f>
        <v/>
      </c>
      <c r="C1578" s="38">
        <f>IF(B1578="","",TEXT(B1578,"yyyy-mm"))</f>
        <v/>
      </c>
      <c r="D1578" s="38">
        <f>IF(A1578="","",IFERROR(INDEX(Maniobras!$D$5:$D$504,MATCH(A1578,Maniobras!$A$5:$A$504,0)),""))</f>
        <v/>
      </c>
      <c r="E1578" s="38" t="n"/>
      <c r="F1578" s="39">
        <f>IF(A1578="","",IFERROR(INDEX(Maniobras!$K$5:$K$504,MATCH(A1578,Maniobras!$A$5:$A$504,0)),""))</f>
        <v/>
      </c>
      <c r="G1578" s="39" t="n"/>
      <c r="H1578" s="39" t="n"/>
      <c r="I1578" s="39">
        <f>IF(G1578="","",G1578+N(H1578))</f>
        <v/>
      </c>
      <c r="J1578" s="38" t="n"/>
      <c r="K1578" s="41" t="n"/>
      <c r="L1578" s="38" t="n"/>
      <c r="M1578">
        <f>IF($A1578=Ficha!$B$3,COUNTIF($A$5:$A1578,Ficha!$B$3),"")</f>
        <v/>
      </c>
    </row>
    <row r="1579">
      <c r="A1579" s="36" t="n"/>
      <c r="B1579" s="40">
        <f>IF(A1579="","",IFERROR(INDEX(Maniobras!$B$5:$B$504,MATCH(A1579,Maniobras!$A$5:$A$504,0)),""))</f>
        <v/>
      </c>
      <c r="C1579" s="36">
        <f>IF(B1579="","",TEXT(B1579,"yyyy-mm"))</f>
        <v/>
      </c>
      <c r="D1579" s="36">
        <f>IF(A1579="","",IFERROR(INDEX(Maniobras!$D$5:$D$504,MATCH(A1579,Maniobras!$A$5:$A$504,0)),""))</f>
        <v/>
      </c>
      <c r="E1579" s="36" t="n"/>
      <c r="F1579" s="37">
        <f>IF(A1579="","",IFERROR(INDEX(Maniobras!$K$5:$K$504,MATCH(A1579,Maniobras!$A$5:$A$504,0)),""))</f>
        <v/>
      </c>
      <c r="G1579" s="37" t="n"/>
      <c r="H1579" s="37" t="n"/>
      <c r="I1579" s="37">
        <f>IF(G1579="","",G1579+N(H1579))</f>
        <v/>
      </c>
      <c r="J1579" s="36" t="n"/>
      <c r="K1579" s="40" t="n"/>
      <c r="L1579" s="36" t="n"/>
      <c r="M1579">
        <f>IF($A1579=Ficha!$B$3,COUNTIF($A$5:$A1579,Ficha!$B$3),"")</f>
        <v/>
      </c>
    </row>
    <row r="1580">
      <c r="A1580" s="38" t="n"/>
      <c r="B1580" s="41">
        <f>IF(A1580="","",IFERROR(INDEX(Maniobras!$B$5:$B$504,MATCH(A1580,Maniobras!$A$5:$A$504,0)),""))</f>
        <v/>
      </c>
      <c r="C1580" s="38">
        <f>IF(B1580="","",TEXT(B1580,"yyyy-mm"))</f>
        <v/>
      </c>
      <c r="D1580" s="38">
        <f>IF(A1580="","",IFERROR(INDEX(Maniobras!$D$5:$D$504,MATCH(A1580,Maniobras!$A$5:$A$504,0)),""))</f>
        <v/>
      </c>
      <c r="E1580" s="38" t="n"/>
      <c r="F1580" s="39">
        <f>IF(A1580="","",IFERROR(INDEX(Maniobras!$K$5:$K$504,MATCH(A1580,Maniobras!$A$5:$A$504,0)),""))</f>
        <v/>
      </c>
      <c r="G1580" s="39" t="n"/>
      <c r="H1580" s="39" t="n"/>
      <c r="I1580" s="39">
        <f>IF(G1580="","",G1580+N(H1580))</f>
        <v/>
      </c>
      <c r="J1580" s="38" t="n"/>
      <c r="K1580" s="41" t="n"/>
      <c r="L1580" s="38" t="n"/>
      <c r="M1580">
        <f>IF($A1580=Ficha!$B$3,COUNTIF($A$5:$A1580,Ficha!$B$3),"")</f>
        <v/>
      </c>
    </row>
    <row r="1581">
      <c r="A1581" s="36" t="n"/>
      <c r="B1581" s="40">
        <f>IF(A1581="","",IFERROR(INDEX(Maniobras!$B$5:$B$504,MATCH(A1581,Maniobras!$A$5:$A$504,0)),""))</f>
        <v/>
      </c>
      <c r="C1581" s="36">
        <f>IF(B1581="","",TEXT(B1581,"yyyy-mm"))</f>
        <v/>
      </c>
      <c r="D1581" s="36">
        <f>IF(A1581="","",IFERROR(INDEX(Maniobras!$D$5:$D$504,MATCH(A1581,Maniobras!$A$5:$A$504,0)),""))</f>
        <v/>
      </c>
      <c r="E1581" s="36" t="n"/>
      <c r="F1581" s="37">
        <f>IF(A1581="","",IFERROR(INDEX(Maniobras!$K$5:$K$504,MATCH(A1581,Maniobras!$A$5:$A$504,0)),""))</f>
        <v/>
      </c>
      <c r="G1581" s="37" t="n"/>
      <c r="H1581" s="37" t="n"/>
      <c r="I1581" s="37">
        <f>IF(G1581="","",G1581+N(H1581))</f>
        <v/>
      </c>
      <c r="J1581" s="36" t="n"/>
      <c r="K1581" s="40" t="n"/>
      <c r="L1581" s="36" t="n"/>
      <c r="M1581">
        <f>IF($A1581=Ficha!$B$3,COUNTIF($A$5:$A1581,Ficha!$B$3),"")</f>
        <v/>
      </c>
    </row>
    <row r="1582">
      <c r="A1582" s="38" t="n"/>
      <c r="B1582" s="41">
        <f>IF(A1582="","",IFERROR(INDEX(Maniobras!$B$5:$B$504,MATCH(A1582,Maniobras!$A$5:$A$504,0)),""))</f>
        <v/>
      </c>
      <c r="C1582" s="38">
        <f>IF(B1582="","",TEXT(B1582,"yyyy-mm"))</f>
        <v/>
      </c>
      <c r="D1582" s="38">
        <f>IF(A1582="","",IFERROR(INDEX(Maniobras!$D$5:$D$504,MATCH(A1582,Maniobras!$A$5:$A$504,0)),""))</f>
        <v/>
      </c>
      <c r="E1582" s="38" t="n"/>
      <c r="F1582" s="39">
        <f>IF(A1582="","",IFERROR(INDEX(Maniobras!$K$5:$K$504,MATCH(A1582,Maniobras!$A$5:$A$504,0)),""))</f>
        <v/>
      </c>
      <c r="G1582" s="39" t="n"/>
      <c r="H1582" s="39" t="n"/>
      <c r="I1582" s="39">
        <f>IF(G1582="","",G1582+N(H1582))</f>
        <v/>
      </c>
      <c r="J1582" s="38" t="n"/>
      <c r="K1582" s="41" t="n"/>
      <c r="L1582" s="38" t="n"/>
      <c r="M1582">
        <f>IF($A1582=Ficha!$B$3,COUNTIF($A$5:$A1582,Ficha!$B$3),"")</f>
        <v/>
      </c>
    </row>
    <row r="1583">
      <c r="A1583" s="36" t="n"/>
      <c r="B1583" s="40">
        <f>IF(A1583="","",IFERROR(INDEX(Maniobras!$B$5:$B$504,MATCH(A1583,Maniobras!$A$5:$A$504,0)),""))</f>
        <v/>
      </c>
      <c r="C1583" s="36">
        <f>IF(B1583="","",TEXT(B1583,"yyyy-mm"))</f>
        <v/>
      </c>
      <c r="D1583" s="36">
        <f>IF(A1583="","",IFERROR(INDEX(Maniobras!$D$5:$D$504,MATCH(A1583,Maniobras!$A$5:$A$504,0)),""))</f>
        <v/>
      </c>
      <c r="E1583" s="36" t="n"/>
      <c r="F1583" s="37">
        <f>IF(A1583="","",IFERROR(INDEX(Maniobras!$K$5:$K$504,MATCH(A1583,Maniobras!$A$5:$A$504,0)),""))</f>
        <v/>
      </c>
      <c r="G1583" s="37" t="n"/>
      <c r="H1583" s="37" t="n"/>
      <c r="I1583" s="37">
        <f>IF(G1583="","",G1583+N(H1583))</f>
        <v/>
      </c>
      <c r="J1583" s="36" t="n"/>
      <c r="K1583" s="40" t="n"/>
      <c r="L1583" s="36" t="n"/>
      <c r="M1583">
        <f>IF($A1583=Ficha!$B$3,COUNTIF($A$5:$A1583,Ficha!$B$3),"")</f>
        <v/>
      </c>
    </row>
    <row r="1584">
      <c r="A1584" s="38" t="n"/>
      <c r="B1584" s="41">
        <f>IF(A1584="","",IFERROR(INDEX(Maniobras!$B$5:$B$504,MATCH(A1584,Maniobras!$A$5:$A$504,0)),""))</f>
        <v/>
      </c>
      <c r="C1584" s="38">
        <f>IF(B1584="","",TEXT(B1584,"yyyy-mm"))</f>
        <v/>
      </c>
      <c r="D1584" s="38">
        <f>IF(A1584="","",IFERROR(INDEX(Maniobras!$D$5:$D$504,MATCH(A1584,Maniobras!$A$5:$A$504,0)),""))</f>
        <v/>
      </c>
      <c r="E1584" s="38" t="n"/>
      <c r="F1584" s="39">
        <f>IF(A1584="","",IFERROR(INDEX(Maniobras!$K$5:$K$504,MATCH(A1584,Maniobras!$A$5:$A$504,0)),""))</f>
        <v/>
      </c>
      <c r="G1584" s="39" t="n"/>
      <c r="H1584" s="39" t="n"/>
      <c r="I1584" s="39">
        <f>IF(G1584="","",G1584+N(H1584))</f>
        <v/>
      </c>
      <c r="J1584" s="38" t="n"/>
      <c r="K1584" s="41" t="n"/>
      <c r="L1584" s="38" t="n"/>
      <c r="M1584">
        <f>IF($A1584=Ficha!$B$3,COUNTIF($A$5:$A1584,Ficha!$B$3),"")</f>
        <v/>
      </c>
    </row>
    <row r="1585">
      <c r="A1585" s="36" t="n"/>
      <c r="B1585" s="40">
        <f>IF(A1585="","",IFERROR(INDEX(Maniobras!$B$5:$B$504,MATCH(A1585,Maniobras!$A$5:$A$504,0)),""))</f>
        <v/>
      </c>
      <c r="C1585" s="36">
        <f>IF(B1585="","",TEXT(B1585,"yyyy-mm"))</f>
        <v/>
      </c>
      <c r="D1585" s="36">
        <f>IF(A1585="","",IFERROR(INDEX(Maniobras!$D$5:$D$504,MATCH(A1585,Maniobras!$A$5:$A$504,0)),""))</f>
        <v/>
      </c>
      <c r="E1585" s="36" t="n"/>
      <c r="F1585" s="37">
        <f>IF(A1585="","",IFERROR(INDEX(Maniobras!$K$5:$K$504,MATCH(A1585,Maniobras!$A$5:$A$504,0)),""))</f>
        <v/>
      </c>
      <c r="G1585" s="37" t="n"/>
      <c r="H1585" s="37" t="n"/>
      <c r="I1585" s="37">
        <f>IF(G1585="","",G1585+N(H1585))</f>
        <v/>
      </c>
      <c r="J1585" s="36" t="n"/>
      <c r="K1585" s="40" t="n"/>
      <c r="L1585" s="36" t="n"/>
      <c r="M1585">
        <f>IF($A1585=Ficha!$B$3,COUNTIF($A$5:$A1585,Ficha!$B$3),"")</f>
        <v/>
      </c>
    </row>
    <row r="1586">
      <c r="A1586" s="38" t="n"/>
      <c r="B1586" s="41">
        <f>IF(A1586="","",IFERROR(INDEX(Maniobras!$B$5:$B$504,MATCH(A1586,Maniobras!$A$5:$A$504,0)),""))</f>
        <v/>
      </c>
      <c r="C1586" s="38">
        <f>IF(B1586="","",TEXT(B1586,"yyyy-mm"))</f>
        <v/>
      </c>
      <c r="D1586" s="38">
        <f>IF(A1586="","",IFERROR(INDEX(Maniobras!$D$5:$D$504,MATCH(A1586,Maniobras!$A$5:$A$504,0)),""))</f>
        <v/>
      </c>
      <c r="E1586" s="38" t="n"/>
      <c r="F1586" s="39">
        <f>IF(A1586="","",IFERROR(INDEX(Maniobras!$K$5:$K$504,MATCH(A1586,Maniobras!$A$5:$A$504,0)),""))</f>
        <v/>
      </c>
      <c r="G1586" s="39" t="n"/>
      <c r="H1586" s="39" t="n"/>
      <c r="I1586" s="39">
        <f>IF(G1586="","",G1586+N(H1586))</f>
        <v/>
      </c>
      <c r="J1586" s="38" t="n"/>
      <c r="K1586" s="41" t="n"/>
      <c r="L1586" s="38" t="n"/>
      <c r="M1586">
        <f>IF($A1586=Ficha!$B$3,COUNTIF($A$5:$A1586,Ficha!$B$3),"")</f>
        <v/>
      </c>
    </row>
    <row r="1587">
      <c r="A1587" s="36" t="n"/>
      <c r="B1587" s="40">
        <f>IF(A1587="","",IFERROR(INDEX(Maniobras!$B$5:$B$504,MATCH(A1587,Maniobras!$A$5:$A$504,0)),""))</f>
        <v/>
      </c>
      <c r="C1587" s="36">
        <f>IF(B1587="","",TEXT(B1587,"yyyy-mm"))</f>
        <v/>
      </c>
      <c r="D1587" s="36">
        <f>IF(A1587="","",IFERROR(INDEX(Maniobras!$D$5:$D$504,MATCH(A1587,Maniobras!$A$5:$A$504,0)),""))</f>
        <v/>
      </c>
      <c r="E1587" s="36" t="n"/>
      <c r="F1587" s="37">
        <f>IF(A1587="","",IFERROR(INDEX(Maniobras!$K$5:$K$504,MATCH(A1587,Maniobras!$A$5:$A$504,0)),""))</f>
        <v/>
      </c>
      <c r="G1587" s="37" t="n"/>
      <c r="H1587" s="37" t="n"/>
      <c r="I1587" s="37">
        <f>IF(G1587="","",G1587+N(H1587))</f>
        <v/>
      </c>
      <c r="J1587" s="36" t="n"/>
      <c r="K1587" s="40" t="n"/>
      <c r="L1587" s="36" t="n"/>
      <c r="M1587">
        <f>IF($A1587=Ficha!$B$3,COUNTIF($A$5:$A1587,Ficha!$B$3),"")</f>
        <v/>
      </c>
    </row>
    <row r="1588">
      <c r="A1588" s="38" t="n"/>
      <c r="B1588" s="41">
        <f>IF(A1588="","",IFERROR(INDEX(Maniobras!$B$5:$B$504,MATCH(A1588,Maniobras!$A$5:$A$504,0)),""))</f>
        <v/>
      </c>
      <c r="C1588" s="38">
        <f>IF(B1588="","",TEXT(B1588,"yyyy-mm"))</f>
        <v/>
      </c>
      <c r="D1588" s="38">
        <f>IF(A1588="","",IFERROR(INDEX(Maniobras!$D$5:$D$504,MATCH(A1588,Maniobras!$A$5:$A$504,0)),""))</f>
        <v/>
      </c>
      <c r="E1588" s="38" t="n"/>
      <c r="F1588" s="39">
        <f>IF(A1588="","",IFERROR(INDEX(Maniobras!$K$5:$K$504,MATCH(A1588,Maniobras!$A$5:$A$504,0)),""))</f>
        <v/>
      </c>
      <c r="G1588" s="39" t="n"/>
      <c r="H1588" s="39" t="n"/>
      <c r="I1588" s="39">
        <f>IF(G1588="","",G1588+N(H1588))</f>
        <v/>
      </c>
      <c r="J1588" s="38" t="n"/>
      <c r="K1588" s="41" t="n"/>
      <c r="L1588" s="38" t="n"/>
      <c r="M1588">
        <f>IF($A1588=Ficha!$B$3,COUNTIF($A$5:$A1588,Ficha!$B$3),"")</f>
        <v/>
      </c>
    </row>
    <row r="1589">
      <c r="A1589" s="36" t="n"/>
      <c r="B1589" s="40">
        <f>IF(A1589="","",IFERROR(INDEX(Maniobras!$B$5:$B$504,MATCH(A1589,Maniobras!$A$5:$A$504,0)),""))</f>
        <v/>
      </c>
      <c r="C1589" s="36">
        <f>IF(B1589="","",TEXT(B1589,"yyyy-mm"))</f>
        <v/>
      </c>
      <c r="D1589" s="36">
        <f>IF(A1589="","",IFERROR(INDEX(Maniobras!$D$5:$D$504,MATCH(A1589,Maniobras!$A$5:$A$504,0)),""))</f>
        <v/>
      </c>
      <c r="E1589" s="36" t="n"/>
      <c r="F1589" s="37">
        <f>IF(A1589="","",IFERROR(INDEX(Maniobras!$K$5:$K$504,MATCH(A1589,Maniobras!$A$5:$A$504,0)),""))</f>
        <v/>
      </c>
      <c r="G1589" s="37" t="n"/>
      <c r="H1589" s="37" t="n"/>
      <c r="I1589" s="37">
        <f>IF(G1589="","",G1589+N(H1589))</f>
        <v/>
      </c>
      <c r="J1589" s="36" t="n"/>
      <c r="K1589" s="40" t="n"/>
      <c r="L1589" s="36" t="n"/>
      <c r="M1589">
        <f>IF($A1589=Ficha!$B$3,COUNTIF($A$5:$A1589,Ficha!$B$3),"")</f>
        <v/>
      </c>
    </row>
    <row r="1590">
      <c r="A1590" s="38" t="n"/>
      <c r="B1590" s="41">
        <f>IF(A1590="","",IFERROR(INDEX(Maniobras!$B$5:$B$504,MATCH(A1590,Maniobras!$A$5:$A$504,0)),""))</f>
        <v/>
      </c>
      <c r="C1590" s="38">
        <f>IF(B1590="","",TEXT(B1590,"yyyy-mm"))</f>
        <v/>
      </c>
      <c r="D1590" s="38">
        <f>IF(A1590="","",IFERROR(INDEX(Maniobras!$D$5:$D$504,MATCH(A1590,Maniobras!$A$5:$A$504,0)),""))</f>
        <v/>
      </c>
      <c r="E1590" s="38" t="n"/>
      <c r="F1590" s="39">
        <f>IF(A1590="","",IFERROR(INDEX(Maniobras!$K$5:$K$504,MATCH(A1590,Maniobras!$A$5:$A$504,0)),""))</f>
        <v/>
      </c>
      <c r="G1590" s="39" t="n"/>
      <c r="H1590" s="39" t="n"/>
      <c r="I1590" s="39">
        <f>IF(G1590="","",G1590+N(H1590))</f>
        <v/>
      </c>
      <c r="J1590" s="38" t="n"/>
      <c r="K1590" s="41" t="n"/>
      <c r="L1590" s="38" t="n"/>
      <c r="M1590">
        <f>IF($A1590=Ficha!$B$3,COUNTIF($A$5:$A1590,Ficha!$B$3),"")</f>
        <v/>
      </c>
    </row>
    <row r="1591">
      <c r="A1591" s="36" t="n"/>
      <c r="B1591" s="40">
        <f>IF(A1591="","",IFERROR(INDEX(Maniobras!$B$5:$B$504,MATCH(A1591,Maniobras!$A$5:$A$504,0)),""))</f>
        <v/>
      </c>
      <c r="C1591" s="36">
        <f>IF(B1591="","",TEXT(B1591,"yyyy-mm"))</f>
        <v/>
      </c>
      <c r="D1591" s="36">
        <f>IF(A1591="","",IFERROR(INDEX(Maniobras!$D$5:$D$504,MATCH(A1591,Maniobras!$A$5:$A$504,0)),""))</f>
        <v/>
      </c>
      <c r="E1591" s="36" t="n"/>
      <c r="F1591" s="37">
        <f>IF(A1591="","",IFERROR(INDEX(Maniobras!$K$5:$K$504,MATCH(A1591,Maniobras!$A$5:$A$504,0)),""))</f>
        <v/>
      </c>
      <c r="G1591" s="37" t="n"/>
      <c r="H1591" s="37" t="n"/>
      <c r="I1591" s="37">
        <f>IF(G1591="","",G1591+N(H1591))</f>
        <v/>
      </c>
      <c r="J1591" s="36" t="n"/>
      <c r="K1591" s="40" t="n"/>
      <c r="L1591" s="36" t="n"/>
      <c r="M1591">
        <f>IF($A1591=Ficha!$B$3,COUNTIF($A$5:$A1591,Ficha!$B$3),"")</f>
        <v/>
      </c>
    </row>
    <row r="1592">
      <c r="A1592" s="38" t="n"/>
      <c r="B1592" s="41">
        <f>IF(A1592="","",IFERROR(INDEX(Maniobras!$B$5:$B$504,MATCH(A1592,Maniobras!$A$5:$A$504,0)),""))</f>
        <v/>
      </c>
      <c r="C1592" s="38">
        <f>IF(B1592="","",TEXT(B1592,"yyyy-mm"))</f>
        <v/>
      </c>
      <c r="D1592" s="38">
        <f>IF(A1592="","",IFERROR(INDEX(Maniobras!$D$5:$D$504,MATCH(A1592,Maniobras!$A$5:$A$504,0)),""))</f>
        <v/>
      </c>
      <c r="E1592" s="38" t="n"/>
      <c r="F1592" s="39">
        <f>IF(A1592="","",IFERROR(INDEX(Maniobras!$K$5:$K$504,MATCH(A1592,Maniobras!$A$5:$A$504,0)),""))</f>
        <v/>
      </c>
      <c r="G1592" s="39" t="n"/>
      <c r="H1592" s="39" t="n"/>
      <c r="I1592" s="39">
        <f>IF(G1592="","",G1592+N(H1592))</f>
        <v/>
      </c>
      <c r="J1592" s="38" t="n"/>
      <c r="K1592" s="41" t="n"/>
      <c r="L1592" s="38" t="n"/>
      <c r="M1592">
        <f>IF($A1592=Ficha!$B$3,COUNTIF($A$5:$A1592,Ficha!$B$3),"")</f>
        <v/>
      </c>
    </row>
    <row r="1593">
      <c r="A1593" s="36" t="n"/>
      <c r="B1593" s="40">
        <f>IF(A1593="","",IFERROR(INDEX(Maniobras!$B$5:$B$504,MATCH(A1593,Maniobras!$A$5:$A$504,0)),""))</f>
        <v/>
      </c>
      <c r="C1593" s="36">
        <f>IF(B1593="","",TEXT(B1593,"yyyy-mm"))</f>
        <v/>
      </c>
      <c r="D1593" s="36">
        <f>IF(A1593="","",IFERROR(INDEX(Maniobras!$D$5:$D$504,MATCH(A1593,Maniobras!$A$5:$A$504,0)),""))</f>
        <v/>
      </c>
      <c r="E1593" s="36" t="n"/>
      <c r="F1593" s="37">
        <f>IF(A1593="","",IFERROR(INDEX(Maniobras!$K$5:$K$504,MATCH(A1593,Maniobras!$A$5:$A$504,0)),""))</f>
        <v/>
      </c>
      <c r="G1593" s="37" t="n"/>
      <c r="H1593" s="37" t="n"/>
      <c r="I1593" s="37">
        <f>IF(G1593="","",G1593+N(H1593))</f>
        <v/>
      </c>
      <c r="J1593" s="36" t="n"/>
      <c r="K1593" s="40" t="n"/>
      <c r="L1593" s="36" t="n"/>
      <c r="M1593">
        <f>IF($A1593=Ficha!$B$3,COUNTIF($A$5:$A1593,Ficha!$B$3),"")</f>
        <v/>
      </c>
    </row>
    <row r="1594">
      <c r="A1594" s="38" t="n"/>
      <c r="B1594" s="41">
        <f>IF(A1594="","",IFERROR(INDEX(Maniobras!$B$5:$B$504,MATCH(A1594,Maniobras!$A$5:$A$504,0)),""))</f>
        <v/>
      </c>
      <c r="C1594" s="38">
        <f>IF(B1594="","",TEXT(B1594,"yyyy-mm"))</f>
        <v/>
      </c>
      <c r="D1594" s="38">
        <f>IF(A1594="","",IFERROR(INDEX(Maniobras!$D$5:$D$504,MATCH(A1594,Maniobras!$A$5:$A$504,0)),""))</f>
        <v/>
      </c>
      <c r="E1594" s="38" t="n"/>
      <c r="F1594" s="39">
        <f>IF(A1594="","",IFERROR(INDEX(Maniobras!$K$5:$K$504,MATCH(A1594,Maniobras!$A$5:$A$504,0)),""))</f>
        <v/>
      </c>
      <c r="G1594" s="39" t="n"/>
      <c r="H1594" s="39" t="n"/>
      <c r="I1594" s="39">
        <f>IF(G1594="","",G1594+N(H1594))</f>
        <v/>
      </c>
      <c r="J1594" s="38" t="n"/>
      <c r="K1594" s="41" t="n"/>
      <c r="L1594" s="38" t="n"/>
      <c r="M1594">
        <f>IF($A1594=Ficha!$B$3,COUNTIF($A$5:$A1594,Ficha!$B$3),"")</f>
        <v/>
      </c>
    </row>
    <row r="1595">
      <c r="A1595" s="36" t="n"/>
      <c r="B1595" s="40">
        <f>IF(A1595="","",IFERROR(INDEX(Maniobras!$B$5:$B$504,MATCH(A1595,Maniobras!$A$5:$A$504,0)),""))</f>
        <v/>
      </c>
      <c r="C1595" s="36">
        <f>IF(B1595="","",TEXT(B1595,"yyyy-mm"))</f>
        <v/>
      </c>
      <c r="D1595" s="36">
        <f>IF(A1595="","",IFERROR(INDEX(Maniobras!$D$5:$D$504,MATCH(A1595,Maniobras!$A$5:$A$504,0)),""))</f>
        <v/>
      </c>
      <c r="E1595" s="36" t="n"/>
      <c r="F1595" s="37">
        <f>IF(A1595="","",IFERROR(INDEX(Maniobras!$K$5:$K$504,MATCH(A1595,Maniobras!$A$5:$A$504,0)),""))</f>
        <v/>
      </c>
      <c r="G1595" s="37" t="n"/>
      <c r="H1595" s="37" t="n"/>
      <c r="I1595" s="37">
        <f>IF(G1595="","",G1595+N(H1595))</f>
        <v/>
      </c>
      <c r="J1595" s="36" t="n"/>
      <c r="K1595" s="40" t="n"/>
      <c r="L1595" s="36" t="n"/>
      <c r="M1595">
        <f>IF($A1595=Ficha!$B$3,COUNTIF($A$5:$A1595,Ficha!$B$3),"")</f>
        <v/>
      </c>
    </row>
    <row r="1596">
      <c r="A1596" s="38" t="n"/>
      <c r="B1596" s="41">
        <f>IF(A1596="","",IFERROR(INDEX(Maniobras!$B$5:$B$504,MATCH(A1596,Maniobras!$A$5:$A$504,0)),""))</f>
        <v/>
      </c>
      <c r="C1596" s="38">
        <f>IF(B1596="","",TEXT(B1596,"yyyy-mm"))</f>
        <v/>
      </c>
      <c r="D1596" s="38">
        <f>IF(A1596="","",IFERROR(INDEX(Maniobras!$D$5:$D$504,MATCH(A1596,Maniobras!$A$5:$A$504,0)),""))</f>
        <v/>
      </c>
      <c r="E1596" s="38" t="n"/>
      <c r="F1596" s="39">
        <f>IF(A1596="","",IFERROR(INDEX(Maniobras!$K$5:$K$504,MATCH(A1596,Maniobras!$A$5:$A$504,0)),""))</f>
        <v/>
      </c>
      <c r="G1596" s="39" t="n"/>
      <c r="H1596" s="39" t="n"/>
      <c r="I1596" s="39">
        <f>IF(G1596="","",G1596+N(H1596))</f>
        <v/>
      </c>
      <c r="J1596" s="38" t="n"/>
      <c r="K1596" s="41" t="n"/>
      <c r="L1596" s="38" t="n"/>
      <c r="M1596">
        <f>IF($A1596=Ficha!$B$3,COUNTIF($A$5:$A1596,Ficha!$B$3),"")</f>
        <v/>
      </c>
    </row>
    <row r="1597">
      <c r="A1597" s="36" t="n"/>
      <c r="B1597" s="40">
        <f>IF(A1597="","",IFERROR(INDEX(Maniobras!$B$5:$B$504,MATCH(A1597,Maniobras!$A$5:$A$504,0)),""))</f>
        <v/>
      </c>
      <c r="C1597" s="36">
        <f>IF(B1597="","",TEXT(B1597,"yyyy-mm"))</f>
        <v/>
      </c>
      <c r="D1597" s="36">
        <f>IF(A1597="","",IFERROR(INDEX(Maniobras!$D$5:$D$504,MATCH(A1597,Maniobras!$A$5:$A$504,0)),""))</f>
        <v/>
      </c>
      <c r="E1597" s="36" t="n"/>
      <c r="F1597" s="37">
        <f>IF(A1597="","",IFERROR(INDEX(Maniobras!$K$5:$K$504,MATCH(A1597,Maniobras!$A$5:$A$504,0)),""))</f>
        <v/>
      </c>
      <c r="G1597" s="37" t="n"/>
      <c r="H1597" s="37" t="n"/>
      <c r="I1597" s="37">
        <f>IF(G1597="","",G1597+N(H1597))</f>
        <v/>
      </c>
      <c r="J1597" s="36" t="n"/>
      <c r="K1597" s="40" t="n"/>
      <c r="L1597" s="36" t="n"/>
      <c r="M1597">
        <f>IF($A1597=Ficha!$B$3,COUNTIF($A$5:$A1597,Ficha!$B$3),"")</f>
        <v/>
      </c>
    </row>
    <row r="1598">
      <c r="A1598" s="38" t="n"/>
      <c r="B1598" s="41">
        <f>IF(A1598="","",IFERROR(INDEX(Maniobras!$B$5:$B$504,MATCH(A1598,Maniobras!$A$5:$A$504,0)),""))</f>
        <v/>
      </c>
      <c r="C1598" s="38">
        <f>IF(B1598="","",TEXT(B1598,"yyyy-mm"))</f>
        <v/>
      </c>
      <c r="D1598" s="38">
        <f>IF(A1598="","",IFERROR(INDEX(Maniobras!$D$5:$D$504,MATCH(A1598,Maniobras!$A$5:$A$504,0)),""))</f>
        <v/>
      </c>
      <c r="E1598" s="38" t="n"/>
      <c r="F1598" s="39">
        <f>IF(A1598="","",IFERROR(INDEX(Maniobras!$K$5:$K$504,MATCH(A1598,Maniobras!$A$5:$A$504,0)),""))</f>
        <v/>
      </c>
      <c r="G1598" s="39" t="n"/>
      <c r="H1598" s="39" t="n"/>
      <c r="I1598" s="39">
        <f>IF(G1598="","",G1598+N(H1598))</f>
        <v/>
      </c>
      <c r="J1598" s="38" t="n"/>
      <c r="K1598" s="41" t="n"/>
      <c r="L1598" s="38" t="n"/>
      <c r="M1598">
        <f>IF($A1598=Ficha!$B$3,COUNTIF($A$5:$A1598,Ficha!$B$3),"")</f>
        <v/>
      </c>
    </row>
    <row r="1599">
      <c r="A1599" s="36" t="n"/>
      <c r="B1599" s="40">
        <f>IF(A1599="","",IFERROR(INDEX(Maniobras!$B$5:$B$504,MATCH(A1599,Maniobras!$A$5:$A$504,0)),""))</f>
        <v/>
      </c>
      <c r="C1599" s="36">
        <f>IF(B1599="","",TEXT(B1599,"yyyy-mm"))</f>
        <v/>
      </c>
      <c r="D1599" s="36">
        <f>IF(A1599="","",IFERROR(INDEX(Maniobras!$D$5:$D$504,MATCH(A1599,Maniobras!$A$5:$A$504,0)),""))</f>
        <v/>
      </c>
      <c r="E1599" s="36" t="n"/>
      <c r="F1599" s="37">
        <f>IF(A1599="","",IFERROR(INDEX(Maniobras!$K$5:$K$504,MATCH(A1599,Maniobras!$A$5:$A$504,0)),""))</f>
        <v/>
      </c>
      <c r="G1599" s="37" t="n"/>
      <c r="H1599" s="37" t="n"/>
      <c r="I1599" s="37">
        <f>IF(G1599="","",G1599+N(H1599))</f>
        <v/>
      </c>
      <c r="J1599" s="36" t="n"/>
      <c r="K1599" s="40" t="n"/>
      <c r="L1599" s="36" t="n"/>
      <c r="M1599">
        <f>IF($A1599=Ficha!$B$3,COUNTIF($A$5:$A1599,Ficha!$B$3),"")</f>
        <v/>
      </c>
    </row>
    <row r="1600">
      <c r="A1600" s="38" t="n"/>
      <c r="B1600" s="41">
        <f>IF(A1600="","",IFERROR(INDEX(Maniobras!$B$5:$B$504,MATCH(A1600,Maniobras!$A$5:$A$504,0)),""))</f>
        <v/>
      </c>
      <c r="C1600" s="38">
        <f>IF(B1600="","",TEXT(B1600,"yyyy-mm"))</f>
        <v/>
      </c>
      <c r="D1600" s="38">
        <f>IF(A1600="","",IFERROR(INDEX(Maniobras!$D$5:$D$504,MATCH(A1600,Maniobras!$A$5:$A$504,0)),""))</f>
        <v/>
      </c>
      <c r="E1600" s="38" t="n"/>
      <c r="F1600" s="39">
        <f>IF(A1600="","",IFERROR(INDEX(Maniobras!$K$5:$K$504,MATCH(A1600,Maniobras!$A$5:$A$504,0)),""))</f>
        <v/>
      </c>
      <c r="G1600" s="39" t="n"/>
      <c r="H1600" s="39" t="n"/>
      <c r="I1600" s="39">
        <f>IF(G1600="","",G1600+N(H1600))</f>
        <v/>
      </c>
      <c r="J1600" s="38" t="n"/>
      <c r="K1600" s="41" t="n"/>
      <c r="L1600" s="38" t="n"/>
      <c r="M1600">
        <f>IF($A1600=Ficha!$B$3,COUNTIF($A$5:$A1600,Ficha!$B$3),"")</f>
        <v/>
      </c>
    </row>
    <row r="1601">
      <c r="A1601" s="36" t="n"/>
      <c r="B1601" s="40">
        <f>IF(A1601="","",IFERROR(INDEX(Maniobras!$B$5:$B$504,MATCH(A1601,Maniobras!$A$5:$A$504,0)),""))</f>
        <v/>
      </c>
      <c r="C1601" s="36">
        <f>IF(B1601="","",TEXT(B1601,"yyyy-mm"))</f>
        <v/>
      </c>
      <c r="D1601" s="36">
        <f>IF(A1601="","",IFERROR(INDEX(Maniobras!$D$5:$D$504,MATCH(A1601,Maniobras!$A$5:$A$504,0)),""))</f>
        <v/>
      </c>
      <c r="E1601" s="36" t="n"/>
      <c r="F1601" s="37">
        <f>IF(A1601="","",IFERROR(INDEX(Maniobras!$K$5:$K$504,MATCH(A1601,Maniobras!$A$5:$A$504,0)),""))</f>
        <v/>
      </c>
      <c r="G1601" s="37" t="n"/>
      <c r="H1601" s="37" t="n"/>
      <c r="I1601" s="37">
        <f>IF(G1601="","",G1601+N(H1601))</f>
        <v/>
      </c>
      <c r="J1601" s="36" t="n"/>
      <c r="K1601" s="40" t="n"/>
      <c r="L1601" s="36" t="n"/>
      <c r="M1601">
        <f>IF($A1601=Ficha!$B$3,COUNTIF($A$5:$A1601,Ficha!$B$3),"")</f>
        <v/>
      </c>
    </row>
    <row r="1602">
      <c r="A1602" s="38" t="n"/>
      <c r="B1602" s="41">
        <f>IF(A1602="","",IFERROR(INDEX(Maniobras!$B$5:$B$504,MATCH(A1602,Maniobras!$A$5:$A$504,0)),""))</f>
        <v/>
      </c>
      <c r="C1602" s="38">
        <f>IF(B1602="","",TEXT(B1602,"yyyy-mm"))</f>
        <v/>
      </c>
      <c r="D1602" s="38">
        <f>IF(A1602="","",IFERROR(INDEX(Maniobras!$D$5:$D$504,MATCH(A1602,Maniobras!$A$5:$A$504,0)),""))</f>
        <v/>
      </c>
      <c r="E1602" s="38" t="n"/>
      <c r="F1602" s="39">
        <f>IF(A1602="","",IFERROR(INDEX(Maniobras!$K$5:$K$504,MATCH(A1602,Maniobras!$A$5:$A$504,0)),""))</f>
        <v/>
      </c>
      <c r="G1602" s="39" t="n"/>
      <c r="H1602" s="39" t="n"/>
      <c r="I1602" s="39">
        <f>IF(G1602="","",G1602+N(H1602))</f>
        <v/>
      </c>
      <c r="J1602" s="38" t="n"/>
      <c r="K1602" s="41" t="n"/>
      <c r="L1602" s="38" t="n"/>
      <c r="M1602">
        <f>IF($A1602=Ficha!$B$3,COUNTIF($A$5:$A1602,Ficha!$B$3),"")</f>
        <v/>
      </c>
    </row>
    <row r="1603">
      <c r="A1603" s="36" t="n"/>
      <c r="B1603" s="40">
        <f>IF(A1603="","",IFERROR(INDEX(Maniobras!$B$5:$B$504,MATCH(A1603,Maniobras!$A$5:$A$504,0)),""))</f>
        <v/>
      </c>
      <c r="C1603" s="36">
        <f>IF(B1603="","",TEXT(B1603,"yyyy-mm"))</f>
        <v/>
      </c>
      <c r="D1603" s="36">
        <f>IF(A1603="","",IFERROR(INDEX(Maniobras!$D$5:$D$504,MATCH(A1603,Maniobras!$A$5:$A$504,0)),""))</f>
        <v/>
      </c>
      <c r="E1603" s="36" t="n"/>
      <c r="F1603" s="37">
        <f>IF(A1603="","",IFERROR(INDEX(Maniobras!$K$5:$K$504,MATCH(A1603,Maniobras!$A$5:$A$504,0)),""))</f>
        <v/>
      </c>
      <c r="G1603" s="37" t="n"/>
      <c r="H1603" s="37" t="n"/>
      <c r="I1603" s="37">
        <f>IF(G1603="","",G1603+N(H1603))</f>
        <v/>
      </c>
      <c r="J1603" s="36" t="n"/>
      <c r="K1603" s="40" t="n"/>
      <c r="L1603" s="36" t="n"/>
      <c r="M1603">
        <f>IF($A1603=Ficha!$B$3,COUNTIF($A$5:$A1603,Ficha!$B$3),"")</f>
        <v/>
      </c>
    </row>
    <row r="1604">
      <c r="A1604" s="38" t="n"/>
      <c r="B1604" s="41">
        <f>IF(A1604="","",IFERROR(INDEX(Maniobras!$B$5:$B$504,MATCH(A1604,Maniobras!$A$5:$A$504,0)),""))</f>
        <v/>
      </c>
      <c r="C1604" s="38">
        <f>IF(B1604="","",TEXT(B1604,"yyyy-mm"))</f>
        <v/>
      </c>
      <c r="D1604" s="38">
        <f>IF(A1604="","",IFERROR(INDEX(Maniobras!$D$5:$D$504,MATCH(A1604,Maniobras!$A$5:$A$504,0)),""))</f>
        <v/>
      </c>
      <c r="E1604" s="38" t="n"/>
      <c r="F1604" s="39">
        <f>IF(A1604="","",IFERROR(INDEX(Maniobras!$K$5:$K$504,MATCH(A1604,Maniobras!$A$5:$A$504,0)),""))</f>
        <v/>
      </c>
      <c r="G1604" s="39" t="n"/>
      <c r="H1604" s="39" t="n"/>
      <c r="I1604" s="39">
        <f>IF(G1604="","",G1604+N(H1604))</f>
        <v/>
      </c>
      <c r="J1604" s="38" t="n"/>
      <c r="K1604" s="41" t="n"/>
      <c r="L1604" s="38" t="n"/>
      <c r="M1604">
        <f>IF($A1604=Ficha!$B$3,COUNTIF($A$5:$A1604,Ficha!$B$3),"")</f>
        <v/>
      </c>
    </row>
    <row r="1605">
      <c r="A1605" s="36" t="n"/>
      <c r="B1605" s="40">
        <f>IF(A1605="","",IFERROR(INDEX(Maniobras!$B$5:$B$504,MATCH(A1605,Maniobras!$A$5:$A$504,0)),""))</f>
        <v/>
      </c>
      <c r="C1605" s="36">
        <f>IF(B1605="","",TEXT(B1605,"yyyy-mm"))</f>
        <v/>
      </c>
      <c r="D1605" s="36">
        <f>IF(A1605="","",IFERROR(INDEX(Maniobras!$D$5:$D$504,MATCH(A1605,Maniobras!$A$5:$A$504,0)),""))</f>
        <v/>
      </c>
      <c r="E1605" s="36" t="n"/>
      <c r="F1605" s="37">
        <f>IF(A1605="","",IFERROR(INDEX(Maniobras!$K$5:$K$504,MATCH(A1605,Maniobras!$A$5:$A$504,0)),""))</f>
        <v/>
      </c>
      <c r="G1605" s="37" t="n"/>
      <c r="H1605" s="37" t="n"/>
      <c r="I1605" s="37">
        <f>IF(G1605="","",G1605+N(H1605))</f>
        <v/>
      </c>
      <c r="J1605" s="36" t="n"/>
      <c r="K1605" s="40" t="n"/>
      <c r="L1605" s="36" t="n"/>
      <c r="M1605">
        <f>IF($A1605=Ficha!$B$3,COUNTIF($A$5:$A1605,Ficha!$B$3),"")</f>
        <v/>
      </c>
    </row>
    <row r="1606">
      <c r="A1606" s="38" t="n"/>
      <c r="B1606" s="41">
        <f>IF(A1606="","",IFERROR(INDEX(Maniobras!$B$5:$B$504,MATCH(A1606,Maniobras!$A$5:$A$504,0)),""))</f>
        <v/>
      </c>
      <c r="C1606" s="38">
        <f>IF(B1606="","",TEXT(B1606,"yyyy-mm"))</f>
        <v/>
      </c>
      <c r="D1606" s="38">
        <f>IF(A1606="","",IFERROR(INDEX(Maniobras!$D$5:$D$504,MATCH(A1606,Maniobras!$A$5:$A$504,0)),""))</f>
        <v/>
      </c>
      <c r="E1606" s="38" t="n"/>
      <c r="F1606" s="39">
        <f>IF(A1606="","",IFERROR(INDEX(Maniobras!$K$5:$K$504,MATCH(A1606,Maniobras!$A$5:$A$504,0)),""))</f>
        <v/>
      </c>
      <c r="G1606" s="39" t="n"/>
      <c r="H1606" s="39" t="n"/>
      <c r="I1606" s="39">
        <f>IF(G1606="","",G1606+N(H1606))</f>
        <v/>
      </c>
      <c r="J1606" s="38" t="n"/>
      <c r="K1606" s="41" t="n"/>
      <c r="L1606" s="38" t="n"/>
      <c r="M1606">
        <f>IF($A1606=Ficha!$B$3,COUNTIF($A$5:$A1606,Ficha!$B$3),"")</f>
        <v/>
      </c>
    </row>
    <row r="1607">
      <c r="A1607" s="36" t="n"/>
      <c r="B1607" s="40">
        <f>IF(A1607="","",IFERROR(INDEX(Maniobras!$B$5:$B$504,MATCH(A1607,Maniobras!$A$5:$A$504,0)),""))</f>
        <v/>
      </c>
      <c r="C1607" s="36">
        <f>IF(B1607="","",TEXT(B1607,"yyyy-mm"))</f>
        <v/>
      </c>
      <c r="D1607" s="36">
        <f>IF(A1607="","",IFERROR(INDEX(Maniobras!$D$5:$D$504,MATCH(A1607,Maniobras!$A$5:$A$504,0)),""))</f>
        <v/>
      </c>
      <c r="E1607" s="36" t="n"/>
      <c r="F1607" s="37">
        <f>IF(A1607="","",IFERROR(INDEX(Maniobras!$K$5:$K$504,MATCH(A1607,Maniobras!$A$5:$A$504,0)),""))</f>
        <v/>
      </c>
      <c r="G1607" s="37" t="n"/>
      <c r="H1607" s="37" t="n"/>
      <c r="I1607" s="37">
        <f>IF(G1607="","",G1607+N(H1607))</f>
        <v/>
      </c>
      <c r="J1607" s="36" t="n"/>
      <c r="K1607" s="40" t="n"/>
      <c r="L1607" s="36" t="n"/>
      <c r="M1607">
        <f>IF($A1607=Ficha!$B$3,COUNTIF($A$5:$A1607,Ficha!$B$3),"")</f>
        <v/>
      </c>
    </row>
    <row r="1608">
      <c r="A1608" s="38" t="n"/>
      <c r="B1608" s="41">
        <f>IF(A1608="","",IFERROR(INDEX(Maniobras!$B$5:$B$504,MATCH(A1608,Maniobras!$A$5:$A$504,0)),""))</f>
        <v/>
      </c>
      <c r="C1608" s="38">
        <f>IF(B1608="","",TEXT(B1608,"yyyy-mm"))</f>
        <v/>
      </c>
      <c r="D1608" s="38">
        <f>IF(A1608="","",IFERROR(INDEX(Maniobras!$D$5:$D$504,MATCH(A1608,Maniobras!$A$5:$A$504,0)),""))</f>
        <v/>
      </c>
      <c r="E1608" s="38" t="n"/>
      <c r="F1608" s="39">
        <f>IF(A1608="","",IFERROR(INDEX(Maniobras!$K$5:$K$504,MATCH(A1608,Maniobras!$A$5:$A$504,0)),""))</f>
        <v/>
      </c>
      <c r="G1608" s="39" t="n"/>
      <c r="H1608" s="39" t="n"/>
      <c r="I1608" s="39">
        <f>IF(G1608="","",G1608+N(H1608))</f>
        <v/>
      </c>
      <c r="J1608" s="38" t="n"/>
      <c r="K1608" s="41" t="n"/>
      <c r="L1608" s="38" t="n"/>
      <c r="M1608">
        <f>IF($A1608=Ficha!$B$3,COUNTIF($A$5:$A1608,Ficha!$B$3),"")</f>
        <v/>
      </c>
    </row>
    <row r="1609">
      <c r="A1609" s="36" t="n"/>
      <c r="B1609" s="40">
        <f>IF(A1609="","",IFERROR(INDEX(Maniobras!$B$5:$B$504,MATCH(A1609,Maniobras!$A$5:$A$504,0)),""))</f>
        <v/>
      </c>
      <c r="C1609" s="36">
        <f>IF(B1609="","",TEXT(B1609,"yyyy-mm"))</f>
        <v/>
      </c>
      <c r="D1609" s="36">
        <f>IF(A1609="","",IFERROR(INDEX(Maniobras!$D$5:$D$504,MATCH(A1609,Maniobras!$A$5:$A$504,0)),""))</f>
        <v/>
      </c>
      <c r="E1609" s="36" t="n"/>
      <c r="F1609" s="37">
        <f>IF(A1609="","",IFERROR(INDEX(Maniobras!$K$5:$K$504,MATCH(A1609,Maniobras!$A$5:$A$504,0)),""))</f>
        <v/>
      </c>
      <c r="G1609" s="37" t="n"/>
      <c r="H1609" s="37" t="n"/>
      <c r="I1609" s="37">
        <f>IF(G1609="","",G1609+N(H1609))</f>
        <v/>
      </c>
      <c r="J1609" s="36" t="n"/>
      <c r="K1609" s="40" t="n"/>
      <c r="L1609" s="36" t="n"/>
      <c r="M1609">
        <f>IF($A1609=Ficha!$B$3,COUNTIF($A$5:$A1609,Ficha!$B$3),"")</f>
        <v/>
      </c>
    </row>
    <row r="1610">
      <c r="A1610" s="38" t="n"/>
      <c r="B1610" s="41">
        <f>IF(A1610="","",IFERROR(INDEX(Maniobras!$B$5:$B$504,MATCH(A1610,Maniobras!$A$5:$A$504,0)),""))</f>
        <v/>
      </c>
      <c r="C1610" s="38">
        <f>IF(B1610="","",TEXT(B1610,"yyyy-mm"))</f>
        <v/>
      </c>
      <c r="D1610" s="38">
        <f>IF(A1610="","",IFERROR(INDEX(Maniobras!$D$5:$D$504,MATCH(A1610,Maniobras!$A$5:$A$504,0)),""))</f>
        <v/>
      </c>
      <c r="E1610" s="38" t="n"/>
      <c r="F1610" s="39">
        <f>IF(A1610="","",IFERROR(INDEX(Maniobras!$K$5:$K$504,MATCH(A1610,Maniobras!$A$5:$A$504,0)),""))</f>
        <v/>
      </c>
      <c r="G1610" s="39" t="n"/>
      <c r="H1610" s="39" t="n"/>
      <c r="I1610" s="39">
        <f>IF(G1610="","",G1610+N(H1610))</f>
        <v/>
      </c>
      <c r="J1610" s="38" t="n"/>
      <c r="K1610" s="41" t="n"/>
      <c r="L1610" s="38" t="n"/>
      <c r="M1610">
        <f>IF($A1610=Ficha!$B$3,COUNTIF($A$5:$A1610,Ficha!$B$3),"")</f>
        <v/>
      </c>
    </row>
    <row r="1611">
      <c r="A1611" s="36" t="n"/>
      <c r="B1611" s="40">
        <f>IF(A1611="","",IFERROR(INDEX(Maniobras!$B$5:$B$504,MATCH(A1611,Maniobras!$A$5:$A$504,0)),""))</f>
        <v/>
      </c>
      <c r="C1611" s="36">
        <f>IF(B1611="","",TEXT(B1611,"yyyy-mm"))</f>
        <v/>
      </c>
      <c r="D1611" s="36">
        <f>IF(A1611="","",IFERROR(INDEX(Maniobras!$D$5:$D$504,MATCH(A1611,Maniobras!$A$5:$A$504,0)),""))</f>
        <v/>
      </c>
      <c r="E1611" s="36" t="n"/>
      <c r="F1611" s="37">
        <f>IF(A1611="","",IFERROR(INDEX(Maniobras!$K$5:$K$504,MATCH(A1611,Maniobras!$A$5:$A$504,0)),""))</f>
        <v/>
      </c>
      <c r="G1611" s="37" t="n"/>
      <c r="H1611" s="37" t="n"/>
      <c r="I1611" s="37">
        <f>IF(G1611="","",G1611+N(H1611))</f>
        <v/>
      </c>
      <c r="J1611" s="36" t="n"/>
      <c r="K1611" s="40" t="n"/>
      <c r="L1611" s="36" t="n"/>
      <c r="M1611">
        <f>IF($A1611=Ficha!$B$3,COUNTIF($A$5:$A1611,Ficha!$B$3),"")</f>
        <v/>
      </c>
    </row>
    <row r="1612">
      <c r="A1612" s="38" t="n"/>
      <c r="B1612" s="41">
        <f>IF(A1612="","",IFERROR(INDEX(Maniobras!$B$5:$B$504,MATCH(A1612,Maniobras!$A$5:$A$504,0)),""))</f>
        <v/>
      </c>
      <c r="C1612" s="38">
        <f>IF(B1612="","",TEXT(B1612,"yyyy-mm"))</f>
        <v/>
      </c>
      <c r="D1612" s="38">
        <f>IF(A1612="","",IFERROR(INDEX(Maniobras!$D$5:$D$504,MATCH(A1612,Maniobras!$A$5:$A$504,0)),""))</f>
        <v/>
      </c>
      <c r="E1612" s="38" t="n"/>
      <c r="F1612" s="39">
        <f>IF(A1612="","",IFERROR(INDEX(Maniobras!$K$5:$K$504,MATCH(A1612,Maniobras!$A$5:$A$504,0)),""))</f>
        <v/>
      </c>
      <c r="G1612" s="39" t="n"/>
      <c r="H1612" s="39" t="n"/>
      <c r="I1612" s="39">
        <f>IF(G1612="","",G1612+N(H1612))</f>
        <v/>
      </c>
      <c r="J1612" s="38" t="n"/>
      <c r="K1612" s="41" t="n"/>
      <c r="L1612" s="38" t="n"/>
      <c r="M1612">
        <f>IF($A1612=Ficha!$B$3,COUNTIF($A$5:$A1612,Ficha!$B$3),"")</f>
        <v/>
      </c>
    </row>
    <row r="1613">
      <c r="A1613" s="36" t="n"/>
      <c r="B1613" s="40">
        <f>IF(A1613="","",IFERROR(INDEX(Maniobras!$B$5:$B$504,MATCH(A1613,Maniobras!$A$5:$A$504,0)),""))</f>
        <v/>
      </c>
      <c r="C1613" s="36">
        <f>IF(B1613="","",TEXT(B1613,"yyyy-mm"))</f>
        <v/>
      </c>
      <c r="D1613" s="36">
        <f>IF(A1613="","",IFERROR(INDEX(Maniobras!$D$5:$D$504,MATCH(A1613,Maniobras!$A$5:$A$504,0)),""))</f>
        <v/>
      </c>
      <c r="E1613" s="36" t="n"/>
      <c r="F1613" s="37">
        <f>IF(A1613="","",IFERROR(INDEX(Maniobras!$K$5:$K$504,MATCH(A1613,Maniobras!$A$5:$A$504,0)),""))</f>
        <v/>
      </c>
      <c r="G1613" s="37" t="n"/>
      <c r="H1613" s="37" t="n"/>
      <c r="I1613" s="37">
        <f>IF(G1613="","",G1613+N(H1613))</f>
        <v/>
      </c>
      <c r="J1613" s="36" t="n"/>
      <c r="K1613" s="40" t="n"/>
      <c r="L1613" s="36" t="n"/>
      <c r="M1613">
        <f>IF($A1613=Ficha!$B$3,COUNTIF($A$5:$A1613,Ficha!$B$3),"")</f>
        <v/>
      </c>
    </row>
    <row r="1614">
      <c r="A1614" s="38" t="n"/>
      <c r="B1614" s="41">
        <f>IF(A1614="","",IFERROR(INDEX(Maniobras!$B$5:$B$504,MATCH(A1614,Maniobras!$A$5:$A$504,0)),""))</f>
        <v/>
      </c>
      <c r="C1614" s="38">
        <f>IF(B1614="","",TEXT(B1614,"yyyy-mm"))</f>
        <v/>
      </c>
      <c r="D1614" s="38">
        <f>IF(A1614="","",IFERROR(INDEX(Maniobras!$D$5:$D$504,MATCH(A1614,Maniobras!$A$5:$A$504,0)),""))</f>
        <v/>
      </c>
      <c r="E1614" s="38" t="n"/>
      <c r="F1614" s="39">
        <f>IF(A1614="","",IFERROR(INDEX(Maniobras!$K$5:$K$504,MATCH(A1614,Maniobras!$A$5:$A$504,0)),""))</f>
        <v/>
      </c>
      <c r="G1614" s="39" t="n"/>
      <c r="H1614" s="39" t="n"/>
      <c r="I1614" s="39">
        <f>IF(G1614="","",G1614+N(H1614))</f>
        <v/>
      </c>
      <c r="J1614" s="38" t="n"/>
      <c r="K1614" s="41" t="n"/>
      <c r="L1614" s="38" t="n"/>
      <c r="M1614">
        <f>IF($A1614=Ficha!$B$3,COUNTIF($A$5:$A1614,Ficha!$B$3),"")</f>
        <v/>
      </c>
    </row>
    <row r="1615">
      <c r="A1615" s="36" t="n"/>
      <c r="B1615" s="40">
        <f>IF(A1615="","",IFERROR(INDEX(Maniobras!$B$5:$B$504,MATCH(A1615,Maniobras!$A$5:$A$504,0)),""))</f>
        <v/>
      </c>
      <c r="C1615" s="36">
        <f>IF(B1615="","",TEXT(B1615,"yyyy-mm"))</f>
        <v/>
      </c>
      <c r="D1615" s="36">
        <f>IF(A1615="","",IFERROR(INDEX(Maniobras!$D$5:$D$504,MATCH(A1615,Maniobras!$A$5:$A$504,0)),""))</f>
        <v/>
      </c>
      <c r="E1615" s="36" t="n"/>
      <c r="F1615" s="37">
        <f>IF(A1615="","",IFERROR(INDEX(Maniobras!$K$5:$K$504,MATCH(A1615,Maniobras!$A$5:$A$504,0)),""))</f>
        <v/>
      </c>
      <c r="G1615" s="37" t="n"/>
      <c r="H1615" s="37" t="n"/>
      <c r="I1615" s="37">
        <f>IF(G1615="","",G1615+N(H1615))</f>
        <v/>
      </c>
      <c r="J1615" s="36" t="n"/>
      <c r="K1615" s="40" t="n"/>
      <c r="L1615" s="36" t="n"/>
      <c r="M1615">
        <f>IF($A1615=Ficha!$B$3,COUNTIF($A$5:$A1615,Ficha!$B$3),"")</f>
        <v/>
      </c>
    </row>
    <row r="1616">
      <c r="A1616" s="38" t="n"/>
      <c r="B1616" s="41">
        <f>IF(A1616="","",IFERROR(INDEX(Maniobras!$B$5:$B$504,MATCH(A1616,Maniobras!$A$5:$A$504,0)),""))</f>
        <v/>
      </c>
      <c r="C1616" s="38">
        <f>IF(B1616="","",TEXT(B1616,"yyyy-mm"))</f>
        <v/>
      </c>
      <c r="D1616" s="38">
        <f>IF(A1616="","",IFERROR(INDEX(Maniobras!$D$5:$D$504,MATCH(A1616,Maniobras!$A$5:$A$504,0)),""))</f>
        <v/>
      </c>
      <c r="E1616" s="38" t="n"/>
      <c r="F1616" s="39">
        <f>IF(A1616="","",IFERROR(INDEX(Maniobras!$K$5:$K$504,MATCH(A1616,Maniobras!$A$5:$A$504,0)),""))</f>
        <v/>
      </c>
      <c r="G1616" s="39" t="n"/>
      <c r="H1616" s="39" t="n"/>
      <c r="I1616" s="39">
        <f>IF(G1616="","",G1616+N(H1616))</f>
        <v/>
      </c>
      <c r="J1616" s="38" t="n"/>
      <c r="K1616" s="41" t="n"/>
      <c r="L1616" s="38" t="n"/>
      <c r="M1616">
        <f>IF($A1616=Ficha!$B$3,COUNTIF($A$5:$A1616,Ficha!$B$3),"")</f>
        <v/>
      </c>
    </row>
    <row r="1617">
      <c r="A1617" s="36" t="n"/>
      <c r="B1617" s="40">
        <f>IF(A1617="","",IFERROR(INDEX(Maniobras!$B$5:$B$504,MATCH(A1617,Maniobras!$A$5:$A$504,0)),""))</f>
        <v/>
      </c>
      <c r="C1617" s="36">
        <f>IF(B1617="","",TEXT(B1617,"yyyy-mm"))</f>
        <v/>
      </c>
      <c r="D1617" s="36">
        <f>IF(A1617="","",IFERROR(INDEX(Maniobras!$D$5:$D$504,MATCH(A1617,Maniobras!$A$5:$A$504,0)),""))</f>
        <v/>
      </c>
      <c r="E1617" s="36" t="n"/>
      <c r="F1617" s="37">
        <f>IF(A1617="","",IFERROR(INDEX(Maniobras!$K$5:$K$504,MATCH(A1617,Maniobras!$A$5:$A$504,0)),""))</f>
        <v/>
      </c>
      <c r="G1617" s="37" t="n"/>
      <c r="H1617" s="37" t="n"/>
      <c r="I1617" s="37">
        <f>IF(G1617="","",G1617+N(H1617))</f>
        <v/>
      </c>
      <c r="J1617" s="36" t="n"/>
      <c r="K1617" s="40" t="n"/>
      <c r="L1617" s="36" t="n"/>
      <c r="M1617">
        <f>IF($A1617=Ficha!$B$3,COUNTIF($A$5:$A1617,Ficha!$B$3),"")</f>
        <v/>
      </c>
    </row>
    <row r="1618">
      <c r="A1618" s="38" t="n"/>
      <c r="B1618" s="41">
        <f>IF(A1618="","",IFERROR(INDEX(Maniobras!$B$5:$B$504,MATCH(A1618,Maniobras!$A$5:$A$504,0)),""))</f>
        <v/>
      </c>
      <c r="C1618" s="38">
        <f>IF(B1618="","",TEXT(B1618,"yyyy-mm"))</f>
        <v/>
      </c>
      <c r="D1618" s="38">
        <f>IF(A1618="","",IFERROR(INDEX(Maniobras!$D$5:$D$504,MATCH(A1618,Maniobras!$A$5:$A$504,0)),""))</f>
        <v/>
      </c>
      <c r="E1618" s="38" t="n"/>
      <c r="F1618" s="39">
        <f>IF(A1618="","",IFERROR(INDEX(Maniobras!$K$5:$K$504,MATCH(A1618,Maniobras!$A$5:$A$504,0)),""))</f>
        <v/>
      </c>
      <c r="G1618" s="39" t="n"/>
      <c r="H1618" s="39" t="n"/>
      <c r="I1618" s="39">
        <f>IF(G1618="","",G1618+N(H1618))</f>
        <v/>
      </c>
      <c r="J1618" s="38" t="n"/>
      <c r="K1618" s="41" t="n"/>
      <c r="L1618" s="38" t="n"/>
      <c r="M1618">
        <f>IF($A1618=Ficha!$B$3,COUNTIF($A$5:$A1618,Ficha!$B$3),"")</f>
        <v/>
      </c>
    </row>
    <row r="1619">
      <c r="A1619" s="36" t="n"/>
      <c r="B1619" s="40">
        <f>IF(A1619="","",IFERROR(INDEX(Maniobras!$B$5:$B$504,MATCH(A1619,Maniobras!$A$5:$A$504,0)),""))</f>
        <v/>
      </c>
      <c r="C1619" s="36">
        <f>IF(B1619="","",TEXT(B1619,"yyyy-mm"))</f>
        <v/>
      </c>
      <c r="D1619" s="36">
        <f>IF(A1619="","",IFERROR(INDEX(Maniobras!$D$5:$D$504,MATCH(A1619,Maniobras!$A$5:$A$504,0)),""))</f>
        <v/>
      </c>
      <c r="E1619" s="36" t="n"/>
      <c r="F1619" s="37">
        <f>IF(A1619="","",IFERROR(INDEX(Maniobras!$K$5:$K$504,MATCH(A1619,Maniobras!$A$5:$A$504,0)),""))</f>
        <v/>
      </c>
      <c r="G1619" s="37" t="n"/>
      <c r="H1619" s="37" t="n"/>
      <c r="I1619" s="37">
        <f>IF(G1619="","",G1619+N(H1619))</f>
        <v/>
      </c>
      <c r="J1619" s="36" t="n"/>
      <c r="K1619" s="40" t="n"/>
      <c r="L1619" s="36" t="n"/>
      <c r="M1619">
        <f>IF($A1619=Ficha!$B$3,COUNTIF($A$5:$A1619,Ficha!$B$3),"")</f>
        <v/>
      </c>
    </row>
    <row r="1620">
      <c r="A1620" s="38" t="n"/>
      <c r="B1620" s="41">
        <f>IF(A1620="","",IFERROR(INDEX(Maniobras!$B$5:$B$504,MATCH(A1620,Maniobras!$A$5:$A$504,0)),""))</f>
        <v/>
      </c>
      <c r="C1620" s="38">
        <f>IF(B1620="","",TEXT(B1620,"yyyy-mm"))</f>
        <v/>
      </c>
      <c r="D1620" s="38">
        <f>IF(A1620="","",IFERROR(INDEX(Maniobras!$D$5:$D$504,MATCH(A1620,Maniobras!$A$5:$A$504,0)),""))</f>
        <v/>
      </c>
      <c r="E1620" s="38" t="n"/>
      <c r="F1620" s="39">
        <f>IF(A1620="","",IFERROR(INDEX(Maniobras!$K$5:$K$504,MATCH(A1620,Maniobras!$A$5:$A$504,0)),""))</f>
        <v/>
      </c>
      <c r="G1620" s="39" t="n"/>
      <c r="H1620" s="39" t="n"/>
      <c r="I1620" s="39">
        <f>IF(G1620="","",G1620+N(H1620))</f>
        <v/>
      </c>
      <c r="J1620" s="38" t="n"/>
      <c r="K1620" s="41" t="n"/>
      <c r="L1620" s="38" t="n"/>
      <c r="M1620">
        <f>IF($A1620=Ficha!$B$3,COUNTIF($A$5:$A1620,Ficha!$B$3),"")</f>
        <v/>
      </c>
    </row>
    <row r="1621">
      <c r="A1621" s="36" t="n"/>
      <c r="B1621" s="40">
        <f>IF(A1621="","",IFERROR(INDEX(Maniobras!$B$5:$B$504,MATCH(A1621,Maniobras!$A$5:$A$504,0)),""))</f>
        <v/>
      </c>
      <c r="C1621" s="36">
        <f>IF(B1621="","",TEXT(B1621,"yyyy-mm"))</f>
        <v/>
      </c>
      <c r="D1621" s="36">
        <f>IF(A1621="","",IFERROR(INDEX(Maniobras!$D$5:$D$504,MATCH(A1621,Maniobras!$A$5:$A$504,0)),""))</f>
        <v/>
      </c>
      <c r="E1621" s="36" t="n"/>
      <c r="F1621" s="37">
        <f>IF(A1621="","",IFERROR(INDEX(Maniobras!$K$5:$K$504,MATCH(A1621,Maniobras!$A$5:$A$504,0)),""))</f>
        <v/>
      </c>
      <c r="G1621" s="37" t="n"/>
      <c r="H1621" s="37" t="n"/>
      <c r="I1621" s="37">
        <f>IF(G1621="","",G1621+N(H1621))</f>
        <v/>
      </c>
      <c r="J1621" s="36" t="n"/>
      <c r="K1621" s="40" t="n"/>
      <c r="L1621" s="36" t="n"/>
      <c r="M1621">
        <f>IF($A1621=Ficha!$B$3,COUNTIF($A$5:$A1621,Ficha!$B$3),"")</f>
        <v/>
      </c>
    </row>
    <row r="1622">
      <c r="A1622" s="38" t="n"/>
      <c r="B1622" s="41">
        <f>IF(A1622="","",IFERROR(INDEX(Maniobras!$B$5:$B$504,MATCH(A1622,Maniobras!$A$5:$A$504,0)),""))</f>
        <v/>
      </c>
      <c r="C1622" s="38">
        <f>IF(B1622="","",TEXT(B1622,"yyyy-mm"))</f>
        <v/>
      </c>
      <c r="D1622" s="38">
        <f>IF(A1622="","",IFERROR(INDEX(Maniobras!$D$5:$D$504,MATCH(A1622,Maniobras!$A$5:$A$504,0)),""))</f>
        <v/>
      </c>
      <c r="E1622" s="38" t="n"/>
      <c r="F1622" s="39">
        <f>IF(A1622="","",IFERROR(INDEX(Maniobras!$K$5:$K$504,MATCH(A1622,Maniobras!$A$5:$A$504,0)),""))</f>
        <v/>
      </c>
      <c r="G1622" s="39" t="n"/>
      <c r="H1622" s="39" t="n"/>
      <c r="I1622" s="39">
        <f>IF(G1622="","",G1622+N(H1622))</f>
        <v/>
      </c>
      <c r="J1622" s="38" t="n"/>
      <c r="K1622" s="41" t="n"/>
      <c r="L1622" s="38" t="n"/>
      <c r="M1622">
        <f>IF($A1622=Ficha!$B$3,COUNTIF($A$5:$A1622,Ficha!$B$3),"")</f>
        <v/>
      </c>
    </row>
    <row r="1623">
      <c r="A1623" s="36" t="n"/>
      <c r="B1623" s="40">
        <f>IF(A1623="","",IFERROR(INDEX(Maniobras!$B$5:$B$504,MATCH(A1623,Maniobras!$A$5:$A$504,0)),""))</f>
        <v/>
      </c>
      <c r="C1623" s="36">
        <f>IF(B1623="","",TEXT(B1623,"yyyy-mm"))</f>
        <v/>
      </c>
      <c r="D1623" s="36">
        <f>IF(A1623="","",IFERROR(INDEX(Maniobras!$D$5:$D$504,MATCH(A1623,Maniobras!$A$5:$A$504,0)),""))</f>
        <v/>
      </c>
      <c r="E1623" s="36" t="n"/>
      <c r="F1623" s="37">
        <f>IF(A1623="","",IFERROR(INDEX(Maniobras!$K$5:$K$504,MATCH(A1623,Maniobras!$A$5:$A$504,0)),""))</f>
        <v/>
      </c>
      <c r="G1623" s="37" t="n"/>
      <c r="H1623" s="37" t="n"/>
      <c r="I1623" s="37">
        <f>IF(G1623="","",G1623+N(H1623))</f>
        <v/>
      </c>
      <c r="J1623" s="36" t="n"/>
      <c r="K1623" s="40" t="n"/>
      <c r="L1623" s="36" t="n"/>
      <c r="M1623">
        <f>IF($A1623=Ficha!$B$3,COUNTIF($A$5:$A1623,Ficha!$B$3),"")</f>
        <v/>
      </c>
    </row>
    <row r="1624">
      <c r="A1624" s="38" t="n"/>
      <c r="B1624" s="41">
        <f>IF(A1624="","",IFERROR(INDEX(Maniobras!$B$5:$B$504,MATCH(A1624,Maniobras!$A$5:$A$504,0)),""))</f>
        <v/>
      </c>
      <c r="C1624" s="38">
        <f>IF(B1624="","",TEXT(B1624,"yyyy-mm"))</f>
        <v/>
      </c>
      <c r="D1624" s="38">
        <f>IF(A1624="","",IFERROR(INDEX(Maniobras!$D$5:$D$504,MATCH(A1624,Maniobras!$A$5:$A$504,0)),""))</f>
        <v/>
      </c>
      <c r="E1624" s="38" t="n"/>
      <c r="F1624" s="39">
        <f>IF(A1624="","",IFERROR(INDEX(Maniobras!$K$5:$K$504,MATCH(A1624,Maniobras!$A$5:$A$504,0)),""))</f>
        <v/>
      </c>
      <c r="G1624" s="39" t="n"/>
      <c r="H1624" s="39" t="n"/>
      <c r="I1624" s="39">
        <f>IF(G1624="","",G1624+N(H1624))</f>
        <v/>
      </c>
      <c r="J1624" s="38" t="n"/>
      <c r="K1624" s="41" t="n"/>
      <c r="L1624" s="38" t="n"/>
      <c r="M1624">
        <f>IF($A1624=Ficha!$B$3,COUNTIF($A$5:$A1624,Ficha!$B$3),"")</f>
        <v/>
      </c>
    </row>
    <row r="1625">
      <c r="A1625" s="36" t="n"/>
      <c r="B1625" s="40">
        <f>IF(A1625="","",IFERROR(INDEX(Maniobras!$B$5:$B$504,MATCH(A1625,Maniobras!$A$5:$A$504,0)),""))</f>
        <v/>
      </c>
      <c r="C1625" s="36">
        <f>IF(B1625="","",TEXT(B1625,"yyyy-mm"))</f>
        <v/>
      </c>
      <c r="D1625" s="36">
        <f>IF(A1625="","",IFERROR(INDEX(Maniobras!$D$5:$D$504,MATCH(A1625,Maniobras!$A$5:$A$504,0)),""))</f>
        <v/>
      </c>
      <c r="E1625" s="36" t="n"/>
      <c r="F1625" s="37">
        <f>IF(A1625="","",IFERROR(INDEX(Maniobras!$K$5:$K$504,MATCH(A1625,Maniobras!$A$5:$A$504,0)),""))</f>
        <v/>
      </c>
      <c r="G1625" s="37" t="n"/>
      <c r="H1625" s="37" t="n"/>
      <c r="I1625" s="37">
        <f>IF(G1625="","",G1625+N(H1625))</f>
        <v/>
      </c>
      <c r="J1625" s="36" t="n"/>
      <c r="K1625" s="40" t="n"/>
      <c r="L1625" s="36" t="n"/>
      <c r="M1625">
        <f>IF($A1625=Ficha!$B$3,COUNTIF($A$5:$A1625,Ficha!$B$3),"")</f>
        <v/>
      </c>
    </row>
    <row r="1626">
      <c r="A1626" s="38" t="n"/>
      <c r="B1626" s="41">
        <f>IF(A1626="","",IFERROR(INDEX(Maniobras!$B$5:$B$504,MATCH(A1626,Maniobras!$A$5:$A$504,0)),""))</f>
        <v/>
      </c>
      <c r="C1626" s="38">
        <f>IF(B1626="","",TEXT(B1626,"yyyy-mm"))</f>
        <v/>
      </c>
      <c r="D1626" s="38">
        <f>IF(A1626="","",IFERROR(INDEX(Maniobras!$D$5:$D$504,MATCH(A1626,Maniobras!$A$5:$A$504,0)),""))</f>
        <v/>
      </c>
      <c r="E1626" s="38" t="n"/>
      <c r="F1626" s="39">
        <f>IF(A1626="","",IFERROR(INDEX(Maniobras!$K$5:$K$504,MATCH(A1626,Maniobras!$A$5:$A$504,0)),""))</f>
        <v/>
      </c>
      <c r="G1626" s="39" t="n"/>
      <c r="H1626" s="39" t="n"/>
      <c r="I1626" s="39">
        <f>IF(G1626="","",G1626+N(H1626))</f>
        <v/>
      </c>
      <c r="J1626" s="38" t="n"/>
      <c r="K1626" s="41" t="n"/>
      <c r="L1626" s="38" t="n"/>
      <c r="M1626">
        <f>IF($A1626=Ficha!$B$3,COUNTIF($A$5:$A1626,Ficha!$B$3),"")</f>
        <v/>
      </c>
    </row>
    <row r="1627">
      <c r="A1627" s="36" t="n"/>
      <c r="B1627" s="40">
        <f>IF(A1627="","",IFERROR(INDEX(Maniobras!$B$5:$B$504,MATCH(A1627,Maniobras!$A$5:$A$504,0)),""))</f>
        <v/>
      </c>
      <c r="C1627" s="36">
        <f>IF(B1627="","",TEXT(B1627,"yyyy-mm"))</f>
        <v/>
      </c>
      <c r="D1627" s="36">
        <f>IF(A1627="","",IFERROR(INDEX(Maniobras!$D$5:$D$504,MATCH(A1627,Maniobras!$A$5:$A$504,0)),""))</f>
        <v/>
      </c>
      <c r="E1627" s="36" t="n"/>
      <c r="F1627" s="37">
        <f>IF(A1627="","",IFERROR(INDEX(Maniobras!$K$5:$K$504,MATCH(A1627,Maniobras!$A$5:$A$504,0)),""))</f>
        <v/>
      </c>
      <c r="G1627" s="37" t="n"/>
      <c r="H1627" s="37" t="n"/>
      <c r="I1627" s="37">
        <f>IF(G1627="","",G1627+N(H1627))</f>
        <v/>
      </c>
      <c r="J1627" s="36" t="n"/>
      <c r="K1627" s="40" t="n"/>
      <c r="L1627" s="36" t="n"/>
      <c r="M1627">
        <f>IF($A1627=Ficha!$B$3,COUNTIF($A$5:$A1627,Ficha!$B$3),"")</f>
        <v/>
      </c>
    </row>
    <row r="1628">
      <c r="A1628" s="38" t="n"/>
      <c r="B1628" s="41">
        <f>IF(A1628="","",IFERROR(INDEX(Maniobras!$B$5:$B$504,MATCH(A1628,Maniobras!$A$5:$A$504,0)),""))</f>
        <v/>
      </c>
      <c r="C1628" s="38">
        <f>IF(B1628="","",TEXT(B1628,"yyyy-mm"))</f>
        <v/>
      </c>
      <c r="D1628" s="38">
        <f>IF(A1628="","",IFERROR(INDEX(Maniobras!$D$5:$D$504,MATCH(A1628,Maniobras!$A$5:$A$504,0)),""))</f>
        <v/>
      </c>
      <c r="E1628" s="38" t="n"/>
      <c r="F1628" s="39">
        <f>IF(A1628="","",IFERROR(INDEX(Maniobras!$K$5:$K$504,MATCH(A1628,Maniobras!$A$5:$A$504,0)),""))</f>
        <v/>
      </c>
      <c r="G1628" s="39" t="n"/>
      <c r="H1628" s="39" t="n"/>
      <c r="I1628" s="39">
        <f>IF(G1628="","",G1628+N(H1628))</f>
        <v/>
      </c>
      <c r="J1628" s="38" t="n"/>
      <c r="K1628" s="41" t="n"/>
      <c r="L1628" s="38" t="n"/>
      <c r="M1628">
        <f>IF($A1628=Ficha!$B$3,COUNTIF($A$5:$A1628,Ficha!$B$3),"")</f>
        <v/>
      </c>
    </row>
    <row r="1629">
      <c r="A1629" s="36" t="n"/>
      <c r="B1629" s="40">
        <f>IF(A1629="","",IFERROR(INDEX(Maniobras!$B$5:$B$504,MATCH(A1629,Maniobras!$A$5:$A$504,0)),""))</f>
        <v/>
      </c>
      <c r="C1629" s="36">
        <f>IF(B1629="","",TEXT(B1629,"yyyy-mm"))</f>
        <v/>
      </c>
      <c r="D1629" s="36">
        <f>IF(A1629="","",IFERROR(INDEX(Maniobras!$D$5:$D$504,MATCH(A1629,Maniobras!$A$5:$A$504,0)),""))</f>
        <v/>
      </c>
      <c r="E1629" s="36" t="n"/>
      <c r="F1629" s="37">
        <f>IF(A1629="","",IFERROR(INDEX(Maniobras!$K$5:$K$504,MATCH(A1629,Maniobras!$A$5:$A$504,0)),""))</f>
        <v/>
      </c>
      <c r="G1629" s="37" t="n"/>
      <c r="H1629" s="37" t="n"/>
      <c r="I1629" s="37">
        <f>IF(G1629="","",G1629+N(H1629))</f>
        <v/>
      </c>
      <c r="J1629" s="36" t="n"/>
      <c r="K1629" s="40" t="n"/>
      <c r="L1629" s="36" t="n"/>
      <c r="M1629">
        <f>IF($A1629=Ficha!$B$3,COUNTIF($A$5:$A1629,Ficha!$B$3),"")</f>
        <v/>
      </c>
    </row>
    <row r="1630">
      <c r="A1630" s="38" t="n"/>
      <c r="B1630" s="41">
        <f>IF(A1630="","",IFERROR(INDEX(Maniobras!$B$5:$B$504,MATCH(A1630,Maniobras!$A$5:$A$504,0)),""))</f>
        <v/>
      </c>
      <c r="C1630" s="38">
        <f>IF(B1630="","",TEXT(B1630,"yyyy-mm"))</f>
        <v/>
      </c>
      <c r="D1630" s="38">
        <f>IF(A1630="","",IFERROR(INDEX(Maniobras!$D$5:$D$504,MATCH(A1630,Maniobras!$A$5:$A$504,0)),""))</f>
        <v/>
      </c>
      <c r="E1630" s="38" t="n"/>
      <c r="F1630" s="39">
        <f>IF(A1630="","",IFERROR(INDEX(Maniobras!$K$5:$K$504,MATCH(A1630,Maniobras!$A$5:$A$504,0)),""))</f>
        <v/>
      </c>
      <c r="G1630" s="39" t="n"/>
      <c r="H1630" s="39" t="n"/>
      <c r="I1630" s="39">
        <f>IF(G1630="","",G1630+N(H1630))</f>
        <v/>
      </c>
      <c r="J1630" s="38" t="n"/>
      <c r="K1630" s="41" t="n"/>
      <c r="L1630" s="38" t="n"/>
      <c r="M1630">
        <f>IF($A1630=Ficha!$B$3,COUNTIF($A$5:$A1630,Ficha!$B$3),"")</f>
        <v/>
      </c>
    </row>
    <row r="1631">
      <c r="A1631" s="36" t="n"/>
      <c r="B1631" s="40">
        <f>IF(A1631="","",IFERROR(INDEX(Maniobras!$B$5:$B$504,MATCH(A1631,Maniobras!$A$5:$A$504,0)),""))</f>
        <v/>
      </c>
      <c r="C1631" s="36">
        <f>IF(B1631="","",TEXT(B1631,"yyyy-mm"))</f>
        <v/>
      </c>
      <c r="D1631" s="36">
        <f>IF(A1631="","",IFERROR(INDEX(Maniobras!$D$5:$D$504,MATCH(A1631,Maniobras!$A$5:$A$504,0)),""))</f>
        <v/>
      </c>
      <c r="E1631" s="36" t="n"/>
      <c r="F1631" s="37">
        <f>IF(A1631="","",IFERROR(INDEX(Maniobras!$K$5:$K$504,MATCH(A1631,Maniobras!$A$5:$A$504,0)),""))</f>
        <v/>
      </c>
      <c r="G1631" s="37" t="n"/>
      <c r="H1631" s="37" t="n"/>
      <c r="I1631" s="37">
        <f>IF(G1631="","",G1631+N(H1631))</f>
        <v/>
      </c>
      <c r="J1631" s="36" t="n"/>
      <c r="K1631" s="40" t="n"/>
      <c r="L1631" s="36" t="n"/>
      <c r="M1631">
        <f>IF($A1631=Ficha!$B$3,COUNTIF($A$5:$A1631,Ficha!$B$3),"")</f>
        <v/>
      </c>
    </row>
    <row r="1632">
      <c r="A1632" s="38" t="n"/>
      <c r="B1632" s="41">
        <f>IF(A1632="","",IFERROR(INDEX(Maniobras!$B$5:$B$504,MATCH(A1632,Maniobras!$A$5:$A$504,0)),""))</f>
        <v/>
      </c>
      <c r="C1632" s="38">
        <f>IF(B1632="","",TEXT(B1632,"yyyy-mm"))</f>
        <v/>
      </c>
      <c r="D1632" s="38">
        <f>IF(A1632="","",IFERROR(INDEX(Maniobras!$D$5:$D$504,MATCH(A1632,Maniobras!$A$5:$A$504,0)),""))</f>
        <v/>
      </c>
      <c r="E1632" s="38" t="n"/>
      <c r="F1632" s="39">
        <f>IF(A1632="","",IFERROR(INDEX(Maniobras!$K$5:$K$504,MATCH(A1632,Maniobras!$A$5:$A$504,0)),""))</f>
        <v/>
      </c>
      <c r="G1632" s="39" t="n"/>
      <c r="H1632" s="39" t="n"/>
      <c r="I1632" s="39">
        <f>IF(G1632="","",G1632+N(H1632))</f>
        <v/>
      </c>
      <c r="J1632" s="38" t="n"/>
      <c r="K1632" s="41" t="n"/>
      <c r="L1632" s="38" t="n"/>
      <c r="M1632">
        <f>IF($A1632=Ficha!$B$3,COUNTIF($A$5:$A1632,Ficha!$B$3),"")</f>
        <v/>
      </c>
    </row>
    <row r="1633">
      <c r="A1633" s="36" t="n"/>
      <c r="B1633" s="40">
        <f>IF(A1633="","",IFERROR(INDEX(Maniobras!$B$5:$B$504,MATCH(A1633,Maniobras!$A$5:$A$504,0)),""))</f>
        <v/>
      </c>
      <c r="C1633" s="36">
        <f>IF(B1633="","",TEXT(B1633,"yyyy-mm"))</f>
        <v/>
      </c>
      <c r="D1633" s="36">
        <f>IF(A1633="","",IFERROR(INDEX(Maniobras!$D$5:$D$504,MATCH(A1633,Maniobras!$A$5:$A$504,0)),""))</f>
        <v/>
      </c>
      <c r="E1633" s="36" t="n"/>
      <c r="F1633" s="37">
        <f>IF(A1633="","",IFERROR(INDEX(Maniobras!$K$5:$K$504,MATCH(A1633,Maniobras!$A$5:$A$504,0)),""))</f>
        <v/>
      </c>
      <c r="G1633" s="37" t="n"/>
      <c r="H1633" s="37" t="n"/>
      <c r="I1633" s="37">
        <f>IF(G1633="","",G1633+N(H1633))</f>
        <v/>
      </c>
      <c r="J1633" s="36" t="n"/>
      <c r="K1633" s="40" t="n"/>
      <c r="L1633" s="36" t="n"/>
      <c r="M1633">
        <f>IF($A1633=Ficha!$B$3,COUNTIF($A$5:$A1633,Ficha!$B$3),"")</f>
        <v/>
      </c>
    </row>
    <row r="1634">
      <c r="A1634" s="38" t="n"/>
      <c r="B1634" s="41">
        <f>IF(A1634="","",IFERROR(INDEX(Maniobras!$B$5:$B$504,MATCH(A1634,Maniobras!$A$5:$A$504,0)),""))</f>
        <v/>
      </c>
      <c r="C1634" s="38">
        <f>IF(B1634="","",TEXT(B1634,"yyyy-mm"))</f>
        <v/>
      </c>
      <c r="D1634" s="38">
        <f>IF(A1634="","",IFERROR(INDEX(Maniobras!$D$5:$D$504,MATCH(A1634,Maniobras!$A$5:$A$504,0)),""))</f>
        <v/>
      </c>
      <c r="E1634" s="38" t="n"/>
      <c r="F1634" s="39">
        <f>IF(A1634="","",IFERROR(INDEX(Maniobras!$K$5:$K$504,MATCH(A1634,Maniobras!$A$5:$A$504,0)),""))</f>
        <v/>
      </c>
      <c r="G1634" s="39" t="n"/>
      <c r="H1634" s="39" t="n"/>
      <c r="I1634" s="39">
        <f>IF(G1634="","",G1634+N(H1634))</f>
        <v/>
      </c>
      <c r="J1634" s="38" t="n"/>
      <c r="K1634" s="41" t="n"/>
      <c r="L1634" s="38" t="n"/>
      <c r="M1634">
        <f>IF($A1634=Ficha!$B$3,COUNTIF($A$5:$A1634,Ficha!$B$3),"")</f>
        <v/>
      </c>
    </row>
    <row r="1635">
      <c r="A1635" s="36" t="n"/>
      <c r="B1635" s="40">
        <f>IF(A1635="","",IFERROR(INDEX(Maniobras!$B$5:$B$504,MATCH(A1635,Maniobras!$A$5:$A$504,0)),""))</f>
        <v/>
      </c>
      <c r="C1635" s="36">
        <f>IF(B1635="","",TEXT(B1635,"yyyy-mm"))</f>
        <v/>
      </c>
      <c r="D1635" s="36">
        <f>IF(A1635="","",IFERROR(INDEX(Maniobras!$D$5:$D$504,MATCH(A1635,Maniobras!$A$5:$A$504,0)),""))</f>
        <v/>
      </c>
      <c r="E1635" s="36" t="n"/>
      <c r="F1635" s="37">
        <f>IF(A1635="","",IFERROR(INDEX(Maniobras!$K$5:$K$504,MATCH(A1635,Maniobras!$A$5:$A$504,0)),""))</f>
        <v/>
      </c>
      <c r="G1635" s="37" t="n"/>
      <c r="H1635" s="37" t="n"/>
      <c r="I1635" s="37">
        <f>IF(G1635="","",G1635+N(H1635))</f>
        <v/>
      </c>
      <c r="J1635" s="36" t="n"/>
      <c r="K1635" s="40" t="n"/>
      <c r="L1635" s="36" t="n"/>
      <c r="M1635">
        <f>IF($A1635=Ficha!$B$3,COUNTIF($A$5:$A1635,Ficha!$B$3),"")</f>
        <v/>
      </c>
    </row>
    <row r="1636">
      <c r="A1636" s="38" t="n"/>
      <c r="B1636" s="41">
        <f>IF(A1636="","",IFERROR(INDEX(Maniobras!$B$5:$B$504,MATCH(A1636,Maniobras!$A$5:$A$504,0)),""))</f>
        <v/>
      </c>
      <c r="C1636" s="38">
        <f>IF(B1636="","",TEXT(B1636,"yyyy-mm"))</f>
        <v/>
      </c>
      <c r="D1636" s="38">
        <f>IF(A1636="","",IFERROR(INDEX(Maniobras!$D$5:$D$504,MATCH(A1636,Maniobras!$A$5:$A$504,0)),""))</f>
        <v/>
      </c>
      <c r="E1636" s="38" t="n"/>
      <c r="F1636" s="39">
        <f>IF(A1636="","",IFERROR(INDEX(Maniobras!$K$5:$K$504,MATCH(A1636,Maniobras!$A$5:$A$504,0)),""))</f>
        <v/>
      </c>
      <c r="G1636" s="39" t="n"/>
      <c r="H1636" s="39" t="n"/>
      <c r="I1636" s="39">
        <f>IF(G1636="","",G1636+N(H1636))</f>
        <v/>
      </c>
      <c r="J1636" s="38" t="n"/>
      <c r="K1636" s="41" t="n"/>
      <c r="L1636" s="38" t="n"/>
      <c r="M1636">
        <f>IF($A1636=Ficha!$B$3,COUNTIF($A$5:$A1636,Ficha!$B$3),"")</f>
        <v/>
      </c>
    </row>
    <row r="1637">
      <c r="A1637" s="36" t="n"/>
      <c r="B1637" s="40">
        <f>IF(A1637="","",IFERROR(INDEX(Maniobras!$B$5:$B$504,MATCH(A1637,Maniobras!$A$5:$A$504,0)),""))</f>
        <v/>
      </c>
      <c r="C1637" s="36">
        <f>IF(B1637="","",TEXT(B1637,"yyyy-mm"))</f>
        <v/>
      </c>
      <c r="D1637" s="36">
        <f>IF(A1637="","",IFERROR(INDEX(Maniobras!$D$5:$D$504,MATCH(A1637,Maniobras!$A$5:$A$504,0)),""))</f>
        <v/>
      </c>
      <c r="E1637" s="36" t="n"/>
      <c r="F1637" s="37">
        <f>IF(A1637="","",IFERROR(INDEX(Maniobras!$K$5:$K$504,MATCH(A1637,Maniobras!$A$5:$A$504,0)),""))</f>
        <v/>
      </c>
      <c r="G1637" s="37" t="n"/>
      <c r="H1637" s="37" t="n"/>
      <c r="I1637" s="37">
        <f>IF(G1637="","",G1637+N(H1637))</f>
        <v/>
      </c>
      <c r="J1637" s="36" t="n"/>
      <c r="K1637" s="40" t="n"/>
      <c r="L1637" s="36" t="n"/>
      <c r="M1637">
        <f>IF($A1637=Ficha!$B$3,COUNTIF($A$5:$A1637,Ficha!$B$3),"")</f>
        <v/>
      </c>
    </row>
    <row r="1638">
      <c r="A1638" s="38" t="n"/>
      <c r="B1638" s="41">
        <f>IF(A1638="","",IFERROR(INDEX(Maniobras!$B$5:$B$504,MATCH(A1638,Maniobras!$A$5:$A$504,0)),""))</f>
        <v/>
      </c>
      <c r="C1638" s="38">
        <f>IF(B1638="","",TEXT(B1638,"yyyy-mm"))</f>
        <v/>
      </c>
      <c r="D1638" s="38">
        <f>IF(A1638="","",IFERROR(INDEX(Maniobras!$D$5:$D$504,MATCH(A1638,Maniobras!$A$5:$A$504,0)),""))</f>
        <v/>
      </c>
      <c r="E1638" s="38" t="n"/>
      <c r="F1638" s="39">
        <f>IF(A1638="","",IFERROR(INDEX(Maniobras!$K$5:$K$504,MATCH(A1638,Maniobras!$A$5:$A$504,0)),""))</f>
        <v/>
      </c>
      <c r="G1638" s="39" t="n"/>
      <c r="H1638" s="39" t="n"/>
      <c r="I1638" s="39">
        <f>IF(G1638="","",G1638+N(H1638))</f>
        <v/>
      </c>
      <c r="J1638" s="38" t="n"/>
      <c r="K1638" s="41" t="n"/>
      <c r="L1638" s="38" t="n"/>
      <c r="M1638">
        <f>IF($A1638=Ficha!$B$3,COUNTIF($A$5:$A1638,Ficha!$B$3),"")</f>
        <v/>
      </c>
    </row>
    <row r="1639">
      <c r="A1639" s="36" t="n"/>
      <c r="B1639" s="40">
        <f>IF(A1639="","",IFERROR(INDEX(Maniobras!$B$5:$B$504,MATCH(A1639,Maniobras!$A$5:$A$504,0)),""))</f>
        <v/>
      </c>
      <c r="C1639" s="36">
        <f>IF(B1639="","",TEXT(B1639,"yyyy-mm"))</f>
        <v/>
      </c>
      <c r="D1639" s="36">
        <f>IF(A1639="","",IFERROR(INDEX(Maniobras!$D$5:$D$504,MATCH(A1639,Maniobras!$A$5:$A$504,0)),""))</f>
        <v/>
      </c>
      <c r="E1639" s="36" t="n"/>
      <c r="F1639" s="37">
        <f>IF(A1639="","",IFERROR(INDEX(Maniobras!$K$5:$K$504,MATCH(A1639,Maniobras!$A$5:$A$504,0)),""))</f>
        <v/>
      </c>
      <c r="G1639" s="37" t="n"/>
      <c r="H1639" s="37" t="n"/>
      <c r="I1639" s="37">
        <f>IF(G1639="","",G1639+N(H1639))</f>
        <v/>
      </c>
      <c r="J1639" s="36" t="n"/>
      <c r="K1639" s="40" t="n"/>
      <c r="L1639" s="36" t="n"/>
      <c r="M1639">
        <f>IF($A1639=Ficha!$B$3,COUNTIF($A$5:$A1639,Ficha!$B$3),"")</f>
        <v/>
      </c>
    </row>
    <row r="1640">
      <c r="A1640" s="38" t="n"/>
      <c r="B1640" s="41">
        <f>IF(A1640="","",IFERROR(INDEX(Maniobras!$B$5:$B$504,MATCH(A1640,Maniobras!$A$5:$A$504,0)),""))</f>
        <v/>
      </c>
      <c r="C1640" s="38">
        <f>IF(B1640="","",TEXT(B1640,"yyyy-mm"))</f>
        <v/>
      </c>
      <c r="D1640" s="38">
        <f>IF(A1640="","",IFERROR(INDEX(Maniobras!$D$5:$D$504,MATCH(A1640,Maniobras!$A$5:$A$504,0)),""))</f>
        <v/>
      </c>
      <c r="E1640" s="38" t="n"/>
      <c r="F1640" s="39">
        <f>IF(A1640="","",IFERROR(INDEX(Maniobras!$K$5:$K$504,MATCH(A1640,Maniobras!$A$5:$A$504,0)),""))</f>
        <v/>
      </c>
      <c r="G1640" s="39" t="n"/>
      <c r="H1640" s="39" t="n"/>
      <c r="I1640" s="39">
        <f>IF(G1640="","",G1640+N(H1640))</f>
        <v/>
      </c>
      <c r="J1640" s="38" t="n"/>
      <c r="K1640" s="41" t="n"/>
      <c r="L1640" s="38" t="n"/>
      <c r="M1640">
        <f>IF($A1640=Ficha!$B$3,COUNTIF($A$5:$A1640,Ficha!$B$3),"")</f>
        <v/>
      </c>
    </row>
    <row r="1641">
      <c r="A1641" s="36" t="n"/>
      <c r="B1641" s="40">
        <f>IF(A1641="","",IFERROR(INDEX(Maniobras!$B$5:$B$504,MATCH(A1641,Maniobras!$A$5:$A$504,0)),""))</f>
        <v/>
      </c>
      <c r="C1641" s="36">
        <f>IF(B1641="","",TEXT(B1641,"yyyy-mm"))</f>
        <v/>
      </c>
      <c r="D1641" s="36">
        <f>IF(A1641="","",IFERROR(INDEX(Maniobras!$D$5:$D$504,MATCH(A1641,Maniobras!$A$5:$A$504,0)),""))</f>
        <v/>
      </c>
      <c r="E1641" s="36" t="n"/>
      <c r="F1641" s="37">
        <f>IF(A1641="","",IFERROR(INDEX(Maniobras!$K$5:$K$504,MATCH(A1641,Maniobras!$A$5:$A$504,0)),""))</f>
        <v/>
      </c>
      <c r="G1641" s="37" t="n"/>
      <c r="H1641" s="37" t="n"/>
      <c r="I1641" s="37">
        <f>IF(G1641="","",G1641+N(H1641))</f>
        <v/>
      </c>
      <c r="J1641" s="36" t="n"/>
      <c r="K1641" s="40" t="n"/>
      <c r="L1641" s="36" t="n"/>
      <c r="M1641">
        <f>IF($A1641=Ficha!$B$3,COUNTIF($A$5:$A1641,Ficha!$B$3),"")</f>
        <v/>
      </c>
    </row>
    <row r="1642">
      <c r="A1642" s="38" t="n"/>
      <c r="B1642" s="41">
        <f>IF(A1642="","",IFERROR(INDEX(Maniobras!$B$5:$B$504,MATCH(A1642,Maniobras!$A$5:$A$504,0)),""))</f>
        <v/>
      </c>
      <c r="C1642" s="38">
        <f>IF(B1642="","",TEXT(B1642,"yyyy-mm"))</f>
        <v/>
      </c>
      <c r="D1642" s="38">
        <f>IF(A1642="","",IFERROR(INDEX(Maniobras!$D$5:$D$504,MATCH(A1642,Maniobras!$A$5:$A$504,0)),""))</f>
        <v/>
      </c>
      <c r="E1642" s="38" t="n"/>
      <c r="F1642" s="39">
        <f>IF(A1642="","",IFERROR(INDEX(Maniobras!$K$5:$K$504,MATCH(A1642,Maniobras!$A$5:$A$504,0)),""))</f>
        <v/>
      </c>
      <c r="G1642" s="39" t="n"/>
      <c r="H1642" s="39" t="n"/>
      <c r="I1642" s="39">
        <f>IF(G1642="","",G1642+N(H1642))</f>
        <v/>
      </c>
      <c r="J1642" s="38" t="n"/>
      <c r="K1642" s="41" t="n"/>
      <c r="L1642" s="38" t="n"/>
      <c r="M1642">
        <f>IF($A1642=Ficha!$B$3,COUNTIF($A$5:$A1642,Ficha!$B$3),"")</f>
        <v/>
      </c>
    </row>
    <row r="1643">
      <c r="A1643" s="36" t="n"/>
      <c r="B1643" s="40">
        <f>IF(A1643="","",IFERROR(INDEX(Maniobras!$B$5:$B$504,MATCH(A1643,Maniobras!$A$5:$A$504,0)),""))</f>
        <v/>
      </c>
      <c r="C1643" s="36">
        <f>IF(B1643="","",TEXT(B1643,"yyyy-mm"))</f>
        <v/>
      </c>
      <c r="D1643" s="36">
        <f>IF(A1643="","",IFERROR(INDEX(Maniobras!$D$5:$D$504,MATCH(A1643,Maniobras!$A$5:$A$504,0)),""))</f>
        <v/>
      </c>
      <c r="E1643" s="36" t="n"/>
      <c r="F1643" s="37">
        <f>IF(A1643="","",IFERROR(INDEX(Maniobras!$K$5:$K$504,MATCH(A1643,Maniobras!$A$5:$A$504,0)),""))</f>
        <v/>
      </c>
      <c r="G1643" s="37" t="n"/>
      <c r="H1643" s="37" t="n"/>
      <c r="I1643" s="37">
        <f>IF(G1643="","",G1643+N(H1643))</f>
        <v/>
      </c>
      <c r="J1643" s="36" t="n"/>
      <c r="K1643" s="40" t="n"/>
      <c r="L1643" s="36" t="n"/>
      <c r="M1643">
        <f>IF($A1643=Ficha!$B$3,COUNTIF($A$5:$A1643,Ficha!$B$3),"")</f>
        <v/>
      </c>
    </row>
    <row r="1644">
      <c r="A1644" s="38" t="n"/>
      <c r="B1644" s="41">
        <f>IF(A1644="","",IFERROR(INDEX(Maniobras!$B$5:$B$504,MATCH(A1644,Maniobras!$A$5:$A$504,0)),""))</f>
        <v/>
      </c>
      <c r="C1644" s="38">
        <f>IF(B1644="","",TEXT(B1644,"yyyy-mm"))</f>
        <v/>
      </c>
      <c r="D1644" s="38">
        <f>IF(A1644="","",IFERROR(INDEX(Maniobras!$D$5:$D$504,MATCH(A1644,Maniobras!$A$5:$A$504,0)),""))</f>
        <v/>
      </c>
      <c r="E1644" s="38" t="n"/>
      <c r="F1644" s="39">
        <f>IF(A1644="","",IFERROR(INDEX(Maniobras!$K$5:$K$504,MATCH(A1644,Maniobras!$A$5:$A$504,0)),""))</f>
        <v/>
      </c>
      <c r="G1644" s="39" t="n"/>
      <c r="H1644" s="39" t="n"/>
      <c r="I1644" s="39">
        <f>IF(G1644="","",G1644+N(H1644))</f>
        <v/>
      </c>
      <c r="J1644" s="38" t="n"/>
      <c r="K1644" s="41" t="n"/>
      <c r="L1644" s="38" t="n"/>
      <c r="M1644">
        <f>IF($A1644=Ficha!$B$3,COUNTIF($A$5:$A1644,Ficha!$B$3),"")</f>
        <v/>
      </c>
    </row>
    <row r="1645">
      <c r="A1645" s="36" t="n"/>
      <c r="B1645" s="40">
        <f>IF(A1645="","",IFERROR(INDEX(Maniobras!$B$5:$B$504,MATCH(A1645,Maniobras!$A$5:$A$504,0)),""))</f>
        <v/>
      </c>
      <c r="C1645" s="36">
        <f>IF(B1645="","",TEXT(B1645,"yyyy-mm"))</f>
        <v/>
      </c>
      <c r="D1645" s="36">
        <f>IF(A1645="","",IFERROR(INDEX(Maniobras!$D$5:$D$504,MATCH(A1645,Maniobras!$A$5:$A$504,0)),""))</f>
        <v/>
      </c>
      <c r="E1645" s="36" t="n"/>
      <c r="F1645" s="37">
        <f>IF(A1645="","",IFERROR(INDEX(Maniobras!$K$5:$K$504,MATCH(A1645,Maniobras!$A$5:$A$504,0)),""))</f>
        <v/>
      </c>
      <c r="G1645" s="37" t="n"/>
      <c r="H1645" s="37" t="n"/>
      <c r="I1645" s="37">
        <f>IF(G1645="","",G1645+N(H1645))</f>
        <v/>
      </c>
      <c r="J1645" s="36" t="n"/>
      <c r="K1645" s="40" t="n"/>
      <c r="L1645" s="36" t="n"/>
      <c r="M1645">
        <f>IF($A1645=Ficha!$B$3,COUNTIF($A$5:$A1645,Ficha!$B$3),"")</f>
        <v/>
      </c>
    </row>
    <row r="1646">
      <c r="A1646" s="38" t="n"/>
      <c r="B1646" s="41">
        <f>IF(A1646="","",IFERROR(INDEX(Maniobras!$B$5:$B$504,MATCH(A1646,Maniobras!$A$5:$A$504,0)),""))</f>
        <v/>
      </c>
      <c r="C1646" s="38">
        <f>IF(B1646="","",TEXT(B1646,"yyyy-mm"))</f>
        <v/>
      </c>
      <c r="D1646" s="38">
        <f>IF(A1646="","",IFERROR(INDEX(Maniobras!$D$5:$D$504,MATCH(A1646,Maniobras!$A$5:$A$504,0)),""))</f>
        <v/>
      </c>
      <c r="E1646" s="38" t="n"/>
      <c r="F1646" s="39">
        <f>IF(A1646="","",IFERROR(INDEX(Maniobras!$K$5:$K$504,MATCH(A1646,Maniobras!$A$5:$A$504,0)),""))</f>
        <v/>
      </c>
      <c r="G1646" s="39" t="n"/>
      <c r="H1646" s="39" t="n"/>
      <c r="I1646" s="39">
        <f>IF(G1646="","",G1646+N(H1646))</f>
        <v/>
      </c>
      <c r="J1646" s="38" t="n"/>
      <c r="K1646" s="41" t="n"/>
      <c r="L1646" s="38" t="n"/>
      <c r="M1646">
        <f>IF($A1646=Ficha!$B$3,COUNTIF($A$5:$A1646,Ficha!$B$3),"")</f>
        <v/>
      </c>
    </row>
    <row r="1647">
      <c r="A1647" s="36" t="n"/>
      <c r="B1647" s="40">
        <f>IF(A1647="","",IFERROR(INDEX(Maniobras!$B$5:$B$504,MATCH(A1647,Maniobras!$A$5:$A$504,0)),""))</f>
        <v/>
      </c>
      <c r="C1647" s="36">
        <f>IF(B1647="","",TEXT(B1647,"yyyy-mm"))</f>
        <v/>
      </c>
      <c r="D1647" s="36">
        <f>IF(A1647="","",IFERROR(INDEX(Maniobras!$D$5:$D$504,MATCH(A1647,Maniobras!$A$5:$A$504,0)),""))</f>
        <v/>
      </c>
      <c r="E1647" s="36" t="n"/>
      <c r="F1647" s="37">
        <f>IF(A1647="","",IFERROR(INDEX(Maniobras!$K$5:$K$504,MATCH(A1647,Maniobras!$A$5:$A$504,0)),""))</f>
        <v/>
      </c>
      <c r="G1647" s="37" t="n"/>
      <c r="H1647" s="37" t="n"/>
      <c r="I1647" s="37">
        <f>IF(G1647="","",G1647+N(H1647))</f>
        <v/>
      </c>
      <c r="J1647" s="36" t="n"/>
      <c r="K1647" s="40" t="n"/>
      <c r="L1647" s="36" t="n"/>
      <c r="M1647">
        <f>IF($A1647=Ficha!$B$3,COUNTIF($A$5:$A1647,Ficha!$B$3),"")</f>
        <v/>
      </c>
    </row>
    <row r="1648">
      <c r="A1648" s="38" t="n"/>
      <c r="B1648" s="41">
        <f>IF(A1648="","",IFERROR(INDEX(Maniobras!$B$5:$B$504,MATCH(A1648,Maniobras!$A$5:$A$504,0)),""))</f>
        <v/>
      </c>
      <c r="C1648" s="38">
        <f>IF(B1648="","",TEXT(B1648,"yyyy-mm"))</f>
        <v/>
      </c>
      <c r="D1648" s="38">
        <f>IF(A1648="","",IFERROR(INDEX(Maniobras!$D$5:$D$504,MATCH(A1648,Maniobras!$A$5:$A$504,0)),""))</f>
        <v/>
      </c>
      <c r="E1648" s="38" t="n"/>
      <c r="F1648" s="39">
        <f>IF(A1648="","",IFERROR(INDEX(Maniobras!$K$5:$K$504,MATCH(A1648,Maniobras!$A$5:$A$504,0)),""))</f>
        <v/>
      </c>
      <c r="G1648" s="39" t="n"/>
      <c r="H1648" s="39" t="n"/>
      <c r="I1648" s="39">
        <f>IF(G1648="","",G1648+N(H1648))</f>
        <v/>
      </c>
      <c r="J1648" s="38" t="n"/>
      <c r="K1648" s="41" t="n"/>
      <c r="L1648" s="38" t="n"/>
      <c r="M1648">
        <f>IF($A1648=Ficha!$B$3,COUNTIF($A$5:$A1648,Ficha!$B$3),"")</f>
        <v/>
      </c>
    </row>
    <row r="1649">
      <c r="A1649" s="36" t="n"/>
      <c r="B1649" s="40">
        <f>IF(A1649="","",IFERROR(INDEX(Maniobras!$B$5:$B$504,MATCH(A1649,Maniobras!$A$5:$A$504,0)),""))</f>
        <v/>
      </c>
      <c r="C1649" s="36">
        <f>IF(B1649="","",TEXT(B1649,"yyyy-mm"))</f>
        <v/>
      </c>
      <c r="D1649" s="36">
        <f>IF(A1649="","",IFERROR(INDEX(Maniobras!$D$5:$D$504,MATCH(A1649,Maniobras!$A$5:$A$504,0)),""))</f>
        <v/>
      </c>
      <c r="E1649" s="36" t="n"/>
      <c r="F1649" s="37">
        <f>IF(A1649="","",IFERROR(INDEX(Maniobras!$K$5:$K$504,MATCH(A1649,Maniobras!$A$5:$A$504,0)),""))</f>
        <v/>
      </c>
      <c r="G1649" s="37" t="n"/>
      <c r="H1649" s="37" t="n"/>
      <c r="I1649" s="37">
        <f>IF(G1649="","",G1649+N(H1649))</f>
        <v/>
      </c>
      <c r="J1649" s="36" t="n"/>
      <c r="K1649" s="40" t="n"/>
      <c r="L1649" s="36" t="n"/>
      <c r="M1649">
        <f>IF($A1649=Ficha!$B$3,COUNTIF($A$5:$A1649,Ficha!$B$3),"")</f>
        <v/>
      </c>
    </row>
    <row r="1650">
      <c r="A1650" s="38" t="n"/>
      <c r="B1650" s="41">
        <f>IF(A1650="","",IFERROR(INDEX(Maniobras!$B$5:$B$504,MATCH(A1650,Maniobras!$A$5:$A$504,0)),""))</f>
        <v/>
      </c>
      <c r="C1650" s="38">
        <f>IF(B1650="","",TEXT(B1650,"yyyy-mm"))</f>
        <v/>
      </c>
      <c r="D1650" s="38">
        <f>IF(A1650="","",IFERROR(INDEX(Maniobras!$D$5:$D$504,MATCH(A1650,Maniobras!$A$5:$A$504,0)),""))</f>
        <v/>
      </c>
      <c r="E1650" s="38" t="n"/>
      <c r="F1650" s="39">
        <f>IF(A1650="","",IFERROR(INDEX(Maniobras!$K$5:$K$504,MATCH(A1650,Maniobras!$A$5:$A$504,0)),""))</f>
        <v/>
      </c>
      <c r="G1650" s="39" t="n"/>
      <c r="H1650" s="39" t="n"/>
      <c r="I1650" s="39">
        <f>IF(G1650="","",G1650+N(H1650))</f>
        <v/>
      </c>
      <c r="J1650" s="38" t="n"/>
      <c r="K1650" s="41" t="n"/>
      <c r="L1650" s="38" t="n"/>
      <c r="M1650">
        <f>IF($A1650=Ficha!$B$3,COUNTIF($A$5:$A1650,Ficha!$B$3),"")</f>
        <v/>
      </c>
    </row>
    <row r="1651">
      <c r="A1651" s="36" t="n"/>
      <c r="B1651" s="40">
        <f>IF(A1651="","",IFERROR(INDEX(Maniobras!$B$5:$B$504,MATCH(A1651,Maniobras!$A$5:$A$504,0)),""))</f>
        <v/>
      </c>
      <c r="C1651" s="36">
        <f>IF(B1651="","",TEXT(B1651,"yyyy-mm"))</f>
        <v/>
      </c>
      <c r="D1651" s="36">
        <f>IF(A1651="","",IFERROR(INDEX(Maniobras!$D$5:$D$504,MATCH(A1651,Maniobras!$A$5:$A$504,0)),""))</f>
        <v/>
      </c>
      <c r="E1651" s="36" t="n"/>
      <c r="F1651" s="37">
        <f>IF(A1651="","",IFERROR(INDEX(Maniobras!$K$5:$K$504,MATCH(A1651,Maniobras!$A$5:$A$504,0)),""))</f>
        <v/>
      </c>
      <c r="G1651" s="37" t="n"/>
      <c r="H1651" s="37" t="n"/>
      <c r="I1651" s="37">
        <f>IF(G1651="","",G1651+N(H1651))</f>
        <v/>
      </c>
      <c r="J1651" s="36" t="n"/>
      <c r="K1651" s="40" t="n"/>
      <c r="L1651" s="36" t="n"/>
      <c r="M1651">
        <f>IF($A1651=Ficha!$B$3,COUNTIF($A$5:$A1651,Ficha!$B$3),"")</f>
        <v/>
      </c>
    </row>
    <row r="1652">
      <c r="A1652" s="38" t="n"/>
      <c r="B1652" s="41">
        <f>IF(A1652="","",IFERROR(INDEX(Maniobras!$B$5:$B$504,MATCH(A1652,Maniobras!$A$5:$A$504,0)),""))</f>
        <v/>
      </c>
      <c r="C1652" s="38">
        <f>IF(B1652="","",TEXT(B1652,"yyyy-mm"))</f>
        <v/>
      </c>
      <c r="D1652" s="38">
        <f>IF(A1652="","",IFERROR(INDEX(Maniobras!$D$5:$D$504,MATCH(A1652,Maniobras!$A$5:$A$504,0)),""))</f>
        <v/>
      </c>
      <c r="E1652" s="38" t="n"/>
      <c r="F1652" s="39">
        <f>IF(A1652="","",IFERROR(INDEX(Maniobras!$K$5:$K$504,MATCH(A1652,Maniobras!$A$5:$A$504,0)),""))</f>
        <v/>
      </c>
      <c r="G1652" s="39" t="n"/>
      <c r="H1652" s="39" t="n"/>
      <c r="I1652" s="39">
        <f>IF(G1652="","",G1652+N(H1652))</f>
        <v/>
      </c>
      <c r="J1652" s="38" t="n"/>
      <c r="K1652" s="41" t="n"/>
      <c r="L1652" s="38" t="n"/>
      <c r="M1652">
        <f>IF($A1652=Ficha!$B$3,COUNTIF($A$5:$A1652,Ficha!$B$3),"")</f>
        <v/>
      </c>
    </row>
    <row r="1653">
      <c r="A1653" s="36" t="n"/>
      <c r="B1653" s="40">
        <f>IF(A1653="","",IFERROR(INDEX(Maniobras!$B$5:$B$504,MATCH(A1653,Maniobras!$A$5:$A$504,0)),""))</f>
        <v/>
      </c>
      <c r="C1653" s="36">
        <f>IF(B1653="","",TEXT(B1653,"yyyy-mm"))</f>
        <v/>
      </c>
      <c r="D1653" s="36">
        <f>IF(A1653="","",IFERROR(INDEX(Maniobras!$D$5:$D$504,MATCH(A1653,Maniobras!$A$5:$A$504,0)),""))</f>
        <v/>
      </c>
      <c r="E1653" s="36" t="n"/>
      <c r="F1653" s="37">
        <f>IF(A1653="","",IFERROR(INDEX(Maniobras!$K$5:$K$504,MATCH(A1653,Maniobras!$A$5:$A$504,0)),""))</f>
        <v/>
      </c>
      <c r="G1653" s="37" t="n"/>
      <c r="H1653" s="37" t="n"/>
      <c r="I1653" s="37">
        <f>IF(G1653="","",G1653+N(H1653))</f>
        <v/>
      </c>
      <c r="J1653" s="36" t="n"/>
      <c r="K1653" s="40" t="n"/>
      <c r="L1653" s="36" t="n"/>
      <c r="M1653">
        <f>IF($A1653=Ficha!$B$3,COUNTIF($A$5:$A1653,Ficha!$B$3),"")</f>
        <v/>
      </c>
    </row>
    <row r="1654">
      <c r="A1654" s="38" t="n"/>
      <c r="B1654" s="41">
        <f>IF(A1654="","",IFERROR(INDEX(Maniobras!$B$5:$B$504,MATCH(A1654,Maniobras!$A$5:$A$504,0)),""))</f>
        <v/>
      </c>
      <c r="C1654" s="38">
        <f>IF(B1654="","",TEXT(B1654,"yyyy-mm"))</f>
        <v/>
      </c>
      <c r="D1654" s="38">
        <f>IF(A1654="","",IFERROR(INDEX(Maniobras!$D$5:$D$504,MATCH(A1654,Maniobras!$A$5:$A$504,0)),""))</f>
        <v/>
      </c>
      <c r="E1654" s="38" t="n"/>
      <c r="F1654" s="39">
        <f>IF(A1654="","",IFERROR(INDEX(Maniobras!$K$5:$K$504,MATCH(A1654,Maniobras!$A$5:$A$504,0)),""))</f>
        <v/>
      </c>
      <c r="G1654" s="39" t="n"/>
      <c r="H1654" s="39" t="n"/>
      <c r="I1654" s="39">
        <f>IF(G1654="","",G1654+N(H1654))</f>
        <v/>
      </c>
      <c r="J1654" s="38" t="n"/>
      <c r="K1654" s="41" t="n"/>
      <c r="L1654" s="38" t="n"/>
      <c r="M1654">
        <f>IF($A1654=Ficha!$B$3,COUNTIF($A$5:$A1654,Ficha!$B$3),"")</f>
        <v/>
      </c>
    </row>
    <row r="1655">
      <c r="A1655" s="36" t="n"/>
      <c r="B1655" s="40">
        <f>IF(A1655="","",IFERROR(INDEX(Maniobras!$B$5:$B$504,MATCH(A1655,Maniobras!$A$5:$A$504,0)),""))</f>
        <v/>
      </c>
      <c r="C1655" s="36">
        <f>IF(B1655="","",TEXT(B1655,"yyyy-mm"))</f>
        <v/>
      </c>
      <c r="D1655" s="36">
        <f>IF(A1655="","",IFERROR(INDEX(Maniobras!$D$5:$D$504,MATCH(A1655,Maniobras!$A$5:$A$504,0)),""))</f>
        <v/>
      </c>
      <c r="E1655" s="36" t="n"/>
      <c r="F1655" s="37">
        <f>IF(A1655="","",IFERROR(INDEX(Maniobras!$K$5:$K$504,MATCH(A1655,Maniobras!$A$5:$A$504,0)),""))</f>
        <v/>
      </c>
      <c r="G1655" s="37" t="n"/>
      <c r="H1655" s="37" t="n"/>
      <c r="I1655" s="37">
        <f>IF(G1655="","",G1655+N(H1655))</f>
        <v/>
      </c>
      <c r="J1655" s="36" t="n"/>
      <c r="K1655" s="40" t="n"/>
      <c r="L1655" s="36" t="n"/>
      <c r="M1655">
        <f>IF($A1655=Ficha!$B$3,COUNTIF($A$5:$A1655,Ficha!$B$3),"")</f>
        <v/>
      </c>
    </row>
    <row r="1656">
      <c r="A1656" s="38" t="n"/>
      <c r="B1656" s="41">
        <f>IF(A1656="","",IFERROR(INDEX(Maniobras!$B$5:$B$504,MATCH(A1656,Maniobras!$A$5:$A$504,0)),""))</f>
        <v/>
      </c>
      <c r="C1656" s="38">
        <f>IF(B1656="","",TEXT(B1656,"yyyy-mm"))</f>
        <v/>
      </c>
      <c r="D1656" s="38">
        <f>IF(A1656="","",IFERROR(INDEX(Maniobras!$D$5:$D$504,MATCH(A1656,Maniobras!$A$5:$A$504,0)),""))</f>
        <v/>
      </c>
      <c r="E1656" s="38" t="n"/>
      <c r="F1656" s="39">
        <f>IF(A1656="","",IFERROR(INDEX(Maniobras!$K$5:$K$504,MATCH(A1656,Maniobras!$A$5:$A$504,0)),""))</f>
        <v/>
      </c>
      <c r="G1656" s="39" t="n"/>
      <c r="H1656" s="39" t="n"/>
      <c r="I1656" s="39">
        <f>IF(G1656="","",G1656+N(H1656))</f>
        <v/>
      </c>
      <c r="J1656" s="38" t="n"/>
      <c r="K1656" s="41" t="n"/>
      <c r="L1656" s="38" t="n"/>
      <c r="M1656">
        <f>IF($A1656=Ficha!$B$3,COUNTIF($A$5:$A1656,Ficha!$B$3),"")</f>
        <v/>
      </c>
    </row>
    <row r="1657">
      <c r="A1657" s="36" t="n"/>
      <c r="B1657" s="40">
        <f>IF(A1657="","",IFERROR(INDEX(Maniobras!$B$5:$B$504,MATCH(A1657,Maniobras!$A$5:$A$504,0)),""))</f>
        <v/>
      </c>
      <c r="C1657" s="36">
        <f>IF(B1657="","",TEXT(B1657,"yyyy-mm"))</f>
        <v/>
      </c>
      <c r="D1657" s="36">
        <f>IF(A1657="","",IFERROR(INDEX(Maniobras!$D$5:$D$504,MATCH(A1657,Maniobras!$A$5:$A$504,0)),""))</f>
        <v/>
      </c>
      <c r="E1657" s="36" t="n"/>
      <c r="F1657" s="37">
        <f>IF(A1657="","",IFERROR(INDEX(Maniobras!$K$5:$K$504,MATCH(A1657,Maniobras!$A$5:$A$504,0)),""))</f>
        <v/>
      </c>
      <c r="G1657" s="37" t="n"/>
      <c r="H1657" s="37" t="n"/>
      <c r="I1657" s="37">
        <f>IF(G1657="","",G1657+N(H1657))</f>
        <v/>
      </c>
      <c r="J1657" s="36" t="n"/>
      <c r="K1657" s="40" t="n"/>
      <c r="L1657" s="36" t="n"/>
      <c r="M1657">
        <f>IF($A1657=Ficha!$B$3,COUNTIF($A$5:$A1657,Ficha!$B$3),"")</f>
        <v/>
      </c>
    </row>
    <row r="1658">
      <c r="A1658" s="38" t="n"/>
      <c r="B1658" s="41">
        <f>IF(A1658="","",IFERROR(INDEX(Maniobras!$B$5:$B$504,MATCH(A1658,Maniobras!$A$5:$A$504,0)),""))</f>
        <v/>
      </c>
      <c r="C1658" s="38">
        <f>IF(B1658="","",TEXT(B1658,"yyyy-mm"))</f>
        <v/>
      </c>
      <c r="D1658" s="38">
        <f>IF(A1658="","",IFERROR(INDEX(Maniobras!$D$5:$D$504,MATCH(A1658,Maniobras!$A$5:$A$504,0)),""))</f>
        <v/>
      </c>
      <c r="E1658" s="38" t="n"/>
      <c r="F1658" s="39">
        <f>IF(A1658="","",IFERROR(INDEX(Maniobras!$K$5:$K$504,MATCH(A1658,Maniobras!$A$5:$A$504,0)),""))</f>
        <v/>
      </c>
      <c r="G1658" s="39" t="n"/>
      <c r="H1658" s="39" t="n"/>
      <c r="I1658" s="39">
        <f>IF(G1658="","",G1658+N(H1658))</f>
        <v/>
      </c>
      <c r="J1658" s="38" t="n"/>
      <c r="K1658" s="41" t="n"/>
      <c r="L1658" s="38" t="n"/>
      <c r="M1658">
        <f>IF($A1658=Ficha!$B$3,COUNTIF($A$5:$A1658,Ficha!$B$3),"")</f>
        <v/>
      </c>
    </row>
    <row r="1659">
      <c r="A1659" s="36" t="n"/>
      <c r="B1659" s="40">
        <f>IF(A1659="","",IFERROR(INDEX(Maniobras!$B$5:$B$504,MATCH(A1659,Maniobras!$A$5:$A$504,0)),""))</f>
        <v/>
      </c>
      <c r="C1659" s="36">
        <f>IF(B1659="","",TEXT(B1659,"yyyy-mm"))</f>
        <v/>
      </c>
      <c r="D1659" s="36">
        <f>IF(A1659="","",IFERROR(INDEX(Maniobras!$D$5:$D$504,MATCH(A1659,Maniobras!$A$5:$A$504,0)),""))</f>
        <v/>
      </c>
      <c r="E1659" s="36" t="n"/>
      <c r="F1659" s="37">
        <f>IF(A1659="","",IFERROR(INDEX(Maniobras!$K$5:$K$504,MATCH(A1659,Maniobras!$A$5:$A$504,0)),""))</f>
        <v/>
      </c>
      <c r="G1659" s="37" t="n"/>
      <c r="H1659" s="37" t="n"/>
      <c r="I1659" s="37">
        <f>IF(G1659="","",G1659+N(H1659))</f>
        <v/>
      </c>
      <c r="J1659" s="36" t="n"/>
      <c r="K1659" s="40" t="n"/>
      <c r="L1659" s="36" t="n"/>
      <c r="M1659">
        <f>IF($A1659=Ficha!$B$3,COUNTIF($A$5:$A1659,Ficha!$B$3),"")</f>
        <v/>
      </c>
    </row>
    <row r="1660">
      <c r="A1660" s="38" t="n"/>
      <c r="B1660" s="41">
        <f>IF(A1660="","",IFERROR(INDEX(Maniobras!$B$5:$B$504,MATCH(A1660,Maniobras!$A$5:$A$504,0)),""))</f>
        <v/>
      </c>
      <c r="C1660" s="38">
        <f>IF(B1660="","",TEXT(B1660,"yyyy-mm"))</f>
        <v/>
      </c>
      <c r="D1660" s="38">
        <f>IF(A1660="","",IFERROR(INDEX(Maniobras!$D$5:$D$504,MATCH(A1660,Maniobras!$A$5:$A$504,0)),""))</f>
        <v/>
      </c>
      <c r="E1660" s="38" t="n"/>
      <c r="F1660" s="39">
        <f>IF(A1660="","",IFERROR(INDEX(Maniobras!$K$5:$K$504,MATCH(A1660,Maniobras!$A$5:$A$504,0)),""))</f>
        <v/>
      </c>
      <c r="G1660" s="39" t="n"/>
      <c r="H1660" s="39" t="n"/>
      <c r="I1660" s="39">
        <f>IF(G1660="","",G1660+N(H1660))</f>
        <v/>
      </c>
      <c r="J1660" s="38" t="n"/>
      <c r="K1660" s="41" t="n"/>
      <c r="L1660" s="38" t="n"/>
      <c r="M1660">
        <f>IF($A1660=Ficha!$B$3,COUNTIF($A$5:$A1660,Ficha!$B$3),"")</f>
        <v/>
      </c>
    </row>
    <row r="1661">
      <c r="A1661" s="36" t="n"/>
      <c r="B1661" s="40">
        <f>IF(A1661="","",IFERROR(INDEX(Maniobras!$B$5:$B$504,MATCH(A1661,Maniobras!$A$5:$A$504,0)),""))</f>
        <v/>
      </c>
      <c r="C1661" s="36">
        <f>IF(B1661="","",TEXT(B1661,"yyyy-mm"))</f>
        <v/>
      </c>
      <c r="D1661" s="36">
        <f>IF(A1661="","",IFERROR(INDEX(Maniobras!$D$5:$D$504,MATCH(A1661,Maniobras!$A$5:$A$504,0)),""))</f>
        <v/>
      </c>
      <c r="E1661" s="36" t="n"/>
      <c r="F1661" s="37">
        <f>IF(A1661="","",IFERROR(INDEX(Maniobras!$K$5:$K$504,MATCH(A1661,Maniobras!$A$5:$A$504,0)),""))</f>
        <v/>
      </c>
      <c r="G1661" s="37" t="n"/>
      <c r="H1661" s="37" t="n"/>
      <c r="I1661" s="37">
        <f>IF(G1661="","",G1661+N(H1661))</f>
        <v/>
      </c>
      <c r="J1661" s="36" t="n"/>
      <c r="K1661" s="40" t="n"/>
      <c r="L1661" s="36" t="n"/>
      <c r="M1661">
        <f>IF($A1661=Ficha!$B$3,COUNTIF($A$5:$A1661,Ficha!$B$3),"")</f>
        <v/>
      </c>
    </row>
    <row r="1662">
      <c r="A1662" s="38" t="n"/>
      <c r="B1662" s="41">
        <f>IF(A1662="","",IFERROR(INDEX(Maniobras!$B$5:$B$504,MATCH(A1662,Maniobras!$A$5:$A$504,0)),""))</f>
        <v/>
      </c>
      <c r="C1662" s="38">
        <f>IF(B1662="","",TEXT(B1662,"yyyy-mm"))</f>
        <v/>
      </c>
      <c r="D1662" s="38">
        <f>IF(A1662="","",IFERROR(INDEX(Maniobras!$D$5:$D$504,MATCH(A1662,Maniobras!$A$5:$A$504,0)),""))</f>
        <v/>
      </c>
      <c r="E1662" s="38" t="n"/>
      <c r="F1662" s="39">
        <f>IF(A1662="","",IFERROR(INDEX(Maniobras!$K$5:$K$504,MATCH(A1662,Maniobras!$A$5:$A$504,0)),""))</f>
        <v/>
      </c>
      <c r="G1662" s="39" t="n"/>
      <c r="H1662" s="39" t="n"/>
      <c r="I1662" s="39">
        <f>IF(G1662="","",G1662+N(H1662))</f>
        <v/>
      </c>
      <c r="J1662" s="38" t="n"/>
      <c r="K1662" s="41" t="n"/>
      <c r="L1662" s="38" t="n"/>
      <c r="M1662">
        <f>IF($A1662=Ficha!$B$3,COUNTIF($A$5:$A1662,Ficha!$B$3),"")</f>
        <v/>
      </c>
    </row>
    <row r="1663">
      <c r="A1663" s="36" t="n"/>
      <c r="B1663" s="40">
        <f>IF(A1663="","",IFERROR(INDEX(Maniobras!$B$5:$B$504,MATCH(A1663,Maniobras!$A$5:$A$504,0)),""))</f>
        <v/>
      </c>
      <c r="C1663" s="36">
        <f>IF(B1663="","",TEXT(B1663,"yyyy-mm"))</f>
        <v/>
      </c>
      <c r="D1663" s="36">
        <f>IF(A1663="","",IFERROR(INDEX(Maniobras!$D$5:$D$504,MATCH(A1663,Maniobras!$A$5:$A$504,0)),""))</f>
        <v/>
      </c>
      <c r="E1663" s="36" t="n"/>
      <c r="F1663" s="37">
        <f>IF(A1663="","",IFERROR(INDEX(Maniobras!$K$5:$K$504,MATCH(A1663,Maniobras!$A$5:$A$504,0)),""))</f>
        <v/>
      </c>
      <c r="G1663" s="37" t="n"/>
      <c r="H1663" s="37" t="n"/>
      <c r="I1663" s="37">
        <f>IF(G1663="","",G1663+N(H1663))</f>
        <v/>
      </c>
      <c r="J1663" s="36" t="n"/>
      <c r="K1663" s="40" t="n"/>
      <c r="L1663" s="36" t="n"/>
      <c r="M1663">
        <f>IF($A1663=Ficha!$B$3,COUNTIF($A$5:$A1663,Ficha!$B$3),"")</f>
        <v/>
      </c>
    </row>
    <row r="1664">
      <c r="A1664" s="38" t="n"/>
      <c r="B1664" s="41">
        <f>IF(A1664="","",IFERROR(INDEX(Maniobras!$B$5:$B$504,MATCH(A1664,Maniobras!$A$5:$A$504,0)),""))</f>
        <v/>
      </c>
      <c r="C1664" s="38">
        <f>IF(B1664="","",TEXT(B1664,"yyyy-mm"))</f>
        <v/>
      </c>
      <c r="D1664" s="38">
        <f>IF(A1664="","",IFERROR(INDEX(Maniobras!$D$5:$D$504,MATCH(A1664,Maniobras!$A$5:$A$504,0)),""))</f>
        <v/>
      </c>
      <c r="E1664" s="38" t="n"/>
      <c r="F1664" s="39">
        <f>IF(A1664="","",IFERROR(INDEX(Maniobras!$K$5:$K$504,MATCH(A1664,Maniobras!$A$5:$A$504,0)),""))</f>
        <v/>
      </c>
      <c r="G1664" s="39" t="n"/>
      <c r="H1664" s="39" t="n"/>
      <c r="I1664" s="39">
        <f>IF(G1664="","",G1664+N(H1664))</f>
        <v/>
      </c>
      <c r="J1664" s="38" t="n"/>
      <c r="K1664" s="41" t="n"/>
      <c r="L1664" s="38" t="n"/>
      <c r="M1664">
        <f>IF($A1664=Ficha!$B$3,COUNTIF($A$5:$A1664,Ficha!$B$3),"")</f>
        <v/>
      </c>
    </row>
    <row r="1665">
      <c r="A1665" s="36" t="n"/>
      <c r="B1665" s="40">
        <f>IF(A1665="","",IFERROR(INDEX(Maniobras!$B$5:$B$504,MATCH(A1665,Maniobras!$A$5:$A$504,0)),""))</f>
        <v/>
      </c>
      <c r="C1665" s="36">
        <f>IF(B1665="","",TEXT(B1665,"yyyy-mm"))</f>
        <v/>
      </c>
      <c r="D1665" s="36">
        <f>IF(A1665="","",IFERROR(INDEX(Maniobras!$D$5:$D$504,MATCH(A1665,Maniobras!$A$5:$A$504,0)),""))</f>
        <v/>
      </c>
      <c r="E1665" s="36" t="n"/>
      <c r="F1665" s="37">
        <f>IF(A1665="","",IFERROR(INDEX(Maniobras!$K$5:$K$504,MATCH(A1665,Maniobras!$A$5:$A$504,0)),""))</f>
        <v/>
      </c>
      <c r="G1665" s="37" t="n"/>
      <c r="H1665" s="37" t="n"/>
      <c r="I1665" s="37">
        <f>IF(G1665="","",G1665+N(H1665))</f>
        <v/>
      </c>
      <c r="J1665" s="36" t="n"/>
      <c r="K1665" s="40" t="n"/>
      <c r="L1665" s="36" t="n"/>
      <c r="M1665">
        <f>IF($A1665=Ficha!$B$3,COUNTIF($A$5:$A1665,Ficha!$B$3),"")</f>
        <v/>
      </c>
    </row>
    <row r="1666">
      <c r="A1666" s="38" t="n"/>
      <c r="B1666" s="41">
        <f>IF(A1666="","",IFERROR(INDEX(Maniobras!$B$5:$B$504,MATCH(A1666,Maniobras!$A$5:$A$504,0)),""))</f>
        <v/>
      </c>
      <c r="C1666" s="38">
        <f>IF(B1666="","",TEXT(B1666,"yyyy-mm"))</f>
        <v/>
      </c>
      <c r="D1666" s="38">
        <f>IF(A1666="","",IFERROR(INDEX(Maniobras!$D$5:$D$504,MATCH(A1666,Maniobras!$A$5:$A$504,0)),""))</f>
        <v/>
      </c>
      <c r="E1666" s="38" t="n"/>
      <c r="F1666" s="39">
        <f>IF(A1666="","",IFERROR(INDEX(Maniobras!$K$5:$K$504,MATCH(A1666,Maniobras!$A$5:$A$504,0)),""))</f>
        <v/>
      </c>
      <c r="G1666" s="39" t="n"/>
      <c r="H1666" s="39" t="n"/>
      <c r="I1666" s="39">
        <f>IF(G1666="","",G1666+N(H1666))</f>
        <v/>
      </c>
      <c r="J1666" s="38" t="n"/>
      <c r="K1666" s="41" t="n"/>
      <c r="L1666" s="38" t="n"/>
      <c r="M1666">
        <f>IF($A1666=Ficha!$B$3,COUNTIF($A$5:$A1666,Ficha!$B$3),"")</f>
        <v/>
      </c>
    </row>
    <row r="1667">
      <c r="A1667" s="36" t="n"/>
      <c r="B1667" s="40">
        <f>IF(A1667="","",IFERROR(INDEX(Maniobras!$B$5:$B$504,MATCH(A1667,Maniobras!$A$5:$A$504,0)),""))</f>
        <v/>
      </c>
      <c r="C1667" s="36">
        <f>IF(B1667="","",TEXT(B1667,"yyyy-mm"))</f>
        <v/>
      </c>
      <c r="D1667" s="36">
        <f>IF(A1667="","",IFERROR(INDEX(Maniobras!$D$5:$D$504,MATCH(A1667,Maniobras!$A$5:$A$504,0)),""))</f>
        <v/>
      </c>
      <c r="E1667" s="36" t="n"/>
      <c r="F1667" s="37">
        <f>IF(A1667="","",IFERROR(INDEX(Maniobras!$K$5:$K$504,MATCH(A1667,Maniobras!$A$5:$A$504,0)),""))</f>
        <v/>
      </c>
      <c r="G1667" s="37" t="n"/>
      <c r="H1667" s="37" t="n"/>
      <c r="I1667" s="37">
        <f>IF(G1667="","",G1667+N(H1667))</f>
        <v/>
      </c>
      <c r="J1667" s="36" t="n"/>
      <c r="K1667" s="40" t="n"/>
      <c r="L1667" s="36" t="n"/>
      <c r="M1667">
        <f>IF($A1667=Ficha!$B$3,COUNTIF($A$5:$A1667,Ficha!$B$3),"")</f>
        <v/>
      </c>
    </row>
    <row r="1668">
      <c r="A1668" s="38" t="n"/>
      <c r="B1668" s="41">
        <f>IF(A1668="","",IFERROR(INDEX(Maniobras!$B$5:$B$504,MATCH(A1668,Maniobras!$A$5:$A$504,0)),""))</f>
        <v/>
      </c>
      <c r="C1668" s="38">
        <f>IF(B1668="","",TEXT(B1668,"yyyy-mm"))</f>
        <v/>
      </c>
      <c r="D1668" s="38">
        <f>IF(A1668="","",IFERROR(INDEX(Maniobras!$D$5:$D$504,MATCH(A1668,Maniobras!$A$5:$A$504,0)),""))</f>
        <v/>
      </c>
      <c r="E1668" s="38" t="n"/>
      <c r="F1668" s="39">
        <f>IF(A1668="","",IFERROR(INDEX(Maniobras!$K$5:$K$504,MATCH(A1668,Maniobras!$A$5:$A$504,0)),""))</f>
        <v/>
      </c>
      <c r="G1668" s="39" t="n"/>
      <c r="H1668" s="39" t="n"/>
      <c r="I1668" s="39">
        <f>IF(G1668="","",G1668+N(H1668))</f>
        <v/>
      </c>
      <c r="J1668" s="38" t="n"/>
      <c r="K1668" s="41" t="n"/>
      <c r="L1668" s="38" t="n"/>
      <c r="M1668">
        <f>IF($A1668=Ficha!$B$3,COUNTIF($A$5:$A1668,Ficha!$B$3),"")</f>
        <v/>
      </c>
    </row>
    <row r="1669">
      <c r="A1669" s="36" t="n"/>
      <c r="B1669" s="40">
        <f>IF(A1669="","",IFERROR(INDEX(Maniobras!$B$5:$B$504,MATCH(A1669,Maniobras!$A$5:$A$504,0)),""))</f>
        <v/>
      </c>
      <c r="C1669" s="36">
        <f>IF(B1669="","",TEXT(B1669,"yyyy-mm"))</f>
        <v/>
      </c>
      <c r="D1669" s="36">
        <f>IF(A1669="","",IFERROR(INDEX(Maniobras!$D$5:$D$504,MATCH(A1669,Maniobras!$A$5:$A$504,0)),""))</f>
        <v/>
      </c>
      <c r="E1669" s="36" t="n"/>
      <c r="F1669" s="37">
        <f>IF(A1669="","",IFERROR(INDEX(Maniobras!$K$5:$K$504,MATCH(A1669,Maniobras!$A$5:$A$504,0)),""))</f>
        <v/>
      </c>
      <c r="G1669" s="37" t="n"/>
      <c r="H1669" s="37" t="n"/>
      <c r="I1669" s="37">
        <f>IF(G1669="","",G1669+N(H1669))</f>
        <v/>
      </c>
      <c r="J1669" s="36" t="n"/>
      <c r="K1669" s="40" t="n"/>
      <c r="L1669" s="36" t="n"/>
      <c r="M1669">
        <f>IF($A1669=Ficha!$B$3,COUNTIF($A$5:$A1669,Ficha!$B$3),"")</f>
        <v/>
      </c>
    </row>
    <row r="1670">
      <c r="A1670" s="38" t="n"/>
      <c r="B1670" s="41">
        <f>IF(A1670="","",IFERROR(INDEX(Maniobras!$B$5:$B$504,MATCH(A1670,Maniobras!$A$5:$A$504,0)),""))</f>
        <v/>
      </c>
      <c r="C1670" s="38">
        <f>IF(B1670="","",TEXT(B1670,"yyyy-mm"))</f>
        <v/>
      </c>
      <c r="D1670" s="38">
        <f>IF(A1670="","",IFERROR(INDEX(Maniobras!$D$5:$D$504,MATCH(A1670,Maniobras!$A$5:$A$504,0)),""))</f>
        <v/>
      </c>
      <c r="E1670" s="38" t="n"/>
      <c r="F1670" s="39">
        <f>IF(A1670="","",IFERROR(INDEX(Maniobras!$K$5:$K$504,MATCH(A1670,Maniobras!$A$5:$A$504,0)),""))</f>
        <v/>
      </c>
      <c r="G1670" s="39" t="n"/>
      <c r="H1670" s="39" t="n"/>
      <c r="I1670" s="39">
        <f>IF(G1670="","",G1670+N(H1670))</f>
        <v/>
      </c>
      <c r="J1670" s="38" t="n"/>
      <c r="K1670" s="41" t="n"/>
      <c r="L1670" s="38" t="n"/>
      <c r="M1670">
        <f>IF($A1670=Ficha!$B$3,COUNTIF($A$5:$A1670,Ficha!$B$3),"")</f>
        <v/>
      </c>
    </row>
    <row r="1671">
      <c r="A1671" s="36" t="n"/>
      <c r="B1671" s="40">
        <f>IF(A1671="","",IFERROR(INDEX(Maniobras!$B$5:$B$504,MATCH(A1671,Maniobras!$A$5:$A$504,0)),""))</f>
        <v/>
      </c>
      <c r="C1671" s="36">
        <f>IF(B1671="","",TEXT(B1671,"yyyy-mm"))</f>
        <v/>
      </c>
      <c r="D1671" s="36">
        <f>IF(A1671="","",IFERROR(INDEX(Maniobras!$D$5:$D$504,MATCH(A1671,Maniobras!$A$5:$A$504,0)),""))</f>
        <v/>
      </c>
      <c r="E1671" s="36" t="n"/>
      <c r="F1671" s="37">
        <f>IF(A1671="","",IFERROR(INDEX(Maniobras!$K$5:$K$504,MATCH(A1671,Maniobras!$A$5:$A$504,0)),""))</f>
        <v/>
      </c>
      <c r="G1671" s="37" t="n"/>
      <c r="H1671" s="37" t="n"/>
      <c r="I1671" s="37">
        <f>IF(G1671="","",G1671+N(H1671))</f>
        <v/>
      </c>
      <c r="J1671" s="36" t="n"/>
      <c r="K1671" s="40" t="n"/>
      <c r="L1671" s="36" t="n"/>
      <c r="M1671">
        <f>IF($A1671=Ficha!$B$3,COUNTIF($A$5:$A1671,Ficha!$B$3),"")</f>
        <v/>
      </c>
    </row>
    <row r="1672">
      <c r="A1672" s="38" t="n"/>
      <c r="B1672" s="41">
        <f>IF(A1672="","",IFERROR(INDEX(Maniobras!$B$5:$B$504,MATCH(A1672,Maniobras!$A$5:$A$504,0)),""))</f>
        <v/>
      </c>
      <c r="C1672" s="38">
        <f>IF(B1672="","",TEXT(B1672,"yyyy-mm"))</f>
        <v/>
      </c>
      <c r="D1672" s="38">
        <f>IF(A1672="","",IFERROR(INDEX(Maniobras!$D$5:$D$504,MATCH(A1672,Maniobras!$A$5:$A$504,0)),""))</f>
        <v/>
      </c>
      <c r="E1672" s="38" t="n"/>
      <c r="F1672" s="39">
        <f>IF(A1672="","",IFERROR(INDEX(Maniobras!$K$5:$K$504,MATCH(A1672,Maniobras!$A$5:$A$504,0)),""))</f>
        <v/>
      </c>
      <c r="G1672" s="39" t="n"/>
      <c r="H1672" s="39" t="n"/>
      <c r="I1672" s="39">
        <f>IF(G1672="","",G1672+N(H1672))</f>
        <v/>
      </c>
      <c r="J1672" s="38" t="n"/>
      <c r="K1672" s="41" t="n"/>
      <c r="L1672" s="38" t="n"/>
      <c r="M1672">
        <f>IF($A1672=Ficha!$B$3,COUNTIF($A$5:$A1672,Ficha!$B$3),"")</f>
        <v/>
      </c>
    </row>
    <row r="1673">
      <c r="A1673" s="36" t="n"/>
      <c r="B1673" s="40">
        <f>IF(A1673="","",IFERROR(INDEX(Maniobras!$B$5:$B$504,MATCH(A1673,Maniobras!$A$5:$A$504,0)),""))</f>
        <v/>
      </c>
      <c r="C1673" s="36">
        <f>IF(B1673="","",TEXT(B1673,"yyyy-mm"))</f>
        <v/>
      </c>
      <c r="D1673" s="36">
        <f>IF(A1673="","",IFERROR(INDEX(Maniobras!$D$5:$D$504,MATCH(A1673,Maniobras!$A$5:$A$504,0)),""))</f>
        <v/>
      </c>
      <c r="E1673" s="36" t="n"/>
      <c r="F1673" s="37">
        <f>IF(A1673="","",IFERROR(INDEX(Maniobras!$K$5:$K$504,MATCH(A1673,Maniobras!$A$5:$A$504,0)),""))</f>
        <v/>
      </c>
      <c r="G1673" s="37" t="n"/>
      <c r="H1673" s="37" t="n"/>
      <c r="I1673" s="37">
        <f>IF(G1673="","",G1673+N(H1673))</f>
        <v/>
      </c>
      <c r="J1673" s="36" t="n"/>
      <c r="K1673" s="40" t="n"/>
      <c r="L1673" s="36" t="n"/>
      <c r="M1673">
        <f>IF($A1673=Ficha!$B$3,COUNTIF($A$5:$A1673,Ficha!$B$3),"")</f>
        <v/>
      </c>
    </row>
    <row r="1674">
      <c r="A1674" s="38" t="n"/>
      <c r="B1674" s="41">
        <f>IF(A1674="","",IFERROR(INDEX(Maniobras!$B$5:$B$504,MATCH(A1674,Maniobras!$A$5:$A$504,0)),""))</f>
        <v/>
      </c>
      <c r="C1674" s="38">
        <f>IF(B1674="","",TEXT(B1674,"yyyy-mm"))</f>
        <v/>
      </c>
      <c r="D1674" s="38">
        <f>IF(A1674="","",IFERROR(INDEX(Maniobras!$D$5:$D$504,MATCH(A1674,Maniobras!$A$5:$A$504,0)),""))</f>
        <v/>
      </c>
      <c r="E1674" s="38" t="n"/>
      <c r="F1674" s="39">
        <f>IF(A1674="","",IFERROR(INDEX(Maniobras!$K$5:$K$504,MATCH(A1674,Maniobras!$A$5:$A$504,0)),""))</f>
        <v/>
      </c>
      <c r="G1674" s="39" t="n"/>
      <c r="H1674" s="39" t="n"/>
      <c r="I1674" s="39">
        <f>IF(G1674="","",G1674+N(H1674))</f>
        <v/>
      </c>
      <c r="J1674" s="38" t="n"/>
      <c r="K1674" s="41" t="n"/>
      <c r="L1674" s="38" t="n"/>
      <c r="M1674">
        <f>IF($A1674=Ficha!$B$3,COUNTIF($A$5:$A1674,Ficha!$B$3),"")</f>
        <v/>
      </c>
    </row>
    <row r="1675">
      <c r="A1675" s="36" t="n"/>
      <c r="B1675" s="40">
        <f>IF(A1675="","",IFERROR(INDEX(Maniobras!$B$5:$B$504,MATCH(A1675,Maniobras!$A$5:$A$504,0)),""))</f>
        <v/>
      </c>
      <c r="C1675" s="36">
        <f>IF(B1675="","",TEXT(B1675,"yyyy-mm"))</f>
        <v/>
      </c>
      <c r="D1675" s="36">
        <f>IF(A1675="","",IFERROR(INDEX(Maniobras!$D$5:$D$504,MATCH(A1675,Maniobras!$A$5:$A$504,0)),""))</f>
        <v/>
      </c>
      <c r="E1675" s="36" t="n"/>
      <c r="F1675" s="37">
        <f>IF(A1675="","",IFERROR(INDEX(Maniobras!$K$5:$K$504,MATCH(A1675,Maniobras!$A$5:$A$504,0)),""))</f>
        <v/>
      </c>
      <c r="G1675" s="37" t="n"/>
      <c r="H1675" s="37" t="n"/>
      <c r="I1675" s="37">
        <f>IF(G1675="","",G1675+N(H1675))</f>
        <v/>
      </c>
      <c r="J1675" s="36" t="n"/>
      <c r="K1675" s="40" t="n"/>
      <c r="L1675" s="36" t="n"/>
      <c r="M1675">
        <f>IF($A1675=Ficha!$B$3,COUNTIF($A$5:$A1675,Ficha!$B$3),"")</f>
        <v/>
      </c>
    </row>
    <row r="1676">
      <c r="A1676" s="38" t="n"/>
      <c r="B1676" s="41">
        <f>IF(A1676="","",IFERROR(INDEX(Maniobras!$B$5:$B$504,MATCH(A1676,Maniobras!$A$5:$A$504,0)),""))</f>
        <v/>
      </c>
      <c r="C1676" s="38">
        <f>IF(B1676="","",TEXT(B1676,"yyyy-mm"))</f>
        <v/>
      </c>
      <c r="D1676" s="38">
        <f>IF(A1676="","",IFERROR(INDEX(Maniobras!$D$5:$D$504,MATCH(A1676,Maniobras!$A$5:$A$504,0)),""))</f>
        <v/>
      </c>
      <c r="E1676" s="38" t="n"/>
      <c r="F1676" s="39">
        <f>IF(A1676="","",IFERROR(INDEX(Maniobras!$K$5:$K$504,MATCH(A1676,Maniobras!$A$5:$A$504,0)),""))</f>
        <v/>
      </c>
      <c r="G1676" s="39" t="n"/>
      <c r="H1676" s="39" t="n"/>
      <c r="I1676" s="39">
        <f>IF(G1676="","",G1676+N(H1676))</f>
        <v/>
      </c>
      <c r="J1676" s="38" t="n"/>
      <c r="K1676" s="41" t="n"/>
      <c r="L1676" s="38" t="n"/>
      <c r="M1676">
        <f>IF($A1676=Ficha!$B$3,COUNTIF($A$5:$A1676,Ficha!$B$3),"")</f>
        <v/>
      </c>
    </row>
    <row r="1677">
      <c r="A1677" s="36" t="n"/>
      <c r="B1677" s="40">
        <f>IF(A1677="","",IFERROR(INDEX(Maniobras!$B$5:$B$504,MATCH(A1677,Maniobras!$A$5:$A$504,0)),""))</f>
        <v/>
      </c>
      <c r="C1677" s="36">
        <f>IF(B1677="","",TEXT(B1677,"yyyy-mm"))</f>
        <v/>
      </c>
      <c r="D1677" s="36">
        <f>IF(A1677="","",IFERROR(INDEX(Maniobras!$D$5:$D$504,MATCH(A1677,Maniobras!$A$5:$A$504,0)),""))</f>
        <v/>
      </c>
      <c r="E1677" s="36" t="n"/>
      <c r="F1677" s="37">
        <f>IF(A1677="","",IFERROR(INDEX(Maniobras!$K$5:$K$504,MATCH(A1677,Maniobras!$A$5:$A$504,0)),""))</f>
        <v/>
      </c>
      <c r="G1677" s="37" t="n"/>
      <c r="H1677" s="37" t="n"/>
      <c r="I1677" s="37">
        <f>IF(G1677="","",G1677+N(H1677))</f>
        <v/>
      </c>
      <c r="J1677" s="36" t="n"/>
      <c r="K1677" s="40" t="n"/>
      <c r="L1677" s="36" t="n"/>
      <c r="M1677">
        <f>IF($A1677=Ficha!$B$3,COUNTIF($A$5:$A1677,Ficha!$B$3),"")</f>
        <v/>
      </c>
    </row>
    <row r="1678">
      <c r="A1678" s="38" t="n"/>
      <c r="B1678" s="41">
        <f>IF(A1678="","",IFERROR(INDEX(Maniobras!$B$5:$B$504,MATCH(A1678,Maniobras!$A$5:$A$504,0)),""))</f>
        <v/>
      </c>
      <c r="C1678" s="38">
        <f>IF(B1678="","",TEXT(B1678,"yyyy-mm"))</f>
        <v/>
      </c>
      <c r="D1678" s="38">
        <f>IF(A1678="","",IFERROR(INDEX(Maniobras!$D$5:$D$504,MATCH(A1678,Maniobras!$A$5:$A$504,0)),""))</f>
        <v/>
      </c>
      <c r="E1678" s="38" t="n"/>
      <c r="F1678" s="39">
        <f>IF(A1678="","",IFERROR(INDEX(Maniobras!$K$5:$K$504,MATCH(A1678,Maniobras!$A$5:$A$504,0)),""))</f>
        <v/>
      </c>
      <c r="G1678" s="39" t="n"/>
      <c r="H1678" s="39" t="n"/>
      <c r="I1678" s="39">
        <f>IF(G1678="","",G1678+N(H1678))</f>
        <v/>
      </c>
      <c r="J1678" s="38" t="n"/>
      <c r="K1678" s="41" t="n"/>
      <c r="L1678" s="38" t="n"/>
      <c r="M1678">
        <f>IF($A1678=Ficha!$B$3,COUNTIF($A$5:$A1678,Ficha!$B$3),"")</f>
        <v/>
      </c>
    </row>
    <row r="1679">
      <c r="A1679" s="36" t="n"/>
      <c r="B1679" s="40">
        <f>IF(A1679="","",IFERROR(INDEX(Maniobras!$B$5:$B$504,MATCH(A1679,Maniobras!$A$5:$A$504,0)),""))</f>
        <v/>
      </c>
      <c r="C1679" s="36">
        <f>IF(B1679="","",TEXT(B1679,"yyyy-mm"))</f>
        <v/>
      </c>
      <c r="D1679" s="36">
        <f>IF(A1679="","",IFERROR(INDEX(Maniobras!$D$5:$D$504,MATCH(A1679,Maniobras!$A$5:$A$504,0)),""))</f>
        <v/>
      </c>
      <c r="E1679" s="36" t="n"/>
      <c r="F1679" s="37">
        <f>IF(A1679="","",IFERROR(INDEX(Maniobras!$K$5:$K$504,MATCH(A1679,Maniobras!$A$5:$A$504,0)),""))</f>
        <v/>
      </c>
      <c r="G1679" s="37" t="n"/>
      <c r="H1679" s="37" t="n"/>
      <c r="I1679" s="37">
        <f>IF(G1679="","",G1679+N(H1679))</f>
        <v/>
      </c>
      <c r="J1679" s="36" t="n"/>
      <c r="K1679" s="40" t="n"/>
      <c r="L1679" s="36" t="n"/>
      <c r="M1679">
        <f>IF($A1679=Ficha!$B$3,COUNTIF($A$5:$A1679,Ficha!$B$3),"")</f>
        <v/>
      </c>
    </row>
    <row r="1680">
      <c r="A1680" s="38" t="n"/>
      <c r="B1680" s="41">
        <f>IF(A1680="","",IFERROR(INDEX(Maniobras!$B$5:$B$504,MATCH(A1680,Maniobras!$A$5:$A$504,0)),""))</f>
        <v/>
      </c>
      <c r="C1680" s="38">
        <f>IF(B1680="","",TEXT(B1680,"yyyy-mm"))</f>
        <v/>
      </c>
      <c r="D1680" s="38">
        <f>IF(A1680="","",IFERROR(INDEX(Maniobras!$D$5:$D$504,MATCH(A1680,Maniobras!$A$5:$A$504,0)),""))</f>
        <v/>
      </c>
      <c r="E1680" s="38" t="n"/>
      <c r="F1680" s="39">
        <f>IF(A1680="","",IFERROR(INDEX(Maniobras!$K$5:$K$504,MATCH(A1680,Maniobras!$A$5:$A$504,0)),""))</f>
        <v/>
      </c>
      <c r="G1680" s="39" t="n"/>
      <c r="H1680" s="39" t="n"/>
      <c r="I1680" s="39">
        <f>IF(G1680="","",G1680+N(H1680))</f>
        <v/>
      </c>
      <c r="J1680" s="38" t="n"/>
      <c r="K1680" s="41" t="n"/>
      <c r="L1680" s="38" t="n"/>
      <c r="M1680">
        <f>IF($A1680=Ficha!$B$3,COUNTIF($A$5:$A1680,Ficha!$B$3),"")</f>
        <v/>
      </c>
    </row>
    <row r="1681">
      <c r="A1681" s="36" t="n"/>
      <c r="B1681" s="40">
        <f>IF(A1681="","",IFERROR(INDEX(Maniobras!$B$5:$B$504,MATCH(A1681,Maniobras!$A$5:$A$504,0)),""))</f>
        <v/>
      </c>
      <c r="C1681" s="36">
        <f>IF(B1681="","",TEXT(B1681,"yyyy-mm"))</f>
        <v/>
      </c>
      <c r="D1681" s="36">
        <f>IF(A1681="","",IFERROR(INDEX(Maniobras!$D$5:$D$504,MATCH(A1681,Maniobras!$A$5:$A$504,0)),""))</f>
        <v/>
      </c>
      <c r="E1681" s="36" t="n"/>
      <c r="F1681" s="37">
        <f>IF(A1681="","",IFERROR(INDEX(Maniobras!$K$5:$K$504,MATCH(A1681,Maniobras!$A$5:$A$504,0)),""))</f>
        <v/>
      </c>
      <c r="G1681" s="37" t="n"/>
      <c r="H1681" s="37" t="n"/>
      <c r="I1681" s="37">
        <f>IF(G1681="","",G1681+N(H1681))</f>
        <v/>
      </c>
      <c r="J1681" s="36" t="n"/>
      <c r="K1681" s="40" t="n"/>
      <c r="L1681" s="36" t="n"/>
      <c r="M1681">
        <f>IF($A1681=Ficha!$B$3,COUNTIF($A$5:$A1681,Ficha!$B$3),"")</f>
        <v/>
      </c>
    </row>
    <row r="1682">
      <c r="A1682" s="38" t="n"/>
      <c r="B1682" s="41">
        <f>IF(A1682="","",IFERROR(INDEX(Maniobras!$B$5:$B$504,MATCH(A1682,Maniobras!$A$5:$A$504,0)),""))</f>
        <v/>
      </c>
      <c r="C1682" s="38">
        <f>IF(B1682="","",TEXT(B1682,"yyyy-mm"))</f>
        <v/>
      </c>
      <c r="D1682" s="38">
        <f>IF(A1682="","",IFERROR(INDEX(Maniobras!$D$5:$D$504,MATCH(A1682,Maniobras!$A$5:$A$504,0)),""))</f>
        <v/>
      </c>
      <c r="E1682" s="38" t="n"/>
      <c r="F1682" s="39">
        <f>IF(A1682="","",IFERROR(INDEX(Maniobras!$K$5:$K$504,MATCH(A1682,Maniobras!$A$5:$A$504,0)),""))</f>
        <v/>
      </c>
      <c r="G1682" s="39" t="n"/>
      <c r="H1682" s="39" t="n"/>
      <c r="I1682" s="39">
        <f>IF(G1682="","",G1682+N(H1682))</f>
        <v/>
      </c>
      <c r="J1682" s="38" t="n"/>
      <c r="K1682" s="41" t="n"/>
      <c r="L1682" s="38" t="n"/>
      <c r="M1682">
        <f>IF($A1682=Ficha!$B$3,COUNTIF($A$5:$A1682,Ficha!$B$3),"")</f>
        <v/>
      </c>
    </row>
    <row r="1683">
      <c r="A1683" s="36" t="n"/>
      <c r="B1683" s="40">
        <f>IF(A1683="","",IFERROR(INDEX(Maniobras!$B$5:$B$504,MATCH(A1683,Maniobras!$A$5:$A$504,0)),""))</f>
        <v/>
      </c>
      <c r="C1683" s="36">
        <f>IF(B1683="","",TEXT(B1683,"yyyy-mm"))</f>
        <v/>
      </c>
      <c r="D1683" s="36">
        <f>IF(A1683="","",IFERROR(INDEX(Maniobras!$D$5:$D$504,MATCH(A1683,Maniobras!$A$5:$A$504,0)),""))</f>
        <v/>
      </c>
      <c r="E1683" s="36" t="n"/>
      <c r="F1683" s="37">
        <f>IF(A1683="","",IFERROR(INDEX(Maniobras!$K$5:$K$504,MATCH(A1683,Maniobras!$A$5:$A$504,0)),""))</f>
        <v/>
      </c>
      <c r="G1683" s="37" t="n"/>
      <c r="H1683" s="37" t="n"/>
      <c r="I1683" s="37">
        <f>IF(G1683="","",G1683+N(H1683))</f>
        <v/>
      </c>
      <c r="J1683" s="36" t="n"/>
      <c r="K1683" s="40" t="n"/>
      <c r="L1683" s="36" t="n"/>
      <c r="M1683">
        <f>IF($A1683=Ficha!$B$3,COUNTIF($A$5:$A1683,Ficha!$B$3),"")</f>
        <v/>
      </c>
    </row>
    <row r="1684">
      <c r="A1684" s="38" t="n"/>
      <c r="B1684" s="41">
        <f>IF(A1684="","",IFERROR(INDEX(Maniobras!$B$5:$B$504,MATCH(A1684,Maniobras!$A$5:$A$504,0)),""))</f>
        <v/>
      </c>
      <c r="C1684" s="38">
        <f>IF(B1684="","",TEXT(B1684,"yyyy-mm"))</f>
        <v/>
      </c>
      <c r="D1684" s="38">
        <f>IF(A1684="","",IFERROR(INDEX(Maniobras!$D$5:$D$504,MATCH(A1684,Maniobras!$A$5:$A$504,0)),""))</f>
        <v/>
      </c>
      <c r="E1684" s="38" t="n"/>
      <c r="F1684" s="39">
        <f>IF(A1684="","",IFERROR(INDEX(Maniobras!$K$5:$K$504,MATCH(A1684,Maniobras!$A$5:$A$504,0)),""))</f>
        <v/>
      </c>
      <c r="G1684" s="39" t="n"/>
      <c r="H1684" s="39" t="n"/>
      <c r="I1684" s="39">
        <f>IF(G1684="","",G1684+N(H1684))</f>
        <v/>
      </c>
      <c r="J1684" s="38" t="n"/>
      <c r="K1684" s="41" t="n"/>
      <c r="L1684" s="38" t="n"/>
      <c r="M1684">
        <f>IF($A1684=Ficha!$B$3,COUNTIF($A$5:$A1684,Ficha!$B$3),"")</f>
        <v/>
      </c>
    </row>
    <row r="1685">
      <c r="A1685" s="36" t="n"/>
      <c r="B1685" s="40">
        <f>IF(A1685="","",IFERROR(INDEX(Maniobras!$B$5:$B$504,MATCH(A1685,Maniobras!$A$5:$A$504,0)),""))</f>
        <v/>
      </c>
      <c r="C1685" s="36">
        <f>IF(B1685="","",TEXT(B1685,"yyyy-mm"))</f>
        <v/>
      </c>
      <c r="D1685" s="36">
        <f>IF(A1685="","",IFERROR(INDEX(Maniobras!$D$5:$D$504,MATCH(A1685,Maniobras!$A$5:$A$504,0)),""))</f>
        <v/>
      </c>
      <c r="E1685" s="36" t="n"/>
      <c r="F1685" s="37">
        <f>IF(A1685="","",IFERROR(INDEX(Maniobras!$K$5:$K$504,MATCH(A1685,Maniobras!$A$5:$A$504,0)),""))</f>
        <v/>
      </c>
      <c r="G1685" s="37" t="n"/>
      <c r="H1685" s="37" t="n"/>
      <c r="I1685" s="37">
        <f>IF(G1685="","",G1685+N(H1685))</f>
        <v/>
      </c>
      <c r="J1685" s="36" t="n"/>
      <c r="K1685" s="40" t="n"/>
      <c r="L1685" s="36" t="n"/>
      <c r="M1685">
        <f>IF($A1685=Ficha!$B$3,COUNTIF($A$5:$A1685,Ficha!$B$3),"")</f>
        <v/>
      </c>
    </row>
    <row r="1686">
      <c r="A1686" s="38" t="n"/>
      <c r="B1686" s="41">
        <f>IF(A1686="","",IFERROR(INDEX(Maniobras!$B$5:$B$504,MATCH(A1686,Maniobras!$A$5:$A$504,0)),""))</f>
        <v/>
      </c>
      <c r="C1686" s="38">
        <f>IF(B1686="","",TEXT(B1686,"yyyy-mm"))</f>
        <v/>
      </c>
      <c r="D1686" s="38">
        <f>IF(A1686="","",IFERROR(INDEX(Maniobras!$D$5:$D$504,MATCH(A1686,Maniobras!$A$5:$A$504,0)),""))</f>
        <v/>
      </c>
      <c r="E1686" s="38" t="n"/>
      <c r="F1686" s="39">
        <f>IF(A1686="","",IFERROR(INDEX(Maniobras!$K$5:$K$504,MATCH(A1686,Maniobras!$A$5:$A$504,0)),""))</f>
        <v/>
      </c>
      <c r="G1686" s="39" t="n"/>
      <c r="H1686" s="39" t="n"/>
      <c r="I1686" s="39">
        <f>IF(G1686="","",G1686+N(H1686))</f>
        <v/>
      </c>
      <c r="J1686" s="38" t="n"/>
      <c r="K1686" s="41" t="n"/>
      <c r="L1686" s="38" t="n"/>
      <c r="M1686">
        <f>IF($A1686=Ficha!$B$3,COUNTIF($A$5:$A1686,Ficha!$B$3),"")</f>
        <v/>
      </c>
    </row>
    <row r="1687">
      <c r="A1687" s="36" t="n"/>
      <c r="B1687" s="40">
        <f>IF(A1687="","",IFERROR(INDEX(Maniobras!$B$5:$B$504,MATCH(A1687,Maniobras!$A$5:$A$504,0)),""))</f>
        <v/>
      </c>
      <c r="C1687" s="36">
        <f>IF(B1687="","",TEXT(B1687,"yyyy-mm"))</f>
        <v/>
      </c>
      <c r="D1687" s="36">
        <f>IF(A1687="","",IFERROR(INDEX(Maniobras!$D$5:$D$504,MATCH(A1687,Maniobras!$A$5:$A$504,0)),""))</f>
        <v/>
      </c>
      <c r="E1687" s="36" t="n"/>
      <c r="F1687" s="37">
        <f>IF(A1687="","",IFERROR(INDEX(Maniobras!$K$5:$K$504,MATCH(A1687,Maniobras!$A$5:$A$504,0)),""))</f>
        <v/>
      </c>
      <c r="G1687" s="37" t="n"/>
      <c r="H1687" s="37" t="n"/>
      <c r="I1687" s="37">
        <f>IF(G1687="","",G1687+N(H1687))</f>
        <v/>
      </c>
      <c r="J1687" s="36" t="n"/>
      <c r="K1687" s="40" t="n"/>
      <c r="L1687" s="36" t="n"/>
      <c r="M1687">
        <f>IF($A1687=Ficha!$B$3,COUNTIF($A$5:$A1687,Ficha!$B$3),"")</f>
        <v/>
      </c>
    </row>
    <row r="1688">
      <c r="A1688" s="38" t="n"/>
      <c r="B1688" s="41">
        <f>IF(A1688="","",IFERROR(INDEX(Maniobras!$B$5:$B$504,MATCH(A1688,Maniobras!$A$5:$A$504,0)),""))</f>
        <v/>
      </c>
      <c r="C1688" s="38">
        <f>IF(B1688="","",TEXT(B1688,"yyyy-mm"))</f>
        <v/>
      </c>
      <c r="D1688" s="38">
        <f>IF(A1688="","",IFERROR(INDEX(Maniobras!$D$5:$D$504,MATCH(A1688,Maniobras!$A$5:$A$504,0)),""))</f>
        <v/>
      </c>
      <c r="E1688" s="38" t="n"/>
      <c r="F1688" s="39">
        <f>IF(A1688="","",IFERROR(INDEX(Maniobras!$K$5:$K$504,MATCH(A1688,Maniobras!$A$5:$A$504,0)),""))</f>
        <v/>
      </c>
      <c r="G1688" s="39" t="n"/>
      <c r="H1688" s="39" t="n"/>
      <c r="I1688" s="39">
        <f>IF(G1688="","",G1688+N(H1688))</f>
        <v/>
      </c>
      <c r="J1688" s="38" t="n"/>
      <c r="K1688" s="41" t="n"/>
      <c r="L1688" s="38" t="n"/>
      <c r="M1688">
        <f>IF($A1688=Ficha!$B$3,COUNTIF($A$5:$A1688,Ficha!$B$3),"")</f>
        <v/>
      </c>
    </row>
    <row r="1689">
      <c r="A1689" s="36" t="n"/>
      <c r="B1689" s="40">
        <f>IF(A1689="","",IFERROR(INDEX(Maniobras!$B$5:$B$504,MATCH(A1689,Maniobras!$A$5:$A$504,0)),""))</f>
        <v/>
      </c>
      <c r="C1689" s="36">
        <f>IF(B1689="","",TEXT(B1689,"yyyy-mm"))</f>
        <v/>
      </c>
      <c r="D1689" s="36">
        <f>IF(A1689="","",IFERROR(INDEX(Maniobras!$D$5:$D$504,MATCH(A1689,Maniobras!$A$5:$A$504,0)),""))</f>
        <v/>
      </c>
      <c r="E1689" s="36" t="n"/>
      <c r="F1689" s="37">
        <f>IF(A1689="","",IFERROR(INDEX(Maniobras!$K$5:$K$504,MATCH(A1689,Maniobras!$A$5:$A$504,0)),""))</f>
        <v/>
      </c>
      <c r="G1689" s="37" t="n"/>
      <c r="H1689" s="37" t="n"/>
      <c r="I1689" s="37">
        <f>IF(G1689="","",G1689+N(H1689))</f>
        <v/>
      </c>
      <c r="J1689" s="36" t="n"/>
      <c r="K1689" s="40" t="n"/>
      <c r="L1689" s="36" t="n"/>
      <c r="M1689">
        <f>IF($A1689=Ficha!$B$3,COUNTIF($A$5:$A1689,Ficha!$B$3),"")</f>
        <v/>
      </c>
    </row>
    <row r="1690">
      <c r="A1690" s="38" t="n"/>
      <c r="B1690" s="41">
        <f>IF(A1690="","",IFERROR(INDEX(Maniobras!$B$5:$B$504,MATCH(A1690,Maniobras!$A$5:$A$504,0)),""))</f>
        <v/>
      </c>
      <c r="C1690" s="38">
        <f>IF(B1690="","",TEXT(B1690,"yyyy-mm"))</f>
        <v/>
      </c>
      <c r="D1690" s="38">
        <f>IF(A1690="","",IFERROR(INDEX(Maniobras!$D$5:$D$504,MATCH(A1690,Maniobras!$A$5:$A$504,0)),""))</f>
        <v/>
      </c>
      <c r="E1690" s="38" t="n"/>
      <c r="F1690" s="39">
        <f>IF(A1690="","",IFERROR(INDEX(Maniobras!$K$5:$K$504,MATCH(A1690,Maniobras!$A$5:$A$504,0)),""))</f>
        <v/>
      </c>
      <c r="G1690" s="39" t="n"/>
      <c r="H1690" s="39" t="n"/>
      <c r="I1690" s="39">
        <f>IF(G1690="","",G1690+N(H1690))</f>
        <v/>
      </c>
      <c r="J1690" s="38" t="n"/>
      <c r="K1690" s="41" t="n"/>
      <c r="L1690" s="38" t="n"/>
      <c r="M1690">
        <f>IF($A1690=Ficha!$B$3,COUNTIF($A$5:$A1690,Ficha!$B$3),"")</f>
        <v/>
      </c>
    </row>
    <row r="1691">
      <c r="A1691" s="36" t="n"/>
      <c r="B1691" s="40">
        <f>IF(A1691="","",IFERROR(INDEX(Maniobras!$B$5:$B$504,MATCH(A1691,Maniobras!$A$5:$A$504,0)),""))</f>
        <v/>
      </c>
      <c r="C1691" s="36">
        <f>IF(B1691="","",TEXT(B1691,"yyyy-mm"))</f>
        <v/>
      </c>
      <c r="D1691" s="36">
        <f>IF(A1691="","",IFERROR(INDEX(Maniobras!$D$5:$D$504,MATCH(A1691,Maniobras!$A$5:$A$504,0)),""))</f>
        <v/>
      </c>
      <c r="E1691" s="36" t="n"/>
      <c r="F1691" s="37">
        <f>IF(A1691="","",IFERROR(INDEX(Maniobras!$K$5:$K$504,MATCH(A1691,Maniobras!$A$5:$A$504,0)),""))</f>
        <v/>
      </c>
      <c r="G1691" s="37" t="n"/>
      <c r="H1691" s="37" t="n"/>
      <c r="I1691" s="37">
        <f>IF(G1691="","",G1691+N(H1691))</f>
        <v/>
      </c>
      <c r="J1691" s="36" t="n"/>
      <c r="K1691" s="40" t="n"/>
      <c r="L1691" s="36" t="n"/>
      <c r="M1691">
        <f>IF($A1691=Ficha!$B$3,COUNTIF($A$5:$A1691,Ficha!$B$3),"")</f>
        <v/>
      </c>
    </row>
    <row r="1692">
      <c r="A1692" s="38" t="n"/>
      <c r="B1692" s="41">
        <f>IF(A1692="","",IFERROR(INDEX(Maniobras!$B$5:$B$504,MATCH(A1692,Maniobras!$A$5:$A$504,0)),""))</f>
        <v/>
      </c>
      <c r="C1692" s="38">
        <f>IF(B1692="","",TEXT(B1692,"yyyy-mm"))</f>
        <v/>
      </c>
      <c r="D1692" s="38">
        <f>IF(A1692="","",IFERROR(INDEX(Maniobras!$D$5:$D$504,MATCH(A1692,Maniobras!$A$5:$A$504,0)),""))</f>
        <v/>
      </c>
      <c r="E1692" s="38" t="n"/>
      <c r="F1692" s="39">
        <f>IF(A1692="","",IFERROR(INDEX(Maniobras!$K$5:$K$504,MATCH(A1692,Maniobras!$A$5:$A$504,0)),""))</f>
        <v/>
      </c>
      <c r="G1692" s="39" t="n"/>
      <c r="H1692" s="39" t="n"/>
      <c r="I1692" s="39">
        <f>IF(G1692="","",G1692+N(H1692))</f>
        <v/>
      </c>
      <c r="J1692" s="38" t="n"/>
      <c r="K1692" s="41" t="n"/>
      <c r="L1692" s="38" t="n"/>
      <c r="M1692">
        <f>IF($A1692=Ficha!$B$3,COUNTIF($A$5:$A1692,Ficha!$B$3),"")</f>
        <v/>
      </c>
    </row>
    <row r="1693">
      <c r="A1693" s="36" t="n"/>
      <c r="B1693" s="40">
        <f>IF(A1693="","",IFERROR(INDEX(Maniobras!$B$5:$B$504,MATCH(A1693,Maniobras!$A$5:$A$504,0)),""))</f>
        <v/>
      </c>
      <c r="C1693" s="36">
        <f>IF(B1693="","",TEXT(B1693,"yyyy-mm"))</f>
        <v/>
      </c>
      <c r="D1693" s="36">
        <f>IF(A1693="","",IFERROR(INDEX(Maniobras!$D$5:$D$504,MATCH(A1693,Maniobras!$A$5:$A$504,0)),""))</f>
        <v/>
      </c>
      <c r="E1693" s="36" t="n"/>
      <c r="F1693" s="37">
        <f>IF(A1693="","",IFERROR(INDEX(Maniobras!$K$5:$K$504,MATCH(A1693,Maniobras!$A$5:$A$504,0)),""))</f>
        <v/>
      </c>
      <c r="G1693" s="37" t="n"/>
      <c r="H1693" s="37" t="n"/>
      <c r="I1693" s="37">
        <f>IF(G1693="","",G1693+N(H1693))</f>
        <v/>
      </c>
      <c r="J1693" s="36" t="n"/>
      <c r="K1693" s="40" t="n"/>
      <c r="L1693" s="36" t="n"/>
      <c r="M1693">
        <f>IF($A1693=Ficha!$B$3,COUNTIF($A$5:$A1693,Ficha!$B$3),"")</f>
        <v/>
      </c>
    </row>
    <row r="1694">
      <c r="A1694" s="38" t="n"/>
      <c r="B1694" s="41">
        <f>IF(A1694="","",IFERROR(INDEX(Maniobras!$B$5:$B$504,MATCH(A1694,Maniobras!$A$5:$A$504,0)),""))</f>
        <v/>
      </c>
      <c r="C1694" s="38">
        <f>IF(B1694="","",TEXT(B1694,"yyyy-mm"))</f>
        <v/>
      </c>
      <c r="D1694" s="38">
        <f>IF(A1694="","",IFERROR(INDEX(Maniobras!$D$5:$D$504,MATCH(A1694,Maniobras!$A$5:$A$504,0)),""))</f>
        <v/>
      </c>
      <c r="E1694" s="38" t="n"/>
      <c r="F1694" s="39">
        <f>IF(A1694="","",IFERROR(INDEX(Maniobras!$K$5:$K$504,MATCH(A1694,Maniobras!$A$5:$A$504,0)),""))</f>
        <v/>
      </c>
      <c r="G1694" s="39" t="n"/>
      <c r="H1694" s="39" t="n"/>
      <c r="I1694" s="39">
        <f>IF(G1694="","",G1694+N(H1694))</f>
        <v/>
      </c>
      <c r="J1694" s="38" t="n"/>
      <c r="K1694" s="41" t="n"/>
      <c r="L1694" s="38" t="n"/>
      <c r="M1694">
        <f>IF($A1694=Ficha!$B$3,COUNTIF($A$5:$A1694,Ficha!$B$3),"")</f>
        <v/>
      </c>
    </row>
    <row r="1695">
      <c r="A1695" s="36" t="n"/>
      <c r="B1695" s="40">
        <f>IF(A1695="","",IFERROR(INDEX(Maniobras!$B$5:$B$504,MATCH(A1695,Maniobras!$A$5:$A$504,0)),""))</f>
        <v/>
      </c>
      <c r="C1695" s="36">
        <f>IF(B1695="","",TEXT(B1695,"yyyy-mm"))</f>
        <v/>
      </c>
      <c r="D1695" s="36">
        <f>IF(A1695="","",IFERROR(INDEX(Maniobras!$D$5:$D$504,MATCH(A1695,Maniobras!$A$5:$A$504,0)),""))</f>
        <v/>
      </c>
      <c r="E1695" s="36" t="n"/>
      <c r="F1695" s="37">
        <f>IF(A1695="","",IFERROR(INDEX(Maniobras!$K$5:$K$504,MATCH(A1695,Maniobras!$A$5:$A$504,0)),""))</f>
        <v/>
      </c>
      <c r="G1695" s="37" t="n"/>
      <c r="H1695" s="37" t="n"/>
      <c r="I1695" s="37">
        <f>IF(G1695="","",G1695+N(H1695))</f>
        <v/>
      </c>
      <c r="J1695" s="36" t="n"/>
      <c r="K1695" s="40" t="n"/>
      <c r="L1695" s="36" t="n"/>
      <c r="M1695">
        <f>IF($A1695=Ficha!$B$3,COUNTIF($A$5:$A1695,Ficha!$B$3),"")</f>
        <v/>
      </c>
    </row>
    <row r="1696">
      <c r="A1696" s="38" t="n"/>
      <c r="B1696" s="41">
        <f>IF(A1696="","",IFERROR(INDEX(Maniobras!$B$5:$B$504,MATCH(A1696,Maniobras!$A$5:$A$504,0)),""))</f>
        <v/>
      </c>
      <c r="C1696" s="38">
        <f>IF(B1696="","",TEXT(B1696,"yyyy-mm"))</f>
        <v/>
      </c>
      <c r="D1696" s="38">
        <f>IF(A1696="","",IFERROR(INDEX(Maniobras!$D$5:$D$504,MATCH(A1696,Maniobras!$A$5:$A$504,0)),""))</f>
        <v/>
      </c>
      <c r="E1696" s="38" t="n"/>
      <c r="F1696" s="39">
        <f>IF(A1696="","",IFERROR(INDEX(Maniobras!$K$5:$K$504,MATCH(A1696,Maniobras!$A$5:$A$504,0)),""))</f>
        <v/>
      </c>
      <c r="G1696" s="39" t="n"/>
      <c r="H1696" s="39" t="n"/>
      <c r="I1696" s="39">
        <f>IF(G1696="","",G1696+N(H1696))</f>
        <v/>
      </c>
      <c r="J1696" s="38" t="n"/>
      <c r="K1696" s="41" t="n"/>
      <c r="L1696" s="38" t="n"/>
      <c r="M1696">
        <f>IF($A1696=Ficha!$B$3,COUNTIF($A$5:$A1696,Ficha!$B$3),"")</f>
        <v/>
      </c>
    </row>
    <row r="1697">
      <c r="A1697" s="36" t="n"/>
      <c r="B1697" s="40">
        <f>IF(A1697="","",IFERROR(INDEX(Maniobras!$B$5:$B$504,MATCH(A1697,Maniobras!$A$5:$A$504,0)),""))</f>
        <v/>
      </c>
      <c r="C1697" s="36">
        <f>IF(B1697="","",TEXT(B1697,"yyyy-mm"))</f>
        <v/>
      </c>
      <c r="D1697" s="36">
        <f>IF(A1697="","",IFERROR(INDEX(Maniobras!$D$5:$D$504,MATCH(A1697,Maniobras!$A$5:$A$504,0)),""))</f>
        <v/>
      </c>
      <c r="E1697" s="36" t="n"/>
      <c r="F1697" s="37">
        <f>IF(A1697="","",IFERROR(INDEX(Maniobras!$K$5:$K$504,MATCH(A1697,Maniobras!$A$5:$A$504,0)),""))</f>
        <v/>
      </c>
      <c r="G1697" s="37" t="n"/>
      <c r="H1697" s="37" t="n"/>
      <c r="I1697" s="37">
        <f>IF(G1697="","",G1697+N(H1697))</f>
        <v/>
      </c>
      <c r="J1697" s="36" t="n"/>
      <c r="K1697" s="40" t="n"/>
      <c r="L1697" s="36" t="n"/>
      <c r="M1697">
        <f>IF($A1697=Ficha!$B$3,COUNTIF($A$5:$A1697,Ficha!$B$3),"")</f>
        <v/>
      </c>
    </row>
    <row r="1698">
      <c r="A1698" s="38" t="n"/>
      <c r="B1698" s="41">
        <f>IF(A1698="","",IFERROR(INDEX(Maniobras!$B$5:$B$504,MATCH(A1698,Maniobras!$A$5:$A$504,0)),""))</f>
        <v/>
      </c>
      <c r="C1698" s="38">
        <f>IF(B1698="","",TEXT(B1698,"yyyy-mm"))</f>
        <v/>
      </c>
      <c r="D1698" s="38">
        <f>IF(A1698="","",IFERROR(INDEX(Maniobras!$D$5:$D$504,MATCH(A1698,Maniobras!$A$5:$A$504,0)),""))</f>
        <v/>
      </c>
      <c r="E1698" s="38" t="n"/>
      <c r="F1698" s="39">
        <f>IF(A1698="","",IFERROR(INDEX(Maniobras!$K$5:$K$504,MATCH(A1698,Maniobras!$A$5:$A$504,0)),""))</f>
        <v/>
      </c>
      <c r="G1698" s="39" t="n"/>
      <c r="H1698" s="39" t="n"/>
      <c r="I1698" s="39">
        <f>IF(G1698="","",G1698+N(H1698))</f>
        <v/>
      </c>
      <c r="J1698" s="38" t="n"/>
      <c r="K1698" s="41" t="n"/>
      <c r="L1698" s="38" t="n"/>
      <c r="M1698">
        <f>IF($A1698=Ficha!$B$3,COUNTIF($A$5:$A1698,Ficha!$B$3),"")</f>
        <v/>
      </c>
    </row>
    <row r="1699">
      <c r="A1699" s="36" t="n"/>
      <c r="B1699" s="40">
        <f>IF(A1699="","",IFERROR(INDEX(Maniobras!$B$5:$B$504,MATCH(A1699,Maniobras!$A$5:$A$504,0)),""))</f>
        <v/>
      </c>
      <c r="C1699" s="36">
        <f>IF(B1699="","",TEXT(B1699,"yyyy-mm"))</f>
        <v/>
      </c>
      <c r="D1699" s="36">
        <f>IF(A1699="","",IFERROR(INDEX(Maniobras!$D$5:$D$504,MATCH(A1699,Maniobras!$A$5:$A$504,0)),""))</f>
        <v/>
      </c>
      <c r="E1699" s="36" t="n"/>
      <c r="F1699" s="37">
        <f>IF(A1699="","",IFERROR(INDEX(Maniobras!$K$5:$K$504,MATCH(A1699,Maniobras!$A$5:$A$504,0)),""))</f>
        <v/>
      </c>
      <c r="G1699" s="37" t="n"/>
      <c r="H1699" s="37" t="n"/>
      <c r="I1699" s="37">
        <f>IF(G1699="","",G1699+N(H1699))</f>
        <v/>
      </c>
      <c r="J1699" s="36" t="n"/>
      <c r="K1699" s="40" t="n"/>
      <c r="L1699" s="36" t="n"/>
      <c r="M1699">
        <f>IF($A1699=Ficha!$B$3,COUNTIF($A$5:$A1699,Ficha!$B$3),"")</f>
        <v/>
      </c>
    </row>
    <row r="1700">
      <c r="A1700" s="38" t="n"/>
      <c r="B1700" s="41">
        <f>IF(A1700="","",IFERROR(INDEX(Maniobras!$B$5:$B$504,MATCH(A1700,Maniobras!$A$5:$A$504,0)),""))</f>
        <v/>
      </c>
      <c r="C1700" s="38">
        <f>IF(B1700="","",TEXT(B1700,"yyyy-mm"))</f>
        <v/>
      </c>
      <c r="D1700" s="38">
        <f>IF(A1700="","",IFERROR(INDEX(Maniobras!$D$5:$D$504,MATCH(A1700,Maniobras!$A$5:$A$504,0)),""))</f>
        <v/>
      </c>
      <c r="E1700" s="38" t="n"/>
      <c r="F1700" s="39">
        <f>IF(A1700="","",IFERROR(INDEX(Maniobras!$K$5:$K$504,MATCH(A1700,Maniobras!$A$5:$A$504,0)),""))</f>
        <v/>
      </c>
      <c r="G1700" s="39" t="n"/>
      <c r="H1700" s="39" t="n"/>
      <c r="I1700" s="39">
        <f>IF(G1700="","",G1700+N(H1700))</f>
        <v/>
      </c>
      <c r="J1700" s="38" t="n"/>
      <c r="K1700" s="41" t="n"/>
      <c r="L1700" s="38" t="n"/>
      <c r="M1700">
        <f>IF($A1700=Ficha!$B$3,COUNTIF($A$5:$A1700,Ficha!$B$3),"")</f>
        <v/>
      </c>
    </row>
    <row r="1701">
      <c r="A1701" s="36" t="n"/>
      <c r="B1701" s="40">
        <f>IF(A1701="","",IFERROR(INDEX(Maniobras!$B$5:$B$504,MATCH(A1701,Maniobras!$A$5:$A$504,0)),""))</f>
        <v/>
      </c>
      <c r="C1701" s="36">
        <f>IF(B1701="","",TEXT(B1701,"yyyy-mm"))</f>
        <v/>
      </c>
      <c r="D1701" s="36">
        <f>IF(A1701="","",IFERROR(INDEX(Maniobras!$D$5:$D$504,MATCH(A1701,Maniobras!$A$5:$A$504,0)),""))</f>
        <v/>
      </c>
      <c r="E1701" s="36" t="n"/>
      <c r="F1701" s="37">
        <f>IF(A1701="","",IFERROR(INDEX(Maniobras!$K$5:$K$504,MATCH(A1701,Maniobras!$A$5:$A$504,0)),""))</f>
        <v/>
      </c>
      <c r="G1701" s="37" t="n"/>
      <c r="H1701" s="37" t="n"/>
      <c r="I1701" s="37">
        <f>IF(G1701="","",G1701+N(H1701))</f>
        <v/>
      </c>
      <c r="J1701" s="36" t="n"/>
      <c r="K1701" s="40" t="n"/>
      <c r="L1701" s="36" t="n"/>
      <c r="M1701">
        <f>IF($A1701=Ficha!$B$3,COUNTIF($A$5:$A1701,Ficha!$B$3),"")</f>
        <v/>
      </c>
    </row>
    <row r="1702">
      <c r="A1702" s="38" t="n"/>
      <c r="B1702" s="41">
        <f>IF(A1702="","",IFERROR(INDEX(Maniobras!$B$5:$B$504,MATCH(A1702,Maniobras!$A$5:$A$504,0)),""))</f>
        <v/>
      </c>
      <c r="C1702" s="38">
        <f>IF(B1702="","",TEXT(B1702,"yyyy-mm"))</f>
        <v/>
      </c>
      <c r="D1702" s="38">
        <f>IF(A1702="","",IFERROR(INDEX(Maniobras!$D$5:$D$504,MATCH(A1702,Maniobras!$A$5:$A$504,0)),""))</f>
        <v/>
      </c>
      <c r="E1702" s="38" t="n"/>
      <c r="F1702" s="39">
        <f>IF(A1702="","",IFERROR(INDEX(Maniobras!$K$5:$K$504,MATCH(A1702,Maniobras!$A$5:$A$504,0)),""))</f>
        <v/>
      </c>
      <c r="G1702" s="39" t="n"/>
      <c r="H1702" s="39" t="n"/>
      <c r="I1702" s="39">
        <f>IF(G1702="","",G1702+N(H1702))</f>
        <v/>
      </c>
      <c r="J1702" s="38" t="n"/>
      <c r="K1702" s="41" t="n"/>
      <c r="L1702" s="38" t="n"/>
      <c r="M1702">
        <f>IF($A1702=Ficha!$B$3,COUNTIF($A$5:$A1702,Ficha!$B$3),"")</f>
        <v/>
      </c>
    </row>
    <row r="1703">
      <c r="A1703" s="36" t="n"/>
      <c r="B1703" s="40">
        <f>IF(A1703="","",IFERROR(INDEX(Maniobras!$B$5:$B$504,MATCH(A1703,Maniobras!$A$5:$A$504,0)),""))</f>
        <v/>
      </c>
      <c r="C1703" s="36">
        <f>IF(B1703="","",TEXT(B1703,"yyyy-mm"))</f>
        <v/>
      </c>
      <c r="D1703" s="36">
        <f>IF(A1703="","",IFERROR(INDEX(Maniobras!$D$5:$D$504,MATCH(A1703,Maniobras!$A$5:$A$504,0)),""))</f>
        <v/>
      </c>
      <c r="E1703" s="36" t="n"/>
      <c r="F1703" s="37">
        <f>IF(A1703="","",IFERROR(INDEX(Maniobras!$K$5:$K$504,MATCH(A1703,Maniobras!$A$5:$A$504,0)),""))</f>
        <v/>
      </c>
      <c r="G1703" s="37" t="n"/>
      <c r="H1703" s="37" t="n"/>
      <c r="I1703" s="37">
        <f>IF(G1703="","",G1703+N(H1703))</f>
        <v/>
      </c>
      <c r="J1703" s="36" t="n"/>
      <c r="K1703" s="40" t="n"/>
      <c r="L1703" s="36" t="n"/>
      <c r="M1703">
        <f>IF($A1703=Ficha!$B$3,COUNTIF($A$5:$A1703,Ficha!$B$3),"")</f>
        <v/>
      </c>
    </row>
    <row r="1704">
      <c r="A1704" s="38" t="n"/>
      <c r="B1704" s="41">
        <f>IF(A1704="","",IFERROR(INDEX(Maniobras!$B$5:$B$504,MATCH(A1704,Maniobras!$A$5:$A$504,0)),""))</f>
        <v/>
      </c>
      <c r="C1704" s="38">
        <f>IF(B1704="","",TEXT(B1704,"yyyy-mm"))</f>
        <v/>
      </c>
      <c r="D1704" s="38">
        <f>IF(A1704="","",IFERROR(INDEX(Maniobras!$D$5:$D$504,MATCH(A1704,Maniobras!$A$5:$A$504,0)),""))</f>
        <v/>
      </c>
      <c r="E1704" s="38" t="n"/>
      <c r="F1704" s="39">
        <f>IF(A1704="","",IFERROR(INDEX(Maniobras!$K$5:$K$504,MATCH(A1704,Maniobras!$A$5:$A$504,0)),""))</f>
        <v/>
      </c>
      <c r="G1704" s="39" t="n"/>
      <c r="H1704" s="39" t="n"/>
      <c r="I1704" s="39">
        <f>IF(G1704="","",G1704+N(H1704))</f>
        <v/>
      </c>
      <c r="J1704" s="38" t="n"/>
      <c r="K1704" s="41" t="n"/>
      <c r="L1704" s="38" t="n"/>
      <c r="M1704">
        <f>IF($A1704=Ficha!$B$3,COUNTIF($A$5:$A1704,Ficha!$B$3),"")</f>
        <v/>
      </c>
    </row>
    <row r="1705">
      <c r="A1705" s="36" t="n"/>
      <c r="B1705" s="40">
        <f>IF(A1705="","",IFERROR(INDEX(Maniobras!$B$5:$B$504,MATCH(A1705,Maniobras!$A$5:$A$504,0)),""))</f>
        <v/>
      </c>
      <c r="C1705" s="36">
        <f>IF(B1705="","",TEXT(B1705,"yyyy-mm"))</f>
        <v/>
      </c>
      <c r="D1705" s="36">
        <f>IF(A1705="","",IFERROR(INDEX(Maniobras!$D$5:$D$504,MATCH(A1705,Maniobras!$A$5:$A$504,0)),""))</f>
        <v/>
      </c>
      <c r="E1705" s="36" t="n"/>
      <c r="F1705" s="37">
        <f>IF(A1705="","",IFERROR(INDEX(Maniobras!$K$5:$K$504,MATCH(A1705,Maniobras!$A$5:$A$504,0)),""))</f>
        <v/>
      </c>
      <c r="G1705" s="37" t="n"/>
      <c r="H1705" s="37" t="n"/>
      <c r="I1705" s="37">
        <f>IF(G1705="","",G1705+N(H1705))</f>
        <v/>
      </c>
      <c r="J1705" s="36" t="n"/>
      <c r="K1705" s="40" t="n"/>
      <c r="L1705" s="36" t="n"/>
      <c r="M1705">
        <f>IF($A1705=Ficha!$B$3,COUNTIF($A$5:$A1705,Ficha!$B$3),"")</f>
        <v/>
      </c>
    </row>
    <row r="1706">
      <c r="A1706" s="38" t="n"/>
      <c r="B1706" s="41">
        <f>IF(A1706="","",IFERROR(INDEX(Maniobras!$B$5:$B$504,MATCH(A1706,Maniobras!$A$5:$A$504,0)),""))</f>
        <v/>
      </c>
      <c r="C1706" s="38">
        <f>IF(B1706="","",TEXT(B1706,"yyyy-mm"))</f>
        <v/>
      </c>
      <c r="D1706" s="38">
        <f>IF(A1706="","",IFERROR(INDEX(Maniobras!$D$5:$D$504,MATCH(A1706,Maniobras!$A$5:$A$504,0)),""))</f>
        <v/>
      </c>
      <c r="E1706" s="38" t="n"/>
      <c r="F1706" s="39">
        <f>IF(A1706="","",IFERROR(INDEX(Maniobras!$K$5:$K$504,MATCH(A1706,Maniobras!$A$5:$A$504,0)),""))</f>
        <v/>
      </c>
      <c r="G1706" s="39" t="n"/>
      <c r="H1706" s="39" t="n"/>
      <c r="I1706" s="39">
        <f>IF(G1706="","",G1706+N(H1706))</f>
        <v/>
      </c>
      <c r="J1706" s="38" t="n"/>
      <c r="K1706" s="41" t="n"/>
      <c r="L1706" s="38" t="n"/>
      <c r="M1706">
        <f>IF($A1706=Ficha!$B$3,COUNTIF($A$5:$A1706,Ficha!$B$3),"")</f>
        <v/>
      </c>
    </row>
    <row r="1707">
      <c r="A1707" s="36" t="n"/>
      <c r="B1707" s="40">
        <f>IF(A1707="","",IFERROR(INDEX(Maniobras!$B$5:$B$504,MATCH(A1707,Maniobras!$A$5:$A$504,0)),""))</f>
        <v/>
      </c>
      <c r="C1707" s="36">
        <f>IF(B1707="","",TEXT(B1707,"yyyy-mm"))</f>
        <v/>
      </c>
      <c r="D1707" s="36">
        <f>IF(A1707="","",IFERROR(INDEX(Maniobras!$D$5:$D$504,MATCH(A1707,Maniobras!$A$5:$A$504,0)),""))</f>
        <v/>
      </c>
      <c r="E1707" s="36" t="n"/>
      <c r="F1707" s="37">
        <f>IF(A1707="","",IFERROR(INDEX(Maniobras!$K$5:$K$504,MATCH(A1707,Maniobras!$A$5:$A$504,0)),""))</f>
        <v/>
      </c>
      <c r="G1707" s="37" t="n"/>
      <c r="H1707" s="37" t="n"/>
      <c r="I1707" s="37">
        <f>IF(G1707="","",G1707+N(H1707))</f>
        <v/>
      </c>
      <c r="J1707" s="36" t="n"/>
      <c r="K1707" s="40" t="n"/>
      <c r="L1707" s="36" t="n"/>
      <c r="M1707">
        <f>IF($A1707=Ficha!$B$3,COUNTIF($A$5:$A1707,Ficha!$B$3),"")</f>
        <v/>
      </c>
    </row>
    <row r="1708">
      <c r="A1708" s="38" t="n"/>
      <c r="B1708" s="41">
        <f>IF(A1708="","",IFERROR(INDEX(Maniobras!$B$5:$B$504,MATCH(A1708,Maniobras!$A$5:$A$504,0)),""))</f>
        <v/>
      </c>
      <c r="C1708" s="38">
        <f>IF(B1708="","",TEXT(B1708,"yyyy-mm"))</f>
        <v/>
      </c>
      <c r="D1708" s="38">
        <f>IF(A1708="","",IFERROR(INDEX(Maniobras!$D$5:$D$504,MATCH(A1708,Maniobras!$A$5:$A$504,0)),""))</f>
        <v/>
      </c>
      <c r="E1708" s="38" t="n"/>
      <c r="F1708" s="39">
        <f>IF(A1708="","",IFERROR(INDEX(Maniobras!$K$5:$K$504,MATCH(A1708,Maniobras!$A$5:$A$504,0)),""))</f>
        <v/>
      </c>
      <c r="G1708" s="39" t="n"/>
      <c r="H1708" s="39" t="n"/>
      <c r="I1708" s="39">
        <f>IF(G1708="","",G1708+N(H1708))</f>
        <v/>
      </c>
      <c r="J1708" s="38" t="n"/>
      <c r="K1708" s="41" t="n"/>
      <c r="L1708" s="38" t="n"/>
      <c r="M1708">
        <f>IF($A1708=Ficha!$B$3,COUNTIF($A$5:$A1708,Ficha!$B$3),"")</f>
        <v/>
      </c>
    </row>
    <row r="1709">
      <c r="A1709" s="36" t="n"/>
      <c r="B1709" s="40">
        <f>IF(A1709="","",IFERROR(INDEX(Maniobras!$B$5:$B$504,MATCH(A1709,Maniobras!$A$5:$A$504,0)),""))</f>
        <v/>
      </c>
      <c r="C1709" s="36">
        <f>IF(B1709="","",TEXT(B1709,"yyyy-mm"))</f>
        <v/>
      </c>
      <c r="D1709" s="36">
        <f>IF(A1709="","",IFERROR(INDEX(Maniobras!$D$5:$D$504,MATCH(A1709,Maniobras!$A$5:$A$504,0)),""))</f>
        <v/>
      </c>
      <c r="E1709" s="36" t="n"/>
      <c r="F1709" s="37">
        <f>IF(A1709="","",IFERROR(INDEX(Maniobras!$K$5:$K$504,MATCH(A1709,Maniobras!$A$5:$A$504,0)),""))</f>
        <v/>
      </c>
      <c r="G1709" s="37" t="n"/>
      <c r="H1709" s="37" t="n"/>
      <c r="I1709" s="37">
        <f>IF(G1709="","",G1709+N(H1709))</f>
        <v/>
      </c>
      <c r="J1709" s="36" t="n"/>
      <c r="K1709" s="40" t="n"/>
      <c r="L1709" s="36" t="n"/>
      <c r="M1709">
        <f>IF($A1709=Ficha!$B$3,COUNTIF($A$5:$A1709,Ficha!$B$3),"")</f>
        <v/>
      </c>
    </row>
    <row r="1710">
      <c r="A1710" s="38" t="n"/>
      <c r="B1710" s="41">
        <f>IF(A1710="","",IFERROR(INDEX(Maniobras!$B$5:$B$504,MATCH(A1710,Maniobras!$A$5:$A$504,0)),""))</f>
        <v/>
      </c>
      <c r="C1710" s="38">
        <f>IF(B1710="","",TEXT(B1710,"yyyy-mm"))</f>
        <v/>
      </c>
      <c r="D1710" s="38">
        <f>IF(A1710="","",IFERROR(INDEX(Maniobras!$D$5:$D$504,MATCH(A1710,Maniobras!$A$5:$A$504,0)),""))</f>
        <v/>
      </c>
      <c r="E1710" s="38" t="n"/>
      <c r="F1710" s="39">
        <f>IF(A1710="","",IFERROR(INDEX(Maniobras!$K$5:$K$504,MATCH(A1710,Maniobras!$A$5:$A$504,0)),""))</f>
        <v/>
      </c>
      <c r="G1710" s="39" t="n"/>
      <c r="H1710" s="39" t="n"/>
      <c r="I1710" s="39">
        <f>IF(G1710="","",G1710+N(H1710))</f>
        <v/>
      </c>
      <c r="J1710" s="38" t="n"/>
      <c r="K1710" s="41" t="n"/>
      <c r="L1710" s="38" t="n"/>
      <c r="M1710">
        <f>IF($A1710=Ficha!$B$3,COUNTIF($A$5:$A1710,Ficha!$B$3),"")</f>
        <v/>
      </c>
    </row>
    <row r="1711">
      <c r="A1711" s="36" t="n"/>
      <c r="B1711" s="40">
        <f>IF(A1711="","",IFERROR(INDEX(Maniobras!$B$5:$B$504,MATCH(A1711,Maniobras!$A$5:$A$504,0)),""))</f>
        <v/>
      </c>
      <c r="C1711" s="36">
        <f>IF(B1711="","",TEXT(B1711,"yyyy-mm"))</f>
        <v/>
      </c>
      <c r="D1711" s="36">
        <f>IF(A1711="","",IFERROR(INDEX(Maniobras!$D$5:$D$504,MATCH(A1711,Maniobras!$A$5:$A$504,0)),""))</f>
        <v/>
      </c>
      <c r="E1711" s="36" t="n"/>
      <c r="F1711" s="37">
        <f>IF(A1711="","",IFERROR(INDEX(Maniobras!$K$5:$K$504,MATCH(A1711,Maniobras!$A$5:$A$504,0)),""))</f>
        <v/>
      </c>
      <c r="G1711" s="37" t="n"/>
      <c r="H1711" s="37" t="n"/>
      <c r="I1711" s="37">
        <f>IF(G1711="","",G1711+N(H1711))</f>
        <v/>
      </c>
      <c r="J1711" s="36" t="n"/>
      <c r="K1711" s="40" t="n"/>
      <c r="L1711" s="36" t="n"/>
      <c r="M1711">
        <f>IF($A1711=Ficha!$B$3,COUNTIF($A$5:$A1711,Ficha!$B$3),"")</f>
        <v/>
      </c>
    </row>
    <row r="1712">
      <c r="A1712" s="38" t="n"/>
      <c r="B1712" s="41">
        <f>IF(A1712="","",IFERROR(INDEX(Maniobras!$B$5:$B$504,MATCH(A1712,Maniobras!$A$5:$A$504,0)),""))</f>
        <v/>
      </c>
      <c r="C1712" s="38">
        <f>IF(B1712="","",TEXT(B1712,"yyyy-mm"))</f>
        <v/>
      </c>
      <c r="D1712" s="38">
        <f>IF(A1712="","",IFERROR(INDEX(Maniobras!$D$5:$D$504,MATCH(A1712,Maniobras!$A$5:$A$504,0)),""))</f>
        <v/>
      </c>
      <c r="E1712" s="38" t="n"/>
      <c r="F1712" s="39">
        <f>IF(A1712="","",IFERROR(INDEX(Maniobras!$K$5:$K$504,MATCH(A1712,Maniobras!$A$5:$A$504,0)),""))</f>
        <v/>
      </c>
      <c r="G1712" s="39" t="n"/>
      <c r="H1712" s="39" t="n"/>
      <c r="I1712" s="39">
        <f>IF(G1712="","",G1712+N(H1712))</f>
        <v/>
      </c>
      <c r="J1712" s="38" t="n"/>
      <c r="K1712" s="41" t="n"/>
      <c r="L1712" s="38" t="n"/>
      <c r="M1712">
        <f>IF($A1712=Ficha!$B$3,COUNTIF($A$5:$A1712,Ficha!$B$3),"")</f>
        <v/>
      </c>
    </row>
    <row r="1713">
      <c r="A1713" s="36" t="n"/>
      <c r="B1713" s="40">
        <f>IF(A1713="","",IFERROR(INDEX(Maniobras!$B$5:$B$504,MATCH(A1713,Maniobras!$A$5:$A$504,0)),""))</f>
        <v/>
      </c>
      <c r="C1713" s="36">
        <f>IF(B1713="","",TEXT(B1713,"yyyy-mm"))</f>
        <v/>
      </c>
      <c r="D1713" s="36">
        <f>IF(A1713="","",IFERROR(INDEX(Maniobras!$D$5:$D$504,MATCH(A1713,Maniobras!$A$5:$A$504,0)),""))</f>
        <v/>
      </c>
      <c r="E1713" s="36" t="n"/>
      <c r="F1713" s="37">
        <f>IF(A1713="","",IFERROR(INDEX(Maniobras!$K$5:$K$504,MATCH(A1713,Maniobras!$A$5:$A$504,0)),""))</f>
        <v/>
      </c>
      <c r="G1713" s="37" t="n"/>
      <c r="H1713" s="37" t="n"/>
      <c r="I1713" s="37">
        <f>IF(G1713="","",G1713+N(H1713))</f>
        <v/>
      </c>
      <c r="J1713" s="36" t="n"/>
      <c r="K1713" s="40" t="n"/>
      <c r="L1713" s="36" t="n"/>
      <c r="M1713">
        <f>IF($A1713=Ficha!$B$3,COUNTIF($A$5:$A1713,Ficha!$B$3),"")</f>
        <v/>
      </c>
    </row>
    <row r="1714">
      <c r="A1714" s="38" t="n"/>
      <c r="B1714" s="41">
        <f>IF(A1714="","",IFERROR(INDEX(Maniobras!$B$5:$B$504,MATCH(A1714,Maniobras!$A$5:$A$504,0)),""))</f>
        <v/>
      </c>
      <c r="C1714" s="38">
        <f>IF(B1714="","",TEXT(B1714,"yyyy-mm"))</f>
        <v/>
      </c>
      <c r="D1714" s="38">
        <f>IF(A1714="","",IFERROR(INDEX(Maniobras!$D$5:$D$504,MATCH(A1714,Maniobras!$A$5:$A$504,0)),""))</f>
        <v/>
      </c>
      <c r="E1714" s="38" t="n"/>
      <c r="F1714" s="39">
        <f>IF(A1714="","",IFERROR(INDEX(Maniobras!$K$5:$K$504,MATCH(A1714,Maniobras!$A$5:$A$504,0)),""))</f>
        <v/>
      </c>
      <c r="G1714" s="39" t="n"/>
      <c r="H1714" s="39" t="n"/>
      <c r="I1714" s="39">
        <f>IF(G1714="","",G1714+N(H1714))</f>
        <v/>
      </c>
      <c r="J1714" s="38" t="n"/>
      <c r="K1714" s="41" t="n"/>
      <c r="L1714" s="38" t="n"/>
      <c r="M1714">
        <f>IF($A1714=Ficha!$B$3,COUNTIF($A$5:$A1714,Ficha!$B$3),"")</f>
        <v/>
      </c>
    </row>
    <row r="1715">
      <c r="A1715" s="36" t="n"/>
      <c r="B1715" s="40">
        <f>IF(A1715="","",IFERROR(INDEX(Maniobras!$B$5:$B$504,MATCH(A1715,Maniobras!$A$5:$A$504,0)),""))</f>
        <v/>
      </c>
      <c r="C1715" s="36">
        <f>IF(B1715="","",TEXT(B1715,"yyyy-mm"))</f>
        <v/>
      </c>
      <c r="D1715" s="36">
        <f>IF(A1715="","",IFERROR(INDEX(Maniobras!$D$5:$D$504,MATCH(A1715,Maniobras!$A$5:$A$504,0)),""))</f>
        <v/>
      </c>
      <c r="E1715" s="36" t="n"/>
      <c r="F1715" s="37">
        <f>IF(A1715="","",IFERROR(INDEX(Maniobras!$K$5:$K$504,MATCH(A1715,Maniobras!$A$5:$A$504,0)),""))</f>
        <v/>
      </c>
      <c r="G1715" s="37" t="n"/>
      <c r="H1715" s="37" t="n"/>
      <c r="I1715" s="37">
        <f>IF(G1715="","",G1715+N(H1715))</f>
        <v/>
      </c>
      <c r="J1715" s="36" t="n"/>
      <c r="K1715" s="40" t="n"/>
      <c r="L1715" s="36" t="n"/>
      <c r="M1715">
        <f>IF($A1715=Ficha!$B$3,COUNTIF($A$5:$A1715,Ficha!$B$3),"")</f>
        <v/>
      </c>
    </row>
    <row r="1716">
      <c r="A1716" s="38" t="n"/>
      <c r="B1716" s="41">
        <f>IF(A1716="","",IFERROR(INDEX(Maniobras!$B$5:$B$504,MATCH(A1716,Maniobras!$A$5:$A$504,0)),""))</f>
        <v/>
      </c>
      <c r="C1716" s="38">
        <f>IF(B1716="","",TEXT(B1716,"yyyy-mm"))</f>
        <v/>
      </c>
      <c r="D1716" s="38">
        <f>IF(A1716="","",IFERROR(INDEX(Maniobras!$D$5:$D$504,MATCH(A1716,Maniobras!$A$5:$A$504,0)),""))</f>
        <v/>
      </c>
      <c r="E1716" s="38" t="n"/>
      <c r="F1716" s="39">
        <f>IF(A1716="","",IFERROR(INDEX(Maniobras!$K$5:$K$504,MATCH(A1716,Maniobras!$A$5:$A$504,0)),""))</f>
        <v/>
      </c>
      <c r="G1716" s="39" t="n"/>
      <c r="H1716" s="39" t="n"/>
      <c r="I1716" s="39">
        <f>IF(G1716="","",G1716+N(H1716))</f>
        <v/>
      </c>
      <c r="J1716" s="38" t="n"/>
      <c r="K1716" s="41" t="n"/>
      <c r="L1716" s="38" t="n"/>
      <c r="M1716">
        <f>IF($A1716=Ficha!$B$3,COUNTIF($A$5:$A1716,Ficha!$B$3),"")</f>
        <v/>
      </c>
    </row>
    <row r="1717">
      <c r="A1717" s="36" t="n"/>
      <c r="B1717" s="40">
        <f>IF(A1717="","",IFERROR(INDEX(Maniobras!$B$5:$B$504,MATCH(A1717,Maniobras!$A$5:$A$504,0)),""))</f>
        <v/>
      </c>
      <c r="C1717" s="36">
        <f>IF(B1717="","",TEXT(B1717,"yyyy-mm"))</f>
        <v/>
      </c>
      <c r="D1717" s="36">
        <f>IF(A1717="","",IFERROR(INDEX(Maniobras!$D$5:$D$504,MATCH(A1717,Maniobras!$A$5:$A$504,0)),""))</f>
        <v/>
      </c>
      <c r="E1717" s="36" t="n"/>
      <c r="F1717" s="37">
        <f>IF(A1717="","",IFERROR(INDEX(Maniobras!$K$5:$K$504,MATCH(A1717,Maniobras!$A$5:$A$504,0)),""))</f>
        <v/>
      </c>
      <c r="G1717" s="37" t="n"/>
      <c r="H1717" s="37" t="n"/>
      <c r="I1717" s="37">
        <f>IF(G1717="","",G1717+N(H1717))</f>
        <v/>
      </c>
      <c r="J1717" s="36" t="n"/>
      <c r="K1717" s="40" t="n"/>
      <c r="L1717" s="36" t="n"/>
      <c r="M1717">
        <f>IF($A1717=Ficha!$B$3,COUNTIF($A$5:$A1717,Ficha!$B$3),"")</f>
        <v/>
      </c>
    </row>
    <row r="1718">
      <c r="A1718" s="38" t="n"/>
      <c r="B1718" s="41">
        <f>IF(A1718="","",IFERROR(INDEX(Maniobras!$B$5:$B$504,MATCH(A1718,Maniobras!$A$5:$A$504,0)),""))</f>
        <v/>
      </c>
      <c r="C1718" s="38">
        <f>IF(B1718="","",TEXT(B1718,"yyyy-mm"))</f>
        <v/>
      </c>
      <c r="D1718" s="38">
        <f>IF(A1718="","",IFERROR(INDEX(Maniobras!$D$5:$D$504,MATCH(A1718,Maniobras!$A$5:$A$504,0)),""))</f>
        <v/>
      </c>
      <c r="E1718" s="38" t="n"/>
      <c r="F1718" s="39">
        <f>IF(A1718="","",IFERROR(INDEX(Maniobras!$K$5:$K$504,MATCH(A1718,Maniobras!$A$5:$A$504,0)),""))</f>
        <v/>
      </c>
      <c r="G1718" s="39" t="n"/>
      <c r="H1718" s="39" t="n"/>
      <c r="I1718" s="39">
        <f>IF(G1718="","",G1718+N(H1718))</f>
        <v/>
      </c>
      <c r="J1718" s="38" t="n"/>
      <c r="K1718" s="41" t="n"/>
      <c r="L1718" s="38" t="n"/>
      <c r="M1718">
        <f>IF($A1718=Ficha!$B$3,COUNTIF($A$5:$A1718,Ficha!$B$3),"")</f>
        <v/>
      </c>
    </row>
    <row r="1719">
      <c r="A1719" s="36" t="n"/>
      <c r="B1719" s="40">
        <f>IF(A1719="","",IFERROR(INDEX(Maniobras!$B$5:$B$504,MATCH(A1719,Maniobras!$A$5:$A$504,0)),""))</f>
        <v/>
      </c>
      <c r="C1719" s="36">
        <f>IF(B1719="","",TEXT(B1719,"yyyy-mm"))</f>
        <v/>
      </c>
      <c r="D1719" s="36">
        <f>IF(A1719="","",IFERROR(INDEX(Maniobras!$D$5:$D$504,MATCH(A1719,Maniobras!$A$5:$A$504,0)),""))</f>
        <v/>
      </c>
      <c r="E1719" s="36" t="n"/>
      <c r="F1719" s="37">
        <f>IF(A1719="","",IFERROR(INDEX(Maniobras!$K$5:$K$504,MATCH(A1719,Maniobras!$A$5:$A$504,0)),""))</f>
        <v/>
      </c>
      <c r="G1719" s="37" t="n"/>
      <c r="H1719" s="37" t="n"/>
      <c r="I1719" s="37">
        <f>IF(G1719="","",G1719+N(H1719))</f>
        <v/>
      </c>
      <c r="J1719" s="36" t="n"/>
      <c r="K1719" s="40" t="n"/>
      <c r="L1719" s="36" t="n"/>
      <c r="M1719">
        <f>IF($A1719=Ficha!$B$3,COUNTIF($A$5:$A1719,Ficha!$B$3),"")</f>
        <v/>
      </c>
    </row>
    <row r="1720">
      <c r="A1720" s="38" t="n"/>
      <c r="B1720" s="41">
        <f>IF(A1720="","",IFERROR(INDEX(Maniobras!$B$5:$B$504,MATCH(A1720,Maniobras!$A$5:$A$504,0)),""))</f>
        <v/>
      </c>
      <c r="C1720" s="38">
        <f>IF(B1720="","",TEXT(B1720,"yyyy-mm"))</f>
        <v/>
      </c>
      <c r="D1720" s="38">
        <f>IF(A1720="","",IFERROR(INDEX(Maniobras!$D$5:$D$504,MATCH(A1720,Maniobras!$A$5:$A$504,0)),""))</f>
        <v/>
      </c>
      <c r="E1720" s="38" t="n"/>
      <c r="F1720" s="39">
        <f>IF(A1720="","",IFERROR(INDEX(Maniobras!$K$5:$K$504,MATCH(A1720,Maniobras!$A$5:$A$504,0)),""))</f>
        <v/>
      </c>
      <c r="G1720" s="39" t="n"/>
      <c r="H1720" s="39" t="n"/>
      <c r="I1720" s="39">
        <f>IF(G1720="","",G1720+N(H1720))</f>
        <v/>
      </c>
      <c r="J1720" s="38" t="n"/>
      <c r="K1720" s="41" t="n"/>
      <c r="L1720" s="38" t="n"/>
      <c r="M1720">
        <f>IF($A1720=Ficha!$B$3,COUNTIF($A$5:$A1720,Ficha!$B$3),"")</f>
        <v/>
      </c>
    </row>
    <row r="1721">
      <c r="A1721" s="36" t="n"/>
      <c r="B1721" s="40">
        <f>IF(A1721="","",IFERROR(INDEX(Maniobras!$B$5:$B$504,MATCH(A1721,Maniobras!$A$5:$A$504,0)),""))</f>
        <v/>
      </c>
      <c r="C1721" s="36">
        <f>IF(B1721="","",TEXT(B1721,"yyyy-mm"))</f>
        <v/>
      </c>
      <c r="D1721" s="36">
        <f>IF(A1721="","",IFERROR(INDEX(Maniobras!$D$5:$D$504,MATCH(A1721,Maniobras!$A$5:$A$504,0)),""))</f>
        <v/>
      </c>
      <c r="E1721" s="36" t="n"/>
      <c r="F1721" s="37">
        <f>IF(A1721="","",IFERROR(INDEX(Maniobras!$K$5:$K$504,MATCH(A1721,Maniobras!$A$5:$A$504,0)),""))</f>
        <v/>
      </c>
      <c r="G1721" s="37" t="n"/>
      <c r="H1721" s="37" t="n"/>
      <c r="I1721" s="37">
        <f>IF(G1721="","",G1721+N(H1721))</f>
        <v/>
      </c>
      <c r="J1721" s="36" t="n"/>
      <c r="K1721" s="40" t="n"/>
      <c r="L1721" s="36" t="n"/>
      <c r="M1721">
        <f>IF($A1721=Ficha!$B$3,COUNTIF($A$5:$A1721,Ficha!$B$3),"")</f>
        <v/>
      </c>
    </row>
    <row r="1722">
      <c r="A1722" s="38" t="n"/>
      <c r="B1722" s="41">
        <f>IF(A1722="","",IFERROR(INDEX(Maniobras!$B$5:$B$504,MATCH(A1722,Maniobras!$A$5:$A$504,0)),""))</f>
        <v/>
      </c>
      <c r="C1722" s="38">
        <f>IF(B1722="","",TEXT(B1722,"yyyy-mm"))</f>
        <v/>
      </c>
      <c r="D1722" s="38">
        <f>IF(A1722="","",IFERROR(INDEX(Maniobras!$D$5:$D$504,MATCH(A1722,Maniobras!$A$5:$A$504,0)),""))</f>
        <v/>
      </c>
      <c r="E1722" s="38" t="n"/>
      <c r="F1722" s="39">
        <f>IF(A1722="","",IFERROR(INDEX(Maniobras!$K$5:$K$504,MATCH(A1722,Maniobras!$A$5:$A$504,0)),""))</f>
        <v/>
      </c>
      <c r="G1722" s="39" t="n"/>
      <c r="H1722" s="39" t="n"/>
      <c r="I1722" s="39">
        <f>IF(G1722="","",G1722+N(H1722))</f>
        <v/>
      </c>
      <c r="J1722" s="38" t="n"/>
      <c r="K1722" s="41" t="n"/>
      <c r="L1722" s="38" t="n"/>
      <c r="M1722">
        <f>IF($A1722=Ficha!$B$3,COUNTIF($A$5:$A1722,Ficha!$B$3),"")</f>
        <v/>
      </c>
    </row>
    <row r="1723">
      <c r="A1723" s="36" t="n"/>
      <c r="B1723" s="40">
        <f>IF(A1723="","",IFERROR(INDEX(Maniobras!$B$5:$B$504,MATCH(A1723,Maniobras!$A$5:$A$504,0)),""))</f>
        <v/>
      </c>
      <c r="C1723" s="36">
        <f>IF(B1723="","",TEXT(B1723,"yyyy-mm"))</f>
        <v/>
      </c>
      <c r="D1723" s="36">
        <f>IF(A1723="","",IFERROR(INDEX(Maniobras!$D$5:$D$504,MATCH(A1723,Maniobras!$A$5:$A$504,0)),""))</f>
        <v/>
      </c>
      <c r="E1723" s="36" t="n"/>
      <c r="F1723" s="37">
        <f>IF(A1723="","",IFERROR(INDEX(Maniobras!$K$5:$K$504,MATCH(A1723,Maniobras!$A$5:$A$504,0)),""))</f>
        <v/>
      </c>
      <c r="G1723" s="37" t="n"/>
      <c r="H1723" s="37" t="n"/>
      <c r="I1723" s="37">
        <f>IF(G1723="","",G1723+N(H1723))</f>
        <v/>
      </c>
      <c r="J1723" s="36" t="n"/>
      <c r="K1723" s="40" t="n"/>
      <c r="L1723" s="36" t="n"/>
      <c r="M1723">
        <f>IF($A1723=Ficha!$B$3,COUNTIF($A$5:$A1723,Ficha!$B$3),"")</f>
        <v/>
      </c>
    </row>
    <row r="1724">
      <c r="A1724" s="38" t="n"/>
      <c r="B1724" s="41">
        <f>IF(A1724="","",IFERROR(INDEX(Maniobras!$B$5:$B$504,MATCH(A1724,Maniobras!$A$5:$A$504,0)),""))</f>
        <v/>
      </c>
      <c r="C1724" s="38">
        <f>IF(B1724="","",TEXT(B1724,"yyyy-mm"))</f>
        <v/>
      </c>
      <c r="D1724" s="38">
        <f>IF(A1724="","",IFERROR(INDEX(Maniobras!$D$5:$D$504,MATCH(A1724,Maniobras!$A$5:$A$504,0)),""))</f>
        <v/>
      </c>
      <c r="E1724" s="38" t="n"/>
      <c r="F1724" s="39">
        <f>IF(A1724="","",IFERROR(INDEX(Maniobras!$K$5:$K$504,MATCH(A1724,Maniobras!$A$5:$A$504,0)),""))</f>
        <v/>
      </c>
      <c r="G1724" s="39" t="n"/>
      <c r="H1724" s="39" t="n"/>
      <c r="I1724" s="39">
        <f>IF(G1724="","",G1724+N(H1724))</f>
        <v/>
      </c>
      <c r="J1724" s="38" t="n"/>
      <c r="K1724" s="41" t="n"/>
      <c r="L1724" s="38" t="n"/>
      <c r="M1724">
        <f>IF($A1724=Ficha!$B$3,COUNTIF($A$5:$A1724,Ficha!$B$3),"")</f>
        <v/>
      </c>
    </row>
    <row r="1725">
      <c r="A1725" s="36" t="n"/>
      <c r="B1725" s="40">
        <f>IF(A1725="","",IFERROR(INDEX(Maniobras!$B$5:$B$504,MATCH(A1725,Maniobras!$A$5:$A$504,0)),""))</f>
        <v/>
      </c>
      <c r="C1725" s="36">
        <f>IF(B1725="","",TEXT(B1725,"yyyy-mm"))</f>
        <v/>
      </c>
      <c r="D1725" s="36">
        <f>IF(A1725="","",IFERROR(INDEX(Maniobras!$D$5:$D$504,MATCH(A1725,Maniobras!$A$5:$A$504,0)),""))</f>
        <v/>
      </c>
      <c r="E1725" s="36" t="n"/>
      <c r="F1725" s="37">
        <f>IF(A1725="","",IFERROR(INDEX(Maniobras!$K$5:$K$504,MATCH(A1725,Maniobras!$A$5:$A$504,0)),""))</f>
        <v/>
      </c>
      <c r="G1725" s="37" t="n"/>
      <c r="H1725" s="37" t="n"/>
      <c r="I1725" s="37">
        <f>IF(G1725="","",G1725+N(H1725))</f>
        <v/>
      </c>
      <c r="J1725" s="36" t="n"/>
      <c r="K1725" s="40" t="n"/>
      <c r="L1725" s="36" t="n"/>
      <c r="M1725">
        <f>IF($A1725=Ficha!$B$3,COUNTIF($A$5:$A1725,Ficha!$B$3),"")</f>
        <v/>
      </c>
    </row>
    <row r="1726">
      <c r="A1726" s="38" t="n"/>
      <c r="B1726" s="41">
        <f>IF(A1726="","",IFERROR(INDEX(Maniobras!$B$5:$B$504,MATCH(A1726,Maniobras!$A$5:$A$504,0)),""))</f>
        <v/>
      </c>
      <c r="C1726" s="38">
        <f>IF(B1726="","",TEXT(B1726,"yyyy-mm"))</f>
        <v/>
      </c>
      <c r="D1726" s="38">
        <f>IF(A1726="","",IFERROR(INDEX(Maniobras!$D$5:$D$504,MATCH(A1726,Maniobras!$A$5:$A$504,0)),""))</f>
        <v/>
      </c>
      <c r="E1726" s="38" t="n"/>
      <c r="F1726" s="39">
        <f>IF(A1726="","",IFERROR(INDEX(Maniobras!$K$5:$K$504,MATCH(A1726,Maniobras!$A$5:$A$504,0)),""))</f>
        <v/>
      </c>
      <c r="G1726" s="39" t="n"/>
      <c r="H1726" s="39" t="n"/>
      <c r="I1726" s="39">
        <f>IF(G1726="","",G1726+N(H1726))</f>
        <v/>
      </c>
      <c r="J1726" s="38" t="n"/>
      <c r="K1726" s="41" t="n"/>
      <c r="L1726" s="38" t="n"/>
      <c r="M1726">
        <f>IF($A1726=Ficha!$B$3,COUNTIF($A$5:$A1726,Ficha!$B$3),"")</f>
        <v/>
      </c>
    </row>
    <row r="1727">
      <c r="A1727" s="36" t="n"/>
      <c r="B1727" s="40">
        <f>IF(A1727="","",IFERROR(INDEX(Maniobras!$B$5:$B$504,MATCH(A1727,Maniobras!$A$5:$A$504,0)),""))</f>
        <v/>
      </c>
      <c r="C1727" s="36">
        <f>IF(B1727="","",TEXT(B1727,"yyyy-mm"))</f>
        <v/>
      </c>
      <c r="D1727" s="36">
        <f>IF(A1727="","",IFERROR(INDEX(Maniobras!$D$5:$D$504,MATCH(A1727,Maniobras!$A$5:$A$504,0)),""))</f>
        <v/>
      </c>
      <c r="E1727" s="36" t="n"/>
      <c r="F1727" s="37">
        <f>IF(A1727="","",IFERROR(INDEX(Maniobras!$K$5:$K$504,MATCH(A1727,Maniobras!$A$5:$A$504,0)),""))</f>
        <v/>
      </c>
      <c r="G1727" s="37" t="n"/>
      <c r="H1727" s="37" t="n"/>
      <c r="I1727" s="37">
        <f>IF(G1727="","",G1727+N(H1727))</f>
        <v/>
      </c>
      <c r="J1727" s="36" t="n"/>
      <c r="K1727" s="40" t="n"/>
      <c r="L1727" s="36" t="n"/>
      <c r="M1727">
        <f>IF($A1727=Ficha!$B$3,COUNTIF($A$5:$A1727,Ficha!$B$3),"")</f>
        <v/>
      </c>
    </row>
    <row r="1728">
      <c r="A1728" s="38" t="n"/>
      <c r="B1728" s="41">
        <f>IF(A1728="","",IFERROR(INDEX(Maniobras!$B$5:$B$504,MATCH(A1728,Maniobras!$A$5:$A$504,0)),""))</f>
        <v/>
      </c>
      <c r="C1728" s="38">
        <f>IF(B1728="","",TEXT(B1728,"yyyy-mm"))</f>
        <v/>
      </c>
      <c r="D1728" s="38">
        <f>IF(A1728="","",IFERROR(INDEX(Maniobras!$D$5:$D$504,MATCH(A1728,Maniobras!$A$5:$A$504,0)),""))</f>
        <v/>
      </c>
      <c r="E1728" s="38" t="n"/>
      <c r="F1728" s="39">
        <f>IF(A1728="","",IFERROR(INDEX(Maniobras!$K$5:$K$504,MATCH(A1728,Maniobras!$A$5:$A$504,0)),""))</f>
        <v/>
      </c>
      <c r="G1728" s="39" t="n"/>
      <c r="H1728" s="39" t="n"/>
      <c r="I1728" s="39">
        <f>IF(G1728="","",G1728+N(H1728))</f>
        <v/>
      </c>
      <c r="J1728" s="38" t="n"/>
      <c r="K1728" s="41" t="n"/>
      <c r="L1728" s="38" t="n"/>
      <c r="M1728">
        <f>IF($A1728=Ficha!$B$3,COUNTIF($A$5:$A1728,Ficha!$B$3),"")</f>
        <v/>
      </c>
    </row>
    <row r="1729">
      <c r="A1729" s="36" t="n"/>
      <c r="B1729" s="40">
        <f>IF(A1729="","",IFERROR(INDEX(Maniobras!$B$5:$B$504,MATCH(A1729,Maniobras!$A$5:$A$504,0)),""))</f>
        <v/>
      </c>
      <c r="C1729" s="36">
        <f>IF(B1729="","",TEXT(B1729,"yyyy-mm"))</f>
        <v/>
      </c>
      <c r="D1729" s="36">
        <f>IF(A1729="","",IFERROR(INDEX(Maniobras!$D$5:$D$504,MATCH(A1729,Maniobras!$A$5:$A$504,0)),""))</f>
        <v/>
      </c>
      <c r="E1729" s="36" t="n"/>
      <c r="F1729" s="37">
        <f>IF(A1729="","",IFERROR(INDEX(Maniobras!$K$5:$K$504,MATCH(A1729,Maniobras!$A$5:$A$504,0)),""))</f>
        <v/>
      </c>
      <c r="G1729" s="37" t="n"/>
      <c r="H1729" s="37" t="n"/>
      <c r="I1729" s="37">
        <f>IF(G1729="","",G1729+N(H1729))</f>
        <v/>
      </c>
      <c r="J1729" s="36" t="n"/>
      <c r="K1729" s="40" t="n"/>
      <c r="L1729" s="36" t="n"/>
      <c r="M1729">
        <f>IF($A1729=Ficha!$B$3,COUNTIF($A$5:$A1729,Ficha!$B$3),"")</f>
        <v/>
      </c>
    </row>
    <row r="1730">
      <c r="A1730" s="38" t="n"/>
      <c r="B1730" s="41">
        <f>IF(A1730="","",IFERROR(INDEX(Maniobras!$B$5:$B$504,MATCH(A1730,Maniobras!$A$5:$A$504,0)),""))</f>
        <v/>
      </c>
      <c r="C1730" s="38">
        <f>IF(B1730="","",TEXT(B1730,"yyyy-mm"))</f>
        <v/>
      </c>
      <c r="D1730" s="38">
        <f>IF(A1730="","",IFERROR(INDEX(Maniobras!$D$5:$D$504,MATCH(A1730,Maniobras!$A$5:$A$504,0)),""))</f>
        <v/>
      </c>
      <c r="E1730" s="38" t="n"/>
      <c r="F1730" s="39">
        <f>IF(A1730="","",IFERROR(INDEX(Maniobras!$K$5:$K$504,MATCH(A1730,Maniobras!$A$5:$A$504,0)),""))</f>
        <v/>
      </c>
      <c r="G1730" s="39" t="n"/>
      <c r="H1730" s="39" t="n"/>
      <c r="I1730" s="39">
        <f>IF(G1730="","",G1730+N(H1730))</f>
        <v/>
      </c>
      <c r="J1730" s="38" t="n"/>
      <c r="K1730" s="41" t="n"/>
      <c r="L1730" s="38" t="n"/>
      <c r="M1730">
        <f>IF($A1730=Ficha!$B$3,COUNTIF($A$5:$A1730,Ficha!$B$3),"")</f>
        <v/>
      </c>
    </row>
    <row r="1731">
      <c r="A1731" s="36" t="n"/>
      <c r="B1731" s="40">
        <f>IF(A1731="","",IFERROR(INDEX(Maniobras!$B$5:$B$504,MATCH(A1731,Maniobras!$A$5:$A$504,0)),""))</f>
        <v/>
      </c>
      <c r="C1731" s="36">
        <f>IF(B1731="","",TEXT(B1731,"yyyy-mm"))</f>
        <v/>
      </c>
      <c r="D1731" s="36">
        <f>IF(A1731="","",IFERROR(INDEX(Maniobras!$D$5:$D$504,MATCH(A1731,Maniobras!$A$5:$A$504,0)),""))</f>
        <v/>
      </c>
      <c r="E1731" s="36" t="n"/>
      <c r="F1731" s="37">
        <f>IF(A1731="","",IFERROR(INDEX(Maniobras!$K$5:$K$504,MATCH(A1731,Maniobras!$A$5:$A$504,0)),""))</f>
        <v/>
      </c>
      <c r="G1731" s="37" t="n"/>
      <c r="H1731" s="37" t="n"/>
      <c r="I1731" s="37">
        <f>IF(G1731="","",G1731+N(H1731))</f>
        <v/>
      </c>
      <c r="J1731" s="36" t="n"/>
      <c r="K1731" s="40" t="n"/>
      <c r="L1731" s="36" t="n"/>
      <c r="M1731">
        <f>IF($A1731=Ficha!$B$3,COUNTIF($A$5:$A1731,Ficha!$B$3),"")</f>
        <v/>
      </c>
    </row>
    <row r="1732">
      <c r="A1732" s="38" t="n"/>
      <c r="B1732" s="41">
        <f>IF(A1732="","",IFERROR(INDEX(Maniobras!$B$5:$B$504,MATCH(A1732,Maniobras!$A$5:$A$504,0)),""))</f>
        <v/>
      </c>
      <c r="C1732" s="38">
        <f>IF(B1732="","",TEXT(B1732,"yyyy-mm"))</f>
        <v/>
      </c>
      <c r="D1732" s="38">
        <f>IF(A1732="","",IFERROR(INDEX(Maniobras!$D$5:$D$504,MATCH(A1732,Maniobras!$A$5:$A$504,0)),""))</f>
        <v/>
      </c>
      <c r="E1732" s="38" t="n"/>
      <c r="F1732" s="39">
        <f>IF(A1732="","",IFERROR(INDEX(Maniobras!$K$5:$K$504,MATCH(A1732,Maniobras!$A$5:$A$504,0)),""))</f>
        <v/>
      </c>
      <c r="G1732" s="39" t="n"/>
      <c r="H1732" s="39" t="n"/>
      <c r="I1732" s="39">
        <f>IF(G1732="","",G1732+N(H1732))</f>
        <v/>
      </c>
      <c r="J1732" s="38" t="n"/>
      <c r="K1732" s="41" t="n"/>
      <c r="L1732" s="38" t="n"/>
      <c r="M1732">
        <f>IF($A1732=Ficha!$B$3,COUNTIF($A$5:$A1732,Ficha!$B$3),"")</f>
        <v/>
      </c>
    </row>
    <row r="1733">
      <c r="A1733" s="36" t="n"/>
      <c r="B1733" s="40">
        <f>IF(A1733="","",IFERROR(INDEX(Maniobras!$B$5:$B$504,MATCH(A1733,Maniobras!$A$5:$A$504,0)),""))</f>
        <v/>
      </c>
      <c r="C1733" s="36">
        <f>IF(B1733="","",TEXT(B1733,"yyyy-mm"))</f>
        <v/>
      </c>
      <c r="D1733" s="36">
        <f>IF(A1733="","",IFERROR(INDEX(Maniobras!$D$5:$D$504,MATCH(A1733,Maniobras!$A$5:$A$504,0)),""))</f>
        <v/>
      </c>
      <c r="E1733" s="36" t="n"/>
      <c r="F1733" s="37">
        <f>IF(A1733="","",IFERROR(INDEX(Maniobras!$K$5:$K$504,MATCH(A1733,Maniobras!$A$5:$A$504,0)),""))</f>
        <v/>
      </c>
      <c r="G1733" s="37" t="n"/>
      <c r="H1733" s="37" t="n"/>
      <c r="I1733" s="37">
        <f>IF(G1733="","",G1733+N(H1733))</f>
        <v/>
      </c>
      <c r="J1733" s="36" t="n"/>
      <c r="K1733" s="40" t="n"/>
      <c r="L1733" s="36" t="n"/>
      <c r="M1733">
        <f>IF($A1733=Ficha!$B$3,COUNTIF($A$5:$A1733,Ficha!$B$3),"")</f>
        <v/>
      </c>
    </row>
    <row r="1734">
      <c r="A1734" s="38" t="n"/>
      <c r="B1734" s="41">
        <f>IF(A1734="","",IFERROR(INDEX(Maniobras!$B$5:$B$504,MATCH(A1734,Maniobras!$A$5:$A$504,0)),""))</f>
        <v/>
      </c>
      <c r="C1734" s="38">
        <f>IF(B1734="","",TEXT(B1734,"yyyy-mm"))</f>
        <v/>
      </c>
      <c r="D1734" s="38">
        <f>IF(A1734="","",IFERROR(INDEX(Maniobras!$D$5:$D$504,MATCH(A1734,Maniobras!$A$5:$A$504,0)),""))</f>
        <v/>
      </c>
      <c r="E1734" s="38" t="n"/>
      <c r="F1734" s="39">
        <f>IF(A1734="","",IFERROR(INDEX(Maniobras!$K$5:$K$504,MATCH(A1734,Maniobras!$A$5:$A$504,0)),""))</f>
        <v/>
      </c>
      <c r="G1734" s="39" t="n"/>
      <c r="H1734" s="39" t="n"/>
      <c r="I1734" s="39">
        <f>IF(G1734="","",G1734+N(H1734))</f>
        <v/>
      </c>
      <c r="J1734" s="38" t="n"/>
      <c r="K1734" s="41" t="n"/>
      <c r="L1734" s="38" t="n"/>
      <c r="M1734">
        <f>IF($A1734=Ficha!$B$3,COUNTIF($A$5:$A1734,Ficha!$B$3),"")</f>
        <v/>
      </c>
    </row>
    <row r="1735">
      <c r="A1735" s="36" t="n"/>
      <c r="B1735" s="40">
        <f>IF(A1735="","",IFERROR(INDEX(Maniobras!$B$5:$B$504,MATCH(A1735,Maniobras!$A$5:$A$504,0)),""))</f>
        <v/>
      </c>
      <c r="C1735" s="36">
        <f>IF(B1735="","",TEXT(B1735,"yyyy-mm"))</f>
        <v/>
      </c>
      <c r="D1735" s="36">
        <f>IF(A1735="","",IFERROR(INDEX(Maniobras!$D$5:$D$504,MATCH(A1735,Maniobras!$A$5:$A$504,0)),""))</f>
        <v/>
      </c>
      <c r="E1735" s="36" t="n"/>
      <c r="F1735" s="37">
        <f>IF(A1735="","",IFERROR(INDEX(Maniobras!$K$5:$K$504,MATCH(A1735,Maniobras!$A$5:$A$504,0)),""))</f>
        <v/>
      </c>
      <c r="G1735" s="37" t="n"/>
      <c r="H1735" s="37" t="n"/>
      <c r="I1735" s="37">
        <f>IF(G1735="","",G1735+N(H1735))</f>
        <v/>
      </c>
      <c r="J1735" s="36" t="n"/>
      <c r="K1735" s="40" t="n"/>
      <c r="L1735" s="36" t="n"/>
      <c r="M1735">
        <f>IF($A1735=Ficha!$B$3,COUNTIF($A$5:$A1735,Ficha!$B$3),"")</f>
        <v/>
      </c>
    </row>
    <row r="1736">
      <c r="A1736" s="38" t="n"/>
      <c r="B1736" s="41">
        <f>IF(A1736="","",IFERROR(INDEX(Maniobras!$B$5:$B$504,MATCH(A1736,Maniobras!$A$5:$A$504,0)),""))</f>
        <v/>
      </c>
      <c r="C1736" s="38">
        <f>IF(B1736="","",TEXT(B1736,"yyyy-mm"))</f>
        <v/>
      </c>
      <c r="D1736" s="38">
        <f>IF(A1736="","",IFERROR(INDEX(Maniobras!$D$5:$D$504,MATCH(A1736,Maniobras!$A$5:$A$504,0)),""))</f>
        <v/>
      </c>
      <c r="E1736" s="38" t="n"/>
      <c r="F1736" s="39">
        <f>IF(A1736="","",IFERROR(INDEX(Maniobras!$K$5:$K$504,MATCH(A1736,Maniobras!$A$5:$A$504,0)),""))</f>
        <v/>
      </c>
      <c r="G1736" s="39" t="n"/>
      <c r="H1736" s="39" t="n"/>
      <c r="I1736" s="39">
        <f>IF(G1736="","",G1736+N(H1736))</f>
        <v/>
      </c>
      <c r="J1736" s="38" t="n"/>
      <c r="K1736" s="41" t="n"/>
      <c r="L1736" s="38" t="n"/>
      <c r="M1736">
        <f>IF($A1736=Ficha!$B$3,COUNTIF($A$5:$A1736,Ficha!$B$3),"")</f>
        <v/>
      </c>
    </row>
    <row r="1737">
      <c r="A1737" s="36" t="n"/>
      <c r="B1737" s="40">
        <f>IF(A1737="","",IFERROR(INDEX(Maniobras!$B$5:$B$504,MATCH(A1737,Maniobras!$A$5:$A$504,0)),""))</f>
        <v/>
      </c>
      <c r="C1737" s="36">
        <f>IF(B1737="","",TEXT(B1737,"yyyy-mm"))</f>
        <v/>
      </c>
      <c r="D1737" s="36">
        <f>IF(A1737="","",IFERROR(INDEX(Maniobras!$D$5:$D$504,MATCH(A1737,Maniobras!$A$5:$A$504,0)),""))</f>
        <v/>
      </c>
      <c r="E1737" s="36" t="n"/>
      <c r="F1737" s="37">
        <f>IF(A1737="","",IFERROR(INDEX(Maniobras!$K$5:$K$504,MATCH(A1737,Maniobras!$A$5:$A$504,0)),""))</f>
        <v/>
      </c>
      <c r="G1737" s="37" t="n"/>
      <c r="H1737" s="37" t="n"/>
      <c r="I1737" s="37">
        <f>IF(G1737="","",G1737+N(H1737))</f>
        <v/>
      </c>
      <c r="J1737" s="36" t="n"/>
      <c r="K1737" s="40" t="n"/>
      <c r="L1737" s="36" t="n"/>
      <c r="M1737">
        <f>IF($A1737=Ficha!$B$3,COUNTIF($A$5:$A1737,Ficha!$B$3),"")</f>
        <v/>
      </c>
    </row>
    <row r="1738">
      <c r="A1738" s="38" t="n"/>
      <c r="B1738" s="41">
        <f>IF(A1738="","",IFERROR(INDEX(Maniobras!$B$5:$B$504,MATCH(A1738,Maniobras!$A$5:$A$504,0)),""))</f>
        <v/>
      </c>
      <c r="C1738" s="38">
        <f>IF(B1738="","",TEXT(B1738,"yyyy-mm"))</f>
        <v/>
      </c>
      <c r="D1738" s="38">
        <f>IF(A1738="","",IFERROR(INDEX(Maniobras!$D$5:$D$504,MATCH(A1738,Maniobras!$A$5:$A$504,0)),""))</f>
        <v/>
      </c>
      <c r="E1738" s="38" t="n"/>
      <c r="F1738" s="39">
        <f>IF(A1738="","",IFERROR(INDEX(Maniobras!$K$5:$K$504,MATCH(A1738,Maniobras!$A$5:$A$504,0)),""))</f>
        <v/>
      </c>
      <c r="G1738" s="39" t="n"/>
      <c r="H1738" s="39" t="n"/>
      <c r="I1738" s="39">
        <f>IF(G1738="","",G1738+N(H1738))</f>
        <v/>
      </c>
      <c r="J1738" s="38" t="n"/>
      <c r="K1738" s="41" t="n"/>
      <c r="L1738" s="38" t="n"/>
      <c r="M1738">
        <f>IF($A1738=Ficha!$B$3,COUNTIF($A$5:$A1738,Ficha!$B$3),"")</f>
        <v/>
      </c>
    </row>
    <row r="1739">
      <c r="A1739" s="36" t="n"/>
      <c r="B1739" s="40">
        <f>IF(A1739="","",IFERROR(INDEX(Maniobras!$B$5:$B$504,MATCH(A1739,Maniobras!$A$5:$A$504,0)),""))</f>
        <v/>
      </c>
      <c r="C1739" s="36">
        <f>IF(B1739="","",TEXT(B1739,"yyyy-mm"))</f>
        <v/>
      </c>
      <c r="D1739" s="36">
        <f>IF(A1739="","",IFERROR(INDEX(Maniobras!$D$5:$D$504,MATCH(A1739,Maniobras!$A$5:$A$504,0)),""))</f>
        <v/>
      </c>
      <c r="E1739" s="36" t="n"/>
      <c r="F1739" s="37">
        <f>IF(A1739="","",IFERROR(INDEX(Maniobras!$K$5:$K$504,MATCH(A1739,Maniobras!$A$5:$A$504,0)),""))</f>
        <v/>
      </c>
      <c r="G1739" s="37" t="n"/>
      <c r="H1739" s="37" t="n"/>
      <c r="I1739" s="37">
        <f>IF(G1739="","",G1739+N(H1739))</f>
        <v/>
      </c>
      <c r="J1739" s="36" t="n"/>
      <c r="K1739" s="40" t="n"/>
      <c r="L1739" s="36" t="n"/>
      <c r="M1739">
        <f>IF($A1739=Ficha!$B$3,COUNTIF($A$5:$A1739,Ficha!$B$3),"")</f>
        <v/>
      </c>
    </row>
    <row r="1740">
      <c r="A1740" s="38" t="n"/>
      <c r="B1740" s="41">
        <f>IF(A1740="","",IFERROR(INDEX(Maniobras!$B$5:$B$504,MATCH(A1740,Maniobras!$A$5:$A$504,0)),""))</f>
        <v/>
      </c>
      <c r="C1740" s="38">
        <f>IF(B1740="","",TEXT(B1740,"yyyy-mm"))</f>
        <v/>
      </c>
      <c r="D1740" s="38">
        <f>IF(A1740="","",IFERROR(INDEX(Maniobras!$D$5:$D$504,MATCH(A1740,Maniobras!$A$5:$A$504,0)),""))</f>
        <v/>
      </c>
      <c r="E1740" s="38" t="n"/>
      <c r="F1740" s="39">
        <f>IF(A1740="","",IFERROR(INDEX(Maniobras!$K$5:$K$504,MATCH(A1740,Maniobras!$A$5:$A$504,0)),""))</f>
        <v/>
      </c>
      <c r="G1740" s="39" t="n"/>
      <c r="H1740" s="39" t="n"/>
      <c r="I1740" s="39">
        <f>IF(G1740="","",G1740+N(H1740))</f>
        <v/>
      </c>
      <c r="J1740" s="38" t="n"/>
      <c r="K1740" s="41" t="n"/>
      <c r="L1740" s="38" t="n"/>
      <c r="M1740">
        <f>IF($A1740=Ficha!$B$3,COUNTIF($A$5:$A1740,Ficha!$B$3),"")</f>
        <v/>
      </c>
    </row>
    <row r="1741">
      <c r="A1741" s="36" t="n"/>
      <c r="B1741" s="40">
        <f>IF(A1741="","",IFERROR(INDEX(Maniobras!$B$5:$B$504,MATCH(A1741,Maniobras!$A$5:$A$504,0)),""))</f>
        <v/>
      </c>
      <c r="C1741" s="36">
        <f>IF(B1741="","",TEXT(B1741,"yyyy-mm"))</f>
        <v/>
      </c>
      <c r="D1741" s="36">
        <f>IF(A1741="","",IFERROR(INDEX(Maniobras!$D$5:$D$504,MATCH(A1741,Maniobras!$A$5:$A$504,0)),""))</f>
        <v/>
      </c>
      <c r="E1741" s="36" t="n"/>
      <c r="F1741" s="37">
        <f>IF(A1741="","",IFERROR(INDEX(Maniobras!$K$5:$K$504,MATCH(A1741,Maniobras!$A$5:$A$504,0)),""))</f>
        <v/>
      </c>
      <c r="G1741" s="37" t="n"/>
      <c r="H1741" s="37" t="n"/>
      <c r="I1741" s="37">
        <f>IF(G1741="","",G1741+N(H1741))</f>
        <v/>
      </c>
      <c r="J1741" s="36" t="n"/>
      <c r="K1741" s="40" t="n"/>
      <c r="L1741" s="36" t="n"/>
      <c r="M1741">
        <f>IF($A1741=Ficha!$B$3,COUNTIF($A$5:$A1741,Ficha!$B$3),"")</f>
        <v/>
      </c>
    </row>
    <row r="1742">
      <c r="A1742" s="38" t="n"/>
      <c r="B1742" s="41">
        <f>IF(A1742="","",IFERROR(INDEX(Maniobras!$B$5:$B$504,MATCH(A1742,Maniobras!$A$5:$A$504,0)),""))</f>
        <v/>
      </c>
      <c r="C1742" s="38">
        <f>IF(B1742="","",TEXT(B1742,"yyyy-mm"))</f>
        <v/>
      </c>
      <c r="D1742" s="38">
        <f>IF(A1742="","",IFERROR(INDEX(Maniobras!$D$5:$D$504,MATCH(A1742,Maniobras!$A$5:$A$504,0)),""))</f>
        <v/>
      </c>
      <c r="E1742" s="38" t="n"/>
      <c r="F1742" s="39">
        <f>IF(A1742="","",IFERROR(INDEX(Maniobras!$K$5:$K$504,MATCH(A1742,Maniobras!$A$5:$A$504,0)),""))</f>
        <v/>
      </c>
      <c r="G1742" s="39" t="n"/>
      <c r="H1742" s="39" t="n"/>
      <c r="I1742" s="39">
        <f>IF(G1742="","",G1742+N(H1742))</f>
        <v/>
      </c>
      <c r="J1742" s="38" t="n"/>
      <c r="K1742" s="41" t="n"/>
      <c r="L1742" s="38" t="n"/>
      <c r="M1742">
        <f>IF($A1742=Ficha!$B$3,COUNTIF($A$5:$A1742,Ficha!$B$3),"")</f>
        <v/>
      </c>
    </row>
    <row r="1743">
      <c r="A1743" s="36" t="n"/>
      <c r="B1743" s="40">
        <f>IF(A1743="","",IFERROR(INDEX(Maniobras!$B$5:$B$504,MATCH(A1743,Maniobras!$A$5:$A$504,0)),""))</f>
        <v/>
      </c>
      <c r="C1743" s="36">
        <f>IF(B1743="","",TEXT(B1743,"yyyy-mm"))</f>
        <v/>
      </c>
      <c r="D1743" s="36">
        <f>IF(A1743="","",IFERROR(INDEX(Maniobras!$D$5:$D$504,MATCH(A1743,Maniobras!$A$5:$A$504,0)),""))</f>
        <v/>
      </c>
      <c r="E1743" s="36" t="n"/>
      <c r="F1743" s="37">
        <f>IF(A1743="","",IFERROR(INDEX(Maniobras!$K$5:$K$504,MATCH(A1743,Maniobras!$A$5:$A$504,0)),""))</f>
        <v/>
      </c>
      <c r="G1743" s="37" t="n"/>
      <c r="H1743" s="37" t="n"/>
      <c r="I1743" s="37">
        <f>IF(G1743="","",G1743+N(H1743))</f>
        <v/>
      </c>
      <c r="J1743" s="36" t="n"/>
      <c r="K1743" s="40" t="n"/>
      <c r="L1743" s="36" t="n"/>
      <c r="M1743">
        <f>IF($A1743=Ficha!$B$3,COUNTIF($A$5:$A1743,Ficha!$B$3),"")</f>
        <v/>
      </c>
    </row>
    <row r="1744">
      <c r="A1744" s="38" t="n"/>
      <c r="B1744" s="41">
        <f>IF(A1744="","",IFERROR(INDEX(Maniobras!$B$5:$B$504,MATCH(A1744,Maniobras!$A$5:$A$504,0)),""))</f>
        <v/>
      </c>
      <c r="C1744" s="38">
        <f>IF(B1744="","",TEXT(B1744,"yyyy-mm"))</f>
        <v/>
      </c>
      <c r="D1744" s="38">
        <f>IF(A1744="","",IFERROR(INDEX(Maniobras!$D$5:$D$504,MATCH(A1744,Maniobras!$A$5:$A$504,0)),""))</f>
        <v/>
      </c>
      <c r="E1744" s="38" t="n"/>
      <c r="F1744" s="39">
        <f>IF(A1744="","",IFERROR(INDEX(Maniobras!$K$5:$K$504,MATCH(A1744,Maniobras!$A$5:$A$504,0)),""))</f>
        <v/>
      </c>
      <c r="G1744" s="39" t="n"/>
      <c r="H1744" s="39" t="n"/>
      <c r="I1744" s="39">
        <f>IF(G1744="","",G1744+N(H1744))</f>
        <v/>
      </c>
      <c r="J1744" s="38" t="n"/>
      <c r="K1744" s="41" t="n"/>
      <c r="L1744" s="38" t="n"/>
      <c r="M1744">
        <f>IF($A1744=Ficha!$B$3,COUNTIF($A$5:$A1744,Ficha!$B$3),"")</f>
        <v/>
      </c>
    </row>
    <row r="1745">
      <c r="A1745" s="36" t="n"/>
      <c r="B1745" s="40">
        <f>IF(A1745="","",IFERROR(INDEX(Maniobras!$B$5:$B$504,MATCH(A1745,Maniobras!$A$5:$A$504,0)),""))</f>
        <v/>
      </c>
      <c r="C1745" s="36">
        <f>IF(B1745="","",TEXT(B1745,"yyyy-mm"))</f>
        <v/>
      </c>
      <c r="D1745" s="36">
        <f>IF(A1745="","",IFERROR(INDEX(Maniobras!$D$5:$D$504,MATCH(A1745,Maniobras!$A$5:$A$504,0)),""))</f>
        <v/>
      </c>
      <c r="E1745" s="36" t="n"/>
      <c r="F1745" s="37">
        <f>IF(A1745="","",IFERROR(INDEX(Maniobras!$K$5:$K$504,MATCH(A1745,Maniobras!$A$5:$A$504,0)),""))</f>
        <v/>
      </c>
      <c r="G1745" s="37" t="n"/>
      <c r="H1745" s="37" t="n"/>
      <c r="I1745" s="37">
        <f>IF(G1745="","",G1745+N(H1745))</f>
        <v/>
      </c>
      <c r="J1745" s="36" t="n"/>
      <c r="K1745" s="40" t="n"/>
      <c r="L1745" s="36" t="n"/>
      <c r="M1745">
        <f>IF($A1745=Ficha!$B$3,COUNTIF($A$5:$A1745,Ficha!$B$3),"")</f>
        <v/>
      </c>
    </row>
    <row r="1746">
      <c r="A1746" s="38" t="n"/>
      <c r="B1746" s="41">
        <f>IF(A1746="","",IFERROR(INDEX(Maniobras!$B$5:$B$504,MATCH(A1746,Maniobras!$A$5:$A$504,0)),""))</f>
        <v/>
      </c>
      <c r="C1746" s="38">
        <f>IF(B1746="","",TEXT(B1746,"yyyy-mm"))</f>
        <v/>
      </c>
      <c r="D1746" s="38">
        <f>IF(A1746="","",IFERROR(INDEX(Maniobras!$D$5:$D$504,MATCH(A1746,Maniobras!$A$5:$A$504,0)),""))</f>
        <v/>
      </c>
      <c r="E1746" s="38" t="n"/>
      <c r="F1746" s="39">
        <f>IF(A1746="","",IFERROR(INDEX(Maniobras!$K$5:$K$504,MATCH(A1746,Maniobras!$A$5:$A$504,0)),""))</f>
        <v/>
      </c>
      <c r="G1746" s="39" t="n"/>
      <c r="H1746" s="39" t="n"/>
      <c r="I1746" s="39">
        <f>IF(G1746="","",G1746+N(H1746))</f>
        <v/>
      </c>
      <c r="J1746" s="38" t="n"/>
      <c r="K1746" s="41" t="n"/>
      <c r="L1746" s="38" t="n"/>
      <c r="M1746">
        <f>IF($A1746=Ficha!$B$3,COUNTIF($A$5:$A1746,Ficha!$B$3),"")</f>
        <v/>
      </c>
    </row>
    <row r="1747">
      <c r="A1747" s="36" t="n"/>
      <c r="B1747" s="40">
        <f>IF(A1747="","",IFERROR(INDEX(Maniobras!$B$5:$B$504,MATCH(A1747,Maniobras!$A$5:$A$504,0)),""))</f>
        <v/>
      </c>
      <c r="C1747" s="36">
        <f>IF(B1747="","",TEXT(B1747,"yyyy-mm"))</f>
        <v/>
      </c>
      <c r="D1747" s="36">
        <f>IF(A1747="","",IFERROR(INDEX(Maniobras!$D$5:$D$504,MATCH(A1747,Maniobras!$A$5:$A$504,0)),""))</f>
        <v/>
      </c>
      <c r="E1747" s="36" t="n"/>
      <c r="F1747" s="37">
        <f>IF(A1747="","",IFERROR(INDEX(Maniobras!$K$5:$K$504,MATCH(A1747,Maniobras!$A$5:$A$504,0)),""))</f>
        <v/>
      </c>
      <c r="G1747" s="37" t="n"/>
      <c r="H1747" s="37" t="n"/>
      <c r="I1747" s="37">
        <f>IF(G1747="","",G1747+N(H1747))</f>
        <v/>
      </c>
      <c r="J1747" s="36" t="n"/>
      <c r="K1747" s="40" t="n"/>
      <c r="L1747" s="36" t="n"/>
      <c r="M1747">
        <f>IF($A1747=Ficha!$B$3,COUNTIF($A$5:$A1747,Ficha!$B$3),"")</f>
        <v/>
      </c>
    </row>
    <row r="1748">
      <c r="A1748" s="38" t="n"/>
      <c r="B1748" s="41">
        <f>IF(A1748="","",IFERROR(INDEX(Maniobras!$B$5:$B$504,MATCH(A1748,Maniobras!$A$5:$A$504,0)),""))</f>
        <v/>
      </c>
      <c r="C1748" s="38">
        <f>IF(B1748="","",TEXT(B1748,"yyyy-mm"))</f>
        <v/>
      </c>
      <c r="D1748" s="38">
        <f>IF(A1748="","",IFERROR(INDEX(Maniobras!$D$5:$D$504,MATCH(A1748,Maniobras!$A$5:$A$504,0)),""))</f>
        <v/>
      </c>
      <c r="E1748" s="38" t="n"/>
      <c r="F1748" s="39">
        <f>IF(A1748="","",IFERROR(INDEX(Maniobras!$K$5:$K$504,MATCH(A1748,Maniobras!$A$5:$A$504,0)),""))</f>
        <v/>
      </c>
      <c r="G1748" s="39" t="n"/>
      <c r="H1748" s="39" t="n"/>
      <c r="I1748" s="39">
        <f>IF(G1748="","",G1748+N(H1748))</f>
        <v/>
      </c>
      <c r="J1748" s="38" t="n"/>
      <c r="K1748" s="41" t="n"/>
      <c r="L1748" s="38" t="n"/>
      <c r="M1748">
        <f>IF($A1748=Ficha!$B$3,COUNTIF($A$5:$A1748,Ficha!$B$3),"")</f>
        <v/>
      </c>
    </row>
    <row r="1749">
      <c r="A1749" s="36" t="n"/>
      <c r="B1749" s="40">
        <f>IF(A1749="","",IFERROR(INDEX(Maniobras!$B$5:$B$504,MATCH(A1749,Maniobras!$A$5:$A$504,0)),""))</f>
        <v/>
      </c>
      <c r="C1749" s="36">
        <f>IF(B1749="","",TEXT(B1749,"yyyy-mm"))</f>
        <v/>
      </c>
      <c r="D1749" s="36">
        <f>IF(A1749="","",IFERROR(INDEX(Maniobras!$D$5:$D$504,MATCH(A1749,Maniobras!$A$5:$A$504,0)),""))</f>
        <v/>
      </c>
      <c r="E1749" s="36" t="n"/>
      <c r="F1749" s="37">
        <f>IF(A1749="","",IFERROR(INDEX(Maniobras!$K$5:$K$504,MATCH(A1749,Maniobras!$A$5:$A$504,0)),""))</f>
        <v/>
      </c>
      <c r="G1749" s="37" t="n"/>
      <c r="H1749" s="37" t="n"/>
      <c r="I1749" s="37">
        <f>IF(G1749="","",G1749+N(H1749))</f>
        <v/>
      </c>
      <c r="J1749" s="36" t="n"/>
      <c r="K1749" s="40" t="n"/>
      <c r="L1749" s="36" t="n"/>
      <c r="M1749">
        <f>IF($A1749=Ficha!$B$3,COUNTIF($A$5:$A1749,Ficha!$B$3),"")</f>
        <v/>
      </c>
    </row>
    <row r="1750">
      <c r="A1750" s="38" t="n"/>
      <c r="B1750" s="41">
        <f>IF(A1750="","",IFERROR(INDEX(Maniobras!$B$5:$B$504,MATCH(A1750,Maniobras!$A$5:$A$504,0)),""))</f>
        <v/>
      </c>
      <c r="C1750" s="38">
        <f>IF(B1750="","",TEXT(B1750,"yyyy-mm"))</f>
        <v/>
      </c>
      <c r="D1750" s="38">
        <f>IF(A1750="","",IFERROR(INDEX(Maniobras!$D$5:$D$504,MATCH(A1750,Maniobras!$A$5:$A$504,0)),""))</f>
        <v/>
      </c>
      <c r="E1750" s="38" t="n"/>
      <c r="F1750" s="39">
        <f>IF(A1750="","",IFERROR(INDEX(Maniobras!$K$5:$K$504,MATCH(A1750,Maniobras!$A$5:$A$504,0)),""))</f>
        <v/>
      </c>
      <c r="G1750" s="39" t="n"/>
      <c r="H1750" s="39" t="n"/>
      <c r="I1750" s="39">
        <f>IF(G1750="","",G1750+N(H1750))</f>
        <v/>
      </c>
      <c r="J1750" s="38" t="n"/>
      <c r="K1750" s="41" t="n"/>
      <c r="L1750" s="38" t="n"/>
      <c r="M1750">
        <f>IF($A1750=Ficha!$B$3,COUNTIF($A$5:$A1750,Ficha!$B$3),"")</f>
        <v/>
      </c>
    </row>
    <row r="1751">
      <c r="A1751" s="36" t="n"/>
      <c r="B1751" s="40">
        <f>IF(A1751="","",IFERROR(INDEX(Maniobras!$B$5:$B$504,MATCH(A1751,Maniobras!$A$5:$A$504,0)),""))</f>
        <v/>
      </c>
      <c r="C1751" s="36">
        <f>IF(B1751="","",TEXT(B1751,"yyyy-mm"))</f>
        <v/>
      </c>
      <c r="D1751" s="36">
        <f>IF(A1751="","",IFERROR(INDEX(Maniobras!$D$5:$D$504,MATCH(A1751,Maniobras!$A$5:$A$504,0)),""))</f>
        <v/>
      </c>
      <c r="E1751" s="36" t="n"/>
      <c r="F1751" s="37">
        <f>IF(A1751="","",IFERROR(INDEX(Maniobras!$K$5:$K$504,MATCH(A1751,Maniobras!$A$5:$A$504,0)),""))</f>
        <v/>
      </c>
      <c r="G1751" s="37" t="n"/>
      <c r="H1751" s="37" t="n"/>
      <c r="I1751" s="37">
        <f>IF(G1751="","",G1751+N(H1751))</f>
        <v/>
      </c>
      <c r="J1751" s="36" t="n"/>
      <c r="K1751" s="40" t="n"/>
      <c r="L1751" s="36" t="n"/>
      <c r="M1751">
        <f>IF($A1751=Ficha!$B$3,COUNTIF($A$5:$A1751,Ficha!$B$3),"")</f>
        <v/>
      </c>
    </row>
    <row r="1752">
      <c r="A1752" s="38" t="n"/>
      <c r="B1752" s="41">
        <f>IF(A1752="","",IFERROR(INDEX(Maniobras!$B$5:$B$504,MATCH(A1752,Maniobras!$A$5:$A$504,0)),""))</f>
        <v/>
      </c>
      <c r="C1752" s="38">
        <f>IF(B1752="","",TEXT(B1752,"yyyy-mm"))</f>
        <v/>
      </c>
      <c r="D1752" s="38">
        <f>IF(A1752="","",IFERROR(INDEX(Maniobras!$D$5:$D$504,MATCH(A1752,Maniobras!$A$5:$A$504,0)),""))</f>
        <v/>
      </c>
      <c r="E1752" s="38" t="n"/>
      <c r="F1752" s="39">
        <f>IF(A1752="","",IFERROR(INDEX(Maniobras!$K$5:$K$504,MATCH(A1752,Maniobras!$A$5:$A$504,0)),""))</f>
        <v/>
      </c>
      <c r="G1752" s="39" t="n"/>
      <c r="H1752" s="39" t="n"/>
      <c r="I1752" s="39">
        <f>IF(G1752="","",G1752+N(H1752))</f>
        <v/>
      </c>
      <c r="J1752" s="38" t="n"/>
      <c r="K1752" s="41" t="n"/>
      <c r="L1752" s="38" t="n"/>
      <c r="M1752">
        <f>IF($A1752=Ficha!$B$3,COUNTIF($A$5:$A1752,Ficha!$B$3),"")</f>
        <v/>
      </c>
    </row>
    <row r="1753">
      <c r="A1753" s="36" t="n"/>
      <c r="B1753" s="40">
        <f>IF(A1753="","",IFERROR(INDEX(Maniobras!$B$5:$B$504,MATCH(A1753,Maniobras!$A$5:$A$504,0)),""))</f>
        <v/>
      </c>
      <c r="C1753" s="36">
        <f>IF(B1753="","",TEXT(B1753,"yyyy-mm"))</f>
        <v/>
      </c>
      <c r="D1753" s="36">
        <f>IF(A1753="","",IFERROR(INDEX(Maniobras!$D$5:$D$504,MATCH(A1753,Maniobras!$A$5:$A$504,0)),""))</f>
        <v/>
      </c>
      <c r="E1753" s="36" t="n"/>
      <c r="F1753" s="37">
        <f>IF(A1753="","",IFERROR(INDEX(Maniobras!$K$5:$K$504,MATCH(A1753,Maniobras!$A$5:$A$504,0)),""))</f>
        <v/>
      </c>
      <c r="G1753" s="37" t="n"/>
      <c r="H1753" s="37" t="n"/>
      <c r="I1753" s="37">
        <f>IF(G1753="","",G1753+N(H1753))</f>
        <v/>
      </c>
      <c r="J1753" s="36" t="n"/>
      <c r="K1753" s="40" t="n"/>
      <c r="L1753" s="36" t="n"/>
      <c r="M1753">
        <f>IF($A1753=Ficha!$B$3,COUNTIF($A$5:$A1753,Ficha!$B$3),"")</f>
        <v/>
      </c>
    </row>
    <row r="1754">
      <c r="A1754" s="38" t="n"/>
      <c r="B1754" s="41">
        <f>IF(A1754="","",IFERROR(INDEX(Maniobras!$B$5:$B$504,MATCH(A1754,Maniobras!$A$5:$A$504,0)),""))</f>
        <v/>
      </c>
      <c r="C1754" s="38">
        <f>IF(B1754="","",TEXT(B1754,"yyyy-mm"))</f>
        <v/>
      </c>
      <c r="D1754" s="38">
        <f>IF(A1754="","",IFERROR(INDEX(Maniobras!$D$5:$D$504,MATCH(A1754,Maniobras!$A$5:$A$504,0)),""))</f>
        <v/>
      </c>
      <c r="E1754" s="38" t="n"/>
      <c r="F1754" s="39">
        <f>IF(A1754="","",IFERROR(INDEX(Maniobras!$K$5:$K$504,MATCH(A1754,Maniobras!$A$5:$A$504,0)),""))</f>
        <v/>
      </c>
      <c r="G1754" s="39" t="n"/>
      <c r="H1754" s="39" t="n"/>
      <c r="I1754" s="39">
        <f>IF(G1754="","",G1754+N(H1754))</f>
        <v/>
      </c>
      <c r="J1754" s="38" t="n"/>
      <c r="K1754" s="41" t="n"/>
      <c r="L1754" s="38" t="n"/>
      <c r="M1754">
        <f>IF($A1754=Ficha!$B$3,COUNTIF($A$5:$A1754,Ficha!$B$3),"")</f>
        <v/>
      </c>
    </row>
    <row r="1755">
      <c r="A1755" s="36" t="n"/>
      <c r="B1755" s="40">
        <f>IF(A1755="","",IFERROR(INDEX(Maniobras!$B$5:$B$504,MATCH(A1755,Maniobras!$A$5:$A$504,0)),""))</f>
        <v/>
      </c>
      <c r="C1755" s="36">
        <f>IF(B1755="","",TEXT(B1755,"yyyy-mm"))</f>
        <v/>
      </c>
      <c r="D1755" s="36">
        <f>IF(A1755="","",IFERROR(INDEX(Maniobras!$D$5:$D$504,MATCH(A1755,Maniobras!$A$5:$A$504,0)),""))</f>
        <v/>
      </c>
      <c r="E1755" s="36" t="n"/>
      <c r="F1755" s="37">
        <f>IF(A1755="","",IFERROR(INDEX(Maniobras!$K$5:$K$504,MATCH(A1755,Maniobras!$A$5:$A$504,0)),""))</f>
        <v/>
      </c>
      <c r="G1755" s="37" t="n"/>
      <c r="H1755" s="37" t="n"/>
      <c r="I1755" s="37">
        <f>IF(G1755="","",G1755+N(H1755))</f>
        <v/>
      </c>
      <c r="J1755" s="36" t="n"/>
      <c r="K1755" s="40" t="n"/>
      <c r="L1755" s="36" t="n"/>
      <c r="M1755">
        <f>IF($A1755=Ficha!$B$3,COUNTIF($A$5:$A1755,Ficha!$B$3),"")</f>
        <v/>
      </c>
    </row>
    <row r="1756">
      <c r="A1756" s="38" t="n"/>
      <c r="B1756" s="41">
        <f>IF(A1756="","",IFERROR(INDEX(Maniobras!$B$5:$B$504,MATCH(A1756,Maniobras!$A$5:$A$504,0)),""))</f>
        <v/>
      </c>
      <c r="C1756" s="38">
        <f>IF(B1756="","",TEXT(B1756,"yyyy-mm"))</f>
        <v/>
      </c>
      <c r="D1756" s="38">
        <f>IF(A1756="","",IFERROR(INDEX(Maniobras!$D$5:$D$504,MATCH(A1756,Maniobras!$A$5:$A$504,0)),""))</f>
        <v/>
      </c>
      <c r="E1756" s="38" t="n"/>
      <c r="F1756" s="39">
        <f>IF(A1756="","",IFERROR(INDEX(Maniobras!$K$5:$K$504,MATCH(A1756,Maniobras!$A$5:$A$504,0)),""))</f>
        <v/>
      </c>
      <c r="G1756" s="39" t="n"/>
      <c r="H1756" s="39" t="n"/>
      <c r="I1756" s="39">
        <f>IF(G1756="","",G1756+N(H1756))</f>
        <v/>
      </c>
      <c r="J1756" s="38" t="n"/>
      <c r="K1756" s="41" t="n"/>
      <c r="L1756" s="38" t="n"/>
      <c r="M1756">
        <f>IF($A1756=Ficha!$B$3,COUNTIF($A$5:$A1756,Ficha!$B$3),"")</f>
        <v/>
      </c>
    </row>
    <row r="1757">
      <c r="A1757" s="36" t="n"/>
      <c r="B1757" s="40">
        <f>IF(A1757="","",IFERROR(INDEX(Maniobras!$B$5:$B$504,MATCH(A1757,Maniobras!$A$5:$A$504,0)),""))</f>
        <v/>
      </c>
      <c r="C1757" s="36">
        <f>IF(B1757="","",TEXT(B1757,"yyyy-mm"))</f>
        <v/>
      </c>
      <c r="D1757" s="36">
        <f>IF(A1757="","",IFERROR(INDEX(Maniobras!$D$5:$D$504,MATCH(A1757,Maniobras!$A$5:$A$504,0)),""))</f>
        <v/>
      </c>
      <c r="E1757" s="36" t="n"/>
      <c r="F1757" s="37">
        <f>IF(A1757="","",IFERROR(INDEX(Maniobras!$K$5:$K$504,MATCH(A1757,Maniobras!$A$5:$A$504,0)),""))</f>
        <v/>
      </c>
      <c r="G1757" s="37" t="n"/>
      <c r="H1757" s="37" t="n"/>
      <c r="I1757" s="37">
        <f>IF(G1757="","",G1757+N(H1757))</f>
        <v/>
      </c>
      <c r="J1757" s="36" t="n"/>
      <c r="K1757" s="40" t="n"/>
      <c r="L1757" s="36" t="n"/>
      <c r="M1757">
        <f>IF($A1757=Ficha!$B$3,COUNTIF($A$5:$A1757,Ficha!$B$3),"")</f>
        <v/>
      </c>
    </row>
    <row r="1758">
      <c r="A1758" s="38" t="n"/>
      <c r="B1758" s="41">
        <f>IF(A1758="","",IFERROR(INDEX(Maniobras!$B$5:$B$504,MATCH(A1758,Maniobras!$A$5:$A$504,0)),""))</f>
        <v/>
      </c>
      <c r="C1758" s="38">
        <f>IF(B1758="","",TEXT(B1758,"yyyy-mm"))</f>
        <v/>
      </c>
      <c r="D1758" s="38">
        <f>IF(A1758="","",IFERROR(INDEX(Maniobras!$D$5:$D$504,MATCH(A1758,Maniobras!$A$5:$A$504,0)),""))</f>
        <v/>
      </c>
      <c r="E1758" s="38" t="n"/>
      <c r="F1758" s="39">
        <f>IF(A1758="","",IFERROR(INDEX(Maniobras!$K$5:$K$504,MATCH(A1758,Maniobras!$A$5:$A$504,0)),""))</f>
        <v/>
      </c>
      <c r="G1758" s="39" t="n"/>
      <c r="H1758" s="39" t="n"/>
      <c r="I1758" s="39">
        <f>IF(G1758="","",G1758+N(H1758))</f>
        <v/>
      </c>
      <c r="J1758" s="38" t="n"/>
      <c r="K1758" s="41" t="n"/>
      <c r="L1758" s="38" t="n"/>
      <c r="M1758">
        <f>IF($A1758=Ficha!$B$3,COUNTIF($A$5:$A1758,Ficha!$B$3),"")</f>
        <v/>
      </c>
    </row>
    <row r="1759">
      <c r="A1759" s="36" t="n"/>
      <c r="B1759" s="40">
        <f>IF(A1759="","",IFERROR(INDEX(Maniobras!$B$5:$B$504,MATCH(A1759,Maniobras!$A$5:$A$504,0)),""))</f>
        <v/>
      </c>
      <c r="C1759" s="36">
        <f>IF(B1759="","",TEXT(B1759,"yyyy-mm"))</f>
        <v/>
      </c>
      <c r="D1759" s="36">
        <f>IF(A1759="","",IFERROR(INDEX(Maniobras!$D$5:$D$504,MATCH(A1759,Maniobras!$A$5:$A$504,0)),""))</f>
        <v/>
      </c>
      <c r="E1759" s="36" t="n"/>
      <c r="F1759" s="37">
        <f>IF(A1759="","",IFERROR(INDEX(Maniobras!$K$5:$K$504,MATCH(A1759,Maniobras!$A$5:$A$504,0)),""))</f>
        <v/>
      </c>
      <c r="G1759" s="37" t="n"/>
      <c r="H1759" s="37" t="n"/>
      <c r="I1759" s="37">
        <f>IF(G1759="","",G1759+N(H1759))</f>
        <v/>
      </c>
      <c r="J1759" s="36" t="n"/>
      <c r="K1759" s="40" t="n"/>
      <c r="L1759" s="36" t="n"/>
      <c r="M1759">
        <f>IF($A1759=Ficha!$B$3,COUNTIF($A$5:$A1759,Ficha!$B$3),"")</f>
        <v/>
      </c>
    </row>
    <row r="1760">
      <c r="A1760" s="38" t="n"/>
      <c r="B1760" s="41">
        <f>IF(A1760="","",IFERROR(INDEX(Maniobras!$B$5:$B$504,MATCH(A1760,Maniobras!$A$5:$A$504,0)),""))</f>
        <v/>
      </c>
      <c r="C1760" s="38">
        <f>IF(B1760="","",TEXT(B1760,"yyyy-mm"))</f>
        <v/>
      </c>
      <c r="D1760" s="38">
        <f>IF(A1760="","",IFERROR(INDEX(Maniobras!$D$5:$D$504,MATCH(A1760,Maniobras!$A$5:$A$504,0)),""))</f>
        <v/>
      </c>
      <c r="E1760" s="38" t="n"/>
      <c r="F1760" s="39">
        <f>IF(A1760="","",IFERROR(INDEX(Maniobras!$K$5:$K$504,MATCH(A1760,Maniobras!$A$5:$A$504,0)),""))</f>
        <v/>
      </c>
      <c r="G1760" s="39" t="n"/>
      <c r="H1760" s="39" t="n"/>
      <c r="I1760" s="39">
        <f>IF(G1760="","",G1760+N(H1760))</f>
        <v/>
      </c>
      <c r="J1760" s="38" t="n"/>
      <c r="K1760" s="41" t="n"/>
      <c r="L1760" s="38" t="n"/>
      <c r="M1760">
        <f>IF($A1760=Ficha!$B$3,COUNTIF($A$5:$A1760,Ficha!$B$3),"")</f>
        <v/>
      </c>
    </row>
    <row r="1761">
      <c r="A1761" s="36" t="n"/>
      <c r="B1761" s="40">
        <f>IF(A1761="","",IFERROR(INDEX(Maniobras!$B$5:$B$504,MATCH(A1761,Maniobras!$A$5:$A$504,0)),""))</f>
        <v/>
      </c>
      <c r="C1761" s="36">
        <f>IF(B1761="","",TEXT(B1761,"yyyy-mm"))</f>
        <v/>
      </c>
      <c r="D1761" s="36">
        <f>IF(A1761="","",IFERROR(INDEX(Maniobras!$D$5:$D$504,MATCH(A1761,Maniobras!$A$5:$A$504,0)),""))</f>
        <v/>
      </c>
      <c r="E1761" s="36" t="n"/>
      <c r="F1761" s="37">
        <f>IF(A1761="","",IFERROR(INDEX(Maniobras!$K$5:$K$504,MATCH(A1761,Maniobras!$A$5:$A$504,0)),""))</f>
        <v/>
      </c>
      <c r="G1761" s="37" t="n"/>
      <c r="H1761" s="37" t="n"/>
      <c r="I1761" s="37">
        <f>IF(G1761="","",G1761+N(H1761))</f>
        <v/>
      </c>
      <c r="J1761" s="36" t="n"/>
      <c r="K1761" s="40" t="n"/>
      <c r="L1761" s="36" t="n"/>
      <c r="M1761">
        <f>IF($A1761=Ficha!$B$3,COUNTIF($A$5:$A1761,Ficha!$B$3),"")</f>
        <v/>
      </c>
    </row>
    <row r="1762">
      <c r="A1762" s="38" t="n"/>
      <c r="B1762" s="41">
        <f>IF(A1762="","",IFERROR(INDEX(Maniobras!$B$5:$B$504,MATCH(A1762,Maniobras!$A$5:$A$504,0)),""))</f>
        <v/>
      </c>
      <c r="C1762" s="38">
        <f>IF(B1762="","",TEXT(B1762,"yyyy-mm"))</f>
        <v/>
      </c>
      <c r="D1762" s="38">
        <f>IF(A1762="","",IFERROR(INDEX(Maniobras!$D$5:$D$504,MATCH(A1762,Maniobras!$A$5:$A$504,0)),""))</f>
        <v/>
      </c>
      <c r="E1762" s="38" t="n"/>
      <c r="F1762" s="39">
        <f>IF(A1762="","",IFERROR(INDEX(Maniobras!$K$5:$K$504,MATCH(A1762,Maniobras!$A$5:$A$504,0)),""))</f>
        <v/>
      </c>
      <c r="G1762" s="39" t="n"/>
      <c r="H1762" s="39" t="n"/>
      <c r="I1762" s="39">
        <f>IF(G1762="","",G1762+N(H1762))</f>
        <v/>
      </c>
      <c r="J1762" s="38" t="n"/>
      <c r="K1762" s="41" t="n"/>
      <c r="L1762" s="38" t="n"/>
      <c r="M1762">
        <f>IF($A1762=Ficha!$B$3,COUNTIF($A$5:$A1762,Ficha!$B$3),"")</f>
        <v/>
      </c>
    </row>
    <row r="1763">
      <c r="A1763" s="36" t="n"/>
      <c r="B1763" s="40">
        <f>IF(A1763="","",IFERROR(INDEX(Maniobras!$B$5:$B$504,MATCH(A1763,Maniobras!$A$5:$A$504,0)),""))</f>
        <v/>
      </c>
      <c r="C1763" s="36">
        <f>IF(B1763="","",TEXT(B1763,"yyyy-mm"))</f>
        <v/>
      </c>
      <c r="D1763" s="36">
        <f>IF(A1763="","",IFERROR(INDEX(Maniobras!$D$5:$D$504,MATCH(A1763,Maniobras!$A$5:$A$504,0)),""))</f>
        <v/>
      </c>
      <c r="E1763" s="36" t="n"/>
      <c r="F1763" s="37">
        <f>IF(A1763="","",IFERROR(INDEX(Maniobras!$K$5:$K$504,MATCH(A1763,Maniobras!$A$5:$A$504,0)),""))</f>
        <v/>
      </c>
      <c r="G1763" s="37" t="n"/>
      <c r="H1763" s="37" t="n"/>
      <c r="I1763" s="37">
        <f>IF(G1763="","",G1763+N(H1763))</f>
        <v/>
      </c>
      <c r="J1763" s="36" t="n"/>
      <c r="K1763" s="40" t="n"/>
      <c r="L1763" s="36" t="n"/>
      <c r="M1763">
        <f>IF($A1763=Ficha!$B$3,COUNTIF($A$5:$A1763,Ficha!$B$3),"")</f>
        <v/>
      </c>
    </row>
    <row r="1764">
      <c r="A1764" s="38" t="n"/>
      <c r="B1764" s="41">
        <f>IF(A1764="","",IFERROR(INDEX(Maniobras!$B$5:$B$504,MATCH(A1764,Maniobras!$A$5:$A$504,0)),""))</f>
        <v/>
      </c>
      <c r="C1764" s="38">
        <f>IF(B1764="","",TEXT(B1764,"yyyy-mm"))</f>
        <v/>
      </c>
      <c r="D1764" s="38">
        <f>IF(A1764="","",IFERROR(INDEX(Maniobras!$D$5:$D$504,MATCH(A1764,Maniobras!$A$5:$A$504,0)),""))</f>
        <v/>
      </c>
      <c r="E1764" s="38" t="n"/>
      <c r="F1764" s="39">
        <f>IF(A1764="","",IFERROR(INDEX(Maniobras!$K$5:$K$504,MATCH(A1764,Maniobras!$A$5:$A$504,0)),""))</f>
        <v/>
      </c>
      <c r="G1764" s="39" t="n"/>
      <c r="H1764" s="39" t="n"/>
      <c r="I1764" s="39">
        <f>IF(G1764="","",G1764+N(H1764))</f>
        <v/>
      </c>
      <c r="J1764" s="38" t="n"/>
      <c r="K1764" s="41" t="n"/>
      <c r="L1764" s="38" t="n"/>
      <c r="M1764">
        <f>IF($A1764=Ficha!$B$3,COUNTIF($A$5:$A1764,Ficha!$B$3),"")</f>
        <v/>
      </c>
    </row>
    <row r="1765">
      <c r="A1765" s="36" t="n"/>
      <c r="B1765" s="40">
        <f>IF(A1765="","",IFERROR(INDEX(Maniobras!$B$5:$B$504,MATCH(A1765,Maniobras!$A$5:$A$504,0)),""))</f>
        <v/>
      </c>
      <c r="C1765" s="36">
        <f>IF(B1765="","",TEXT(B1765,"yyyy-mm"))</f>
        <v/>
      </c>
      <c r="D1765" s="36">
        <f>IF(A1765="","",IFERROR(INDEX(Maniobras!$D$5:$D$504,MATCH(A1765,Maniobras!$A$5:$A$504,0)),""))</f>
        <v/>
      </c>
      <c r="E1765" s="36" t="n"/>
      <c r="F1765" s="37">
        <f>IF(A1765="","",IFERROR(INDEX(Maniobras!$K$5:$K$504,MATCH(A1765,Maniobras!$A$5:$A$504,0)),""))</f>
        <v/>
      </c>
      <c r="G1765" s="37" t="n"/>
      <c r="H1765" s="37" t="n"/>
      <c r="I1765" s="37">
        <f>IF(G1765="","",G1765+N(H1765))</f>
        <v/>
      </c>
      <c r="J1765" s="36" t="n"/>
      <c r="K1765" s="40" t="n"/>
      <c r="L1765" s="36" t="n"/>
      <c r="M1765">
        <f>IF($A1765=Ficha!$B$3,COUNTIF($A$5:$A1765,Ficha!$B$3),"")</f>
        <v/>
      </c>
    </row>
    <row r="1766">
      <c r="A1766" s="38" t="n"/>
      <c r="B1766" s="41">
        <f>IF(A1766="","",IFERROR(INDEX(Maniobras!$B$5:$B$504,MATCH(A1766,Maniobras!$A$5:$A$504,0)),""))</f>
        <v/>
      </c>
      <c r="C1766" s="38">
        <f>IF(B1766="","",TEXT(B1766,"yyyy-mm"))</f>
        <v/>
      </c>
      <c r="D1766" s="38">
        <f>IF(A1766="","",IFERROR(INDEX(Maniobras!$D$5:$D$504,MATCH(A1766,Maniobras!$A$5:$A$504,0)),""))</f>
        <v/>
      </c>
      <c r="E1766" s="38" t="n"/>
      <c r="F1766" s="39">
        <f>IF(A1766="","",IFERROR(INDEX(Maniobras!$K$5:$K$504,MATCH(A1766,Maniobras!$A$5:$A$504,0)),""))</f>
        <v/>
      </c>
      <c r="G1766" s="39" t="n"/>
      <c r="H1766" s="39" t="n"/>
      <c r="I1766" s="39">
        <f>IF(G1766="","",G1766+N(H1766))</f>
        <v/>
      </c>
      <c r="J1766" s="38" t="n"/>
      <c r="K1766" s="41" t="n"/>
      <c r="L1766" s="38" t="n"/>
      <c r="M1766">
        <f>IF($A1766=Ficha!$B$3,COUNTIF($A$5:$A1766,Ficha!$B$3),"")</f>
        <v/>
      </c>
    </row>
    <row r="1767">
      <c r="A1767" s="36" t="n"/>
      <c r="B1767" s="40">
        <f>IF(A1767="","",IFERROR(INDEX(Maniobras!$B$5:$B$504,MATCH(A1767,Maniobras!$A$5:$A$504,0)),""))</f>
        <v/>
      </c>
      <c r="C1767" s="36">
        <f>IF(B1767="","",TEXT(B1767,"yyyy-mm"))</f>
        <v/>
      </c>
      <c r="D1767" s="36">
        <f>IF(A1767="","",IFERROR(INDEX(Maniobras!$D$5:$D$504,MATCH(A1767,Maniobras!$A$5:$A$504,0)),""))</f>
        <v/>
      </c>
      <c r="E1767" s="36" t="n"/>
      <c r="F1767" s="37">
        <f>IF(A1767="","",IFERROR(INDEX(Maniobras!$K$5:$K$504,MATCH(A1767,Maniobras!$A$5:$A$504,0)),""))</f>
        <v/>
      </c>
      <c r="G1767" s="37" t="n"/>
      <c r="H1767" s="37" t="n"/>
      <c r="I1767" s="37">
        <f>IF(G1767="","",G1767+N(H1767))</f>
        <v/>
      </c>
      <c r="J1767" s="36" t="n"/>
      <c r="K1767" s="40" t="n"/>
      <c r="L1767" s="36" t="n"/>
      <c r="M1767">
        <f>IF($A1767=Ficha!$B$3,COUNTIF($A$5:$A1767,Ficha!$B$3),"")</f>
        <v/>
      </c>
    </row>
    <row r="1768">
      <c r="A1768" s="38" t="n"/>
      <c r="B1768" s="41">
        <f>IF(A1768="","",IFERROR(INDEX(Maniobras!$B$5:$B$504,MATCH(A1768,Maniobras!$A$5:$A$504,0)),""))</f>
        <v/>
      </c>
      <c r="C1768" s="38">
        <f>IF(B1768="","",TEXT(B1768,"yyyy-mm"))</f>
        <v/>
      </c>
      <c r="D1768" s="38">
        <f>IF(A1768="","",IFERROR(INDEX(Maniobras!$D$5:$D$504,MATCH(A1768,Maniobras!$A$5:$A$504,0)),""))</f>
        <v/>
      </c>
      <c r="E1768" s="38" t="n"/>
      <c r="F1768" s="39">
        <f>IF(A1768="","",IFERROR(INDEX(Maniobras!$K$5:$K$504,MATCH(A1768,Maniobras!$A$5:$A$504,0)),""))</f>
        <v/>
      </c>
      <c r="G1768" s="39" t="n"/>
      <c r="H1768" s="39" t="n"/>
      <c r="I1768" s="39">
        <f>IF(G1768="","",G1768+N(H1768))</f>
        <v/>
      </c>
      <c r="J1768" s="38" t="n"/>
      <c r="K1768" s="41" t="n"/>
      <c r="L1768" s="38" t="n"/>
      <c r="M1768">
        <f>IF($A1768=Ficha!$B$3,COUNTIF($A$5:$A1768,Ficha!$B$3),"")</f>
        <v/>
      </c>
    </row>
    <row r="1769">
      <c r="A1769" s="36" t="n"/>
      <c r="B1769" s="40">
        <f>IF(A1769="","",IFERROR(INDEX(Maniobras!$B$5:$B$504,MATCH(A1769,Maniobras!$A$5:$A$504,0)),""))</f>
        <v/>
      </c>
      <c r="C1769" s="36">
        <f>IF(B1769="","",TEXT(B1769,"yyyy-mm"))</f>
        <v/>
      </c>
      <c r="D1769" s="36">
        <f>IF(A1769="","",IFERROR(INDEX(Maniobras!$D$5:$D$504,MATCH(A1769,Maniobras!$A$5:$A$504,0)),""))</f>
        <v/>
      </c>
      <c r="E1769" s="36" t="n"/>
      <c r="F1769" s="37">
        <f>IF(A1769="","",IFERROR(INDEX(Maniobras!$K$5:$K$504,MATCH(A1769,Maniobras!$A$5:$A$504,0)),""))</f>
        <v/>
      </c>
      <c r="G1769" s="37" t="n"/>
      <c r="H1769" s="37" t="n"/>
      <c r="I1769" s="37">
        <f>IF(G1769="","",G1769+N(H1769))</f>
        <v/>
      </c>
      <c r="J1769" s="36" t="n"/>
      <c r="K1769" s="40" t="n"/>
      <c r="L1769" s="36" t="n"/>
      <c r="M1769">
        <f>IF($A1769=Ficha!$B$3,COUNTIF($A$5:$A1769,Ficha!$B$3),"")</f>
        <v/>
      </c>
    </row>
    <row r="1770">
      <c r="A1770" s="38" t="n"/>
      <c r="B1770" s="41">
        <f>IF(A1770="","",IFERROR(INDEX(Maniobras!$B$5:$B$504,MATCH(A1770,Maniobras!$A$5:$A$504,0)),""))</f>
        <v/>
      </c>
      <c r="C1770" s="38">
        <f>IF(B1770="","",TEXT(B1770,"yyyy-mm"))</f>
        <v/>
      </c>
      <c r="D1770" s="38">
        <f>IF(A1770="","",IFERROR(INDEX(Maniobras!$D$5:$D$504,MATCH(A1770,Maniobras!$A$5:$A$504,0)),""))</f>
        <v/>
      </c>
      <c r="E1770" s="38" t="n"/>
      <c r="F1770" s="39">
        <f>IF(A1770="","",IFERROR(INDEX(Maniobras!$K$5:$K$504,MATCH(A1770,Maniobras!$A$5:$A$504,0)),""))</f>
        <v/>
      </c>
      <c r="G1770" s="39" t="n"/>
      <c r="H1770" s="39" t="n"/>
      <c r="I1770" s="39">
        <f>IF(G1770="","",G1770+N(H1770))</f>
        <v/>
      </c>
      <c r="J1770" s="38" t="n"/>
      <c r="K1770" s="41" t="n"/>
      <c r="L1770" s="38" t="n"/>
      <c r="M1770">
        <f>IF($A1770=Ficha!$B$3,COUNTIF($A$5:$A1770,Ficha!$B$3),"")</f>
        <v/>
      </c>
    </row>
    <row r="1771">
      <c r="A1771" s="36" t="n"/>
      <c r="B1771" s="40">
        <f>IF(A1771="","",IFERROR(INDEX(Maniobras!$B$5:$B$504,MATCH(A1771,Maniobras!$A$5:$A$504,0)),""))</f>
        <v/>
      </c>
      <c r="C1771" s="36">
        <f>IF(B1771="","",TEXT(B1771,"yyyy-mm"))</f>
        <v/>
      </c>
      <c r="D1771" s="36">
        <f>IF(A1771="","",IFERROR(INDEX(Maniobras!$D$5:$D$504,MATCH(A1771,Maniobras!$A$5:$A$504,0)),""))</f>
        <v/>
      </c>
      <c r="E1771" s="36" t="n"/>
      <c r="F1771" s="37">
        <f>IF(A1771="","",IFERROR(INDEX(Maniobras!$K$5:$K$504,MATCH(A1771,Maniobras!$A$5:$A$504,0)),""))</f>
        <v/>
      </c>
      <c r="G1771" s="37" t="n"/>
      <c r="H1771" s="37" t="n"/>
      <c r="I1771" s="37">
        <f>IF(G1771="","",G1771+N(H1771))</f>
        <v/>
      </c>
      <c r="J1771" s="36" t="n"/>
      <c r="K1771" s="40" t="n"/>
      <c r="L1771" s="36" t="n"/>
      <c r="M1771">
        <f>IF($A1771=Ficha!$B$3,COUNTIF($A$5:$A1771,Ficha!$B$3),"")</f>
        <v/>
      </c>
    </row>
    <row r="1772">
      <c r="A1772" s="38" t="n"/>
      <c r="B1772" s="41">
        <f>IF(A1772="","",IFERROR(INDEX(Maniobras!$B$5:$B$504,MATCH(A1772,Maniobras!$A$5:$A$504,0)),""))</f>
        <v/>
      </c>
      <c r="C1772" s="38">
        <f>IF(B1772="","",TEXT(B1772,"yyyy-mm"))</f>
        <v/>
      </c>
      <c r="D1772" s="38">
        <f>IF(A1772="","",IFERROR(INDEX(Maniobras!$D$5:$D$504,MATCH(A1772,Maniobras!$A$5:$A$504,0)),""))</f>
        <v/>
      </c>
      <c r="E1772" s="38" t="n"/>
      <c r="F1772" s="39">
        <f>IF(A1772="","",IFERROR(INDEX(Maniobras!$K$5:$K$504,MATCH(A1772,Maniobras!$A$5:$A$504,0)),""))</f>
        <v/>
      </c>
      <c r="G1772" s="39" t="n"/>
      <c r="H1772" s="39" t="n"/>
      <c r="I1772" s="39">
        <f>IF(G1772="","",G1772+N(H1772))</f>
        <v/>
      </c>
      <c r="J1772" s="38" t="n"/>
      <c r="K1772" s="41" t="n"/>
      <c r="L1772" s="38" t="n"/>
      <c r="M1772">
        <f>IF($A1772=Ficha!$B$3,COUNTIF($A$5:$A1772,Ficha!$B$3),"")</f>
        <v/>
      </c>
    </row>
    <row r="1773">
      <c r="A1773" s="36" t="n"/>
      <c r="B1773" s="40">
        <f>IF(A1773="","",IFERROR(INDEX(Maniobras!$B$5:$B$504,MATCH(A1773,Maniobras!$A$5:$A$504,0)),""))</f>
        <v/>
      </c>
      <c r="C1773" s="36">
        <f>IF(B1773="","",TEXT(B1773,"yyyy-mm"))</f>
        <v/>
      </c>
      <c r="D1773" s="36">
        <f>IF(A1773="","",IFERROR(INDEX(Maniobras!$D$5:$D$504,MATCH(A1773,Maniobras!$A$5:$A$504,0)),""))</f>
        <v/>
      </c>
      <c r="E1773" s="36" t="n"/>
      <c r="F1773" s="37">
        <f>IF(A1773="","",IFERROR(INDEX(Maniobras!$K$5:$K$504,MATCH(A1773,Maniobras!$A$5:$A$504,0)),""))</f>
        <v/>
      </c>
      <c r="G1773" s="37" t="n"/>
      <c r="H1773" s="37" t="n"/>
      <c r="I1773" s="37">
        <f>IF(G1773="","",G1773+N(H1773))</f>
        <v/>
      </c>
      <c r="J1773" s="36" t="n"/>
      <c r="K1773" s="40" t="n"/>
      <c r="L1773" s="36" t="n"/>
      <c r="M1773">
        <f>IF($A1773=Ficha!$B$3,COUNTIF($A$5:$A1773,Ficha!$B$3),"")</f>
        <v/>
      </c>
    </row>
    <row r="1774">
      <c r="A1774" s="38" t="n"/>
      <c r="B1774" s="41">
        <f>IF(A1774="","",IFERROR(INDEX(Maniobras!$B$5:$B$504,MATCH(A1774,Maniobras!$A$5:$A$504,0)),""))</f>
        <v/>
      </c>
      <c r="C1774" s="38">
        <f>IF(B1774="","",TEXT(B1774,"yyyy-mm"))</f>
        <v/>
      </c>
      <c r="D1774" s="38">
        <f>IF(A1774="","",IFERROR(INDEX(Maniobras!$D$5:$D$504,MATCH(A1774,Maniobras!$A$5:$A$504,0)),""))</f>
        <v/>
      </c>
      <c r="E1774" s="38" t="n"/>
      <c r="F1774" s="39">
        <f>IF(A1774="","",IFERROR(INDEX(Maniobras!$K$5:$K$504,MATCH(A1774,Maniobras!$A$5:$A$504,0)),""))</f>
        <v/>
      </c>
      <c r="G1774" s="39" t="n"/>
      <c r="H1774" s="39" t="n"/>
      <c r="I1774" s="39">
        <f>IF(G1774="","",G1774+N(H1774))</f>
        <v/>
      </c>
      <c r="J1774" s="38" t="n"/>
      <c r="K1774" s="41" t="n"/>
      <c r="L1774" s="38" t="n"/>
      <c r="M1774">
        <f>IF($A1774=Ficha!$B$3,COUNTIF($A$5:$A1774,Ficha!$B$3),"")</f>
        <v/>
      </c>
    </row>
    <row r="1775">
      <c r="A1775" s="36" t="n"/>
      <c r="B1775" s="40">
        <f>IF(A1775="","",IFERROR(INDEX(Maniobras!$B$5:$B$504,MATCH(A1775,Maniobras!$A$5:$A$504,0)),""))</f>
        <v/>
      </c>
      <c r="C1775" s="36">
        <f>IF(B1775="","",TEXT(B1775,"yyyy-mm"))</f>
        <v/>
      </c>
      <c r="D1775" s="36">
        <f>IF(A1775="","",IFERROR(INDEX(Maniobras!$D$5:$D$504,MATCH(A1775,Maniobras!$A$5:$A$504,0)),""))</f>
        <v/>
      </c>
      <c r="E1775" s="36" t="n"/>
      <c r="F1775" s="37">
        <f>IF(A1775="","",IFERROR(INDEX(Maniobras!$K$5:$K$504,MATCH(A1775,Maniobras!$A$5:$A$504,0)),""))</f>
        <v/>
      </c>
      <c r="G1775" s="37" t="n"/>
      <c r="H1775" s="37" t="n"/>
      <c r="I1775" s="37">
        <f>IF(G1775="","",G1775+N(H1775))</f>
        <v/>
      </c>
      <c r="J1775" s="36" t="n"/>
      <c r="K1775" s="40" t="n"/>
      <c r="L1775" s="36" t="n"/>
      <c r="M1775">
        <f>IF($A1775=Ficha!$B$3,COUNTIF($A$5:$A1775,Ficha!$B$3),"")</f>
        <v/>
      </c>
    </row>
    <row r="1776">
      <c r="A1776" s="38" t="n"/>
      <c r="B1776" s="41">
        <f>IF(A1776="","",IFERROR(INDEX(Maniobras!$B$5:$B$504,MATCH(A1776,Maniobras!$A$5:$A$504,0)),""))</f>
        <v/>
      </c>
      <c r="C1776" s="38">
        <f>IF(B1776="","",TEXT(B1776,"yyyy-mm"))</f>
        <v/>
      </c>
      <c r="D1776" s="38">
        <f>IF(A1776="","",IFERROR(INDEX(Maniobras!$D$5:$D$504,MATCH(A1776,Maniobras!$A$5:$A$504,0)),""))</f>
        <v/>
      </c>
      <c r="E1776" s="38" t="n"/>
      <c r="F1776" s="39">
        <f>IF(A1776="","",IFERROR(INDEX(Maniobras!$K$5:$K$504,MATCH(A1776,Maniobras!$A$5:$A$504,0)),""))</f>
        <v/>
      </c>
      <c r="G1776" s="39" t="n"/>
      <c r="H1776" s="39" t="n"/>
      <c r="I1776" s="39">
        <f>IF(G1776="","",G1776+N(H1776))</f>
        <v/>
      </c>
      <c r="J1776" s="38" t="n"/>
      <c r="K1776" s="41" t="n"/>
      <c r="L1776" s="38" t="n"/>
      <c r="M1776">
        <f>IF($A1776=Ficha!$B$3,COUNTIF($A$5:$A1776,Ficha!$B$3),"")</f>
        <v/>
      </c>
    </row>
    <row r="1777">
      <c r="A1777" s="36" t="n"/>
      <c r="B1777" s="40">
        <f>IF(A1777="","",IFERROR(INDEX(Maniobras!$B$5:$B$504,MATCH(A1777,Maniobras!$A$5:$A$504,0)),""))</f>
        <v/>
      </c>
      <c r="C1777" s="36">
        <f>IF(B1777="","",TEXT(B1777,"yyyy-mm"))</f>
        <v/>
      </c>
      <c r="D1777" s="36">
        <f>IF(A1777="","",IFERROR(INDEX(Maniobras!$D$5:$D$504,MATCH(A1777,Maniobras!$A$5:$A$504,0)),""))</f>
        <v/>
      </c>
      <c r="E1777" s="36" t="n"/>
      <c r="F1777" s="37">
        <f>IF(A1777="","",IFERROR(INDEX(Maniobras!$K$5:$K$504,MATCH(A1777,Maniobras!$A$5:$A$504,0)),""))</f>
        <v/>
      </c>
      <c r="G1777" s="37" t="n"/>
      <c r="H1777" s="37" t="n"/>
      <c r="I1777" s="37">
        <f>IF(G1777="","",G1777+N(H1777))</f>
        <v/>
      </c>
      <c r="J1777" s="36" t="n"/>
      <c r="K1777" s="40" t="n"/>
      <c r="L1777" s="36" t="n"/>
      <c r="M1777">
        <f>IF($A1777=Ficha!$B$3,COUNTIF($A$5:$A1777,Ficha!$B$3),"")</f>
        <v/>
      </c>
    </row>
    <row r="1778">
      <c r="A1778" s="38" t="n"/>
      <c r="B1778" s="41">
        <f>IF(A1778="","",IFERROR(INDEX(Maniobras!$B$5:$B$504,MATCH(A1778,Maniobras!$A$5:$A$504,0)),""))</f>
        <v/>
      </c>
      <c r="C1778" s="38">
        <f>IF(B1778="","",TEXT(B1778,"yyyy-mm"))</f>
        <v/>
      </c>
      <c r="D1778" s="38">
        <f>IF(A1778="","",IFERROR(INDEX(Maniobras!$D$5:$D$504,MATCH(A1778,Maniobras!$A$5:$A$504,0)),""))</f>
        <v/>
      </c>
      <c r="E1778" s="38" t="n"/>
      <c r="F1778" s="39">
        <f>IF(A1778="","",IFERROR(INDEX(Maniobras!$K$5:$K$504,MATCH(A1778,Maniobras!$A$5:$A$504,0)),""))</f>
        <v/>
      </c>
      <c r="G1778" s="39" t="n"/>
      <c r="H1778" s="39" t="n"/>
      <c r="I1778" s="39">
        <f>IF(G1778="","",G1778+N(H1778))</f>
        <v/>
      </c>
      <c r="J1778" s="38" t="n"/>
      <c r="K1778" s="41" t="n"/>
      <c r="L1778" s="38" t="n"/>
      <c r="M1778">
        <f>IF($A1778=Ficha!$B$3,COUNTIF($A$5:$A1778,Ficha!$B$3),"")</f>
        <v/>
      </c>
    </row>
    <row r="1779">
      <c r="A1779" s="36" t="n"/>
      <c r="B1779" s="40">
        <f>IF(A1779="","",IFERROR(INDEX(Maniobras!$B$5:$B$504,MATCH(A1779,Maniobras!$A$5:$A$504,0)),""))</f>
        <v/>
      </c>
      <c r="C1779" s="36">
        <f>IF(B1779="","",TEXT(B1779,"yyyy-mm"))</f>
        <v/>
      </c>
      <c r="D1779" s="36">
        <f>IF(A1779="","",IFERROR(INDEX(Maniobras!$D$5:$D$504,MATCH(A1779,Maniobras!$A$5:$A$504,0)),""))</f>
        <v/>
      </c>
      <c r="E1779" s="36" t="n"/>
      <c r="F1779" s="37">
        <f>IF(A1779="","",IFERROR(INDEX(Maniobras!$K$5:$K$504,MATCH(A1779,Maniobras!$A$5:$A$504,0)),""))</f>
        <v/>
      </c>
      <c r="G1779" s="37" t="n"/>
      <c r="H1779" s="37" t="n"/>
      <c r="I1779" s="37">
        <f>IF(G1779="","",G1779+N(H1779))</f>
        <v/>
      </c>
      <c r="J1779" s="36" t="n"/>
      <c r="K1779" s="40" t="n"/>
      <c r="L1779" s="36" t="n"/>
      <c r="M1779">
        <f>IF($A1779=Ficha!$B$3,COUNTIF($A$5:$A1779,Ficha!$B$3),"")</f>
        <v/>
      </c>
    </row>
    <row r="1780">
      <c r="A1780" s="38" t="n"/>
      <c r="B1780" s="41">
        <f>IF(A1780="","",IFERROR(INDEX(Maniobras!$B$5:$B$504,MATCH(A1780,Maniobras!$A$5:$A$504,0)),""))</f>
        <v/>
      </c>
      <c r="C1780" s="38">
        <f>IF(B1780="","",TEXT(B1780,"yyyy-mm"))</f>
        <v/>
      </c>
      <c r="D1780" s="38">
        <f>IF(A1780="","",IFERROR(INDEX(Maniobras!$D$5:$D$504,MATCH(A1780,Maniobras!$A$5:$A$504,0)),""))</f>
        <v/>
      </c>
      <c r="E1780" s="38" t="n"/>
      <c r="F1780" s="39">
        <f>IF(A1780="","",IFERROR(INDEX(Maniobras!$K$5:$K$504,MATCH(A1780,Maniobras!$A$5:$A$504,0)),""))</f>
        <v/>
      </c>
      <c r="G1780" s="39" t="n"/>
      <c r="H1780" s="39" t="n"/>
      <c r="I1780" s="39">
        <f>IF(G1780="","",G1780+N(H1780))</f>
        <v/>
      </c>
      <c r="J1780" s="38" t="n"/>
      <c r="K1780" s="41" t="n"/>
      <c r="L1780" s="38" t="n"/>
      <c r="M1780">
        <f>IF($A1780=Ficha!$B$3,COUNTIF($A$5:$A1780,Ficha!$B$3),"")</f>
        <v/>
      </c>
    </row>
    <row r="1781">
      <c r="A1781" s="36" t="n"/>
      <c r="B1781" s="40">
        <f>IF(A1781="","",IFERROR(INDEX(Maniobras!$B$5:$B$504,MATCH(A1781,Maniobras!$A$5:$A$504,0)),""))</f>
        <v/>
      </c>
      <c r="C1781" s="36">
        <f>IF(B1781="","",TEXT(B1781,"yyyy-mm"))</f>
        <v/>
      </c>
      <c r="D1781" s="36">
        <f>IF(A1781="","",IFERROR(INDEX(Maniobras!$D$5:$D$504,MATCH(A1781,Maniobras!$A$5:$A$504,0)),""))</f>
        <v/>
      </c>
      <c r="E1781" s="36" t="n"/>
      <c r="F1781" s="37">
        <f>IF(A1781="","",IFERROR(INDEX(Maniobras!$K$5:$K$504,MATCH(A1781,Maniobras!$A$5:$A$504,0)),""))</f>
        <v/>
      </c>
      <c r="G1781" s="37" t="n"/>
      <c r="H1781" s="37" t="n"/>
      <c r="I1781" s="37">
        <f>IF(G1781="","",G1781+N(H1781))</f>
        <v/>
      </c>
      <c r="J1781" s="36" t="n"/>
      <c r="K1781" s="40" t="n"/>
      <c r="L1781" s="36" t="n"/>
      <c r="M1781">
        <f>IF($A1781=Ficha!$B$3,COUNTIF($A$5:$A1781,Ficha!$B$3),"")</f>
        <v/>
      </c>
    </row>
    <row r="1782">
      <c r="A1782" s="38" t="n"/>
      <c r="B1782" s="41">
        <f>IF(A1782="","",IFERROR(INDEX(Maniobras!$B$5:$B$504,MATCH(A1782,Maniobras!$A$5:$A$504,0)),""))</f>
        <v/>
      </c>
      <c r="C1782" s="38">
        <f>IF(B1782="","",TEXT(B1782,"yyyy-mm"))</f>
        <v/>
      </c>
      <c r="D1782" s="38">
        <f>IF(A1782="","",IFERROR(INDEX(Maniobras!$D$5:$D$504,MATCH(A1782,Maniobras!$A$5:$A$504,0)),""))</f>
        <v/>
      </c>
      <c r="E1782" s="38" t="n"/>
      <c r="F1782" s="39">
        <f>IF(A1782="","",IFERROR(INDEX(Maniobras!$K$5:$K$504,MATCH(A1782,Maniobras!$A$5:$A$504,0)),""))</f>
        <v/>
      </c>
      <c r="G1782" s="39" t="n"/>
      <c r="H1782" s="39" t="n"/>
      <c r="I1782" s="39">
        <f>IF(G1782="","",G1782+N(H1782))</f>
        <v/>
      </c>
      <c r="J1782" s="38" t="n"/>
      <c r="K1782" s="41" t="n"/>
      <c r="L1782" s="38" t="n"/>
      <c r="M1782">
        <f>IF($A1782=Ficha!$B$3,COUNTIF($A$5:$A1782,Ficha!$B$3),"")</f>
        <v/>
      </c>
    </row>
    <row r="1783">
      <c r="A1783" s="36" t="n"/>
      <c r="B1783" s="40">
        <f>IF(A1783="","",IFERROR(INDEX(Maniobras!$B$5:$B$504,MATCH(A1783,Maniobras!$A$5:$A$504,0)),""))</f>
        <v/>
      </c>
      <c r="C1783" s="36">
        <f>IF(B1783="","",TEXT(B1783,"yyyy-mm"))</f>
        <v/>
      </c>
      <c r="D1783" s="36">
        <f>IF(A1783="","",IFERROR(INDEX(Maniobras!$D$5:$D$504,MATCH(A1783,Maniobras!$A$5:$A$504,0)),""))</f>
        <v/>
      </c>
      <c r="E1783" s="36" t="n"/>
      <c r="F1783" s="37">
        <f>IF(A1783="","",IFERROR(INDEX(Maniobras!$K$5:$K$504,MATCH(A1783,Maniobras!$A$5:$A$504,0)),""))</f>
        <v/>
      </c>
      <c r="G1783" s="37" t="n"/>
      <c r="H1783" s="37" t="n"/>
      <c r="I1783" s="37">
        <f>IF(G1783="","",G1783+N(H1783))</f>
        <v/>
      </c>
      <c r="J1783" s="36" t="n"/>
      <c r="K1783" s="40" t="n"/>
      <c r="L1783" s="36" t="n"/>
      <c r="M1783">
        <f>IF($A1783=Ficha!$B$3,COUNTIF($A$5:$A1783,Ficha!$B$3),"")</f>
        <v/>
      </c>
    </row>
    <row r="1784">
      <c r="A1784" s="38" t="n"/>
      <c r="B1784" s="41">
        <f>IF(A1784="","",IFERROR(INDEX(Maniobras!$B$5:$B$504,MATCH(A1784,Maniobras!$A$5:$A$504,0)),""))</f>
        <v/>
      </c>
      <c r="C1784" s="38">
        <f>IF(B1784="","",TEXT(B1784,"yyyy-mm"))</f>
        <v/>
      </c>
      <c r="D1784" s="38">
        <f>IF(A1784="","",IFERROR(INDEX(Maniobras!$D$5:$D$504,MATCH(A1784,Maniobras!$A$5:$A$504,0)),""))</f>
        <v/>
      </c>
      <c r="E1784" s="38" t="n"/>
      <c r="F1784" s="39">
        <f>IF(A1784="","",IFERROR(INDEX(Maniobras!$K$5:$K$504,MATCH(A1784,Maniobras!$A$5:$A$504,0)),""))</f>
        <v/>
      </c>
      <c r="G1784" s="39" t="n"/>
      <c r="H1784" s="39" t="n"/>
      <c r="I1784" s="39">
        <f>IF(G1784="","",G1784+N(H1784))</f>
        <v/>
      </c>
      <c r="J1784" s="38" t="n"/>
      <c r="K1784" s="41" t="n"/>
      <c r="L1784" s="38" t="n"/>
      <c r="M1784">
        <f>IF($A1784=Ficha!$B$3,COUNTIF($A$5:$A1784,Ficha!$B$3),"")</f>
        <v/>
      </c>
    </row>
    <row r="1785">
      <c r="A1785" s="36" t="n"/>
      <c r="B1785" s="40">
        <f>IF(A1785="","",IFERROR(INDEX(Maniobras!$B$5:$B$504,MATCH(A1785,Maniobras!$A$5:$A$504,0)),""))</f>
        <v/>
      </c>
      <c r="C1785" s="36">
        <f>IF(B1785="","",TEXT(B1785,"yyyy-mm"))</f>
        <v/>
      </c>
      <c r="D1785" s="36">
        <f>IF(A1785="","",IFERROR(INDEX(Maniobras!$D$5:$D$504,MATCH(A1785,Maniobras!$A$5:$A$504,0)),""))</f>
        <v/>
      </c>
      <c r="E1785" s="36" t="n"/>
      <c r="F1785" s="37">
        <f>IF(A1785="","",IFERROR(INDEX(Maniobras!$K$5:$K$504,MATCH(A1785,Maniobras!$A$5:$A$504,0)),""))</f>
        <v/>
      </c>
      <c r="G1785" s="37" t="n"/>
      <c r="H1785" s="37" t="n"/>
      <c r="I1785" s="37">
        <f>IF(G1785="","",G1785+N(H1785))</f>
        <v/>
      </c>
      <c r="J1785" s="36" t="n"/>
      <c r="K1785" s="40" t="n"/>
      <c r="L1785" s="36" t="n"/>
      <c r="M1785">
        <f>IF($A1785=Ficha!$B$3,COUNTIF($A$5:$A1785,Ficha!$B$3),"")</f>
        <v/>
      </c>
    </row>
    <row r="1786">
      <c r="A1786" s="38" t="n"/>
      <c r="B1786" s="41">
        <f>IF(A1786="","",IFERROR(INDEX(Maniobras!$B$5:$B$504,MATCH(A1786,Maniobras!$A$5:$A$504,0)),""))</f>
        <v/>
      </c>
      <c r="C1786" s="38">
        <f>IF(B1786="","",TEXT(B1786,"yyyy-mm"))</f>
        <v/>
      </c>
      <c r="D1786" s="38">
        <f>IF(A1786="","",IFERROR(INDEX(Maniobras!$D$5:$D$504,MATCH(A1786,Maniobras!$A$5:$A$504,0)),""))</f>
        <v/>
      </c>
      <c r="E1786" s="38" t="n"/>
      <c r="F1786" s="39">
        <f>IF(A1786="","",IFERROR(INDEX(Maniobras!$K$5:$K$504,MATCH(A1786,Maniobras!$A$5:$A$504,0)),""))</f>
        <v/>
      </c>
      <c r="G1786" s="39" t="n"/>
      <c r="H1786" s="39" t="n"/>
      <c r="I1786" s="39">
        <f>IF(G1786="","",G1786+N(H1786))</f>
        <v/>
      </c>
      <c r="J1786" s="38" t="n"/>
      <c r="K1786" s="41" t="n"/>
      <c r="L1786" s="38" t="n"/>
      <c r="M1786">
        <f>IF($A1786=Ficha!$B$3,COUNTIF($A$5:$A1786,Ficha!$B$3),"")</f>
        <v/>
      </c>
    </row>
    <row r="1787">
      <c r="A1787" s="36" t="n"/>
      <c r="B1787" s="40">
        <f>IF(A1787="","",IFERROR(INDEX(Maniobras!$B$5:$B$504,MATCH(A1787,Maniobras!$A$5:$A$504,0)),""))</f>
        <v/>
      </c>
      <c r="C1787" s="36">
        <f>IF(B1787="","",TEXT(B1787,"yyyy-mm"))</f>
        <v/>
      </c>
      <c r="D1787" s="36">
        <f>IF(A1787="","",IFERROR(INDEX(Maniobras!$D$5:$D$504,MATCH(A1787,Maniobras!$A$5:$A$504,0)),""))</f>
        <v/>
      </c>
      <c r="E1787" s="36" t="n"/>
      <c r="F1787" s="37">
        <f>IF(A1787="","",IFERROR(INDEX(Maniobras!$K$5:$K$504,MATCH(A1787,Maniobras!$A$5:$A$504,0)),""))</f>
        <v/>
      </c>
      <c r="G1787" s="37" t="n"/>
      <c r="H1787" s="37" t="n"/>
      <c r="I1787" s="37">
        <f>IF(G1787="","",G1787+N(H1787))</f>
        <v/>
      </c>
      <c r="J1787" s="36" t="n"/>
      <c r="K1787" s="40" t="n"/>
      <c r="L1787" s="36" t="n"/>
      <c r="M1787">
        <f>IF($A1787=Ficha!$B$3,COUNTIF($A$5:$A1787,Ficha!$B$3),"")</f>
        <v/>
      </c>
    </row>
    <row r="1788">
      <c r="A1788" s="38" t="n"/>
      <c r="B1788" s="41">
        <f>IF(A1788="","",IFERROR(INDEX(Maniobras!$B$5:$B$504,MATCH(A1788,Maniobras!$A$5:$A$504,0)),""))</f>
        <v/>
      </c>
      <c r="C1788" s="38">
        <f>IF(B1788="","",TEXT(B1788,"yyyy-mm"))</f>
        <v/>
      </c>
      <c r="D1788" s="38">
        <f>IF(A1788="","",IFERROR(INDEX(Maniobras!$D$5:$D$504,MATCH(A1788,Maniobras!$A$5:$A$504,0)),""))</f>
        <v/>
      </c>
      <c r="E1788" s="38" t="n"/>
      <c r="F1788" s="39">
        <f>IF(A1788="","",IFERROR(INDEX(Maniobras!$K$5:$K$504,MATCH(A1788,Maniobras!$A$5:$A$504,0)),""))</f>
        <v/>
      </c>
      <c r="G1788" s="39" t="n"/>
      <c r="H1788" s="39" t="n"/>
      <c r="I1788" s="39">
        <f>IF(G1788="","",G1788+N(H1788))</f>
        <v/>
      </c>
      <c r="J1788" s="38" t="n"/>
      <c r="K1788" s="41" t="n"/>
      <c r="L1788" s="38" t="n"/>
      <c r="M1788">
        <f>IF($A1788=Ficha!$B$3,COUNTIF($A$5:$A1788,Ficha!$B$3),"")</f>
        <v/>
      </c>
    </row>
    <row r="1789">
      <c r="A1789" s="36" t="n"/>
      <c r="B1789" s="40">
        <f>IF(A1789="","",IFERROR(INDEX(Maniobras!$B$5:$B$504,MATCH(A1789,Maniobras!$A$5:$A$504,0)),""))</f>
        <v/>
      </c>
      <c r="C1789" s="36">
        <f>IF(B1789="","",TEXT(B1789,"yyyy-mm"))</f>
        <v/>
      </c>
      <c r="D1789" s="36">
        <f>IF(A1789="","",IFERROR(INDEX(Maniobras!$D$5:$D$504,MATCH(A1789,Maniobras!$A$5:$A$504,0)),""))</f>
        <v/>
      </c>
      <c r="E1789" s="36" t="n"/>
      <c r="F1789" s="37">
        <f>IF(A1789="","",IFERROR(INDEX(Maniobras!$K$5:$K$504,MATCH(A1789,Maniobras!$A$5:$A$504,0)),""))</f>
        <v/>
      </c>
      <c r="G1789" s="37" t="n"/>
      <c r="H1789" s="37" t="n"/>
      <c r="I1789" s="37">
        <f>IF(G1789="","",G1789+N(H1789))</f>
        <v/>
      </c>
      <c r="J1789" s="36" t="n"/>
      <c r="K1789" s="40" t="n"/>
      <c r="L1789" s="36" t="n"/>
      <c r="M1789">
        <f>IF($A1789=Ficha!$B$3,COUNTIF($A$5:$A1789,Ficha!$B$3),"")</f>
        <v/>
      </c>
    </row>
    <row r="1790">
      <c r="A1790" s="38" t="n"/>
      <c r="B1790" s="41">
        <f>IF(A1790="","",IFERROR(INDEX(Maniobras!$B$5:$B$504,MATCH(A1790,Maniobras!$A$5:$A$504,0)),""))</f>
        <v/>
      </c>
      <c r="C1790" s="38">
        <f>IF(B1790="","",TEXT(B1790,"yyyy-mm"))</f>
        <v/>
      </c>
      <c r="D1790" s="38">
        <f>IF(A1790="","",IFERROR(INDEX(Maniobras!$D$5:$D$504,MATCH(A1790,Maniobras!$A$5:$A$504,0)),""))</f>
        <v/>
      </c>
      <c r="E1790" s="38" t="n"/>
      <c r="F1790" s="39">
        <f>IF(A1790="","",IFERROR(INDEX(Maniobras!$K$5:$K$504,MATCH(A1790,Maniobras!$A$5:$A$504,0)),""))</f>
        <v/>
      </c>
      <c r="G1790" s="39" t="n"/>
      <c r="H1790" s="39" t="n"/>
      <c r="I1790" s="39">
        <f>IF(G1790="","",G1790+N(H1790))</f>
        <v/>
      </c>
      <c r="J1790" s="38" t="n"/>
      <c r="K1790" s="41" t="n"/>
      <c r="L1790" s="38" t="n"/>
      <c r="M1790">
        <f>IF($A1790=Ficha!$B$3,COUNTIF($A$5:$A1790,Ficha!$B$3),"")</f>
        <v/>
      </c>
    </row>
    <row r="1791">
      <c r="A1791" s="36" t="n"/>
      <c r="B1791" s="40">
        <f>IF(A1791="","",IFERROR(INDEX(Maniobras!$B$5:$B$504,MATCH(A1791,Maniobras!$A$5:$A$504,0)),""))</f>
        <v/>
      </c>
      <c r="C1791" s="36">
        <f>IF(B1791="","",TEXT(B1791,"yyyy-mm"))</f>
        <v/>
      </c>
      <c r="D1791" s="36">
        <f>IF(A1791="","",IFERROR(INDEX(Maniobras!$D$5:$D$504,MATCH(A1791,Maniobras!$A$5:$A$504,0)),""))</f>
        <v/>
      </c>
      <c r="E1791" s="36" t="n"/>
      <c r="F1791" s="37">
        <f>IF(A1791="","",IFERROR(INDEX(Maniobras!$K$5:$K$504,MATCH(A1791,Maniobras!$A$5:$A$504,0)),""))</f>
        <v/>
      </c>
      <c r="G1791" s="37" t="n"/>
      <c r="H1791" s="37" t="n"/>
      <c r="I1791" s="37">
        <f>IF(G1791="","",G1791+N(H1791))</f>
        <v/>
      </c>
      <c r="J1791" s="36" t="n"/>
      <c r="K1791" s="40" t="n"/>
      <c r="L1791" s="36" t="n"/>
      <c r="M1791">
        <f>IF($A1791=Ficha!$B$3,COUNTIF($A$5:$A1791,Ficha!$B$3),"")</f>
        <v/>
      </c>
    </row>
    <row r="1792">
      <c r="A1792" s="38" t="n"/>
      <c r="B1792" s="41">
        <f>IF(A1792="","",IFERROR(INDEX(Maniobras!$B$5:$B$504,MATCH(A1792,Maniobras!$A$5:$A$504,0)),""))</f>
        <v/>
      </c>
      <c r="C1792" s="38">
        <f>IF(B1792="","",TEXT(B1792,"yyyy-mm"))</f>
        <v/>
      </c>
      <c r="D1792" s="38">
        <f>IF(A1792="","",IFERROR(INDEX(Maniobras!$D$5:$D$504,MATCH(A1792,Maniobras!$A$5:$A$504,0)),""))</f>
        <v/>
      </c>
      <c r="E1792" s="38" t="n"/>
      <c r="F1792" s="39">
        <f>IF(A1792="","",IFERROR(INDEX(Maniobras!$K$5:$K$504,MATCH(A1792,Maniobras!$A$5:$A$504,0)),""))</f>
        <v/>
      </c>
      <c r="G1792" s="39" t="n"/>
      <c r="H1792" s="39" t="n"/>
      <c r="I1792" s="39">
        <f>IF(G1792="","",G1792+N(H1792))</f>
        <v/>
      </c>
      <c r="J1792" s="38" t="n"/>
      <c r="K1792" s="41" t="n"/>
      <c r="L1792" s="38" t="n"/>
      <c r="M1792">
        <f>IF($A1792=Ficha!$B$3,COUNTIF($A$5:$A1792,Ficha!$B$3),"")</f>
        <v/>
      </c>
    </row>
    <row r="1793">
      <c r="A1793" s="36" t="n"/>
      <c r="B1793" s="40">
        <f>IF(A1793="","",IFERROR(INDEX(Maniobras!$B$5:$B$504,MATCH(A1793,Maniobras!$A$5:$A$504,0)),""))</f>
        <v/>
      </c>
      <c r="C1793" s="36">
        <f>IF(B1793="","",TEXT(B1793,"yyyy-mm"))</f>
        <v/>
      </c>
      <c r="D1793" s="36">
        <f>IF(A1793="","",IFERROR(INDEX(Maniobras!$D$5:$D$504,MATCH(A1793,Maniobras!$A$5:$A$504,0)),""))</f>
        <v/>
      </c>
      <c r="E1793" s="36" t="n"/>
      <c r="F1793" s="37">
        <f>IF(A1793="","",IFERROR(INDEX(Maniobras!$K$5:$K$504,MATCH(A1793,Maniobras!$A$5:$A$504,0)),""))</f>
        <v/>
      </c>
      <c r="G1793" s="37" t="n"/>
      <c r="H1793" s="37" t="n"/>
      <c r="I1793" s="37">
        <f>IF(G1793="","",G1793+N(H1793))</f>
        <v/>
      </c>
      <c r="J1793" s="36" t="n"/>
      <c r="K1793" s="40" t="n"/>
      <c r="L1793" s="36" t="n"/>
      <c r="M1793">
        <f>IF($A1793=Ficha!$B$3,COUNTIF($A$5:$A1793,Ficha!$B$3),"")</f>
        <v/>
      </c>
    </row>
    <row r="1794">
      <c r="A1794" s="38" t="n"/>
      <c r="B1794" s="41">
        <f>IF(A1794="","",IFERROR(INDEX(Maniobras!$B$5:$B$504,MATCH(A1794,Maniobras!$A$5:$A$504,0)),""))</f>
        <v/>
      </c>
      <c r="C1794" s="38">
        <f>IF(B1794="","",TEXT(B1794,"yyyy-mm"))</f>
        <v/>
      </c>
      <c r="D1794" s="38">
        <f>IF(A1794="","",IFERROR(INDEX(Maniobras!$D$5:$D$504,MATCH(A1794,Maniobras!$A$5:$A$504,0)),""))</f>
        <v/>
      </c>
      <c r="E1794" s="38" t="n"/>
      <c r="F1794" s="39">
        <f>IF(A1794="","",IFERROR(INDEX(Maniobras!$K$5:$K$504,MATCH(A1794,Maniobras!$A$5:$A$504,0)),""))</f>
        <v/>
      </c>
      <c r="G1794" s="39" t="n"/>
      <c r="H1794" s="39" t="n"/>
      <c r="I1794" s="39">
        <f>IF(G1794="","",G1794+N(H1794))</f>
        <v/>
      </c>
      <c r="J1794" s="38" t="n"/>
      <c r="K1794" s="41" t="n"/>
      <c r="L1794" s="38" t="n"/>
      <c r="M1794">
        <f>IF($A1794=Ficha!$B$3,COUNTIF($A$5:$A1794,Ficha!$B$3),"")</f>
        <v/>
      </c>
    </row>
    <row r="1795">
      <c r="A1795" s="36" t="n"/>
      <c r="B1795" s="40">
        <f>IF(A1795="","",IFERROR(INDEX(Maniobras!$B$5:$B$504,MATCH(A1795,Maniobras!$A$5:$A$504,0)),""))</f>
        <v/>
      </c>
      <c r="C1795" s="36">
        <f>IF(B1795="","",TEXT(B1795,"yyyy-mm"))</f>
        <v/>
      </c>
      <c r="D1795" s="36">
        <f>IF(A1795="","",IFERROR(INDEX(Maniobras!$D$5:$D$504,MATCH(A1795,Maniobras!$A$5:$A$504,0)),""))</f>
        <v/>
      </c>
      <c r="E1795" s="36" t="n"/>
      <c r="F1795" s="37">
        <f>IF(A1795="","",IFERROR(INDEX(Maniobras!$K$5:$K$504,MATCH(A1795,Maniobras!$A$5:$A$504,0)),""))</f>
        <v/>
      </c>
      <c r="G1795" s="37" t="n"/>
      <c r="H1795" s="37" t="n"/>
      <c r="I1795" s="37">
        <f>IF(G1795="","",G1795+N(H1795))</f>
        <v/>
      </c>
      <c r="J1795" s="36" t="n"/>
      <c r="K1795" s="40" t="n"/>
      <c r="L1795" s="36" t="n"/>
      <c r="M1795">
        <f>IF($A1795=Ficha!$B$3,COUNTIF($A$5:$A1795,Ficha!$B$3),"")</f>
        <v/>
      </c>
    </row>
    <row r="1796">
      <c r="A1796" s="38" t="n"/>
      <c r="B1796" s="41">
        <f>IF(A1796="","",IFERROR(INDEX(Maniobras!$B$5:$B$504,MATCH(A1796,Maniobras!$A$5:$A$504,0)),""))</f>
        <v/>
      </c>
      <c r="C1796" s="38">
        <f>IF(B1796="","",TEXT(B1796,"yyyy-mm"))</f>
        <v/>
      </c>
      <c r="D1796" s="38">
        <f>IF(A1796="","",IFERROR(INDEX(Maniobras!$D$5:$D$504,MATCH(A1796,Maniobras!$A$5:$A$504,0)),""))</f>
        <v/>
      </c>
      <c r="E1796" s="38" t="n"/>
      <c r="F1796" s="39">
        <f>IF(A1796="","",IFERROR(INDEX(Maniobras!$K$5:$K$504,MATCH(A1796,Maniobras!$A$5:$A$504,0)),""))</f>
        <v/>
      </c>
      <c r="G1796" s="39" t="n"/>
      <c r="H1796" s="39" t="n"/>
      <c r="I1796" s="39">
        <f>IF(G1796="","",G1796+N(H1796))</f>
        <v/>
      </c>
      <c r="J1796" s="38" t="n"/>
      <c r="K1796" s="41" t="n"/>
      <c r="L1796" s="38" t="n"/>
      <c r="M1796">
        <f>IF($A1796=Ficha!$B$3,COUNTIF($A$5:$A1796,Ficha!$B$3),"")</f>
        <v/>
      </c>
    </row>
    <row r="1797">
      <c r="A1797" s="36" t="n"/>
      <c r="B1797" s="40">
        <f>IF(A1797="","",IFERROR(INDEX(Maniobras!$B$5:$B$504,MATCH(A1797,Maniobras!$A$5:$A$504,0)),""))</f>
        <v/>
      </c>
      <c r="C1797" s="36">
        <f>IF(B1797="","",TEXT(B1797,"yyyy-mm"))</f>
        <v/>
      </c>
      <c r="D1797" s="36">
        <f>IF(A1797="","",IFERROR(INDEX(Maniobras!$D$5:$D$504,MATCH(A1797,Maniobras!$A$5:$A$504,0)),""))</f>
        <v/>
      </c>
      <c r="E1797" s="36" t="n"/>
      <c r="F1797" s="37">
        <f>IF(A1797="","",IFERROR(INDEX(Maniobras!$K$5:$K$504,MATCH(A1797,Maniobras!$A$5:$A$504,0)),""))</f>
        <v/>
      </c>
      <c r="G1797" s="37" t="n"/>
      <c r="H1797" s="37" t="n"/>
      <c r="I1797" s="37">
        <f>IF(G1797="","",G1797+N(H1797))</f>
        <v/>
      </c>
      <c r="J1797" s="36" t="n"/>
      <c r="K1797" s="40" t="n"/>
      <c r="L1797" s="36" t="n"/>
      <c r="M1797">
        <f>IF($A1797=Ficha!$B$3,COUNTIF($A$5:$A1797,Ficha!$B$3),"")</f>
        <v/>
      </c>
    </row>
    <row r="1798">
      <c r="A1798" s="38" t="n"/>
      <c r="B1798" s="41">
        <f>IF(A1798="","",IFERROR(INDEX(Maniobras!$B$5:$B$504,MATCH(A1798,Maniobras!$A$5:$A$504,0)),""))</f>
        <v/>
      </c>
      <c r="C1798" s="38">
        <f>IF(B1798="","",TEXT(B1798,"yyyy-mm"))</f>
        <v/>
      </c>
      <c r="D1798" s="38">
        <f>IF(A1798="","",IFERROR(INDEX(Maniobras!$D$5:$D$504,MATCH(A1798,Maniobras!$A$5:$A$504,0)),""))</f>
        <v/>
      </c>
      <c r="E1798" s="38" t="n"/>
      <c r="F1798" s="39">
        <f>IF(A1798="","",IFERROR(INDEX(Maniobras!$K$5:$K$504,MATCH(A1798,Maniobras!$A$5:$A$504,0)),""))</f>
        <v/>
      </c>
      <c r="G1798" s="39" t="n"/>
      <c r="H1798" s="39" t="n"/>
      <c r="I1798" s="39">
        <f>IF(G1798="","",G1798+N(H1798))</f>
        <v/>
      </c>
      <c r="J1798" s="38" t="n"/>
      <c r="K1798" s="41" t="n"/>
      <c r="L1798" s="38" t="n"/>
      <c r="M1798">
        <f>IF($A1798=Ficha!$B$3,COUNTIF($A$5:$A1798,Ficha!$B$3),"")</f>
        <v/>
      </c>
    </row>
    <row r="1799">
      <c r="A1799" s="36" t="n"/>
      <c r="B1799" s="40">
        <f>IF(A1799="","",IFERROR(INDEX(Maniobras!$B$5:$B$504,MATCH(A1799,Maniobras!$A$5:$A$504,0)),""))</f>
        <v/>
      </c>
      <c r="C1799" s="36">
        <f>IF(B1799="","",TEXT(B1799,"yyyy-mm"))</f>
        <v/>
      </c>
      <c r="D1799" s="36">
        <f>IF(A1799="","",IFERROR(INDEX(Maniobras!$D$5:$D$504,MATCH(A1799,Maniobras!$A$5:$A$504,0)),""))</f>
        <v/>
      </c>
      <c r="E1799" s="36" t="n"/>
      <c r="F1799" s="37">
        <f>IF(A1799="","",IFERROR(INDEX(Maniobras!$K$5:$K$504,MATCH(A1799,Maniobras!$A$5:$A$504,0)),""))</f>
        <v/>
      </c>
      <c r="G1799" s="37" t="n"/>
      <c r="H1799" s="37" t="n"/>
      <c r="I1799" s="37">
        <f>IF(G1799="","",G1799+N(H1799))</f>
        <v/>
      </c>
      <c r="J1799" s="36" t="n"/>
      <c r="K1799" s="40" t="n"/>
      <c r="L1799" s="36" t="n"/>
      <c r="M1799">
        <f>IF($A1799=Ficha!$B$3,COUNTIF($A$5:$A1799,Ficha!$B$3),"")</f>
        <v/>
      </c>
    </row>
    <row r="1800">
      <c r="A1800" s="38" t="n"/>
      <c r="B1800" s="41">
        <f>IF(A1800="","",IFERROR(INDEX(Maniobras!$B$5:$B$504,MATCH(A1800,Maniobras!$A$5:$A$504,0)),""))</f>
        <v/>
      </c>
      <c r="C1800" s="38">
        <f>IF(B1800="","",TEXT(B1800,"yyyy-mm"))</f>
        <v/>
      </c>
      <c r="D1800" s="38">
        <f>IF(A1800="","",IFERROR(INDEX(Maniobras!$D$5:$D$504,MATCH(A1800,Maniobras!$A$5:$A$504,0)),""))</f>
        <v/>
      </c>
      <c r="E1800" s="38" t="n"/>
      <c r="F1800" s="39">
        <f>IF(A1800="","",IFERROR(INDEX(Maniobras!$K$5:$K$504,MATCH(A1800,Maniobras!$A$5:$A$504,0)),""))</f>
        <v/>
      </c>
      <c r="G1800" s="39" t="n"/>
      <c r="H1800" s="39" t="n"/>
      <c r="I1800" s="39">
        <f>IF(G1800="","",G1800+N(H1800))</f>
        <v/>
      </c>
      <c r="J1800" s="38" t="n"/>
      <c r="K1800" s="41" t="n"/>
      <c r="L1800" s="38" t="n"/>
      <c r="M1800">
        <f>IF($A1800=Ficha!$B$3,COUNTIF($A$5:$A1800,Ficha!$B$3),"")</f>
        <v/>
      </c>
    </row>
    <row r="1801">
      <c r="A1801" s="36" t="n"/>
      <c r="B1801" s="40">
        <f>IF(A1801="","",IFERROR(INDEX(Maniobras!$B$5:$B$504,MATCH(A1801,Maniobras!$A$5:$A$504,0)),""))</f>
        <v/>
      </c>
      <c r="C1801" s="36">
        <f>IF(B1801="","",TEXT(B1801,"yyyy-mm"))</f>
        <v/>
      </c>
      <c r="D1801" s="36">
        <f>IF(A1801="","",IFERROR(INDEX(Maniobras!$D$5:$D$504,MATCH(A1801,Maniobras!$A$5:$A$504,0)),""))</f>
        <v/>
      </c>
      <c r="E1801" s="36" t="n"/>
      <c r="F1801" s="37">
        <f>IF(A1801="","",IFERROR(INDEX(Maniobras!$K$5:$K$504,MATCH(A1801,Maniobras!$A$5:$A$504,0)),""))</f>
        <v/>
      </c>
      <c r="G1801" s="37" t="n"/>
      <c r="H1801" s="37" t="n"/>
      <c r="I1801" s="37">
        <f>IF(G1801="","",G1801+N(H1801))</f>
        <v/>
      </c>
      <c r="J1801" s="36" t="n"/>
      <c r="K1801" s="40" t="n"/>
      <c r="L1801" s="36" t="n"/>
      <c r="M1801">
        <f>IF($A1801=Ficha!$B$3,COUNTIF($A$5:$A1801,Ficha!$B$3),"")</f>
        <v/>
      </c>
    </row>
    <row r="1802">
      <c r="A1802" s="38" t="n"/>
      <c r="B1802" s="41">
        <f>IF(A1802="","",IFERROR(INDEX(Maniobras!$B$5:$B$504,MATCH(A1802,Maniobras!$A$5:$A$504,0)),""))</f>
        <v/>
      </c>
      <c r="C1802" s="38">
        <f>IF(B1802="","",TEXT(B1802,"yyyy-mm"))</f>
        <v/>
      </c>
      <c r="D1802" s="38">
        <f>IF(A1802="","",IFERROR(INDEX(Maniobras!$D$5:$D$504,MATCH(A1802,Maniobras!$A$5:$A$504,0)),""))</f>
        <v/>
      </c>
      <c r="E1802" s="38" t="n"/>
      <c r="F1802" s="39">
        <f>IF(A1802="","",IFERROR(INDEX(Maniobras!$K$5:$K$504,MATCH(A1802,Maniobras!$A$5:$A$504,0)),""))</f>
        <v/>
      </c>
      <c r="G1802" s="39" t="n"/>
      <c r="H1802" s="39" t="n"/>
      <c r="I1802" s="39">
        <f>IF(G1802="","",G1802+N(H1802))</f>
        <v/>
      </c>
      <c r="J1802" s="38" t="n"/>
      <c r="K1802" s="41" t="n"/>
      <c r="L1802" s="38" t="n"/>
      <c r="M1802">
        <f>IF($A1802=Ficha!$B$3,COUNTIF($A$5:$A1802,Ficha!$B$3),"")</f>
        <v/>
      </c>
    </row>
    <row r="1803">
      <c r="A1803" s="36" t="n"/>
      <c r="B1803" s="40">
        <f>IF(A1803="","",IFERROR(INDEX(Maniobras!$B$5:$B$504,MATCH(A1803,Maniobras!$A$5:$A$504,0)),""))</f>
        <v/>
      </c>
      <c r="C1803" s="36">
        <f>IF(B1803="","",TEXT(B1803,"yyyy-mm"))</f>
        <v/>
      </c>
      <c r="D1803" s="36">
        <f>IF(A1803="","",IFERROR(INDEX(Maniobras!$D$5:$D$504,MATCH(A1803,Maniobras!$A$5:$A$504,0)),""))</f>
        <v/>
      </c>
      <c r="E1803" s="36" t="n"/>
      <c r="F1803" s="37">
        <f>IF(A1803="","",IFERROR(INDEX(Maniobras!$K$5:$K$504,MATCH(A1803,Maniobras!$A$5:$A$504,0)),""))</f>
        <v/>
      </c>
      <c r="G1803" s="37" t="n"/>
      <c r="H1803" s="37" t="n"/>
      <c r="I1803" s="37">
        <f>IF(G1803="","",G1803+N(H1803))</f>
        <v/>
      </c>
      <c r="J1803" s="36" t="n"/>
      <c r="K1803" s="40" t="n"/>
      <c r="L1803" s="36" t="n"/>
      <c r="M1803">
        <f>IF($A1803=Ficha!$B$3,COUNTIF($A$5:$A1803,Ficha!$B$3),"")</f>
        <v/>
      </c>
    </row>
    <row r="1804">
      <c r="A1804" s="38" t="n"/>
      <c r="B1804" s="41">
        <f>IF(A1804="","",IFERROR(INDEX(Maniobras!$B$5:$B$504,MATCH(A1804,Maniobras!$A$5:$A$504,0)),""))</f>
        <v/>
      </c>
      <c r="C1804" s="38">
        <f>IF(B1804="","",TEXT(B1804,"yyyy-mm"))</f>
        <v/>
      </c>
      <c r="D1804" s="38">
        <f>IF(A1804="","",IFERROR(INDEX(Maniobras!$D$5:$D$504,MATCH(A1804,Maniobras!$A$5:$A$504,0)),""))</f>
        <v/>
      </c>
      <c r="E1804" s="38" t="n"/>
      <c r="F1804" s="39">
        <f>IF(A1804="","",IFERROR(INDEX(Maniobras!$K$5:$K$504,MATCH(A1804,Maniobras!$A$5:$A$504,0)),""))</f>
        <v/>
      </c>
      <c r="G1804" s="39" t="n"/>
      <c r="H1804" s="39" t="n"/>
      <c r="I1804" s="39">
        <f>IF(G1804="","",G1804+N(H1804))</f>
        <v/>
      </c>
      <c r="J1804" s="38" t="n"/>
      <c r="K1804" s="41" t="n"/>
      <c r="L1804" s="38" t="n"/>
      <c r="M1804">
        <f>IF($A1804=Ficha!$B$3,COUNTIF($A$5:$A1804,Ficha!$B$3),"")</f>
        <v/>
      </c>
    </row>
    <row r="1805">
      <c r="A1805" s="36" t="n"/>
      <c r="B1805" s="40">
        <f>IF(A1805="","",IFERROR(INDEX(Maniobras!$B$5:$B$504,MATCH(A1805,Maniobras!$A$5:$A$504,0)),""))</f>
        <v/>
      </c>
      <c r="C1805" s="36">
        <f>IF(B1805="","",TEXT(B1805,"yyyy-mm"))</f>
        <v/>
      </c>
      <c r="D1805" s="36">
        <f>IF(A1805="","",IFERROR(INDEX(Maniobras!$D$5:$D$504,MATCH(A1805,Maniobras!$A$5:$A$504,0)),""))</f>
        <v/>
      </c>
      <c r="E1805" s="36" t="n"/>
      <c r="F1805" s="37">
        <f>IF(A1805="","",IFERROR(INDEX(Maniobras!$K$5:$K$504,MATCH(A1805,Maniobras!$A$5:$A$504,0)),""))</f>
        <v/>
      </c>
      <c r="G1805" s="37" t="n"/>
      <c r="H1805" s="37" t="n"/>
      <c r="I1805" s="37">
        <f>IF(G1805="","",G1805+N(H1805))</f>
        <v/>
      </c>
      <c r="J1805" s="36" t="n"/>
      <c r="K1805" s="40" t="n"/>
      <c r="L1805" s="36" t="n"/>
      <c r="M1805">
        <f>IF($A1805=Ficha!$B$3,COUNTIF($A$5:$A1805,Ficha!$B$3),"")</f>
        <v/>
      </c>
    </row>
    <row r="1806">
      <c r="A1806" s="38" t="n"/>
      <c r="B1806" s="41">
        <f>IF(A1806="","",IFERROR(INDEX(Maniobras!$B$5:$B$504,MATCH(A1806,Maniobras!$A$5:$A$504,0)),""))</f>
        <v/>
      </c>
      <c r="C1806" s="38">
        <f>IF(B1806="","",TEXT(B1806,"yyyy-mm"))</f>
        <v/>
      </c>
      <c r="D1806" s="38">
        <f>IF(A1806="","",IFERROR(INDEX(Maniobras!$D$5:$D$504,MATCH(A1806,Maniobras!$A$5:$A$504,0)),""))</f>
        <v/>
      </c>
      <c r="E1806" s="38" t="n"/>
      <c r="F1806" s="39">
        <f>IF(A1806="","",IFERROR(INDEX(Maniobras!$K$5:$K$504,MATCH(A1806,Maniobras!$A$5:$A$504,0)),""))</f>
        <v/>
      </c>
      <c r="G1806" s="39" t="n"/>
      <c r="H1806" s="39" t="n"/>
      <c r="I1806" s="39">
        <f>IF(G1806="","",G1806+N(H1806))</f>
        <v/>
      </c>
      <c r="J1806" s="38" t="n"/>
      <c r="K1806" s="41" t="n"/>
      <c r="L1806" s="38" t="n"/>
      <c r="M1806">
        <f>IF($A1806=Ficha!$B$3,COUNTIF($A$5:$A1806,Ficha!$B$3),"")</f>
        <v/>
      </c>
    </row>
    <row r="1807">
      <c r="A1807" s="36" t="n"/>
      <c r="B1807" s="40">
        <f>IF(A1807="","",IFERROR(INDEX(Maniobras!$B$5:$B$504,MATCH(A1807,Maniobras!$A$5:$A$504,0)),""))</f>
        <v/>
      </c>
      <c r="C1807" s="36">
        <f>IF(B1807="","",TEXT(B1807,"yyyy-mm"))</f>
        <v/>
      </c>
      <c r="D1807" s="36">
        <f>IF(A1807="","",IFERROR(INDEX(Maniobras!$D$5:$D$504,MATCH(A1807,Maniobras!$A$5:$A$504,0)),""))</f>
        <v/>
      </c>
      <c r="E1807" s="36" t="n"/>
      <c r="F1807" s="37">
        <f>IF(A1807="","",IFERROR(INDEX(Maniobras!$K$5:$K$504,MATCH(A1807,Maniobras!$A$5:$A$504,0)),""))</f>
        <v/>
      </c>
      <c r="G1807" s="37" t="n"/>
      <c r="H1807" s="37" t="n"/>
      <c r="I1807" s="37">
        <f>IF(G1807="","",G1807+N(H1807))</f>
        <v/>
      </c>
      <c r="J1807" s="36" t="n"/>
      <c r="K1807" s="40" t="n"/>
      <c r="L1807" s="36" t="n"/>
      <c r="M1807">
        <f>IF($A1807=Ficha!$B$3,COUNTIF($A$5:$A1807,Ficha!$B$3),"")</f>
        <v/>
      </c>
    </row>
    <row r="1808">
      <c r="A1808" s="38" t="n"/>
      <c r="B1808" s="41">
        <f>IF(A1808="","",IFERROR(INDEX(Maniobras!$B$5:$B$504,MATCH(A1808,Maniobras!$A$5:$A$504,0)),""))</f>
        <v/>
      </c>
      <c r="C1808" s="38">
        <f>IF(B1808="","",TEXT(B1808,"yyyy-mm"))</f>
        <v/>
      </c>
      <c r="D1808" s="38">
        <f>IF(A1808="","",IFERROR(INDEX(Maniobras!$D$5:$D$504,MATCH(A1808,Maniobras!$A$5:$A$504,0)),""))</f>
        <v/>
      </c>
      <c r="E1808" s="38" t="n"/>
      <c r="F1808" s="39">
        <f>IF(A1808="","",IFERROR(INDEX(Maniobras!$K$5:$K$504,MATCH(A1808,Maniobras!$A$5:$A$504,0)),""))</f>
        <v/>
      </c>
      <c r="G1808" s="39" t="n"/>
      <c r="H1808" s="39" t="n"/>
      <c r="I1808" s="39">
        <f>IF(G1808="","",G1808+N(H1808))</f>
        <v/>
      </c>
      <c r="J1808" s="38" t="n"/>
      <c r="K1808" s="41" t="n"/>
      <c r="L1808" s="38" t="n"/>
      <c r="M1808">
        <f>IF($A1808=Ficha!$B$3,COUNTIF($A$5:$A1808,Ficha!$B$3),"")</f>
        <v/>
      </c>
    </row>
    <row r="1809">
      <c r="A1809" s="36" t="n"/>
      <c r="B1809" s="40">
        <f>IF(A1809="","",IFERROR(INDEX(Maniobras!$B$5:$B$504,MATCH(A1809,Maniobras!$A$5:$A$504,0)),""))</f>
        <v/>
      </c>
      <c r="C1809" s="36">
        <f>IF(B1809="","",TEXT(B1809,"yyyy-mm"))</f>
        <v/>
      </c>
      <c r="D1809" s="36">
        <f>IF(A1809="","",IFERROR(INDEX(Maniobras!$D$5:$D$504,MATCH(A1809,Maniobras!$A$5:$A$504,0)),""))</f>
        <v/>
      </c>
      <c r="E1809" s="36" t="n"/>
      <c r="F1809" s="37">
        <f>IF(A1809="","",IFERROR(INDEX(Maniobras!$K$5:$K$504,MATCH(A1809,Maniobras!$A$5:$A$504,0)),""))</f>
        <v/>
      </c>
      <c r="G1809" s="37" t="n"/>
      <c r="H1809" s="37" t="n"/>
      <c r="I1809" s="37">
        <f>IF(G1809="","",G1809+N(H1809))</f>
        <v/>
      </c>
      <c r="J1809" s="36" t="n"/>
      <c r="K1809" s="40" t="n"/>
      <c r="L1809" s="36" t="n"/>
      <c r="M1809">
        <f>IF($A1809=Ficha!$B$3,COUNTIF($A$5:$A1809,Ficha!$B$3),"")</f>
        <v/>
      </c>
    </row>
    <row r="1810">
      <c r="A1810" s="38" t="n"/>
      <c r="B1810" s="41">
        <f>IF(A1810="","",IFERROR(INDEX(Maniobras!$B$5:$B$504,MATCH(A1810,Maniobras!$A$5:$A$504,0)),""))</f>
        <v/>
      </c>
      <c r="C1810" s="38">
        <f>IF(B1810="","",TEXT(B1810,"yyyy-mm"))</f>
        <v/>
      </c>
      <c r="D1810" s="38">
        <f>IF(A1810="","",IFERROR(INDEX(Maniobras!$D$5:$D$504,MATCH(A1810,Maniobras!$A$5:$A$504,0)),""))</f>
        <v/>
      </c>
      <c r="E1810" s="38" t="n"/>
      <c r="F1810" s="39">
        <f>IF(A1810="","",IFERROR(INDEX(Maniobras!$K$5:$K$504,MATCH(A1810,Maniobras!$A$5:$A$504,0)),""))</f>
        <v/>
      </c>
      <c r="G1810" s="39" t="n"/>
      <c r="H1810" s="39" t="n"/>
      <c r="I1810" s="39">
        <f>IF(G1810="","",G1810+N(H1810))</f>
        <v/>
      </c>
      <c r="J1810" s="38" t="n"/>
      <c r="K1810" s="41" t="n"/>
      <c r="L1810" s="38" t="n"/>
      <c r="M1810">
        <f>IF($A1810=Ficha!$B$3,COUNTIF($A$5:$A1810,Ficha!$B$3),"")</f>
        <v/>
      </c>
    </row>
    <row r="1811">
      <c r="A1811" s="36" t="n"/>
      <c r="B1811" s="40">
        <f>IF(A1811="","",IFERROR(INDEX(Maniobras!$B$5:$B$504,MATCH(A1811,Maniobras!$A$5:$A$504,0)),""))</f>
        <v/>
      </c>
      <c r="C1811" s="36">
        <f>IF(B1811="","",TEXT(B1811,"yyyy-mm"))</f>
        <v/>
      </c>
      <c r="D1811" s="36">
        <f>IF(A1811="","",IFERROR(INDEX(Maniobras!$D$5:$D$504,MATCH(A1811,Maniobras!$A$5:$A$504,0)),""))</f>
        <v/>
      </c>
      <c r="E1811" s="36" t="n"/>
      <c r="F1811" s="37">
        <f>IF(A1811="","",IFERROR(INDEX(Maniobras!$K$5:$K$504,MATCH(A1811,Maniobras!$A$5:$A$504,0)),""))</f>
        <v/>
      </c>
      <c r="G1811" s="37" t="n"/>
      <c r="H1811" s="37" t="n"/>
      <c r="I1811" s="37">
        <f>IF(G1811="","",G1811+N(H1811))</f>
        <v/>
      </c>
      <c r="J1811" s="36" t="n"/>
      <c r="K1811" s="40" t="n"/>
      <c r="L1811" s="36" t="n"/>
      <c r="M1811">
        <f>IF($A1811=Ficha!$B$3,COUNTIF($A$5:$A1811,Ficha!$B$3),"")</f>
        <v/>
      </c>
    </row>
    <row r="1812">
      <c r="A1812" s="38" t="n"/>
      <c r="B1812" s="41">
        <f>IF(A1812="","",IFERROR(INDEX(Maniobras!$B$5:$B$504,MATCH(A1812,Maniobras!$A$5:$A$504,0)),""))</f>
        <v/>
      </c>
      <c r="C1812" s="38">
        <f>IF(B1812="","",TEXT(B1812,"yyyy-mm"))</f>
        <v/>
      </c>
      <c r="D1812" s="38">
        <f>IF(A1812="","",IFERROR(INDEX(Maniobras!$D$5:$D$504,MATCH(A1812,Maniobras!$A$5:$A$504,0)),""))</f>
        <v/>
      </c>
      <c r="E1812" s="38" t="n"/>
      <c r="F1812" s="39">
        <f>IF(A1812="","",IFERROR(INDEX(Maniobras!$K$5:$K$504,MATCH(A1812,Maniobras!$A$5:$A$504,0)),""))</f>
        <v/>
      </c>
      <c r="G1812" s="39" t="n"/>
      <c r="H1812" s="39" t="n"/>
      <c r="I1812" s="39">
        <f>IF(G1812="","",G1812+N(H1812))</f>
        <v/>
      </c>
      <c r="J1812" s="38" t="n"/>
      <c r="K1812" s="41" t="n"/>
      <c r="L1812" s="38" t="n"/>
      <c r="M1812">
        <f>IF($A1812=Ficha!$B$3,COUNTIF($A$5:$A1812,Ficha!$B$3),"")</f>
        <v/>
      </c>
    </row>
    <row r="1813">
      <c r="A1813" s="36" t="n"/>
      <c r="B1813" s="40">
        <f>IF(A1813="","",IFERROR(INDEX(Maniobras!$B$5:$B$504,MATCH(A1813,Maniobras!$A$5:$A$504,0)),""))</f>
        <v/>
      </c>
      <c r="C1813" s="36">
        <f>IF(B1813="","",TEXT(B1813,"yyyy-mm"))</f>
        <v/>
      </c>
      <c r="D1813" s="36">
        <f>IF(A1813="","",IFERROR(INDEX(Maniobras!$D$5:$D$504,MATCH(A1813,Maniobras!$A$5:$A$504,0)),""))</f>
        <v/>
      </c>
      <c r="E1813" s="36" t="n"/>
      <c r="F1813" s="37">
        <f>IF(A1813="","",IFERROR(INDEX(Maniobras!$K$5:$K$504,MATCH(A1813,Maniobras!$A$5:$A$504,0)),""))</f>
        <v/>
      </c>
      <c r="G1813" s="37" t="n"/>
      <c r="H1813" s="37" t="n"/>
      <c r="I1813" s="37">
        <f>IF(G1813="","",G1813+N(H1813))</f>
        <v/>
      </c>
      <c r="J1813" s="36" t="n"/>
      <c r="K1813" s="40" t="n"/>
      <c r="L1813" s="36" t="n"/>
      <c r="M1813">
        <f>IF($A1813=Ficha!$B$3,COUNTIF($A$5:$A1813,Ficha!$B$3),"")</f>
        <v/>
      </c>
    </row>
    <row r="1814">
      <c r="A1814" s="38" t="n"/>
      <c r="B1814" s="41">
        <f>IF(A1814="","",IFERROR(INDEX(Maniobras!$B$5:$B$504,MATCH(A1814,Maniobras!$A$5:$A$504,0)),""))</f>
        <v/>
      </c>
      <c r="C1814" s="38">
        <f>IF(B1814="","",TEXT(B1814,"yyyy-mm"))</f>
        <v/>
      </c>
      <c r="D1814" s="38">
        <f>IF(A1814="","",IFERROR(INDEX(Maniobras!$D$5:$D$504,MATCH(A1814,Maniobras!$A$5:$A$504,0)),""))</f>
        <v/>
      </c>
      <c r="E1814" s="38" t="n"/>
      <c r="F1814" s="39">
        <f>IF(A1814="","",IFERROR(INDEX(Maniobras!$K$5:$K$504,MATCH(A1814,Maniobras!$A$5:$A$504,0)),""))</f>
        <v/>
      </c>
      <c r="G1814" s="39" t="n"/>
      <c r="H1814" s="39" t="n"/>
      <c r="I1814" s="39">
        <f>IF(G1814="","",G1814+N(H1814))</f>
        <v/>
      </c>
      <c r="J1814" s="38" t="n"/>
      <c r="K1814" s="41" t="n"/>
      <c r="L1814" s="38" t="n"/>
      <c r="M1814">
        <f>IF($A1814=Ficha!$B$3,COUNTIF($A$5:$A1814,Ficha!$B$3),"")</f>
        <v/>
      </c>
    </row>
    <row r="1815">
      <c r="A1815" s="36" t="n"/>
      <c r="B1815" s="40">
        <f>IF(A1815="","",IFERROR(INDEX(Maniobras!$B$5:$B$504,MATCH(A1815,Maniobras!$A$5:$A$504,0)),""))</f>
        <v/>
      </c>
      <c r="C1815" s="36">
        <f>IF(B1815="","",TEXT(B1815,"yyyy-mm"))</f>
        <v/>
      </c>
      <c r="D1815" s="36">
        <f>IF(A1815="","",IFERROR(INDEX(Maniobras!$D$5:$D$504,MATCH(A1815,Maniobras!$A$5:$A$504,0)),""))</f>
        <v/>
      </c>
      <c r="E1815" s="36" t="n"/>
      <c r="F1815" s="37">
        <f>IF(A1815="","",IFERROR(INDEX(Maniobras!$K$5:$K$504,MATCH(A1815,Maniobras!$A$5:$A$504,0)),""))</f>
        <v/>
      </c>
      <c r="G1815" s="37" t="n"/>
      <c r="H1815" s="37" t="n"/>
      <c r="I1815" s="37">
        <f>IF(G1815="","",G1815+N(H1815))</f>
        <v/>
      </c>
      <c r="J1815" s="36" t="n"/>
      <c r="K1815" s="40" t="n"/>
      <c r="L1815" s="36" t="n"/>
      <c r="M1815">
        <f>IF($A1815=Ficha!$B$3,COUNTIF($A$5:$A1815,Ficha!$B$3),"")</f>
        <v/>
      </c>
    </row>
    <row r="1816">
      <c r="A1816" s="38" t="n"/>
      <c r="B1816" s="41">
        <f>IF(A1816="","",IFERROR(INDEX(Maniobras!$B$5:$B$504,MATCH(A1816,Maniobras!$A$5:$A$504,0)),""))</f>
        <v/>
      </c>
      <c r="C1816" s="38">
        <f>IF(B1816="","",TEXT(B1816,"yyyy-mm"))</f>
        <v/>
      </c>
      <c r="D1816" s="38">
        <f>IF(A1816="","",IFERROR(INDEX(Maniobras!$D$5:$D$504,MATCH(A1816,Maniobras!$A$5:$A$504,0)),""))</f>
        <v/>
      </c>
      <c r="E1816" s="38" t="n"/>
      <c r="F1816" s="39">
        <f>IF(A1816="","",IFERROR(INDEX(Maniobras!$K$5:$K$504,MATCH(A1816,Maniobras!$A$5:$A$504,0)),""))</f>
        <v/>
      </c>
      <c r="G1816" s="39" t="n"/>
      <c r="H1816" s="39" t="n"/>
      <c r="I1816" s="39">
        <f>IF(G1816="","",G1816+N(H1816))</f>
        <v/>
      </c>
      <c r="J1816" s="38" t="n"/>
      <c r="K1816" s="41" t="n"/>
      <c r="L1816" s="38" t="n"/>
      <c r="M1816">
        <f>IF($A1816=Ficha!$B$3,COUNTIF($A$5:$A1816,Ficha!$B$3),"")</f>
        <v/>
      </c>
    </row>
    <row r="1817">
      <c r="A1817" s="36" t="n"/>
      <c r="B1817" s="40">
        <f>IF(A1817="","",IFERROR(INDEX(Maniobras!$B$5:$B$504,MATCH(A1817,Maniobras!$A$5:$A$504,0)),""))</f>
        <v/>
      </c>
      <c r="C1817" s="36">
        <f>IF(B1817="","",TEXT(B1817,"yyyy-mm"))</f>
        <v/>
      </c>
      <c r="D1817" s="36">
        <f>IF(A1817="","",IFERROR(INDEX(Maniobras!$D$5:$D$504,MATCH(A1817,Maniobras!$A$5:$A$504,0)),""))</f>
        <v/>
      </c>
      <c r="E1817" s="36" t="n"/>
      <c r="F1817" s="37">
        <f>IF(A1817="","",IFERROR(INDEX(Maniobras!$K$5:$K$504,MATCH(A1817,Maniobras!$A$5:$A$504,0)),""))</f>
        <v/>
      </c>
      <c r="G1817" s="37" t="n"/>
      <c r="H1817" s="37" t="n"/>
      <c r="I1817" s="37">
        <f>IF(G1817="","",G1817+N(H1817))</f>
        <v/>
      </c>
      <c r="J1817" s="36" t="n"/>
      <c r="K1817" s="40" t="n"/>
      <c r="L1817" s="36" t="n"/>
      <c r="M1817">
        <f>IF($A1817=Ficha!$B$3,COUNTIF($A$5:$A1817,Ficha!$B$3),"")</f>
        <v/>
      </c>
    </row>
    <row r="1818">
      <c r="A1818" s="38" t="n"/>
      <c r="B1818" s="41">
        <f>IF(A1818="","",IFERROR(INDEX(Maniobras!$B$5:$B$504,MATCH(A1818,Maniobras!$A$5:$A$504,0)),""))</f>
        <v/>
      </c>
      <c r="C1818" s="38">
        <f>IF(B1818="","",TEXT(B1818,"yyyy-mm"))</f>
        <v/>
      </c>
      <c r="D1818" s="38">
        <f>IF(A1818="","",IFERROR(INDEX(Maniobras!$D$5:$D$504,MATCH(A1818,Maniobras!$A$5:$A$504,0)),""))</f>
        <v/>
      </c>
      <c r="E1818" s="38" t="n"/>
      <c r="F1818" s="39">
        <f>IF(A1818="","",IFERROR(INDEX(Maniobras!$K$5:$K$504,MATCH(A1818,Maniobras!$A$5:$A$504,0)),""))</f>
        <v/>
      </c>
      <c r="G1818" s="39" t="n"/>
      <c r="H1818" s="39" t="n"/>
      <c r="I1818" s="39">
        <f>IF(G1818="","",G1818+N(H1818))</f>
        <v/>
      </c>
      <c r="J1818" s="38" t="n"/>
      <c r="K1818" s="41" t="n"/>
      <c r="L1818" s="38" t="n"/>
      <c r="M1818">
        <f>IF($A1818=Ficha!$B$3,COUNTIF($A$5:$A1818,Ficha!$B$3),"")</f>
        <v/>
      </c>
    </row>
    <row r="1819">
      <c r="A1819" s="36" t="n"/>
      <c r="B1819" s="40">
        <f>IF(A1819="","",IFERROR(INDEX(Maniobras!$B$5:$B$504,MATCH(A1819,Maniobras!$A$5:$A$504,0)),""))</f>
        <v/>
      </c>
      <c r="C1819" s="36">
        <f>IF(B1819="","",TEXT(B1819,"yyyy-mm"))</f>
        <v/>
      </c>
      <c r="D1819" s="36">
        <f>IF(A1819="","",IFERROR(INDEX(Maniobras!$D$5:$D$504,MATCH(A1819,Maniobras!$A$5:$A$504,0)),""))</f>
        <v/>
      </c>
      <c r="E1819" s="36" t="n"/>
      <c r="F1819" s="37">
        <f>IF(A1819="","",IFERROR(INDEX(Maniobras!$K$5:$K$504,MATCH(A1819,Maniobras!$A$5:$A$504,0)),""))</f>
        <v/>
      </c>
      <c r="G1819" s="37" t="n"/>
      <c r="H1819" s="37" t="n"/>
      <c r="I1819" s="37">
        <f>IF(G1819="","",G1819+N(H1819))</f>
        <v/>
      </c>
      <c r="J1819" s="36" t="n"/>
      <c r="K1819" s="40" t="n"/>
      <c r="L1819" s="36" t="n"/>
      <c r="M1819">
        <f>IF($A1819=Ficha!$B$3,COUNTIF($A$5:$A1819,Ficha!$B$3),"")</f>
        <v/>
      </c>
    </row>
    <row r="1820">
      <c r="A1820" s="38" t="n"/>
      <c r="B1820" s="41">
        <f>IF(A1820="","",IFERROR(INDEX(Maniobras!$B$5:$B$504,MATCH(A1820,Maniobras!$A$5:$A$504,0)),""))</f>
        <v/>
      </c>
      <c r="C1820" s="38">
        <f>IF(B1820="","",TEXT(B1820,"yyyy-mm"))</f>
        <v/>
      </c>
      <c r="D1820" s="38">
        <f>IF(A1820="","",IFERROR(INDEX(Maniobras!$D$5:$D$504,MATCH(A1820,Maniobras!$A$5:$A$504,0)),""))</f>
        <v/>
      </c>
      <c r="E1820" s="38" t="n"/>
      <c r="F1820" s="39">
        <f>IF(A1820="","",IFERROR(INDEX(Maniobras!$K$5:$K$504,MATCH(A1820,Maniobras!$A$5:$A$504,0)),""))</f>
        <v/>
      </c>
      <c r="G1820" s="39" t="n"/>
      <c r="H1820" s="39" t="n"/>
      <c r="I1820" s="39">
        <f>IF(G1820="","",G1820+N(H1820))</f>
        <v/>
      </c>
      <c r="J1820" s="38" t="n"/>
      <c r="K1820" s="41" t="n"/>
      <c r="L1820" s="38" t="n"/>
      <c r="M1820">
        <f>IF($A1820=Ficha!$B$3,COUNTIF($A$5:$A1820,Ficha!$B$3),"")</f>
        <v/>
      </c>
    </row>
    <row r="1821">
      <c r="A1821" s="36" t="n"/>
      <c r="B1821" s="40">
        <f>IF(A1821="","",IFERROR(INDEX(Maniobras!$B$5:$B$504,MATCH(A1821,Maniobras!$A$5:$A$504,0)),""))</f>
        <v/>
      </c>
      <c r="C1821" s="36">
        <f>IF(B1821="","",TEXT(B1821,"yyyy-mm"))</f>
        <v/>
      </c>
      <c r="D1821" s="36">
        <f>IF(A1821="","",IFERROR(INDEX(Maniobras!$D$5:$D$504,MATCH(A1821,Maniobras!$A$5:$A$504,0)),""))</f>
        <v/>
      </c>
      <c r="E1821" s="36" t="n"/>
      <c r="F1821" s="37">
        <f>IF(A1821="","",IFERROR(INDEX(Maniobras!$K$5:$K$504,MATCH(A1821,Maniobras!$A$5:$A$504,0)),""))</f>
        <v/>
      </c>
      <c r="G1821" s="37" t="n"/>
      <c r="H1821" s="37" t="n"/>
      <c r="I1821" s="37">
        <f>IF(G1821="","",G1821+N(H1821))</f>
        <v/>
      </c>
      <c r="J1821" s="36" t="n"/>
      <c r="K1821" s="40" t="n"/>
      <c r="L1821" s="36" t="n"/>
      <c r="M1821">
        <f>IF($A1821=Ficha!$B$3,COUNTIF($A$5:$A1821,Ficha!$B$3),"")</f>
        <v/>
      </c>
    </row>
    <row r="1822">
      <c r="A1822" s="38" t="n"/>
      <c r="B1822" s="41">
        <f>IF(A1822="","",IFERROR(INDEX(Maniobras!$B$5:$B$504,MATCH(A1822,Maniobras!$A$5:$A$504,0)),""))</f>
        <v/>
      </c>
      <c r="C1822" s="38">
        <f>IF(B1822="","",TEXT(B1822,"yyyy-mm"))</f>
        <v/>
      </c>
      <c r="D1822" s="38">
        <f>IF(A1822="","",IFERROR(INDEX(Maniobras!$D$5:$D$504,MATCH(A1822,Maniobras!$A$5:$A$504,0)),""))</f>
        <v/>
      </c>
      <c r="E1822" s="38" t="n"/>
      <c r="F1822" s="39">
        <f>IF(A1822="","",IFERROR(INDEX(Maniobras!$K$5:$K$504,MATCH(A1822,Maniobras!$A$5:$A$504,0)),""))</f>
        <v/>
      </c>
      <c r="G1822" s="39" t="n"/>
      <c r="H1822" s="39" t="n"/>
      <c r="I1822" s="39">
        <f>IF(G1822="","",G1822+N(H1822))</f>
        <v/>
      </c>
      <c r="J1822" s="38" t="n"/>
      <c r="K1822" s="41" t="n"/>
      <c r="L1822" s="38" t="n"/>
      <c r="M1822">
        <f>IF($A1822=Ficha!$B$3,COUNTIF($A$5:$A1822,Ficha!$B$3),"")</f>
        <v/>
      </c>
    </row>
    <row r="1823">
      <c r="A1823" s="36" t="n"/>
      <c r="B1823" s="40">
        <f>IF(A1823="","",IFERROR(INDEX(Maniobras!$B$5:$B$504,MATCH(A1823,Maniobras!$A$5:$A$504,0)),""))</f>
        <v/>
      </c>
      <c r="C1823" s="36">
        <f>IF(B1823="","",TEXT(B1823,"yyyy-mm"))</f>
        <v/>
      </c>
      <c r="D1823" s="36">
        <f>IF(A1823="","",IFERROR(INDEX(Maniobras!$D$5:$D$504,MATCH(A1823,Maniobras!$A$5:$A$504,0)),""))</f>
        <v/>
      </c>
      <c r="E1823" s="36" t="n"/>
      <c r="F1823" s="37">
        <f>IF(A1823="","",IFERROR(INDEX(Maniobras!$K$5:$K$504,MATCH(A1823,Maniobras!$A$5:$A$504,0)),""))</f>
        <v/>
      </c>
      <c r="G1823" s="37" t="n"/>
      <c r="H1823" s="37" t="n"/>
      <c r="I1823" s="37">
        <f>IF(G1823="","",G1823+N(H1823))</f>
        <v/>
      </c>
      <c r="J1823" s="36" t="n"/>
      <c r="K1823" s="40" t="n"/>
      <c r="L1823" s="36" t="n"/>
      <c r="M1823">
        <f>IF($A1823=Ficha!$B$3,COUNTIF($A$5:$A1823,Ficha!$B$3),"")</f>
        <v/>
      </c>
    </row>
    <row r="1824">
      <c r="A1824" s="38" t="n"/>
      <c r="B1824" s="41">
        <f>IF(A1824="","",IFERROR(INDEX(Maniobras!$B$5:$B$504,MATCH(A1824,Maniobras!$A$5:$A$504,0)),""))</f>
        <v/>
      </c>
      <c r="C1824" s="38">
        <f>IF(B1824="","",TEXT(B1824,"yyyy-mm"))</f>
        <v/>
      </c>
      <c r="D1824" s="38">
        <f>IF(A1824="","",IFERROR(INDEX(Maniobras!$D$5:$D$504,MATCH(A1824,Maniobras!$A$5:$A$504,0)),""))</f>
        <v/>
      </c>
      <c r="E1824" s="38" t="n"/>
      <c r="F1824" s="39">
        <f>IF(A1824="","",IFERROR(INDEX(Maniobras!$K$5:$K$504,MATCH(A1824,Maniobras!$A$5:$A$504,0)),""))</f>
        <v/>
      </c>
      <c r="G1824" s="39" t="n"/>
      <c r="H1824" s="39" t="n"/>
      <c r="I1824" s="39">
        <f>IF(G1824="","",G1824+N(H1824))</f>
        <v/>
      </c>
      <c r="J1824" s="38" t="n"/>
      <c r="K1824" s="41" t="n"/>
      <c r="L1824" s="38" t="n"/>
      <c r="M1824">
        <f>IF($A1824=Ficha!$B$3,COUNTIF($A$5:$A1824,Ficha!$B$3),"")</f>
        <v/>
      </c>
    </row>
    <row r="1825">
      <c r="A1825" s="36" t="n"/>
      <c r="B1825" s="40">
        <f>IF(A1825="","",IFERROR(INDEX(Maniobras!$B$5:$B$504,MATCH(A1825,Maniobras!$A$5:$A$504,0)),""))</f>
        <v/>
      </c>
      <c r="C1825" s="36">
        <f>IF(B1825="","",TEXT(B1825,"yyyy-mm"))</f>
        <v/>
      </c>
      <c r="D1825" s="36">
        <f>IF(A1825="","",IFERROR(INDEX(Maniobras!$D$5:$D$504,MATCH(A1825,Maniobras!$A$5:$A$504,0)),""))</f>
        <v/>
      </c>
      <c r="E1825" s="36" t="n"/>
      <c r="F1825" s="37">
        <f>IF(A1825="","",IFERROR(INDEX(Maniobras!$K$5:$K$504,MATCH(A1825,Maniobras!$A$5:$A$504,0)),""))</f>
        <v/>
      </c>
      <c r="G1825" s="37" t="n"/>
      <c r="H1825" s="37" t="n"/>
      <c r="I1825" s="37">
        <f>IF(G1825="","",G1825+N(H1825))</f>
        <v/>
      </c>
      <c r="J1825" s="36" t="n"/>
      <c r="K1825" s="40" t="n"/>
      <c r="L1825" s="36" t="n"/>
      <c r="M1825">
        <f>IF($A1825=Ficha!$B$3,COUNTIF($A$5:$A1825,Ficha!$B$3),"")</f>
        <v/>
      </c>
    </row>
    <row r="1826">
      <c r="A1826" s="38" t="n"/>
      <c r="B1826" s="41">
        <f>IF(A1826="","",IFERROR(INDEX(Maniobras!$B$5:$B$504,MATCH(A1826,Maniobras!$A$5:$A$504,0)),""))</f>
        <v/>
      </c>
      <c r="C1826" s="38">
        <f>IF(B1826="","",TEXT(B1826,"yyyy-mm"))</f>
        <v/>
      </c>
      <c r="D1826" s="38">
        <f>IF(A1826="","",IFERROR(INDEX(Maniobras!$D$5:$D$504,MATCH(A1826,Maniobras!$A$5:$A$504,0)),""))</f>
        <v/>
      </c>
      <c r="E1826" s="38" t="n"/>
      <c r="F1826" s="39">
        <f>IF(A1826="","",IFERROR(INDEX(Maniobras!$K$5:$K$504,MATCH(A1826,Maniobras!$A$5:$A$504,0)),""))</f>
        <v/>
      </c>
      <c r="G1826" s="39" t="n"/>
      <c r="H1826" s="39" t="n"/>
      <c r="I1826" s="39">
        <f>IF(G1826="","",G1826+N(H1826))</f>
        <v/>
      </c>
      <c r="J1826" s="38" t="n"/>
      <c r="K1826" s="41" t="n"/>
      <c r="L1826" s="38" t="n"/>
      <c r="M1826">
        <f>IF($A1826=Ficha!$B$3,COUNTIF($A$5:$A1826,Ficha!$B$3),"")</f>
        <v/>
      </c>
    </row>
    <row r="1827">
      <c r="A1827" s="36" t="n"/>
      <c r="B1827" s="40">
        <f>IF(A1827="","",IFERROR(INDEX(Maniobras!$B$5:$B$504,MATCH(A1827,Maniobras!$A$5:$A$504,0)),""))</f>
        <v/>
      </c>
      <c r="C1827" s="36">
        <f>IF(B1827="","",TEXT(B1827,"yyyy-mm"))</f>
        <v/>
      </c>
      <c r="D1827" s="36">
        <f>IF(A1827="","",IFERROR(INDEX(Maniobras!$D$5:$D$504,MATCH(A1827,Maniobras!$A$5:$A$504,0)),""))</f>
        <v/>
      </c>
      <c r="E1827" s="36" t="n"/>
      <c r="F1827" s="37">
        <f>IF(A1827="","",IFERROR(INDEX(Maniobras!$K$5:$K$504,MATCH(A1827,Maniobras!$A$5:$A$504,0)),""))</f>
        <v/>
      </c>
      <c r="G1827" s="37" t="n"/>
      <c r="H1827" s="37" t="n"/>
      <c r="I1827" s="37">
        <f>IF(G1827="","",G1827+N(H1827))</f>
        <v/>
      </c>
      <c r="J1827" s="36" t="n"/>
      <c r="K1827" s="40" t="n"/>
      <c r="L1827" s="36" t="n"/>
      <c r="M1827">
        <f>IF($A1827=Ficha!$B$3,COUNTIF($A$5:$A1827,Ficha!$B$3),"")</f>
        <v/>
      </c>
    </row>
    <row r="1828">
      <c r="A1828" s="38" t="n"/>
      <c r="B1828" s="41">
        <f>IF(A1828="","",IFERROR(INDEX(Maniobras!$B$5:$B$504,MATCH(A1828,Maniobras!$A$5:$A$504,0)),""))</f>
        <v/>
      </c>
      <c r="C1828" s="38">
        <f>IF(B1828="","",TEXT(B1828,"yyyy-mm"))</f>
        <v/>
      </c>
      <c r="D1828" s="38">
        <f>IF(A1828="","",IFERROR(INDEX(Maniobras!$D$5:$D$504,MATCH(A1828,Maniobras!$A$5:$A$504,0)),""))</f>
        <v/>
      </c>
      <c r="E1828" s="38" t="n"/>
      <c r="F1828" s="39">
        <f>IF(A1828="","",IFERROR(INDEX(Maniobras!$K$5:$K$504,MATCH(A1828,Maniobras!$A$5:$A$504,0)),""))</f>
        <v/>
      </c>
      <c r="G1828" s="39" t="n"/>
      <c r="H1828" s="39" t="n"/>
      <c r="I1828" s="39">
        <f>IF(G1828="","",G1828+N(H1828))</f>
        <v/>
      </c>
      <c r="J1828" s="38" t="n"/>
      <c r="K1828" s="41" t="n"/>
      <c r="L1828" s="38" t="n"/>
      <c r="M1828">
        <f>IF($A1828=Ficha!$B$3,COUNTIF($A$5:$A1828,Ficha!$B$3),"")</f>
        <v/>
      </c>
    </row>
    <row r="1829">
      <c r="A1829" s="36" t="n"/>
      <c r="B1829" s="40">
        <f>IF(A1829="","",IFERROR(INDEX(Maniobras!$B$5:$B$504,MATCH(A1829,Maniobras!$A$5:$A$504,0)),""))</f>
        <v/>
      </c>
      <c r="C1829" s="36">
        <f>IF(B1829="","",TEXT(B1829,"yyyy-mm"))</f>
        <v/>
      </c>
      <c r="D1829" s="36">
        <f>IF(A1829="","",IFERROR(INDEX(Maniobras!$D$5:$D$504,MATCH(A1829,Maniobras!$A$5:$A$504,0)),""))</f>
        <v/>
      </c>
      <c r="E1829" s="36" t="n"/>
      <c r="F1829" s="37">
        <f>IF(A1829="","",IFERROR(INDEX(Maniobras!$K$5:$K$504,MATCH(A1829,Maniobras!$A$5:$A$504,0)),""))</f>
        <v/>
      </c>
      <c r="G1829" s="37" t="n"/>
      <c r="H1829" s="37" t="n"/>
      <c r="I1829" s="37">
        <f>IF(G1829="","",G1829+N(H1829))</f>
        <v/>
      </c>
      <c r="J1829" s="36" t="n"/>
      <c r="K1829" s="40" t="n"/>
      <c r="L1829" s="36" t="n"/>
      <c r="M1829">
        <f>IF($A1829=Ficha!$B$3,COUNTIF($A$5:$A1829,Ficha!$B$3),"")</f>
        <v/>
      </c>
    </row>
    <row r="1830">
      <c r="A1830" s="38" t="n"/>
      <c r="B1830" s="41">
        <f>IF(A1830="","",IFERROR(INDEX(Maniobras!$B$5:$B$504,MATCH(A1830,Maniobras!$A$5:$A$504,0)),""))</f>
        <v/>
      </c>
      <c r="C1830" s="38">
        <f>IF(B1830="","",TEXT(B1830,"yyyy-mm"))</f>
        <v/>
      </c>
      <c r="D1830" s="38">
        <f>IF(A1830="","",IFERROR(INDEX(Maniobras!$D$5:$D$504,MATCH(A1830,Maniobras!$A$5:$A$504,0)),""))</f>
        <v/>
      </c>
      <c r="E1830" s="38" t="n"/>
      <c r="F1830" s="39">
        <f>IF(A1830="","",IFERROR(INDEX(Maniobras!$K$5:$K$504,MATCH(A1830,Maniobras!$A$5:$A$504,0)),""))</f>
        <v/>
      </c>
      <c r="G1830" s="39" t="n"/>
      <c r="H1830" s="39" t="n"/>
      <c r="I1830" s="39">
        <f>IF(G1830="","",G1830+N(H1830))</f>
        <v/>
      </c>
      <c r="J1830" s="38" t="n"/>
      <c r="K1830" s="41" t="n"/>
      <c r="L1830" s="38" t="n"/>
      <c r="M1830">
        <f>IF($A1830=Ficha!$B$3,COUNTIF($A$5:$A1830,Ficha!$B$3),"")</f>
        <v/>
      </c>
    </row>
    <row r="1831">
      <c r="A1831" s="36" t="n"/>
      <c r="B1831" s="40">
        <f>IF(A1831="","",IFERROR(INDEX(Maniobras!$B$5:$B$504,MATCH(A1831,Maniobras!$A$5:$A$504,0)),""))</f>
        <v/>
      </c>
      <c r="C1831" s="36">
        <f>IF(B1831="","",TEXT(B1831,"yyyy-mm"))</f>
        <v/>
      </c>
      <c r="D1831" s="36">
        <f>IF(A1831="","",IFERROR(INDEX(Maniobras!$D$5:$D$504,MATCH(A1831,Maniobras!$A$5:$A$504,0)),""))</f>
        <v/>
      </c>
      <c r="E1831" s="36" t="n"/>
      <c r="F1831" s="37">
        <f>IF(A1831="","",IFERROR(INDEX(Maniobras!$K$5:$K$504,MATCH(A1831,Maniobras!$A$5:$A$504,0)),""))</f>
        <v/>
      </c>
      <c r="G1831" s="37" t="n"/>
      <c r="H1831" s="37" t="n"/>
      <c r="I1831" s="37">
        <f>IF(G1831="","",G1831+N(H1831))</f>
        <v/>
      </c>
      <c r="J1831" s="36" t="n"/>
      <c r="K1831" s="40" t="n"/>
      <c r="L1831" s="36" t="n"/>
      <c r="M1831">
        <f>IF($A1831=Ficha!$B$3,COUNTIF($A$5:$A1831,Ficha!$B$3),"")</f>
        <v/>
      </c>
    </row>
    <row r="1832">
      <c r="A1832" s="38" t="n"/>
      <c r="B1832" s="41">
        <f>IF(A1832="","",IFERROR(INDEX(Maniobras!$B$5:$B$504,MATCH(A1832,Maniobras!$A$5:$A$504,0)),""))</f>
        <v/>
      </c>
      <c r="C1832" s="38">
        <f>IF(B1832="","",TEXT(B1832,"yyyy-mm"))</f>
        <v/>
      </c>
      <c r="D1832" s="38">
        <f>IF(A1832="","",IFERROR(INDEX(Maniobras!$D$5:$D$504,MATCH(A1832,Maniobras!$A$5:$A$504,0)),""))</f>
        <v/>
      </c>
      <c r="E1832" s="38" t="n"/>
      <c r="F1832" s="39">
        <f>IF(A1832="","",IFERROR(INDEX(Maniobras!$K$5:$K$504,MATCH(A1832,Maniobras!$A$5:$A$504,0)),""))</f>
        <v/>
      </c>
      <c r="G1832" s="39" t="n"/>
      <c r="H1832" s="39" t="n"/>
      <c r="I1832" s="39">
        <f>IF(G1832="","",G1832+N(H1832))</f>
        <v/>
      </c>
      <c r="J1832" s="38" t="n"/>
      <c r="K1832" s="41" t="n"/>
      <c r="L1832" s="38" t="n"/>
      <c r="M1832">
        <f>IF($A1832=Ficha!$B$3,COUNTIF($A$5:$A1832,Ficha!$B$3),"")</f>
        <v/>
      </c>
    </row>
    <row r="1833">
      <c r="A1833" s="36" t="n"/>
      <c r="B1833" s="40">
        <f>IF(A1833="","",IFERROR(INDEX(Maniobras!$B$5:$B$504,MATCH(A1833,Maniobras!$A$5:$A$504,0)),""))</f>
        <v/>
      </c>
      <c r="C1833" s="36">
        <f>IF(B1833="","",TEXT(B1833,"yyyy-mm"))</f>
        <v/>
      </c>
      <c r="D1833" s="36">
        <f>IF(A1833="","",IFERROR(INDEX(Maniobras!$D$5:$D$504,MATCH(A1833,Maniobras!$A$5:$A$504,0)),""))</f>
        <v/>
      </c>
      <c r="E1833" s="36" t="n"/>
      <c r="F1833" s="37">
        <f>IF(A1833="","",IFERROR(INDEX(Maniobras!$K$5:$K$504,MATCH(A1833,Maniobras!$A$5:$A$504,0)),""))</f>
        <v/>
      </c>
      <c r="G1833" s="37" t="n"/>
      <c r="H1833" s="37" t="n"/>
      <c r="I1833" s="37">
        <f>IF(G1833="","",G1833+N(H1833))</f>
        <v/>
      </c>
      <c r="J1833" s="36" t="n"/>
      <c r="K1833" s="40" t="n"/>
      <c r="L1833" s="36" t="n"/>
      <c r="M1833">
        <f>IF($A1833=Ficha!$B$3,COUNTIF($A$5:$A1833,Ficha!$B$3),"")</f>
        <v/>
      </c>
    </row>
    <row r="1834">
      <c r="A1834" s="38" t="n"/>
      <c r="B1834" s="41">
        <f>IF(A1834="","",IFERROR(INDEX(Maniobras!$B$5:$B$504,MATCH(A1834,Maniobras!$A$5:$A$504,0)),""))</f>
        <v/>
      </c>
      <c r="C1834" s="38">
        <f>IF(B1834="","",TEXT(B1834,"yyyy-mm"))</f>
        <v/>
      </c>
      <c r="D1834" s="38">
        <f>IF(A1834="","",IFERROR(INDEX(Maniobras!$D$5:$D$504,MATCH(A1834,Maniobras!$A$5:$A$504,0)),""))</f>
        <v/>
      </c>
      <c r="E1834" s="38" t="n"/>
      <c r="F1834" s="39">
        <f>IF(A1834="","",IFERROR(INDEX(Maniobras!$K$5:$K$504,MATCH(A1834,Maniobras!$A$5:$A$504,0)),""))</f>
        <v/>
      </c>
      <c r="G1834" s="39" t="n"/>
      <c r="H1834" s="39" t="n"/>
      <c r="I1834" s="39">
        <f>IF(G1834="","",G1834+N(H1834))</f>
        <v/>
      </c>
      <c r="J1834" s="38" t="n"/>
      <c r="K1834" s="41" t="n"/>
      <c r="L1834" s="38" t="n"/>
      <c r="M1834">
        <f>IF($A1834=Ficha!$B$3,COUNTIF($A$5:$A1834,Ficha!$B$3),"")</f>
        <v/>
      </c>
    </row>
    <row r="1835">
      <c r="A1835" s="36" t="n"/>
      <c r="B1835" s="40">
        <f>IF(A1835="","",IFERROR(INDEX(Maniobras!$B$5:$B$504,MATCH(A1835,Maniobras!$A$5:$A$504,0)),""))</f>
        <v/>
      </c>
      <c r="C1835" s="36">
        <f>IF(B1835="","",TEXT(B1835,"yyyy-mm"))</f>
        <v/>
      </c>
      <c r="D1835" s="36">
        <f>IF(A1835="","",IFERROR(INDEX(Maniobras!$D$5:$D$504,MATCH(A1835,Maniobras!$A$5:$A$504,0)),""))</f>
        <v/>
      </c>
      <c r="E1835" s="36" t="n"/>
      <c r="F1835" s="37">
        <f>IF(A1835="","",IFERROR(INDEX(Maniobras!$K$5:$K$504,MATCH(A1835,Maniobras!$A$5:$A$504,0)),""))</f>
        <v/>
      </c>
      <c r="G1835" s="37" t="n"/>
      <c r="H1835" s="37" t="n"/>
      <c r="I1835" s="37">
        <f>IF(G1835="","",G1835+N(H1835))</f>
        <v/>
      </c>
      <c r="J1835" s="36" t="n"/>
      <c r="K1835" s="40" t="n"/>
      <c r="L1835" s="36" t="n"/>
      <c r="M1835">
        <f>IF($A1835=Ficha!$B$3,COUNTIF($A$5:$A1835,Ficha!$B$3),"")</f>
        <v/>
      </c>
    </row>
    <row r="1836">
      <c r="A1836" s="38" t="n"/>
      <c r="B1836" s="41">
        <f>IF(A1836="","",IFERROR(INDEX(Maniobras!$B$5:$B$504,MATCH(A1836,Maniobras!$A$5:$A$504,0)),""))</f>
        <v/>
      </c>
      <c r="C1836" s="38">
        <f>IF(B1836="","",TEXT(B1836,"yyyy-mm"))</f>
        <v/>
      </c>
      <c r="D1836" s="38">
        <f>IF(A1836="","",IFERROR(INDEX(Maniobras!$D$5:$D$504,MATCH(A1836,Maniobras!$A$5:$A$504,0)),""))</f>
        <v/>
      </c>
      <c r="E1836" s="38" t="n"/>
      <c r="F1836" s="39">
        <f>IF(A1836="","",IFERROR(INDEX(Maniobras!$K$5:$K$504,MATCH(A1836,Maniobras!$A$5:$A$504,0)),""))</f>
        <v/>
      </c>
      <c r="G1836" s="39" t="n"/>
      <c r="H1836" s="39" t="n"/>
      <c r="I1836" s="39">
        <f>IF(G1836="","",G1836+N(H1836))</f>
        <v/>
      </c>
      <c r="J1836" s="38" t="n"/>
      <c r="K1836" s="41" t="n"/>
      <c r="L1836" s="38" t="n"/>
      <c r="M1836">
        <f>IF($A1836=Ficha!$B$3,COUNTIF($A$5:$A1836,Ficha!$B$3),"")</f>
        <v/>
      </c>
    </row>
    <row r="1837">
      <c r="A1837" s="36" t="n"/>
      <c r="B1837" s="40">
        <f>IF(A1837="","",IFERROR(INDEX(Maniobras!$B$5:$B$504,MATCH(A1837,Maniobras!$A$5:$A$504,0)),""))</f>
        <v/>
      </c>
      <c r="C1837" s="36">
        <f>IF(B1837="","",TEXT(B1837,"yyyy-mm"))</f>
        <v/>
      </c>
      <c r="D1837" s="36">
        <f>IF(A1837="","",IFERROR(INDEX(Maniobras!$D$5:$D$504,MATCH(A1837,Maniobras!$A$5:$A$504,0)),""))</f>
        <v/>
      </c>
      <c r="E1837" s="36" t="n"/>
      <c r="F1837" s="37">
        <f>IF(A1837="","",IFERROR(INDEX(Maniobras!$K$5:$K$504,MATCH(A1837,Maniobras!$A$5:$A$504,0)),""))</f>
        <v/>
      </c>
      <c r="G1837" s="37" t="n"/>
      <c r="H1837" s="37" t="n"/>
      <c r="I1837" s="37">
        <f>IF(G1837="","",G1837+N(H1837))</f>
        <v/>
      </c>
      <c r="J1837" s="36" t="n"/>
      <c r="K1837" s="40" t="n"/>
      <c r="L1837" s="36" t="n"/>
      <c r="M1837">
        <f>IF($A1837=Ficha!$B$3,COUNTIF($A$5:$A1837,Ficha!$B$3),"")</f>
        <v/>
      </c>
    </row>
    <row r="1838">
      <c r="A1838" s="38" t="n"/>
      <c r="B1838" s="41">
        <f>IF(A1838="","",IFERROR(INDEX(Maniobras!$B$5:$B$504,MATCH(A1838,Maniobras!$A$5:$A$504,0)),""))</f>
        <v/>
      </c>
      <c r="C1838" s="38">
        <f>IF(B1838="","",TEXT(B1838,"yyyy-mm"))</f>
        <v/>
      </c>
      <c r="D1838" s="38">
        <f>IF(A1838="","",IFERROR(INDEX(Maniobras!$D$5:$D$504,MATCH(A1838,Maniobras!$A$5:$A$504,0)),""))</f>
        <v/>
      </c>
      <c r="E1838" s="38" t="n"/>
      <c r="F1838" s="39">
        <f>IF(A1838="","",IFERROR(INDEX(Maniobras!$K$5:$K$504,MATCH(A1838,Maniobras!$A$5:$A$504,0)),""))</f>
        <v/>
      </c>
      <c r="G1838" s="39" t="n"/>
      <c r="H1838" s="39" t="n"/>
      <c r="I1838" s="39">
        <f>IF(G1838="","",G1838+N(H1838))</f>
        <v/>
      </c>
      <c r="J1838" s="38" t="n"/>
      <c r="K1838" s="41" t="n"/>
      <c r="L1838" s="38" t="n"/>
      <c r="M1838">
        <f>IF($A1838=Ficha!$B$3,COUNTIF($A$5:$A1838,Ficha!$B$3),"")</f>
        <v/>
      </c>
    </row>
    <row r="1839">
      <c r="A1839" s="36" t="n"/>
      <c r="B1839" s="40">
        <f>IF(A1839="","",IFERROR(INDEX(Maniobras!$B$5:$B$504,MATCH(A1839,Maniobras!$A$5:$A$504,0)),""))</f>
        <v/>
      </c>
      <c r="C1839" s="36">
        <f>IF(B1839="","",TEXT(B1839,"yyyy-mm"))</f>
        <v/>
      </c>
      <c r="D1839" s="36">
        <f>IF(A1839="","",IFERROR(INDEX(Maniobras!$D$5:$D$504,MATCH(A1839,Maniobras!$A$5:$A$504,0)),""))</f>
        <v/>
      </c>
      <c r="E1839" s="36" t="n"/>
      <c r="F1839" s="37">
        <f>IF(A1839="","",IFERROR(INDEX(Maniobras!$K$5:$K$504,MATCH(A1839,Maniobras!$A$5:$A$504,0)),""))</f>
        <v/>
      </c>
      <c r="G1839" s="37" t="n"/>
      <c r="H1839" s="37" t="n"/>
      <c r="I1839" s="37">
        <f>IF(G1839="","",G1839+N(H1839))</f>
        <v/>
      </c>
      <c r="J1839" s="36" t="n"/>
      <c r="K1839" s="40" t="n"/>
      <c r="L1839" s="36" t="n"/>
      <c r="M1839">
        <f>IF($A1839=Ficha!$B$3,COUNTIF($A$5:$A1839,Ficha!$B$3),"")</f>
        <v/>
      </c>
    </row>
    <row r="1840">
      <c r="A1840" s="38" t="n"/>
      <c r="B1840" s="41">
        <f>IF(A1840="","",IFERROR(INDEX(Maniobras!$B$5:$B$504,MATCH(A1840,Maniobras!$A$5:$A$504,0)),""))</f>
        <v/>
      </c>
      <c r="C1840" s="38">
        <f>IF(B1840="","",TEXT(B1840,"yyyy-mm"))</f>
        <v/>
      </c>
      <c r="D1840" s="38">
        <f>IF(A1840="","",IFERROR(INDEX(Maniobras!$D$5:$D$504,MATCH(A1840,Maniobras!$A$5:$A$504,0)),""))</f>
        <v/>
      </c>
      <c r="E1840" s="38" t="n"/>
      <c r="F1840" s="39">
        <f>IF(A1840="","",IFERROR(INDEX(Maniobras!$K$5:$K$504,MATCH(A1840,Maniobras!$A$5:$A$504,0)),""))</f>
        <v/>
      </c>
      <c r="G1840" s="39" t="n"/>
      <c r="H1840" s="39" t="n"/>
      <c r="I1840" s="39">
        <f>IF(G1840="","",G1840+N(H1840))</f>
        <v/>
      </c>
      <c r="J1840" s="38" t="n"/>
      <c r="K1840" s="41" t="n"/>
      <c r="L1840" s="38" t="n"/>
      <c r="M1840">
        <f>IF($A1840=Ficha!$B$3,COUNTIF($A$5:$A1840,Ficha!$B$3),"")</f>
        <v/>
      </c>
    </row>
    <row r="1841">
      <c r="A1841" s="36" t="n"/>
      <c r="B1841" s="40">
        <f>IF(A1841="","",IFERROR(INDEX(Maniobras!$B$5:$B$504,MATCH(A1841,Maniobras!$A$5:$A$504,0)),""))</f>
        <v/>
      </c>
      <c r="C1841" s="36">
        <f>IF(B1841="","",TEXT(B1841,"yyyy-mm"))</f>
        <v/>
      </c>
      <c r="D1841" s="36">
        <f>IF(A1841="","",IFERROR(INDEX(Maniobras!$D$5:$D$504,MATCH(A1841,Maniobras!$A$5:$A$504,0)),""))</f>
        <v/>
      </c>
      <c r="E1841" s="36" t="n"/>
      <c r="F1841" s="37">
        <f>IF(A1841="","",IFERROR(INDEX(Maniobras!$K$5:$K$504,MATCH(A1841,Maniobras!$A$5:$A$504,0)),""))</f>
        <v/>
      </c>
      <c r="G1841" s="37" t="n"/>
      <c r="H1841" s="37" t="n"/>
      <c r="I1841" s="37">
        <f>IF(G1841="","",G1841+N(H1841))</f>
        <v/>
      </c>
      <c r="J1841" s="36" t="n"/>
      <c r="K1841" s="40" t="n"/>
      <c r="L1841" s="36" t="n"/>
      <c r="M1841">
        <f>IF($A1841=Ficha!$B$3,COUNTIF($A$5:$A1841,Ficha!$B$3),"")</f>
        <v/>
      </c>
    </row>
    <row r="1842">
      <c r="A1842" s="38" t="n"/>
      <c r="B1842" s="41">
        <f>IF(A1842="","",IFERROR(INDEX(Maniobras!$B$5:$B$504,MATCH(A1842,Maniobras!$A$5:$A$504,0)),""))</f>
        <v/>
      </c>
      <c r="C1842" s="38">
        <f>IF(B1842="","",TEXT(B1842,"yyyy-mm"))</f>
        <v/>
      </c>
      <c r="D1842" s="38">
        <f>IF(A1842="","",IFERROR(INDEX(Maniobras!$D$5:$D$504,MATCH(A1842,Maniobras!$A$5:$A$504,0)),""))</f>
        <v/>
      </c>
      <c r="E1842" s="38" t="n"/>
      <c r="F1842" s="39">
        <f>IF(A1842="","",IFERROR(INDEX(Maniobras!$K$5:$K$504,MATCH(A1842,Maniobras!$A$5:$A$504,0)),""))</f>
        <v/>
      </c>
      <c r="G1842" s="39" t="n"/>
      <c r="H1842" s="39" t="n"/>
      <c r="I1842" s="39">
        <f>IF(G1842="","",G1842+N(H1842))</f>
        <v/>
      </c>
      <c r="J1842" s="38" t="n"/>
      <c r="K1842" s="41" t="n"/>
      <c r="L1842" s="38" t="n"/>
      <c r="M1842">
        <f>IF($A1842=Ficha!$B$3,COUNTIF($A$5:$A1842,Ficha!$B$3),"")</f>
        <v/>
      </c>
    </row>
    <row r="1843">
      <c r="A1843" s="36" t="n"/>
      <c r="B1843" s="40">
        <f>IF(A1843="","",IFERROR(INDEX(Maniobras!$B$5:$B$504,MATCH(A1843,Maniobras!$A$5:$A$504,0)),""))</f>
        <v/>
      </c>
      <c r="C1843" s="36">
        <f>IF(B1843="","",TEXT(B1843,"yyyy-mm"))</f>
        <v/>
      </c>
      <c r="D1843" s="36">
        <f>IF(A1843="","",IFERROR(INDEX(Maniobras!$D$5:$D$504,MATCH(A1843,Maniobras!$A$5:$A$504,0)),""))</f>
        <v/>
      </c>
      <c r="E1843" s="36" t="n"/>
      <c r="F1843" s="37">
        <f>IF(A1843="","",IFERROR(INDEX(Maniobras!$K$5:$K$504,MATCH(A1843,Maniobras!$A$5:$A$504,0)),""))</f>
        <v/>
      </c>
      <c r="G1843" s="37" t="n"/>
      <c r="H1843" s="37" t="n"/>
      <c r="I1843" s="37">
        <f>IF(G1843="","",G1843+N(H1843))</f>
        <v/>
      </c>
      <c r="J1843" s="36" t="n"/>
      <c r="K1843" s="40" t="n"/>
      <c r="L1843" s="36" t="n"/>
      <c r="M1843">
        <f>IF($A1843=Ficha!$B$3,COUNTIF($A$5:$A1843,Ficha!$B$3),"")</f>
        <v/>
      </c>
    </row>
    <row r="1844">
      <c r="A1844" s="38" t="n"/>
      <c r="B1844" s="41">
        <f>IF(A1844="","",IFERROR(INDEX(Maniobras!$B$5:$B$504,MATCH(A1844,Maniobras!$A$5:$A$504,0)),""))</f>
        <v/>
      </c>
      <c r="C1844" s="38">
        <f>IF(B1844="","",TEXT(B1844,"yyyy-mm"))</f>
        <v/>
      </c>
      <c r="D1844" s="38">
        <f>IF(A1844="","",IFERROR(INDEX(Maniobras!$D$5:$D$504,MATCH(A1844,Maniobras!$A$5:$A$504,0)),""))</f>
        <v/>
      </c>
      <c r="E1844" s="38" t="n"/>
      <c r="F1844" s="39">
        <f>IF(A1844="","",IFERROR(INDEX(Maniobras!$K$5:$K$504,MATCH(A1844,Maniobras!$A$5:$A$504,0)),""))</f>
        <v/>
      </c>
      <c r="G1844" s="39" t="n"/>
      <c r="H1844" s="39" t="n"/>
      <c r="I1844" s="39">
        <f>IF(G1844="","",G1844+N(H1844))</f>
        <v/>
      </c>
      <c r="J1844" s="38" t="n"/>
      <c r="K1844" s="41" t="n"/>
      <c r="L1844" s="38" t="n"/>
      <c r="M1844">
        <f>IF($A1844=Ficha!$B$3,COUNTIF($A$5:$A1844,Ficha!$B$3),"")</f>
        <v/>
      </c>
    </row>
    <row r="1845">
      <c r="A1845" s="36" t="n"/>
      <c r="B1845" s="40">
        <f>IF(A1845="","",IFERROR(INDEX(Maniobras!$B$5:$B$504,MATCH(A1845,Maniobras!$A$5:$A$504,0)),""))</f>
        <v/>
      </c>
      <c r="C1845" s="36">
        <f>IF(B1845="","",TEXT(B1845,"yyyy-mm"))</f>
        <v/>
      </c>
      <c r="D1845" s="36">
        <f>IF(A1845="","",IFERROR(INDEX(Maniobras!$D$5:$D$504,MATCH(A1845,Maniobras!$A$5:$A$504,0)),""))</f>
        <v/>
      </c>
      <c r="E1845" s="36" t="n"/>
      <c r="F1845" s="37">
        <f>IF(A1845="","",IFERROR(INDEX(Maniobras!$K$5:$K$504,MATCH(A1845,Maniobras!$A$5:$A$504,0)),""))</f>
        <v/>
      </c>
      <c r="G1845" s="37" t="n"/>
      <c r="H1845" s="37" t="n"/>
      <c r="I1845" s="37">
        <f>IF(G1845="","",G1845+N(H1845))</f>
        <v/>
      </c>
      <c r="J1845" s="36" t="n"/>
      <c r="K1845" s="40" t="n"/>
      <c r="L1845" s="36" t="n"/>
      <c r="M1845">
        <f>IF($A1845=Ficha!$B$3,COUNTIF($A$5:$A1845,Ficha!$B$3),"")</f>
        <v/>
      </c>
    </row>
    <row r="1846">
      <c r="A1846" s="38" t="n"/>
      <c r="B1846" s="41">
        <f>IF(A1846="","",IFERROR(INDEX(Maniobras!$B$5:$B$504,MATCH(A1846,Maniobras!$A$5:$A$504,0)),""))</f>
        <v/>
      </c>
      <c r="C1846" s="38">
        <f>IF(B1846="","",TEXT(B1846,"yyyy-mm"))</f>
        <v/>
      </c>
      <c r="D1846" s="38">
        <f>IF(A1846="","",IFERROR(INDEX(Maniobras!$D$5:$D$504,MATCH(A1846,Maniobras!$A$5:$A$504,0)),""))</f>
        <v/>
      </c>
      <c r="E1846" s="38" t="n"/>
      <c r="F1846" s="39">
        <f>IF(A1846="","",IFERROR(INDEX(Maniobras!$K$5:$K$504,MATCH(A1846,Maniobras!$A$5:$A$504,0)),""))</f>
        <v/>
      </c>
      <c r="G1846" s="39" t="n"/>
      <c r="H1846" s="39" t="n"/>
      <c r="I1846" s="39">
        <f>IF(G1846="","",G1846+N(H1846))</f>
        <v/>
      </c>
      <c r="J1846" s="38" t="n"/>
      <c r="K1846" s="41" t="n"/>
      <c r="L1846" s="38" t="n"/>
      <c r="M1846">
        <f>IF($A1846=Ficha!$B$3,COUNTIF($A$5:$A1846,Ficha!$B$3),"")</f>
        <v/>
      </c>
    </row>
    <row r="1847">
      <c r="A1847" s="36" t="n"/>
      <c r="B1847" s="40">
        <f>IF(A1847="","",IFERROR(INDEX(Maniobras!$B$5:$B$504,MATCH(A1847,Maniobras!$A$5:$A$504,0)),""))</f>
        <v/>
      </c>
      <c r="C1847" s="36">
        <f>IF(B1847="","",TEXT(B1847,"yyyy-mm"))</f>
        <v/>
      </c>
      <c r="D1847" s="36">
        <f>IF(A1847="","",IFERROR(INDEX(Maniobras!$D$5:$D$504,MATCH(A1847,Maniobras!$A$5:$A$504,0)),""))</f>
        <v/>
      </c>
      <c r="E1847" s="36" t="n"/>
      <c r="F1847" s="37">
        <f>IF(A1847="","",IFERROR(INDEX(Maniobras!$K$5:$K$504,MATCH(A1847,Maniobras!$A$5:$A$504,0)),""))</f>
        <v/>
      </c>
      <c r="G1847" s="37" t="n"/>
      <c r="H1847" s="37" t="n"/>
      <c r="I1847" s="37">
        <f>IF(G1847="","",G1847+N(H1847))</f>
        <v/>
      </c>
      <c r="J1847" s="36" t="n"/>
      <c r="K1847" s="40" t="n"/>
      <c r="L1847" s="36" t="n"/>
      <c r="M1847">
        <f>IF($A1847=Ficha!$B$3,COUNTIF($A$5:$A1847,Ficha!$B$3),"")</f>
        <v/>
      </c>
    </row>
    <row r="1848">
      <c r="A1848" s="38" t="n"/>
      <c r="B1848" s="41">
        <f>IF(A1848="","",IFERROR(INDEX(Maniobras!$B$5:$B$504,MATCH(A1848,Maniobras!$A$5:$A$504,0)),""))</f>
        <v/>
      </c>
      <c r="C1848" s="38">
        <f>IF(B1848="","",TEXT(B1848,"yyyy-mm"))</f>
        <v/>
      </c>
      <c r="D1848" s="38">
        <f>IF(A1848="","",IFERROR(INDEX(Maniobras!$D$5:$D$504,MATCH(A1848,Maniobras!$A$5:$A$504,0)),""))</f>
        <v/>
      </c>
      <c r="E1848" s="38" t="n"/>
      <c r="F1848" s="39">
        <f>IF(A1848="","",IFERROR(INDEX(Maniobras!$K$5:$K$504,MATCH(A1848,Maniobras!$A$5:$A$504,0)),""))</f>
        <v/>
      </c>
      <c r="G1848" s="39" t="n"/>
      <c r="H1848" s="39" t="n"/>
      <c r="I1848" s="39">
        <f>IF(G1848="","",G1848+N(H1848))</f>
        <v/>
      </c>
      <c r="J1848" s="38" t="n"/>
      <c r="K1848" s="41" t="n"/>
      <c r="L1848" s="38" t="n"/>
      <c r="M1848">
        <f>IF($A1848=Ficha!$B$3,COUNTIF($A$5:$A1848,Ficha!$B$3),"")</f>
        <v/>
      </c>
    </row>
    <row r="1849">
      <c r="A1849" s="36" t="n"/>
      <c r="B1849" s="40">
        <f>IF(A1849="","",IFERROR(INDEX(Maniobras!$B$5:$B$504,MATCH(A1849,Maniobras!$A$5:$A$504,0)),""))</f>
        <v/>
      </c>
      <c r="C1849" s="36">
        <f>IF(B1849="","",TEXT(B1849,"yyyy-mm"))</f>
        <v/>
      </c>
      <c r="D1849" s="36">
        <f>IF(A1849="","",IFERROR(INDEX(Maniobras!$D$5:$D$504,MATCH(A1849,Maniobras!$A$5:$A$504,0)),""))</f>
        <v/>
      </c>
      <c r="E1849" s="36" t="n"/>
      <c r="F1849" s="37">
        <f>IF(A1849="","",IFERROR(INDEX(Maniobras!$K$5:$K$504,MATCH(A1849,Maniobras!$A$5:$A$504,0)),""))</f>
        <v/>
      </c>
      <c r="G1849" s="37" t="n"/>
      <c r="H1849" s="37" t="n"/>
      <c r="I1849" s="37">
        <f>IF(G1849="","",G1849+N(H1849))</f>
        <v/>
      </c>
      <c r="J1849" s="36" t="n"/>
      <c r="K1849" s="40" t="n"/>
      <c r="L1849" s="36" t="n"/>
      <c r="M1849">
        <f>IF($A1849=Ficha!$B$3,COUNTIF($A$5:$A1849,Ficha!$B$3),"")</f>
        <v/>
      </c>
    </row>
    <row r="1850">
      <c r="A1850" s="38" t="n"/>
      <c r="B1850" s="41">
        <f>IF(A1850="","",IFERROR(INDEX(Maniobras!$B$5:$B$504,MATCH(A1850,Maniobras!$A$5:$A$504,0)),""))</f>
        <v/>
      </c>
      <c r="C1850" s="38">
        <f>IF(B1850="","",TEXT(B1850,"yyyy-mm"))</f>
        <v/>
      </c>
      <c r="D1850" s="38">
        <f>IF(A1850="","",IFERROR(INDEX(Maniobras!$D$5:$D$504,MATCH(A1850,Maniobras!$A$5:$A$504,0)),""))</f>
        <v/>
      </c>
      <c r="E1850" s="38" t="n"/>
      <c r="F1850" s="39">
        <f>IF(A1850="","",IFERROR(INDEX(Maniobras!$K$5:$K$504,MATCH(A1850,Maniobras!$A$5:$A$504,0)),""))</f>
        <v/>
      </c>
      <c r="G1850" s="39" t="n"/>
      <c r="H1850" s="39" t="n"/>
      <c r="I1850" s="39">
        <f>IF(G1850="","",G1850+N(H1850))</f>
        <v/>
      </c>
      <c r="J1850" s="38" t="n"/>
      <c r="K1850" s="41" t="n"/>
      <c r="L1850" s="38" t="n"/>
      <c r="M1850">
        <f>IF($A1850=Ficha!$B$3,COUNTIF($A$5:$A1850,Ficha!$B$3),"")</f>
        <v/>
      </c>
    </row>
    <row r="1851">
      <c r="A1851" s="36" t="n"/>
      <c r="B1851" s="40">
        <f>IF(A1851="","",IFERROR(INDEX(Maniobras!$B$5:$B$504,MATCH(A1851,Maniobras!$A$5:$A$504,0)),""))</f>
        <v/>
      </c>
      <c r="C1851" s="36">
        <f>IF(B1851="","",TEXT(B1851,"yyyy-mm"))</f>
        <v/>
      </c>
      <c r="D1851" s="36">
        <f>IF(A1851="","",IFERROR(INDEX(Maniobras!$D$5:$D$504,MATCH(A1851,Maniobras!$A$5:$A$504,0)),""))</f>
        <v/>
      </c>
      <c r="E1851" s="36" t="n"/>
      <c r="F1851" s="37">
        <f>IF(A1851="","",IFERROR(INDEX(Maniobras!$K$5:$K$504,MATCH(A1851,Maniobras!$A$5:$A$504,0)),""))</f>
        <v/>
      </c>
      <c r="G1851" s="37" t="n"/>
      <c r="H1851" s="37" t="n"/>
      <c r="I1851" s="37">
        <f>IF(G1851="","",G1851+N(H1851))</f>
        <v/>
      </c>
      <c r="J1851" s="36" t="n"/>
      <c r="K1851" s="40" t="n"/>
      <c r="L1851" s="36" t="n"/>
      <c r="M1851">
        <f>IF($A1851=Ficha!$B$3,COUNTIF($A$5:$A1851,Ficha!$B$3),"")</f>
        <v/>
      </c>
    </row>
    <row r="1852">
      <c r="A1852" s="38" t="n"/>
      <c r="B1852" s="41">
        <f>IF(A1852="","",IFERROR(INDEX(Maniobras!$B$5:$B$504,MATCH(A1852,Maniobras!$A$5:$A$504,0)),""))</f>
        <v/>
      </c>
      <c r="C1852" s="38">
        <f>IF(B1852="","",TEXT(B1852,"yyyy-mm"))</f>
        <v/>
      </c>
      <c r="D1852" s="38">
        <f>IF(A1852="","",IFERROR(INDEX(Maniobras!$D$5:$D$504,MATCH(A1852,Maniobras!$A$5:$A$504,0)),""))</f>
        <v/>
      </c>
      <c r="E1852" s="38" t="n"/>
      <c r="F1852" s="39">
        <f>IF(A1852="","",IFERROR(INDEX(Maniobras!$K$5:$K$504,MATCH(A1852,Maniobras!$A$5:$A$504,0)),""))</f>
        <v/>
      </c>
      <c r="G1852" s="39" t="n"/>
      <c r="H1852" s="39" t="n"/>
      <c r="I1852" s="39">
        <f>IF(G1852="","",G1852+N(H1852))</f>
        <v/>
      </c>
      <c r="J1852" s="38" t="n"/>
      <c r="K1852" s="41" t="n"/>
      <c r="L1852" s="38" t="n"/>
      <c r="M1852">
        <f>IF($A1852=Ficha!$B$3,COUNTIF($A$5:$A1852,Ficha!$B$3),"")</f>
        <v/>
      </c>
    </row>
    <row r="1853">
      <c r="A1853" s="36" t="n"/>
      <c r="B1853" s="40">
        <f>IF(A1853="","",IFERROR(INDEX(Maniobras!$B$5:$B$504,MATCH(A1853,Maniobras!$A$5:$A$504,0)),""))</f>
        <v/>
      </c>
      <c r="C1853" s="36">
        <f>IF(B1853="","",TEXT(B1853,"yyyy-mm"))</f>
        <v/>
      </c>
      <c r="D1853" s="36">
        <f>IF(A1853="","",IFERROR(INDEX(Maniobras!$D$5:$D$504,MATCH(A1853,Maniobras!$A$5:$A$504,0)),""))</f>
        <v/>
      </c>
      <c r="E1853" s="36" t="n"/>
      <c r="F1853" s="37">
        <f>IF(A1853="","",IFERROR(INDEX(Maniobras!$K$5:$K$504,MATCH(A1853,Maniobras!$A$5:$A$504,0)),""))</f>
        <v/>
      </c>
      <c r="G1853" s="37" t="n"/>
      <c r="H1853" s="37" t="n"/>
      <c r="I1853" s="37">
        <f>IF(G1853="","",G1853+N(H1853))</f>
        <v/>
      </c>
      <c r="J1853" s="36" t="n"/>
      <c r="K1853" s="40" t="n"/>
      <c r="L1853" s="36" t="n"/>
      <c r="M1853">
        <f>IF($A1853=Ficha!$B$3,COUNTIF($A$5:$A1853,Ficha!$B$3),"")</f>
        <v/>
      </c>
    </row>
    <row r="1854">
      <c r="A1854" s="38" t="n"/>
      <c r="B1854" s="41">
        <f>IF(A1854="","",IFERROR(INDEX(Maniobras!$B$5:$B$504,MATCH(A1854,Maniobras!$A$5:$A$504,0)),""))</f>
        <v/>
      </c>
      <c r="C1854" s="38">
        <f>IF(B1854="","",TEXT(B1854,"yyyy-mm"))</f>
        <v/>
      </c>
      <c r="D1854" s="38">
        <f>IF(A1854="","",IFERROR(INDEX(Maniobras!$D$5:$D$504,MATCH(A1854,Maniobras!$A$5:$A$504,0)),""))</f>
        <v/>
      </c>
      <c r="E1854" s="38" t="n"/>
      <c r="F1854" s="39">
        <f>IF(A1854="","",IFERROR(INDEX(Maniobras!$K$5:$K$504,MATCH(A1854,Maniobras!$A$5:$A$504,0)),""))</f>
        <v/>
      </c>
      <c r="G1854" s="39" t="n"/>
      <c r="H1854" s="39" t="n"/>
      <c r="I1854" s="39">
        <f>IF(G1854="","",G1854+N(H1854))</f>
        <v/>
      </c>
      <c r="J1854" s="38" t="n"/>
      <c r="K1854" s="41" t="n"/>
      <c r="L1854" s="38" t="n"/>
      <c r="M1854">
        <f>IF($A1854=Ficha!$B$3,COUNTIF($A$5:$A1854,Ficha!$B$3),"")</f>
        <v/>
      </c>
    </row>
    <row r="1855">
      <c r="A1855" s="36" t="n"/>
      <c r="B1855" s="40">
        <f>IF(A1855="","",IFERROR(INDEX(Maniobras!$B$5:$B$504,MATCH(A1855,Maniobras!$A$5:$A$504,0)),""))</f>
        <v/>
      </c>
      <c r="C1855" s="36">
        <f>IF(B1855="","",TEXT(B1855,"yyyy-mm"))</f>
        <v/>
      </c>
      <c r="D1855" s="36">
        <f>IF(A1855="","",IFERROR(INDEX(Maniobras!$D$5:$D$504,MATCH(A1855,Maniobras!$A$5:$A$504,0)),""))</f>
        <v/>
      </c>
      <c r="E1855" s="36" t="n"/>
      <c r="F1855" s="37">
        <f>IF(A1855="","",IFERROR(INDEX(Maniobras!$K$5:$K$504,MATCH(A1855,Maniobras!$A$5:$A$504,0)),""))</f>
        <v/>
      </c>
      <c r="G1855" s="37" t="n"/>
      <c r="H1855" s="37" t="n"/>
      <c r="I1855" s="37">
        <f>IF(G1855="","",G1855+N(H1855))</f>
        <v/>
      </c>
      <c r="J1855" s="36" t="n"/>
      <c r="K1855" s="40" t="n"/>
      <c r="L1855" s="36" t="n"/>
      <c r="M1855">
        <f>IF($A1855=Ficha!$B$3,COUNTIF($A$5:$A1855,Ficha!$B$3),"")</f>
        <v/>
      </c>
    </row>
    <row r="1856">
      <c r="A1856" s="38" t="n"/>
      <c r="B1856" s="41">
        <f>IF(A1856="","",IFERROR(INDEX(Maniobras!$B$5:$B$504,MATCH(A1856,Maniobras!$A$5:$A$504,0)),""))</f>
        <v/>
      </c>
      <c r="C1856" s="38">
        <f>IF(B1856="","",TEXT(B1856,"yyyy-mm"))</f>
        <v/>
      </c>
      <c r="D1856" s="38">
        <f>IF(A1856="","",IFERROR(INDEX(Maniobras!$D$5:$D$504,MATCH(A1856,Maniobras!$A$5:$A$504,0)),""))</f>
        <v/>
      </c>
      <c r="E1856" s="38" t="n"/>
      <c r="F1856" s="39">
        <f>IF(A1856="","",IFERROR(INDEX(Maniobras!$K$5:$K$504,MATCH(A1856,Maniobras!$A$5:$A$504,0)),""))</f>
        <v/>
      </c>
      <c r="G1856" s="39" t="n"/>
      <c r="H1856" s="39" t="n"/>
      <c r="I1856" s="39">
        <f>IF(G1856="","",G1856+N(H1856))</f>
        <v/>
      </c>
      <c r="J1856" s="38" t="n"/>
      <c r="K1856" s="41" t="n"/>
      <c r="L1856" s="38" t="n"/>
      <c r="M1856">
        <f>IF($A1856=Ficha!$B$3,COUNTIF($A$5:$A1856,Ficha!$B$3),"")</f>
        <v/>
      </c>
    </row>
    <row r="1857">
      <c r="A1857" s="36" t="n"/>
      <c r="B1857" s="40">
        <f>IF(A1857="","",IFERROR(INDEX(Maniobras!$B$5:$B$504,MATCH(A1857,Maniobras!$A$5:$A$504,0)),""))</f>
        <v/>
      </c>
      <c r="C1857" s="36">
        <f>IF(B1857="","",TEXT(B1857,"yyyy-mm"))</f>
        <v/>
      </c>
      <c r="D1857" s="36">
        <f>IF(A1857="","",IFERROR(INDEX(Maniobras!$D$5:$D$504,MATCH(A1857,Maniobras!$A$5:$A$504,0)),""))</f>
        <v/>
      </c>
      <c r="E1857" s="36" t="n"/>
      <c r="F1857" s="37">
        <f>IF(A1857="","",IFERROR(INDEX(Maniobras!$K$5:$K$504,MATCH(A1857,Maniobras!$A$5:$A$504,0)),""))</f>
        <v/>
      </c>
      <c r="G1857" s="37" t="n"/>
      <c r="H1857" s="37" t="n"/>
      <c r="I1857" s="37">
        <f>IF(G1857="","",G1857+N(H1857))</f>
        <v/>
      </c>
      <c r="J1857" s="36" t="n"/>
      <c r="K1857" s="40" t="n"/>
      <c r="L1857" s="36" t="n"/>
      <c r="M1857">
        <f>IF($A1857=Ficha!$B$3,COUNTIF($A$5:$A1857,Ficha!$B$3),"")</f>
        <v/>
      </c>
    </row>
    <row r="1858">
      <c r="A1858" s="38" t="n"/>
      <c r="B1858" s="41">
        <f>IF(A1858="","",IFERROR(INDEX(Maniobras!$B$5:$B$504,MATCH(A1858,Maniobras!$A$5:$A$504,0)),""))</f>
        <v/>
      </c>
      <c r="C1858" s="38">
        <f>IF(B1858="","",TEXT(B1858,"yyyy-mm"))</f>
        <v/>
      </c>
      <c r="D1858" s="38">
        <f>IF(A1858="","",IFERROR(INDEX(Maniobras!$D$5:$D$504,MATCH(A1858,Maniobras!$A$5:$A$504,0)),""))</f>
        <v/>
      </c>
      <c r="E1858" s="38" t="n"/>
      <c r="F1858" s="39">
        <f>IF(A1858="","",IFERROR(INDEX(Maniobras!$K$5:$K$504,MATCH(A1858,Maniobras!$A$5:$A$504,0)),""))</f>
        <v/>
      </c>
      <c r="G1858" s="39" t="n"/>
      <c r="H1858" s="39" t="n"/>
      <c r="I1858" s="39">
        <f>IF(G1858="","",G1858+N(H1858))</f>
        <v/>
      </c>
      <c r="J1858" s="38" t="n"/>
      <c r="K1858" s="41" t="n"/>
      <c r="L1858" s="38" t="n"/>
      <c r="M1858">
        <f>IF($A1858=Ficha!$B$3,COUNTIF($A$5:$A1858,Ficha!$B$3),"")</f>
        <v/>
      </c>
    </row>
    <row r="1859">
      <c r="A1859" s="36" t="n"/>
      <c r="B1859" s="40">
        <f>IF(A1859="","",IFERROR(INDEX(Maniobras!$B$5:$B$504,MATCH(A1859,Maniobras!$A$5:$A$504,0)),""))</f>
        <v/>
      </c>
      <c r="C1859" s="36">
        <f>IF(B1859="","",TEXT(B1859,"yyyy-mm"))</f>
        <v/>
      </c>
      <c r="D1859" s="36">
        <f>IF(A1859="","",IFERROR(INDEX(Maniobras!$D$5:$D$504,MATCH(A1859,Maniobras!$A$5:$A$504,0)),""))</f>
        <v/>
      </c>
      <c r="E1859" s="36" t="n"/>
      <c r="F1859" s="37">
        <f>IF(A1859="","",IFERROR(INDEX(Maniobras!$K$5:$K$504,MATCH(A1859,Maniobras!$A$5:$A$504,0)),""))</f>
        <v/>
      </c>
      <c r="G1859" s="37" t="n"/>
      <c r="H1859" s="37" t="n"/>
      <c r="I1859" s="37">
        <f>IF(G1859="","",G1859+N(H1859))</f>
        <v/>
      </c>
      <c r="J1859" s="36" t="n"/>
      <c r="K1859" s="40" t="n"/>
      <c r="L1859" s="36" t="n"/>
      <c r="M1859">
        <f>IF($A1859=Ficha!$B$3,COUNTIF($A$5:$A1859,Ficha!$B$3),"")</f>
        <v/>
      </c>
    </row>
    <row r="1860">
      <c r="A1860" s="38" t="n"/>
      <c r="B1860" s="41">
        <f>IF(A1860="","",IFERROR(INDEX(Maniobras!$B$5:$B$504,MATCH(A1860,Maniobras!$A$5:$A$504,0)),""))</f>
        <v/>
      </c>
      <c r="C1860" s="38">
        <f>IF(B1860="","",TEXT(B1860,"yyyy-mm"))</f>
        <v/>
      </c>
      <c r="D1860" s="38">
        <f>IF(A1860="","",IFERROR(INDEX(Maniobras!$D$5:$D$504,MATCH(A1860,Maniobras!$A$5:$A$504,0)),""))</f>
        <v/>
      </c>
      <c r="E1860" s="38" t="n"/>
      <c r="F1860" s="39">
        <f>IF(A1860="","",IFERROR(INDEX(Maniobras!$K$5:$K$504,MATCH(A1860,Maniobras!$A$5:$A$504,0)),""))</f>
        <v/>
      </c>
      <c r="G1860" s="39" t="n"/>
      <c r="H1860" s="39" t="n"/>
      <c r="I1860" s="39">
        <f>IF(G1860="","",G1860+N(H1860))</f>
        <v/>
      </c>
      <c r="J1860" s="38" t="n"/>
      <c r="K1860" s="41" t="n"/>
      <c r="L1860" s="38" t="n"/>
      <c r="M1860">
        <f>IF($A1860=Ficha!$B$3,COUNTIF($A$5:$A1860,Ficha!$B$3),"")</f>
        <v/>
      </c>
    </row>
    <row r="1861">
      <c r="A1861" s="36" t="n"/>
      <c r="B1861" s="40">
        <f>IF(A1861="","",IFERROR(INDEX(Maniobras!$B$5:$B$504,MATCH(A1861,Maniobras!$A$5:$A$504,0)),""))</f>
        <v/>
      </c>
      <c r="C1861" s="36">
        <f>IF(B1861="","",TEXT(B1861,"yyyy-mm"))</f>
        <v/>
      </c>
      <c r="D1861" s="36">
        <f>IF(A1861="","",IFERROR(INDEX(Maniobras!$D$5:$D$504,MATCH(A1861,Maniobras!$A$5:$A$504,0)),""))</f>
        <v/>
      </c>
      <c r="E1861" s="36" t="n"/>
      <c r="F1861" s="37">
        <f>IF(A1861="","",IFERROR(INDEX(Maniobras!$K$5:$K$504,MATCH(A1861,Maniobras!$A$5:$A$504,0)),""))</f>
        <v/>
      </c>
      <c r="G1861" s="37" t="n"/>
      <c r="H1861" s="37" t="n"/>
      <c r="I1861" s="37">
        <f>IF(G1861="","",G1861+N(H1861))</f>
        <v/>
      </c>
      <c r="J1861" s="36" t="n"/>
      <c r="K1861" s="40" t="n"/>
      <c r="L1861" s="36" t="n"/>
      <c r="M1861">
        <f>IF($A1861=Ficha!$B$3,COUNTIF($A$5:$A1861,Ficha!$B$3),"")</f>
        <v/>
      </c>
    </row>
    <row r="1862">
      <c r="A1862" s="38" t="n"/>
      <c r="B1862" s="41">
        <f>IF(A1862="","",IFERROR(INDEX(Maniobras!$B$5:$B$504,MATCH(A1862,Maniobras!$A$5:$A$504,0)),""))</f>
        <v/>
      </c>
      <c r="C1862" s="38">
        <f>IF(B1862="","",TEXT(B1862,"yyyy-mm"))</f>
        <v/>
      </c>
      <c r="D1862" s="38">
        <f>IF(A1862="","",IFERROR(INDEX(Maniobras!$D$5:$D$504,MATCH(A1862,Maniobras!$A$5:$A$504,0)),""))</f>
        <v/>
      </c>
      <c r="E1862" s="38" t="n"/>
      <c r="F1862" s="39">
        <f>IF(A1862="","",IFERROR(INDEX(Maniobras!$K$5:$K$504,MATCH(A1862,Maniobras!$A$5:$A$504,0)),""))</f>
        <v/>
      </c>
      <c r="G1862" s="39" t="n"/>
      <c r="H1862" s="39" t="n"/>
      <c r="I1862" s="39">
        <f>IF(G1862="","",G1862+N(H1862))</f>
        <v/>
      </c>
      <c r="J1862" s="38" t="n"/>
      <c r="K1862" s="41" t="n"/>
      <c r="L1862" s="38" t="n"/>
      <c r="M1862">
        <f>IF($A1862=Ficha!$B$3,COUNTIF($A$5:$A1862,Ficha!$B$3),"")</f>
        <v/>
      </c>
    </row>
    <row r="1863">
      <c r="A1863" s="36" t="n"/>
      <c r="B1863" s="40">
        <f>IF(A1863="","",IFERROR(INDEX(Maniobras!$B$5:$B$504,MATCH(A1863,Maniobras!$A$5:$A$504,0)),""))</f>
        <v/>
      </c>
      <c r="C1863" s="36">
        <f>IF(B1863="","",TEXT(B1863,"yyyy-mm"))</f>
        <v/>
      </c>
      <c r="D1863" s="36">
        <f>IF(A1863="","",IFERROR(INDEX(Maniobras!$D$5:$D$504,MATCH(A1863,Maniobras!$A$5:$A$504,0)),""))</f>
        <v/>
      </c>
      <c r="E1863" s="36" t="n"/>
      <c r="F1863" s="37">
        <f>IF(A1863="","",IFERROR(INDEX(Maniobras!$K$5:$K$504,MATCH(A1863,Maniobras!$A$5:$A$504,0)),""))</f>
        <v/>
      </c>
      <c r="G1863" s="37" t="n"/>
      <c r="H1863" s="37" t="n"/>
      <c r="I1863" s="37">
        <f>IF(G1863="","",G1863+N(H1863))</f>
        <v/>
      </c>
      <c r="J1863" s="36" t="n"/>
      <c r="K1863" s="40" t="n"/>
      <c r="L1863" s="36" t="n"/>
      <c r="M1863">
        <f>IF($A1863=Ficha!$B$3,COUNTIF($A$5:$A1863,Ficha!$B$3),"")</f>
        <v/>
      </c>
    </row>
    <row r="1864">
      <c r="A1864" s="38" t="n"/>
      <c r="B1864" s="41">
        <f>IF(A1864="","",IFERROR(INDEX(Maniobras!$B$5:$B$504,MATCH(A1864,Maniobras!$A$5:$A$504,0)),""))</f>
        <v/>
      </c>
      <c r="C1864" s="38">
        <f>IF(B1864="","",TEXT(B1864,"yyyy-mm"))</f>
        <v/>
      </c>
      <c r="D1864" s="38">
        <f>IF(A1864="","",IFERROR(INDEX(Maniobras!$D$5:$D$504,MATCH(A1864,Maniobras!$A$5:$A$504,0)),""))</f>
        <v/>
      </c>
      <c r="E1864" s="38" t="n"/>
      <c r="F1864" s="39">
        <f>IF(A1864="","",IFERROR(INDEX(Maniobras!$K$5:$K$504,MATCH(A1864,Maniobras!$A$5:$A$504,0)),""))</f>
        <v/>
      </c>
      <c r="G1864" s="39" t="n"/>
      <c r="H1864" s="39" t="n"/>
      <c r="I1864" s="39">
        <f>IF(G1864="","",G1864+N(H1864))</f>
        <v/>
      </c>
      <c r="J1864" s="38" t="n"/>
      <c r="K1864" s="41" t="n"/>
      <c r="L1864" s="38" t="n"/>
      <c r="M1864">
        <f>IF($A1864=Ficha!$B$3,COUNTIF($A$5:$A1864,Ficha!$B$3),"")</f>
        <v/>
      </c>
    </row>
    <row r="1865">
      <c r="A1865" s="36" t="n"/>
      <c r="B1865" s="40">
        <f>IF(A1865="","",IFERROR(INDEX(Maniobras!$B$5:$B$504,MATCH(A1865,Maniobras!$A$5:$A$504,0)),""))</f>
        <v/>
      </c>
      <c r="C1865" s="36">
        <f>IF(B1865="","",TEXT(B1865,"yyyy-mm"))</f>
        <v/>
      </c>
      <c r="D1865" s="36">
        <f>IF(A1865="","",IFERROR(INDEX(Maniobras!$D$5:$D$504,MATCH(A1865,Maniobras!$A$5:$A$504,0)),""))</f>
        <v/>
      </c>
      <c r="E1865" s="36" t="n"/>
      <c r="F1865" s="37">
        <f>IF(A1865="","",IFERROR(INDEX(Maniobras!$K$5:$K$504,MATCH(A1865,Maniobras!$A$5:$A$504,0)),""))</f>
        <v/>
      </c>
      <c r="G1865" s="37" t="n"/>
      <c r="H1865" s="37" t="n"/>
      <c r="I1865" s="37">
        <f>IF(G1865="","",G1865+N(H1865))</f>
        <v/>
      </c>
      <c r="J1865" s="36" t="n"/>
      <c r="K1865" s="40" t="n"/>
      <c r="L1865" s="36" t="n"/>
      <c r="M1865">
        <f>IF($A1865=Ficha!$B$3,COUNTIF($A$5:$A1865,Ficha!$B$3),"")</f>
        <v/>
      </c>
    </row>
    <row r="1866">
      <c r="A1866" s="38" t="n"/>
      <c r="B1866" s="41">
        <f>IF(A1866="","",IFERROR(INDEX(Maniobras!$B$5:$B$504,MATCH(A1866,Maniobras!$A$5:$A$504,0)),""))</f>
        <v/>
      </c>
      <c r="C1866" s="38">
        <f>IF(B1866="","",TEXT(B1866,"yyyy-mm"))</f>
        <v/>
      </c>
      <c r="D1866" s="38">
        <f>IF(A1866="","",IFERROR(INDEX(Maniobras!$D$5:$D$504,MATCH(A1866,Maniobras!$A$5:$A$504,0)),""))</f>
        <v/>
      </c>
      <c r="E1866" s="38" t="n"/>
      <c r="F1866" s="39">
        <f>IF(A1866="","",IFERROR(INDEX(Maniobras!$K$5:$K$504,MATCH(A1866,Maniobras!$A$5:$A$504,0)),""))</f>
        <v/>
      </c>
      <c r="G1866" s="39" t="n"/>
      <c r="H1866" s="39" t="n"/>
      <c r="I1866" s="39">
        <f>IF(G1866="","",G1866+N(H1866))</f>
        <v/>
      </c>
      <c r="J1866" s="38" t="n"/>
      <c r="K1866" s="41" t="n"/>
      <c r="L1866" s="38" t="n"/>
      <c r="M1866">
        <f>IF($A1866=Ficha!$B$3,COUNTIF($A$5:$A1866,Ficha!$B$3),"")</f>
        <v/>
      </c>
    </row>
    <row r="1867">
      <c r="A1867" s="36" t="n"/>
      <c r="B1867" s="40">
        <f>IF(A1867="","",IFERROR(INDEX(Maniobras!$B$5:$B$504,MATCH(A1867,Maniobras!$A$5:$A$504,0)),""))</f>
        <v/>
      </c>
      <c r="C1867" s="36">
        <f>IF(B1867="","",TEXT(B1867,"yyyy-mm"))</f>
        <v/>
      </c>
      <c r="D1867" s="36">
        <f>IF(A1867="","",IFERROR(INDEX(Maniobras!$D$5:$D$504,MATCH(A1867,Maniobras!$A$5:$A$504,0)),""))</f>
        <v/>
      </c>
      <c r="E1867" s="36" t="n"/>
      <c r="F1867" s="37">
        <f>IF(A1867="","",IFERROR(INDEX(Maniobras!$K$5:$K$504,MATCH(A1867,Maniobras!$A$5:$A$504,0)),""))</f>
        <v/>
      </c>
      <c r="G1867" s="37" t="n"/>
      <c r="H1867" s="37" t="n"/>
      <c r="I1867" s="37">
        <f>IF(G1867="","",G1867+N(H1867))</f>
        <v/>
      </c>
      <c r="J1867" s="36" t="n"/>
      <c r="K1867" s="40" t="n"/>
      <c r="L1867" s="36" t="n"/>
      <c r="M1867">
        <f>IF($A1867=Ficha!$B$3,COUNTIF($A$5:$A1867,Ficha!$B$3),"")</f>
        <v/>
      </c>
    </row>
    <row r="1868">
      <c r="A1868" s="38" t="n"/>
      <c r="B1868" s="41">
        <f>IF(A1868="","",IFERROR(INDEX(Maniobras!$B$5:$B$504,MATCH(A1868,Maniobras!$A$5:$A$504,0)),""))</f>
        <v/>
      </c>
      <c r="C1868" s="38">
        <f>IF(B1868="","",TEXT(B1868,"yyyy-mm"))</f>
        <v/>
      </c>
      <c r="D1868" s="38">
        <f>IF(A1868="","",IFERROR(INDEX(Maniobras!$D$5:$D$504,MATCH(A1868,Maniobras!$A$5:$A$504,0)),""))</f>
        <v/>
      </c>
      <c r="E1868" s="38" t="n"/>
      <c r="F1868" s="39">
        <f>IF(A1868="","",IFERROR(INDEX(Maniobras!$K$5:$K$504,MATCH(A1868,Maniobras!$A$5:$A$504,0)),""))</f>
        <v/>
      </c>
      <c r="G1868" s="39" t="n"/>
      <c r="H1868" s="39" t="n"/>
      <c r="I1868" s="39">
        <f>IF(G1868="","",G1868+N(H1868))</f>
        <v/>
      </c>
      <c r="J1868" s="38" t="n"/>
      <c r="K1868" s="41" t="n"/>
      <c r="L1868" s="38" t="n"/>
      <c r="M1868">
        <f>IF($A1868=Ficha!$B$3,COUNTIF($A$5:$A1868,Ficha!$B$3),"")</f>
        <v/>
      </c>
    </row>
    <row r="1869">
      <c r="A1869" s="36" t="n"/>
      <c r="B1869" s="40">
        <f>IF(A1869="","",IFERROR(INDEX(Maniobras!$B$5:$B$504,MATCH(A1869,Maniobras!$A$5:$A$504,0)),""))</f>
        <v/>
      </c>
      <c r="C1869" s="36">
        <f>IF(B1869="","",TEXT(B1869,"yyyy-mm"))</f>
        <v/>
      </c>
      <c r="D1869" s="36">
        <f>IF(A1869="","",IFERROR(INDEX(Maniobras!$D$5:$D$504,MATCH(A1869,Maniobras!$A$5:$A$504,0)),""))</f>
        <v/>
      </c>
      <c r="E1869" s="36" t="n"/>
      <c r="F1869" s="37">
        <f>IF(A1869="","",IFERROR(INDEX(Maniobras!$K$5:$K$504,MATCH(A1869,Maniobras!$A$5:$A$504,0)),""))</f>
        <v/>
      </c>
      <c r="G1869" s="37" t="n"/>
      <c r="H1869" s="37" t="n"/>
      <c r="I1869" s="37">
        <f>IF(G1869="","",G1869+N(H1869))</f>
        <v/>
      </c>
      <c r="J1869" s="36" t="n"/>
      <c r="K1869" s="40" t="n"/>
      <c r="L1869" s="36" t="n"/>
      <c r="M1869">
        <f>IF($A1869=Ficha!$B$3,COUNTIF($A$5:$A1869,Ficha!$B$3),"")</f>
        <v/>
      </c>
    </row>
    <row r="1870">
      <c r="A1870" s="38" t="n"/>
      <c r="B1870" s="41">
        <f>IF(A1870="","",IFERROR(INDEX(Maniobras!$B$5:$B$504,MATCH(A1870,Maniobras!$A$5:$A$504,0)),""))</f>
        <v/>
      </c>
      <c r="C1870" s="38">
        <f>IF(B1870="","",TEXT(B1870,"yyyy-mm"))</f>
        <v/>
      </c>
      <c r="D1870" s="38">
        <f>IF(A1870="","",IFERROR(INDEX(Maniobras!$D$5:$D$504,MATCH(A1870,Maniobras!$A$5:$A$504,0)),""))</f>
        <v/>
      </c>
      <c r="E1870" s="38" t="n"/>
      <c r="F1870" s="39">
        <f>IF(A1870="","",IFERROR(INDEX(Maniobras!$K$5:$K$504,MATCH(A1870,Maniobras!$A$5:$A$504,0)),""))</f>
        <v/>
      </c>
      <c r="G1870" s="39" t="n"/>
      <c r="H1870" s="39" t="n"/>
      <c r="I1870" s="39">
        <f>IF(G1870="","",G1870+N(H1870))</f>
        <v/>
      </c>
      <c r="J1870" s="38" t="n"/>
      <c r="K1870" s="41" t="n"/>
      <c r="L1870" s="38" t="n"/>
      <c r="M1870">
        <f>IF($A1870=Ficha!$B$3,COUNTIF($A$5:$A1870,Ficha!$B$3),"")</f>
        <v/>
      </c>
    </row>
    <row r="1871">
      <c r="A1871" s="36" t="n"/>
      <c r="B1871" s="40">
        <f>IF(A1871="","",IFERROR(INDEX(Maniobras!$B$5:$B$504,MATCH(A1871,Maniobras!$A$5:$A$504,0)),""))</f>
        <v/>
      </c>
      <c r="C1871" s="36">
        <f>IF(B1871="","",TEXT(B1871,"yyyy-mm"))</f>
        <v/>
      </c>
      <c r="D1871" s="36">
        <f>IF(A1871="","",IFERROR(INDEX(Maniobras!$D$5:$D$504,MATCH(A1871,Maniobras!$A$5:$A$504,0)),""))</f>
        <v/>
      </c>
      <c r="E1871" s="36" t="n"/>
      <c r="F1871" s="37">
        <f>IF(A1871="","",IFERROR(INDEX(Maniobras!$K$5:$K$504,MATCH(A1871,Maniobras!$A$5:$A$504,0)),""))</f>
        <v/>
      </c>
      <c r="G1871" s="37" t="n"/>
      <c r="H1871" s="37" t="n"/>
      <c r="I1871" s="37">
        <f>IF(G1871="","",G1871+N(H1871))</f>
        <v/>
      </c>
      <c r="J1871" s="36" t="n"/>
      <c r="K1871" s="40" t="n"/>
      <c r="L1871" s="36" t="n"/>
      <c r="M1871">
        <f>IF($A1871=Ficha!$B$3,COUNTIF($A$5:$A1871,Ficha!$B$3),"")</f>
        <v/>
      </c>
    </row>
    <row r="1872">
      <c r="A1872" s="38" t="n"/>
      <c r="B1872" s="41">
        <f>IF(A1872="","",IFERROR(INDEX(Maniobras!$B$5:$B$504,MATCH(A1872,Maniobras!$A$5:$A$504,0)),""))</f>
        <v/>
      </c>
      <c r="C1872" s="38">
        <f>IF(B1872="","",TEXT(B1872,"yyyy-mm"))</f>
        <v/>
      </c>
      <c r="D1872" s="38">
        <f>IF(A1872="","",IFERROR(INDEX(Maniobras!$D$5:$D$504,MATCH(A1872,Maniobras!$A$5:$A$504,0)),""))</f>
        <v/>
      </c>
      <c r="E1872" s="38" t="n"/>
      <c r="F1872" s="39">
        <f>IF(A1872="","",IFERROR(INDEX(Maniobras!$K$5:$K$504,MATCH(A1872,Maniobras!$A$5:$A$504,0)),""))</f>
        <v/>
      </c>
      <c r="G1872" s="39" t="n"/>
      <c r="H1872" s="39" t="n"/>
      <c r="I1872" s="39">
        <f>IF(G1872="","",G1872+N(H1872))</f>
        <v/>
      </c>
      <c r="J1872" s="38" t="n"/>
      <c r="K1872" s="41" t="n"/>
      <c r="L1872" s="38" t="n"/>
      <c r="M1872">
        <f>IF($A1872=Ficha!$B$3,COUNTIF($A$5:$A1872,Ficha!$B$3),"")</f>
        <v/>
      </c>
    </row>
    <row r="1873">
      <c r="A1873" s="36" t="n"/>
      <c r="B1873" s="40">
        <f>IF(A1873="","",IFERROR(INDEX(Maniobras!$B$5:$B$504,MATCH(A1873,Maniobras!$A$5:$A$504,0)),""))</f>
        <v/>
      </c>
      <c r="C1873" s="36">
        <f>IF(B1873="","",TEXT(B1873,"yyyy-mm"))</f>
        <v/>
      </c>
      <c r="D1873" s="36">
        <f>IF(A1873="","",IFERROR(INDEX(Maniobras!$D$5:$D$504,MATCH(A1873,Maniobras!$A$5:$A$504,0)),""))</f>
        <v/>
      </c>
      <c r="E1873" s="36" t="n"/>
      <c r="F1873" s="37">
        <f>IF(A1873="","",IFERROR(INDEX(Maniobras!$K$5:$K$504,MATCH(A1873,Maniobras!$A$5:$A$504,0)),""))</f>
        <v/>
      </c>
      <c r="G1873" s="37" t="n"/>
      <c r="H1873" s="37" t="n"/>
      <c r="I1873" s="37">
        <f>IF(G1873="","",G1873+N(H1873))</f>
        <v/>
      </c>
      <c r="J1873" s="36" t="n"/>
      <c r="K1873" s="40" t="n"/>
      <c r="L1873" s="36" t="n"/>
      <c r="M1873">
        <f>IF($A1873=Ficha!$B$3,COUNTIF($A$5:$A1873,Ficha!$B$3),"")</f>
        <v/>
      </c>
    </row>
    <row r="1874">
      <c r="A1874" s="38" t="n"/>
      <c r="B1874" s="41">
        <f>IF(A1874="","",IFERROR(INDEX(Maniobras!$B$5:$B$504,MATCH(A1874,Maniobras!$A$5:$A$504,0)),""))</f>
        <v/>
      </c>
      <c r="C1874" s="38">
        <f>IF(B1874="","",TEXT(B1874,"yyyy-mm"))</f>
        <v/>
      </c>
      <c r="D1874" s="38">
        <f>IF(A1874="","",IFERROR(INDEX(Maniobras!$D$5:$D$504,MATCH(A1874,Maniobras!$A$5:$A$504,0)),""))</f>
        <v/>
      </c>
      <c r="E1874" s="38" t="n"/>
      <c r="F1874" s="39">
        <f>IF(A1874="","",IFERROR(INDEX(Maniobras!$K$5:$K$504,MATCH(A1874,Maniobras!$A$5:$A$504,0)),""))</f>
        <v/>
      </c>
      <c r="G1874" s="39" t="n"/>
      <c r="H1874" s="39" t="n"/>
      <c r="I1874" s="39">
        <f>IF(G1874="","",G1874+N(H1874))</f>
        <v/>
      </c>
      <c r="J1874" s="38" t="n"/>
      <c r="K1874" s="41" t="n"/>
      <c r="L1874" s="38" t="n"/>
      <c r="M1874">
        <f>IF($A1874=Ficha!$B$3,COUNTIF($A$5:$A1874,Ficha!$B$3),"")</f>
        <v/>
      </c>
    </row>
    <row r="1875">
      <c r="A1875" s="36" t="n"/>
      <c r="B1875" s="40">
        <f>IF(A1875="","",IFERROR(INDEX(Maniobras!$B$5:$B$504,MATCH(A1875,Maniobras!$A$5:$A$504,0)),""))</f>
        <v/>
      </c>
      <c r="C1875" s="36">
        <f>IF(B1875="","",TEXT(B1875,"yyyy-mm"))</f>
        <v/>
      </c>
      <c r="D1875" s="36">
        <f>IF(A1875="","",IFERROR(INDEX(Maniobras!$D$5:$D$504,MATCH(A1875,Maniobras!$A$5:$A$504,0)),""))</f>
        <v/>
      </c>
      <c r="E1875" s="36" t="n"/>
      <c r="F1875" s="37">
        <f>IF(A1875="","",IFERROR(INDEX(Maniobras!$K$5:$K$504,MATCH(A1875,Maniobras!$A$5:$A$504,0)),""))</f>
        <v/>
      </c>
      <c r="G1875" s="37" t="n"/>
      <c r="H1875" s="37" t="n"/>
      <c r="I1875" s="37">
        <f>IF(G1875="","",G1875+N(H1875))</f>
        <v/>
      </c>
      <c r="J1875" s="36" t="n"/>
      <c r="K1875" s="40" t="n"/>
      <c r="L1875" s="36" t="n"/>
      <c r="M1875">
        <f>IF($A1875=Ficha!$B$3,COUNTIF($A$5:$A1875,Ficha!$B$3),"")</f>
        <v/>
      </c>
    </row>
    <row r="1876">
      <c r="A1876" s="38" t="n"/>
      <c r="B1876" s="41">
        <f>IF(A1876="","",IFERROR(INDEX(Maniobras!$B$5:$B$504,MATCH(A1876,Maniobras!$A$5:$A$504,0)),""))</f>
        <v/>
      </c>
      <c r="C1876" s="38">
        <f>IF(B1876="","",TEXT(B1876,"yyyy-mm"))</f>
        <v/>
      </c>
      <c r="D1876" s="38">
        <f>IF(A1876="","",IFERROR(INDEX(Maniobras!$D$5:$D$504,MATCH(A1876,Maniobras!$A$5:$A$504,0)),""))</f>
        <v/>
      </c>
      <c r="E1876" s="38" t="n"/>
      <c r="F1876" s="39">
        <f>IF(A1876="","",IFERROR(INDEX(Maniobras!$K$5:$K$504,MATCH(A1876,Maniobras!$A$5:$A$504,0)),""))</f>
        <v/>
      </c>
      <c r="G1876" s="39" t="n"/>
      <c r="H1876" s="39" t="n"/>
      <c r="I1876" s="39">
        <f>IF(G1876="","",G1876+N(H1876))</f>
        <v/>
      </c>
      <c r="J1876" s="38" t="n"/>
      <c r="K1876" s="41" t="n"/>
      <c r="L1876" s="38" t="n"/>
      <c r="M1876">
        <f>IF($A1876=Ficha!$B$3,COUNTIF($A$5:$A1876,Ficha!$B$3),"")</f>
        <v/>
      </c>
    </row>
    <row r="1877">
      <c r="A1877" s="36" t="n"/>
      <c r="B1877" s="40">
        <f>IF(A1877="","",IFERROR(INDEX(Maniobras!$B$5:$B$504,MATCH(A1877,Maniobras!$A$5:$A$504,0)),""))</f>
        <v/>
      </c>
      <c r="C1877" s="36">
        <f>IF(B1877="","",TEXT(B1877,"yyyy-mm"))</f>
        <v/>
      </c>
      <c r="D1877" s="36">
        <f>IF(A1877="","",IFERROR(INDEX(Maniobras!$D$5:$D$504,MATCH(A1877,Maniobras!$A$5:$A$504,0)),""))</f>
        <v/>
      </c>
      <c r="E1877" s="36" t="n"/>
      <c r="F1877" s="37">
        <f>IF(A1877="","",IFERROR(INDEX(Maniobras!$K$5:$K$504,MATCH(A1877,Maniobras!$A$5:$A$504,0)),""))</f>
        <v/>
      </c>
      <c r="G1877" s="37" t="n"/>
      <c r="H1877" s="37" t="n"/>
      <c r="I1877" s="37">
        <f>IF(G1877="","",G1877+N(H1877))</f>
        <v/>
      </c>
      <c r="J1877" s="36" t="n"/>
      <c r="K1877" s="40" t="n"/>
      <c r="L1877" s="36" t="n"/>
      <c r="M1877">
        <f>IF($A1877=Ficha!$B$3,COUNTIF($A$5:$A1877,Ficha!$B$3),"")</f>
        <v/>
      </c>
    </row>
    <row r="1878">
      <c r="A1878" s="38" t="n"/>
      <c r="B1878" s="41">
        <f>IF(A1878="","",IFERROR(INDEX(Maniobras!$B$5:$B$504,MATCH(A1878,Maniobras!$A$5:$A$504,0)),""))</f>
        <v/>
      </c>
      <c r="C1878" s="38">
        <f>IF(B1878="","",TEXT(B1878,"yyyy-mm"))</f>
        <v/>
      </c>
      <c r="D1878" s="38">
        <f>IF(A1878="","",IFERROR(INDEX(Maniobras!$D$5:$D$504,MATCH(A1878,Maniobras!$A$5:$A$504,0)),""))</f>
        <v/>
      </c>
      <c r="E1878" s="38" t="n"/>
      <c r="F1878" s="39">
        <f>IF(A1878="","",IFERROR(INDEX(Maniobras!$K$5:$K$504,MATCH(A1878,Maniobras!$A$5:$A$504,0)),""))</f>
        <v/>
      </c>
      <c r="G1878" s="39" t="n"/>
      <c r="H1878" s="39" t="n"/>
      <c r="I1878" s="39">
        <f>IF(G1878="","",G1878+N(H1878))</f>
        <v/>
      </c>
      <c r="J1878" s="38" t="n"/>
      <c r="K1878" s="41" t="n"/>
      <c r="L1878" s="38" t="n"/>
      <c r="M1878">
        <f>IF($A1878=Ficha!$B$3,COUNTIF($A$5:$A1878,Ficha!$B$3),"")</f>
        <v/>
      </c>
    </row>
    <row r="1879">
      <c r="A1879" s="36" t="n"/>
      <c r="B1879" s="40">
        <f>IF(A1879="","",IFERROR(INDEX(Maniobras!$B$5:$B$504,MATCH(A1879,Maniobras!$A$5:$A$504,0)),""))</f>
        <v/>
      </c>
      <c r="C1879" s="36">
        <f>IF(B1879="","",TEXT(B1879,"yyyy-mm"))</f>
        <v/>
      </c>
      <c r="D1879" s="36">
        <f>IF(A1879="","",IFERROR(INDEX(Maniobras!$D$5:$D$504,MATCH(A1879,Maniobras!$A$5:$A$504,0)),""))</f>
        <v/>
      </c>
      <c r="E1879" s="36" t="n"/>
      <c r="F1879" s="37">
        <f>IF(A1879="","",IFERROR(INDEX(Maniobras!$K$5:$K$504,MATCH(A1879,Maniobras!$A$5:$A$504,0)),""))</f>
        <v/>
      </c>
      <c r="G1879" s="37" t="n"/>
      <c r="H1879" s="37" t="n"/>
      <c r="I1879" s="37">
        <f>IF(G1879="","",G1879+N(H1879))</f>
        <v/>
      </c>
      <c r="J1879" s="36" t="n"/>
      <c r="K1879" s="40" t="n"/>
      <c r="L1879" s="36" t="n"/>
      <c r="M1879">
        <f>IF($A1879=Ficha!$B$3,COUNTIF($A$5:$A1879,Ficha!$B$3),"")</f>
        <v/>
      </c>
    </row>
    <row r="1880">
      <c r="A1880" s="38" t="n"/>
      <c r="B1880" s="41">
        <f>IF(A1880="","",IFERROR(INDEX(Maniobras!$B$5:$B$504,MATCH(A1880,Maniobras!$A$5:$A$504,0)),""))</f>
        <v/>
      </c>
      <c r="C1880" s="38">
        <f>IF(B1880="","",TEXT(B1880,"yyyy-mm"))</f>
        <v/>
      </c>
      <c r="D1880" s="38">
        <f>IF(A1880="","",IFERROR(INDEX(Maniobras!$D$5:$D$504,MATCH(A1880,Maniobras!$A$5:$A$504,0)),""))</f>
        <v/>
      </c>
      <c r="E1880" s="38" t="n"/>
      <c r="F1880" s="39">
        <f>IF(A1880="","",IFERROR(INDEX(Maniobras!$K$5:$K$504,MATCH(A1880,Maniobras!$A$5:$A$504,0)),""))</f>
        <v/>
      </c>
      <c r="G1880" s="39" t="n"/>
      <c r="H1880" s="39" t="n"/>
      <c r="I1880" s="39">
        <f>IF(G1880="","",G1880+N(H1880))</f>
        <v/>
      </c>
      <c r="J1880" s="38" t="n"/>
      <c r="K1880" s="41" t="n"/>
      <c r="L1880" s="38" t="n"/>
      <c r="M1880">
        <f>IF($A1880=Ficha!$B$3,COUNTIF($A$5:$A1880,Ficha!$B$3),"")</f>
        <v/>
      </c>
    </row>
    <row r="1881">
      <c r="A1881" s="36" t="n"/>
      <c r="B1881" s="40">
        <f>IF(A1881="","",IFERROR(INDEX(Maniobras!$B$5:$B$504,MATCH(A1881,Maniobras!$A$5:$A$504,0)),""))</f>
        <v/>
      </c>
      <c r="C1881" s="36">
        <f>IF(B1881="","",TEXT(B1881,"yyyy-mm"))</f>
        <v/>
      </c>
      <c r="D1881" s="36">
        <f>IF(A1881="","",IFERROR(INDEX(Maniobras!$D$5:$D$504,MATCH(A1881,Maniobras!$A$5:$A$504,0)),""))</f>
        <v/>
      </c>
      <c r="E1881" s="36" t="n"/>
      <c r="F1881" s="37">
        <f>IF(A1881="","",IFERROR(INDEX(Maniobras!$K$5:$K$504,MATCH(A1881,Maniobras!$A$5:$A$504,0)),""))</f>
        <v/>
      </c>
      <c r="G1881" s="37" t="n"/>
      <c r="H1881" s="37" t="n"/>
      <c r="I1881" s="37">
        <f>IF(G1881="","",G1881+N(H1881))</f>
        <v/>
      </c>
      <c r="J1881" s="36" t="n"/>
      <c r="K1881" s="40" t="n"/>
      <c r="L1881" s="36" t="n"/>
      <c r="M1881">
        <f>IF($A1881=Ficha!$B$3,COUNTIF($A$5:$A1881,Ficha!$B$3),"")</f>
        <v/>
      </c>
    </row>
    <row r="1882">
      <c r="A1882" s="38" t="n"/>
      <c r="B1882" s="41">
        <f>IF(A1882="","",IFERROR(INDEX(Maniobras!$B$5:$B$504,MATCH(A1882,Maniobras!$A$5:$A$504,0)),""))</f>
        <v/>
      </c>
      <c r="C1882" s="38">
        <f>IF(B1882="","",TEXT(B1882,"yyyy-mm"))</f>
        <v/>
      </c>
      <c r="D1882" s="38">
        <f>IF(A1882="","",IFERROR(INDEX(Maniobras!$D$5:$D$504,MATCH(A1882,Maniobras!$A$5:$A$504,0)),""))</f>
        <v/>
      </c>
      <c r="E1882" s="38" t="n"/>
      <c r="F1882" s="39">
        <f>IF(A1882="","",IFERROR(INDEX(Maniobras!$K$5:$K$504,MATCH(A1882,Maniobras!$A$5:$A$504,0)),""))</f>
        <v/>
      </c>
      <c r="G1882" s="39" t="n"/>
      <c r="H1882" s="39" t="n"/>
      <c r="I1882" s="39">
        <f>IF(G1882="","",G1882+N(H1882))</f>
        <v/>
      </c>
      <c r="J1882" s="38" t="n"/>
      <c r="K1882" s="41" t="n"/>
      <c r="L1882" s="38" t="n"/>
      <c r="M1882">
        <f>IF($A1882=Ficha!$B$3,COUNTIF($A$5:$A1882,Ficha!$B$3),"")</f>
        <v/>
      </c>
    </row>
    <row r="1883">
      <c r="A1883" s="36" t="n"/>
      <c r="B1883" s="40">
        <f>IF(A1883="","",IFERROR(INDEX(Maniobras!$B$5:$B$504,MATCH(A1883,Maniobras!$A$5:$A$504,0)),""))</f>
        <v/>
      </c>
      <c r="C1883" s="36">
        <f>IF(B1883="","",TEXT(B1883,"yyyy-mm"))</f>
        <v/>
      </c>
      <c r="D1883" s="36">
        <f>IF(A1883="","",IFERROR(INDEX(Maniobras!$D$5:$D$504,MATCH(A1883,Maniobras!$A$5:$A$504,0)),""))</f>
        <v/>
      </c>
      <c r="E1883" s="36" t="n"/>
      <c r="F1883" s="37">
        <f>IF(A1883="","",IFERROR(INDEX(Maniobras!$K$5:$K$504,MATCH(A1883,Maniobras!$A$5:$A$504,0)),""))</f>
        <v/>
      </c>
      <c r="G1883" s="37" t="n"/>
      <c r="H1883" s="37" t="n"/>
      <c r="I1883" s="37">
        <f>IF(G1883="","",G1883+N(H1883))</f>
        <v/>
      </c>
      <c r="J1883" s="36" t="n"/>
      <c r="K1883" s="40" t="n"/>
      <c r="L1883" s="36" t="n"/>
      <c r="M1883">
        <f>IF($A1883=Ficha!$B$3,COUNTIF($A$5:$A1883,Ficha!$B$3),"")</f>
        <v/>
      </c>
    </row>
    <row r="1884">
      <c r="A1884" s="38" t="n"/>
      <c r="B1884" s="41">
        <f>IF(A1884="","",IFERROR(INDEX(Maniobras!$B$5:$B$504,MATCH(A1884,Maniobras!$A$5:$A$504,0)),""))</f>
        <v/>
      </c>
      <c r="C1884" s="38">
        <f>IF(B1884="","",TEXT(B1884,"yyyy-mm"))</f>
        <v/>
      </c>
      <c r="D1884" s="38">
        <f>IF(A1884="","",IFERROR(INDEX(Maniobras!$D$5:$D$504,MATCH(A1884,Maniobras!$A$5:$A$504,0)),""))</f>
        <v/>
      </c>
      <c r="E1884" s="38" t="n"/>
      <c r="F1884" s="39">
        <f>IF(A1884="","",IFERROR(INDEX(Maniobras!$K$5:$K$504,MATCH(A1884,Maniobras!$A$5:$A$504,0)),""))</f>
        <v/>
      </c>
      <c r="G1884" s="39" t="n"/>
      <c r="H1884" s="39" t="n"/>
      <c r="I1884" s="39">
        <f>IF(G1884="","",G1884+N(H1884))</f>
        <v/>
      </c>
      <c r="J1884" s="38" t="n"/>
      <c r="K1884" s="41" t="n"/>
      <c r="L1884" s="38" t="n"/>
      <c r="M1884">
        <f>IF($A1884=Ficha!$B$3,COUNTIF($A$5:$A1884,Ficha!$B$3),"")</f>
        <v/>
      </c>
    </row>
    <row r="1885">
      <c r="A1885" s="36" t="n"/>
      <c r="B1885" s="40">
        <f>IF(A1885="","",IFERROR(INDEX(Maniobras!$B$5:$B$504,MATCH(A1885,Maniobras!$A$5:$A$504,0)),""))</f>
        <v/>
      </c>
      <c r="C1885" s="36">
        <f>IF(B1885="","",TEXT(B1885,"yyyy-mm"))</f>
        <v/>
      </c>
      <c r="D1885" s="36">
        <f>IF(A1885="","",IFERROR(INDEX(Maniobras!$D$5:$D$504,MATCH(A1885,Maniobras!$A$5:$A$504,0)),""))</f>
        <v/>
      </c>
      <c r="E1885" s="36" t="n"/>
      <c r="F1885" s="37">
        <f>IF(A1885="","",IFERROR(INDEX(Maniobras!$K$5:$K$504,MATCH(A1885,Maniobras!$A$5:$A$504,0)),""))</f>
        <v/>
      </c>
      <c r="G1885" s="37" t="n"/>
      <c r="H1885" s="37" t="n"/>
      <c r="I1885" s="37">
        <f>IF(G1885="","",G1885+N(H1885))</f>
        <v/>
      </c>
      <c r="J1885" s="36" t="n"/>
      <c r="K1885" s="40" t="n"/>
      <c r="L1885" s="36" t="n"/>
      <c r="M1885">
        <f>IF($A1885=Ficha!$B$3,COUNTIF($A$5:$A1885,Ficha!$B$3),"")</f>
        <v/>
      </c>
    </row>
    <row r="1886">
      <c r="A1886" s="38" t="n"/>
      <c r="B1886" s="41">
        <f>IF(A1886="","",IFERROR(INDEX(Maniobras!$B$5:$B$504,MATCH(A1886,Maniobras!$A$5:$A$504,0)),""))</f>
        <v/>
      </c>
      <c r="C1886" s="38">
        <f>IF(B1886="","",TEXT(B1886,"yyyy-mm"))</f>
        <v/>
      </c>
      <c r="D1886" s="38">
        <f>IF(A1886="","",IFERROR(INDEX(Maniobras!$D$5:$D$504,MATCH(A1886,Maniobras!$A$5:$A$504,0)),""))</f>
        <v/>
      </c>
      <c r="E1886" s="38" t="n"/>
      <c r="F1886" s="39">
        <f>IF(A1886="","",IFERROR(INDEX(Maniobras!$K$5:$K$504,MATCH(A1886,Maniobras!$A$5:$A$504,0)),""))</f>
        <v/>
      </c>
      <c r="G1886" s="39" t="n"/>
      <c r="H1886" s="39" t="n"/>
      <c r="I1886" s="39">
        <f>IF(G1886="","",G1886+N(H1886))</f>
        <v/>
      </c>
      <c r="J1886" s="38" t="n"/>
      <c r="K1886" s="41" t="n"/>
      <c r="L1886" s="38" t="n"/>
      <c r="M1886">
        <f>IF($A1886=Ficha!$B$3,COUNTIF($A$5:$A1886,Ficha!$B$3),"")</f>
        <v/>
      </c>
    </row>
    <row r="1887">
      <c r="A1887" s="36" t="n"/>
      <c r="B1887" s="40">
        <f>IF(A1887="","",IFERROR(INDEX(Maniobras!$B$5:$B$504,MATCH(A1887,Maniobras!$A$5:$A$504,0)),""))</f>
        <v/>
      </c>
      <c r="C1887" s="36">
        <f>IF(B1887="","",TEXT(B1887,"yyyy-mm"))</f>
        <v/>
      </c>
      <c r="D1887" s="36">
        <f>IF(A1887="","",IFERROR(INDEX(Maniobras!$D$5:$D$504,MATCH(A1887,Maniobras!$A$5:$A$504,0)),""))</f>
        <v/>
      </c>
      <c r="E1887" s="36" t="n"/>
      <c r="F1887" s="37">
        <f>IF(A1887="","",IFERROR(INDEX(Maniobras!$K$5:$K$504,MATCH(A1887,Maniobras!$A$5:$A$504,0)),""))</f>
        <v/>
      </c>
      <c r="G1887" s="37" t="n"/>
      <c r="H1887" s="37" t="n"/>
      <c r="I1887" s="37">
        <f>IF(G1887="","",G1887+N(H1887))</f>
        <v/>
      </c>
      <c r="J1887" s="36" t="n"/>
      <c r="K1887" s="40" t="n"/>
      <c r="L1887" s="36" t="n"/>
      <c r="M1887">
        <f>IF($A1887=Ficha!$B$3,COUNTIF($A$5:$A1887,Ficha!$B$3),"")</f>
        <v/>
      </c>
    </row>
    <row r="1888">
      <c r="A1888" s="38" t="n"/>
      <c r="B1888" s="41">
        <f>IF(A1888="","",IFERROR(INDEX(Maniobras!$B$5:$B$504,MATCH(A1888,Maniobras!$A$5:$A$504,0)),""))</f>
        <v/>
      </c>
      <c r="C1888" s="38">
        <f>IF(B1888="","",TEXT(B1888,"yyyy-mm"))</f>
        <v/>
      </c>
      <c r="D1888" s="38">
        <f>IF(A1888="","",IFERROR(INDEX(Maniobras!$D$5:$D$504,MATCH(A1888,Maniobras!$A$5:$A$504,0)),""))</f>
        <v/>
      </c>
      <c r="E1888" s="38" t="n"/>
      <c r="F1888" s="39">
        <f>IF(A1888="","",IFERROR(INDEX(Maniobras!$K$5:$K$504,MATCH(A1888,Maniobras!$A$5:$A$504,0)),""))</f>
        <v/>
      </c>
      <c r="G1888" s="39" t="n"/>
      <c r="H1888" s="39" t="n"/>
      <c r="I1888" s="39">
        <f>IF(G1888="","",G1888+N(H1888))</f>
        <v/>
      </c>
      <c r="J1888" s="38" t="n"/>
      <c r="K1888" s="41" t="n"/>
      <c r="L1888" s="38" t="n"/>
      <c r="M1888">
        <f>IF($A1888=Ficha!$B$3,COUNTIF($A$5:$A1888,Ficha!$B$3),"")</f>
        <v/>
      </c>
    </row>
    <row r="1889">
      <c r="A1889" s="36" t="n"/>
      <c r="B1889" s="40">
        <f>IF(A1889="","",IFERROR(INDEX(Maniobras!$B$5:$B$504,MATCH(A1889,Maniobras!$A$5:$A$504,0)),""))</f>
        <v/>
      </c>
      <c r="C1889" s="36">
        <f>IF(B1889="","",TEXT(B1889,"yyyy-mm"))</f>
        <v/>
      </c>
      <c r="D1889" s="36">
        <f>IF(A1889="","",IFERROR(INDEX(Maniobras!$D$5:$D$504,MATCH(A1889,Maniobras!$A$5:$A$504,0)),""))</f>
        <v/>
      </c>
      <c r="E1889" s="36" t="n"/>
      <c r="F1889" s="37">
        <f>IF(A1889="","",IFERROR(INDEX(Maniobras!$K$5:$K$504,MATCH(A1889,Maniobras!$A$5:$A$504,0)),""))</f>
        <v/>
      </c>
      <c r="G1889" s="37" t="n"/>
      <c r="H1889" s="37" t="n"/>
      <c r="I1889" s="37">
        <f>IF(G1889="","",G1889+N(H1889))</f>
        <v/>
      </c>
      <c r="J1889" s="36" t="n"/>
      <c r="K1889" s="40" t="n"/>
      <c r="L1889" s="36" t="n"/>
      <c r="M1889">
        <f>IF($A1889=Ficha!$B$3,COUNTIF($A$5:$A1889,Ficha!$B$3),"")</f>
        <v/>
      </c>
    </row>
    <row r="1890">
      <c r="A1890" s="38" t="n"/>
      <c r="B1890" s="41">
        <f>IF(A1890="","",IFERROR(INDEX(Maniobras!$B$5:$B$504,MATCH(A1890,Maniobras!$A$5:$A$504,0)),""))</f>
        <v/>
      </c>
      <c r="C1890" s="38">
        <f>IF(B1890="","",TEXT(B1890,"yyyy-mm"))</f>
        <v/>
      </c>
      <c r="D1890" s="38">
        <f>IF(A1890="","",IFERROR(INDEX(Maniobras!$D$5:$D$504,MATCH(A1890,Maniobras!$A$5:$A$504,0)),""))</f>
        <v/>
      </c>
      <c r="E1890" s="38" t="n"/>
      <c r="F1890" s="39">
        <f>IF(A1890="","",IFERROR(INDEX(Maniobras!$K$5:$K$504,MATCH(A1890,Maniobras!$A$5:$A$504,0)),""))</f>
        <v/>
      </c>
      <c r="G1890" s="39" t="n"/>
      <c r="H1890" s="39" t="n"/>
      <c r="I1890" s="39">
        <f>IF(G1890="","",G1890+N(H1890))</f>
        <v/>
      </c>
      <c r="J1890" s="38" t="n"/>
      <c r="K1890" s="41" t="n"/>
      <c r="L1890" s="38" t="n"/>
      <c r="M1890">
        <f>IF($A1890=Ficha!$B$3,COUNTIF($A$5:$A1890,Ficha!$B$3),"")</f>
        <v/>
      </c>
    </row>
    <row r="1891">
      <c r="A1891" s="36" t="n"/>
      <c r="B1891" s="40">
        <f>IF(A1891="","",IFERROR(INDEX(Maniobras!$B$5:$B$504,MATCH(A1891,Maniobras!$A$5:$A$504,0)),""))</f>
        <v/>
      </c>
      <c r="C1891" s="36">
        <f>IF(B1891="","",TEXT(B1891,"yyyy-mm"))</f>
        <v/>
      </c>
      <c r="D1891" s="36">
        <f>IF(A1891="","",IFERROR(INDEX(Maniobras!$D$5:$D$504,MATCH(A1891,Maniobras!$A$5:$A$504,0)),""))</f>
        <v/>
      </c>
      <c r="E1891" s="36" t="n"/>
      <c r="F1891" s="37">
        <f>IF(A1891="","",IFERROR(INDEX(Maniobras!$K$5:$K$504,MATCH(A1891,Maniobras!$A$5:$A$504,0)),""))</f>
        <v/>
      </c>
      <c r="G1891" s="37" t="n"/>
      <c r="H1891" s="37" t="n"/>
      <c r="I1891" s="37">
        <f>IF(G1891="","",G1891+N(H1891))</f>
        <v/>
      </c>
      <c r="J1891" s="36" t="n"/>
      <c r="K1891" s="40" t="n"/>
      <c r="L1891" s="36" t="n"/>
      <c r="M1891">
        <f>IF($A1891=Ficha!$B$3,COUNTIF($A$5:$A1891,Ficha!$B$3),"")</f>
        <v/>
      </c>
    </row>
    <row r="1892">
      <c r="A1892" s="38" t="n"/>
      <c r="B1892" s="41">
        <f>IF(A1892="","",IFERROR(INDEX(Maniobras!$B$5:$B$504,MATCH(A1892,Maniobras!$A$5:$A$504,0)),""))</f>
        <v/>
      </c>
      <c r="C1892" s="38">
        <f>IF(B1892="","",TEXT(B1892,"yyyy-mm"))</f>
        <v/>
      </c>
      <c r="D1892" s="38">
        <f>IF(A1892="","",IFERROR(INDEX(Maniobras!$D$5:$D$504,MATCH(A1892,Maniobras!$A$5:$A$504,0)),""))</f>
        <v/>
      </c>
      <c r="E1892" s="38" t="n"/>
      <c r="F1892" s="39">
        <f>IF(A1892="","",IFERROR(INDEX(Maniobras!$K$5:$K$504,MATCH(A1892,Maniobras!$A$5:$A$504,0)),""))</f>
        <v/>
      </c>
      <c r="G1892" s="39" t="n"/>
      <c r="H1892" s="39" t="n"/>
      <c r="I1892" s="39">
        <f>IF(G1892="","",G1892+N(H1892))</f>
        <v/>
      </c>
      <c r="J1892" s="38" t="n"/>
      <c r="K1892" s="41" t="n"/>
      <c r="L1892" s="38" t="n"/>
      <c r="M1892">
        <f>IF($A1892=Ficha!$B$3,COUNTIF($A$5:$A1892,Ficha!$B$3),"")</f>
        <v/>
      </c>
    </row>
    <row r="1893">
      <c r="A1893" s="36" t="n"/>
      <c r="B1893" s="40">
        <f>IF(A1893="","",IFERROR(INDEX(Maniobras!$B$5:$B$504,MATCH(A1893,Maniobras!$A$5:$A$504,0)),""))</f>
        <v/>
      </c>
      <c r="C1893" s="36">
        <f>IF(B1893="","",TEXT(B1893,"yyyy-mm"))</f>
        <v/>
      </c>
      <c r="D1893" s="36">
        <f>IF(A1893="","",IFERROR(INDEX(Maniobras!$D$5:$D$504,MATCH(A1893,Maniobras!$A$5:$A$504,0)),""))</f>
        <v/>
      </c>
      <c r="E1893" s="36" t="n"/>
      <c r="F1893" s="37">
        <f>IF(A1893="","",IFERROR(INDEX(Maniobras!$K$5:$K$504,MATCH(A1893,Maniobras!$A$5:$A$504,0)),""))</f>
        <v/>
      </c>
      <c r="G1893" s="37" t="n"/>
      <c r="H1893" s="37" t="n"/>
      <c r="I1893" s="37">
        <f>IF(G1893="","",G1893+N(H1893))</f>
        <v/>
      </c>
      <c r="J1893" s="36" t="n"/>
      <c r="K1893" s="40" t="n"/>
      <c r="L1893" s="36" t="n"/>
      <c r="M1893">
        <f>IF($A1893=Ficha!$B$3,COUNTIF($A$5:$A1893,Ficha!$B$3),"")</f>
        <v/>
      </c>
    </row>
    <row r="1894">
      <c r="A1894" s="38" t="n"/>
      <c r="B1894" s="41">
        <f>IF(A1894="","",IFERROR(INDEX(Maniobras!$B$5:$B$504,MATCH(A1894,Maniobras!$A$5:$A$504,0)),""))</f>
        <v/>
      </c>
      <c r="C1894" s="38">
        <f>IF(B1894="","",TEXT(B1894,"yyyy-mm"))</f>
        <v/>
      </c>
      <c r="D1894" s="38">
        <f>IF(A1894="","",IFERROR(INDEX(Maniobras!$D$5:$D$504,MATCH(A1894,Maniobras!$A$5:$A$504,0)),""))</f>
        <v/>
      </c>
      <c r="E1894" s="38" t="n"/>
      <c r="F1894" s="39">
        <f>IF(A1894="","",IFERROR(INDEX(Maniobras!$K$5:$K$504,MATCH(A1894,Maniobras!$A$5:$A$504,0)),""))</f>
        <v/>
      </c>
      <c r="G1894" s="39" t="n"/>
      <c r="H1894" s="39" t="n"/>
      <c r="I1894" s="39">
        <f>IF(G1894="","",G1894+N(H1894))</f>
        <v/>
      </c>
      <c r="J1894" s="38" t="n"/>
      <c r="K1894" s="41" t="n"/>
      <c r="L1894" s="38" t="n"/>
      <c r="M1894">
        <f>IF($A1894=Ficha!$B$3,COUNTIF($A$5:$A1894,Ficha!$B$3),"")</f>
        <v/>
      </c>
    </row>
    <row r="1895">
      <c r="A1895" s="36" t="n"/>
      <c r="B1895" s="40">
        <f>IF(A1895="","",IFERROR(INDEX(Maniobras!$B$5:$B$504,MATCH(A1895,Maniobras!$A$5:$A$504,0)),""))</f>
        <v/>
      </c>
      <c r="C1895" s="36">
        <f>IF(B1895="","",TEXT(B1895,"yyyy-mm"))</f>
        <v/>
      </c>
      <c r="D1895" s="36">
        <f>IF(A1895="","",IFERROR(INDEX(Maniobras!$D$5:$D$504,MATCH(A1895,Maniobras!$A$5:$A$504,0)),""))</f>
        <v/>
      </c>
      <c r="E1895" s="36" t="n"/>
      <c r="F1895" s="37">
        <f>IF(A1895="","",IFERROR(INDEX(Maniobras!$K$5:$K$504,MATCH(A1895,Maniobras!$A$5:$A$504,0)),""))</f>
        <v/>
      </c>
      <c r="G1895" s="37" t="n"/>
      <c r="H1895" s="37" t="n"/>
      <c r="I1895" s="37">
        <f>IF(G1895="","",G1895+N(H1895))</f>
        <v/>
      </c>
      <c r="J1895" s="36" t="n"/>
      <c r="K1895" s="40" t="n"/>
      <c r="L1895" s="36" t="n"/>
      <c r="M1895">
        <f>IF($A1895=Ficha!$B$3,COUNTIF($A$5:$A1895,Ficha!$B$3),"")</f>
        <v/>
      </c>
    </row>
    <row r="1896">
      <c r="A1896" s="38" t="n"/>
      <c r="B1896" s="41">
        <f>IF(A1896="","",IFERROR(INDEX(Maniobras!$B$5:$B$504,MATCH(A1896,Maniobras!$A$5:$A$504,0)),""))</f>
        <v/>
      </c>
      <c r="C1896" s="38">
        <f>IF(B1896="","",TEXT(B1896,"yyyy-mm"))</f>
        <v/>
      </c>
      <c r="D1896" s="38">
        <f>IF(A1896="","",IFERROR(INDEX(Maniobras!$D$5:$D$504,MATCH(A1896,Maniobras!$A$5:$A$504,0)),""))</f>
        <v/>
      </c>
      <c r="E1896" s="38" t="n"/>
      <c r="F1896" s="39">
        <f>IF(A1896="","",IFERROR(INDEX(Maniobras!$K$5:$K$504,MATCH(A1896,Maniobras!$A$5:$A$504,0)),""))</f>
        <v/>
      </c>
      <c r="G1896" s="39" t="n"/>
      <c r="H1896" s="39" t="n"/>
      <c r="I1896" s="39">
        <f>IF(G1896="","",G1896+N(H1896))</f>
        <v/>
      </c>
      <c r="J1896" s="38" t="n"/>
      <c r="K1896" s="41" t="n"/>
      <c r="L1896" s="38" t="n"/>
      <c r="M1896">
        <f>IF($A1896=Ficha!$B$3,COUNTIF($A$5:$A1896,Ficha!$B$3),"")</f>
        <v/>
      </c>
    </row>
    <row r="1897">
      <c r="A1897" s="36" t="n"/>
      <c r="B1897" s="40">
        <f>IF(A1897="","",IFERROR(INDEX(Maniobras!$B$5:$B$504,MATCH(A1897,Maniobras!$A$5:$A$504,0)),""))</f>
        <v/>
      </c>
      <c r="C1897" s="36">
        <f>IF(B1897="","",TEXT(B1897,"yyyy-mm"))</f>
        <v/>
      </c>
      <c r="D1897" s="36">
        <f>IF(A1897="","",IFERROR(INDEX(Maniobras!$D$5:$D$504,MATCH(A1897,Maniobras!$A$5:$A$504,0)),""))</f>
        <v/>
      </c>
      <c r="E1897" s="36" t="n"/>
      <c r="F1897" s="37">
        <f>IF(A1897="","",IFERROR(INDEX(Maniobras!$K$5:$K$504,MATCH(A1897,Maniobras!$A$5:$A$504,0)),""))</f>
        <v/>
      </c>
      <c r="G1897" s="37" t="n"/>
      <c r="H1897" s="37" t="n"/>
      <c r="I1897" s="37">
        <f>IF(G1897="","",G1897+N(H1897))</f>
        <v/>
      </c>
      <c r="J1897" s="36" t="n"/>
      <c r="K1897" s="40" t="n"/>
      <c r="L1897" s="36" t="n"/>
      <c r="M1897">
        <f>IF($A1897=Ficha!$B$3,COUNTIF($A$5:$A1897,Ficha!$B$3),"")</f>
        <v/>
      </c>
    </row>
    <row r="1898">
      <c r="A1898" s="38" t="n"/>
      <c r="B1898" s="41">
        <f>IF(A1898="","",IFERROR(INDEX(Maniobras!$B$5:$B$504,MATCH(A1898,Maniobras!$A$5:$A$504,0)),""))</f>
        <v/>
      </c>
      <c r="C1898" s="38">
        <f>IF(B1898="","",TEXT(B1898,"yyyy-mm"))</f>
        <v/>
      </c>
      <c r="D1898" s="38">
        <f>IF(A1898="","",IFERROR(INDEX(Maniobras!$D$5:$D$504,MATCH(A1898,Maniobras!$A$5:$A$504,0)),""))</f>
        <v/>
      </c>
      <c r="E1898" s="38" t="n"/>
      <c r="F1898" s="39">
        <f>IF(A1898="","",IFERROR(INDEX(Maniobras!$K$5:$K$504,MATCH(A1898,Maniobras!$A$5:$A$504,0)),""))</f>
        <v/>
      </c>
      <c r="G1898" s="39" t="n"/>
      <c r="H1898" s="39" t="n"/>
      <c r="I1898" s="39">
        <f>IF(G1898="","",G1898+N(H1898))</f>
        <v/>
      </c>
      <c r="J1898" s="38" t="n"/>
      <c r="K1898" s="41" t="n"/>
      <c r="L1898" s="38" t="n"/>
      <c r="M1898">
        <f>IF($A1898=Ficha!$B$3,COUNTIF($A$5:$A1898,Ficha!$B$3),"")</f>
        <v/>
      </c>
    </row>
    <row r="1899">
      <c r="A1899" s="36" t="n"/>
      <c r="B1899" s="40">
        <f>IF(A1899="","",IFERROR(INDEX(Maniobras!$B$5:$B$504,MATCH(A1899,Maniobras!$A$5:$A$504,0)),""))</f>
        <v/>
      </c>
      <c r="C1899" s="36">
        <f>IF(B1899="","",TEXT(B1899,"yyyy-mm"))</f>
        <v/>
      </c>
      <c r="D1899" s="36">
        <f>IF(A1899="","",IFERROR(INDEX(Maniobras!$D$5:$D$504,MATCH(A1899,Maniobras!$A$5:$A$504,0)),""))</f>
        <v/>
      </c>
      <c r="E1899" s="36" t="n"/>
      <c r="F1899" s="37">
        <f>IF(A1899="","",IFERROR(INDEX(Maniobras!$K$5:$K$504,MATCH(A1899,Maniobras!$A$5:$A$504,0)),""))</f>
        <v/>
      </c>
      <c r="G1899" s="37" t="n"/>
      <c r="H1899" s="37" t="n"/>
      <c r="I1899" s="37">
        <f>IF(G1899="","",G1899+N(H1899))</f>
        <v/>
      </c>
      <c r="J1899" s="36" t="n"/>
      <c r="K1899" s="40" t="n"/>
      <c r="L1899" s="36" t="n"/>
      <c r="M1899">
        <f>IF($A1899=Ficha!$B$3,COUNTIF($A$5:$A1899,Ficha!$B$3),"")</f>
        <v/>
      </c>
    </row>
    <row r="1900">
      <c r="A1900" s="38" t="n"/>
      <c r="B1900" s="41">
        <f>IF(A1900="","",IFERROR(INDEX(Maniobras!$B$5:$B$504,MATCH(A1900,Maniobras!$A$5:$A$504,0)),""))</f>
        <v/>
      </c>
      <c r="C1900" s="38">
        <f>IF(B1900="","",TEXT(B1900,"yyyy-mm"))</f>
        <v/>
      </c>
      <c r="D1900" s="38">
        <f>IF(A1900="","",IFERROR(INDEX(Maniobras!$D$5:$D$504,MATCH(A1900,Maniobras!$A$5:$A$504,0)),""))</f>
        <v/>
      </c>
      <c r="E1900" s="38" t="n"/>
      <c r="F1900" s="39">
        <f>IF(A1900="","",IFERROR(INDEX(Maniobras!$K$5:$K$504,MATCH(A1900,Maniobras!$A$5:$A$504,0)),""))</f>
        <v/>
      </c>
      <c r="G1900" s="39" t="n"/>
      <c r="H1900" s="39" t="n"/>
      <c r="I1900" s="39">
        <f>IF(G1900="","",G1900+N(H1900))</f>
        <v/>
      </c>
      <c r="J1900" s="38" t="n"/>
      <c r="K1900" s="41" t="n"/>
      <c r="L1900" s="38" t="n"/>
      <c r="M1900">
        <f>IF($A1900=Ficha!$B$3,COUNTIF($A$5:$A1900,Ficha!$B$3),"")</f>
        <v/>
      </c>
    </row>
    <row r="1901">
      <c r="A1901" s="36" t="n"/>
      <c r="B1901" s="40">
        <f>IF(A1901="","",IFERROR(INDEX(Maniobras!$B$5:$B$504,MATCH(A1901,Maniobras!$A$5:$A$504,0)),""))</f>
        <v/>
      </c>
      <c r="C1901" s="36">
        <f>IF(B1901="","",TEXT(B1901,"yyyy-mm"))</f>
        <v/>
      </c>
      <c r="D1901" s="36">
        <f>IF(A1901="","",IFERROR(INDEX(Maniobras!$D$5:$D$504,MATCH(A1901,Maniobras!$A$5:$A$504,0)),""))</f>
        <v/>
      </c>
      <c r="E1901" s="36" t="n"/>
      <c r="F1901" s="37">
        <f>IF(A1901="","",IFERROR(INDEX(Maniobras!$K$5:$K$504,MATCH(A1901,Maniobras!$A$5:$A$504,0)),""))</f>
        <v/>
      </c>
      <c r="G1901" s="37" t="n"/>
      <c r="H1901" s="37" t="n"/>
      <c r="I1901" s="37">
        <f>IF(G1901="","",G1901+N(H1901))</f>
        <v/>
      </c>
      <c r="J1901" s="36" t="n"/>
      <c r="K1901" s="40" t="n"/>
      <c r="L1901" s="36" t="n"/>
      <c r="M1901">
        <f>IF($A1901=Ficha!$B$3,COUNTIF($A$5:$A1901,Ficha!$B$3),"")</f>
        <v/>
      </c>
    </row>
    <row r="1902">
      <c r="A1902" s="38" t="n"/>
      <c r="B1902" s="41">
        <f>IF(A1902="","",IFERROR(INDEX(Maniobras!$B$5:$B$504,MATCH(A1902,Maniobras!$A$5:$A$504,0)),""))</f>
        <v/>
      </c>
      <c r="C1902" s="38">
        <f>IF(B1902="","",TEXT(B1902,"yyyy-mm"))</f>
        <v/>
      </c>
      <c r="D1902" s="38">
        <f>IF(A1902="","",IFERROR(INDEX(Maniobras!$D$5:$D$504,MATCH(A1902,Maniobras!$A$5:$A$504,0)),""))</f>
        <v/>
      </c>
      <c r="E1902" s="38" t="n"/>
      <c r="F1902" s="39">
        <f>IF(A1902="","",IFERROR(INDEX(Maniobras!$K$5:$K$504,MATCH(A1902,Maniobras!$A$5:$A$504,0)),""))</f>
        <v/>
      </c>
      <c r="G1902" s="39" t="n"/>
      <c r="H1902" s="39" t="n"/>
      <c r="I1902" s="39">
        <f>IF(G1902="","",G1902+N(H1902))</f>
        <v/>
      </c>
      <c r="J1902" s="38" t="n"/>
      <c r="K1902" s="41" t="n"/>
      <c r="L1902" s="38" t="n"/>
      <c r="M1902">
        <f>IF($A1902=Ficha!$B$3,COUNTIF($A$5:$A1902,Ficha!$B$3),"")</f>
        <v/>
      </c>
    </row>
    <row r="1903">
      <c r="A1903" s="36" t="n"/>
      <c r="B1903" s="40">
        <f>IF(A1903="","",IFERROR(INDEX(Maniobras!$B$5:$B$504,MATCH(A1903,Maniobras!$A$5:$A$504,0)),""))</f>
        <v/>
      </c>
      <c r="C1903" s="36">
        <f>IF(B1903="","",TEXT(B1903,"yyyy-mm"))</f>
        <v/>
      </c>
      <c r="D1903" s="36">
        <f>IF(A1903="","",IFERROR(INDEX(Maniobras!$D$5:$D$504,MATCH(A1903,Maniobras!$A$5:$A$504,0)),""))</f>
        <v/>
      </c>
      <c r="E1903" s="36" t="n"/>
      <c r="F1903" s="37">
        <f>IF(A1903="","",IFERROR(INDEX(Maniobras!$K$5:$K$504,MATCH(A1903,Maniobras!$A$5:$A$504,0)),""))</f>
        <v/>
      </c>
      <c r="G1903" s="37" t="n"/>
      <c r="H1903" s="37" t="n"/>
      <c r="I1903" s="37">
        <f>IF(G1903="","",G1903+N(H1903))</f>
        <v/>
      </c>
      <c r="J1903" s="36" t="n"/>
      <c r="K1903" s="40" t="n"/>
      <c r="L1903" s="36" t="n"/>
      <c r="M1903">
        <f>IF($A1903=Ficha!$B$3,COUNTIF($A$5:$A1903,Ficha!$B$3),"")</f>
        <v/>
      </c>
    </row>
    <row r="1904">
      <c r="A1904" s="38" t="n"/>
      <c r="B1904" s="41">
        <f>IF(A1904="","",IFERROR(INDEX(Maniobras!$B$5:$B$504,MATCH(A1904,Maniobras!$A$5:$A$504,0)),""))</f>
        <v/>
      </c>
      <c r="C1904" s="38">
        <f>IF(B1904="","",TEXT(B1904,"yyyy-mm"))</f>
        <v/>
      </c>
      <c r="D1904" s="38">
        <f>IF(A1904="","",IFERROR(INDEX(Maniobras!$D$5:$D$504,MATCH(A1904,Maniobras!$A$5:$A$504,0)),""))</f>
        <v/>
      </c>
      <c r="E1904" s="38" t="n"/>
      <c r="F1904" s="39">
        <f>IF(A1904="","",IFERROR(INDEX(Maniobras!$K$5:$K$504,MATCH(A1904,Maniobras!$A$5:$A$504,0)),""))</f>
        <v/>
      </c>
      <c r="G1904" s="39" t="n"/>
      <c r="H1904" s="39" t="n"/>
      <c r="I1904" s="39">
        <f>IF(G1904="","",G1904+N(H1904))</f>
        <v/>
      </c>
      <c r="J1904" s="38" t="n"/>
      <c r="K1904" s="41" t="n"/>
      <c r="L1904" s="38" t="n"/>
      <c r="M1904">
        <f>IF($A1904=Ficha!$B$3,COUNTIF($A$5:$A1904,Ficha!$B$3),"")</f>
        <v/>
      </c>
    </row>
    <row r="1905">
      <c r="A1905" s="36" t="n"/>
      <c r="B1905" s="40">
        <f>IF(A1905="","",IFERROR(INDEX(Maniobras!$B$5:$B$504,MATCH(A1905,Maniobras!$A$5:$A$504,0)),""))</f>
        <v/>
      </c>
      <c r="C1905" s="36">
        <f>IF(B1905="","",TEXT(B1905,"yyyy-mm"))</f>
        <v/>
      </c>
      <c r="D1905" s="36">
        <f>IF(A1905="","",IFERROR(INDEX(Maniobras!$D$5:$D$504,MATCH(A1905,Maniobras!$A$5:$A$504,0)),""))</f>
        <v/>
      </c>
      <c r="E1905" s="36" t="n"/>
      <c r="F1905" s="37">
        <f>IF(A1905="","",IFERROR(INDEX(Maniobras!$K$5:$K$504,MATCH(A1905,Maniobras!$A$5:$A$504,0)),""))</f>
        <v/>
      </c>
      <c r="G1905" s="37" t="n"/>
      <c r="H1905" s="37" t="n"/>
      <c r="I1905" s="37">
        <f>IF(G1905="","",G1905+N(H1905))</f>
        <v/>
      </c>
      <c r="J1905" s="36" t="n"/>
      <c r="K1905" s="40" t="n"/>
      <c r="L1905" s="36" t="n"/>
      <c r="M1905">
        <f>IF($A1905=Ficha!$B$3,COUNTIF($A$5:$A1905,Ficha!$B$3),"")</f>
        <v/>
      </c>
    </row>
    <row r="1906">
      <c r="A1906" s="38" t="n"/>
      <c r="B1906" s="41">
        <f>IF(A1906="","",IFERROR(INDEX(Maniobras!$B$5:$B$504,MATCH(A1906,Maniobras!$A$5:$A$504,0)),""))</f>
        <v/>
      </c>
      <c r="C1906" s="38">
        <f>IF(B1906="","",TEXT(B1906,"yyyy-mm"))</f>
        <v/>
      </c>
      <c r="D1906" s="38">
        <f>IF(A1906="","",IFERROR(INDEX(Maniobras!$D$5:$D$504,MATCH(A1906,Maniobras!$A$5:$A$504,0)),""))</f>
        <v/>
      </c>
      <c r="E1906" s="38" t="n"/>
      <c r="F1906" s="39">
        <f>IF(A1906="","",IFERROR(INDEX(Maniobras!$K$5:$K$504,MATCH(A1906,Maniobras!$A$5:$A$504,0)),""))</f>
        <v/>
      </c>
      <c r="G1906" s="39" t="n"/>
      <c r="H1906" s="39" t="n"/>
      <c r="I1906" s="39">
        <f>IF(G1906="","",G1906+N(H1906))</f>
        <v/>
      </c>
      <c r="J1906" s="38" t="n"/>
      <c r="K1906" s="41" t="n"/>
      <c r="L1906" s="38" t="n"/>
      <c r="M1906">
        <f>IF($A1906=Ficha!$B$3,COUNTIF($A$5:$A1906,Ficha!$B$3),"")</f>
        <v/>
      </c>
    </row>
    <row r="1907">
      <c r="A1907" s="36" t="n"/>
      <c r="B1907" s="40">
        <f>IF(A1907="","",IFERROR(INDEX(Maniobras!$B$5:$B$504,MATCH(A1907,Maniobras!$A$5:$A$504,0)),""))</f>
        <v/>
      </c>
      <c r="C1907" s="36">
        <f>IF(B1907="","",TEXT(B1907,"yyyy-mm"))</f>
        <v/>
      </c>
      <c r="D1907" s="36">
        <f>IF(A1907="","",IFERROR(INDEX(Maniobras!$D$5:$D$504,MATCH(A1907,Maniobras!$A$5:$A$504,0)),""))</f>
        <v/>
      </c>
      <c r="E1907" s="36" t="n"/>
      <c r="F1907" s="37">
        <f>IF(A1907="","",IFERROR(INDEX(Maniobras!$K$5:$K$504,MATCH(A1907,Maniobras!$A$5:$A$504,0)),""))</f>
        <v/>
      </c>
      <c r="G1907" s="37" t="n"/>
      <c r="H1907" s="37" t="n"/>
      <c r="I1907" s="37">
        <f>IF(G1907="","",G1907+N(H1907))</f>
        <v/>
      </c>
      <c r="J1907" s="36" t="n"/>
      <c r="K1907" s="40" t="n"/>
      <c r="L1907" s="36" t="n"/>
      <c r="M1907">
        <f>IF($A1907=Ficha!$B$3,COUNTIF($A$5:$A1907,Ficha!$B$3),"")</f>
        <v/>
      </c>
    </row>
    <row r="1908">
      <c r="A1908" s="38" t="n"/>
      <c r="B1908" s="41">
        <f>IF(A1908="","",IFERROR(INDEX(Maniobras!$B$5:$B$504,MATCH(A1908,Maniobras!$A$5:$A$504,0)),""))</f>
        <v/>
      </c>
      <c r="C1908" s="38">
        <f>IF(B1908="","",TEXT(B1908,"yyyy-mm"))</f>
        <v/>
      </c>
      <c r="D1908" s="38">
        <f>IF(A1908="","",IFERROR(INDEX(Maniobras!$D$5:$D$504,MATCH(A1908,Maniobras!$A$5:$A$504,0)),""))</f>
        <v/>
      </c>
      <c r="E1908" s="38" t="n"/>
      <c r="F1908" s="39">
        <f>IF(A1908="","",IFERROR(INDEX(Maniobras!$K$5:$K$504,MATCH(A1908,Maniobras!$A$5:$A$504,0)),""))</f>
        <v/>
      </c>
      <c r="G1908" s="39" t="n"/>
      <c r="H1908" s="39" t="n"/>
      <c r="I1908" s="39">
        <f>IF(G1908="","",G1908+N(H1908))</f>
        <v/>
      </c>
      <c r="J1908" s="38" t="n"/>
      <c r="K1908" s="41" t="n"/>
      <c r="L1908" s="38" t="n"/>
      <c r="M1908">
        <f>IF($A1908=Ficha!$B$3,COUNTIF($A$5:$A1908,Ficha!$B$3),"")</f>
        <v/>
      </c>
    </row>
    <row r="1909">
      <c r="A1909" s="36" t="n"/>
      <c r="B1909" s="40">
        <f>IF(A1909="","",IFERROR(INDEX(Maniobras!$B$5:$B$504,MATCH(A1909,Maniobras!$A$5:$A$504,0)),""))</f>
        <v/>
      </c>
      <c r="C1909" s="36">
        <f>IF(B1909="","",TEXT(B1909,"yyyy-mm"))</f>
        <v/>
      </c>
      <c r="D1909" s="36">
        <f>IF(A1909="","",IFERROR(INDEX(Maniobras!$D$5:$D$504,MATCH(A1909,Maniobras!$A$5:$A$504,0)),""))</f>
        <v/>
      </c>
      <c r="E1909" s="36" t="n"/>
      <c r="F1909" s="37">
        <f>IF(A1909="","",IFERROR(INDEX(Maniobras!$K$5:$K$504,MATCH(A1909,Maniobras!$A$5:$A$504,0)),""))</f>
        <v/>
      </c>
      <c r="G1909" s="37" t="n"/>
      <c r="H1909" s="37" t="n"/>
      <c r="I1909" s="37">
        <f>IF(G1909="","",G1909+N(H1909))</f>
        <v/>
      </c>
      <c r="J1909" s="36" t="n"/>
      <c r="K1909" s="40" t="n"/>
      <c r="L1909" s="36" t="n"/>
      <c r="M1909">
        <f>IF($A1909=Ficha!$B$3,COUNTIF($A$5:$A1909,Ficha!$B$3),"")</f>
        <v/>
      </c>
    </row>
    <row r="1910">
      <c r="A1910" s="38" t="n"/>
      <c r="B1910" s="41">
        <f>IF(A1910="","",IFERROR(INDEX(Maniobras!$B$5:$B$504,MATCH(A1910,Maniobras!$A$5:$A$504,0)),""))</f>
        <v/>
      </c>
      <c r="C1910" s="38">
        <f>IF(B1910="","",TEXT(B1910,"yyyy-mm"))</f>
        <v/>
      </c>
      <c r="D1910" s="38">
        <f>IF(A1910="","",IFERROR(INDEX(Maniobras!$D$5:$D$504,MATCH(A1910,Maniobras!$A$5:$A$504,0)),""))</f>
        <v/>
      </c>
      <c r="E1910" s="38" t="n"/>
      <c r="F1910" s="39">
        <f>IF(A1910="","",IFERROR(INDEX(Maniobras!$K$5:$K$504,MATCH(A1910,Maniobras!$A$5:$A$504,0)),""))</f>
        <v/>
      </c>
      <c r="G1910" s="39" t="n"/>
      <c r="H1910" s="39" t="n"/>
      <c r="I1910" s="39">
        <f>IF(G1910="","",G1910+N(H1910))</f>
        <v/>
      </c>
      <c r="J1910" s="38" t="n"/>
      <c r="K1910" s="41" t="n"/>
      <c r="L1910" s="38" t="n"/>
      <c r="M1910">
        <f>IF($A1910=Ficha!$B$3,COUNTIF($A$5:$A1910,Ficha!$B$3),"")</f>
        <v/>
      </c>
    </row>
    <row r="1911">
      <c r="A1911" s="36" t="n"/>
      <c r="B1911" s="40">
        <f>IF(A1911="","",IFERROR(INDEX(Maniobras!$B$5:$B$504,MATCH(A1911,Maniobras!$A$5:$A$504,0)),""))</f>
        <v/>
      </c>
      <c r="C1911" s="36">
        <f>IF(B1911="","",TEXT(B1911,"yyyy-mm"))</f>
        <v/>
      </c>
      <c r="D1911" s="36">
        <f>IF(A1911="","",IFERROR(INDEX(Maniobras!$D$5:$D$504,MATCH(A1911,Maniobras!$A$5:$A$504,0)),""))</f>
        <v/>
      </c>
      <c r="E1911" s="36" t="n"/>
      <c r="F1911" s="37">
        <f>IF(A1911="","",IFERROR(INDEX(Maniobras!$K$5:$K$504,MATCH(A1911,Maniobras!$A$5:$A$504,0)),""))</f>
        <v/>
      </c>
      <c r="G1911" s="37" t="n"/>
      <c r="H1911" s="37" t="n"/>
      <c r="I1911" s="37">
        <f>IF(G1911="","",G1911+N(H1911))</f>
        <v/>
      </c>
      <c r="J1911" s="36" t="n"/>
      <c r="K1911" s="40" t="n"/>
      <c r="L1911" s="36" t="n"/>
      <c r="M1911">
        <f>IF($A1911=Ficha!$B$3,COUNTIF($A$5:$A1911,Ficha!$B$3),"")</f>
        <v/>
      </c>
    </row>
    <row r="1912">
      <c r="A1912" s="38" t="n"/>
      <c r="B1912" s="41">
        <f>IF(A1912="","",IFERROR(INDEX(Maniobras!$B$5:$B$504,MATCH(A1912,Maniobras!$A$5:$A$504,0)),""))</f>
        <v/>
      </c>
      <c r="C1912" s="38">
        <f>IF(B1912="","",TEXT(B1912,"yyyy-mm"))</f>
        <v/>
      </c>
      <c r="D1912" s="38">
        <f>IF(A1912="","",IFERROR(INDEX(Maniobras!$D$5:$D$504,MATCH(A1912,Maniobras!$A$5:$A$504,0)),""))</f>
        <v/>
      </c>
      <c r="E1912" s="38" t="n"/>
      <c r="F1912" s="39">
        <f>IF(A1912="","",IFERROR(INDEX(Maniobras!$K$5:$K$504,MATCH(A1912,Maniobras!$A$5:$A$504,0)),""))</f>
        <v/>
      </c>
      <c r="G1912" s="39" t="n"/>
      <c r="H1912" s="39" t="n"/>
      <c r="I1912" s="39">
        <f>IF(G1912="","",G1912+N(H1912))</f>
        <v/>
      </c>
      <c r="J1912" s="38" t="n"/>
      <c r="K1912" s="41" t="n"/>
      <c r="L1912" s="38" t="n"/>
      <c r="M1912">
        <f>IF($A1912=Ficha!$B$3,COUNTIF($A$5:$A1912,Ficha!$B$3),"")</f>
        <v/>
      </c>
    </row>
    <row r="1913">
      <c r="A1913" s="36" t="n"/>
      <c r="B1913" s="40">
        <f>IF(A1913="","",IFERROR(INDEX(Maniobras!$B$5:$B$504,MATCH(A1913,Maniobras!$A$5:$A$504,0)),""))</f>
        <v/>
      </c>
      <c r="C1913" s="36">
        <f>IF(B1913="","",TEXT(B1913,"yyyy-mm"))</f>
        <v/>
      </c>
      <c r="D1913" s="36">
        <f>IF(A1913="","",IFERROR(INDEX(Maniobras!$D$5:$D$504,MATCH(A1913,Maniobras!$A$5:$A$504,0)),""))</f>
        <v/>
      </c>
      <c r="E1913" s="36" t="n"/>
      <c r="F1913" s="37">
        <f>IF(A1913="","",IFERROR(INDEX(Maniobras!$K$5:$K$504,MATCH(A1913,Maniobras!$A$5:$A$504,0)),""))</f>
        <v/>
      </c>
      <c r="G1913" s="37" t="n"/>
      <c r="H1913" s="37" t="n"/>
      <c r="I1913" s="37">
        <f>IF(G1913="","",G1913+N(H1913))</f>
        <v/>
      </c>
      <c r="J1913" s="36" t="n"/>
      <c r="K1913" s="40" t="n"/>
      <c r="L1913" s="36" t="n"/>
      <c r="M1913">
        <f>IF($A1913=Ficha!$B$3,COUNTIF($A$5:$A1913,Ficha!$B$3),"")</f>
        <v/>
      </c>
    </row>
    <row r="1914">
      <c r="A1914" s="38" t="n"/>
      <c r="B1914" s="41">
        <f>IF(A1914="","",IFERROR(INDEX(Maniobras!$B$5:$B$504,MATCH(A1914,Maniobras!$A$5:$A$504,0)),""))</f>
        <v/>
      </c>
      <c r="C1914" s="38">
        <f>IF(B1914="","",TEXT(B1914,"yyyy-mm"))</f>
        <v/>
      </c>
      <c r="D1914" s="38">
        <f>IF(A1914="","",IFERROR(INDEX(Maniobras!$D$5:$D$504,MATCH(A1914,Maniobras!$A$5:$A$504,0)),""))</f>
        <v/>
      </c>
      <c r="E1914" s="38" t="n"/>
      <c r="F1914" s="39">
        <f>IF(A1914="","",IFERROR(INDEX(Maniobras!$K$5:$K$504,MATCH(A1914,Maniobras!$A$5:$A$504,0)),""))</f>
        <v/>
      </c>
      <c r="G1914" s="39" t="n"/>
      <c r="H1914" s="39" t="n"/>
      <c r="I1914" s="39">
        <f>IF(G1914="","",G1914+N(H1914))</f>
        <v/>
      </c>
      <c r="J1914" s="38" t="n"/>
      <c r="K1914" s="41" t="n"/>
      <c r="L1914" s="38" t="n"/>
      <c r="M1914">
        <f>IF($A1914=Ficha!$B$3,COUNTIF($A$5:$A1914,Ficha!$B$3),"")</f>
        <v/>
      </c>
    </row>
    <row r="1915">
      <c r="A1915" s="36" t="n"/>
      <c r="B1915" s="40">
        <f>IF(A1915="","",IFERROR(INDEX(Maniobras!$B$5:$B$504,MATCH(A1915,Maniobras!$A$5:$A$504,0)),""))</f>
        <v/>
      </c>
      <c r="C1915" s="36">
        <f>IF(B1915="","",TEXT(B1915,"yyyy-mm"))</f>
        <v/>
      </c>
      <c r="D1915" s="36">
        <f>IF(A1915="","",IFERROR(INDEX(Maniobras!$D$5:$D$504,MATCH(A1915,Maniobras!$A$5:$A$504,0)),""))</f>
        <v/>
      </c>
      <c r="E1915" s="36" t="n"/>
      <c r="F1915" s="37">
        <f>IF(A1915="","",IFERROR(INDEX(Maniobras!$K$5:$K$504,MATCH(A1915,Maniobras!$A$5:$A$504,0)),""))</f>
        <v/>
      </c>
      <c r="G1915" s="37" t="n"/>
      <c r="H1915" s="37" t="n"/>
      <c r="I1915" s="37">
        <f>IF(G1915="","",G1915+N(H1915))</f>
        <v/>
      </c>
      <c r="J1915" s="36" t="n"/>
      <c r="K1915" s="40" t="n"/>
      <c r="L1915" s="36" t="n"/>
      <c r="M1915">
        <f>IF($A1915=Ficha!$B$3,COUNTIF($A$5:$A1915,Ficha!$B$3),"")</f>
        <v/>
      </c>
    </row>
    <row r="1916">
      <c r="A1916" s="38" t="n"/>
      <c r="B1916" s="41">
        <f>IF(A1916="","",IFERROR(INDEX(Maniobras!$B$5:$B$504,MATCH(A1916,Maniobras!$A$5:$A$504,0)),""))</f>
        <v/>
      </c>
      <c r="C1916" s="38">
        <f>IF(B1916="","",TEXT(B1916,"yyyy-mm"))</f>
        <v/>
      </c>
      <c r="D1916" s="38">
        <f>IF(A1916="","",IFERROR(INDEX(Maniobras!$D$5:$D$504,MATCH(A1916,Maniobras!$A$5:$A$504,0)),""))</f>
        <v/>
      </c>
      <c r="E1916" s="38" t="n"/>
      <c r="F1916" s="39">
        <f>IF(A1916="","",IFERROR(INDEX(Maniobras!$K$5:$K$504,MATCH(A1916,Maniobras!$A$5:$A$504,0)),""))</f>
        <v/>
      </c>
      <c r="G1916" s="39" t="n"/>
      <c r="H1916" s="39" t="n"/>
      <c r="I1916" s="39">
        <f>IF(G1916="","",G1916+N(H1916))</f>
        <v/>
      </c>
      <c r="J1916" s="38" t="n"/>
      <c r="K1916" s="41" t="n"/>
      <c r="L1916" s="38" t="n"/>
      <c r="M1916">
        <f>IF($A1916=Ficha!$B$3,COUNTIF($A$5:$A1916,Ficha!$B$3),"")</f>
        <v/>
      </c>
    </row>
    <row r="1917">
      <c r="A1917" s="36" t="n"/>
      <c r="B1917" s="40">
        <f>IF(A1917="","",IFERROR(INDEX(Maniobras!$B$5:$B$504,MATCH(A1917,Maniobras!$A$5:$A$504,0)),""))</f>
        <v/>
      </c>
      <c r="C1917" s="36">
        <f>IF(B1917="","",TEXT(B1917,"yyyy-mm"))</f>
        <v/>
      </c>
      <c r="D1917" s="36">
        <f>IF(A1917="","",IFERROR(INDEX(Maniobras!$D$5:$D$504,MATCH(A1917,Maniobras!$A$5:$A$504,0)),""))</f>
        <v/>
      </c>
      <c r="E1917" s="36" t="n"/>
      <c r="F1917" s="37">
        <f>IF(A1917="","",IFERROR(INDEX(Maniobras!$K$5:$K$504,MATCH(A1917,Maniobras!$A$5:$A$504,0)),""))</f>
        <v/>
      </c>
      <c r="G1917" s="37" t="n"/>
      <c r="H1917" s="37" t="n"/>
      <c r="I1917" s="37">
        <f>IF(G1917="","",G1917+N(H1917))</f>
        <v/>
      </c>
      <c r="J1917" s="36" t="n"/>
      <c r="K1917" s="40" t="n"/>
      <c r="L1917" s="36" t="n"/>
      <c r="M1917">
        <f>IF($A1917=Ficha!$B$3,COUNTIF($A$5:$A1917,Ficha!$B$3),"")</f>
        <v/>
      </c>
    </row>
    <row r="1918">
      <c r="A1918" s="38" t="n"/>
      <c r="B1918" s="41">
        <f>IF(A1918="","",IFERROR(INDEX(Maniobras!$B$5:$B$504,MATCH(A1918,Maniobras!$A$5:$A$504,0)),""))</f>
        <v/>
      </c>
      <c r="C1918" s="38">
        <f>IF(B1918="","",TEXT(B1918,"yyyy-mm"))</f>
        <v/>
      </c>
      <c r="D1918" s="38">
        <f>IF(A1918="","",IFERROR(INDEX(Maniobras!$D$5:$D$504,MATCH(A1918,Maniobras!$A$5:$A$504,0)),""))</f>
        <v/>
      </c>
      <c r="E1918" s="38" t="n"/>
      <c r="F1918" s="39">
        <f>IF(A1918="","",IFERROR(INDEX(Maniobras!$K$5:$K$504,MATCH(A1918,Maniobras!$A$5:$A$504,0)),""))</f>
        <v/>
      </c>
      <c r="G1918" s="39" t="n"/>
      <c r="H1918" s="39" t="n"/>
      <c r="I1918" s="39">
        <f>IF(G1918="","",G1918+N(H1918))</f>
        <v/>
      </c>
      <c r="J1918" s="38" t="n"/>
      <c r="K1918" s="41" t="n"/>
      <c r="L1918" s="38" t="n"/>
      <c r="M1918">
        <f>IF($A1918=Ficha!$B$3,COUNTIF($A$5:$A1918,Ficha!$B$3),"")</f>
        <v/>
      </c>
    </row>
    <row r="1919">
      <c r="A1919" s="36" t="n"/>
      <c r="B1919" s="40">
        <f>IF(A1919="","",IFERROR(INDEX(Maniobras!$B$5:$B$504,MATCH(A1919,Maniobras!$A$5:$A$504,0)),""))</f>
        <v/>
      </c>
      <c r="C1919" s="36">
        <f>IF(B1919="","",TEXT(B1919,"yyyy-mm"))</f>
        <v/>
      </c>
      <c r="D1919" s="36">
        <f>IF(A1919="","",IFERROR(INDEX(Maniobras!$D$5:$D$504,MATCH(A1919,Maniobras!$A$5:$A$504,0)),""))</f>
        <v/>
      </c>
      <c r="E1919" s="36" t="n"/>
      <c r="F1919" s="37">
        <f>IF(A1919="","",IFERROR(INDEX(Maniobras!$K$5:$K$504,MATCH(A1919,Maniobras!$A$5:$A$504,0)),""))</f>
        <v/>
      </c>
      <c r="G1919" s="37" t="n"/>
      <c r="H1919" s="37" t="n"/>
      <c r="I1919" s="37">
        <f>IF(G1919="","",G1919+N(H1919))</f>
        <v/>
      </c>
      <c r="J1919" s="36" t="n"/>
      <c r="K1919" s="40" t="n"/>
      <c r="L1919" s="36" t="n"/>
      <c r="M1919">
        <f>IF($A1919=Ficha!$B$3,COUNTIF($A$5:$A1919,Ficha!$B$3),"")</f>
        <v/>
      </c>
    </row>
    <row r="1920">
      <c r="A1920" s="38" t="n"/>
      <c r="B1920" s="41">
        <f>IF(A1920="","",IFERROR(INDEX(Maniobras!$B$5:$B$504,MATCH(A1920,Maniobras!$A$5:$A$504,0)),""))</f>
        <v/>
      </c>
      <c r="C1920" s="38">
        <f>IF(B1920="","",TEXT(B1920,"yyyy-mm"))</f>
        <v/>
      </c>
      <c r="D1920" s="38">
        <f>IF(A1920="","",IFERROR(INDEX(Maniobras!$D$5:$D$504,MATCH(A1920,Maniobras!$A$5:$A$504,0)),""))</f>
        <v/>
      </c>
      <c r="E1920" s="38" t="n"/>
      <c r="F1920" s="39">
        <f>IF(A1920="","",IFERROR(INDEX(Maniobras!$K$5:$K$504,MATCH(A1920,Maniobras!$A$5:$A$504,0)),""))</f>
        <v/>
      </c>
      <c r="G1920" s="39" t="n"/>
      <c r="H1920" s="39" t="n"/>
      <c r="I1920" s="39">
        <f>IF(G1920="","",G1920+N(H1920))</f>
        <v/>
      </c>
      <c r="J1920" s="38" t="n"/>
      <c r="K1920" s="41" t="n"/>
      <c r="L1920" s="38" t="n"/>
      <c r="M1920">
        <f>IF($A1920=Ficha!$B$3,COUNTIF($A$5:$A1920,Ficha!$B$3),"")</f>
        <v/>
      </c>
    </row>
    <row r="1921">
      <c r="A1921" s="36" t="n"/>
      <c r="B1921" s="40">
        <f>IF(A1921="","",IFERROR(INDEX(Maniobras!$B$5:$B$504,MATCH(A1921,Maniobras!$A$5:$A$504,0)),""))</f>
        <v/>
      </c>
      <c r="C1921" s="36">
        <f>IF(B1921="","",TEXT(B1921,"yyyy-mm"))</f>
        <v/>
      </c>
      <c r="D1921" s="36">
        <f>IF(A1921="","",IFERROR(INDEX(Maniobras!$D$5:$D$504,MATCH(A1921,Maniobras!$A$5:$A$504,0)),""))</f>
        <v/>
      </c>
      <c r="E1921" s="36" t="n"/>
      <c r="F1921" s="37">
        <f>IF(A1921="","",IFERROR(INDEX(Maniobras!$K$5:$K$504,MATCH(A1921,Maniobras!$A$5:$A$504,0)),""))</f>
        <v/>
      </c>
      <c r="G1921" s="37" t="n"/>
      <c r="H1921" s="37" t="n"/>
      <c r="I1921" s="37">
        <f>IF(G1921="","",G1921+N(H1921))</f>
        <v/>
      </c>
      <c r="J1921" s="36" t="n"/>
      <c r="K1921" s="40" t="n"/>
      <c r="L1921" s="36" t="n"/>
      <c r="M1921">
        <f>IF($A1921=Ficha!$B$3,COUNTIF($A$5:$A1921,Ficha!$B$3),"")</f>
        <v/>
      </c>
    </row>
    <row r="1922">
      <c r="A1922" s="38" t="n"/>
      <c r="B1922" s="41">
        <f>IF(A1922="","",IFERROR(INDEX(Maniobras!$B$5:$B$504,MATCH(A1922,Maniobras!$A$5:$A$504,0)),""))</f>
        <v/>
      </c>
      <c r="C1922" s="38">
        <f>IF(B1922="","",TEXT(B1922,"yyyy-mm"))</f>
        <v/>
      </c>
      <c r="D1922" s="38">
        <f>IF(A1922="","",IFERROR(INDEX(Maniobras!$D$5:$D$504,MATCH(A1922,Maniobras!$A$5:$A$504,0)),""))</f>
        <v/>
      </c>
      <c r="E1922" s="38" t="n"/>
      <c r="F1922" s="39">
        <f>IF(A1922="","",IFERROR(INDEX(Maniobras!$K$5:$K$504,MATCH(A1922,Maniobras!$A$5:$A$504,0)),""))</f>
        <v/>
      </c>
      <c r="G1922" s="39" t="n"/>
      <c r="H1922" s="39" t="n"/>
      <c r="I1922" s="39">
        <f>IF(G1922="","",G1922+N(H1922))</f>
        <v/>
      </c>
      <c r="J1922" s="38" t="n"/>
      <c r="K1922" s="41" t="n"/>
      <c r="L1922" s="38" t="n"/>
      <c r="M1922">
        <f>IF($A1922=Ficha!$B$3,COUNTIF($A$5:$A1922,Ficha!$B$3),"")</f>
        <v/>
      </c>
    </row>
    <row r="1923">
      <c r="A1923" s="36" t="n"/>
      <c r="B1923" s="40">
        <f>IF(A1923="","",IFERROR(INDEX(Maniobras!$B$5:$B$504,MATCH(A1923,Maniobras!$A$5:$A$504,0)),""))</f>
        <v/>
      </c>
      <c r="C1923" s="36">
        <f>IF(B1923="","",TEXT(B1923,"yyyy-mm"))</f>
        <v/>
      </c>
      <c r="D1923" s="36">
        <f>IF(A1923="","",IFERROR(INDEX(Maniobras!$D$5:$D$504,MATCH(A1923,Maniobras!$A$5:$A$504,0)),""))</f>
        <v/>
      </c>
      <c r="E1923" s="36" t="n"/>
      <c r="F1923" s="37">
        <f>IF(A1923="","",IFERROR(INDEX(Maniobras!$K$5:$K$504,MATCH(A1923,Maniobras!$A$5:$A$504,0)),""))</f>
        <v/>
      </c>
      <c r="G1923" s="37" t="n"/>
      <c r="H1923" s="37" t="n"/>
      <c r="I1923" s="37">
        <f>IF(G1923="","",G1923+N(H1923))</f>
        <v/>
      </c>
      <c r="J1923" s="36" t="n"/>
      <c r="K1923" s="40" t="n"/>
      <c r="L1923" s="36" t="n"/>
      <c r="M1923">
        <f>IF($A1923=Ficha!$B$3,COUNTIF($A$5:$A1923,Ficha!$B$3),"")</f>
        <v/>
      </c>
    </row>
    <row r="1924">
      <c r="A1924" s="38" t="n"/>
      <c r="B1924" s="41">
        <f>IF(A1924="","",IFERROR(INDEX(Maniobras!$B$5:$B$504,MATCH(A1924,Maniobras!$A$5:$A$504,0)),""))</f>
        <v/>
      </c>
      <c r="C1924" s="38">
        <f>IF(B1924="","",TEXT(B1924,"yyyy-mm"))</f>
        <v/>
      </c>
      <c r="D1924" s="38">
        <f>IF(A1924="","",IFERROR(INDEX(Maniobras!$D$5:$D$504,MATCH(A1924,Maniobras!$A$5:$A$504,0)),""))</f>
        <v/>
      </c>
      <c r="E1924" s="38" t="n"/>
      <c r="F1924" s="39">
        <f>IF(A1924="","",IFERROR(INDEX(Maniobras!$K$5:$K$504,MATCH(A1924,Maniobras!$A$5:$A$504,0)),""))</f>
        <v/>
      </c>
      <c r="G1924" s="39" t="n"/>
      <c r="H1924" s="39" t="n"/>
      <c r="I1924" s="39">
        <f>IF(G1924="","",G1924+N(H1924))</f>
        <v/>
      </c>
      <c r="J1924" s="38" t="n"/>
      <c r="K1924" s="41" t="n"/>
      <c r="L1924" s="38" t="n"/>
      <c r="M1924">
        <f>IF($A1924=Ficha!$B$3,COUNTIF($A$5:$A1924,Ficha!$B$3),"")</f>
        <v/>
      </c>
    </row>
    <row r="1925">
      <c r="A1925" s="36" t="n"/>
      <c r="B1925" s="40">
        <f>IF(A1925="","",IFERROR(INDEX(Maniobras!$B$5:$B$504,MATCH(A1925,Maniobras!$A$5:$A$504,0)),""))</f>
        <v/>
      </c>
      <c r="C1925" s="36">
        <f>IF(B1925="","",TEXT(B1925,"yyyy-mm"))</f>
        <v/>
      </c>
      <c r="D1925" s="36">
        <f>IF(A1925="","",IFERROR(INDEX(Maniobras!$D$5:$D$504,MATCH(A1925,Maniobras!$A$5:$A$504,0)),""))</f>
        <v/>
      </c>
      <c r="E1925" s="36" t="n"/>
      <c r="F1925" s="37">
        <f>IF(A1925="","",IFERROR(INDEX(Maniobras!$K$5:$K$504,MATCH(A1925,Maniobras!$A$5:$A$504,0)),""))</f>
        <v/>
      </c>
      <c r="G1925" s="37" t="n"/>
      <c r="H1925" s="37" t="n"/>
      <c r="I1925" s="37">
        <f>IF(G1925="","",G1925+N(H1925))</f>
        <v/>
      </c>
      <c r="J1925" s="36" t="n"/>
      <c r="K1925" s="40" t="n"/>
      <c r="L1925" s="36" t="n"/>
      <c r="M1925">
        <f>IF($A1925=Ficha!$B$3,COUNTIF($A$5:$A1925,Ficha!$B$3),"")</f>
        <v/>
      </c>
    </row>
    <row r="1926">
      <c r="A1926" s="38" t="n"/>
      <c r="B1926" s="41">
        <f>IF(A1926="","",IFERROR(INDEX(Maniobras!$B$5:$B$504,MATCH(A1926,Maniobras!$A$5:$A$504,0)),""))</f>
        <v/>
      </c>
      <c r="C1926" s="38">
        <f>IF(B1926="","",TEXT(B1926,"yyyy-mm"))</f>
        <v/>
      </c>
      <c r="D1926" s="38">
        <f>IF(A1926="","",IFERROR(INDEX(Maniobras!$D$5:$D$504,MATCH(A1926,Maniobras!$A$5:$A$504,0)),""))</f>
        <v/>
      </c>
      <c r="E1926" s="38" t="n"/>
      <c r="F1926" s="39">
        <f>IF(A1926="","",IFERROR(INDEX(Maniobras!$K$5:$K$504,MATCH(A1926,Maniobras!$A$5:$A$504,0)),""))</f>
        <v/>
      </c>
      <c r="G1926" s="39" t="n"/>
      <c r="H1926" s="39" t="n"/>
      <c r="I1926" s="39">
        <f>IF(G1926="","",G1926+N(H1926))</f>
        <v/>
      </c>
      <c r="J1926" s="38" t="n"/>
      <c r="K1926" s="41" t="n"/>
      <c r="L1926" s="38" t="n"/>
      <c r="M1926">
        <f>IF($A1926=Ficha!$B$3,COUNTIF($A$5:$A1926,Ficha!$B$3),"")</f>
        <v/>
      </c>
    </row>
    <row r="1927">
      <c r="A1927" s="36" t="n"/>
      <c r="B1927" s="40">
        <f>IF(A1927="","",IFERROR(INDEX(Maniobras!$B$5:$B$504,MATCH(A1927,Maniobras!$A$5:$A$504,0)),""))</f>
        <v/>
      </c>
      <c r="C1927" s="36">
        <f>IF(B1927="","",TEXT(B1927,"yyyy-mm"))</f>
        <v/>
      </c>
      <c r="D1927" s="36">
        <f>IF(A1927="","",IFERROR(INDEX(Maniobras!$D$5:$D$504,MATCH(A1927,Maniobras!$A$5:$A$504,0)),""))</f>
        <v/>
      </c>
      <c r="E1927" s="36" t="n"/>
      <c r="F1927" s="37">
        <f>IF(A1927="","",IFERROR(INDEX(Maniobras!$K$5:$K$504,MATCH(A1927,Maniobras!$A$5:$A$504,0)),""))</f>
        <v/>
      </c>
      <c r="G1927" s="37" t="n"/>
      <c r="H1927" s="37" t="n"/>
      <c r="I1927" s="37">
        <f>IF(G1927="","",G1927+N(H1927))</f>
        <v/>
      </c>
      <c r="J1927" s="36" t="n"/>
      <c r="K1927" s="40" t="n"/>
      <c r="L1927" s="36" t="n"/>
      <c r="M1927">
        <f>IF($A1927=Ficha!$B$3,COUNTIF($A$5:$A1927,Ficha!$B$3),"")</f>
        <v/>
      </c>
    </row>
    <row r="1928">
      <c r="A1928" s="38" t="n"/>
      <c r="B1928" s="41">
        <f>IF(A1928="","",IFERROR(INDEX(Maniobras!$B$5:$B$504,MATCH(A1928,Maniobras!$A$5:$A$504,0)),""))</f>
        <v/>
      </c>
      <c r="C1928" s="38">
        <f>IF(B1928="","",TEXT(B1928,"yyyy-mm"))</f>
        <v/>
      </c>
      <c r="D1928" s="38">
        <f>IF(A1928="","",IFERROR(INDEX(Maniobras!$D$5:$D$504,MATCH(A1928,Maniobras!$A$5:$A$504,0)),""))</f>
        <v/>
      </c>
      <c r="E1928" s="38" t="n"/>
      <c r="F1928" s="39">
        <f>IF(A1928="","",IFERROR(INDEX(Maniobras!$K$5:$K$504,MATCH(A1928,Maniobras!$A$5:$A$504,0)),""))</f>
        <v/>
      </c>
      <c r="G1928" s="39" t="n"/>
      <c r="H1928" s="39" t="n"/>
      <c r="I1928" s="39">
        <f>IF(G1928="","",G1928+N(H1928))</f>
        <v/>
      </c>
      <c r="J1928" s="38" t="n"/>
      <c r="K1928" s="41" t="n"/>
      <c r="L1928" s="38" t="n"/>
      <c r="M1928">
        <f>IF($A1928=Ficha!$B$3,COUNTIF($A$5:$A1928,Ficha!$B$3),"")</f>
        <v/>
      </c>
    </row>
    <row r="1929">
      <c r="A1929" s="36" t="n"/>
      <c r="B1929" s="40">
        <f>IF(A1929="","",IFERROR(INDEX(Maniobras!$B$5:$B$504,MATCH(A1929,Maniobras!$A$5:$A$504,0)),""))</f>
        <v/>
      </c>
      <c r="C1929" s="36">
        <f>IF(B1929="","",TEXT(B1929,"yyyy-mm"))</f>
        <v/>
      </c>
      <c r="D1929" s="36">
        <f>IF(A1929="","",IFERROR(INDEX(Maniobras!$D$5:$D$504,MATCH(A1929,Maniobras!$A$5:$A$504,0)),""))</f>
        <v/>
      </c>
      <c r="E1929" s="36" t="n"/>
      <c r="F1929" s="37">
        <f>IF(A1929="","",IFERROR(INDEX(Maniobras!$K$5:$K$504,MATCH(A1929,Maniobras!$A$5:$A$504,0)),""))</f>
        <v/>
      </c>
      <c r="G1929" s="37" t="n"/>
      <c r="H1929" s="37" t="n"/>
      <c r="I1929" s="37">
        <f>IF(G1929="","",G1929+N(H1929))</f>
        <v/>
      </c>
      <c r="J1929" s="36" t="n"/>
      <c r="K1929" s="40" t="n"/>
      <c r="L1929" s="36" t="n"/>
      <c r="M1929">
        <f>IF($A1929=Ficha!$B$3,COUNTIF($A$5:$A1929,Ficha!$B$3),"")</f>
        <v/>
      </c>
    </row>
    <row r="1930">
      <c r="A1930" s="38" t="n"/>
      <c r="B1930" s="41">
        <f>IF(A1930="","",IFERROR(INDEX(Maniobras!$B$5:$B$504,MATCH(A1930,Maniobras!$A$5:$A$504,0)),""))</f>
        <v/>
      </c>
      <c r="C1930" s="38">
        <f>IF(B1930="","",TEXT(B1930,"yyyy-mm"))</f>
        <v/>
      </c>
      <c r="D1930" s="38">
        <f>IF(A1930="","",IFERROR(INDEX(Maniobras!$D$5:$D$504,MATCH(A1930,Maniobras!$A$5:$A$504,0)),""))</f>
        <v/>
      </c>
      <c r="E1930" s="38" t="n"/>
      <c r="F1930" s="39">
        <f>IF(A1930="","",IFERROR(INDEX(Maniobras!$K$5:$K$504,MATCH(A1930,Maniobras!$A$5:$A$504,0)),""))</f>
        <v/>
      </c>
      <c r="G1930" s="39" t="n"/>
      <c r="H1930" s="39" t="n"/>
      <c r="I1930" s="39">
        <f>IF(G1930="","",G1930+N(H1930))</f>
        <v/>
      </c>
      <c r="J1930" s="38" t="n"/>
      <c r="K1930" s="41" t="n"/>
      <c r="L1930" s="38" t="n"/>
      <c r="M1930">
        <f>IF($A1930=Ficha!$B$3,COUNTIF($A$5:$A1930,Ficha!$B$3),"")</f>
        <v/>
      </c>
    </row>
    <row r="1931">
      <c r="A1931" s="36" t="n"/>
      <c r="B1931" s="40">
        <f>IF(A1931="","",IFERROR(INDEX(Maniobras!$B$5:$B$504,MATCH(A1931,Maniobras!$A$5:$A$504,0)),""))</f>
        <v/>
      </c>
      <c r="C1931" s="36">
        <f>IF(B1931="","",TEXT(B1931,"yyyy-mm"))</f>
        <v/>
      </c>
      <c r="D1931" s="36">
        <f>IF(A1931="","",IFERROR(INDEX(Maniobras!$D$5:$D$504,MATCH(A1931,Maniobras!$A$5:$A$504,0)),""))</f>
        <v/>
      </c>
      <c r="E1931" s="36" t="n"/>
      <c r="F1931" s="37">
        <f>IF(A1931="","",IFERROR(INDEX(Maniobras!$K$5:$K$504,MATCH(A1931,Maniobras!$A$5:$A$504,0)),""))</f>
        <v/>
      </c>
      <c r="G1931" s="37" t="n"/>
      <c r="H1931" s="37" t="n"/>
      <c r="I1931" s="37">
        <f>IF(G1931="","",G1931+N(H1931))</f>
        <v/>
      </c>
      <c r="J1931" s="36" t="n"/>
      <c r="K1931" s="40" t="n"/>
      <c r="L1931" s="36" t="n"/>
      <c r="M1931">
        <f>IF($A1931=Ficha!$B$3,COUNTIF($A$5:$A1931,Ficha!$B$3),"")</f>
        <v/>
      </c>
    </row>
    <row r="1932">
      <c r="A1932" s="38" t="n"/>
      <c r="B1932" s="41">
        <f>IF(A1932="","",IFERROR(INDEX(Maniobras!$B$5:$B$504,MATCH(A1932,Maniobras!$A$5:$A$504,0)),""))</f>
        <v/>
      </c>
      <c r="C1932" s="38">
        <f>IF(B1932="","",TEXT(B1932,"yyyy-mm"))</f>
        <v/>
      </c>
      <c r="D1932" s="38">
        <f>IF(A1932="","",IFERROR(INDEX(Maniobras!$D$5:$D$504,MATCH(A1932,Maniobras!$A$5:$A$504,0)),""))</f>
        <v/>
      </c>
      <c r="E1932" s="38" t="n"/>
      <c r="F1932" s="39">
        <f>IF(A1932="","",IFERROR(INDEX(Maniobras!$K$5:$K$504,MATCH(A1932,Maniobras!$A$5:$A$504,0)),""))</f>
        <v/>
      </c>
      <c r="G1932" s="39" t="n"/>
      <c r="H1932" s="39" t="n"/>
      <c r="I1932" s="39">
        <f>IF(G1932="","",G1932+N(H1932))</f>
        <v/>
      </c>
      <c r="J1932" s="38" t="n"/>
      <c r="K1932" s="41" t="n"/>
      <c r="L1932" s="38" t="n"/>
      <c r="M1932">
        <f>IF($A1932=Ficha!$B$3,COUNTIF($A$5:$A1932,Ficha!$B$3),"")</f>
        <v/>
      </c>
    </row>
    <row r="1933">
      <c r="A1933" s="36" t="n"/>
      <c r="B1933" s="40">
        <f>IF(A1933="","",IFERROR(INDEX(Maniobras!$B$5:$B$504,MATCH(A1933,Maniobras!$A$5:$A$504,0)),""))</f>
        <v/>
      </c>
      <c r="C1933" s="36">
        <f>IF(B1933="","",TEXT(B1933,"yyyy-mm"))</f>
        <v/>
      </c>
      <c r="D1933" s="36">
        <f>IF(A1933="","",IFERROR(INDEX(Maniobras!$D$5:$D$504,MATCH(A1933,Maniobras!$A$5:$A$504,0)),""))</f>
        <v/>
      </c>
      <c r="E1933" s="36" t="n"/>
      <c r="F1933" s="37">
        <f>IF(A1933="","",IFERROR(INDEX(Maniobras!$K$5:$K$504,MATCH(A1933,Maniobras!$A$5:$A$504,0)),""))</f>
        <v/>
      </c>
      <c r="G1933" s="37" t="n"/>
      <c r="H1933" s="37" t="n"/>
      <c r="I1933" s="37">
        <f>IF(G1933="","",G1933+N(H1933))</f>
        <v/>
      </c>
      <c r="J1933" s="36" t="n"/>
      <c r="K1933" s="40" t="n"/>
      <c r="L1933" s="36" t="n"/>
      <c r="M1933">
        <f>IF($A1933=Ficha!$B$3,COUNTIF($A$5:$A1933,Ficha!$B$3),"")</f>
        <v/>
      </c>
    </row>
    <row r="1934">
      <c r="A1934" s="38" t="n"/>
      <c r="B1934" s="41">
        <f>IF(A1934="","",IFERROR(INDEX(Maniobras!$B$5:$B$504,MATCH(A1934,Maniobras!$A$5:$A$504,0)),""))</f>
        <v/>
      </c>
      <c r="C1934" s="38">
        <f>IF(B1934="","",TEXT(B1934,"yyyy-mm"))</f>
        <v/>
      </c>
      <c r="D1934" s="38">
        <f>IF(A1934="","",IFERROR(INDEX(Maniobras!$D$5:$D$504,MATCH(A1934,Maniobras!$A$5:$A$504,0)),""))</f>
        <v/>
      </c>
      <c r="E1934" s="38" t="n"/>
      <c r="F1934" s="39">
        <f>IF(A1934="","",IFERROR(INDEX(Maniobras!$K$5:$K$504,MATCH(A1934,Maniobras!$A$5:$A$504,0)),""))</f>
        <v/>
      </c>
      <c r="G1934" s="39" t="n"/>
      <c r="H1934" s="39" t="n"/>
      <c r="I1934" s="39">
        <f>IF(G1934="","",G1934+N(H1934))</f>
        <v/>
      </c>
      <c r="J1934" s="38" t="n"/>
      <c r="K1934" s="41" t="n"/>
      <c r="L1934" s="38" t="n"/>
      <c r="M1934">
        <f>IF($A1934=Ficha!$B$3,COUNTIF($A$5:$A1934,Ficha!$B$3),"")</f>
        <v/>
      </c>
    </row>
    <row r="1935">
      <c r="A1935" s="36" t="n"/>
      <c r="B1935" s="40">
        <f>IF(A1935="","",IFERROR(INDEX(Maniobras!$B$5:$B$504,MATCH(A1935,Maniobras!$A$5:$A$504,0)),""))</f>
        <v/>
      </c>
      <c r="C1935" s="36">
        <f>IF(B1935="","",TEXT(B1935,"yyyy-mm"))</f>
        <v/>
      </c>
      <c r="D1935" s="36">
        <f>IF(A1935="","",IFERROR(INDEX(Maniobras!$D$5:$D$504,MATCH(A1935,Maniobras!$A$5:$A$504,0)),""))</f>
        <v/>
      </c>
      <c r="E1935" s="36" t="n"/>
      <c r="F1935" s="37">
        <f>IF(A1935="","",IFERROR(INDEX(Maniobras!$K$5:$K$504,MATCH(A1935,Maniobras!$A$5:$A$504,0)),""))</f>
        <v/>
      </c>
      <c r="G1935" s="37" t="n"/>
      <c r="H1935" s="37" t="n"/>
      <c r="I1935" s="37">
        <f>IF(G1935="","",G1935+N(H1935))</f>
        <v/>
      </c>
      <c r="J1935" s="36" t="n"/>
      <c r="K1935" s="40" t="n"/>
      <c r="L1935" s="36" t="n"/>
      <c r="M1935">
        <f>IF($A1935=Ficha!$B$3,COUNTIF($A$5:$A1935,Ficha!$B$3),"")</f>
        <v/>
      </c>
    </row>
    <row r="1936">
      <c r="A1936" s="38" t="n"/>
      <c r="B1936" s="41">
        <f>IF(A1936="","",IFERROR(INDEX(Maniobras!$B$5:$B$504,MATCH(A1936,Maniobras!$A$5:$A$504,0)),""))</f>
        <v/>
      </c>
      <c r="C1936" s="38">
        <f>IF(B1936="","",TEXT(B1936,"yyyy-mm"))</f>
        <v/>
      </c>
      <c r="D1936" s="38">
        <f>IF(A1936="","",IFERROR(INDEX(Maniobras!$D$5:$D$504,MATCH(A1936,Maniobras!$A$5:$A$504,0)),""))</f>
        <v/>
      </c>
      <c r="E1936" s="38" t="n"/>
      <c r="F1936" s="39">
        <f>IF(A1936="","",IFERROR(INDEX(Maniobras!$K$5:$K$504,MATCH(A1936,Maniobras!$A$5:$A$504,0)),""))</f>
        <v/>
      </c>
      <c r="G1936" s="39" t="n"/>
      <c r="H1936" s="39" t="n"/>
      <c r="I1936" s="39">
        <f>IF(G1936="","",G1936+N(H1936))</f>
        <v/>
      </c>
      <c r="J1936" s="38" t="n"/>
      <c r="K1936" s="41" t="n"/>
      <c r="L1936" s="38" t="n"/>
      <c r="M1936">
        <f>IF($A1936=Ficha!$B$3,COUNTIF($A$5:$A1936,Ficha!$B$3),"")</f>
        <v/>
      </c>
    </row>
    <row r="1937">
      <c r="A1937" s="36" t="n"/>
      <c r="B1937" s="40">
        <f>IF(A1937="","",IFERROR(INDEX(Maniobras!$B$5:$B$504,MATCH(A1937,Maniobras!$A$5:$A$504,0)),""))</f>
        <v/>
      </c>
      <c r="C1937" s="36">
        <f>IF(B1937="","",TEXT(B1937,"yyyy-mm"))</f>
        <v/>
      </c>
      <c r="D1937" s="36">
        <f>IF(A1937="","",IFERROR(INDEX(Maniobras!$D$5:$D$504,MATCH(A1937,Maniobras!$A$5:$A$504,0)),""))</f>
        <v/>
      </c>
      <c r="E1937" s="36" t="n"/>
      <c r="F1937" s="37">
        <f>IF(A1937="","",IFERROR(INDEX(Maniobras!$K$5:$K$504,MATCH(A1937,Maniobras!$A$5:$A$504,0)),""))</f>
        <v/>
      </c>
      <c r="G1937" s="37" t="n"/>
      <c r="H1937" s="37" t="n"/>
      <c r="I1937" s="37">
        <f>IF(G1937="","",G1937+N(H1937))</f>
        <v/>
      </c>
      <c r="J1937" s="36" t="n"/>
      <c r="K1937" s="40" t="n"/>
      <c r="L1937" s="36" t="n"/>
      <c r="M1937">
        <f>IF($A1937=Ficha!$B$3,COUNTIF($A$5:$A1937,Ficha!$B$3),"")</f>
        <v/>
      </c>
    </row>
    <row r="1938">
      <c r="A1938" s="38" t="n"/>
      <c r="B1938" s="41">
        <f>IF(A1938="","",IFERROR(INDEX(Maniobras!$B$5:$B$504,MATCH(A1938,Maniobras!$A$5:$A$504,0)),""))</f>
        <v/>
      </c>
      <c r="C1938" s="38">
        <f>IF(B1938="","",TEXT(B1938,"yyyy-mm"))</f>
        <v/>
      </c>
      <c r="D1938" s="38">
        <f>IF(A1938="","",IFERROR(INDEX(Maniobras!$D$5:$D$504,MATCH(A1938,Maniobras!$A$5:$A$504,0)),""))</f>
        <v/>
      </c>
      <c r="E1938" s="38" t="n"/>
      <c r="F1938" s="39">
        <f>IF(A1938="","",IFERROR(INDEX(Maniobras!$K$5:$K$504,MATCH(A1938,Maniobras!$A$5:$A$504,0)),""))</f>
        <v/>
      </c>
      <c r="G1938" s="39" t="n"/>
      <c r="H1938" s="39" t="n"/>
      <c r="I1938" s="39">
        <f>IF(G1938="","",G1938+N(H1938))</f>
        <v/>
      </c>
      <c r="J1938" s="38" t="n"/>
      <c r="K1938" s="41" t="n"/>
      <c r="L1938" s="38" t="n"/>
      <c r="M1938">
        <f>IF($A1938=Ficha!$B$3,COUNTIF($A$5:$A1938,Ficha!$B$3),"")</f>
        <v/>
      </c>
    </row>
    <row r="1939">
      <c r="A1939" s="36" t="n"/>
      <c r="B1939" s="40">
        <f>IF(A1939="","",IFERROR(INDEX(Maniobras!$B$5:$B$504,MATCH(A1939,Maniobras!$A$5:$A$504,0)),""))</f>
        <v/>
      </c>
      <c r="C1939" s="36">
        <f>IF(B1939="","",TEXT(B1939,"yyyy-mm"))</f>
        <v/>
      </c>
      <c r="D1939" s="36">
        <f>IF(A1939="","",IFERROR(INDEX(Maniobras!$D$5:$D$504,MATCH(A1939,Maniobras!$A$5:$A$504,0)),""))</f>
        <v/>
      </c>
      <c r="E1939" s="36" t="n"/>
      <c r="F1939" s="37">
        <f>IF(A1939="","",IFERROR(INDEX(Maniobras!$K$5:$K$504,MATCH(A1939,Maniobras!$A$5:$A$504,0)),""))</f>
        <v/>
      </c>
      <c r="G1939" s="37" t="n"/>
      <c r="H1939" s="37" t="n"/>
      <c r="I1939" s="37">
        <f>IF(G1939="","",G1939+N(H1939))</f>
        <v/>
      </c>
      <c r="J1939" s="36" t="n"/>
      <c r="K1939" s="40" t="n"/>
      <c r="L1939" s="36" t="n"/>
      <c r="M1939">
        <f>IF($A1939=Ficha!$B$3,COUNTIF($A$5:$A1939,Ficha!$B$3),"")</f>
        <v/>
      </c>
    </row>
    <row r="1940">
      <c r="A1940" s="38" t="n"/>
      <c r="B1940" s="41">
        <f>IF(A1940="","",IFERROR(INDEX(Maniobras!$B$5:$B$504,MATCH(A1940,Maniobras!$A$5:$A$504,0)),""))</f>
        <v/>
      </c>
      <c r="C1940" s="38">
        <f>IF(B1940="","",TEXT(B1940,"yyyy-mm"))</f>
        <v/>
      </c>
      <c r="D1940" s="38">
        <f>IF(A1940="","",IFERROR(INDEX(Maniobras!$D$5:$D$504,MATCH(A1940,Maniobras!$A$5:$A$504,0)),""))</f>
        <v/>
      </c>
      <c r="E1940" s="38" t="n"/>
      <c r="F1940" s="39">
        <f>IF(A1940="","",IFERROR(INDEX(Maniobras!$K$5:$K$504,MATCH(A1940,Maniobras!$A$5:$A$504,0)),""))</f>
        <v/>
      </c>
      <c r="G1940" s="39" t="n"/>
      <c r="H1940" s="39" t="n"/>
      <c r="I1940" s="39">
        <f>IF(G1940="","",G1940+N(H1940))</f>
        <v/>
      </c>
      <c r="J1940" s="38" t="n"/>
      <c r="K1940" s="41" t="n"/>
      <c r="L1940" s="38" t="n"/>
      <c r="M1940">
        <f>IF($A1940=Ficha!$B$3,COUNTIF($A$5:$A1940,Ficha!$B$3),"")</f>
        <v/>
      </c>
    </row>
    <row r="1941">
      <c r="A1941" s="36" t="n"/>
      <c r="B1941" s="40">
        <f>IF(A1941="","",IFERROR(INDEX(Maniobras!$B$5:$B$504,MATCH(A1941,Maniobras!$A$5:$A$504,0)),""))</f>
        <v/>
      </c>
      <c r="C1941" s="36">
        <f>IF(B1941="","",TEXT(B1941,"yyyy-mm"))</f>
        <v/>
      </c>
      <c r="D1941" s="36">
        <f>IF(A1941="","",IFERROR(INDEX(Maniobras!$D$5:$D$504,MATCH(A1941,Maniobras!$A$5:$A$504,0)),""))</f>
        <v/>
      </c>
      <c r="E1941" s="36" t="n"/>
      <c r="F1941" s="37">
        <f>IF(A1941="","",IFERROR(INDEX(Maniobras!$K$5:$K$504,MATCH(A1941,Maniobras!$A$5:$A$504,0)),""))</f>
        <v/>
      </c>
      <c r="G1941" s="37" t="n"/>
      <c r="H1941" s="37" t="n"/>
      <c r="I1941" s="37">
        <f>IF(G1941="","",G1941+N(H1941))</f>
        <v/>
      </c>
      <c r="J1941" s="36" t="n"/>
      <c r="K1941" s="40" t="n"/>
      <c r="L1941" s="36" t="n"/>
      <c r="M1941">
        <f>IF($A1941=Ficha!$B$3,COUNTIF($A$5:$A1941,Ficha!$B$3),"")</f>
        <v/>
      </c>
    </row>
    <row r="1942">
      <c r="A1942" s="38" t="n"/>
      <c r="B1942" s="41">
        <f>IF(A1942="","",IFERROR(INDEX(Maniobras!$B$5:$B$504,MATCH(A1942,Maniobras!$A$5:$A$504,0)),""))</f>
        <v/>
      </c>
      <c r="C1942" s="38">
        <f>IF(B1942="","",TEXT(B1942,"yyyy-mm"))</f>
        <v/>
      </c>
      <c r="D1942" s="38">
        <f>IF(A1942="","",IFERROR(INDEX(Maniobras!$D$5:$D$504,MATCH(A1942,Maniobras!$A$5:$A$504,0)),""))</f>
        <v/>
      </c>
      <c r="E1942" s="38" t="n"/>
      <c r="F1942" s="39">
        <f>IF(A1942="","",IFERROR(INDEX(Maniobras!$K$5:$K$504,MATCH(A1942,Maniobras!$A$5:$A$504,0)),""))</f>
        <v/>
      </c>
      <c r="G1942" s="39" t="n"/>
      <c r="H1942" s="39" t="n"/>
      <c r="I1942" s="39">
        <f>IF(G1942="","",G1942+N(H1942))</f>
        <v/>
      </c>
      <c r="J1942" s="38" t="n"/>
      <c r="K1942" s="41" t="n"/>
      <c r="L1942" s="38" t="n"/>
      <c r="M1942">
        <f>IF($A1942=Ficha!$B$3,COUNTIF($A$5:$A1942,Ficha!$B$3),"")</f>
        <v/>
      </c>
    </row>
    <row r="1943">
      <c r="A1943" s="36" t="n"/>
      <c r="B1943" s="40">
        <f>IF(A1943="","",IFERROR(INDEX(Maniobras!$B$5:$B$504,MATCH(A1943,Maniobras!$A$5:$A$504,0)),""))</f>
        <v/>
      </c>
      <c r="C1943" s="36">
        <f>IF(B1943="","",TEXT(B1943,"yyyy-mm"))</f>
        <v/>
      </c>
      <c r="D1943" s="36">
        <f>IF(A1943="","",IFERROR(INDEX(Maniobras!$D$5:$D$504,MATCH(A1943,Maniobras!$A$5:$A$504,0)),""))</f>
        <v/>
      </c>
      <c r="E1943" s="36" t="n"/>
      <c r="F1943" s="37">
        <f>IF(A1943="","",IFERROR(INDEX(Maniobras!$K$5:$K$504,MATCH(A1943,Maniobras!$A$5:$A$504,0)),""))</f>
        <v/>
      </c>
      <c r="G1943" s="37" t="n"/>
      <c r="H1943" s="37" t="n"/>
      <c r="I1943" s="37">
        <f>IF(G1943="","",G1943+N(H1943))</f>
        <v/>
      </c>
      <c r="J1943" s="36" t="n"/>
      <c r="K1943" s="40" t="n"/>
      <c r="L1943" s="36" t="n"/>
      <c r="M1943">
        <f>IF($A1943=Ficha!$B$3,COUNTIF($A$5:$A1943,Ficha!$B$3),"")</f>
        <v/>
      </c>
    </row>
    <row r="1944">
      <c r="A1944" s="38" t="n"/>
      <c r="B1944" s="41">
        <f>IF(A1944="","",IFERROR(INDEX(Maniobras!$B$5:$B$504,MATCH(A1944,Maniobras!$A$5:$A$504,0)),""))</f>
        <v/>
      </c>
      <c r="C1944" s="38">
        <f>IF(B1944="","",TEXT(B1944,"yyyy-mm"))</f>
        <v/>
      </c>
      <c r="D1944" s="38">
        <f>IF(A1944="","",IFERROR(INDEX(Maniobras!$D$5:$D$504,MATCH(A1944,Maniobras!$A$5:$A$504,0)),""))</f>
        <v/>
      </c>
      <c r="E1944" s="38" t="n"/>
      <c r="F1944" s="39">
        <f>IF(A1944="","",IFERROR(INDEX(Maniobras!$K$5:$K$504,MATCH(A1944,Maniobras!$A$5:$A$504,0)),""))</f>
        <v/>
      </c>
      <c r="G1944" s="39" t="n"/>
      <c r="H1944" s="39" t="n"/>
      <c r="I1944" s="39">
        <f>IF(G1944="","",G1944+N(H1944))</f>
        <v/>
      </c>
      <c r="J1944" s="38" t="n"/>
      <c r="K1944" s="41" t="n"/>
      <c r="L1944" s="38" t="n"/>
      <c r="M1944">
        <f>IF($A1944=Ficha!$B$3,COUNTIF($A$5:$A1944,Ficha!$B$3),"")</f>
        <v/>
      </c>
    </row>
    <row r="1945">
      <c r="A1945" s="36" t="n"/>
      <c r="B1945" s="40">
        <f>IF(A1945="","",IFERROR(INDEX(Maniobras!$B$5:$B$504,MATCH(A1945,Maniobras!$A$5:$A$504,0)),""))</f>
        <v/>
      </c>
      <c r="C1945" s="36">
        <f>IF(B1945="","",TEXT(B1945,"yyyy-mm"))</f>
        <v/>
      </c>
      <c r="D1945" s="36">
        <f>IF(A1945="","",IFERROR(INDEX(Maniobras!$D$5:$D$504,MATCH(A1945,Maniobras!$A$5:$A$504,0)),""))</f>
        <v/>
      </c>
      <c r="E1945" s="36" t="n"/>
      <c r="F1945" s="37">
        <f>IF(A1945="","",IFERROR(INDEX(Maniobras!$K$5:$K$504,MATCH(A1945,Maniobras!$A$5:$A$504,0)),""))</f>
        <v/>
      </c>
      <c r="G1945" s="37" t="n"/>
      <c r="H1945" s="37" t="n"/>
      <c r="I1945" s="37">
        <f>IF(G1945="","",G1945+N(H1945))</f>
        <v/>
      </c>
      <c r="J1945" s="36" t="n"/>
      <c r="K1945" s="40" t="n"/>
      <c r="L1945" s="36" t="n"/>
      <c r="M1945">
        <f>IF($A1945=Ficha!$B$3,COUNTIF($A$5:$A1945,Ficha!$B$3),"")</f>
        <v/>
      </c>
    </row>
    <row r="1946">
      <c r="A1946" s="38" t="n"/>
      <c r="B1946" s="41">
        <f>IF(A1946="","",IFERROR(INDEX(Maniobras!$B$5:$B$504,MATCH(A1946,Maniobras!$A$5:$A$504,0)),""))</f>
        <v/>
      </c>
      <c r="C1946" s="38">
        <f>IF(B1946="","",TEXT(B1946,"yyyy-mm"))</f>
        <v/>
      </c>
      <c r="D1946" s="38">
        <f>IF(A1946="","",IFERROR(INDEX(Maniobras!$D$5:$D$504,MATCH(A1946,Maniobras!$A$5:$A$504,0)),""))</f>
        <v/>
      </c>
      <c r="E1946" s="38" t="n"/>
      <c r="F1946" s="39">
        <f>IF(A1946="","",IFERROR(INDEX(Maniobras!$K$5:$K$504,MATCH(A1946,Maniobras!$A$5:$A$504,0)),""))</f>
        <v/>
      </c>
      <c r="G1946" s="39" t="n"/>
      <c r="H1946" s="39" t="n"/>
      <c r="I1946" s="39">
        <f>IF(G1946="","",G1946+N(H1946))</f>
        <v/>
      </c>
      <c r="J1946" s="38" t="n"/>
      <c r="K1946" s="41" t="n"/>
      <c r="L1946" s="38" t="n"/>
      <c r="M1946">
        <f>IF($A1946=Ficha!$B$3,COUNTIF($A$5:$A1946,Ficha!$B$3),"")</f>
        <v/>
      </c>
    </row>
    <row r="1947">
      <c r="A1947" s="36" t="n"/>
      <c r="B1947" s="40">
        <f>IF(A1947="","",IFERROR(INDEX(Maniobras!$B$5:$B$504,MATCH(A1947,Maniobras!$A$5:$A$504,0)),""))</f>
        <v/>
      </c>
      <c r="C1947" s="36">
        <f>IF(B1947="","",TEXT(B1947,"yyyy-mm"))</f>
        <v/>
      </c>
      <c r="D1947" s="36">
        <f>IF(A1947="","",IFERROR(INDEX(Maniobras!$D$5:$D$504,MATCH(A1947,Maniobras!$A$5:$A$504,0)),""))</f>
        <v/>
      </c>
      <c r="E1947" s="36" t="n"/>
      <c r="F1947" s="37">
        <f>IF(A1947="","",IFERROR(INDEX(Maniobras!$K$5:$K$504,MATCH(A1947,Maniobras!$A$5:$A$504,0)),""))</f>
        <v/>
      </c>
      <c r="G1947" s="37" t="n"/>
      <c r="H1947" s="37" t="n"/>
      <c r="I1947" s="37">
        <f>IF(G1947="","",G1947+N(H1947))</f>
        <v/>
      </c>
      <c r="J1947" s="36" t="n"/>
      <c r="K1947" s="40" t="n"/>
      <c r="L1947" s="36" t="n"/>
      <c r="M1947">
        <f>IF($A1947=Ficha!$B$3,COUNTIF($A$5:$A1947,Ficha!$B$3),"")</f>
        <v/>
      </c>
    </row>
    <row r="1948">
      <c r="A1948" s="38" t="n"/>
      <c r="B1948" s="41">
        <f>IF(A1948="","",IFERROR(INDEX(Maniobras!$B$5:$B$504,MATCH(A1948,Maniobras!$A$5:$A$504,0)),""))</f>
        <v/>
      </c>
      <c r="C1948" s="38">
        <f>IF(B1948="","",TEXT(B1948,"yyyy-mm"))</f>
        <v/>
      </c>
      <c r="D1948" s="38">
        <f>IF(A1948="","",IFERROR(INDEX(Maniobras!$D$5:$D$504,MATCH(A1948,Maniobras!$A$5:$A$504,0)),""))</f>
        <v/>
      </c>
      <c r="E1948" s="38" t="n"/>
      <c r="F1948" s="39">
        <f>IF(A1948="","",IFERROR(INDEX(Maniobras!$K$5:$K$504,MATCH(A1948,Maniobras!$A$5:$A$504,0)),""))</f>
        <v/>
      </c>
      <c r="G1948" s="39" t="n"/>
      <c r="H1948" s="39" t="n"/>
      <c r="I1948" s="39">
        <f>IF(G1948="","",G1948+N(H1948))</f>
        <v/>
      </c>
      <c r="J1948" s="38" t="n"/>
      <c r="K1948" s="41" t="n"/>
      <c r="L1948" s="38" t="n"/>
      <c r="M1948">
        <f>IF($A1948=Ficha!$B$3,COUNTIF($A$5:$A1948,Ficha!$B$3),"")</f>
        <v/>
      </c>
    </row>
    <row r="1949">
      <c r="A1949" s="36" t="n"/>
      <c r="B1949" s="40">
        <f>IF(A1949="","",IFERROR(INDEX(Maniobras!$B$5:$B$504,MATCH(A1949,Maniobras!$A$5:$A$504,0)),""))</f>
        <v/>
      </c>
      <c r="C1949" s="36">
        <f>IF(B1949="","",TEXT(B1949,"yyyy-mm"))</f>
        <v/>
      </c>
      <c r="D1949" s="36">
        <f>IF(A1949="","",IFERROR(INDEX(Maniobras!$D$5:$D$504,MATCH(A1949,Maniobras!$A$5:$A$504,0)),""))</f>
        <v/>
      </c>
      <c r="E1949" s="36" t="n"/>
      <c r="F1949" s="37">
        <f>IF(A1949="","",IFERROR(INDEX(Maniobras!$K$5:$K$504,MATCH(A1949,Maniobras!$A$5:$A$504,0)),""))</f>
        <v/>
      </c>
      <c r="G1949" s="37" t="n"/>
      <c r="H1949" s="37" t="n"/>
      <c r="I1949" s="37">
        <f>IF(G1949="","",G1949+N(H1949))</f>
        <v/>
      </c>
      <c r="J1949" s="36" t="n"/>
      <c r="K1949" s="40" t="n"/>
      <c r="L1949" s="36" t="n"/>
      <c r="M1949">
        <f>IF($A1949=Ficha!$B$3,COUNTIF($A$5:$A1949,Ficha!$B$3),"")</f>
        <v/>
      </c>
    </row>
    <row r="1950">
      <c r="A1950" s="38" t="n"/>
      <c r="B1950" s="41">
        <f>IF(A1950="","",IFERROR(INDEX(Maniobras!$B$5:$B$504,MATCH(A1950,Maniobras!$A$5:$A$504,0)),""))</f>
        <v/>
      </c>
      <c r="C1950" s="38">
        <f>IF(B1950="","",TEXT(B1950,"yyyy-mm"))</f>
        <v/>
      </c>
      <c r="D1950" s="38">
        <f>IF(A1950="","",IFERROR(INDEX(Maniobras!$D$5:$D$504,MATCH(A1950,Maniobras!$A$5:$A$504,0)),""))</f>
        <v/>
      </c>
      <c r="E1950" s="38" t="n"/>
      <c r="F1950" s="39">
        <f>IF(A1950="","",IFERROR(INDEX(Maniobras!$K$5:$K$504,MATCH(A1950,Maniobras!$A$5:$A$504,0)),""))</f>
        <v/>
      </c>
      <c r="G1950" s="39" t="n"/>
      <c r="H1950" s="39" t="n"/>
      <c r="I1950" s="39">
        <f>IF(G1950="","",G1950+N(H1950))</f>
        <v/>
      </c>
      <c r="J1950" s="38" t="n"/>
      <c r="K1950" s="41" t="n"/>
      <c r="L1950" s="38" t="n"/>
      <c r="M1950">
        <f>IF($A1950=Ficha!$B$3,COUNTIF($A$5:$A1950,Ficha!$B$3),"")</f>
        <v/>
      </c>
    </row>
    <row r="1951">
      <c r="A1951" s="36" t="n"/>
      <c r="B1951" s="40">
        <f>IF(A1951="","",IFERROR(INDEX(Maniobras!$B$5:$B$504,MATCH(A1951,Maniobras!$A$5:$A$504,0)),""))</f>
        <v/>
      </c>
      <c r="C1951" s="36">
        <f>IF(B1951="","",TEXT(B1951,"yyyy-mm"))</f>
        <v/>
      </c>
      <c r="D1951" s="36">
        <f>IF(A1951="","",IFERROR(INDEX(Maniobras!$D$5:$D$504,MATCH(A1951,Maniobras!$A$5:$A$504,0)),""))</f>
        <v/>
      </c>
      <c r="E1951" s="36" t="n"/>
      <c r="F1951" s="37">
        <f>IF(A1951="","",IFERROR(INDEX(Maniobras!$K$5:$K$504,MATCH(A1951,Maniobras!$A$5:$A$504,0)),""))</f>
        <v/>
      </c>
      <c r="G1951" s="37" t="n"/>
      <c r="H1951" s="37" t="n"/>
      <c r="I1951" s="37">
        <f>IF(G1951="","",G1951+N(H1951))</f>
        <v/>
      </c>
      <c r="J1951" s="36" t="n"/>
      <c r="K1951" s="40" t="n"/>
      <c r="L1951" s="36" t="n"/>
      <c r="M1951">
        <f>IF($A1951=Ficha!$B$3,COUNTIF($A$5:$A1951,Ficha!$B$3),"")</f>
        <v/>
      </c>
    </row>
    <row r="1952">
      <c r="A1952" s="38" t="n"/>
      <c r="B1952" s="41">
        <f>IF(A1952="","",IFERROR(INDEX(Maniobras!$B$5:$B$504,MATCH(A1952,Maniobras!$A$5:$A$504,0)),""))</f>
        <v/>
      </c>
      <c r="C1952" s="38">
        <f>IF(B1952="","",TEXT(B1952,"yyyy-mm"))</f>
        <v/>
      </c>
      <c r="D1952" s="38">
        <f>IF(A1952="","",IFERROR(INDEX(Maniobras!$D$5:$D$504,MATCH(A1952,Maniobras!$A$5:$A$504,0)),""))</f>
        <v/>
      </c>
      <c r="E1952" s="38" t="n"/>
      <c r="F1952" s="39">
        <f>IF(A1952="","",IFERROR(INDEX(Maniobras!$K$5:$K$504,MATCH(A1952,Maniobras!$A$5:$A$504,0)),""))</f>
        <v/>
      </c>
      <c r="G1952" s="39" t="n"/>
      <c r="H1952" s="39" t="n"/>
      <c r="I1952" s="39">
        <f>IF(G1952="","",G1952+N(H1952))</f>
        <v/>
      </c>
      <c r="J1952" s="38" t="n"/>
      <c r="K1952" s="41" t="n"/>
      <c r="L1952" s="38" t="n"/>
      <c r="M1952">
        <f>IF($A1952=Ficha!$B$3,COUNTIF($A$5:$A1952,Ficha!$B$3),"")</f>
        <v/>
      </c>
    </row>
    <row r="1953">
      <c r="A1953" s="36" t="n"/>
      <c r="B1953" s="40">
        <f>IF(A1953="","",IFERROR(INDEX(Maniobras!$B$5:$B$504,MATCH(A1953,Maniobras!$A$5:$A$504,0)),""))</f>
        <v/>
      </c>
      <c r="C1953" s="36">
        <f>IF(B1953="","",TEXT(B1953,"yyyy-mm"))</f>
        <v/>
      </c>
      <c r="D1953" s="36">
        <f>IF(A1953="","",IFERROR(INDEX(Maniobras!$D$5:$D$504,MATCH(A1953,Maniobras!$A$5:$A$504,0)),""))</f>
        <v/>
      </c>
      <c r="E1953" s="36" t="n"/>
      <c r="F1953" s="37">
        <f>IF(A1953="","",IFERROR(INDEX(Maniobras!$K$5:$K$504,MATCH(A1953,Maniobras!$A$5:$A$504,0)),""))</f>
        <v/>
      </c>
      <c r="G1953" s="37" t="n"/>
      <c r="H1953" s="37" t="n"/>
      <c r="I1953" s="37">
        <f>IF(G1953="","",G1953+N(H1953))</f>
        <v/>
      </c>
      <c r="J1953" s="36" t="n"/>
      <c r="K1953" s="40" t="n"/>
      <c r="L1953" s="36" t="n"/>
      <c r="M1953">
        <f>IF($A1953=Ficha!$B$3,COUNTIF($A$5:$A1953,Ficha!$B$3),"")</f>
        <v/>
      </c>
    </row>
    <row r="1954">
      <c r="A1954" s="38" t="n"/>
      <c r="B1954" s="41">
        <f>IF(A1954="","",IFERROR(INDEX(Maniobras!$B$5:$B$504,MATCH(A1954,Maniobras!$A$5:$A$504,0)),""))</f>
        <v/>
      </c>
      <c r="C1954" s="38">
        <f>IF(B1954="","",TEXT(B1954,"yyyy-mm"))</f>
        <v/>
      </c>
      <c r="D1954" s="38">
        <f>IF(A1954="","",IFERROR(INDEX(Maniobras!$D$5:$D$504,MATCH(A1954,Maniobras!$A$5:$A$504,0)),""))</f>
        <v/>
      </c>
      <c r="E1954" s="38" t="n"/>
      <c r="F1954" s="39">
        <f>IF(A1954="","",IFERROR(INDEX(Maniobras!$K$5:$K$504,MATCH(A1954,Maniobras!$A$5:$A$504,0)),""))</f>
        <v/>
      </c>
      <c r="G1954" s="39" t="n"/>
      <c r="H1954" s="39" t="n"/>
      <c r="I1954" s="39">
        <f>IF(G1954="","",G1954+N(H1954))</f>
        <v/>
      </c>
      <c r="J1954" s="38" t="n"/>
      <c r="K1954" s="41" t="n"/>
      <c r="L1954" s="38" t="n"/>
      <c r="M1954">
        <f>IF($A1954=Ficha!$B$3,COUNTIF($A$5:$A1954,Ficha!$B$3),"")</f>
        <v/>
      </c>
    </row>
    <row r="1955">
      <c r="A1955" s="36" t="n"/>
      <c r="B1955" s="40">
        <f>IF(A1955="","",IFERROR(INDEX(Maniobras!$B$5:$B$504,MATCH(A1955,Maniobras!$A$5:$A$504,0)),""))</f>
        <v/>
      </c>
      <c r="C1955" s="36">
        <f>IF(B1955="","",TEXT(B1955,"yyyy-mm"))</f>
        <v/>
      </c>
      <c r="D1955" s="36">
        <f>IF(A1955="","",IFERROR(INDEX(Maniobras!$D$5:$D$504,MATCH(A1955,Maniobras!$A$5:$A$504,0)),""))</f>
        <v/>
      </c>
      <c r="E1955" s="36" t="n"/>
      <c r="F1955" s="37">
        <f>IF(A1955="","",IFERROR(INDEX(Maniobras!$K$5:$K$504,MATCH(A1955,Maniobras!$A$5:$A$504,0)),""))</f>
        <v/>
      </c>
      <c r="G1955" s="37" t="n"/>
      <c r="H1955" s="37" t="n"/>
      <c r="I1955" s="37">
        <f>IF(G1955="","",G1955+N(H1955))</f>
        <v/>
      </c>
      <c r="J1955" s="36" t="n"/>
      <c r="K1955" s="40" t="n"/>
      <c r="L1955" s="36" t="n"/>
      <c r="M1955">
        <f>IF($A1955=Ficha!$B$3,COUNTIF($A$5:$A1955,Ficha!$B$3),"")</f>
        <v/>
      </c>
    </row>
    <row r="1956">
      <c r="A1956" s="38" t="n"/>
      <c r="B1956" s="41">
        <f>IF(A1956="","",IFERROR(INDEX(Maniobras!$B$5:$B$504,MATCH(A1956,Maniobras!$A$5:$A$504,0)),""))</f>
        <v/>
      </c>
      <c r="C1956" s="38">
        <f>IF(B1956="","",TEXT(B1956,"yyyy-mm"))</f>
        <v/>
      </c>
      <c r="D1956" s="38">
        <f>IF(A1956="","",IFERROR(INDEX(Maniobras!$D$5:$D$504,MATCH(A1956,Maniobras!$A$5:$A$504,0)),""))</f>
        <v/>
      </c>
      <c r="E1956" s="38" t="n"/>
      <c r="F1956" s="39">
        <f>IF(A1956="","",IFERROR(INDEX(Maniobras!$K$5:$K$504,MATCH(A1956,Maniobras!$A$5:$A$504,0)),""))</f>
        <v/>
      </c>
      <c r="G1956" s="39" t="n"/>
      <c r="H1956" s="39" t="n"/>
      <c r="I1956" s="39">
        <f>IF(G1956="","",G1956+N(H1956))</f>
        <v/>
      </c>
      <c r="J1956" s="38" t="n"/>
      <c r="K1956" s="41" t="n"/>
      <c r="L1956" s="38" t="n"/>
      <c r="M1956">
        <f>IF($A1956=Ficha!$B$3,COUNTIF($A$5:$A1956,Ficha!$B$3),"")</f>
        <v/>
      </c>
    </row>
    <row r="1957">
      <c r="A1957" s="36" t="n"/>
      <c r="B1957" s="40">
        <f>IF(A1957="","",IFERROR(INDEX(Maniobras!$B$5:$B$504,MATCH(A1957,Maniobras!$A$5:$A$504,0)),""))</f>
        <v/>
      </c>
      <c r="C1957" s="36">
        <f>IF(B1957="","",TEXT(B1957,"yyyy-mm"))</f>
        <v/>
      </c>
      <c r="D1957" s="36">
        <f>IF(A1957="","",IFERROR(INDEX(Maniobras!$D$5:$D$504,MATCH(A1957,Maniobras!$A$5:$A$504,0)),""))</f>
        <v/>
      </c>
      <c r="E1957" s="36" t="n"/>
      <c r="F1957" s="37">
        <f>IF(A1957="","",IFERROR(INDEX(Maniobras!$K$5:$K$504,MATCH(A1957,Maniobras!$A$5:$A$504,0)),""))</f>
        <v/>
      </c>
      <c r="G1957" s="37" t="n"/>
      <c r="H1957" s="37" t="n"/>
      <c r="I1957" s="37">
        <f>IF(G1957="","",G1957+N(H1957))</f>
        <v/>
      </c>
      <c r="J1957" s="36" t="n"/>
      <c r="K1957" s="40" t="n"/>
      <c r="L1957" s="36" t="n"/>
      <c r="M1957">
        <f>IF($A1957=Ficha!$B$3,COUNTIF($A$5:$A1957,Ficha!$B$3),"")</f>
        <v/>
      </c>
    </row>
    <row r="1958">
      <c r="A1958" s="38" t="n"/>
      <c r="B1958" s="41">
        <f>IF(A1958="","",IFERROR(INDEX(Maniobras!$B$5:$B$504,MATCH(A1958,Maniobras!$A$5:$A$504,0)),""))</f>
        <v/>
      </c>
      <c r="C1958" s="38">
        <f>IF(B1958="","",TEXT(B1958,"yyyy-mm"))</f>
        <v/>
      </c>
      <c r="D1958" s="38">
        <f>IF(A1958="","",IFERROR(INDEX(Maniobras!$D$5:$D$504,MATCH(A1958,Maniobras!$A$5:$A$504,0)),""))</f>
        <v/>
      </c>
      <c r="E1958" s="38" t="n"/>
      <c r="F1958" s="39">
        <f>IF(A1958="","",IFERROR(INDEX(Maniobras!$K$5:$K$504,MATCH(A1958,Maniobras!$A$5:$A$504,0)),""))</f>
        <v/>
      </c>
      <c r="G1958" s="39" t="n"/>
      <c r="H1958" s="39" t="n"/>
      <c r="I1958" s="39">
        <f>IF(G1958="","",G1958+N(H1958))</f>
        <v/>
      </c>
      <c r="J1958" s="38" t="n"/>
      <c r="K1958" s="41" t="n"/>
      <c r="L1958" s="38" t="n"/>
      <c r="M1958">
        <f>IF($A1958=Ficha!$B$3,COUNTIF($A$5:$A1958,Ficha!$B$3),"")</f>
        <v/>
      </c>
    </row>
    <row r="1959">
      <c r="A1959" s="36" t="n"/>
      <c r="B1959" s="40">
        <f>IF(A1959="","",IFERROR(INDEX(Maniobras!$B$5:$B$504,MATCH(A1959,Maniobras!$A$5:$A$504,0)),""))</f>
        <v/>
      </c>
      <c r="C1959" s="36">
        <f>IF(B1959="","",TEXT(B1959,"yyyy-mm"))</f>
        <v/>
      </c>
      <c r="D1959" s="36">
        <f>IF(A1959="","",IFERROR(INDEX(Maniobras!$D$5:$D$504,MATCH(A1959,Maniobras!$A$5:$A$504,0)),""))</f>
        <v/>
      </c>
      <c r="E1959" s="36" t="n"/>
      <c r="F1959" s="37">
        <f>IF(A1959="","",IFERROR(INDEX(Maniobras!$K$5:$K$504,MATCH(A1959,Maniobras!$A$5:$A$504,0)),""))</f>
        <v/>
      </c>
      <c r="G1959" s="37" t="n"/>
      <c r="H1959" s="37" t="n"/>
      <c r="I1959" s="37">
        <f>IF(G1959="","",G1959+N(H1959))</f>
        <v/>
      </c>
      <c r="J1959" s="36" t="n"/>
      <c r="K1959" s="40" t="n"/>
      <c r="L1959" s="36" t="n"/>
      <c r="M1959">
        <f>IF($A1959=Ficha!$B$3,COUNTIF($A$5:$A1959,Ficha!$B$3),"")</f>
        <v/>
      </c>
    </row>
    <row r="1960">
      <c r="A1960" s="38" t="n"/>
      <c r="B1960" s="41">
        <f>IF(A1960="","",IFERROR(INDEX(Maniobras!$B$5:$B$504,MATCH(A1960,Maniobras!$A$5:$A$504,0)),""))</f>
        <v/>
      </c>
      <c r="C1960" s="38">
        <f>IF(B1960="","",TEXT(B1960,"yyyy-mm"))</f>
        <v/>
      </c>
      <c r="D1960" s="38">
        <f>IF(A1960="","",IFERROR(INDEX(Maniobras!$D$5:$D$504,MATCH(A1960,Maniobras!$A$5:$A$504,0)),""))</f>
        <v/>
      </c>
      <c r="E1960" s="38" t="n"/>
      <c r="F1960" s="39">
        <f>IF(A1960="","",IFERROR(INDEX(Maniobras!$K$5:$K$504,MATCH(A1960,Maniobras!$A$5:$A$504,0)),""))</f>
        <v/>
      </c>
      <c r="G1960" s="39" t="n"/>
      <c r="H1960" s="39" t="n"/>
      <c r="I1960" s="39">
        <f>IF(G1960="","",G1960+N(H1960))</f>
        <v/>
      </c>
      <c r="J1960" s="38" t="n"/>
      <c r="K1960" s="41" t="n"/>
      <c r="L1960" s="38" t="n"/>
      <c r="M1960">
        <f>IF($A1960=Ficha!$B$3,COUNTIF($A$5:$A1960,Ficha!$B$3),"")</f>
        <v/>
      </c>
    </row>
    <row r="1961">
      <c r="A1961" s="36" t="n"/>
      <c r="B1961" s="40">
        <f>IF(A1961="","",IFERROR(INDEX(Maniobras!$B$5:$B$504,MATCH(A1961,Maniobras!$A$5:$A$504,0)),""))</f>
        <v/>
      </c>
      <c r="C1961" s="36">
        <f>IF(B1961="","",TEXT(B1961,"yyyy-mm"))</f>
        <v/>
      </c>
      <c r="D1961" s="36">
        <f>IF(A1961="","",IFERROR(INDEX(Maniobras!$D$5:$D$504,MATCH(A1961,Maniobras!$A$5:$A$504,0)),""))</f>
        <v/>
      </c>
      <c r="E1961" s="36" t="n"/>
      <c r="F1961" s="37">
        <f>IF(A1961="","",IFERROR(INDEX(Maniobras!$K$5:$K$504,MATCH(A1961,Maniobras!$A$5:$A$504,0)),""))</f>
        <v/>
      </c>
      <c r="G1961" s="37" t="n"/>
      <c r="H1961" s="37" t="n"/>
      <c r="I1961" s="37">
        <f>IF(G1961="","",G1961+N(H1961))</f>
        <v/>
      </c>
      <c r="J1961" s="36" t="n"/>
      <c r="K1961" s="40" t="n"/>
      <c r="L1961" s="36" t="n"/>
      <c r="M1961">
        <f>IF($A1961=Ficha!$B$3,COUNTIF($A$5:$A1961,Ficha!$B$3),"")</f>
        <v/>
      </c>
    </row>
    <row r="1962">
      <c r="A1962" s="38" t="n"/>
      <c r="B1962" s="41">
        <f>IF(A1962="","",IFERROR(INDEX(Maniobras!$B$5:$B$504,MATCH(A1962,Maniobras!$A$5:$A$504,0)),""))</f>
        <v/>
      </c>
      <c r="C1962" s="38">
        <f>IF(B1962="","",TEXT(B1962,"yyyy-mm"))</f>
        <v/>
      </c>
      <c r="D1962" s="38">
        <f>IF(A1962="","",IFERROR(INDEX(Maniobras!$D$5:$D$504,MATCH(A1962,Maniobras!$A$5:$A$504,0)),""))</f>
        <v/>
      </c>
      <c r="E1962" s="38" t="n"/>
      <c r="F1962" s="39">
        <f>IF(A1962="","",IFERROR(INDEX(Maniobras!$K$5:$K$504,MATCH(A1962,Maniobras!$A$5:$A$504,0)),""))</f>
        <v/>
      </c>
      <c r="G1962" s="39" t="n"/>
      <c r="H1962" s="39" t="n"/>
      <c r="I1962" s="39">
        <f>IF(G1962="","",G1962+N(H1962))</f>
        <v/>
      </c>
      <c r="J1962" s="38" t="n"/>
      <c r="K1962" s="41" t="n"/>
      <c r="L1962" s="38" t="n"/>
      <c r="M1962">
        <f>IF($A1962=Ficha!$B$3,COUNTIF($A$5:$A1962,Ficha!$B$3),"")</f>
        <v/>
      </c>
    </row>
    <row r="1963">
      <c r="A1963" s="36" t="n"/>
      <c r="B1963" s="40">
        <f>IF(A1963="","",IFERROR(INDEX(Maniobras!$B$5:$B$504,MATCH(A1963,Maniobras!$A$5:$A$504,0)),""))</f>
        <v/>
      </c>
      <c r="C1963" s="36">
        <f>IF(B1963="","",TEXT(B1963,"yyyy-mm"))</f>
        <v/>
      </c>
      <c r="D1963" s="36">
        <f>IF(A1963="","",IFERROR(INDEX(Maniobras!$D$5:$D$504,MATCH(A1963,Maniobras!$A$5:$A$504,0)),""))</f>
        <v/>
      </c>
      <c r="E1963" s="36" t="n"/>
      <c r="F1963" s="37">
        <f>IF(A1963="","",IFERROR(INDEX(Maniobras!$K$5:$K$504,MATCH(A1963,Maniobras!$A$5:$A$504,0)),""))</f>
        <v/>
      </c>
      <c r="G1963" s="37" t="n"/>
      <c r="H1963" s="37" t="n"/>
      <c r="I1963" s="37">
        <f>IF(G1963="","",G1963+N(H1963))</f>
        <v/>
      </c>
      <c r="J1963" s="36" t="n"/>
      <c r="K1963" s="40" t="n"/>
      <c r="L1963" s="36" t="n"/>
      <c r="M1963">
        <f>IF($A1963=Ficha!$B$3,COUNTIF($A$5:$A1963,Ficha!$B$3),"")</f>
        <v/>
      </c>
    </row>
    <row r="1964">
      <c r="A1964" s="38" t="n"/>
      <c r="B1964" s="41">
        <f>IF(A1964="","",IFERROR(INDEX(Maniobras!$B$5:$B$504,MATCH(A1964,Maniobras!$A$5:$A$504,0)),""))</f>
        <v/>
      </c>
      <c r="C1964" s="38">
        <f>IF(B1964="","",TEXT(B1964,"yyyy-mm"))</f>
        <v/>
      </c>
      <c r="D1964" s="38">
        <f>IF(A1964="","",IFERROR(INDEX(Maniobras!$D$5:$D$504,MATCH(A1964,Maniobras!$A$5:$A$504,0)),""))</f>
        <v/>
      </c>
      <c r="E1964" s="38" t="n"/>
      <c r="F1964" s="39">
        <f>IF(A1964="","",IFERROR(INDEX(Maniobras!$K$5:$K$504,MATCH(A1964,Maniobras!$A$5:$A$504,0)),""))</f>
        <v/>
      </c>
      <c r="G1964" s="39" t="n"/>
      <c r="H1964" s="39" t="n"/>
      <c r="I1964" s="39">
        <f>IF(G1964="","",G1964+N(H1964))</f>
        <v/>
      </c>
      <c r="J1964" s="38" t="n"/>
      <c r="K1964" s="41" t="n"/>
      <c r="L1964" s="38" t="n"/>
      <c r="M1964">
        <f>IF($A1964=Ficha!$B$3,COUNTIF($A$5:$A1964,Ficha!$B$3),"")</f>
        <v/>
      </c>
    </row>
    <row r="1965">
      <c r="A1965" s="36" t="n"/>
      <c r="B1965" s="40">
        <f>IF(A1965="","",IFERROR(INDEX(Maniobras!$B$5:$B$504,MATCH(A1965,Maniobras!$A$5:$A$504,0)),""))</f>
        <v/>
      </c>
      <c r="C1965" s="36">
        <f>IF(B1965="","",TEXT(B1965,"yyyy-mm"))</f>
        <v/>
      </c>
      <c r="D1965" s="36">
        <f>IF(A1965="","",IFERROR(INDEX(Maniobras!$D$5:$D$504,MATCH(A1965,Maniobras!$A$5:$A$504,0)),""))</f>
        <v/>
      </c>
      <c r="E1965" s="36" t="n"/>
      <c r="F1965" s="37">
        <f>IF(A1965="","",IFERROR(INDEX(Maniobras!$K$5:$K$504,MATCH(A1965,Maniobras!$A$5:$A$504,0)),""))</f>
        <v/>
      </c>
      <c r="G1965" s="37" t="n"/>
      <c r="H1965" s="37" t="n"/>
      <c r="I1965" s="37">
        <f>IF(G1965="","",G1965+N(H1965))</f>
        <v/>
      </c>
      <c r="J1965" s="36" t="n"/>
      <c r="K1965" s="40" t="n"/>
      <c r="L1965" s="36" t="n"/>
      <c r="M1965">
        <f>IF($A1965=Ficha!$B$3,COUNTIF($A$5:$A1965,Ficha!$B$3),"")</f>
        <v/>
      </c>
    </row>
    <row r="1966">
      <c r="A1966" s="38" t="n"/>
      <c r="B1966" s="41">
        <f>IF(A1966="","",IFERROR(INDEX(Maniobras!$B$5:$B$504,MATCH(A1966,Maniobras!$A$5:$A$504,0)),""))</f>
        <v/>
      </c>
      <c r="C1966" s="38">
        <f>IF(B1966="","",TEXT(B1966,"yyyy-mm"))</f>
        <v/>
      </c>
      <c r="D1966" s="38">
        <f>IF(A1966="","",IFERROR(INDEX(Maniobras!$D$5:$D$504,MATCH(A1966,Maniobras!$A$5:$A$504,0)),""))</f>
        <v/>
      </c>
      <c r="E1966" s="38" t="n"/>
      <c r="F1966" s="39">
        <f>IF(A1966="","",IFERROR(INDEX(Maniobras!$K$5:$K$504,MATCH(A1966,Maniobras!$A$5:$A$504,0)),""))</f>
        <v/>
      </c>
      <c r="G1966" s="39" t="n"/>
      <c r="H1966" s="39" t="n"/>
      <c r="I1966" s="39">
        <f>IF(G1966="","",G1966+N(H1966))</f>
        <v/>
      </c>
      <c r="J1966" s="38" t="n"/>
      <c r="K1966" s="41" t="n"/>
      <c r="L1966" s="38" t="n"/>
      <c r="M1966">
        <f>IF($A1966=Ficha!$B$3,COUNTIF($A$5:$A1966,Ficha!$B$3),"")</f>
        <v/>
      </c>
    </row>
    <row r="1967">
      <c r="A1967" s="36" t="n"/>
      <c r="B1967" s="40">
        <f>IF(A1967="","",IFERROR(INDEX(Maniobras!$B$5:$B$504,MATCH(A1967,Maniobras!$A$5:$A$504,0)),""))</f>
        <v/>
      </c>
      <c r="C1967" s="36">
        <f>IF(B1967="","",TEXT(B1967,"yyyy-mm"))</f>
        <v/>
      </c>
      <c r="D1967" s="36">
        <f>IF(A1967="","",IFERROR(INDEX(Maniobras!$D$5:$D$504,MATCH(A1967,Maniobras!$A$5:$A$504,0)),""))</f>
        <v/>
      </c>
      <c r="E1967" s="36" t="n"/>
      <c r="F1967" s="37">
        <f>IF(A1967="","",IFERROR(INDEX(Maniobras!$K$5:$K$504,MATCH(A1967,Maniobras!$A$5:$A$504,0)),""))</f>
        <v/>
      </c>
      <c r="G1967" s="37" t="n"/>
      <c r="H1967" s="37" t="n"/>
      <c r="I1967" s="37">
        <f>IF(G1967="","",G1967+N(H1967))</f>
        <v/>
      </c>
      <c r="J1967" s="36" t="n"/>
      <c r="K1967" s="40" t="n"/>
      <c r="L1967" s="36" t="n"/>
      <c r="M1967">
        <f>IF($A1967=Ficha!$B$3,COUNTIF($A$5:$A1967,Ficha!$B$3),"")</f>
        <v/>
      </c>
    </row>
    <row r="1968">
      <c r="A1968" s="38" t="n"/>
      <c r="B1968" s="41">
        <f>IF(A1968="","",IFERROR(INDEX(Maniobras!$B$5:$B$504,MATCH(A1968,Maniobras!$A$5:$A$504,0)),""))</f>
        <v/>
      </c>
      <c r="C1968" s="38">
        <f>IF(B1968="","",TEXT(B1968,"yyyy-mm"))</f>
        <v/>
      </c>
      <c r="D1968" s="38">
        <f>IF(A1968="","",IFERROR(INDEX(Maniobras!$D$5:$D$504,MATCH(A1968,Maniobras!$A$5:$A$504,0)),""))</f>
        <v/>
      </c>
      <c r="E1968" s="38" t="n"/>
      <c r="F1968" s="39">
        <f>IF(A1968="","",IFERROR(INDEX(Maniobras!$K$5:$K$504,MATCH(A1968,Maniobras!$A$5:$A$504,0)),""))</f>
        <v/>
      </c>
      <c r="G1968" s="39" t="n"/>
      <c r="H1968" s="39" t="n"/>
      <c r="I1968" s="39">
        <f>IF(G1968="","",G1968+N(H1968))</f>
        <v/>
      </c>
      <c r="J1968" s="38" t="n"/>
      <c r="K1968" s="41" t="n"/>
      <c r="L1968" s="38" t="n"/>
      <c r="M1968">
        <f>IF($A1968=Ficha!$B$3,COUNTIF($A$5:$A1968,Ficha!$B$3),"")</f>
        <v/>
      </c>
    </row>
    <row r="1969">
      <c r="A1969" s="36" t="n"/>
      <c r="B1969" s="40">
        <f>IF(A1969="","",IFERROR(INDEX(Maniobras!$B$5:$B$504,MATCH(A1969,Maniobras!$A$5:$A$504,0)),""))</f>
        <v/>
      </c>
      <c r="C1969" s="36">
        <f>IF(B1969="","",TEXT(B1969,"yyyy-mm"))</f>
        <v/>
      </c>
      <c r="D1969" s="36">
        <f>IF(A1969="","",IFERROR(INDEX(Maniobras!$D$5:$D$504,MATCH(A1969,Maniobras!$A$5:$A$504,0)),""))</f>
        <v/>
      </c>
      <c r="E1969" s="36" t="n"/>
      <c r="F1969" s="37">
        <f>IF(A1969="","",IFERROR(INDEX(Maniobras!$K$5:$K$504,MATCH(A1969,Maniobras!$A$5:$A$504,0)),""))</f>
        <v/>
      </c>
      <c r="G1969" s="37" t="n"/>
      <c r="H1969" s="37" t="n"/>
      <c r="I1969" s="37">
        <f>IF(G1969="","",G1969+N(H1969))</f>
        <v/>
      </c>
      <c r="J1969" s="36" t="n"/>
      <c r="K1969" s="40" t="n"/>
      <c r="L1969" s="36" t="n"/>
      <c r="M1969">
        <f>IF($A1969=Ficha!$B$3,COUNTIF($A$5:$A1969,Ficha!$B$3),"")</f>
        <v/>
      </c>
    </row>
    <row r="1970">
      <c r="A1970" s="38" t="n"/>
      <c r="B1970" s="41">
        <f>IF(A1970="","",IFERROR(INDEX(Maniobras!$B$5:$B$504,MATCH(A1970,Maniobras!$A$5:$A$504,0)),""))</f>
        <v/>
      </c>
      <c r="C1970" s="38">
        <f>IF(B1970="","",TEXT(B1970,"yyyy-mm"))</f>
        <v/>
      </c>
      <c r="D1970" s="38">
        <f>IF(A1970="","",IFERROR(INDEX(Maniobras!$D$5:$D$504,MATCH(A1970,Maniobras!$A$5:$A$504,0)),""))</f>
        <v/>
      </c>
      <c r="E1970" s="38" t="n"/>
      <c r="F1970" s="39">
        <f>IF(A1970="","",IFERROR(INDEX(Maniobras!$K$5:$K$504,MATCH(A1970,Maniobras!$A$5:$A$504,0)),""))</f>
        <v/>
      </c>
      <c r="G1970" s="39" t="n"/>
      <c r="H1970" s="39" t="n"/>
      <c r="I1970" s="39">
        <f>IF(G1970="","",G1970+N(H1970))</f>
        <v/>
      </c>
      <c r="J1970" s="38" t="n"/>
      <c r="K1970" s="41" t="n"/>
      <c r="L1970" s="38" t="n"/>
      <c r="M1970">
        <f>IF($A1970=Ficha!$B$3,COUNTIF($A$5:$A1970,Ficha!$B$3),"")</f>
        <v/>
      </c>
    </row>
    <row r="1971">
      <c r="A1971" s="36" t="n"/>
      <c r="B1971" s="40">
        <f>IF(A1971="","",IFERROR(INDEX(Maniobras!$B$5:$B$504,MATCH(A1971,Maniobras!$A$5:$A$504,0)),""))</f>
        <v/>
      </c>
      <c r="C1971" s="36">
        <f>IF(B1971="","",TEXT(B1971,"yyyy-mm"))</f>
        <v/>
      </c>
      <c r="D1971" s="36">
        <f>IF(A1971="","",IFERROR(INDEX(Maniobras!$D$5:$D$504,MATCH(A1971,Maniobras!$A$5:$A$504,0)),""))</f>
        <v/>
      </c>
      <c r="E1971" s="36" t="n"/>
      <c r="F1971" s="37">
        <f>IF(A1971="","",IFERROR(INDEX(Maniobras!$K$5:$K$504,MATCH(A1971,Maniobras!$A$5:$A$504,0)),""))</f>
        <v/>
      </c>
      <c r="G1971" s="37" t="n"/>
      <c r="H1971" s="37" t="n"/>
      <c r="I1971" s="37">
        <f>IF(G1971="","",G1971+N(H1971))</f>
        <v/>
      </c>
      <c r="J1971" s="36" t="n"/>
      <c r="K1971" s="40" t="n"/>
      <c r="L1971" s="36" t="n"/>
      <c r="M1971">
        <f>IF($A1971=Ficha!$B$3,COUNTIF($A$5:$A1971,Ficha!$B$3),"")</f>
        <v/>
      </c>
    </row>
    <row r="1972">
      <c r="A1972" s="38" t="n"/>
      <c r="B1972" s="41">
        <f>IF(A1972="","",IFERROR(INDEX(Maniobras!$B$5:$B$504,MATCH(A1972,Maniobras!$A$5:$A$504,0)),""))</f>
        <v/>
      </c>
      <c r="C1972" s="38">
        <f>IF(B1972="","",TEXT(B1972,"yyyy-mm"))</f>
        <v/>
      </c>
      <c r="D1972" s="38">
        <f>IF(A1972="","",IFERROR(INDEX(Maniobras!$D$5:$D$504,MATCH(A1972,Maniobras!$A$5:$A$504,0)),""))</f>
        <v/>
      </c>
      <c r="E1972" s="38" t="n"/>
      <c r="F1972" s="39">
        <f>IF(A1972="","",IFERROR(INDEX(Maniobras!$K$5:$K$504,MATCH(A1972,Maniobras!$A$5:$A$504,0)),""))</f>
        <v/>
      </c>
      <c r="G1972" s="39" t="n"/>
      <c r="H1972" s="39" t="n"/>
      <c r="I1972" s="39">
        <f>IF(G1972="","",G1972+N(H1972))</f>
        <v/>
      </c>
      <c r="J1972" s="38" t="n"/>
      <c r="K1972" s="41" t="n"/>
      <c r="L1972" s="38" t="n"/>
      <c r="M1972">
        <f>IF($A1972=Ficha!$B$3,COUNTIF($A$5:$A1972,Ficha!$B$3),"")</f>
        <v/>
      </c>
    </row>
    <row r="1973">
      <c r="A1973" s="36" t="n"/>
      <c r="B1973" s="40">
        <f>IF(A1973="","",IFERROR(INDEX(Maniobras!$B$5:$B$504,MATCH(A1973,Maniobras!$A$5:$A$504,0)),""))</f>
        <v/>
      </c>
      <c r="C1973" s="36">
        <f>IF(B1973="","",TEXT(B1973,"yyyy-mm"))</f>
        <v/>
      </c>
      <c r="D1973" s="36">
        <f>IF(A1973="","",IFERROR(INDEX(Maniobras!$D$5:$D$504,MATCH(A1973,Maniobras!$A$5:$A$504,0)),""))</f>
        <v/>
      </c>
      <c r="E1973" s="36" t="n"/>
      <c r="F1973" s="37">
        <f>IF(A1973="","",IFERROR(INDEX(Maniobras!$K$5:$K$504,MATCH(A1973,Maniobras!$A$5:$A$504,0)),""))</f>
        <v/>
      </c>
      <c r="G1973" s="37" t="n"/>
      <c r="H1973" s="37" t="n"/>
      <c r="I1973" s="37">
        <f>IF(G1973="","",G1973+N(H1973))</f>
        <v/>
      </c>
      <c r="J1973" s="36" t="n"/>
      <c r="K1973" s="40" t="n"/>
      <c r="L1973" s="36" t="n"/>
      <c r="M1973">
        <f>IF($A1973=Ficha!$B$3,COUNTIF($A$5:$A1973,Ficha!$B$3),"")</f>
        <v/>
      </c>
    </row>
    <row r="1974">
      <c r="A1974" s="38" t="n"/>
      <c r="B1974" s="41">
        <f>IF(A1974="","",IFERROR(INDEX(Maniobras!$B$5:$B$504,MATCH(A1974,Maniobras!$A$5:$A$504,0)),""))</f>
        <v/>
      </c>
      <c r="C1974" s="38">
        <f>IF(B1974="","",TEXT(B1974,"yyyy-mm"))</f>
        <v/>
      </c>
      <c r="D1974" s="38">
        <f>IF(A1974="","",IFERROR(INDEX(Maniobras!$D$5:$D$504,MATCH(A1974,Maniobras!$A$5:$A$504,0)),""))</f>
        <v/>
      </c>
      <c r="E1974" s="38" t="n"/>
      <c r="F1974" s="39">
        <f>IF(A1974="","",IFERROR(INDEX(Maniobras!$K$5:$K$504,MATCH(A1974,Maniobras!$A$5:$A$504,0)),""))</f>
        <v/>
      </c>
      <c r="G1974" s="39" t="n"/>
      <c r="H1974" s="39" t="n"/>
      <c r="I1974" s="39">
        <f>IF(G1974="","",G1974+N(H1974))</f>
        <v/>
      </c>
      <c r="J1974" s="38" t="n"/>
      <c r="K1974" s="41" t="n"/>
      <c r="L1974" s="38" t="n"/>
      <c r="M1974">
        <f>IF($A1974=Ficha!$B$3,COUNTIF($A$5:$A1974,Ficha!$B$3),"")</f>
        <v/>
      </c>
    </row>
    <row r="1975">
      <c r="A1975" s="36" t="n"/>
      <c r="B1975" s="40">
        <f>IF(A1975="","",IFERROR(INDEX(Maniobras!$B$5:$B$504,MATCH(A1975,Maniobras!$A$5:$A$504,0)),""))</f>
        <v/>
      </c>
      <c r="C1975" s="36">
        <f>IF(B1975="","",TEXT(B1975,"yyyy-mm"))</f>
        <v/>
      </c>
      <c r="D1975" s="36">
        <f>IF(A1975="","",IFERROR(INDEX(Maniobras!$D$5:$D$504,MATCH(A1975,Maniobras!$A$5:$A$504,0)),""))</f>
        <v/>
      </c>
      <c r="E1975" s="36" t="n"/>
      <c r="F1975" s="37">
        <f>IF(A1975="","",IFERROR(INDEX(Maniobras!$K$5:$K$504,MATCH(A1975,Maniobras!$A$5:$A$504,0)),""))</f>
        <v/>
      </c>
      <c r="G1975" s="37" t="n"/>
      <c r="H1975" s="37" t="n"/>
      <c r="I1975" s="37">
        <f>IF(G1975="","",G1975+N(H1975))</f>
        <v/>
      </c>
      <c r="J1975" s="36" t="n"/>
      <c r="K1975" s="40" t="n"/>
      <c r="L1975" s="36" t="n"/>
      <c r="M1975">
        <f>IF($A1975=Ficha!$B$3,COUNTIF($A$5:$A1975,Ficha!$B$3),"")</f>
        <v/>
      </c>
    </row>
    <row r="1976">
      <c r="A1976" s="38" t="n"/>
      <c r="B1976" s="41">
        <f>IF(A1976="","",IFERROR(INDEX(Maniobras!$B$5:$B$504,MATCH(A1976,Maniobras!$A$5:$A$504,0)),""))</f>
        <v/>
      </c>
      <c r="C1976" s="38">
        <f>IF(B1976="","",TEXT(B1976,"yyyy-mm"))</f>
        <v/>
      </c>
      <c r="D1976" s="38">
        <f>IF(A1976="","",IFERROR(INDEX(Maniobras!$D$5:$D$504,MATCH(A1976,Maniobras!$A$5:$A$504,0)),""))</f>
        <v/>
      </c>
      <c r="E1976" s="38" t="n"/>
      <c r="F1976" s="39">
        <f>IF(A1976="","",IFERROR(INDEX(Maniobras!$K$5:$K$504,MATCH(A1976,Maniobras!$A$5:$A$504,0)),""))</f>
        <v/>
      </c>
      <c r="G1976" s="39" t="n"/>
      <c r="H1976" s="39" t="n"/>
      <c r="I1976" s="39">
        <f>IF(G1976="","",G1976+N(H1976))</f>
        <v/>
      </c>
      <c r="J1976" s="38" t="n"/>
      <c r="K1976" s="41" t="n"/>
      <c r="L1976" s="38" t="n"/>
      <c r="M1976">
        <f>IF($A1976=Ficha!$B$3,COUNTIF($A$5:$A1976,Ficha!$B$3),"")</f>
        <v/>
      </c>
    </row>
    <row r="1977">
      <c r="A1977" s="36" t="n"/>
      <c r="B1977" s="40">
        <f>IF(A1977="","",IFERROR(INDEX(Maniobras!$B$5:$B$504,MATCH(A1977,Maniobras!$A$5:$A$504,0)),""))</f>
        <v/>
      </c>
      <c r="C1977" s="36">
        <f>IF(B1977="","",TEXT(B1977,"yyyy-mm"))</f>
        <v/>
      </c>
      <c r="D1977" s="36">
        <f>IF(A1977="","",IFERROR(INDEX(Maniobras!$D$5:$D$504,MATCH(A1977,Maniobras!$A$5:$A$504,0)),""))</f>
        <v/>
      </c>
      <c r="E1977" s="36" t="n"/>
      <c r="F1977" s="37">
        <f>IF(A1977="","",IFERROR(INDEX(Maniobras!$K$5:$K$504,MATCH(A1977,Maniobras!$A$5:$A$504,0)),""))</f>
        <v/>
      </c>
      <c r="G1977" s="37" t="n"/>
      <c r="H1977" s="37" t="n"/>
      <c r="I1977" s="37">
        <f>IF(G1977="","",G1977+N(H1977))</f>
        <v/>
      </c>
      <c r="J1977" s="36" t="n"/>
      <c r="K1977" s="40" t="n"/>
      <c r="L1977" s="36" t="n"/>
      <c r="M1977">
        <f>IF($A1977=Ficha!$B$3,COUNTIF($A$5:$A1977,Ficha!$B$3),"")</f>
        <v/>
      </c>
    </row>
    <row r="1978">
      <c r="A1978" s="38" t="n"/>
      <c r="B1978" s="41">
        <f>IF(A1978="","",IFERROR(INDEX(Maniobras!$B$5:$B$504,MATCH(A1978,Maniobras!$A$5:$A$504,0)),""))</f>
        <v/>
      </c>
      <c r="C1978" s="38">
        <f>IF(B1978="","",TEXT(B1978,"yyyy-mm"))</f>
        <v/>
      </c>
      <c r="D1978" s="38">
        <f>IF(A1978="","",IFERROR(INDEX(Maniobras!$D$5:$D$504,MATCH(A1978,Maniobras!$A$5:$A$504,0)),""))</f>
        <v/>
      </c>
      <c r="E1978" s="38" t="n"/>
      <c r="F1978" s="39">
        <f>IF(A1978="","",IFERROR(INDEX(Maniobras!$K$5:$K$504,MATCH(A1978,Maniobras!$A$5:$A$504,0)),""))</f>
        <v/>
      </c>
      <c r="G1978" s="39" t="n"/>
      <c r="H1978" s="39" t="n"/>
      <c r="I1978" s="39">
        <f>IF(G1978="","",G1978+N(H1978))</f>
        <v/>
      </c>
      <c r="J1978" s="38" t="n"/>
      <c r="K1978" s="41" t="n"/>
      <c r="L1978" s="38" t="n"/>
      <c r="M1978">
        <f>IF($A1978=Ficha!$B$3,COUNTIF($A$5:$A1978,Ficha!$B$3),"")</f>
        <v/>
      </c>
    </row>
    <row r="1979">
      <c r="A1979" s="36" t="n"/>
      <c r="B1979" s="40">
        <f>IF(A1979="","",IFERROR(INDEX(Maniobras!$B$5:$B$504,MATCH(A1979,Maniobras!$A$5:$A$504,0)),""))</f>
        <v/>
      </c>
      <c r="C1979" s="36">
        <f>IF(B1979="","",TEXT(B1979,"yyyy-mm"))</f>
        <v/>
      </c>
      <c r="D1979" s="36">
        <f>IF(A1979="","",IFERROR(INDEX(Maniobras!$D$5:$D$504,MATCH(A1979,Maniobras!$A$5:$A$504,0)),""))</f>
        <v/>
      </c>
      <c r="E1979" s="36" t="n"/>
      <c r="F1979" s="37">
        <f>IF(A1979="","",IFERROR(INDEX(Maniobras!$K$5:$K$504,MATCH(A1979,Maniobras!$A$5:$A$504,0)),""))</f>
        <v/>
      </c>
      <c r="G1979" s="37" t="n"/>
      <c r="H1979" s="37" t="n"/>
      <c r="I1979" s="37">
        <f>IF(G1979="","",G1979+N(H1979))</f>
        <v/>
      </c>
      <c r="J1979" s="36" t="n"/>
      <c r="K1979" s="40" t="n"/>
      <c r="L1979" s="36" t="n"/>
      <c r="M1979">
        <f>IF($A1979=Ficha!$B$3,COUNTIF($A$5:$A1979,Ficha!$B$3),"")</f>
        <v/>
      </c>
    </row>
    <row r="1980">
      <c r="A1980" s="38" t="n"/>
      <c r="B1980" s="41">
        <f>IF(A1980="","",IFERROR(INDEX(Maniobras!$B$5:$B$504,MATCH(A1980,Maniobras!$A$5:$A$504,0)),""))</f>
        <v/>
      </c>
      <c r="C1980" s="38">
        <f>IF(B1980="","",TEXT(B1980,"yyyy-mm"))</f>
        <v/>
      </c>
      <c r="D1980" s="38">
        <f>IF(A1980="","",IFERROR(INDEX(Maniobras!$D$5:$D$504,MATCH(A1980,Maniobras!$A$5:$A$504,0)),""))</f>
        <v/>
      </c>
      <c r="E1980" s="38" t="n"/>
      <c r="F1980" s="39">
        <f>IF(A1980="","",IFERROR(INDEX(Maniobras!$K$5:$K$504,MATCH(A1980,Maniobras!$A$5:$A$504,0)),""))</f>
        <v/>
      </c>
      <c r="G1980" s="39" t="n"/>
      <c r="H1980" s="39" t="n"/>
      <c r="I1980" s="39">
        <f>IF(G1980="","",G1980+N(H1980))</f>
        <v/>
      </c>
      <c r="J1980" s="38" t="n"/>
      <c r="K1980" s="41" t="n"/>
      <c r="L1980" s="38" t="n"/>
      <c r="M1980">
        <f>IF($A1980=Ficha!$B$3,COUNTIF($A$5:$A1980,Ficha!$B$3),"")</f>
        <v/>
      </c>
    </row>
    <row r="1981">
      <c r="A1981" s="36" t="n"/>
      <c r="B1981" s="40">
        <f>IF(A1981="","",IFERROR(INDEX(Maniobras!$B$5:$B$504,MATCH(A1981,Maniobras!$A$5:$A$504,0)),""))</f>
        <v/>
      </c>
      <c r="C1981" s="36">
        <f>IF(B1981="","",TEXT(B1981,"yyyy-mm"))</f>
        <v/>
      </c>
      <c r="D1981" s="36">
        <f>IF(A1981="","",IFERROR(INDEX(Maniobras!$D$5:$D$504,MATCH(A1981,Maniobras!$A$5:$A$504,0)),""))</f>
        <v/>
      </c>
      <c r="E1981" s="36" t="n"/>
      <c r="F1981" s="37">
        <f>IF(A1981="","",IFERROR(INDEX(Maniobras!$K$5:$K$504,MATCH(A1981,Maniobras!$A$5:$A$504,0)),""))</f>
        <v/>
      </c>
      <c r="G1981" s="37" t="n"/>
      <c r="H1981" s="37" t="n"/>
      <c r="I1981" s="37">
        <f>IF(G1981="","",G1981+N(H1981))</f>
        <v/>
      </c>
      <c r="J1981" s="36" t="n"/>
      <c r="K1981" s="40" t="n"/>
      <c r="L1981" s="36" t="n"/>
      <c r="M1981">
        <f>IF($A1981=Ficha!$B$3,COUNTIF($A$5:$A1981,Ficha!$B$3),"")</f>
        <v/>
      </c>
    </row>
    <row r="1982">
      <c r="A1982" s="38" t="n"/>
      <c r="B1982" s="41">
        <f>IF(A1982="","",IFERROR(INDEX(Maniobras!$B$5:$B$504,MATCH(A1982,Maniobras!$A$5:$A$504,0)),""))</f>
        <v/>
      </c>
      <c r="C1982" s="38">
        <f>IF(B1982="","",TEXT(B1982,"yyyy-mm"))</f>
        <v/>
      </c>
      <c r="D1982" s="38">
        <f>IF(A1982="","",IFERROR(INDEX(Maniobras!$D$5:$D$504,MATCH(A1982,Maniobras!$A$5:$A$504,0)),""))</f>
        <v/>
      </c>
      <c r="E1982" s="38" t="n"/>
      <c r="F1982" s="39">
        <f>IF(A1982="","",IFERROR(INDEX(Maniobras!$K$5:$K$504,MATCH(A1982,Maniobras!$A$5:$A$504,0)),""))</f>
        <v/>
      </c>
      <c r="G1982" s="39" t="n"/>
      <c r="H1982" s="39" t="n"/>
      <c r="I1982" s="39">
        <f>IF(G1982="","",G1982+N(H1982))</f>
        <v/>
      </c>
      <c r="J1982" s="38" t="n"/>
      <c r="K1982" s="41" t="n"/>
      <c r="L1982" s="38" t="n"/>
      <c r="M1982">
        <f>IF($A1982=Ficha!$B$3,COUNTIF($A$5:$A1982,Ficha!$B$3),"")</f>
        <v/>
      </c>
    </row>
    <row r="1983">
      <c r="A1983" s="36" t="n"/>
      <c r="B1983" s="40">
        <f>IF(A1983="","",IFERROR(INDEX(Maniobras!$B$5:$B$504,MATCH(A1983,Maniobras!$A$5:$A$504,0)),""))</f>
        <v/>
      </c>
      <c r="C1983" s="36">
        <f>IF(B1983="","",TEXT(B1983,"yyyy-mm"))</f>
        <v/>
      </c>
      <c r="D1983" s="36">
        <f>IF(A1983="","",IFERROR(INDEX(Maniobras!$D$5:$D$504,MATCH(A1983,Maniobras!$A$5:$A$504,0)),""))</f>
        <v/>
      </c>
      <c r="E1983" s="36" t="n"/>
      <c r="F1983" s="37">
        <f>IF(A1983="","",IFERROR(INDEX(Maniobras!$K$5:$K$504,MATCH(A1983,Maniobras!$A$5:$A$504,0)),""))</f>
        <v/>
      </c>
      <c r="G1983" s="37" t="n"/>
      <c r="H1983" s="37" t="n"/>
      <c r="I1983" s="37">
        <f>IF(G1983="","",G1983+N(H1983))</f>
        <v/>
      </c>
      <c r="J1983" s="36" t="n"/>
      <c r="K1983" s="40" t="n"/>
      <c r="L1983" s="36" t="n"/>
      <c r="M1983">
        <f>IF($A1983=Ficha!$B$3,COUNTIF($A$5:$A1983,Ficha!$B$3),"")</f>
        <v/>
      </c>
    </row>
    <row r="1984">
      <c r="A1984" s="38" t="n"/>
      <c r="B1984" s="41">
        <f>IF(A1984="","",IFERROR(INDEX(Maniobras!$B$5:$B$504,MATCH(A1984,Maniobras!$A$5:$A$504,0)),""))</f>
        <v/>
      </c>
      <c r="C1984" s="38">
        <f>IF(B1984="","",TEXT(B1984,"yyyy-mm"))</f>
        <v/>
      </c>
      <c r="D1984" s="38">
        <f>IF(A1984="","",IFERROR(INDEX(Maniobras!$D$5:$D$504,MATCH(A1984,Maniobras!$A$5:$A$504,0)),""))</f>
        <v/>
      </c>
      <c r="E1984" s="38" t="n"/>
      <c r="F1984" s="39">
        <f>IF(A1984="","",IFERROR(INDEX(Maniobras!$K$5:$K$504,MATCH(A1984,Maniobras!$A$5:$A$504,0)),""))</f>
        <v/>
      </c>
      <c r="G1984" s="39" t="n"/>
      <c r="H1984" s="39" t="n"/>
      <c r="I1984" s="39">
        <f>IF(G1984="","",G1984+N(H1984))</f>
        <v/>
      </c>
      <c r="J1984" s="38" t="n"/>
      <c r="K1984" s="41" t="n"/>
      <c r="L1984" s="38" t="n"/>
      <c r="M1984">
        <f>IF($A1984=Ficha!$B$3,COUNTIF($A$5:$A1984,Ficha!$B$3),"")</f>
        <v/>
      </c>
    </row>
    <row r="1985">
      <c r="A1985" s="36" t="n"/>
      <c r="B1985" s="40">
        <f>IF(A1985="","",IFERROR(INDEX(Maniobras!$B$5:$B$504,MATCH(A1985,Maniobras!$A$5:$A$504,0)),""))</f>
        <v/>
      </c>
      <c r="C1985" s="36">
        <f>IF(B1985="","",TEXT(B1985,"yyyy-mm"))</f>
        <v/>
      </c>
      <c r="D1985" s="36">
        <f>IF(A1985="","",IFERROR(INDEX(Maniobras!$D$5:$D$504,MATCH(A1985,Maniobras!$A$5:$A$504,0)),""))</f>
        <v/>
      </c>
      <c r="E1985" s="36" t="n"/>
      <c r="F1985" s="37">
        <f>IF(A1985="","",IFERROR(INDEX(Maniobras!$K$5:$K$504,MATCH(A1985,Maniobras!$A$5:$A$504,0)),""))</f>
        <v/>
      </c>
      <c r="G1985" s="37" t="n"/>
      <c r="H1985" s="37" t="n"/>
      <c r="I1985" s="37">
        <f>IF(G1985="","",G1985+N(H1985))</f>
        <v/>
      </c>
      <c r="J1985" s="36" t="n"/>
      <c r="K1985" s="40" t="n"/>
      <c r="L1985" s="36" t="n"/>
      <c r="M1985">
        <f>IF($A1985=Ficha!$B$3,COUNTIF($A$5:$A1985,Ficha!$B$3),"")</f>
        <v/>
      </c>
    </row>
    <row r="1986">
      <c r="A1986" s="38" t="n"/>
      <c r="B1986" s="41">
        <f>IF(A1986="","",IFERROR(INDEX(Maniobras!$B$5:$B$504,MATCH(A1986,Maniobras!$A$5:$A$504,0)),""))</f>
        <v/>
      </c>
      <c r="C1986" s="38">
        <f>IF(B1986="","",TEXT(B1986,"yyyy-mm"))</f>
        <v/>
      </c>
      <c r="D1986" s="38">
        <f>IF(A1986="","",IFERROR(INDEX(Maniobras!$D$5:$D$504,MATCH(A1986,Maniobras!$A$5:$A$504,0)),""))</f>
        <v/>
      </c>
      <c r="E1986" s="38" t="n"/>
      <c r="F1986" s="39">
        <f>IF(A1986="","",IFERROR(INDEX(Maniobras!$K$5:$K$504,MATCH(A1986,Maniobras!$A$5:$A$504,0)),""))</f>
        <v/>
      </c>
      <c r="G1986" s="39" t="n"/>
      <c r="H1986" s="39" t="n"/>
      <c r="I1986" s="39">
        <f>IF(G1986="","",G1986+N(H1986))</f>
        <v/>
      </c>
      <c r="J1986" s="38" t="n"/>
      <c r="K1986" s="41" t="n"/>
      <c r="L1986" s="38" t="n"/>
      <c r="M1986">
        <f>IF($A1986=Ficha!$B$3,COUNTIF($A$5:$A1986,Ficha!$B$3),"")</f>
        <v/>
      </c>
    </row>
    <row r="1987">
      <c r="A1987" s="36" t="n"/>
      <c r="B1987" s="40">
        <f>IF(A1987="","",IFERROR(INDEX(Maniobras!$B$5:$B$504,MATCH(A1987,Maniobras!$A$5:$A$504,0)),""))</f>
        <v/>
      </c>
      <c r="C1987" s="36">
        <f>IF(B1987="","",TEXT(B1987,"yyyy-mm"))</f>
        <v/>
      </c>
      <c r="D1987" s="36">
        <f>IF(A1987="","",IFERROR(INDEX(Maniobras!$D$5:$D$504,MATCH(A1987,Maniobras!$A$5:$A$504,0)),""))</f>
        <v/>
      </c>
      <c r="E1987" s="36" t="n"/>
      <c r="F1987" s="37">
        <f>IF(A1987="","",IFERROR(INDEX(Maniobras!$K$5:$K$504,MATCH(A1987,Maniobras!$A$5:$A$504,0)),""))</f>
        <v/>
      </c>
      <c r="G1987" s="37" t="n"/>
      <c r="H1987" s="37" t="n"/>
      <c r="I1987" s="37">
        <f>IF(G1987="","",G1987+N(H1987))</f>
        <v/>
      </c>
      <c r="J1987" s="36" t="n"/>
      <c r="K1987" s="40" t="n"/>
      <c r="L1987" s="36" t="n"/>
      <c r="M1987">
        <f>IF($A1987=Ficha!$B$3,COUNTIF($A$5:$A1987,Ficha!$B$3),"")</f>
        <v/>
      </c>
    </row>
    <row r="1988">
      <c r="A1988" s="38" t="n"/>
      <c r="B1988" s="41">
        <f>IF(A1988="","",IFERROR(INDEX(Maniobras!$B$5:$B$504,MATCH(A1988,Maniobras!$A$5:$A$504,0)),""))</f>
        <v/>
      </c>
      <c r="C1988" s="38">
        <f>IF(B1988="","",TEXT(B1988,"yyyy-mm"))</f>
        <v/>
      </c>
      <c r="D1988" s="38">
        <f>IF(A1988="","",IFERROR(INDEX(Maniobras!$D$5:$D$504,MATCH(A1988,Maniobras!$A$5:$A$504,0)),""))</f>
        <v/>
      </c>
      <c r="E1988" s="38" t="n"/>
      <c r="F1988" s="39">
        <f>IF(A1988="","",IFERROR(INDEX(Maniobras!$K$5:$K$504,MATCH(A1988,Maniobras!$A$5:$A$504,0)),""))</f>
        <v/>
      </c>
      <c r="G1988" s="39" t="n"/>
      <c r="H1988" s="39" t="n"/>
      <c r="I1988" s="39">
        <f>IF(G1988="","",G1988+N(H1988))</f>
        <v/>
      </c>
      <c r="J1988" s="38" t="n"/>
      <c r="K1988" s="41" t="n"/>
      <c r="L1988" s="38" t="n"/>
      <c r="M1988">
        <f>IF($A1988=Ficha!$B$3,COUNTIF($A$5:$A1988,Ficha!$B$3),"")</f>
        <v/>
      </c>
    </row>
    <row r="1989">
      <c r="A1989" s="36" t="n"/>
      <c r="B1989" s="40">
        <f>IF(A1989="","",IFERROR(INDEX(Maniobras!$B$5:$B$504,MATCH(A1989,Maniobras!$A$5:$A$504,0)),""))</f>
        <v/>
      </c>
      <c r="C1989" s="36">
        <f>IF(B1989="","",TEXT(B1989,"yyyy-mm"))</f>
        <v/>
      </c>
      <c r="D1989" s="36">
        <f>IF(A1989="","",IFERROR(INDEX(Maniobras!$D$5:$D$504,MATCH(A1989,Maniobras!$A$5:$A$504,0)),""))</f>
        <v/>
      </c>
      <c r="E1989" s="36" t="n"/>
      <c r="F1989" s="37">
        <f>IF(A1989="","",IFERROR(INDEX(Maniobras!$K$5:$K$504,MATCH(A1989,Maniobras!$A$5:$A$504,0)),""))</f>
        <v/>
      </c>
      <c r="G1989" s="37" t="n"/>
      <c r="H1989" s="37" t="n"/>
      <c r="I1989" s="37">
        <f>IF(G1989="","",G1989+N(H1989))</f>
        <v/>
      </c>
      <c r="J1989" s="36" t="n"/>
      <c r="K1989" s="40" t="n"/>
      <c r="L1989" s="36" t="n"/>
      <c r="M1989">
        <f>IF($A1989=Ficha!$B$3,COUNTIF($A$5:$A1989,Ficha!$B$3),"")</f>
        <v/>
      </c>
    </row>
    <row r="1990">
      <c r="A1990" s="38" t="n"/>
      <c r="B1990" s="41">
        <f>IF(A1990="","",IFERROR(INDEX(Maniobras!$B$5:$B$504,MATCH(A1990,Maniobras!$A$5:$A$504,0)),""))</f>
        <v/>
      </c>
      <c r="C1990" s="38">
        <f>IF(B1990="","",TEXT(B1990,"yyyy-mm"))</f>
        <v/>
      </c>
      <c r="D1990" s="38">
        <f>IF(A1990="","",IFERROR(INDEX(Maniobras!$D$5:$D$504,MATCH(A1990,Maniobras!$A$5:$A$504,0)),""))</f>
        <v/>
      </c>
      <c r="E1990" s="38" t="n"/>
      <c r="F1990" s="39">
        <f>IF(A1990="","",IFERROR(INDEX(Maniobras!$K$5:$K$504,MATCH(A1990,Maniobras!$A$5:$A$504,0)),""))</f>
        <v/>
      </c>
      <c r="G1990" s="39" t="n"/>
      <c r="H1990" s="39" t="n"/>
      <c r="I1990" s="39">
        <f>IF(G1990="","",G1990+N(H1990))</f>
        <v/>
      </c>
      <c r="J1990" s="38" t="n"/>
      <c r="K1990" s="41" t="n"/>
      <c r="L1990" s="38" t="n"/>
      <c r="M1990">
        <f>IF($A1990=Ficha!$B$3,COUNTIF($A$5:$A1990,Ficha!$B$3),"")</f>
        <v/>
      </c>
    </row>
    <row r="1991">
      <c r="A1991" s="36" t="n"/>
      <c r="B1991" s="40">
        <f>IF(A1991="","",IFERROR(INDEX(Maniobras!$B$5:$B$504,MATCH(A1991,Maniobras!$A$5:$A$504,0)),""))</f>
        <v/>
      </c>
      <c r="C1991" s="36">
        <f>IF(B1991="","",TEXT(B1991,"yyyy-mm"))</f>
        <v/>
      </c>
      <c r="D1991" s="36">
        <f>IF(A1991="","",IFERROR(INDEX(Maniobras!$D$5:$D$504,MATCH(A1991,Maniobras!$A$5:$A$504,0)),""))</f>
        <v/>
      </c>
      <c r="E1991" s="36" t="n"/>
      <c r="F1991" s="37">
        <f>IF(A1991="","",IFERROR(INDEX(Maniobras!$K$5:$K$504,MATCH(A1991,Maniobras!$A$5:$A$504,0)),""))</f>
        <v/>
      </c>
      <c r="G1991" s="37" t="n"/>
      <c r="H1991" s="37" t="n"/>
      <c r="I1991" s="37">
        <f>IF(G1991="","",G1991+N(H1991))</f>
        <v/>
      </c>
      <c r="J1991" s="36" t="n"/>
      <c r="K1991" s="40" t="n"/>
      <c r="L1991" s="36" t="n"/>
      <c r="M1991">
        <f>IF($A1991=Ficha!$B$3,COUNTIF($A$5:$A1991,Ficha!$B$3),"")</f>
        <v/>
      </c>
    </row>
    <row r="1992">
      <c r="A1992" s="38" t="n"/>
      <c r="B1992" s="41">
        <f>IF(A1992="","",IFERROR(INDEX(Maniobras!$B$5:$B$504,MATCH(A1992,Maniobras!$A$5:$A$504,0)),""))</f>
        <v/>
      </c>
      <c r="C1992" s="38">
        <f>IF(B1992="","",TEXT(B1992,"yyyy-mm"))</f>
        <v/>
      </c>
      <c r="D1992" s="38">
        <f>IF(A1992="","",IFERROR(INDEX(Maniobras!$D$5:$D$504,MATCH(A1992,Maniobras!$A$5:$A$504,0)),""))</f>
        <v/>
      </c>
      <c r="E1992" s="38" t="n"/>
      <c r="F1992" s="39">
        <f>IF(A1992="","",IFERROR(INDEX(Maniobras!$K$5:$K$504,MATCH(A1992,Maniobras!$A$5:$A$504,0)),""))</f>
        <v/>
      </c>
      <c r="G1992" s="39" t="n"/>
      <c r="H1992" s="39" t="n"/>
      <c r="I1992" s="39">
        <f>IF(G1992="","",G1992+N(H1992))</f>
        <v/>
      </c>
      <c r="J1992" s="38" t="n"/>
      <c r="K1992" s="41" t="n"/>
      <c r="L1992" s="38" t="n"/>
      <c r="M1992">
        <f>IF($A1992=Ficha!$B$3,COUNTIF($A$5:$A1992,Ficha!$B$3),"")</f>
        <v/>
      </c>
    </row>
    <row r="1993">
      <c r="A1993" s="36" t="n"/>
      <c r="B1993" s="40">
        <f>IF(A1993="","",IFERROR(INDEX(Maniobras!$B$5:$B$504,MATCH(A1993,Maniobras!$A$5:$A$504,0)),""))</f>
        <v/>
      </c>
      <c r="C1993" s="36">
        <f>IF(B1993="","",TEXT(B1993,"yyyy-mm"))</f>
        <v/>
      </c>
      <c r="D1993" s="36">
        <f>IF(A1993="","",IFERROR(INDEX(Maniobras!$D$5:$D$504,MATCH(A1993,Maniobras!$A$5:$A$504,0)),""))</f>
        <v/>
      </c>
      <c r="E1993" s="36" t="n"/>
      <c r="F1993" s="37">
        <f>IF(A1993="","",IFERROR(INDEX(Maniobras!$K$5:$K$504,MATCH(A1993,Maniobras!$A$5:$A$504,0)),""))</f>
        <v/>
      </c>
      <c r="G1993" s="37" t="n"/>
      <c r="H1993" s="37" t="n"/>
      <c r="I1993" s="37">
        <f>IF(G1993="","",G1993+N(H1993))</f>
        <v/>
      </c>
      <c r="J1993" s="36" t="n"/>
      <c r="K1993" s="40" t="n"/>
      <c r="L1993" s="36" t="n"/>
      <c r="M1993">
        <f>IF($A1993=Ficha!$B$3,COUNTIF($A$5:$A1993,Ficha!$B$3),"")</f>
        <v/>
      </c>
    </row>
    <row r="1994">
      <c r="A1994" s="38" t="n"/>
      <c r="B1994" s="41">
        <f>IF(A1994="","",IFERROR(INDEX(Maniobras!$B$5:$B$504,MATCH(A1994,Maniobras!$A$5:$A$504,0)),""))</f>
        <v/>
      </c>
      <c r="C1994" s="38">
        <f>IF(B1994="","",TEXT(B1994,"yyyy-mm"))</f>
        <v/>
      </c>
      <c r="D1994" s="38">
        <f>IF(A1994="","",IFERROR(INDEX(Maniobras!$D$5:$D$504,MATCH(A1994,Maniobras!$A$5:$A$504,0)),""))</f>
        <v/>
      </c>
      <c r="E1994" s="38" t="n"/>
      <c r="F1994" s="39">
        <f>IF(A1994="","",IFERROR(INDEX(Maniobras!$K$5:$K$504,MATCH(A1994,Maniobras!$A$5:$A$504,0)),""))</f>
        <v/>
      </c>
      <c r="G1994" s="39" t="n"/>
      <c r="H1994" s="39" t="n"/>
      <c r="I1994" s="39">
        <f>IF(G1994="","",G1994+N(H1994))</f>
        <v/>
      </c>
      <c r="J1994" s="38" t="n"/>
      <c r="K1994" s="41" t="n"/>
      <c r="L1994" s="38" t="n"/>
      <c r="M1994">
        <f>IF($A1994=Ficha!$B$3,COUNTIF($A$5:$A1994,Ficha!$B$3),"")</f>
        <v/>
      </c>
    </row>
    <row r="1995">
      <c r="A1995" s="36" t="n"/>
      <c r="B1995" s="40">
        <f>IF(A1995="","",IFERROR(INDEX(Maniobras!$B$5:$B$504,MATCH(A1995,Maniobras!$A$5:$A$504,0)),""))</f>
        <v/>
      </c>
      <c r="C1995" s="36">
        <f>IF(B1995="","",TEXT(B1995,"yyyy-mm"))</f>
        <v/>
      </c>
      <c r="D1995" s="36">
        <f>IF(A1995="","",IFERROR(INDEX(Maniobras!$D$5:$D$504,MATCH(A1995,Maniobras!$A$5:$A$504,0)),""))</f>
        <v/>
      </c>
      <c r="E1995" s="36" t="n"/>
      <c r="F1995" s="37">
        <f>IF(A1995="","",IFERROR(INDEX(Maniobras!$K$5:$K$504,MATCH(A1995,Maniobras!$A$5:$A$504,0)),""))</f>
        <v/>
      </c>
      <c r="G1995" s="37" t="n"/>
      <c r="H1995" s="37" t="n"/>
      <c r="I1995" s="37">
        <f>IF(G1995="","",G1995+N(H1995))</f>
        <v/>
      </c>
      <c r="J1995" s="36" t="n"/>
      <c r="K1995" s="40" t="n"/>
      <c r="L1995" s="36" t="n"/>
      <c r="M1995">
        <f>IF($A1995=Ficha!$B$3,COUNTIF($A$5:$A1995,Ficha!$B$3),"")</f>
        <v/>
      </c>
    </row>
    <row r="1996">
      <c r="A1996" s="38" t="n"/>
      <c r="B1996" s="41">
        <f>IF(A1996="","",IFERROR(INDEX(Maniobras!$B$5:$B$504,MATCH(A1996,Maniobras!$A$5:$A$504,0)),""))</f>
        <v/>
      </c>
      <c r="C1996" s="38">
        <f>IF(B1996="","",TEXT(B1996,"yyyy-mm"))</f>
        <v/>
      </c>
      <c r="D1996" s="38">
        <f>IF(A1996="","",IFERROR(INDEX(Maniobras!$D$5:$D$504,MATCH(A1996,Maniobras!$A$5:$A$504,0)),""))</f>
        <v/>
      </c>
      <c r="E1996" s="38" t="n"/>
      <c r="F1996" s="39">
        <f>IF(A1996="","",IFERROR(INDEX(Maniobras!$K$5:$K$504,MATCH(A1996,Maniobras!$A$5:$A$504,0)),""))</f>
        <v/>
      </c>
      <c r="G1996" s="39" t="n"/>
      <c r="H1996" s="39" t="n"/>
      <c r="I1996" s="39">
        <f>IF(G1996="","",G1996+N(H1996))</f>
        <v/>
      </c>
      <c r="J1996" s="38" t="n"/>
      <c r="K1996" s="41" t="n"/>
      <c r="L1996" s="38" t="n"/>
      <c r="M1996">
        <f>IF($A1996=Ficha!$B$3,COUNTIF($A$5:$A1996,Ficha!$B$3),"")</f>
        <v/>
      </c>
    </row>
    <row r="1997">
      <c r="A1997" s="36" t="n"/>
      <c r="B1997" s="40">
        <f>IF(A1997="","",IFERROR(INDEX(Maniobras!$B$5:$B$504,MATCH(A1997,Maniobras!$A$5:$A$504,0)),""))</f>
        <v/>
      </c>
      <c r="C1997" s="36">
        <f>IF(B1997="","",TEXT(B1997,"yyyy-mm"))</f>
        <v/>
      </c>
      <c r="D1997" s="36">
        <f>IF(A1997="","",IFERROR(INDEX(Maniobras!$D$5:$D$504,MATCH(A1997,Maniobras!$A$5:$A$504,0)),""))</f>
        <v/>
      </c>
      <c r="E1997" s="36" t="n"/>
      <c r="F1997" s="37">
        <f>IF(A1997="","",IFERROR(INDEX(Maniobras!$K$5:$K$504,MATCH(A1997,Maniobras!$A$5:$A$504,0)),""))</f>
        <v/>
      </c>
      <c r="G1997" s="37" t="n"/>
      <c r="H1997" s="37" t="n"/>
      <c r="I1997" s="37">
        <f>IF(G1997="","",G1997+N(H1997))</f>
        <v/>
      </c>
      <c r="J1997" s="36" t="n"/>
      <c r="K1997" s="40" t="n"/>
      <c r="L1997" s="36" t="n"/>
      <c r="M1997">
        <f>IF($A1997=Ficha!$B$3,COUNTIF($A$5:$A1997,Ficha!$B$3),"")</f>
        <v/>
      </c>
    </row>
    <row r="1998">
      <c r="A1998" s="38" t="n"/>
      <c r="B1998" s="41">
        <f>IF(A1998="","",IFERROR(INDEX(Maniobras!$B$5:$B$504,MATCH(A1998,Maniobras!$A$5:$A$504,0)),""))</f>
        <v/>
      </c>
      <c r="C1998" s="38">
        <f>IF(B1998="","",TEXT(B1998,"yyyy-mm"))</f>
        <v/>
      </c>
      <c r="D1998" s="38">
        <f>IF(A1998="","",IFERROR(INDEX(Maniobras!$D$5:$D$504,MATCH(A1998,Maniobras!$A$5:$A$504,0)),""))</f>
        <v/>
      </c>
      <c r="E1998" s="38" t="n"/>
      <c r="F1998" s="39">
        <f>IF(A1998="","",IFERROR(INDEX(Maniobras!$K$5:$K$504,MATCH(A1998,Maniobras!$A$5:$A$504,0)),""))</f>
        <v/>
      </c>
      <c r="G1998" s="39" t="n"/>
      <c r="H1998" s="39" t="n"/>
      <c r="I1998" s="39">
        <f>IF(G1998="","",G1998+N(H1998))</f>
        <v/>
      </c>
      <c r="J1998" s="38" t="n"/>
      <c r="K1998" s="41" t="n"/>
      <c r="L1998" s="38" t="n"/>
      <c r="M1998">
        <f>IF($A1998=Ficha!$B$3,COUNTIF($A$5:$A1998,Ficha!$B$3),"")</f>
        <v/>
      </c>
    </row>
    <row r="1999">
      <c r="A1999" s="36" t="n"/>
      <c r="B1999" s="40">
        <f>IF(A1999="","",IFERROR(INDEX(Maniobras!$B$5:$B$504,MATCH(A1999,Maniobras!$A$5:$A$504,0)),""))</f>
        <v/>
      </c>
      <c r="C1999" s="36">
        <f>IF(B1999="","",TEXT(B1999,"yyyy-mm"))</f>
        <v/>
      </c>
      <c r="D1999" s="36">
        <f>IF(A1999="","",IFERROR(INDEX(Maniobras!$D$5:$D$504,MATCH(A1999,Maniobras!$A$5:$A$504,0)),""))</f>
        <v/>
      </c>
      <c r="E1999" s="36" t="n"/>
      <c r="F1999" s="37">
        <f>IF(A1999="","",IFERROR(INDEX(Maniobras!$K$5:$K$504,MATCH(A1999,Maniobras!$A$5:$A$504,0)),""))</f>
        <v/>
      </c>
      <c r="G1999" s="37" t="n"/>
      <c r="H1999" s="37" t="n"/>
      <c r="I1999" s="37">
        <f>IF(G1999="","",G1999+N(H1999))</f>
        <v/>
      </c>
      <c r="J1999" s="36" t="n"/>
      <c r="K1999" s="40" t="n"/>
      <c r="L1999" s="36" t="n"/>
      <c r="M1999">
        <f>IF($A1999=Ficha!$B$3,COUNTIF($A$5:$A1999,Ficha!$B$3),"")</f>
        <v/>
      </c>
    </row>
    <row r="2000">
      <c r="A2000" s="38" t="n"/>
      <c r="B2000" s="41">
        <f>IF(A2000="","",IFERROR(INDEX(Maniobras!$B$5:$B$504,MATCH(A2000,Maniobras!$A$5:$A$504,0)),""))</f>
        <v/>
      </c>
      <c r="C2000" s="38">
        <f>IF(B2000="","",TEXT(B2000,"yyyy-mm"))</f>
        <v/>
      </c>
      <c r="D2000" s="38">
        <f>IF(A2000="","",IFERROR(INDEX(Maniobras!$D$5:$D$504,MATCH(A2000,Maniobras!$A$5:$A$504,0)),""))</f>
        <v/>
      </c>
      <c r="E2000" s="38" t="n"/>
      <c r="F2000" s="39">
        <f>IF(A2000="","",IFERROR(INDEX(Maniobras!$K$5:$K$504,MATCH(A2000,Maniobras!$A$5:$A$504,0)),""))</f>
        <v/>
      </c>
      <c r="G2000" s="39" t="n"/>
      <c r="H2000" s="39" t="n"/>
      <c r="I2000" s="39">
        <f>IF(G2000="","",G2000+N(H2000))</f>
        <v/>
      </c>
      <c r="J2000" s="38" t="n"/>
      <c r="K2000" s="41" t="n"/>
      <c r="L2000" s="38" t="n"/>
      <c r="M2000">
        <f>IF($A2000=Ficha!$B$3,COUNTIF($A$5:$A2000,Ficha!$B$3),"")</f>
        <v/>
      </c>
    </row>
    <row r="2001">
      <c r="A2001" s="36" t="n"/>
      <c r="B2001" s="40">
        <f>IF(A2001="","",IFERROR(INDEX(Maniobras!$B$5:$B$504,MATCH(A2001,Maniobras!$A$5:$A$504,0)),""))</f>
        <v/>
      </c>
      <c r="C2001" s="36">
        <f>IF(B2001="","",TEXT(B2001,"yyyy-mm"))</f>
        <v/>
      </c>
      <c r="D2001" s="36">
        <f>IF(A2001="","",IFERROR(INDEX(Maniobras!$D$5:$D$504,MATCH(A2001,Maniobras!$A$5:$A$504,0)),""))</f>
        <v/>
      </c>
      <c r="E2001" s="36" t="n"/>
      <c r="F2001" s="37">
        <f>IF(A2001="","",IFERROR(INDEX(Maniobras!$K$5:$K$504,MATCH(A2001,Maniobras!$A$5:$A$504,0)),""))</f>
        <v/>
      </c>
      <c r="G2001" s="37" t="n"/>
      <c r="H2001" s="37" t="n"/>
      <c r="I2001" s="37">
        <f>IF(G2001="","",G2001+N(H2001))</f>
        <v/>
      </c>
      <c r="J2001" s="36" t="n"/>
      <c r="K2001" s="40" t="n"/>
      <c r="L2001" s="36" t="n"/>
      <c r="M2001">
        <f>IF($A2001=Ficha!$B$3,COUNTIF($A$5:$A2001,Ficha!$B$3),"")</f>
        <v/>
      </c>
    </row>
    <row r="2002">
      <c r="A2002" s="38" t="n"/>
      <c r="B2002" s="41">
        <f>IF(A2002="","",IFERROR(INDEX(Maniobras!$B$5:$B$504,MATCH(A2002,Maniobras!$A$5:$A$504,0)),""))</f>
        <v/>
      </c>
      <c r="C2002" s="38">
        <f>IF(B2002="","",TEXT(B2002,"yyyy-mm"))</f>
        <v/>
      </c>
      <c r="D2002" s="38">
        <f>IF(A2002="","",IFERROR(INDEX(Maniobras!$D$5:$D$504,MATCH(A2002,Maniobras!$A$5:$A$504,0)),""))</f>
        <v/>
      </c>
      <c r="E2002" s="38" t="n"/>
      <c r="F2002" s="39">
        <f>IF(A2002="","",IFERROR(INDEX(Maniobras!$K$5:$K$504,MATCH(A2002,Maniobras!$A$5:$A$504,0)),""))</f>
        <v/>
      </c>
      <c r="G2002" s="39" t="n"/>
      <c r="H2002" s="39" t="n"/>
      <c r="I2002" s="39">
        <f>IF(G2002="","",G2002+N(H2002))</f>
        <v/>
      </c>
      <c r="J2002" s="38" t="n"/>
      <c r="K2002" s="41" t="n"/>
      <c r="L2002" s="38" t="n"/>
      <c r="M2002">
        <f>IF($A2002=Ficha!$B$3,COUNTIF($A$5:$A2002,Ficha!$B$3),"")</f>
        <v/>
      </c>
    </row>
    <row r="2003">
      <c r="A2003" s="36" t="n"/>
      <c r="B2003" s="40">
        <f>IF(A2003="","",IFERROR(INDEX(Maniobras!$B$5:$B$504,MATCH(A2003,Maniobras!$A$5:$A$504,0)),""))</f>
        <v/>
      </c>
      <c r="C2003" s="36">
        <f>IF(B2003="","",TEXT(B2003,"yyyy-mm"))</f>
        <v/>
      </c>
      <c r="D2003" s="36">
        <f>IF(A2003="","",IFERROR(INDEX(Maniobras!$D$5:$D$504,MATCH(A2003,Maniobras!$A$5:$A$504,0)),""))</f>
        <v/>
      </c>
      <c r="E2003" s="36" t="n"/>
      <c r="F2003" s="37">
        <f>IF(A2003="","",IFERROR(INDEX(Maniobras!$K$5:$K$504,MATCH(A2003,Maniobras!$A$5:$A$504,0)),""))</f>
        <v/>
      </c>
      <c r="G2003" s="37" t="n"/>
      <c r="H2003" s="37" t="n"/>
      <c r="I2003" s="37">
        <f>IF(G2003="","",G2003+N(H2003))</f>
        <v/>
      </c>
      <c r="J2003" s="36" t="n"/>
      <c r="K2003" s="40" t="n"/>
      <c r="L2003" s="36" t="n"/>
      <c r="M2003">
        <f>IF($A2003=Ficha!$B$3,COUNTIF($A$5:$A2003,Ficha!$B$3),"")</f>
        <v/>
      </c>
    </row>
    <row r="2004">
      <c r="A2004" s="38" t="n"/>
      <c r="B2004" s="41">
        <f>IF(A2004="","",IFERROR(INDEX(Maniobras!$B$5:$B$504,MATCH(A2004,Maniobras!$A$5:$A$504,0)),""))</f>
        <v/>
      </c>
      <c r="C2004" s="38">
        <f>IF(B2004="","",TEXT(B2004,"yyyy-mm"))</f>
        <v/>
      </c>
      <c r="D2004" s="38">
        <f>IF(A2004="","",IFERROR(INDEX(Maniobras!$D$5:$D$504,MATCH(A2004,Maniobras!$A$5:$A$504,0)),""))</f>
        <v/>
      </c>
      <c r="E2004" s="38" t="n"/>
      <c r="F2004" s="39">
        <f>IF(A2004="","",IFERROR(INDEX(Maniobras!$K$5:$K$504,MATCH(A2004,Maniobras!$A$5:$A$504,0)),""))</f>
        <v/>
      </c>
      <c r="G2004" s="39" t="n"/>
      <c r="H2004" s="39" t="n"/>
      <c r="I2004" s="39">
        <f>IF(G2004="","",G2004+N(H2004))</f>
        <v/>
      </c>
      <c r="J2004" s="38" t="n"/>
      <c r="K2004" s="41" t="n"/>
      <c r="L2004" s="38" t="n"/>
      <c r="M2004">
        <f>IF($A2004=Ficha!$B$3,COUNTIF($A$5:$A2004,Ficha!$B$3),"")</f>
        <v/>
      </c>
    </row>
  </sheetData>
  <autoFilter ref="A4:L2004"/>
  <mergeCells count="1">
    <mergeCell ref="A1:L1"/>
  </mergeCells>
  <conditionalFormatting sqref="J5:J2004">
    <cfRule type="cellIs" priority="1" operator="equal" dxfId="1">
      <formula>"Si"</formula>
    </cfRule>
    <cfRule type="cellIs" priority="2" operator="equal" dxfId="0">
      <formula>"No"</formula>
    </cfRule>
  </conditionalFormatting>
  <dataValidations count="3">
    <dataValidation sqref="A5:A2004" showDropDown="0" showInputMessage="0" showErrorMessage="0" allowBlank="1" type="list">
      <formula1>=Maniobras!$A$5:$A$504</formula1>
    </dataValidation>
    <dataValidation sqref="E5:E2004" showDropDown="0" showInputMessage="0" showErrorMessage="0" allowBlank="1" type="list">
      <formula1>=Trabajadores!$B$5:$B$204</formula1>
    </dataValidation>
    <dataValidation sqref="J5:J2004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7" customWidth="1" min="3" max="3"/>
    <col width="17" customWidth="1" min="4" max="4"/>
    <col width="20" customWidth="1" min="5" max="5"/>
    <col width="14" customWidth="1" min="6" max="6"/>
    <col width="18" customWidth="1" min="7" max="7"/>
    <col width="17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>
      <c r="A1" s="28" t="inlineStr">
        <is>
          <t>PENDIENTES POR TRABAJADOR</t>
        </is>
      </c>
    </row>
    <row r="3">
      <c r="A3" s="42" t="inlineStr">
        <is>
          <t>Lee Detalle_Pagos y suma automaticamente los pagos marcados como No.</t>
        </is>
      </c>
    </row>
    <row r="7">
      <c r="A7" s="31" t="inlineStr">
        <is>
          <t>Trabajador</t>
        </is>
      </c>
      <c r="B7" s="31" t="inlineStr">
        <is>
          <t>Maniobras pendientes</t>
        </is>
      </c>
      <c r="C7" s="31" t="inlineStr">
        <is>
          <t>Total pendiente</t>
        </is>
      </c>
      <c r="D7" s="31" t="inlineStr">
        <is>
          <t>Extra referencia</t>
        </is>
      </c>
      <c r="E7" s="31" t="inlineStr">
        <is>
          <t>Pendiente + extra ref.</t>
        </is>
      </c>
      <c r="F7" s="31" t="inlineStr">
        <is>
          <t>Ultima fecha pendiente</t>
        </is>
      </c>
      <c r="G7" s="31" t="inlineStr">
        <is>
          <t>Pagado acumulado</t>
        </is>
      </c>
      <c r="H7" s="31" t="inlineStr">
        <is>
          <t>Maniobras pagadas</t>
        </is>
      </c>
      <c r="J7" t="inlineStr">
        <is>
          <t>Trabajador</t>
        </is>
      </c>
      <c r="K7" t="inlineStr">
        <is>
          <t>Maniobras pendientes</t>
        </is>
      </c>
      <c r="L7" t="inlineStr">
        <is>
          <t>Total pendiente</t>
        </is>
      </c>
      <c r="M7" t="inlineStr">
        <is>
          <t>Extra referencia</t>
        </is>
      </c>
      <c r="N7" t="inlineStr">
        <is>
          <t>Pendiente + extra ref.</t>
        </is>
      </c>
      <c r="O7" t="inlineStr">
        <is>
          <t>Ultima fecha pendiente</t>
        </is>
      </c>
      <c r="P7" t="inlineStr">
        <is>
          <t>Pagado acumulado</t>
        </is>
      </c>
      <c r="Q7" t="inlineStr">
        <is>
          <t>Maniobras pagadas</t>
        </is>
      </c>
      <c r="R7" t="inlineStr">
        <is>
          <t>Orden</t>
        </is>
      </c>
    </row>
    <row r="8">
      <c r="A8" s="38">
        <f>IFERROR(INDEX($J$8:$J$207,MATCH(LARGE($R$8:$R$207,ROWS($A$8:A8)),$R$8:$R$207,0)),"")</f>
        <v/>
      </c>
      <c r="B8" s="38">
        <f>IFERROR(INDEX($K$8:$K$207,MATCH(LARGE($R$8:$R$207,ROWS($A$8:A8)),$R$8:$R$207,0)),"")</f>
        <v/>
      </c>
      <c r="C8" s="39">
        <f>IFERROR(INDEX($L$8:$L$207,MATCH(LARGE($R$8:$R$207,ROWS($A$8:A8)),$R$8:$R$207,0)),"")</f>
        <v/>
      </c>
      <c r="D8" s="39">
        <f>IFERROR(INDEX($M$8:$M$207,MATCH(LARGE($R$8:$R$207,ROWS($A$8:A8)),$R$8:$R$207,0)),"")</f>
        <v/>
      </c>
      <c r="E8" s="39">
        <f>IFERROR(INDEX($N$8:$N$207,MATCH(LARGE($R$8:$R$207,ROWS($A$8:A8)),$R$8:$R$207,0)),"")</f>
        <v/>
      </c>
      <c r="F8" s="41">
        <f>IFERROR(INDEX($O$8:$O$207,MATCH(LARGE($R$8:$R$207,ROWS($A$8:A8)),$R$8:$R$207,0)),"")</f>
        <v/>
      </c>
      <c r="G8" s="39">
        <f>IFERROR(INDEX($P$8:$P$207,MATCH(LARGE($R$8:$R$207,ROWS($A$8:A8)),$R$8:$R$207,0)),"")</f>
        <v/>
      </c>
      <c r="H8" s="38">
        <f>IFERROR(INDEX($Q$8:$Q$207,MATCH(LARGE($R$8:$R$207,ROWS($A$8:A8)),$R$8:$R$207,0)),"")</f>
        <v/>
      </c>
      <c r="J8">
        <f>IF(Trabajadores!B5="","",Trabajadores!B5)</f>
        <v/>
      </c>
      <c r="K8">
        <f>IF(J8="","",COUNTIFS(Detalle_Pagos!$E$5:$E$2004,J8,Detalle_Pagos!$J$5:$J$2004,"No"))</f>
        <v/>
      </c>
      <c r="L8" s="43">
        <f>IF(J8="","",SUMIFS(Detalle_Pagos!$I$5:$I$2004,Detalle_Pagos!$E$5:$E$2004,J8,Detalle_Pagos!$J$5:$J$2004,"No"))</f>
        <v/>
      </c>
      <c r="M8" s="43">
        <f>IF(J8="","",K8*IFERROR(INDEX(Trabajadores!$D$5:$D$204,MATCH(J8,Trabajadores!$B$5:$B$204,0)),0))</f>
        <v/>
      </c>
      <c r="N8" s="43">
        <f>IF(J8="","",L8+M8)</f>
        <v/>
      </c>
      <c r="O8" s="44">
        <f>IF(J8="","",IF(K8=0,"",LOOKUP(2,1/((Detalle_Pagos!$E$5:$E$2004=J8)*(Detalle_Pagos!$J$5:$J$2004="No")),Detalle_Pagos!$B$5:$B$2004)))</f>
        <v/>
      </c>
      <c r="P8" s="43">
        <f>IF(J8="","",SUMIFS(Detalle_Pagos!$I$5:$I$2004,Detalle_Pagos!$E$5:$E$2004,J8,Detalle_Pagos!$J$5:$J$2004,"Si"))</f>
        <v/>
      </c>
      <c r="Q8">
        <f>IF(J8="","",COUNTIFS(Detalle_Pagos!$E$5:$E$2004,J8,Detalle_Pagos!$J$5:$J$2004,"Si"))</f>
        <v/>
      </c>
      <c r="R8">
        <f>IF(J8="","",N8+K8/100000+(100000-ROW())/1000000000)</f>
        <v/>
      </c>
    </row>
    <row r="9">
      <c r="A9" s="36">
        <f>IFERROR(INDEX($J$8:$J$207,MATCH(LARGE($R$8:$R$207,ROWS($A$8:A9)),$R$8:$R$207,0)),"")</f>
        <v/>
      </c>
      <c r="B9" s="36">
        <f>IFERROR(INDEX($K$8:$K$207,MATCH(LARGE($R$8:$R$207,ROWS($A$8:A9)),$R$8:$R$207,0)),"")</f>
        <v/>
      </c>
      <c r="C9" s="37">
        <f>IFERROR(INDEX($L$8:$L$207,MATCH(LARGE($R$8:$R$207,ROWS($A$8:A9)),$R$8:$R$207,0)),"")</f>
        <v/>
      </c>
      <c r="D9" s="37">
        <f>IFERROR(INDEX($M$8:$M$207,MATCH(LARGE($R$8:$R$207,ROWS($A$8:A9)),$R$8:$R$207,0)),"")</f>
        <v/>
      </c>
      <c r="E9" s="37">
        <f>IFERROR(INDEX($N$8:$N$207,MATCH(LARGE($R$8:$R$207,ROWS($A$8:A9)),$R$8:$R$207,0)),"")</f>
        <v/>
      </c>
      <c r="F9" s="40">
        <f>IFERROR(INDEX($O$8:$O$207,MATCH(LARGE($R$8:$R$207,ROWS($A$8:A9)),$R$8:$R$207,0)),"")</f>
        <v/>
      </c>
      <c r="G9" s="37">
        <f>IFERROR(INDEX($P$8:$P$207,MATCH(LARGE($R$8:$R$207,ROWS($A$8:A9)),$R$8:$R$207,0)),"")</f>
        <v/>
      </c>
      <c r="H9" s="36">
        <f>IFERROR(INDEX($Q$8:$Q$207,MATCH(LARGE($R$8:$R$207,ROWS($A$8:A9)),$R$8:$R$207,0)),"")</f>
        <v/>
      </c>
      <c r="J9">
        <f>IF(Trabajadores!B6="","",Trabajadores!B6)</f>
        <v/>
      </c>
      <c r="K9">
        <f>IF(J9="","",COUNTIFS(Detalle_Pagos!$E$5:$E$2004,J9,Detalle_Pagos!$J$5:$J$2004,"No"))</f>
        <v/>
      </c>
      <c r="L9" s="43">
        <f>IF(J9="","",SUMIFS(Detalle_Pagos!$I$5:$I$2004,Detalle_Pagos!$E$5:$E$2004,J9,Detalle_Pagos!$J$5:$J$2004,"No"))</f>
        <v/>
      </c>
      <c r="M9" s="43">
        <f>IF(J9="","",K9*IFERROR(INDEX(Trabajadores!$D$5:$D$204,MATCH(J9,Trabajadores!$B$5:$B$204,0)),0))</f>
        <v/>
      </c>
      <c r="N9" s="43">
        <f>IF(J9="","",L9+M9)</f>
        <v/>
      </c>
      <c r="O9" s="44">
        <f>IF(J9="","",IF(K9=0,"",LOOKUP(2,1/((Detalle_Pagos!$E$5:$E$2004=J9)*(Detalle_Pagos!$J$5:$J$2004="No")),Detalle_Pagos!$B$5:$B$2004)))</f>
        <v/>
      </c>
      <c r="P9" s="43">
        <f>IF(J9="","",SUMIFS(Detalle_Pagos!$I$5:$I$2004,Detalle_Pagos!$E$5:$E$2004,J9,Detalle_Pagos!$J$5:$J$2004,"Si"))</f>
        <v/>
      </c>
      <c r="Q9">
        <f>IF(J9="","",COUNTIFS(Detalle_Pagos!$E$5:$E$2004,J9,Detalle_Pagos!$J$5:$J$2004,"Si"))</f>
        <v/>
      </c>
      <c r="R9">
        <f>IF(J9="","",N9+K9/100000+(100000-ROW())/1000000000)</f>
        <v/>
      </c>
    </row>
    <row r="10">
      <c r="A10" s="38">
        <f>IFERROR(INDEX($J$8:$J$207,MATCH(LARGE($R$8:$R$207,ROWS($A$8:A10)),$R$8:$R$207,0)),"")</f>
        <v/>
      </c>
      <c r="B10" s="38">
        <f>IFERROR(INDEX($K$8:$K$207,MATCH(LARGE($R$8:$R$207,ROWS($A$8:A10)),$R$8:$R$207,0)),"")</f>
        <v/>
      </c>
      <c r="C10" s="39">
        <f>IFERROR(INDEX($L$8:$L$207,MATCH(LARGE($R$8:$R$207,ROWS($A$8:A10)),$R$8:$R$207,0)),"")</f>
        <v/>
      </c>
      <c r="D10" s="39">
        <f>IFERROR(INDEX($M$8:$M$207,MATCH(LARGE($R$8:$R$207,ROWS($A$8:A10)),$R$8:$R$207,0)),"")</f>
        <v/>
      </c>
      <c r="E10" s="39">
        <f>IFERROR(INDEX($N$8:$N$207,MATCH(LARGE($R$8:$R$207,ROWS($A$8:A10)),$R$8:$R$207,0)),"")</f>
        <v/>
      </c>
      <c r="F10" s="41">
        <f>IFERROR(INDEX($O$8:$O$207,MATCH(LARGE($R$8:$R$207,ROWS($A$8:A10)),$R$8:$R$207,0)),"")</f>
        <v/>
      </c>
      <c r="G10" s="39">
        <f>IFERROR(INDEX($P$8:$P$207,MATCH(LARGE($R$8:$R$207,ROWS($A$8:A10)),$R$8:$R$207,0)),"")</f>
        <v/>
      </c>
      <c r="H10" s="38">
        <f>IFERROR(INDEX($Q$8:$Q$207,MATCH(LARGE($R$8:$R$207,ROWS($A$8:A10)),$R$8:$R$207,0)),"")</f>
        <v/>
      </c>
      <c r="J10">
        <f>IF(Trabajadores!B7="","",Trabajadores!B7)</f>
        <v/>
      </c>
      <c r="K10">
        <f>IF(J10="","",COUNTIFS(Detalle_Pagos!$E$5:$E$2004,J10,Detalle_Pagos!$J$5:$J$2004,"No"))</f>
        <v/>
      </c>
      <c r="L10" s="43">
        <f>IF(J10="","",SUMIFS(Detalle_Pagos!$I$5:$I$2004,Detalle_Pagos!$E$5:$E$2004,J10,Detalle_Pagos!$J$5:$J$2004,"No"))</f>
        <v/>
      </c>
      <c r="M10" s="43">
        <f>IF(J10="","",K10*IFERROR(INDEX(Trabajadores!$D$5:$D$204,MATCH(J10,Trabajadores!$B$5:$B$204,0)),0))</f>
        <v/>
      </c>
      <c r="N10" s="43">
        <f>IF(J10="","",L10+M10)</f>
        <v/>
      </c>
      <c r="O10" s="44">
        <f>IF(J10="","",IF(K10=0,"",LOOKUP(2,1/((Detalle_Pagos!$E$5:$E$2004=J10)*(Detalle_Pagos!$J$5:$J$2004="No")),Detalle_Pagos!$B$5:$B$2004)))</f>
        <v/>
      </c>
      <c r="P10" s="43">
        <f>IF(J10="","",SUMIFS(Detalle_Pagos!$I$5:$I$2004,Detalle_Pagos!$E$5:$E$2004,J10,Detalle_Pagos!$J$5:$J$2004,"Si"))</f>
        <v/>
      </c>
      <c r="Q10">
        <f>IF(J10="","",COUNTIFS(Detalle_Pagos!$E$5:$E$2004,J10,Detalle_Pagos!$J$5:$J$2004,"Si"))</f>
        <v/>
      </c>
      <c r="R10">
        <f>IF(J10="","",N10+K10/100000+(100000-ROW())/1000000000)</f>
        <v/>
      </c>
    </row>
    <row r="11">
      <c r="A11" s="36">
        <f>IFERROR(INDEX($J$8:$J$207,MATCH(LARGE($R$8:$R$207,ROWS($A$8:A11)),$R$8:$R$207,0)),"")</f>
        <v/>
      </c>
      <c r="B11" s="36">
        <f>IFERROR(INDEX($K$8:$K$207,MATCH(LARGE($R$8:$R$207,ROWS($A$8:A11)),$R$8:$R$207,0)),"")</f>
        <v/>
      </c>
      <c r="C11" s="37">
        <f>IFERROR(INDEX($L$8:$L$207,MATCH(LARGE($R$8:$R$207,ROWS($A$8:A11)),$R$8:$R$207,0)),"")</f>
        <v/>
      </c>
      <c r="D11" s="37">
        <f>IFERROR(INDEX($M$8:$M$207,MATCH(LARGE($R$8:$R$207,ROWS($A$8:A11)),$R$8:$R$207,0)),"")</f>
        <v/>
      </c>
      <c r="E11" s="37">
        <f>IFERROR(INDEX($N$8:$N$207,MATCH(LARGE($R$8:$R$207,ROWS($A$8:A11)),$R$8:$R$207,0)),"")</f>
        <v/>
      </c>
      <c r="F11" s="40">
        <f>IFERROR(INDEX($O$8:$O$207,MATCH(LARGE($R$8:$R$207,ROWS($A$8:A11)),$R$8:$R$207,0)),"")</f>
        <v/>
      </c>
      <c r="G11" s="37">
        <f>IFERROR(INDEX($P$8:$P$207,MATCH(LARGE($R$8:$R$207,ROWS($A$8:A11)),$R$8:$R$207,0)),"")</f>
        <v/>
      </c>
      <c r="H11" s="36">
        <f>IFERROR(INDEX($Q$8:$Q$207,MATCH(LARGE($R$8:$R$207,ROWS($A$8:A11)),$R$8:$R$207,0)),"")</f>
        <v/>
      </c>
      <c r="J11">
        <f>IF(Trabajadores!B8="","",Trabajadores!B8)</f>
        <v/>
      </c>
      <c r="K11">
        <f>IF(J11="","",COUNTIFS(Detalle_Pagos!$E$5:$E$2004,J11,Detalle_Pagos!$J$5:$J$2004,"No"))</f>
        <v/>
      </c>
      <c r="L11" s="43">
        <f>IF(J11="","",SUMIFS(Detalle_Pagos!$I$5:$I$2004,Detalle_Pagos!$E$5:$E$2004,J11,Detalle_Pagos!$J$5:$J$2004,"No"))</f>
        <v/>
      </c>
      <c r="M11" s="43">
        <f>IF(J11="","",K11*IFERROR(INDEX(Trabajadores!$D$5:$D$204,MATCH(J11,Trabajadores!$B$5:$B$204,0)),0))</f>
        <v/>
      </c>
      <c r="N11" s="43">
        <f>IF(J11="","",L11+M11)</f>
        <v/>
      </c>
      <c r="O11" s="44">
        <f>IF(J11="","",IF(K11=0,"",LOOKUP(2,1/((Detalle_Pagos!$E$5:$E$2004=J11)*(Detalle_Pagos!$J$5:$J$2004="No")),Detalle_Pagos!$B$5:$B$2004)))</f>
        <v/>
      </c>
      <c r="P11" s="43">
        <f>IF(J11="","",SUMIFS(Detalle_Pagos!$I$5:$I$2004,Detalle_Pagos!$E$5:$E$2004,J11,Detalle_Pagos!$J$5:$J$2004,"Si"))</f>
        <v/>
      </c>
      <c r="Q11">
        <f>IF(J11="","",COUNTIFS(Detalle_Pagos!$E$5:$E$2004,J11,Detalle_Pagos!$J$5:$J$2004,"Si"))</f>
        <v/>
      </c>
      <c r="R11">
        <f>IF(J11="","",N11+K11/100000+(100000-ROW())/1000000000)</f>
        <v/>
      </c>
    </row>
    <row r="12">
      <c r="A12" s="38">
        <f>IFERROR(INDEX($J$8:$J$207,MATCH(LARGE($R$8:$R$207,ROWS($A$8:A12)),$R$8:$R$207,0)),"")</f>
        <v/>
      </c>
      <c r="B12" s="38">
        <f>IFERROR(INDEX($K$8:$K$207,MATCH(LARGE($R$8:$R$207,ROWS($A$8:A12)),$R$8:$R$207,0)),"")</f>
        <v/>
      </c>
      <c r="C12" s="39">
        <f>IFERROR(INDEX($L$8:$L$207,MATCH(LARGE($R$8:$R$207,ROWS($A$8:A12)),$R$8:$R$207,0)),"")</f>
        <v/>
      </c>
      <c r="D12" s="39">
        <f>IFERROR(INDEX($M$8:$M$207,MATCH(LARGE($R$8:$R$207,ROWS($A$8:A12)),$R$8:$R$207,0)),"")</f>
        <v/>
      </c>
      <c r="E12" s="39">
        <f>IFERROR(INDEX($N$8:$N$207,MATCH(LARGE($R$8:$R$207,ROWS($A$8:A12)),$R$8:$R$207,0)),"")</f>
        <v/>
      </c>
      <c r="F12" s="41">
        <f>IFERROR(INDEX($O$8:$O$207,MATCH(LARGE($R$8:$R$207,ROWS($A$8:A12)),$R$8:$R$207,0)),"")</f>
        <v/>
      </c>
      <c r="G12" s="39">
        <f>IFERROR(INDEX($P$8:$P$207,MATCH(LARGE($R$8:$R$207,ROWS($A$8:A12)),$R$8:$R$207,0)),"")</f>
        <v/>
      </c>
      <c r="H12" s="38">
        <f>IFERROR(INDEX($Q$8:$Q$207,MATCH(LARGE($R$8:$R$207,ROWS($A$8:A12)),$R$8:$R$207,0)),"")</f>
        <v/>
      </c>
      <c r="J12">
        <f>IF(Trabajadores!B9="","",Trabajadores!B9)</f>
        <v/>
      </c>
      <c r="K12">
        <f>IF(J12="","",COUNTIFS(Detalle_Pagos!$E$5:$E$2004,J12,Detalle_Pagos!$J$5:$J$2004,"No"))</f>
        <v/>
      </c>
      <c r="L12" s="43">
        <f>IF(J12="","",SUMIFS(Detalle_Pagos!$I$5:$I$2004,Detalle_Pagos!$E$5:$E$2004,J12,Detalle_Pagos!$J$5:$J$2004,"No"))</f>
        <v/>
      </c>
      <c r="M12" s="43">
        <f>IF(J12="","",K12*IFERROR(INDEX(Trabajadores!$D$5:$D$204,MATCH(J12,Trabajadores!$B$5:$B$204,0)),0))</f>
        <v/>
      </c>
      <c r="N12" s="43">
        <f>IF(J12="","",L12+M12)</f>
        <v/>
      </c>
      <c r="O12" s="44">
        <f>IF(J12="","",IF(K12=0,"",LOOKUP(2,1/((Detalle_Pagos!$E$5:$E$2004=J12)*(Detalle_Pagos!$J$5:$J$2004="No")),Detalle_Pagos!$B$5:$B$2004)))</f>
        <v/>
      </c>
      <c r="P12" s="43">
        <f>IF(J12="","",SUMIFS(Detalle_Pagos!$I$5:$I$2004,Detalle_Pagos!$E$5:$E$2004,J12,Detalle_Pagos!$J$5:$J$2004,"Si"))</f>
        <v/>
      </c>
      <c r="Q12">
        <f>IF(J12="","",COUNTIFS(Detalle_Pagos!$E$5:$E$2004,J12,Detalle_Pagos!$J$5:$J$2004,"Si"))</f>
        <v/>
      </c>
      <c r="R12">
        <f>IF(J12="","",N12+K12/100000+(100000-ROW())/1000000000)</f>
        <v/>
      </c>
    </row>
    <row r="13">
      <c r="A13" s="36">
        <f>IFERROR(INDEX($J$8:$J$207,MATCH(LARGE($R$8:$R$207,ROWS($A$8:A13)),$R$8:$R$207,0)),"")</f>
        <v/>
      </c>
      <c r="B13" s="36">
        <f>IFERROR(INDEX($K$8:$K$207,MATCH(LARGE($R$8:$R$207,ROWS($A$8:A13)),$R$8:$R$207,0)),"")</f>
        <v/>
      </c>
      <c r="C13" s="37">
        <f>IFERROR(INDEX($L$8:$L$207,MATCH(LARGE($R$8:$R$207,ROWS($A$8:A13)),$R$8:$R$207,0)),"")</f>
        <v/>
      </c>
      <c r="D13" s="37">
        <f>IFERROR(INDEX($M$8:$M$207,MATCH(LARGE($R$8:$R$207,ROWS($A$8:A13)),$R$8:$R$207,0)),"")</f>
        <v/>
      </c>
      <c r="E13" s="37">
        <f>IFERROR(INDEX($N$8:$N$207,MATCH(LARGE($R$8:$R$207,ROWS($A$8:A13)),$R$8:$R$207,0)),"")</f>
        <v/>
      </c>
      <c r="F13" s="40">
        <f>IFERROR(INDEX($O$8:$O$207,MATCH(LARGE($R$8:$R$207,ROWS($A$8:A13)),$R$8:$R$207,0)),"")</f>
        <v/>
      </c>
      <c r="G13" s="37">
        <f>IFERROR(INDEX($P$8:$P$207,MATCH(LARGE($R$8:$R$207,ROWS($A$8:A13)),$R$8:$R$207,0)),"")</f>
        <v/>
      </c>
      <c r="H13" s="36">
        <f>IFERROR(INDEX($Q$8:$Q$207,MATCH(LARGE($R$8:$R$207,ROWS($A$8:A13)),$R$8:$R$207,0)),"")</f>
        <v/>
      </c>
      <c r="J13">
        <f>IF(Trabajadores!B10="","",Trabajadores!B10)</f>
        <v/>
      </c>
      <c r="K13">
        <f>IF(J13="","",COUNTIFS(Detalle_Pagos!$E$5:$E$2004,J13,Detalle_Pagos!$J$5:$J$2004,"No"))</f>
        <v/>
      </c>
      <c r="L13" s="43">
        <f>IF(J13="","",SUMIFS(Detalle_Pagos!$I$5:$I$2004,Detalle_Pagos!$E$5:$E$2004,J13,Detalle_Pagos!$J$5:$J$2004,"No"))</f>
        <v/>
      </c>
      <c r="M13" s="43">
        <f>IF(J13="","",K13*IFERROR(INDEX(Trabajadores!$D$5:$D$204,MATCH(J13,Trabajadores!$B$5:$B$204,0)),0))</f>
        <v/>
      </c>
      <c r="N13" s="43">
        <f>IF(J13="","",L13+M13)</f>
        <v/>
      </c>
      <c r="O13" s="44">
        <f>IF(J13="","",IF(K13=0,"",LOOKUP(2,1/((Detalle_Pagos!$E$5:$E$2004=J13)*(Detalle_Pagos!$J$5:$J$2004="No")),Detalle_Pagos!$B$5:$B$2004)))</f>
        <v/>
      </c>
      <c r="P13" s="43">
        <f>IF(J13="","",SUMIFS(Detalle_Pagos!$I$5:$I$2004,Detalle_Pagos!$E$5:$E$2004,J13,Detalle_Pagos!$J$5:$J$2004,"Si"))</f>
        <v/>
      </c>
      <c r="Q13">
        <f>IF(J13="","",COUNTIFS(Detalle_Pagos!$E$5:$E$2004,J13,Detalle_Pagos!$J$5:$J$2004,"Si"))</f>
        <v/>
      </c>
      <c r="R13">
        <f>IF(J13="","",N13+K13/100000+(100000-ROW())/1000000000)</f>
        <v/>
      </c>
    </row>
    <row r="14">
      <c r="A14" s="38">
        <f>IFERROR(INDEX($J$8:$J$207,MATCH(LARGE($R$8:$R$207,ROWS($A$8:A14)),$R$8:$R$207,0)),"")</f>
        <v/>
      </c>
      <c r="B14" s="38">
        <f>IFERROR(INDEX($K$8:$K$207,MATCH(LARGE($R$8:$R$207,ROWS($A$8:A14)),$R$8:$R$207,0)),"")</f>
        <v/>
      </c>
      <c r="C14" s="39">
        <f>IFERROR(INDEX($L$8:$L$207,MATCH(LARGE($R$8:$R$207,ROWS($A$8:A14)),$R$8:$R$207,0)),"")</f>
        <v/>
      </c>
      <c r="D14" s="39">
        <f>IFERROR(INDEX($M$8:$M$207,MATCH(LARGE($R$8:$R$207,ROWS($A$8:A14)),$R$8:$R$207,0)),"")</f>
        <v/>
      </c>
      <c r="E14" s="39">
        <f>IFERROR(INDEX($N$8:$N$207,MATCH(LARGE($R$8:$R$207,ROWS($A$8:A14)),$R$8:$R$207,0)),"")</f>
        <v/>
      </c>
      <c r="F14" s="41">
        <f>IFERROR(INDEX($O$8:$O$207,MATCH(LARGE($R$8:$R$207,ROWS($A$8:A14)),$R$8:$R$207,0)),"")</f>
        <v/>
      </c>
      <c r="G14" s="39">
        <f>IFERROR(INDEX($P$8:$P$207,MATCH(LARGE($R$8:$R$207,ROWS($A$8:A14)),$R$8:$R$207,0)),"")</f>
        <v/>
      </c>
      <c r="H14" s="38">
        <f>IFERROR(INDEX($Q$8:$Q$207,MATCH(LARGE($R$8:$R$207,ROWS($A$8:A14)),$R$8:$R$207,0)),"")</f>
        <v/>
      </c>
      <c r="J14">
        <f>IF(Trabajadores!B11="","",Trabajadores!B11)</f>
        <v/>
      </c>
      <c r="K14">
        <f>IF(J14="","",COUNTIFS(Detalle_Pagos!$E$5:$E$2004,J14,Detalle_Pagos!$J$5:$J$2004,"No"))</f>
        <v/>
      </c>
      <c r="L14" s="43">
        <f>IF(J14="","",SUMIFS(Detalle_Pagos!$I$5:$I$2004,Detalle_Pagos!$E$5:$E$2004,J14,Detalle_Pagos!$J$5:$J$2004,"No"))</f>
        <v/>
      </c>
      <c r="M14" s="43">
        <f>IF(J14="","",K14*IFERROR(INDEX(Trabajadores!$D$5:$D$204,MATCH(J14,Trabajadores!$B$5:$B$204,0)),0))</f>
        <v/>
      </c>
      <c r="N14" s="43">
        <f>IF(J14="","",L14+M14)</f>
        <v/>
      </c>
      <c r="O14" s="44">
        <f>IF(J14="","",IF(K14=0,"",LOOKUP(2,1/((Detalle_Pagos!$E$5:$E$2004=J14)*(Detalle_Pagos!$J$5:$J$2004="No")),Detalle_Pagos!$B$5:$B$2004)))</f>
        <v/>
      </c>
      <c r="P14" s="43">
        <f>IF(J14="","",SUMIFS(Detalle_Pagos!$I$5:$I$2004,Detalle_Pagos!$E$5:$E$2004,J14,Detalle_Pagos!$J$5:$J$2004,"Si"))</f>
        <v/>
      </c>
      <c r="Q14">
        <f>IF(J14="","",COUNTIFS(Detalle_Pagos!$E$5:$E$2004,J14,Detalle_Pagos!$J$5:$J$2004,"Si"))</f>
        <v/>
      </c>
      <c r="R14">
        <f>IF(J14="","",N14+K14/100000+(100000-ROW())/1000000000)</f>
        <v/>
      </c>
    </row>
    <row r="15">
      <c r="A15" s="36">
        <f>IFERROR(INDEX($J$8:$J$207,MATCH(LARGE($R$8:$R$207,ROWS($A$8:A15)),$R$8:$R$207,0)),"")</f>
        <v/>
      </c>
      <c r="B15" s="36">
        <f>IFERROR(INDEX($K$8:$K$207,MATCH(LARGE($R$8:$R$207,ROWS($A$8:A15)),$R$8:$R$207,0)),"")</f>
        <v/>
      </c>
      <c r="C15" s="37">
        <f>IFERROR(INDEX($L$8:$L$207,MATCH(LARGE($R$8:$R$207,ROWS($A$8:A15)),$R$8:$R$207,0)),"")</f>
        <v/>
      </c>
      <c r="D15" s="37">
        <f>IFERROR(INDEX($M$8:$M$207,MATCH(LARGE($R$8:$R$207,ROWS($A$8:A15)),$R$8:$R$207,0)),"")</f>
        <v/>
      </c>
      <c r="E15" s="37">
        <f>IFERROR(INDEX($N$8:$N$207,MATCH(LARGE($R$8:$R$207,ROWS($A$8:A15)),$R$8:$R$207,0)),"")</f>
        <v/>
      </c>
      <c r="F15" s="40">
        <f>IFERROR(INDEX($O$8:$O$207,MATCH(LARGE($R$8:$R$207,ROWS($A$8:A15)),$R$8:$R$207,0)),"")</f>
        <v/>
      </c>
      <c r="G15" s="37">
        <f>IFERROR(INDEX($P$8:$P$207,MATCH(LARGE($R$8:$R$207,ROWS($A$8:A15)),$R$8:$R$207,0)),"")</f>
        <v/>
      </c>
      <c r="H15" s="36">
        <f>IFERROR(INDEX($Q$8:$Q$207,MATCH(LARGE($R$8:$R$207,ROWS($A$8:A15)),$R$8:$R$207,0)),"")</f>
        <v/>
      </c>
      <c r="J15">
        <f>IF(Trabajadores!B12="","",Trabajadores!B12)</f>
        <v/>
      </c>
      <c r="K15">
        <f>IF(J15="","",COUNTIFS(Detalle_Pagos!$E$5:$E$2004,J15,Detalle_Pagos!$J$5:$J$2004,"No"))</f>
        <v/>
      </c>
      <c r="L15" s="43">
        <f>IF(J15="","",SUMIFS(Detalle_Pagos!$I$5:$I$2004,Detalle_Pagos!$E$5:$E$2004,J15,Detalle_Pagos!$J$5:$J$2004,"No"))</f>
        <v/>
      </c>
      <c r="M15" s="43">
        <f>IF(J15="","",K15*IFERROR(INDEX(Trabajadores!$D$5:$D$204,MATCH(J15,Trabajadores!$B$5:$B$204,0)),0))</f>
        <v/>
      </c>
      <c r="N15" s="43">
        <f>IF(J15="","",L15+M15)</f>
        <v/>
      </c>
      <c r="O15" s="44">
        <f>IF(J15="","",IF(K15=0,"",LOOKUP(2,1/((Detalle_Pagos!$E$5:$E$2004=J15)*(Detalle_Pagos!$J$5:$J$2004="No")),Detalle_Pagos!$B$5:$B$2004)))</f>
        <v/>
      </c>
      <c r="P15" s="43">
        <f>IF(J15="","",SUMIFS(Detalle_Pagos!$I$5:$I$2004,Detalle_Pagos!$E$5:$E$2004,J15,Detalle_Pagos!$J$5:$J$2004,"Si"))</f>
        <v/>
      </c>
      <c r="Q15">
        <f>IF(J15="","",COUNTIFS(Detalle_Pagos!$E$5:$E$2004,J15,Detalle_Pagos!$J$5:$J$2004,"Si"))</f>
        <v/>
      </c>
      <c r="R15">
        <f>IF(J15="","",N15+K15/100000+(100000-ROW())/1000000000)</f>
        <v/>
      </c>
    </row>
    <row r="16">
      <c r="A16" s="38">
        <f>IFERROR(INDEX($J$8:$J$207,MATCH(LARGE($R$8:$R$207,ROWS($A$8:A16)),$R$8:$R$207,0)),"")</f>
        <v/>
      </c>
      <c r="B16" s="38">
        <f>IFERROR(INDEX($K$8:$K$207,MATCH(LARGE($R$8:$R$207,ROWS($A$8:A16)),$R$8:$R$207,0)),"")</f>
        <v/>
      </c>
      <c r="C16" s="39">
        <f>IFERROR(INDEX($L$8:$L$207,MATCH(LARGE($R$8:$R$207,ROWS($A$8:A16)),$R$8:$R$207,0)),"")</f>
        <v/>
      </c>
      <c r="D16" s="39">
        <f>IFERROR(INDEX($M$8:$M$207,MATCH(LARGE($R$8:$R$207,ROWS($A$8:A16)),$R$8:$R$207,0)),"")</f>
        <v/>
      </c>
      <c r="E16" s="39">
        <f>IFERROR(INDEX($N$8:$N$207,MATCH(LARGE($R$8:$R$207,ROWS($A$8:A16)),$R$8:$R$207,0)),"")</f>
        <v/>
      </c>
      <c r="F16" s="41">
        <f>IFERROR(INDEX($O$8:$O$207,MATCH(LARGE($R$8:$R$207,ROWS($A$8:A16)),$R$8:$R$207,0)),"")</f>
        <v/>
      </c>
      <c r="G16" s="39">
        <f>IFERROR(INDEX($P$8:$P$207,MATCH(LARGE($R$8:$R$207,ROWS($A$8:A16)),$R$8:$R$207,0)),"")</f>
        <v/>
      </c>
      <c r="H16" s="38">
        <f>IFERROR(INDEX($Q$8:$Q$207,MATCH(LARGE($R$8:$R$207,ROWS($A$8:A16)),$R$8:$R$207,0)),"")</f>
        <v/>
      </c>
      <c r="J16">
        <f>IF(Trabajadores!B13="","",Trabajadores!B13)</f>
        <v/>
      </c>
      <c r="K16">
        <f>IF(J16="","",COUNTIFS(Detalle_Pagos!$E$5:$E$2004,J16,Detalle_Pagos!$J$5:$J$2004,"No"))</f>
        <v/>
      </c>
      <c r="L16" s="43">
        <f>IF(J16="","",SUMIFS(Detalle_Pagos!$I$5:$I$2004,Detalle_Pagos!$E$5:$E$2004,J16,Detalle_Pagos!$J$5:$J$2004,"No"))</f>
        <v/>
      </c>
      <c r="M16" s="43">
        <f>IF(J16="","",K16*IFERROR(INDEX(Trabajadores!$D$5:$D$204,MATCH(J16,Trabajadores!$B$5:$B$204,0)),0))</f>
        <v/>
      </c>
      <c r="N16" s="43">
        <f>IF(J16="","",L16+M16)</f>
        <v/>
      </c>
      <c r="O16" s="44">
        <f>IF(J16="","",IF(K16=0,"",LOOKUP(2,1/((Detalle_Pagos!$E$5:$E$2004=J16)*(Detalle_Pagos!$J$5:$J$2004="No")),Detalle_Pagos!$B$5:$B$2004)))</f>
        <v/>
      </c>
      <c r="P16" s="43">
        <f>IF(J16="","",SUMIFS(Detalle_Pagos!$I$5:$I$2004,Detalle_Pagos!$E$5:$E$2004,J16,Detalle_Pagos!$J$5:$J$2004,"Si"))</f>
        <v/>
      </c>
      <c r="Q16">
        <f>IF(J16="","",COUNTIFS(Detalle_Pagos!$E$5:$E$2004,J16,Detalle_Pagos!$J$5:$J$2004,"Si"))</f>
        <v/>
      </c>
      <c r="R16">
        <f>IF(J16="","",N16+K16/100000+(100000-ROW())/1000000000)</f>
        <v/>
      </c>
    </row>
    <row r="17">
      <c r="A17" s="36">
        <f>IFERROR(INDEX($J$8:$J$207,MATCH(LARGE($R$8:$R$207,ROWS($A$8:A17)),$R$8:$R$207,0)),"")</f>
        <v/>
      </c>
      <c r="B17" s="36">
        <f>IFERROR(INDEX($K$8:$K$207,MATCH(LARGE($R$8:$R$207,ROWS($A$8:A17)),$R$8:$R$207,0)),"")</f>
        <v/>
      </c>
      <c r="C17" s="37">
        <f>IFERROR(INDEX($L$8:$L$207,MATCH(LARGE($R$8:$R$207,ROWS($A$8:A17)),$R$8:$R$207,0)),"")</f>
        <v/>
      </c>
      <c r="D17" s="37">
        <f>IFERROR(INDEX($M$8:$M$207,MATCH(LARGE($R$8:$R$207,ROWS($A$8:A17)),$R$8:$R$207,0)),"")</f>
        <v/>
      </c>
      <c r="E17" s="37">
        <f>IFERROR(INDEX($N$8:$N$207,MATCH(LARGE($R$8:$R$207,ROWS($A$8:A17)),$R$8:$R$207,0)),"")</f>
        <v/>
      </c>
      <c r="F17" s="40">
        <f>IFERROR(INDEX($O$8:$O$207,MATCH(LARGE($R$8:$R$207,ROWS($A$8:A17)),$R$8:$R$207,0)),"")</f>
        <v/>
      </c>
      <c r="G17" s="37">
        <f>IFERROR(INDEX($P$8:$P$207,MATCH(LARGE($R$8:$R$207,ROWS($A$8:A17)),$R$8:$R$207,0)),"")</f>
        <v/>
      </c>
      <c r="H17" s="36">
        <f>IFERROR(INDEX($Q$8:$Q$207,MATCH(LARGE($R$8:$R$207,ROWS($A$8:A17)),$R$8:$R$207,0)),"")</f>
        <v/>
      </c>
      <c r="J17">
        <f>IF(Trabajadores!B14="","",Trabajadores!B14)</f>
        <v/>
      </c>
      <c r="K17">
        <f>IF(J17="","",COUNTIFS(Detalle_Pagos!$E$5:$E$2004,J17,Detalle_Pagos!$J$5:$J$2004,"No"))</f>
        <v/>
      </c>
      <c r="L17" s="43">
        <f>IF(J17="","",SUMIFS(Detalle_Pagos!$I$5:$I$2004,Detalle_Pagos!$E$5:$E$2004,J17,Detalle_Pagos!$J$5:$J$2004,"No"))</f>
        <v/>
      </c>
      <c r="M17" s="43">
        <f>IF(J17="","",K17*IFERROR(INDEX(Trabajadores!$D$5:$D$204,MATCH(J17,Trabajadores!$B$5:$B$204,0)),0))</f>
        <v/>
      </c>
      <c r="N17" s="43">
        <f>IF(J17="","",L17+M17)</f>
        <v/>
      </c>
      <c r="O17" s="44">
        <f>IF(J17="","",IF(K17=0,"",LOOKUP(2,1/((Detalle_Pagos!$E$5:$E$2004=J17)*(Detalle_Pagos!$J$5:$J$2004="No")),Detalle_Pagos!$B$5:$B$2004)))</f>
        <v/>
      </c>
      <c r="P17" s="43">
        <f>IF(J17="","",SUMIFS(Detalle_Pagos!$I$5:$I$2004,Detalle_Pagos!$E$5:$E$2004,J17,Detalle_Pagos!$J$5:$J$2004,"Si"))</f>
        <v/>
      </c>
      <c r="Q17">
        <f>IF(J17="","",COUNTIFS(Detalle_Pagos!$E$5:$E$2004,J17,Detalle_Pagos!$J$5:$J$2004,"Si"))</f>
        <v/>
      </c>
      <c r="R17">
        <f>IF(J17="","",N17+K17/100000+(100000-ROW())/1000000000)</f>
        <v/>
      </c>
    </row>
    <row r="18">
      <c r="A18" s="38">
        <f>IFERROR(INDEX($J$8:$J$207,MATCH(LARGE($R$8:$R$207,ROWS($A$8:A18)),$R$8:$R$207,0)),"")</f>
        <v/>
      </c>
      <c r="B18" s="38">
        <f>IFERROR(INDEX($K$8:$K$207,MATCH(LARGE($R$8:$R$207,ROWS($A$8:A18)),$R$8:$R$207,0)),"")</f>
        <v/>
      </c>
      <c r="C18" s="39">
        <f>IFERROR(INDEX($L$8:$L$207,MATCH(LARGE($R$8:$R$207,ROWS($A$8:A18)),$R$8:$R$207,0)),"")</f>
        <v/>
      </c>
      <c r="D18" s="39">
        <f>IFERROR(INDEX($M$8:$M$207,MATCH(LARGE($R$8:$R$207,ROWS($A$8:A18)),$R$8:$R$207,0)),"")</f>
        <v/>
      </c>
      <c r="E18" s="39">
        <f>IFERROR(INDEX($N$8:$N$207,MATCH(LARGE($R$8:$R$207,ROWS($A$8:A18)),$R$8:$R$207,0)),"")</f>
        <v/>
      </c>
      <c r="F18" s="41">
        <f>IFERROR(INDEX($O$8:$O$207,MATCH(LARGE($R$8:$R$207,ROWS($A$8:A18)),$R$8:$R$207,0)),"")</f>
        <v/>
      </c>
      <c r="G18" s="39">
        <f>IFERROR(INDEX($P$8:$P$207,MATCH(LARGE($R$8:$R$207,ROWS($A$8:A18)),$R$8:$R$207,0)),"")</f>
        <v/>
      </c>
      <c r="H18" s="38">
        <f>IFERROR(INDEX($Q$8:$Q$207,MATCH(LARGE($R$8:$R$207,ROWS($A$8:A18)),$R$8:$R$207,0)),"")</f>
        <v/>
      </c>
      <c r="J18">
        <f>IF(Trabajadores!B15="","",Trabajadores!B15)</f>
        <v/>
      </c>
      <c r="K18">
        <f>IF(J18="","",COUNTIFS(Detalle_Pagos!$E$5:$E$2004,J18,Detalle_Pagos!$J$5:$J$2004,"No"))</f>
        <v/>
      </c>
      <c r="L18" s="43">
        <f>IF(J18="","",SUMIFS(Detalle_Pagos!$I$5:$I$2004,Detalle_Pagos!$E$5:$E$2004,J18,Detalle_Pagos!$J$5:$J$2004,"No"))</f>
        <v/>
      </c>
      <c r="M18" s="43">
        <f>IF(J18="","",K18*IFERROR(INDEX(Trabajadores!$D$5:$D$204,MATCH(J18,Trabajadores!$B$5:$B$204,0)),0))</f>
        <v/>
      </c>
      <c r="N18" s="43">
        <f>IF(J18="","",L18+M18)</f>
        <v/>
      </c>
      <c r="O18" s="44">
        <f>IF(J18="","",IF(K18=0,"",LOOKUP(2,1/((Detalle_Pagos!$E$5:$E$2004=J18)*(Detalle_Pagos!$J$5:$J$2004="No")),Detalle_Pagos!$B$5:$B$2004)))</f>
        <v/>
      </c>
      <c r="P18" s="43">
        <f>IF(J18="","",SUMIFS(Detalle_Pagos!$I$5:$I$2004,Detalle_Pagos!$E$5:$E$2004,J18,Detalle_Pagos!$J$5:$J$2004,"Si"))</f>
        <v/>
      </c>
      <c r="Q18">
        <f>IF(J18="","",COUNTIFS(Detalle_Pagos!$E$5:$E$2004,J18,Detalle_Pagos!$J$5:$J$2004,"Si"))</f>
        <v/>
      </c>
      <c r="R18">
        <f>IF(J18="","",N18+K18/100000+(100000-ROW())/1000000000)</f>
        <v/>
      </c>
    </row>
    <row r="19">
      <c r="A19" s="36">
        <f>IFERROR(INDEX($J$8:$J$207,MATCH(LARGE($R$8:$R$207,ROWS($A$8:A19)),$R$8:$R$207,0)),"")</f>
        <v/>
      </c>
      <c r="B19" s="36">
        <f>IFERROR(INDEX($K$8:$K$207,MATCH(LARGE($R$8:$R$207,ROWS($A$8:A19)),$R$8:$R$207,0)),"")</f>
        <v/>
      </c>
      <c r="C19" s="37">
        <f>IFERROR(INDEX($L$8:$L$207,MATCH(LARGE($R$8:$R$207,ROWS($A$8:A19)),$R$8:$R$207,0)),"")</f>
        <v/>
      </c>
      <c r="D19" s="37">
        <f>IFERROR(INDEX($M$8:$M$207,MATCH(LARGE($R$8:$R$207,ROWS($A$8:A19)),$R$8:$R$207,0)),"")</f>
        <v/>
      </c>
      <c r="E19" s="37">
        <f>IFERROR(INDEX($N$8:$N$207,MATCH(LARGE($R$8:$R$207,ROWS($A$8:A19)),$R$8:$R$207,0)),"")</f>
        <v/>
      </c>
      <c r="F19" s="40">
        <f>IFERROR(INDEX($O$8:$O$207,MATCH(LARGE($R$8:$R$207,ROWS($A$8:A19)),$R$8:$R$207,0)),"")</f>
        <v/>
      </c>
      <c r="G19" s="37">
        <f>IFERROR(INDEX($P$8:$P$207,MATCH(LARGE($R$8:$R$207,ROWS($A$8:A19)),$R$8:$R$207,0)),"")</f>
        <v/>
      </c>
      <c r="H19" s="36">
        <f>IFERROR(INDEX($Q$8:$Q$207,MATCH(LARGE($R$8:$R$207,ROWS($A$8:A19)),$R$8:$R$207,0)),"")</f>
        <v/>
      </c>
      <c r="J19">
        <f>IF(Trabajadores!B16="","",Trabajadores!B16)</f>
        <v/>
      </c>
      <c r="K19">
        <f>IF(J19="","",COUNTIFS(Detalle_Pagos!$E$5:$E$2004,J19,Detalle_Pagos!$J$5:$J$2004,"No"))</f>
        <v/>
      </c>
      <c r="L19" s="43">
        <f>IF(J19="","",SUMIFS(Detalle_Pagos!$I$5:$I$2004,Detalle_Pagos!$E$5:$E$2004,J19,Detalle_Pagos!$J$5:$J$2004,"No"))</f>
        <v/>
      </c>
      <c r="M19" s="43">
        <f>IF(J19="","",K19*IFERROR(INDEX(Trabajadores!$D$5:$D$204,MATCH(J19,Trabajadores!$B$5:$B$204,0)),0))</f>
        <v/>
      </c>
      <c r="N19" s="43">
        <f>IF(J19="","",L19+M19)</f>
        <v/>
      </c>
      <c r="O19" s="44">
        <f>IF(J19="","",IF(K19=0,"",LOOKUP(2,1/((Detalle_Pagos!$E$5:$E$2004=J19)*(Detalle_Pagos!$J$5:$J$2004="No")),Detalle_Pagos!$B$5:$B$2004)))</f>
        <v/>
      </c>
      <c r="P19" s="43">
        <f>IF(J19="","",SUMIFS(Detalle_Pagos!$I$5:$I$2004,Detalle_Pagos!$E$5:$E$2004,J19,Detalle_Pagos!$J$5:$J$2004,"Si"))</f>
        <v/>
      </c>
      <c r="Q19">
        <f>IF(J19="","",COUNTIFS(Detalle_Pagos!$E$5:$E$2004,J19,Detalle_Pagos!$J$5:$J$2004,"Si"))</f>
        <v/>
      </c>
      <c r="R19">
        <f>IF(J19="","",N19+K19/100000+(100000-ROW())/1000000000)</f>
        <v/>
      </c>
    </row>
    <row r="20">
      <c r="A20" s="38">
        <f>IFERROR(INDEX($J$8:$J$207,MATCH(LARGE($R$8:$R$207,ROWS($A$8:A20)),$R$8:$R$207,0)),"")</f>
        <v/>
      </c>
      <c r="B20" s="38">
        <f>IFERROR(INDEX($K$8:$K$207,MATCH(LARGE($R$8:$R$207,ROWS($A$8:A20)),$R$8:$R$207,0)),"")</f>
        <v/>
      </c>
      <c r="C20" s="39">
        <f>IFERROR(INDEX($L$8:$L$207,MATCH(LARGE($R$8:$R$207,ROWS($A$8:A20)),$R$8:$R$207,0)),"")</f>
        <v/>
      </c>
      <c r="D20" s="39">
        <f>IFERROR(INDEX($M$8:$M$207,MATCH(LARGE($R$8:$R$207,ROWS($A$8:A20)),$R$8:$R$207,0)),"")</f>
        <v/>
      </c>
      <c r="E20" s="39">
        <f>IFERROR(INDEX($N$8:$N$207,MATCH(LARGE($R$8:$R$207,ROWS($A$8:A20)),$R$8:$R$207,0)),"")</f>
        <v/>
      </c>
      <c r="F20" s="41">
        <f>IFERROR(INDEX($O$8:$O$207,MATCH(LARGE($R$8:$R$207,ROWS($A$8:A20)),$R$8:$R$207,0)),"")</f>
        <v/>
      </c>
      <c r="G20" s="39">
        <f>IFERROR(INDEX($P$8:$P$207,MATCH(LARGE($R$8:$R$207,ROWS($A$8:A20)),$R$8:$R$207,0)),"")</f>
        <v/>
      </c>
      <c r="H20" s="38">
        <f>IFERROR(INDEX($Q$8:$Q$207,MATCH(LARGE($R$8:$R$207,ROWS($A$8:A20)),$R$8:$R$207,0)),"")</f>
        <v/>
      </c>
      <c r="J20">
        <f>IF(Trabajadores!B17="","",Trabajadores!B17)</f>
        <v/>
      </c>
      <c r="K20">
        <f>IF(J20="","",COUNTIFS(Detalle_Pagos!$E$5:$E$2004,J20,Detalle_Pagos!$J$5:$J$2004,"No"))</f>
        <v/>
      </c>
      <c r="L20" s="43">
        <f>IF(J20="","",SUMIFS(Detalle_Pagos!$I$5:$I$2004,Detalle_Pagos!$E$5:$E$2004,J20,Detalle_Pagos!$J$5:$J$2004,"No"))</f>
        <v/>
      </c>
      <c r="M20" s="43">
        <f>IF(J20="","",K20*IFERROR(INDEX(Trabajadores!$D$5:$D$204,MATCH(J20,Trabajadores!$B$5:$B$204,0)),0))</f>
        <v/>
      </c>
      <c r="N20" s="43">
        <f>IF(J20="","",L20+M20)</f>
        <v/>
      </c>
      <c r="O20" s="44">
        <f>IF(J20="","",IF(K20=0,"",LOOKUP(2,1/((Detalle_Pagos!$E$5:$E$2004=J20)*(Detalle_Pagos!$J$5:$J$2004="No")),Detalle_Pagos!$B$5:$B$2004)))</f>
        <v/>
      </c>
      <c r="P20" s="43">
        <f>IF(J20="","",SUMIFS(Detalle_Pagos!$I$5:$I$2004,Detalle_Pagos!$E$5:$E$2004,J20,Detalle_Pagos!$J$5:$J$2004,"Si"))</f>
        <v/>
      </c>
      <c r="Q20">
        <f>IF(J20="","",COUNTIFS(Detalle_Pagos!$E$5:$E$2004,J20,Detalle_Pagos!$J$5:$J$2004,"Si"))</f>
        <v/>
      </c>
      <c r="R20">
        <f>IF(J20="","",N20+K20/100000+(100000-ROW())/1000000000)</f>
        <v/>
      </c>
    </row>
    <row r="21">
      <c r="A21" s="36">
        <f>IFERROR(INDEX($J$8:$J$207,MATCH(LARGE($R$8:$R$207,ROWS($A$8:A21)),$R$8:$R$207,0)),"")</f>
        <v/>
      </c>
      <c r="B21" s="36">
        <f>IFERROR(INDEX($K$8:$K$207,MATCH(LARGE($R$8:$R$207,ROWS($A$8:A21)),$R$8:$R$207,0)),"")</f>
        <v/>
      </c>
      <c r="C21" s="37">
        <f>IFERROR(INDEX($L$8:$L$207,MATCH(LARGE($R$8:$R$207,ROWS($A$8:A21)),$R$8:$R$207,0)),"")</f>
        <v/>
      </c>
      <c r="D21" s="37">
        <f>IFERROR(INDEX($M$8:$M$207,MATCH(LARGE($R$8:$R$207,ROWS($A$8:A21)),$R$8:$R$207,0)),"")</f>
        <v/>
      </c>
      <c r="E21" s="37">
        <f>IFERROR(INDEX($N$8:$N$207,MATCH(LARGE($R$8:$R$207,ROWS($A$8:A21)),$R$8:$R$207,0)),"")</f>
        <v/>
      </c>
      <c r="F21" s="40">
        <f>IFERROR(INDEX($O$8:$O$207,MATCH(LARGE($R$8:$R$207,ROWS($A$8:A21)),$R$8:$R$207,0)),"")</f>
        <v/>
      </c>
      <c r="G21" s="37">
        <f>IFERROR(INDEX($P$8:$P$207,MATCH(LARGE($R$8:$R$207,ROWS($A$8:A21)),$R$8:$R$207,0)),"")</f>
        <v/>
      </c>
      <c r="H21" s="36">
        <f>IFERROR(INDEX($Q$8:$Q$207,MATCH(LARGE($R$8:$R$207,ROWS($A$8:A21)),$R$8:$R$207,0)),"")</f>
        <v/>
      </c>
      <c r="J21">
        <f>IF(Trabajadores!B18="","",Trabajadores!B18)</f>
        <v/>
      </c>
      <c r="K21">
        <f>IF(J21="","",COUNTIFS(Detalle_Pagos!$E$5:$E$2004,J21,Detalle_Pagos!$J$5:$J$2004,"No"))</f>
        <v/>
      </c>
      <c r="L21" s="43">
        <f>IF(J21="","",SUMIFS(Detalle_Pagos!$I$5:$I$2004,Detalle_Pagos!$E$5:$E$2004,J21,Detalle_Pagos!$J$5:$J$2004,"No"))</f>
        <v/>
      </c>
      <c r="M21" s="43">
        <f>IF(J21="","",K21*IFERROR(INDEX(Trabajadores!$D$5:$D$204,MATCH(J21,Trabajadores!$B$5:$B$204,0)),0))</f>
        <v/>
      </c>
      <c r="N21" s="43">
        <f>IF(J21="","",L21+M21)</f>
        <v/>
      </c>
      <c r="O21" s="44">
        <f>IF(J21="","",IF(K21=0,"",LOOKUP(2,1/((Detalle_Pagos!$E$5:$E$2004=J21)*(Detalle_Pagos!$J$5:$J$2004="No")),Detalle_Pagos!$B$5:$B$2004)))</f>
        <v/>
      </c>
      <c r="P21" s="43">
        <f>IF(J21="","",SUMIFS(Detalle_Pagos!$I$5:$I$2004,Detalle_Pagos!$E$5:$E$2004,J21,Detalle_Pagos!$J$5:$J$2004,"Si"))</f>
        <v/>
      </c>
      <c r="Q21">
        <f>IF(J21="","",COUNTIFS(Detalle_Pagos!$E$5:$E$2004,J21,Detalle_Pagos!$J$5:$J$2004,"Si"))</f>
        <v/>
      </c>
      <c r="R21">
        <f>IF(J21="","",N21+K21/100000+(100000-ROW())/1000000000)</f>
        <v/>
      </c>
    </row>
    <row r="22">
      <c r="A22" s="38">
        <f>IFERROR(INDEX($J$8:$J$207,MATCH(LARGE($R$8:$R$207,ROWS($A$8:A22)),$R$8:$R$207,0)),"")</f>
        <v/>
      </c>
      <c r="B22" s="38">
        <f>IFERROR(INDEX($K$8:$K$207,MATCH(LARGE($R$8:$R$207,ROWS($A$8:A22)),$R$8:$R$207,0)),"")</f>
        <v/>
      </c>
      <c r="C22" s="39">
        <f>IFERROR(INDEX($L$8:$L$207,MATCH(LARGE($R$8:$R$207,ROWS($A$8:A22)),$R$8:$R$207,0)),"")</f>
        <v/>
      </c>
      <c r="D22" s="39">
        <f>IFERROR(INDEX($M$8:$M$207,MATCH(LARGE($R$8:$R$207,ROWS($A$8:A22)),$R$8:$R$207,0)),"")</f>
        <v/>
      </c>
      <c r="E22" s="39">
        <f>IFERROR(INDEX($N$8:$N$207,MATCH(LARGE($R$8:$R$207,ROWS($A$8:A22)),$R$8:$R$207,0)),"")</f>
        <v/>
      </c>
      <c r="F22" s="41">
        <f>IFERROR(INDEX($O$8:$O$207,MATCH(LARGE($R$8:$R$207,ROWS($A$8:A22)),$R$8:$R$207,0)),"")</f>
        <v/>
      </c>
      <c r="G22" s="39">
        <f>IFERROR(INDEX($P$8:$P$207,MATCH(LARGE($R$8:$R$207,ROWS($A$8:A22)),$R$8:$R$207,0)),"")</f>
        <v/>
      </c>
      <c r="H22" s="38">
        <f>IFERROR(INDEX($Q$8:$Q$207,MATCH(LARGE($R$8:$R$207,ROWS($A$8:A22)),$R$8:$R$207,0)),"")</f>
        <v/>
      </c>
      <c r="J22">
        <f>IF(Trabajadores!B19="","",Trabajadores!B19)</f>
        <v/>
      </c>
      <c r="K22">
        <f>IF(J22="","",COUNTIFS(Detalle_Pagos!$E$5:$E$2004,J22,Detalle_Pagos!$J$5:$J$2004,"No"))</f>
        <v/>
      </c>
      <c r="L22" s="43">
        <f>IF(J22="","",SUMIFS(Detalle_Pagos!$I$5:$I$2004,Detalle_Pagos!$E$5:$E$2004,J22,Detalle_Pagos!$J$5:$J$2004,"No"))</f>
        <v/>
      </c>
      <c r="M22" s="43">
        <f>IF(J22="","",K22*IFERROR(INDEX(Trabajadores!$D$5:$D$204,MATCH(J22,Trabajadores!$B$5:$B$204,0)),0))</f>
        <v/>
      </c>
      <c r="N22" s="43">
        <f>IF(J22="","",L22+M22)</f>
        <v/>
      </c>
      <c r="O22" s="44">
        <f>IF(J22="","",IF(K22=0,"",LOOKUP(2,1/((Detalle_Pagos!$E$5:$E$2004=J22)*(Detalle_Pagos!$J$5:$J$2004="No")),Detalle_Pagos!$B$5:$B$2004)))</f>
        <v/>
      </c>
      <c r="P22" s="43">
        <f>IF(J22="","",SUMIFS(Detalle_Pagos!$I$5:$I$2004,Detalle_Pagos!$E$5:$E$2004,J22,Detalle_Pagos!$J$5:$J$2004,"Si"))</f>
        <v/>
      </c>
      <c r="Q22">
        <f>IF(J22="","",COUNTIFS(Detalle_Pagos!$E$5:$E$2004,J22,Detalle_Pagos!$J$5:$J$2004,"Si"))</f>
        <v/>
      </c>
      <c r="R22">
        <f>IF(J22="","",N22+K22/100000+(100000-ROW())/1000000000)</f>
        <v/>
      </c>
    </row>
    <row r="23">
      <c r="A23" s="36">
        <f>IFERROR(INDEX($J$8:$J$207,MATCH(LARGE($R$8:$R$207,ROWS($A$8:A23)),$R$8:$R$207,0)),"")</f>
        <v/>
      </c>
      <c r="B23" s="36">
        <f>IFERROR(INDEX($K$8:$K$207,MATCH(LARGE($R$8:$R$207,ROWS($A$8:A23)),$R$8:$R$207,0)),"")</f>
        <v/>
      </c>
      <c r="C23" s="37">
        <f>IFERROR(INDEX($L$8:$L$207,MATCH(LARGE($R$8:$R$207,ROWS($A$8:A23)),$R$8:$R$207,0)),"")</f>
        <v/>
      </c>
      <c r="D23" s="37">
        <f>IFERROR(INDEX($M$8:$M$207,MATCH(LARGE($R$8:$R$207,ROWS($A$8:A23)),$R$8:$R$207,0)),"")</f>
        <v/>
      </c>
      <c r="E23" s="37">
        <f>IFERROR(INDEX($N$8:$N$207,MATCH(LARGE($R$8:$R$207,ROWS($A$8:A23)),$R$8:$R$207,0)),"")</f>
        <v/>
      </c>
      <c r="F23" s="40">
        <f>IFERROR(INDEX($O$8:$O$207,MATCH(LARGE($R$8:$R$207,ROWS($A$8:A23)),$R$8:$R$207,0)),"")</f>
        <v/>
      </c>
      <c r="G23" s="37">
        <f>IFERROR(INDEX($P$8:$P$207,MATCH(LARGE($R$8:$R$207,ROWS($A$8:A23)),$R$8:$R$207,0)),"")</f>
        <v/>
      </c>
      <c r="H23" s="36">
        <f>IFERROR(INDEX($Q$8:$Q$207,MATCH(LARGE($R$8:$R$207,ROWS($A$8:A23)),$R$8:$R$207,0)),"")</f>
        <v/>
      </c>
      <c r="J23">
        <f>IF(Trabajadores!B20="","",Trabajadores!B20)</f>
        <v/>
      </c>
      <c r="K23">
        <f>IF(J23="","",COUNTIFS(Detalle_Pagos!$E$5:$E$2004,J23,Detalle_Pagos!$J$5:$J$2004,"No"))</f>
        <v/>
      </c>
      <c r="L23" s="43">
        <f>IF(J23="","",SUMIFS(Detalle_Pagos!$I$5:$I$2004,Detalle_Pagos!$E$5:$E$2004,J23,Detalle_Pagos!$J$5:$J$2004,"No"))</f>
        <v/>
      </c>
      <c r="M23" s="43">
        <f>IF(J23="","",K23*IFERROR(INDEX(Trabajadores!$D$5:$D$204,MATCH(J23,Trabajadores!$B$5:$B$204,0)),0))</f>
        <v/>
      </c>
      <c r="N23" s="43">
        <f>IF(J23="","",L23+M23)</f>
        <v/>
      </c>
      <c r="O23" s="44">
        <f>IF(J23="","",IF(K23=0,"",LOOKUP(2,1/((Detalle_Pagos!$E$5:$E$2004=J23)*(Detalle_Pagos!$J$5:$J$2004="No")),Detalle_Pagos!$B$5:$B$2004)))</f>
        <v/>
      </c>
      <c r="P23" s="43">
        <f>IF(J23="","",SUMIFS(Detalle_Pagos!$I$5:$I$2004,Detalle_Pagos!$E$5:$E$2004,J23,Detalle_Pagos!$J$5:$J$2004,"Si"))</f>
        <v/>
      </c>
      <c r="Q23">
        <f>IF(J23="","",COUNTIFS(Detalle_Pagos!$E$5:$E$2004,J23,Detalle_Pagos!$J$5:$J$2004,"Si"))</f>
        <v/>
      </c>
      <c r="R23">
        <f>IF(J23="","",N23+K23/100000+(100000-ROW())/1000000000)</f>
        <v/>
      </c>
    </row>
    <row r="24">
      <c r="A24" s="38">
        <f>IFERROR(INDEX($J$8:$J$207,MATCH(LARGE($R$8:$R$207,ROWS($A$8:A24)),$R$8:$R$207,0)),"")</f>
        <v/>
      </c>
      <c r="B24" s="38">
        <f>IFERROR(INDEX($K$8:$K$207,MATCH(LARGE($R$8:$R$207,ROWS($A$8:A24)),$R$8:$R$207,0)),"")</f>
        <v/>
      </c>
      <c r="C24" s="39">
        <f>IFERROR(INDEX($L$8:$L$207,MATCH(LARGE($R$8:$R$207,ROWS($A$8:A24)),$R$8:$R$207,0)),"")</f>
        <v/>
      </c>
      <c r="D24" s="39">
        <f>IFERROR(INDEX($M$8:$M$207,MATCH(LARGE($R$8:$R$207,ROWS($A$8:A24)),$R$8:$R$207,0)),"")</f>
        <v/>
      </c>
      <c r="E24" s="39">
        <f>IFERROR(INDEX($N$8:$N$207,MATCH(LARGE($R$8:$R$207,ROWS($A$8:A24)),$R$8:$R$207,0)),"")</f>
        <v/>
      </c>
      <c r="F24" s="41">
        <f>IFERROR(INDEX($O$8:$O$207,MATCH(LARGE($R$8:$R$207,ROWS($A$8:A24)),$R$8:$R$207,0)),"")</f>
        <v/>
      </c>
      <c r="G24" s="39">
        <f>IFERROR(INDEX($P$8:$P$207,MATCH(LARGE($R$8:$R$207,ROWS($A$8:A24)),$R$8:$R$207,0)),"")</f>
        <v/>
      </c>
      <c r="H24" s="38">
        <f>IFERROR(INDEX($Q$8:$Q$207,MATCH(LARGE($R$8:$R$207,ROWS($A$8:A24)),$R$8:$R$207,0)),"")</f>
        <v/>
      </c>
      <c r="J24">
        <f>IF(Trabajadores!B21="","",Trabajadores!B21)</f>
        <v/>
      </c>
      <c r="K24">
        <f>IF(J24="","",COUNTIFS(Detalle_Pagos!$E$5:$E$2004,J24,Detalle_Pagos!$J$5:$J$2004,"No"))</f>
        <v/>
      </c>
      <c r="L24" s="43">
        <f>IF(J24="","",SUMIFS(Detalle_Pagos!$I$5:$I$2004,Detalle_Pagos!$E$5:$E$2004,J24,Detalle_Pagos!$J$5:$J$2004,"No"))</f>
        <v/>
      </c>
      <c r="M24" s="43">
        <f>IF(J24="","",K24*IFERROR(INDEX(Trabajadores!$D$5:$D$204,MATCH(J24,Trabajadores!$B$5:$B$204,0)),0))</f>
        <v/>
      </c>
      <c r="N24" s="43">
        <f>IF(J24="","",L24+M24)</f>
        <v/>
      </c>
      <c r="O24" s="44">
        <f>IF(J24="","",IF(K24=0,"",LOOKUP(2,1/((Detalle_Pagos!$E$5:$E$2004=J24)*(Detalle_Pagos!$J$5:$J$2004="No")),Detalle_Pagos!$B$5:$B$2004)))</f>
        <v/>
      </c>
      <c r="P24" s="43">
        <f>IF(J24="","",SUMIFS(Detalle_Pagos!$I$5:$I$2004,Detalle_Pagos!$E$5:$E$2004,J24,Detalle_Pagos!$J$5:$J$2004,"Si"))</f>
        <v/>
      </c>
      <c r="Q24">
        <f>IF(J24="","",COUNTIFS(Detalle_Pagos!$E$5:$E$2004,J24,Detalle_Pagos!$J$5:$J$2004,"Si"))</f>
        <v/>
      </c>
      <c r="R24">
        <f>IF(J24="","",N24+K24/100000+(100000-ROW())/1000000000)</f>
        <v/>
      </c>
    </row>
    <row r="25">
      <c r="A25" s="36">
        <f>IFERROR(INDEX($J$8:$J$207,MATCH(LARGE($R$8:$R$207,ROWS($A$8:A25)),$R$8:$R$207,0)),"")</f>
        <v/>
      </c>
      <c r="B25" s="36">
        <f>IFERROR(INDEX($K$8:$K$207,MATCH(LARGE($R$8:$R$207,ROWS($A$8:A25)),$R$8:$R$207,0)),"")</f>
        <v/>
      </c>
      <c r="C25" s="37">
        <f>IFERROR(INDEX($L$8:$L$207,MATCH(LARGE($R$8:$R$207,ROWS($A$8:A25)),$R$8:$R$207,0)),"")</f>
        <v/>
      </c>
      <c r="D25" s="37">
        <f>IFERROR(INDEX($M$8:$M$207,MATCH(LARGE($R$8:$R$207,ROWS($A$8:A25)),$R$8:$R$207,0)),"")</f>
        <v/>
      </c>
      <c r="E25" s="37">
        <f>IFERROR(INDEX($N$8:$N$207,MATCH(LARGE($R$8:$R$207,ROWS($A$8:A25)),$R$8:$R$207,0)),"")</f>
        <v/>
      </c>
      <c r="F25" s="40">
        <f>IFERROR(INDEX($O$8:$O$207,MATCH(LARGE($R$8:$R$207,ROWS($A$8:A25)),$R$8:$R$207,0)),"")</f>
        <v/>
      </c>
      <c r="G25" s="37">
        <f>IFERROR(INDEX($P$8:$P$207,MATCH(LARGE($R$8:$R$207,ROWS($A$8:A25)),$R$8:$R$207,0)),"")</f>
        <v/>
      </c>
      <c r="H25" s="36">
        <f>IFERROR(INDEX($Q$8:$Q$207,MATCH(LARGE($R$8:$R$207,ROWS($A$8:A25)),$R$8:$R$207,0)),"")</f>
        <v/>
      </c>
      <c r="J25">
        <f>IF(Trabajadores!B22="","",Trabajadores!B22)</f>
        <v/>
      </c>
      <c r="K25">
        <f>IF(J25="","",COUNTIFS(Detalle_Pagos!$E$5:$E$2004,J25,Detalle_Pagos!$J$5:$J$2004,"No"))</f>
        <v/>
      </c>
      <c r="L25" s="43">
        <f>IF(J25="","",SUMIFS(Detalle_Pagos!$I$5:$I$2004,Detalle_Pagos!$E$5:$E$2004,J25,Detalle_Pagos!$J$5:$J$2004,"No"))</f>
        <v/>
      </c>
      <c r="M25" s="43">
        <f>IF(J25="","",K25*IFERROR(INDEX(Trabajadores!$D$5:$D$204,MATCH(J25,Trabajadores!$B$5:$B$204,0)),0))</f>
        <v/>
      </c>
      <c r="N25" s="43">
        <f>IF(J25="","",L25+M25)</f>
        <v/>
      </c>
      <c r="O25" s="44">
        <f>IF(J25="","",IF(K25=0,"",LOOKUP(2,1/((Detalle_Pagos!$E$5:$E$2004=J25)*(Detalle_Pagos!$J$5:$J$2004="No")),Detalle_Pagos!$B$5:$B$2004)))</f>
        <v/>
      </c>
      <c r="P25" s="43">
        <f>IF(J25="","",SUMIFS(Detalle_Pagos!$I$5:$I$2004,Detalle_Pagos!$E$5:$E$2004,J25,Detalle_Pagos!$J$5:$J$2004,"Si"))</f>
        <v/>
      </c>
      <c r="Q25">
        <f>IF(J25="","",COUNTIFS(Detalle_Pagos!$E$5:$E$2004,J25,Detalle_Pagos!$J$5:$J$2004,"Si"))</f>
        <v/>
      </c>
      <c r="R25">
        <f>IF(J25="","",N25+K25/100000+(100000-ROW())/1000000000)</f>
        <v/>
      </c>
    </row>
    <row r="26">
      <c r="A26" s="38">
        <f>IFERROR(INDEX($J$8:$J$207,MATCH(LARGE($R$8:$R$207,ROWS($A$8:A26)),$R$8:$R$207,0)),"")</f>
        <v/>
      </c>
      <c r="B26" s="38">
        <f>IFERROR(INDEX($K$8:$K$207,MATCH(LARGE($R$8:$R$207,ROWS($A$8:A26)),$R$8:$R$207,0)),"")</f>
        <v/>
      </c>
      <c r="C26" s="39">
        <f>IFERROR(INDEX($L$8:$L$207,MATCH(LARGE($R$8:$R$207,ROWS($A$8:A26)),$R$8:$R$207,0)),"")</f>
        <v/>
      </c>
      <c r="D26" s="39">
        <f>IFERROR(INDEX($M$8:$M$207,MATCH(LARGE($R$8:$R$207,ROWS($A$8:A26)),$R$8:$R$207,0)),"")</f>
        <v/>
      </c>
      <c r="E26" s="39">
        <f>IFERROR(INDEX($N$8:$N$207,MATCH(LARGE($R$8:$R$207,ROWS($A$8:A26)),$R$8:$R$207,0)),"")</f>
        <v/>
      </c>
      <c r="F26" s="41">
        <f>IFERROR(INDEX($O$8:$O$207,MATCH(LARGE($R$8:$R$207,ROWS($A$8:A26)),$R$8:$R$207,0)),"")</f>
        <v/>
      </c>
      <c r="G26" s="39">
        <f>IFERROR(INDEX($P$8:$P$207,MATCH(LARGE($R$8:$R$207,ROWS($A$8:A26)),$R$8:$R$207,0)),"")</f>
        <v/>
      </c>
      <c r="H26" s="38">
        <f>IFERROR(INDEX($Q$8:$Q$207,MATCH(LARGE($R$8:$R$207,ROWS($A$8:A26)),$R$8:$R$207,0)),"")</f>
        <v/>
      </c>
      <c r="J26">
        <f>IF(Trabajadores!B23="","",Trabajadores!B23)</f>
        <v/>
      </c>
      <c r="K26">
        <f>IF(J26="","",COUNTIFS(Detalle_Pagos!$E$5:$E$2004,J26,Detalle_Pagos!$J$5:$J$2004,"No"))</f>
        <v/>
      </c>
      <c r="L26" s="43">
        <f>IF(J26="","",SUMIFS(Detalle_Pagos!$I$5:$I$2004,Detalle_Pagos!$E$5:$E$2004,J26,Detalle_Pagos!$J$5:$J$2004,"No"))</f>
        <v/>
      </c>
      <c r="M26" s="43">
        <f>IF(J26="","",K26*IFERROR(INDEX(Trabajadores!$D$5:$D$204,MATCH(J26,Trabajadores!$B$5:$B$204,0)),0))</f>
        <v/>
      </c>
      <c r="N26" s="43">
        <f>IF(J26="","",L26+M26)</f>
        <v/>
      </c>
      <c r="O26" s="44">
        <f>IF(J26="","",IF(K26=0,"",LOOKUP(2,1/((Detalle_Pagos!$E$5:$E$2004=J26)*(Detalle_Pagos!$J$5:$J$2004="No")),Detalle_Pagos!$B$5:$B$2004)))</f>
        <v/>
      </c>
      <c r="P26" s="43">
        <f>IF(J26="","",SUMIFS(Detalle_Pagos!$I$5:$I$2004,Detalle_Pagos!$E$5:$E$2004,J26,Detalle_Pagos!$J$5:$J$2004,"Si"))</f>
        <v/>
      </c>
      <c r="Q26">
        <f>IF(J26="","",COUNTIFS(Detalle_Pagos!$E$5:$E$2004,J26,Detalle_Pagos!$J$5:$J$2004,"Si"))</f>
        <v/>
      </c>
      <c r="R26">
        <f>IF(J26="","",N26+K26/100000+(100000-ROW())/1000000000)</f>
        <v/>
      </c>
    </row>
    <row r="27">
      <c r="A27" s="36">
        <f>IFERROR(INDEX($J$8:$J$207,MATCH(LARGE($R$8:$R$207,ROWS($A$8:A27)),$R$8:$R$207,0)),"")</f>
        <v/>
      </c>
      <c r="B27" s="36">
        <f>IFERROR(INDEX($K$8:$K$207,MATCH(LARGE($R$8:$R$207,ROWS($A$8:A27)),$R$8:$R$207,0)),"")</f>
        <v/>
      </c>
      <c r="C27" s="37">
        <f>IFERROR(INDEX($L$8:$L$207,MATCH(LARGE($R$8:$R$207,ROWS($A$8:A27)),$R$8:$R$207,0)),"")</f>
        <v/>
      </c>
      <c r="D27" s="37">
        <f>IFERROR(INDEX($M$8:$M$207,MATCH(LARGE($R$8:$R$207,ROWS($A$8:A27)),$R$8:$R$207,0)),"")</f>
        <v/>
      </c>
      <c r="E27" s="37">
        <f>IFERROR(INDEX($N$8:$N$207,MATCH(LARGE($R$8:$R$207,ROWS($A$8:A27)),$R$8:$R$207,0)),"")</f>
        <v/>
      </c>
      <c r="F27" s="40">
        <f>IFERROR(INDEX($O$8:$O$207,MATCH(LARGE($R$8:$R$207,ROWS($A$8:A27)),$R$8:$R$207,0)),"")</f>
        <v/>
      </c>
      <c r="G27" s="37">
        <f>IFERROR(INDEX($P$8:$P$207,MATCH(LARGE($R$8:$R$207,ROWS($A$8:A27)),$R$8:$R$207,0)),"")</f>
        <v/>
      </c>
      <c r="H27" s="36">
        <f>IFERROR(INDEX($Q$8:$Q$207,MATCH(LARGE($R$8:$R$207,ROWS($A$8:A27)),$R$8:$R$207,0)),"")</f>
        <v/>
      </c>
      <c r="J27">
        <f>IF(Trabajadores!B24="","",Trabajadores!B24)</f>
        <v/>
      </c>
      <c r="K27">
        <f>IF(J27="","",COUNTIFS(Detalle_Pagos!$E$5:$E$2004,J27,Detalle_Pagos!$J$5:$J$2004,"No"))</f>
        <v/>
      </c>
      <c r="L27" s="43">
        <f>IF(J27="","",SUMIFS(Detalle_Pagos!$I$5:$I$2004,Detalle_Pagos!$E$5:$E$2004,J27,Detalle_Pagos!$J$5:$J$2004,"No"))</f>
        <v/>
      </c>
      <c r="M27" s="43">
        <f>IF(J27="","",K27*IFERROR(INDEX(Trabajadores!$D$5:$D$204,MATCH(J27,Trabajadores!$B$5:$B$204,0)),0))</f>
        <v/>
      </c>
      <c r="N27" s="43">
        <f>IF(J27="","",L27+M27)</f>
        <v/>
      </c>
      <c r="O27" s="44">
        <f>IF(J27="","",IF(K27=0,"",LOOKUP(2,1/((Detalle_Pagos!$E$5:$E$2004=J27)*(Detalle_Pagos!$J$5:$J$2004="No")),Detalle_Pagos!$B$5:$B$2004)))</f>
        <v/>
      </c>
      <c r="P27" s="43">
        <f>IF(J27="","",SUMIFS(Detalle_Pagos!$I$5:$I$2004,Detalle_Pagos!$E$5:$E$2004,J27,Detalle_Pagos!$J$5:$J$2004,"Si"))</f>
        <v/>
      </c>
      <c r="Q27">
        <f>IF(J27="","",COUNTIFS(Detalle_Pagos!$E$5:$E$2004,J27,Detalle_Pagos!$J$5:$J$2004,"Si"))</f>
        <v/>
      </c>
      <c r="R27">
        <f>IF(J27="","",N27+K27/100000+(100000-ROW())/1000000000)</f>
        <v/>
      </c>
    </row>
    <row r="28">
      <c r="A28" s="38">
        <f>IFERROR(INDEX($J$8:$J$207,MATCH(LARGE($R$8:$R$207,ROWS($A$8:A28)),$R$8:$R$207,0)),"")</f>
        <v/>
      </c>
      <c r="B28" s="38">
        <f>IFERROR(INDEX($K$8:$K$207,MATCH(LARGE($R$8:$R$207,ROWS($A$8:A28)),$R$8:$R$207,0)),"")</f>
        <v/>
      </c>
      <c r="C28" s="39">
        <f>IFERROR(INDEX($L$8:$L$207,MATCH(LARGE($R$8:$R$207,ROWS($A$8:A28)),$R$8:$R$207,0)),"")</f>
        <v/>
      </c>
      <c r="D28" s="39">
        <f>IFERROR(INDEX($M$8:$M$207,MATCH(LARGE($R$8:$R$207,ROWS($A$8:A28)),$R$8:$R$207,0)),"")</f>
        <v/>
      </c>
      <c r="E28" s="39">
        <f>IFERROR(INDEX($N$8:$N$207,MATCH(LARGE($R$8:$R$207,ROWS($A$8:A28)),$R$8:$R$207,0)),"")</f>
        <v/>
      </c>
      <c r="F28" s="41">
        <f>IFERROR(INDEX($O$8:$O$207,MATCH(LARGE($R$8:$R$207,ROWS($A$8:A28)),$R$8:$R$207,0)),"")</f>
        <v/>
      </c>
      <c r="G28" s="39">
        <f>IFERROR(INDEX($P$8:$P$207,MATCH(LARGE($R$8:$R$207,ROWS($A$8:A28)),$R$8:$R$207,0)),"")</f>
        <v/>
      </c>
      <c r="H28" s="38">
        <f>IFERROR(INDEX($Q$8:$Q$207,MATCH(LARGE($R$8:$R$207,ROWS($A$8:A28)),$R$8:$R$207,0)),"")</f>
        <v/>
      </c>
      <c r="J28">
        <f>IF(Trabajadores!B25="","",Trabajadores!B25)</f>
        <v/>
      </c>
      <c r="K28">
        <f>IF(J28="","",COUNTIFS(Detalle_Pagos!$E$5:$E$2004,J28,Detalle_Pagos!$J$5:$J$2004,"No"))</f>
        <v/>
      </c>
      <c r="L28" s="43">
        <f>IF(J28="","",SUMIFS(Detalle_Pagos!$I$5:$I$2004,Detalle_Pagos!$E$5:$E$2004,J28,Detalle_Pagos!$J$5:$J$2004,"No"))</f>
        <v/>
      </c>
      <c r="M28" s="43">
        <f>IF(J28="","",K28*IFERROR(INDEX(Trabajadores!$D$5:$D$204,MATCH(J28,Trabajadores!$B$5:$B$204,0)),0))</f>
        <v/>
      </c>
      <c r="N28" s="43">
        <f>IF(J28="","",L28+M28)</f>
        <v/>
      </c>
      <c r="O28" s="44">
        <f>IF(J28="","",IF(K28=0,"",LOOKUP(2,1/((Detalle_Pagos!$E$5:$E$2004=J28)*(Detalle_Pagos!$J$5:$J$2004="No")),Detalle_Pagos!$B$5:$B$2004)))</f>
        <v/>
      </c>
      <c r="P28" s="43">
        <f>IF(J28="","",SUMIFS(Detalle_Pagos!$I$5:$I$2004,Detalle_Pagos!$E$5:$E$2004,J28,Detalle_Pagos!$J$5:$J$2004,"Si"))</f>
        <v/>
      </c>
      <c r="Q28">
        <f>IF(J28="","",COUNTIFS(Detalle_Pagos!$E$5:$E$2004,J28,Detalle_Pagos!$J$5:$J$2004,"Si"))</f>
        <v/>
      </c>
      <c r="R28">
        <f>IF(J28="","",N28+K28/100000+(100000-ROW())/1000000000)</f>
        <v/>
      </c>
    </row>
    <row r="29">
      <c r="A29" s="36">
        <f>IFERROR(INDEX($J$8:$J$207,MATCH(LARGE($R$8:$R$207,ROWS($A$8:A29)),$R$8:$R$207,0)),"")</f>
        <v/>
      </c>
      <c r="B29" s="36">
        <f>IFERROR(INDEX($K$8:$K$207,MATCH(LARGE($R$8:$R$207,ROWS($A$8:A29)),$R$8:$R$207,0)),"")</f>
        <v/>
      </c>
      <c r="C29" s="37">
        <f>IFERROR(INDEX($L$8:$L$207,MATCH(LARGE($R$8:$R$207,ROWS($A$8:A29)),$R$8:$R$207,0)),"")</f>
        <v/>
      </c>
      <c r="D29" s="37">
        <f>IFERROR(INDEX($M$8:$M$207,MATCH(LARGE($R$8:$R$207,ROWS($A$8:A29)),$R$8:$R$207,0)),"")</f>
        <v/>
      </c>
      <c r="E29" s="37">
        <f>IFERROR(INDEX($N$8:$N$207,MATCH(LARGE($R$8:$R$207,ROWS($A$8:A29)),$R$8:$R$207,0)),"")</f>
        <v/>
      </c>
      <c r="F29" s="40">
        <f>IFERROR(INDEX($O$8:$O$207,MATCH(LARGE($R$8:$R$207,ROWS($A$8:A29)),$R$8:$R$207,0)),"")</f>
        <v/>
      </c>
      <c r="G29" s="37">
        <f>IFERROR(INDEX($P$8:$P$207,MATCH(LARGE($R$8:$R$207,ROWS($A$8:A29)),$R$8:$R$207,0)),"")</f>
        <v/>
      </c>
      <c r="H29" s="36">
        <f>IFERROR(INDEX($Q$8:$Q$207,MATCH(LARGE($R$8:$R$207,ROWS($A$8:A29)),$R$8:$R$207,0)),"")</f>
        <v/>
      </c>
      <c r="J29">
        <f>IF(Trabajadores!B26="","",Trabajadores!B26)</f>
        <v/>
      </c>
      <c r="K29">
        <f>IF(J29="","",COUNTIFS(Detalle_Pagos!$E$5:$E$2004,J29,Detalle_Pagos!$J$5:$J$2004,"No"))</f>
        <v/>
      </c>
      <c r="L29" s="43">
        <f>IF(J29="","",SUMIFS(Detalle_Pagos!$I$5:$I$2004,Detalle_Pagos!$E$5:$E$2004,J29,Detalle_Pagos!$J$5:$J$2004,"No"))</f>
        <v/>
      </c>
      <c r="M29" s="43">
        <f>IF(J29="","",K29*IFERROR(INDEX(Trabajadores!$D$5:$D$204,MATCH(J29,Trabajadores!$B$5:$B$204,0)),0))</f>
        <v/>
      </c>
      <c r="N29" s="43">
        <f>IF(J29="","",L29+M29)</f>
        <v/>
      </c>
      <c r="O29" s="44">
        <f>IF(J29="","",IF(K29=0,"",LOOKUP(2,1/((Detalle_Pagos!$E$5:$E$2004=J29)*(Detalle_Pagos!$J$5:$J$2004="No")),Detalle_Pagos!$B$5:$B$2004)))</f>
        <v/>
      </c>
      <c r="P29" s="43">
        <f>IF(J29="","",SUMIFS(Detalle_Pagos!$I$5:$I$2004,Detalle_Pagos!$E$5:$E$2004,J29,Detalle_Pagos!$J$5:$J$2004,"Si"))</f>
        <v/>
      </c>
      <c r="Q29">
        <f>IF(J29="","",COUNTIFS(Detalle_Pagos!$E$5:$E$2004,J29,Detalle_Pagos!$J$5:$J$2004,"Si"))</f>
        <v/>
      </c>
      <c r="R29">
        <f>IF(J29="","",N29+K29/100000+(100000-ROW())/1000000000)</f>
        <v/>
      </c>
    </row>
    <row r="30">
      <c r="A30" s="38">
        <f>IFERROR(INDEX($J$8:$J$207,MATCH(LARGE($R$8:$R$207,ROWS($A$8:A30)),$R$8:$R$207,0)),"")</f>
        <v/>
      </c>
      <c r="B30" s="38">
        <f>IFERROR(INDEX($K$8:$K$207,MATCH(LARGE($R$8:$R$207,ROWS($A$8:A30)),$R$8:$R$207,0)),"")</f>
        <v/>
      </c>
      <c r="C30" s="39">
        <f>IFERROR(INDEX($L$8:$L$207,MATCH(LARGE($R$8:$R$207,ROWS($A$8:A30)),$R$8:$R$207,0)),"")</f>
        <v/>
      </c>
      <c r="D30" s="39">
        <f>IFERROR(INDEX($M$8:$M$207,MATCH(LARGE($R$8:$R$207,ROWS($A$8:A30)),$R$8:$R$207,0)),"")</f>
        <v/>
      </c>
      <c r="E30" s="39">
        <f>IFERROR(INDEX($N$8:$N$207,MATCH(LARGE($R$8:$R$207,ROWS($A$8:A30)),$R$8:$R$207,0)),"")</f>
        <v/>
      </c>
      <c r="F30" s="41">
        <f>IFERROR(INDEX($O$8:$O$207,MATCH(LARGE($R$8:$R$207,ROWS($A$8:A30)),$R$8:$R$207,0)),"")</f>
        <v/>
      </c>
      <c r="G30" s="39">
        <f>IFERROR(INDEX($P$8:$P$207,MATCH(LARGE($R$8:$R$207,ROWS($A$8:A30)),$R$8:$R$207,0)),"")</f>
        <v/>
      </c>
      <c r="H30" s="38">
        <f>IFERROR(INDEX($Q$8:$Q$207,MATCH(LARGE($R$8:$R$207,ROWS($A$8:A30)),$R$8:$R$207,0)),"")</f>
        <v/>
      </c>
      <c r="J30">
        <f>IF(Trabajadores!B27="","",Trabajadores!B27)</f>
        <v/>
      </c>
      <c r="K30">
        <f>IF(J30="","",COUNTIFS(Detalle_Pagos!$E$5:$E$2004,J30,Detalle_Pagos!$J$5:$J$2004,"No"))</f>
        <v/>
      </c>
      <c r="L30" s="43">
        <f>IF(J30="","",SUMIFS(Detalle_Pagos!$I$5:$I$2004,Detalle_Pagos!$E$5:$E$2004,J30,Detalle_Pagos!$J$5:$J$2004,"No"))</f>
        <v/>
      </c>
      <c r="M30" s="43">
        <f>IF(J30="","",K30*IFERROR(INDEX(Trabajadores!$D$5:$D$204,MATCH(J30,Trabajadores!$B$5:$B$204,0)),0))</f>
        <v/>
      </c>
      <c r="N30" s="43">
        <f>IF(J30="","",L30+M30)</f>
        <v/>
      </c>
      <c r="O30" s="44">
        <f>IF(J30="","",IF(K30=0,"",LOOKUP(2,1/((Detalle_Pagos!$E$5:$E$2004=J30)*(Detalle_Pagos!$J$5:$J$2004="No")),Detalle_Pagos!$B$5:$B$2004)))</f>
        <v/>
      </c>
      <c r="P30" s="43">
        <f>IF(J30="","",SUMIFS(Detalle_Pagos!$I$5:$I$2004,Detalle_Pagos!$E$5:$E$2004,J30,Detalle_Pagos!$J$5:$J$2004,"Si"))</f>
        <v/>
      </c>
      <c r="Q30">
        <f>IF(J30="","",COUNTIFS(Detalle_Pagos!$E$5:$E$2004,J30,Detalle_Pagos!$J$5:$J$2004,"Si"))</f>
        <v/>
      </c>
      <c r="R30">
        <f>IF(J30="","",N30+K30/100000+(100000-ROW())/1000000000)</f>
        <v/>
      </c>
    </row>
    <row r="31">
      <c r="A31" s="36">
        <f>IFERROR(INDEX($J$8:$J$207,MATCH(LARGE($R$8:$R$207,ROWS($A$8:A31)),$R$8:$R$207,0)),"")</f>
        <v/>
      </c>
      <c r="B31" s="36">
        <f>IFERROR(INDEX($K$8:$K$207,MATCH(LARGE($R$8:$R$207,ROWS($A$8:A31)),$R$8:$R$207,0)),"")</f>
        <v/>
      </c>
      <c r="C31" s="37">
        <f>IFERROR(INDEX($L$8:$L$207,MATCH(LARGE($R$8:$R$207,ROWS($A$8:A31)),$R$8:$R$207,0)),"")</f>
        <v/>
      </c>
      <c r="D31" s="37">
        <f>IFERROR(INDEX($M$8:$M$207,MATCH(LARGE($R$8:$R$207,ROWS($A$8:A31)),$R$8:$R$207,0)),"")</f>
        <v/>
      </c>
      <c r="E31" s="37">
        <f>IFERROR(INDEX($N$8:$N$207,MATCH(LARGE($R$8:$R$207,ROWS($A$8:A31)),$R$8:$R$207,0)),"")</f>
        <v/>
      </c>
      <c r="F31" s="40">
        <f>IFERROR(INDEX($O$8:$O$207,MATCH(LARGE($R$8:$R$207,ROWS($A$8:A31)),$R$8:$R$207,0)),"")</f>
        <v/>
      </c>
      <c r="G31" s="37">
        <f>IFERROR(INDEX($P$8:$P$207,MATCH(LARGE($R$8:$R$207,ROWS($A$8:A31)),$R$8:$R$207,0)),"")</f>
        <v/>
      </c>
      <c r="H31" s="36">
        <f>IFERROR(INDEX($Q$8:$Q$207,MATCH(LARGE($R$8:$R$207,ROWS($A$8:A31)),$R$8:$R$207,0)),"")</f>
        <v/>
      </c>
      <c r="J31">
        <f>IF(Trabajadores!B28="","",Trabajadores!B28)</f>
        <v/>
      </c>
      <c r="K31">
        <f>IF(J31="","",COUNTIFS(Detalle_Pagos!$E$5:$E$2004,J31,Detalle_Pagos!$J$5:$J$2004,"No"))</f>
        <v/>
      </c>
      <c r="L31" s="43">
        <f>IF(J31="","",SUMIFS(Detalle_Pagos!$I$5:$I$2004,Detalle_Pagos!$E$5:$E$2004,J31,Detalle_Pagos!$J$5:$J$2004,"No"))</f>
        <v/>
      </c>
      <c r="M31" s="43">
        <f>IF(J31="","",K31*IFERROR(INDEX(Trabajadores!$D$5:$D$204,MATCH(J31,Trabajadores!$B$5:$B$204,0)),0))</f>
        <v/>
      </c>
      <c r="N31" s="43">
        <f>IF(J31="","",L31+M31)</f>
        <v/>
      </c>
      <c r="O31" s="44">
        <f>IF(J31="","",IF(K31=0,"",LOOKUP(2,1/((Detalle_Pagos!$E$5:$E$2004=J31)*(Detalle_Pagos!$J$5:$J$2004="No")),Detalle_Pagos!$B$5:$B$2004)))</f>
        <v/>
      </c>
      <c r="P31" s="43">
        <f>IF(J31="","",SUMIFS(Detalle_Pagos!$I$5:$I$2004,Detalle_Pagos!$E$5:$E$2004,J31,Detalle_Pagos!$J$5:$J$2004,"Si"))</f>
        <v/>
      </c>
      <c r="Q31">
        <f>IF(J31="","",COUNTIFS(Detalle_Pagos!$E$5:$E$2004,J31,Detalle_Pagos!$J$5:$J$2004,"Si"))</f>
        <v/>
      </c>
      <c r="R31">
        <f>IF(J31="","",N31+K31/100000+(100000-ROW())/1000000000)</f>
        <v/>
      </c>
    </row>
    <row r="32">
      <c r="A32" s="38">
        <f>IFERROR(INDEX($J$8:$J$207,MATCH(LARGE($R$8:$R$207,ROWS($A$8:A32)),$R$8:$R$207,0)),"")</f>
        <v/>
      </c>
      <c r="B32" s="38">
        <f>IFERROR(INDEX($K$8:$K$207,MATCH(LARGE($R$8:$R$207,ROWS($A$8:A32)),$R$8:$R$207,0)),"")</f>
        <v/>
      </c>
      <c r="C32" s="39">
        <f>IFERROR(INDEX($L$8:$L$207,MATCH(LARGE($R$8:$R$207,ROWS($A$8:A32)),$R$8:$R$207,0)),"")</f>
        <v/>
      </c>
      <c r="D32" s="39">
        <f>IFERROR(INDEX($M$8:$M$207,MATCH(LARGE($R$8:$R$207,ROWS($A$8:A32)),$R$8:$R$207,0)),"")</f>
        <v/>
      </c>
      <c r="E32" s="39">
        <f>IFERROR(INDEX($N$8:$N$207,MATCH(LARGE($R$8:$R$207,ROWS($A$8:A32)),$R$8:$R$207,0)),"")</f>
        <v/>
      </c>
      <c r="F32" s="41">
        <f>IFERROR(INDEX($O$8:$O$207,MATCH(LARGE($R$8:$R$207,ROWS($A$8:A32)),$R$8:$R$207,0)),"")</f>
        <v/>
      </c>
      <c r="G32" s="39">
        <f>IFERROR(INDEX($P$8:$P$207,MATCH(LARGE($R$8:$R$207,ROWS($A$8:A32)),$R$8:$R$207,0)),"")</f>
        <v/>
      </c>
      <c r="H32" s="38">
        <f>IFERROR(INDEX($Q$8:$Q$207,MATCH(LARGE($R$8:$R$207,ROWS($A$8:A32)),$R$8:$R$207,0)),"")</f>
        <v/>
      </c>
      <c r="J32">
        <f>IF(Trabajadores!B29="","",Trabajadores!B29)</f>
        <v/>
      </c>
      <c r="K32">
        <f>IF(J32="","",COUNTIFS(Detalle_Pagos!$E$5:$E$2004,J32,Detalle_Pagos!$J$5:$J$2004,"No"))</f>
        <v/>
      </c>
      <c r="L32" s="43">
        <f>IF(J32="","",SUMIFS(Detalle_Pagos!$I$5:$I$2004,Detalle_Pagos!$E$5:$E$2004,J32,Detalle_Pagos!$J$5:$J$2004,"No"))</f>
        <v/>
      </c>
      <c r="M32" s="43">
        <f>IF(J32="","",K32*IFERROR(INDEX(Trabajadores!$D$5:$D$204,MATCH(J32,Trabajadores!$B$5:$B$204,0)),0))</f>
        <v/>
      </c>
      <c r="N32" s="43">
        <f>IF(J32="","",L32+M32)</f>
        <v/>
      </c>
      <c r="O32" s="44">
        <f>IF(J32="","",IF(K32=0,"",LOOKUP(2,1/((Detalle_Pagos!$E$5:$E$2004=J32)*(Detalle_Pagos!$J$5:$J$2004="No")),Detalle_Pagos!$B$5:$B$2004)))</f>
        <v/>
      </c>
      <c r="P32" s="43">
        <f>IF(J32="","",SUMIFS(Detalle_Pagos!$I$5:$I$2004,Detalle_Pagos!$E$5:$E$2004,J32,Detalle_Pagos!$J$5:$J$2004,"Si"))</f>
        <v/>
      </c>
      <c r="Q32">
        <f>IF(J32="","",COUNTIFS(Detalle_Pagos!$E$5:$E$2004,J32,Detalle_Pagos!$J$5:$J$2004,"Si"))</f>
        <v/>
      </c>
      <c r="R32">
        <f>IF(J32="","",N32+K32/100000+(100000-ROW())/1000000000)</f>
        <v/>
      </c>
    </row>
    <row r="33">
      <c r="A33" s="36">
        <f>IFERROR(INDEX($J$8:$J$207,MATCH(LARGE($R$8:$R$207,ROWS($A$8:A33)),$R$8:$R$207,0)),"")</f>
        <v/>
      </c>
      <c r="B33" s="36">
        <f>IFERROR(INDEX($K$8:$K$207,MATCH(LARGE($R$8:$R$207,ROWS($A$8:A33)),$R$8:$R$207,0)),"")</f>
        <v/>
      </c>
      <c r="C33" s="37">
        <f>IFERROR(INDEX($L$8:$L$207,MATCH(LARGE($R$8:$R$207,ROWS($A$8:A33)),$R$8:$R$207,0)),"")</f>
        <v/>
      </c>
      <c r="D33" s="37">
        <f>IFERROR(INDEX($M$8:$M$207,MATCH(LARGE($R$8:$R$207,ROWS($A$8:A33)),$R$8:$R$207,0)),"")</f>
        <v/>
      </c>
      <c r="E33" s="37">
        <f>IFERROR(INDEX($N$8:$N$207,MATCH(LARGE($R$8:$R$207,ROWS($A$8:A33)),$R$8:$R$207,0)),"")</f>
        <v/>
      </c>
      <c r="F33" s="40">
        <f>IFERROR(INDEX($O$8:$O$207,MATCH(LARGE($R$8:$R$207,ROWS($A$8:A33)),$R$8:$R$207,0)),"")</f>
        <v/>
      </c>
      <c r="G33" s="37">
        <f>IFERROR(INDEX($P$8:$P$207,MATCH(LARGE($R$8:$R$207,ROWS($A$8:A33)),$R$8:$R$207,0)),"")</f>
        <v/>
      </c>
      <c r="H33" s="36">
        <f>IFERROR(INDEX($Q$8:$Q$207,MATCH(LARGE($R$8:$R$207,ROWS($A$8:A33)),$R$8:$R$207,0)),"")</f>
        <v/>
      </c>
      <c r="J33">
        <f>IF(Trabajadores!B30="","",Trabajadores!B30)</f>
        <v/>
      </c>
      <c r="K33">
        <f>IF(J33="","",COUNTIFS(Detalle_Pagos!$E$5:$E$2004,J33,Detalle_Pagos!$J$5:$J$2004,"No"))</f>
        <v/>
      </c>
      <c r="L33" s="43">
        <f>IF(J33="","",SUMIFS(Detalle_Pagos!$I$5:$I$2004,Detalle_Pagos!$E$5:$E$2004,J33,Detalle_Pagos!$J$5:$J$2004,"No"))</f>
        <v/>
      </c>
      <c r="M33" s="43">
        <f>IF(J33="","",K33*IFERROR(INDEX(Trabajadores!$D$5:$D$204,MATCH(J33,Trabajadores!$B$5:$B$204,0)),0))</f>
        <v/>
      </c>
      <c r="N33" s="43">
        <f>IF(J33="","",L33+M33)</f>
        <v/>
      </c>
      <c r="O33" s="44">
        <f>IF(J33="","",IF(K33=0,"",LOOKUP(2,1/((Detalle_Pagos!$E$5:$E$2004=J33)*(Detalle_Pagos!$J$5:$J$2004="No")),Detalle_Pagos!$B$5:$B$2004)))</f>
        <v/>
      </c>
      <c r="P33" s="43">
        <f>IF(J33="","",SUMIFS(Detalle_Pagos!$I$5:$I$2004,Detalle_Pagos!$E$5:$E$2004,J33,Detalle_Pagos!$J$5:$J$2004,"Si"))</f>
        <v/>
      </c>
      <c r="Q33">
        <f>IF(J33="","",COUNTIFS(Detalle_Pagos!$E$5:$E$2004,J33,Detalle_Pagos!$J$5:$J$2004,"Si"))</f>
        <v/>
      </c>
      <c r="R33">
        <f>IF(J33="","",N33+K33/100000+(100000-ROW())/1000000000)</f>
        <v/>
      </c>
    </row>
    <row r="34">
      <c r="A34" s="38">
        <f>IFERROR(INDEX($J$8:$J$207,MATCH(LARGE($R$8:$R$207,ROWS($A$8:A34)),$R$8:$R$207,0)),"")</f>
        <v/>
      </c>
      <c r="B34" s="38">
        <f>IFERROR(INDEX($K$8:$K$207,MATCH(LARGE($R$8:$R$207,ROWS($A$8:A34)),$R$8:$R$207,0)),"")</f>
        <v/>
      </c>
      <c r="C34" s="39">
        <f>IFERROR(INDEX($L$8:$L$207,MATCH(LARGE($R$8:$R$207,ROWS($A$8:A34)),$R$8:$R$207,0)),"")</f>
        <v/>
      </c>
      <c r="D34" s="39">
        <f>IFERROR(INDEX($M$8:$M$207,MATCH(LARGE($R$8:$R$207,ROWS($A$8:A34)),$R$8:$R$207,0)),"")</f>
        <v/>
      </c>
      <c r="E34" s="39">
        <f>IFERROR(INDEX($N$8:$N$207,MATCH(LARGE($R$8:$R$207,ROWS($A$8:A34)),$R$8:$R$207,0)),"")</f>
        <v/>
      </c>
      <c r="F34" s="41">
        <f>IFERROR(INDEX($O$8:$O$207,MATCH(LARGE($R$8:$R$207,ROWS($A$8:A34)),$R$8:$R$207,0)),"")</f>
        <v/>
      </c>
      <c r="G34" s="39">
        <f>IFERROR(INDEX($P$8:$P$207,MATCH(LARGE($R$8:$R$207,ROWS($A$8:A34)),$R$8:$R$207,0)),"")</f>
        <v/>
      </c>
      <c r="H34" s="38">
        <f>IFERROR(INDEX($Q$8:$Q$207,MATCH(LARGE($R$8:$R$207,ROWS($A$8:A34)),$R$8:$R$207,0)),"")</f>
        <v/>
      </c>
      <c r="J34">
        <f>IF(Trabajadores!B31="","",Trabajadores!B31)</f>
        <v/>
      </c>
      <c r="K34">
        <f>IF(J34="","",COUNTIFS(Detalle_Pagos!$E$5:$E$2004,J34,Detalle_Pagos!$J$5:$J$2004,"No"))</f>
        <v/>
      </c>
      <c r="L34" s="43">
        <f>IF(J34="","",SUMIFS(Detalle_Pagos!$I$5:$I$2004,Detalle_Pagos!$E$5:$E$2004,J34,Detalle_Pagos!$J$5:$J$2004,"No"))</f>
        <v/>
      </c>
      <c r="M34" s="43">
        <f>IF(J34="","",K34*IFERROR(INDEX(Trabajadores!$D$5:$D$204,MATCH(J34,Trabajadores!$B$5:$B$204,0)),0))</f>
        <v/>
      </c>
      <c r="N34" s="43">
        <f>IF(J34="","",L34+M34)</f>
        <v/>
      </c>
      <c r="O34" s="44">
        <f>IF(J34="","",IF(K34=0,"",LOOKUP(2,1/((Detalle_Pagos!$E$5:$E$2004=J34)*(Detalle_Pagos!$J$5:$J$2004="No")),Detalle_Pagos!$B$5:$B$2004)))</f>
        <v/>
      </c>
      <c r="P34" s="43">
        <f>IF(J34="","",SUMIFS(Detalle_Pagos!$I$5:$I$2004,Detalle_Pagos!$E$5:$E$2004,J34,Detalle_Pagos!$J$5:$J$2004,"Si"))</f>
        <v/>
      </c>
      <c r="Q34">
        <f>IF(J34="","",COUNTIFS(Detalle_Pagos!$E$5:$E$2004,J34,Detalle_Pagos!$J$5:$J$2004,"Si"))</f>
        <v/>
      </c>
      <c r="R34">
        <f>IF(J34="","",N34+K34/100000+(100000-ROW())/1000000000)</f>
        <v/>
      </c>
    </row>
    <row r="35">
      <c r="A35" s="36">
        <f>IFERROR(INDEX($J$8:$J$207,MATCH(LARGE($R$8:$R$207,ROWS($A$8:A35)),$R$8:$R$207,0)),"")</f>
        <v/>
      </c>
      <c r="B35" s="36">
        <f>IFERROR(INDEX($K$8:$K$207,MATCH(LARGE($R$8:$R$207,ROWS($A$8:A35)),$R$8:$R$207,0)),"")</f>
        <v/>
      </c>
      <c r="C35" s="37">
        <f>IFERROR(INDEX($L$8:$L$207,MATCH(LARGE($R$8:$R$207,ROWS($A$8:A35)),$R$8:$R$207,0)),"")</f>
        <v/>
      </c>
      <c r="D35" s="37">
        <f>IFERROR(INDEX($M$8:$M$207,MATCH(LARGE($R$8:$R$207,ROWS($A$8:A35)),$R$8:$R$207,0)),"")</f>
        <v/>
      </c>
      <c r="E35" s="37">
        <f>IFERROR(INDEX($N$8:$N$207,MATCH(LARGE($R$8:$R$207,ROWS($A$8:A35)),$R$8:$R$207,0)),"")</f>
        <v/>
      </c>
      <c r="F35" s="40">
        <f>IFERROR(INDEX($O$8:$O$207,MATCH(LARGE($R$8:$R$207,ROWS($A$8:A35)),$R$8:$R$207,0)),"")</f>
        <v/>
      </c>
      <c r="G35" s="37">
        <f>IFERROR(INDEX($P$8:$P$207,MATCH(LARGE($R$8:$R$207,ROWS($A$8:A35)),$R$8:$R$207,0)),"")</f>
        <v/>
      </c>
      <c r="H35" s="36">
        <f>IFERROR(INDEX($Q$8:$Q$207,MATCH(LARGE($R$8:$R$207,ROWS($A$8:A35)),$R$8:$R$207,0)),"")</f>
        <v/>
      </c>
      <c r="J35">
        <f>IF(Trabajadores!B32="","",Trabajadores!B32)</f>
        <v/>
      </c>
      <c r="K35">
        <f>IF(J35="","",COUNTIFS(Detalle_Pagos!$E$5:$E$2004,J35,Detalle_Pagos!$J$5:$J$2004,"No"))</f>
        <v/>
      </c>
      <c r="L35" s="43">
        <f>IF(J35="","",SUMIFS(Detalle_Pagos!$I$5:$I$2004,Detalle_Pagos!$E$5:$E$2004,J35,Detalle_Pagos!$J$5:$J$2004,"No"))</f>
        <v/>
      </c>
      <c r="M35" s="43">
        <f>IF(J35="","",K35*IFERROR(INDEX(Trabajadores!$D$5:$D$204,MATCH(J35,Trabajadores!$B$5:$B$204,0)),0))</f>
        <v/>
      </c>
      <c r="N35" s="43">
        <f>IF(J35="","",L35+M35)</f>
        <v/>
      </c>
      <c r="O35" s="44">
        <f>IF(J35="","",IF(K35=0,"",LOOKUP(2,1/((Detalle_Pagos!$E$5:$E$2004=J35)*(Detalle_Pagos!$J$5:$J$2004="No")),Detalle_Pagos!$B$5:$B$2004)))</f>
        <v/>
      </c>
      <c r="P35" s="43">
        <f>IF(J35="","",SUMIFS(Detalle_Pagos!$I$5:$I$2004,Detalle_Pagos!$E$5:$E$2004,J35,Detalle_Pagos!$J$5:$J$2004,"Si"))</f>
        <v/>
      </c>
      <c r="Q35">
        <f>IF(J35="","",COUNTIFS(Detalle_Pagos!$E$5:$E$2004,J35,Detalle_Pagos!$J$5:$J$2004,"Si"))</f>
        <v/>
      </c>
      <c r="R35">
        <f>IF(J35="","",N35+K35/100000+(100000-ROW())/1000000000)</f>
        <v/>
      </c>
    </row>
    <row r="36">
      <c r="A36" s="38">
        <f>IFERROR(INDEX($J$8:$J$207,MATCH(LARGE($R$8:$R$207,ROWS($A$8:A36)),$R$8:$R$207,0)),"")</f>
        <v/>
      </c>
      <c r="B36" s="38">
        <f>IFERROR(INDEX($K$8:$K$207,MATCH(LARGE($R$8:$R$207,ROWS($A$8:A36)),$R$8:$R$207,0)),"")</f>
        <v/>
      </c>
      <c r="C36" s="39">
        <f>IFERROR(INDEX($L$8:$L$207,MATCH(LARGE($R$8:$R$207,ROWS($A$8:A36)),$R$8:$R$207,0)),"")</f>
        <v/>
      </c>
      <c r="D36" s="39">
        <f>IFERROR(INDEX($M$8:$M$207,MATCH(LARGE($R$8:$R$207,ROWS($A$8:A36)),$R$8:$R$207,0)),"")</f>
        <v/>
      </c>
      <c r="E36" s="39">
        <f>IFERROR(INDEX($N$8:$N$207,MATCH(LARGE($R$8:$R$207,ROWS($A$8:A36)),$R$8:$R$207,0)),"")</f>
        <v/>
      </c>
      <c r="F36" s="41">
        <f>IFERROR(INDEX($O$8:$O$207,MATCH(LARGE($R$8:$R$207,ROWS($A$8:A36)),$R$8:$R$207,0)),"")</f>
        <v/>
      </c>
      <c r="G36" s="39">
        <f>IFERROR(INDEX($P$8:$P$207,MATCH(LARGE($R$8:$R$207,ROWS($A$8:A36)),$R$8:$R$207,0)),"")</f>
        <v/>
      </c>
      <c r="H36" s="38">
        <f>IFERROR(INDEX($Q$8:$Q$207,MATCH(LARGE($R$8:$R$207,ROWS($A$8:A36)),$R$8:$R$207,0)),"")</f>
        <v/>
      </c>
      <c r="J36">
        <f>IF(Trabajadores!B33="","",Trabajadores!B33)</f>
        <v/>
      </c>
      <c r="K36">
        <f>IF(J36="","",COUNTIFS(Detalle_Pagos!$E$5:$E$2004,J36,Detalle_Pagos!$J$5:$J$2004,"No"))</f>
        <v/>
      </c>
      <c r="L36" s="43">
        <f>IF(J36="","",SUMIFS(Detalle_Pagos!$I$5:$I$2004,Detalle_Pagos!$E$5:$E$2004,J36,Detalle_Pagos!$J$5:$J$2004,"No"))</f>
        <v/>
      </c>
      <c r="M36" s="43">
        <f>IF(J36="","",K36*IFERROR(INDEX(Trabajadores!$D$5:$D$204,MATCH(J36,Trabajadores!$B$5:$B$204,0)),0))</f>
        <v/>
      </c>
      <c r="N36" s="43">
        <f>IF(J36="","",L36+M36)</f>
        <v/>
      </c>
      <c r="O36" s="44">
        <f>IF(J36="","",IF(K36=0,"",LOOKUP(2,1/((Detalle_Pagos!$E$5:$E$2004=J36)*(Detalle_Pagos!$J$5:$J$2004="No")),Detalle_Pagos!$B$5:$B$2004)))</f>
        <v/>
      </c>
      <c r="P36" s="43">
        <f>IF(J36="","",SUMIFS(Detalle_Pagos!$I$5:$I$2004,Detalle_Pagos!$E$5:$E$2004,J36,Detalle_Pagos!$J$5:$J$2004,"Si"))</f>
        <v/>
      </c>
      <c r="Q36">
        <f>IF(J36="","",COUNTIFS(Detalle_Pagos!$E$5:$E$2004,J36,Detalle_Pagos!$J$5:$J$2004,"Si"))</f>
        <v/>
      </c>
      <c r="R36">
        <f>IF(J36="","",N36+K36/100000+(100000-ROW())/1000000000)</f>
        <v/>
      </c>
    </row>
    <row r="37">
      <c r="A37" s="36">
        <f>IFERROR(INDEX($J$8:$J$207,MATCH(LARGE($R$8:$R$207,ROWS($A$8:A37)),$R$8:$R$207,0)),"")</f>
        <v/>
      </c>
      <c r="B37" s="36">
        <f>IFERROR(INDEX($K$8:$K$207,MATCH(LARGE($R$8:$R$207,ROWS($A$8:A37)),$R$8:$R$207,0)),"")</f>
        <v/>
      </c>
      <c r="C37" s="37">
        <f>IFERROR(INDEX($L$8:$L$207,MATCH(LARGE($R$8:$R$207,ROWS($A$8:A37)),$R$8:$R$207,0)),"")</f>
        <v/>
      </c>
      <c r="D37" s="37">
        <f>IFERROR(INDEX($M$8:$M$207,MATCH(LARGE($R$8:$R$207,ROWS($A$8:A37)),$R$8:$R$207,0)),"")</f>
        <v/>
      </c>
      <c r="E37" s="37">
        <f>IFERROR(INDEX($N$8:$N$207,MATCH(LARGE($R$8:$R$207,ROWS($A$8:A37)),$R$8:$R$207,0)),"")</f>
        <v/>
      </c>
      <c r="F37" s="40">
        <f>IFERROR(INDEX($O$8:$O$207,MATCH(LARGE($R$8:$R$207,ROWS($A$8:A37)),$R$8:$R$207,0)),"")</f>
        <v/>
      </c>
      <c r="G37" s="37">
        <f>IFERROR(INDEX($P$8:$P$207,MATCH(LARGE($R$8:$R$207,ROWS($A$8:A37)),$R$8:$R$207,0)),"")</f>
        <v/>
      </c>
      <c r="H37" s="36">
        <f>IFERROR(INDEX($Q$8:$Q$207,MATCH(LARGE($R$8:$R$207,ROWS($A$8:A37)),$R$8:$R$207,0)),"")</f>
        <v/>
      </c>
      <c r="J37">
        <f>IF(Trabajadores!B34="","",Trabajadores!B34)</f>
        <v/>
      </c>
      <c r="K37">
        <f>IF(J37="","",COUNTIFS(Detalle_Pagos!$E$5:$E$2004,J37,Detalle_Pagos!$J$5:$J$2004,"No"))</f>
        <v/>
      </c>
      <c r="L37" s="43">
        <f>IF(J37="","",SUMIFS(Detalle_Pagos!$I$5:$I$2004,Detalle_Pagos!$E$5:$E$2004,J37,Detalle_Pagos!$J$5:$J$2004,"No"))</f>
        <v/>
      </c>
      <c r="M37" s="43">
        <f>IF(J37="","",K37*IFERROR(INDEX(Trabajadores!$D$5:$D$204,MATCH(J37,Trabajadores!$B$5:$B$204,0)),0))</f>
        <v/>
      </c>
      <c r="N37" s="43">
        <f>IF(J37="","",L37+M37)</f>
        <v/>
      </c>
      <c r="O37" s="44">
        <f>IF(J37="","",IF(K37=0,"",LOOKUP(2,1/((Detalle_Pagos!$E$5:$E$2004=J37)*(Detalle_Pagos!$J$5:$J$2004="No")),Detalle_Pagos!$B$5:$B$2004)))</f>
        <v/>
      </c>
      <c r="P37" s="43">
        <f>IF(J37="","",SUMIFS(Detalle_Pagos!$I$5:$I$2004,Detalle_Pagos!$E$5:$E$2004,J37,Detalle_Pagos!$J$5:$J$2004,"Si"))</f>
        <v/>
      </c>
      <c r="Q37">
        <f>IF(J37="","",COUNTIFS(Detalle_Pagos!$E$5:$E$2004,J37,Detalle_Pagos!$J$5:$J$2004,"Si"))</f>
        <v/>
      </c>
      <c r="R37">
        <f>IF(J37="","",N37+K37/100000+(100000-ROW())/1000000000)</f>
        <v/>
      </c>
    </row>
    <row r="38">
      <c r="A38" s="38">
        <f>IFERROR(INDEX($J$8:$J$207,MATCH(LARGE($R$8:$R$207,ROWS($A$8:A38)),$R$8:$R$207,0)),"")</f>
        <v/>
      </c>
      <c r="B38" s="38">
        <f>IFERROR(INDEX($K$8:$K$207,MATCH(LARGE($R$8:$R$207,ROWS($A$8:A38)),$R$8:$R$207,0)),"")</f>
        <v/>
      </c>
      <c r="C38" s="39">
        <f>IFERROR(INDEX($L$8:$L$207,MATCH(LARGE($R$8:$R$207,ROWS($A$8:A38)),$R$8:$R$207,0)),"")</f>
        <v/>
      </c>
      <c r="D38" s="39">
        <f>IFERROR(INDEX($M$8:$M$207,MATCH(LARGE($R$8:$R$207,ROWS($A$8:A38)),$R$8:$R$207,0)),"")</f>
        <v/>
      </c>
      <c r="E38" s="39">
        <f>IFERROR(INDEX($N$8:$N$207,MATCH(LARGE($R$8:$R$207,ROWS($A$8:A38)),$R$8:$R$207,0)),"")</f>
        <v/>
      </c>
      <c r="F38" s="41">
        <f>IFERROR(INDEX($O$8:$O$207,MATCH(LARGE($R$8:$R$207,ROWS($A$8:A38)),$R$8:$R$207,0)),"")</f>
        <v/>
      </c>
      <c r="G38" s="39">
        <f>IFERROR(INDEX($P$8:$P$207,MATCH(LARGE($R$8:$R$207,ROWS($A$8:A38)),$R$8:$R$207,0)),"")</f>
        <v/>
      </c>
      <c r="H38" s="38">
        <f>IFERROR(INDEX($Q$8:$Q$207,MATCH(LARGE($R$8:$R$207,ROWS($A$8:A38)),$R$8:$R$207,0)),"")</f>
        <v/>
      </c>
      <c r="J38">
        <f>IF(Trabajadores!B35="","",Trabajadores!B35)</f>
        <v/>
      </c>
      <c r="K38">
        <f>IF(J38="","",COUNTIFS(Detalle_Pagos!$E$5:$E$2004,J38,Detalle_Pagos!$J$5:$J$2004,"No"))</f>
        <v/>
      </c>
      <c r="L38" s="43">
        <f>IF(J38="","",SUMIFS(Detalle_Pagos!$I$5:$I$2004,Detalle_Pagos!$E$5:$E$2004,J38,Detalle_Pagos!$J$5:$J$2004,"No"))</f>
        <v/>
      </c>
      <c r="M38" s="43">
        <f>IF(J38="","",K38*IFERROR(INDEX(Trabajadores!$D$5:$D$204,MATCH(J38,Trabajadores!$B$5:$B$204,0)),0))</f>
        <v/>
      </c>
      <c r="N38" s="43">
        <f>IF(J38="","",L38+M38)</f>
        <v/>
      </c>
      <c r="O38" s="44">
        <f>IF(J38="","",IF(K38=0,"",LOOKUP(2,1/((Detalle_Pagos!$E$5:$E$2004=J38)*(Detalle_Pagos!$J$5:$J$2004="No")),Detalle_Pagos!$B$5:$B$2004)))</f>
        <v/>
      </c>
      <c r="P38" s="43">
        <f>IF(J38="","",SUMIFS(Detalle_Pagos!$I$5:$I$2004,Detalle_Pagos!$E$5:$E$2004,J38,Detalle_Pagos!$J$5:$J$2004,"Si"))</f>
        <v/>
      </c>
      <c r="Q38">
        <f>IF(J38="","",COUNTIFS(Detalle_Pagos!$E$5:$E$2004,J38,Detalle_Pagos!$J$5:$J$2004,"Si"))</f>
        <v/>
      </c>
      <c r="R38">
        <f>IF(J38="","",N38+K38/100000+(100000-ROW())/1000000000)</f>
        <v/>
      </c>
    </row>
    <row r="39">
      <c r="A39" s="36">
        <f>IFERROR(INDEX($J$8:$J$207,MATCH(LARGE($R$8:$R$207,ROWS($A$8:A39)),$R$8:$R$207,0)),"")</f>
        <v/>
      </c>
      <c r="B39" s="36">
        <f>IFERROR(INDEX($K$8:$K$207,MATCH(LARGE($R$8:$R$207,ROWS($A$8:A39)),$R$8:$R$207,0)),"")</f>
        <v/>
      </c>
      <c r="C39" s="37">
        <f>IFERROR(INDEX($L$8:$L$207,MATCH(LARGE($R$8:$R$207,ROWS($A$8:A39)),$R$8:$R$207,0)),"")</f>
        <v/>
      </c>
      <c r="D39" s="37">
        <f>IFERROR(INDEX($M$8:$M$207,MATCH(LARGE($R$8:$R$207,ROWS($A$8:A39)),$R$8:$R$207,0)),"")</f>
        <v/>
      </c>
      <c r="E39" s="37">
        <f>IFERROR(INDEX($N$8:$N$207,MATCH(LARGE($R$8:$R$207,ROWS($A$8:A39)),$R$8:$R$207,0)),"")</f>
        <v/>
      </c>
      <c r="F39" s="40">
        <f>IFERROR(INDEX($O$8:$O$207,MATCH(LARGE($R$8:$R$207,ROWS($A$8:A39)),$R$8:$R$207,0)),"")</f>
        <v/>
      </c>
      <c r="G39" s="37">
        <f>IFERROR(INDEX($P$8:$P$207,MATCH(LARGE($R$8:$R$207,ROWS($A$8:A39)),$R$8:$R$207,0)),"")</f>
        <v/>
      </c>
      <c r="H39" s="36">
        <f>IFERROR(INDEX($Q$8:$Q$207,MATCH(LARGE($R$8:$R$207,ROWS($A$8:A39)),$R$8:$R$207,0)),"")</f>
        <v/>
      </c>
      <c r="J39">
        <f>IF(Trabajadores!B36="","",Trabajadores!B36)</f>
        <v/>
      </c>
      <c r="K39">
        <f>IF(J39="","",COUNTIFS(Detalle_Pagos!$E$5:$E$2004,J39,Detalle_Pagos!$J$5:$J$2004,"No"))</f>
        <v/>
      </c>
      <c r="L39" s="43">
        <f>IF(J39="","",SUMIFS(Detalle_Pagos!$I$5:$I$2004,Detalle_Pagos!$E$5:$E$2004,J39,Detalle_Pagos!$J$5:$J$2004,"No"))</f>
        <v/>
      </c>
      <c r="M39" s="43">
        <f>IF(J39="","",K39*IFERROR(INDEX(Trabajadores!$D$5:$D$204,MATCH(J39,Trabajadores!$B$5:$B$204,0)),0))</f>
        <v/>
      </c>
      <c r="N39" s="43">
        <f>IF(J39="","",L39+M39)</f>
        <v/>
      </c>
      <c r="O39" s="44">
        <f>IF(J39="","",IF(K39=0,"",LOOKUP(2,1/((Detalle_Pagos!$E$5:$E$2004=J39)*(Detalle_Pagos!$J$5:$J$2004="No")),Detalle_Pagos!$B$5:$B$2004)))</f>
        <v/>
      </c>
      <c r="P39" s="43">
        <f>IF(J39="","",SUMIFS(Detalle_Pagos!$I$5:$I$2004,Detalle_Pagos!$E$5:$E$2004,J39,Detalle_Pagos!$J$5:$J$2004,"Si"))</f>
        <v/>
      </c>
      <c r="Q39">
        <f>IF(J39="","",COUNTIFS(Detalle_Pagos!$E$5:$E$2004,J39,Detalle_Pagos!$J$5:$J$2004,"Si"))</f>
        <v/>
      </c>
      <c r="R39">
        <f>IF(J39="","",N39+K39/100000+(100000-ROW())/1000000000)</f>
        <v/>
      </c>
    </row>
    <row r="40">
      <c r="A40" s="38">
        <f>IFERROR(INDEX($J$8:$J$207,MATCH(LARGE($R$8:$R$207,ROWS($A$8:A40)),$R$8:$R$207,0)),"")</f>
        <v/>
      </c>
      <c r="B40" s="38">
        <f>IFERROR(INDEX($K$8:$K$207,MATCH(LARGE($R$8:$R$207,ROWS($A$8:A40)),$R$8:$R$207,0)),"")</f>
        <v/>
      </c>
      <c r="C40" s="39">
        <f>IFERROR(INDEX($L$8:$L$207,MATCH(LARGE($R$8:$R$207,ROWS($A$8:A40)),$R$8:$R$207,0)),"")</f>
        <v/>
      </c>
      <c r="D40" s="39">
        <f>IFERROR(INDEX($M$8:$M$207,MATCH(LARGE($R$8:$R$207,ROWS($A$8:A40)),$R$8:$R$207,0)),"")</f>
        <v/>
      </c>
      <c r="E40" s="39">
        <f>IFERROR(INDEX($N$8:$N$207,MATCH(LARGE($R$8:$R$207,ROWS($A$8:A40)),$R$8:$R$207,0)),"")</f>
        <v/>
      </c>
      <c r="F40" s="41">
        <f>IFERROR(INDEX($O$8:$O$207,MATCH(LARGE($R$8:$R$207,ROWS($A$8:A40)),$R$8:$R$207,0)),"")</f>
        <v/>
      </c>
      <c r="G40" s="39">
        <f>IFERROR(INDEX($P$8:$P$207,MATCH(LARGE($R$8:$R$207,ROWS($A$8:A40)),$R$8:$R$207,0)),"")</f>
        <v/>
      </c>
      <c r="H40" s="38">
        <f>IFERROR(INDEX($Q$8:$Q$207,MATCH(LARGE($R$8:$R$207,ROWS($A$8:A40)),$R$8:$R$207,0)),"")</f>
        <v/>
      </c>
      <c r="J40">
        <f>IF(Trabajadores!B37="","",Trabajadores!B37)</f>
        <v/>
      </c>
      <c r="K40">
        <f>IF(J40="","",COUNTIFS(Detalle_Pagos!$E$5:$E$2004,J40,Detalle_Pagos!$J$5:$J$2004,"No"))</f>
        <v/>
      </c>
      <c r="L40" s="43">
        <f>IF(J40="","",SUMIFS(Detalle_Pagos!$I$5:$I$2004,Detalle_Pagos!$E$5:$E$2004,J40,Detalle_Pagos!$J$5:$J$2004,"No"))</f>
        <v/>
      </c>
      <c r="M40" s="43">
        <f>IF(J40="","",K40*IFERROR(INDEX(Trabajadores!$D$5:$D$204,MATCH(J40,Trabajadores!$B$5:$B$204,0)),0))</f>
        <v/>
      </c>
      <c r="N40" s="43">
        <f>IF(J40="","",L40+M40)</f>
        <v/>
      </c>
      <c r="O40" s="44">
        <f>IF(J40="","",IF(K40=0,"",LOOKUP(2,1/((Detalle_Pagos!$E$5:$E$2004=J40)*(Detalle_Pagos!$J$5:$J$2004="No")),Detalle_Pagos!$B$5:$B$2004)))</f>
        <v/>
      </c>
      <c r="P40" s="43">
        <f>IF(J40="","",SUMIFS(Detalle_Pagos!$I$5:$I$2004,Detalle_Pagos!$E$5:$E$2004,J40,Detalle_Pagos!$J$5:$J$2004,"Si"))</f>
        <v/>
      </c>
      <c r="Q40">
        <f>IF(J40="","",COUNTIFS(Detalle_Pagos!$E$5:$E$2004,J40,Detalle_Pagos!$J$5:$J$2004,"Si"))</f>
        <v/>
      </c>
      <c r="R40">
        <f>IF(J40="","",N40+K40/100000+(100000-ROW())/1000000000)</f>
        <v/>
      </c>
    </row>
    <row r="41">
      <c r="A41" s="36">
        <f>IFERROR(INDEX($J$8:$J$207,MATCH(LARGE($R$8:$R$207,ROWS($A$8:A41)),$R$8:$R$207,0)),"")</f>
        <v/>
      </c>
      <c r="B41" s="36">
        <f>IFERROR(INDEX($K$8:$K$207,MATCH(LARGE($R$8:$R$207,ROWS($A$8:A41)),$R$8:$R$207,0)),"")</f>
        <v/>
      </c>
      <c r="C41" s="37">
        <f>IFERROR(INDEX($L$8:$L$207,MATCH(LARGE($R$8:$R$207,ROWS($A$8:A41)),$R$8:$R$207,0)),"")</f>
        <v/>
      </c>
      <c r="D41" s="37">
        <f>IFERROR(INDEX($M$8:$M$207,MATCH(LARGE($R$8:$R$207,ROWS($A$8:A41)),$R$8:$R$207,0)),"")</f>
        <v/>
      </c>
      <c r="E41" s="37">
        <f>IFERROR(INDEX($N$8:$N$207,MATCH(LARGE($R$8:$R$207,ROWS($A$8:A41)),$R$8:$R$207,0)),"")</f>
        <v/>
      </c>
      <c r="F41" s="40">
        <f>IFERROR(INDEX($O$8:$O$207,MATCH(LARGE($R$8:$R$207,ROWS($A$8:A41)),$R$8:$R$207,0)),"")</f>
        <v/>
      </c>
      <c r="G41" s="37">
        <f>IFERROR(INDEX($P$8:$P$207,MATCH(LARGE($R$8:$R$207,ROWS($A$8:A41)),$R$8:$R$207,0)),"")</f>
        <v/>
      </c>
      <c r="H41" s="36">
        <f>IFERROR(INDEX($Q$8:$Q$207,MATCH(LARGE($R$8:$R$207,ROWS($A$8:A41)),$R$8:$R$207,0)),"")</f>
        <v/>
      </c>
      <c r="J41">
        <f>IF(Trabajadores!B38="","",Trabajadores!B38)</f>
        <v/>
      </c>
      <c r="K41">
        <f>IF(J41="","",COUNTIFS(Detalle_Pagos!$E$5:$E$2004,J41,Detalle_Pagos!$J$5:$J$2004,"No"))</f>
        <v/>
      </c>
      <c r="L41" s="43">
        <f>IF(J41="","",SUMIFS(Detalle_Pagos!$I$5:$I$2004,Detalle_Pagos!$E$5:$E$2004,J41,Detalle_Pagos!$J$5:$J$2004,"No"))</f>
        <v/>
      </c>
      <c r="M41" s="43">
        <f>IF(J41="","",K41*IFERROR(INDEX(Trabajadores!$D$5:$D$204,MATCH(J41,Trabajadores!$B$5:$B$204,0)),0))</f>
        <v/>
      </c>
      <c r="N41" s="43">
        <f>IF(J41="","",L41+M41)</f>
        <v/>
      </c>
      <c r="O41" s="44">
        <f>IF(J41="","",IF(K41=0,"",LOOKUP(2,1/((Detalle_Pagos!$E$5:$E$2004=J41)*(Detalle_Pagos!$J$5:$J$2004="No")),Detalle_Pagos!$B$5:$B$2004)))</f>
        <v/>
      </c>
      <c r="P41" s="43">
        <f>IF(J41="","",SUMIFS(Detalle_Pagos!$I$5:$I$2004,Detalle_Pagos!$E$5:$E$2004,J41,Detalle_Pagos!$J$5:$J$2004,"Si"))</f>
        <v/>
      </c>
      <c r="Q41">
        <f>IF(J41="","",COUNTIFS(Detalle_Pagos!$E$5:$E$2004,J41,Detalle_Pagos!$J$5:$J$2004,"Si"))</f>
        <v/>
      </c>
      <c r="R41">
        <f>IF(J41="","",N41+K41/100000+(100000-ROW())/1000000000)</f>
        <v/>
      </c>
    </row>
    <row r="42">
      <c r="A42" s="38">
        <f>IFERROR(INDEX($J$8:$J$207,MATCH(LARGE($R$8:$R$207,ROWS($A$8:A42)),$R$8:$R$207,0)),"")</f>
        <v/>
      </c>
      <c r="B42" s="38">
        <f>IFERROR(INDEX($K$8:$K$207,MATCH(LARGE($R$8:$R$207,ROWS($A$8:A42)),$R$8:$R$207,0)),"")</f>
        <v/>
      </c>
      <c r="C42" s="39">
        <f>IFERROR(INDEX($L$8:$L$207,MATCH(LARGE($R$8:$R$207,ROWS($A$8:A42)),$R$8:$R$207,0)),"")</f>
        <v/>
      </c>
      <c r="D42" s="39">
        <f>IFERROR(INDEX($M$8:$M$207,MATCH(LARGE($R$8:$R$207,ROWS($A$8:A42)),$R$8:$R$207,0)),"")</f>
        <v/>
      </c>
      <c r="E42" s="39">
        <f>IFERROR(INDEX($N$8:$N$207,MATCH(LARGE($R$8:$R$207,ROWS($A$8:A42)),$R$8:$R$207,0)),"")</f>
        <v/>
      </c>
      <c r="F42" s="41">
        <f>IFERROR(INDEX($O$8:$O$207,MATCH(LARGE($R$8:$R$207,ROWS($A$8:A42)),$R$8:$R$207,0)),"")</f>
        <v/>
      </c>
      <c r="G42" s="39">
        <f>IFERROR(INDEX($P$8:$P$207,MATCH(LARGE($R$8:$R$207,ROWS($A$8:A42)),$R$8:$R$207,0)),"")</f>
        <v/>
      </c>
      <c r="H42" s="38">
        <f>IFERROR(INDEX($Q$8:$Q$207,MATCH(LARGE($R$8:$R$207,ROWS($A$8:A42)),$R$8:$R$207,0)),"")</f>
        <v/>
      </c>
      <c r="J42">
        <f>IF(Trabajadores!B39="","",Trabajadores!B39)</f>
        <v/>
      </c>
      <c r="K42">
        <f>IF(J42="","",COUNTIFS(Detalle_Pagos!$E$5:$E$2004,J42,Detalle_Pagos!$J$5:$J$2004,"No"))</f>
        <v/>
      </c>
      <c r="L42" s="43">
        <f>IF(J42="","",SUMIFS(Detalle_Pagos!$I$5:$I$2004,Detalle_Pagos!$E$5:$E$2004,J42,Detalle_Pagos!$J$5:$J$2004,"No"))</f>
        <v/>
      </c>
      <c r="M42" s="43">
        <f>IF(J42="","",K42*IFERROR(INDEX(Trabajadores!$D$5:$D$204,MATCH(J42,Trabajadores!$B$5:$B$204,0)),0))</f>
        <v/>
      </c>
      <c r="N42" s="43">
        <f>IF(J42="","",L42+M42)</f>
        <v/>
      </c>
      <c r="O42" s="44">
        <f>IF(J42="","",IF(K42=0,"",LOOKUP(2,1/((Detalle_Pagos!$E$5:$E$2004=J42)*(Detalle_Pagos!$J$5:$J$2004="No")),Detalle_Pagos!$B$5:$B$2004)))</f>
        <v/>
      </c>
      <c r="P42" s="43">
        <f>IF(J42="","",SUMIFS(Detalle_Pagos!$I$5:$I$2004,Detalle_Pagos!$E$5:$E$2004,J42,Detalle_Pagos!$J$5:$J$2004,"Si"))</f>
        <v/>
      </c>
      <c r="Q42">
        <f>IF(J42="","",COUNTIFS(Detalle_Pagos!$E$5:$E$2004,J42,Detalle_Pagos!$J$5:$J$2004,"Si"))</f>
        <v/>
      </c>
      <c r="R42">
        <f>IF(J42="","",N42+K42/100000+(100000-ROW())/1000000000)</f>
        <v/>
      </c>
    </row>
    <row r="43">
      <c r="A43" s="36">
        <f>IFERROR(INDEX($J$8:$J$207,MATCH(LARGE($R$8:$R$207,ROWS($A$8:A43)),$R$8:$R$207,0)),"")</f>
        <v/>
      </c>
      <c r="B43" s="36">
        <f>IFERROR(INDEX($K$8:$K$207,MATCH(LARGE($R$8:$R$207,ROWS($A$8:A43)),$R$8:$R$207,0)),"")</f>
        <v/>
      </c>
      <c r="C43" s="37">
        <f>IFERROR(INDEX($L$8:$L$207,MATCH(LARGE($R$8:$R$207,ROWS($A$8:A43)),$R$8:$R$207,0)),"")</f>
        <v/>
      </c>
      <c r="D43" s="37">
        <f>IFERROR(INDEX($M$8:$M$207,MATCH(LARGE($R$8:$R$207,ROWS($A$8:A43)),$R$8:$R$207,0)),"")</f>
        <v/>
      </c>
      <c r="E43" s="37">
        <f>IFERROR(INDEX($N$8:$N$207,MATCH(LARGE($R$8:$R$207,ROWS($A$8:A43)),$R$8:$R$207,0)),"")</f>
        <v/>
      </c>
      <c r="F43" s="40">
        <f>IFERROR(INDEX($O$8:$O$207,MATCH(LARGE($R$8:$R$207,ROWS($A$8:A43)),$R$8:$R$207,0)),"")</f>
        <v/>
      </c>
      <c r="G43" s="37">
        <f>IFERROR(INDEX($P$8:$P$207,MATCH(LARGE($R$8:$R$207,ROWS($A$8:A43)),$R$8:$R$207,0)),"")</f>
        <v/>
      </c>
      <c r="H43" s="36">
        <f>IFERROR(INDEX($Q$8:$Q$207,MATCH(LARGE($R$8:$R$207,ROWS($A$8:A43)),$R$8:$R$207,0)),"")</f>
        <v/>
      </c>
      <c r="J43">
        <f>IF(Trabajadores!B40="","",Trabajadores!B40)</f>
        <v/>
      </c>
      <c r="K43">
        <f>IF(J43="","",COUNTIFS(Detalle_Pagos!$E$5:$E$2004,J43,Detalle_Pagos!$J$5:$J$2004,"No"))</f>
        <v/>
      </c>
      <c r="L43" s="43">
        <f>IF(J43="","",SUMIFS(Detalle_Pagos!$I$5:$I$2004,Detalle_Pagos!$E$5:$E$2004,J43,Detalle_Pagos!$J$5:$J$2004,"No"))</f>
        <v/>
      </c>
      <c r="M43" s="43">
        <f>IF(J43="","",K43*IFERROR(INDEX(Trabajadores!$D$5:$D$204,MATCH(J43,Trabajadores!$B$5:$B$204,0)),0))</f>
        <v/>
      </c>
      <c r="N43" s="43">
        <f>IF(J43="","",L43+M43)</f>
        <v/>
      </c>
      <c r="O43" s="44">
        <f>IF(J43="","",IF(K43=0,"",LOOKUP(2,1/((Detalle_Pagos!$E$5:$E$2004=J43)*(Detalle_Pagos!$J$5:$J$2004="No")),Detalle_Pagos!$B$5:$B$2004)))</f>
        <v/>
      </c>
      <c r="P43" s="43">
        <f>IF(J43="","",SUMIFS(Detalle_Pagos!$I$5:$I$2004,Detalle_Pagos!$E$5:$E$2004,J43,Detalle_Pagos!$J$5:$J$2004,"Si"))</f>
        <v/>
      </c>
      <c r="Q43">
        <f>IF(J43="","",COUNTIFS(Detalle_Pagos!$E$5:$E$2004,J43,Detalle_Pagos!$J$5:$J$2004,"Si"))</f>
        <v/>
      </c>
      <c r="R43">
        <f>IF(J43="","",N43+K43/100000+(100000-ROW())/1000000000)</f>
        <v/>
      </c>
    </row>
    <row r="44">
      <c r="A44" s="38">
        <f>IFERROR(INDEX($J$8:$J$207,MATCH(LARGE($R$8:$R$207,ROWS($A$8:A44)),$R$8:$R$207,0)),"")</f>
        <v/>
      </c>
      <c r="B44" s="38">
        <f>IFERROR(INDEX($K$8:$K$207,MATCH(LARGE($R$8:$R$207,ROWS($A$8:A44)),$R$8:$R$207,0)),"")</f>
        <v/>
      </c>
      <c r="C44" s="39">
        <f>IFERROR(INDEX($L$8:$L$207,MATCH(LARGE($R$8:$R$207,ROWS($A$8:A44)),$R$8:$R$207,0)),"")</f>
        <v/>
      </c>
      <c r="D44" s="39">
        <f>IFERROR(INDEX($M$8:$M$207,MATCH(LARGE($R$8:$R$207,ROWS($A$8:A44)),$R$8:$R$207,0)),"")</f>
        <v/>
      </c>
      <c r="E44" s="39">
        <f>IFERROR(INDEX($N$8:$N$207,MATCH(LARGE($R$8:$R$207,ROWS($A$8:A44)),$R$8:$R$207,0)),"")</f>
        <v/>
      </c>
      <c r="F44" s="41">
        <f>IFERROR(INDEX($O$8:$O$207,MATCH(LARGE($R$8:$R$207,ROWS($A$8:A44)),$R$8:$R$207,0)),"")</f>
        <v/>
      </c>
      <c r="G44" s="39">
        <f>IFERROR(INDEX($P$8:$P$207,MATCH(LARGE($R$8:$R$207,ROWS($A$8:A44)),$R$8:$R$207,0)),"")</f>
        <v/>
      </c>
      <c r="H44" s="38">
        <f>IFERROR(INDEX($Q$8:$Q$207,MATCH(LARGE($R$8:$R$207,ROWS($A$8:A44)),$R$8:$R$207,0)),"")</f>
        <v/>
      </c>
      <c r="J44">
        <f>IF(Trabajadores!B41="","",Trabajadores!B41)</f>
        <v/>
      </c>
      <c r="K44">
        <f>IF(J44="","",COUNTIFS(Detalle_Pagos!$E$5:$E$2004,J44,Detalle_Pagos!$J$5:$J$2004,"No"))</f>
        <v/>
      </c>
      <c r="L44" s="43">
        <f>IF(J44="","",SUMIFS(Detalle_Pagos!$I$5:$I$2004,Detalle_Pagos!$E$5:$E$2004,J44,Detalle_Pagos!$J$5:$J$2004,"No"))</f>
        <v/>
      </c>
      <c r="M44" s="43">
        <f>IF(J44="","",K44*IFERROR(INDEX(Trabajadores!$D$5:$D$204,MATCH(J44,Trabajadores!$B$5:$B$204,0)),0))</f>
        <v/>
      </c>
      <c r="N44" s="43">
        <f>IF(J44="","",L44+M44)</f>
        <v/>
      </c>
      <c r="O44" s="44">
        <f>IF(J44="","",IF(K44=0,"",LOOKUP(2,1/((Detalle_Pagos!$E$5:$E$2004=J44)*(Detalle_Pagos!$J$5:$J$2004="No")),Detalle_Pagos!$B$5:$B$2004)))</f>
        <v/>
      </c>
      <c r="P44" s="43">
        <f>IF(J44="","",SUMIFS(Detalle_Pagos!$I$5:$I$2004,Detalle_Pagos!$E$5:$E$2004,J44,Detalle_Pagos!$J$5:$J$2004,"Si"))</f>
        <v/>
      </c>
      <c r="Q44">
        <f>IF(J44="","",COUNTIFS(Detalle_Pagos!$E$5:$E$2004,J44,Detalle_Pagos!$J$5:$J$2004,"Si"))</f>
        <v/>
      </c>
      <c r="R44">
        <f>IF(J44="","",N44+K44/100000+(100000-ROW())/1000000000)</f>
        <v/>
      </c>
    </row>
    <row r="45">
      <c r="A45" s="36">
        <f>IFERROR(INDEX($J$8:$J$207,MATCH(LARGE($R$8:$R$207,ROWS($A$8:A45)),$R$8:$R$207,0)),"")</f>
        <v/>
      </c>
      <c r="B45" s="36">
        <f>IFERROR(INDEX($K$8:$K$207,MATCH(LARGE($R$8:$R$207,ROWS($A$8:A45)),$R$8:$R$207,0)),"")</f>
        <v/>
      </c>
      <c r="C45" s="37">
        <f>IFERROR(INDEX($L$8:$L$207,MATCH(LARGE($R$8:$R$207,ROWS($A$8:A45)),$R$8:$R$207,0)),"")</f>
        <v/>
      </c>
      <c r="D45" s="37">
        <f>IFERROR(INDEX($M$8:$M$207,MATCH(LARGE($R$8:$R$207,ROWS($A$8:A45)),$R$8:$R$207,0)),"")</f>
        <v/>
      </c>
      <c r="E45" s="37">
        <f>IFERROR(INDEX($N$8:$N$207,MATCH(LARGE($R$8:$R$207,ROWS($A$8:A45)),$R$8:$R$207,0)),"")</f>
        <v/>
      </c>
      <c r="F45" s="40">
        <f>IFERROR(INDEX($O$8:$O$207,MATCH(LARGE($R$8:$R$207,ROWS($A$8:A45)),$R$8:$R$207,0)),"")</f>
        <v/>
      </c>
      <c r="G45" s="37">
        <f>IFERROR(INDEX($P$8:$P$207,MATCH(LARGE($R$8:$R$207,ROWS($A$8:A45)),$R$8:$R$207,0)),"")</f>
        <v/>
      </c>
      <c r="H45" s="36">
        <f>IFERROR(INDEX($Q$8:$Q$207,MATCH(LARGE($R$8:$R$207,ROWS($A$8:A45)),$R$8:$R$207,0)),"")</f>
        <v/>
      </c>
      <c r="J45">
        <f>IF(Trabajadores!B42="","",Trabajadores!B42)</f>
        <v/>
      </c>
      <c r="K45">
        <f>IF(J45="","",COUNTIFS(Detalle_Pagos!$E$5:$E$2004,J45,Detalle_Pagos!$J$5:$J$2004,"No"))</f>
        <v/>
      </c>
      <c r="L45" s="43">
        <f>IF(J45="","",SUMIFS(Detalle_Pagos!$I$5:$I$2004,Detalle_Pagos!$E$5:$E$2004,J45,Detalle_Pagos!$J$5:$J$2004,"No"))</f>
        <v/>
      </c>
      <c r="M45" s="43">
        <f>IF(J45="","",K45*IFERROR(INDEX(Trabajadores!$D$5:$D$204,MATCH(J45,Trabajadores!$B$5:$B$204,0)),0))</f>
        <v/>
      </c>
      <c r="N45" s="43">
        <f>IF(J45="","",L45+M45)</f>
        <v/>
      </c>
      <c r="O45" s="44">
        <f>IF(J45="","",IF(K45=0,"",LOOKUP(2,1/((Detalle_Pagos!$E$5:$E$2004=J45)*(Detalle_Pagos!$J$5:$J$2004="No")),Detalle_Pagos!$B$5:$B$2004)))</f>
        <v/>
      </c>
      <c r="P45" s="43">
        <f>IF(J45="","",SUMIFS(Detalle_Pagos!$I$5:$I$2004,Detalle_Pagos!$E$5:$E$2004,J45,Detalle_Pagos!$J$5:$J$2004,"Si"))</f>
        <v/>
      </c>
      <c r="Q45">
        <f>IF(J45="","",COUNTIFS(Detalle_Pagos!$E$5:$E$2004,J45,Detalle_Pagos!$J$5:$J$2004,"Si"))</f>
        <v/>
      </c>
      <c r="R45">
        <f>IF(J45="","",N45+K45/100000+(100000-ROW())/1000000000)</f>
        <v/>
      </c>
    </row>
    <row r="46">
      <c r="A46" s="38">
        <f>IFERROR(INDEX($J$8:$J$207,MATCH(LARGE($R$8:$R$207,ROWS($A$8:A46)),$R$8:$R$207,0)),"")</f>
        <v/>
      </c>
      <c r="B46" s="38">
        <f>IFERROR(INDEX($K$8:$K$207,MATCH(LARGE($R$8:$R$207,ROWS($A$8:A46)),$R$8:$R$207,0)),"")</f>
        <v/>
      </c>
      <c r="C46" s="39">
        <f>IFERROR(INDEX($L$8:$L$207,MATCH(LARGE($R$8:$R$207,ROWS($A$8:A46)),$R$8:$R$207,0)),"")</f>
        <v/>
      </c>
      <c r="D46" s="39">
        <f>IFERROR(INDEX($M$8:$M$207,MATCH(LARGE($R$8:$R$207,ROWS($A$8:A46)),$R$8:$R$207,0)),"")</f>
        <v/>
      </c>
      <c r="E46" s="39">
        <f>IFERROR(INDEX($N$8:$N$207,MATCH(LARGE($R$8:$R$207,ROWS($A$8:A46)),$R$8:$R$207,0)),"")</f>
        <v/>
      </c>
      <c r="F46" s="41">
        <f>IFERROR(INDEX($O$8:$O$207,MATCH(LARGE($R$8:$R$207,ROWS($A$8:A46)),$R$8:$R$207,0)),"")</f>
        <v/>
      </c>
      <c r="G46" s="39">
        <f>IFERROR(INDEX($P$8:$P$207,MATCH(LARGE($R$8:$R$207,ROWS($A$8:A46)),$R$8:$R$207,0)),"")</f>
        <v/>
      </c>
      <c r="H46" s="38">
        <f>IFERROR(INDEX($Q$8:$Q$207,MATCH(LARGE($R$8:$R$207,ROWS($A$8:A46)),$R$8:$R$207,0)),"")</f>
        <v/>
      </c>
      <c r="J46">
        <f>IF(Trabajadores!B43="","",Trabajadores!B43)</f>
        <v/>
      </c>
      <c r="K46">
        <f>IF(J46="","",COUNTIFS(Detalle_Pagos!$E$5:$E$2004,J46,Detalle_Pagos!$J$5:$J$2004,"No"))</f>
        <v/>
      </c>
      <c r="L46" s="43">
        <f>IF(J46="","",SUMIFS(Detalle_Pagos!$I$5:$I$2004,Detalle_Pagos!$E$5:$E$2004,J46,Detalle_Pagos!$J$5:$J$2004,"No"))</f>
        <v/>
      </c>
      <c r="M46" s="43">
        <f>IF(J46="","",K46*IFERROR(INDEX(Trabajadores!$D$5:$D$204,MATCH(J46,Trabajadores!$B$5:$B$204,0)),0))</f>
        <v/>
      </c>
      <c r="N46" s="43">
        <f>IF(J46="","",L46+M46)</f>
        <v/>
      </c>
      <c r="O46" s="44">
        <f>IF(J46="","",IF(K46=0,"",LOOKUP(2,1/((Detalle_Pagos!$E$5:$E$2004=J46)*(Detalle_Pagos!$J$5:$J$2004="No")),Detalle_Pagos!$B$5:$B$2004)))</f>
        <v/>
      </c>
      <c r="P46" s="43">
        <f>IF(J46="","",SUMIFS(Detalle_Pagos!$I$5:$I$2004,Detalle_Pagos!$E$5:$E$2004,J46,Detalle_Pagos!$J$5:$J$2004,"Si"))</f>
        <v/>
      </c>
      <c r="Q46">
        <f>IF(J46="","",COUNTIFS(Detalle_Pagos!$E$5:$E$2004,J46,Detalle_Pagos!$J$5:$J$2004,"Si"))</f>
        <v/>
      </c>
      <c r="R46">
        <f>IF(J46="","",N46+K46/100000+(100000-ROW())/1000000000)</f>
        <v/>
      </c>
    </row>
    <row r="47">
      <c r="A47" s="36">
        <f>IFERROR(INDEX($J$8:$J$207,MATCH(LARGE($R$8:$R$207,ROWS($A$8:A47)),$R$8:$R$207,0)),"")</f>
        <v/>
      </c>
      <c r="B47" s="36">
        <f>IFERROR(INDEX($K$8:$K$207,MATCH(LARGE($R$8:$R$207,ROWS($A$8:A47)),$R$8:$R$207,0)),"")</f>
        <v/>
      </c>
      <c r="C47" s="37">
        <f>IFERROR(INDEX($L$8:$L$207,MATCH(LARGE($R$8:$R$207,ROWS($A$8:A47)),$R$8:$R$207,0)),"")</f>
        <v/>
      </c>
      <c r="D47" s="37">
        <f>IFERROR(INDEX($M$8:$M$207,MATCH(LARGE($R$8:$R$207,ROWS($A$8:A47)),$R$8:$R$207,0)),"")</f>
        <v/>
      </c>
      <c r="E47" s="37">
        <f>IFERROR(INDEX($N$8:$N$207,MATCH(LARGE($R$8:$R$207,ROWS($A$8:A47)),$R$8:$R$207,0)),"")</f>
        <v/>
      </c>
      <c r="F47" s="40">
        <f>IFERROR(INDEX($O$8:$O$207,MATCH(LARGE($R$8:$R$207,ROWS($A$8:A47)),$R$8:$R$207,0)),"")</f>
        <v/>
      </c>
      <c r="G47" s="37">
        <f>IFERROR(INDEX($P$8:$P$207,MATCH(LARGE($R$8:$R$207,ROWS($A$8:A47)),$R$8:$R$207,0)),"")</f>
        <v/>
      </c>
      <c r="H47" s="36">
        <f>IFERROR(INDEX($Q$8:$Q$207,MATCH(LARGE($R$8:$R$207,ROWS($A$8:A47)),$R$8:$R$207,0)),"")</f>
        <v/>
      </c>
      <c r="J47">
        <f>IF(Trabajadores!B44="","",Trabajadores!B44)</f>
        <v/>
      </c>
      <c r="K47">
        <f>IF(J47="","",COUNTIFS(Detalle_Pagos!$E$5:$E$2004,J47,Detalle_Pagos!$J$5:$J$2004,"No"))</f>
        <v/>
      </c>
      <c r="L47" s="43">
        <f>IF(J47="","",SUMIFS(Detalle_Pagos!$I$5:$I$2004,Detalle_Pagos!$E$5:$E$2004,J47,Detalle_Pagos!$J$5:$J$2004,"No"))</f>
        <v/>
      </c>
      <c r="M47" s="43">
        <f>IF(J47="","",K47*IFERROR(INDEX(Trabajadores!$D$5:$D$204,MATCH(J47,Trabajadores!$B$5:$B$204,0)),0))</f>
        <v/>
      </c>
      <c r="N47" s="43">
        <f>IF(J47="","",L47+M47)</f>
        <v/>
      </c>
      <c r="O47" s="44">
        <f>IF(J47="","",IF(K47=0,"",LOOKUP(2,1/((Detalle_Pagos!$E$5:$E$2004=J47)*(Detalle_Pagos!$J$5:$J$2004="No")),Detalle_Pagos!$B$5:$B$2004)))</f>
        <v/>
      </c>
      <c r="P47" s="43">
        <f>IF(J47="","",SUMIFS(Detalle_Pagos!$I$5:$I$2004,Detalle_Pagos!$E$5:$E$2004,J47,Detalle_Pagos!$J$5:$J$2004,"Si"))</f>
        <v/>
      </c>
      <c r="Q47">
        <f>IF(J47="","",COUNTIFS(Detalle_Pagos!$E$5:$E$2004,J47,Detalle_Pagos!$J$5:$J$2004,"Si"))</f>
        <v/>
      </c>
      <c r="R47">
        <f>IF(J47="","",N47+K47/100000+(100000-ROW())/1000000000)</f>
        <v/>
      </c>
    </row>
    <row r="48">
      <c r="A48" s="38">
        <f>IFERROR(INDEX($J$8:$J$207,MATCH(LARGE($R$8:$R$207,ROWS($A$8:A48)),$R$8:$R$207,0)),"")</f>
        <v/>
      </c>
      <c r="B48" s="38">
        <f>IFERROR(INDEX($K$8:$K$207,MATCH(LARGE($R$8:$R$207,ROWS($A$8:A48)),$R$8:$R$207,0)),"")</f>
        <v/>
      </c>
      <c r="C48" s="39">
        <f>IFERROR(INDEX($L$8:$L$207,MATCH(LARGE($R$8:$R$207,ROWS($A$8:A48)),$R$8:$R$207,0)),"")</f>
        <v/>
      </c>
      <c r="D48" s="39">
        <f>IFERROR(INDEX($M$8:$M$207,MATCH(LARGE($R$8:$R$207,ROWS($A$8:A48)),$R$8:$R$207,0)),"")</f>
        <v/>
      </c>
      <c r="E48" s="39">
        <f>IFERROR(INDEX($N$8:$N$207,MATCH(LARGE($R$8:$R$207,ROWS($A$8:A48)),$R$8:$R$207,0)),"")</f>
        <v/>
      </c>
      <c r="F48" s="41">
        <f>IFERROR(INDEX($O$8:$O$207,MATCH(LARGE($R$8:$R$207,ROWS($A$8:A48)),$R$8:$R$207,0)),"")</f>
        <v/>
      </c>
      <c r="G48" s="39">
        <f>IFERROR(INDEX($P$8:$P$207,MATCH(LARGE($R$8:$R$207,ROWS($A$8:A48)),$R$8:$R$207,0)),"")</f>
        <v/>
      </c>
      <c r="H48" s="38">
        <f>IFERROR(INDEX($Q$8:$Q$207,MATCH(LARGE($R$8:$R$207,ROWS($A$8:A48)),$R$8:$R$207,0)),"")</f>
        <v/>
      </c>
      <c r="J48">
        <f>IF(Trabajadores!B45="","",Trabajadores!B45)</f>
        <v/>
      </c>
      <c r="K48">
        <f>IF(J48="","",COUNTIFS(Detalle_Pagos!$E$5:$E$2004,J48,Detalle_Pagos!$J$5:$J$2004,"No"))</f>
        <v/>
      </c>
      <c r="L48" s="43">
        <f>IF(J48="","",SUMIFS(Detalle_Pagos!$I$5:$I$2004,Detalle_Pagos!$E$5:$E$2004,J48,Detalle_Pagos!$J$5:$J$2004,"No"))</f>
        <v/>
      </c>
      <c r="M48" s="43">
        <f>IF(J48="","",K48*IFERROR(INDEX(Trabajadores!$D$5:$D$204,MATCH(J48,Trabajadores!$B$5:$B$204,0)),0))</f>
        <v/>
      </c>
      <c r="N48" s="43">
        <f>IF(J48="","",L48+M48)</f>
        <v/>
      </c>
      <c r="O48" s="44">
        <f>IF(J48="","",IF(K48=0,"",LOOKUP(2,1/((Detalle_Pagos!$E$5:$E$2004=J48)*(Detalle_Pagos!$J$5:$J$2004="No")),Detalle_Pagos!$B$5:$B$2004)))</f>
        <v/>
      </c>
      <c r="P48" s="43">
        <f>IF(J48="","",SUMIFS(Detalle_Pagos!$I$5:$I$2004,Detalle_Pagos!$E$5:$E$2004,J48,Detalle_Pagos!$J$5:$J$2004,"Si"))</f>
        <v/>
      </c>
      <c r="Q48">
        <f>IF(J48="","",COUNTIFS(Detalle_Pagos!$E$5:$E$2004,J48,Detalle_Pagos!$J$5:$J$2004,"Si"))</f>
        <v/>
      </c>
      <c r="R48">
        <f>IF(J48="","",N48+K48/100000+(100000-ROW())/1000000000)</f>
        <v/>
      </c>
    </row>
    <row r="49">
      <c r="A49" s="36">
        <f>IFERROR(INDEX($J$8:$J$207,MATCH(LARGE($R$8:$R$207,ROWS($A$8:A49)),$R$8:$R$207,0)),"")</f>
        <v/>
      </c>
      <c r="B49" s="36">
        <f>IFERROR(INDEX($K$8:$K$207,MATCH(LARGE($R$8:$R$207,ROWS($A$8:A49)),$R$8:$R$207,0)),"")</f>
        <v/>
      </c>
      <c r="C49" s="37">
        <f>IFERROR(INDEX($L$8:$L$207,MATCH(LARGE($R$8:$R$207,ROWS($A$8:A49)),$R$8:$R$207,0)),"")</f>
        <v/>
      </c>
      <c r="D49" s="37">
        <f>IFERROR(INDEX($M$8:$M$207,MATCH(LARGE($R$8:$R$207,ROWS($A$8:A49)),$R$8:$R$207,0)),"")</f>
        <v/>
      </c>
      <c r="E49" s="37">
        <f>IFERROR(INDEX($N$8:$N$207,MATCH(LARGE($R$8:$R$207,ROWS($A$8:A49)),$R$8:$R$207,0)),"")</f>
        <v/>
      </c>
      <c r="F49" s="40">
        <f>IFERROR(INDEX($O$8:$O$207,MATCH(LARGE($R$8:$R$207,ROWS($A$8:A49)),$R$8:$R$207,0)),"")</f>
        <v/>
      </c>
      <c r="G49" s="37">
        <f>IFERROR(INDEX($P$8:$P$207,MATCH(LARGE($R$8:$R$207,ROWS($A$8:A49)),$R$8:$R$207,0)),"")</f>
        <v/>
      </c>
      <c r="H49" s="36">
        <f>IFERROR(INDEX($Q$8:$Q$207,MATCH(LARGE($R$8:$R$207,ROWS($A$8:A49)),$R$8:$R$207,0)),"")</f>
        <v/>
      </c>
      <c r="J49">
        <f>IF(Trabajadores!B46="","",Trabajadores!B46)</f>
        <v/>
      </c>
      <c r="K49">
        <f>IF(J49="","",COUNTIFS(Detalle_Pagos!$E$5:$E$2004,J49,Detalle_Pagos!$J$5:$J$2004,"No"))</f>
        <v/>
      </c>
      <c r="L49" s="43">
        <f>IF(J49="","",SUMIFS(Detalle_Pagos!$I$5:$I$2004,Detalle_Pagos!$E$5:$E$2004,J49,Detalle_Pagos!$J$5:$J$2004,"No"))</f>
        <v/>
      </c>
      <c r="M49" s="43">
        <f>IF(J49="","",K49*IFERROR(INDEX(Trabajadores!$D$5:$D$204,MATCH(J49,Trabajadores!$B$5:$B$204,0)),0))</f>
        <v/>
      </c>
      <c r="N49" s="43">
        <f>IF(J49="","",L49+M49)</f>
        <v/>
      </c>
      <c r="O49" s="44">
        <f>IF(J49="","",IF(K49=0,"",LOOKUP(2,1/((Detalle_Pagos!$E$5:$E$2004=J49)*(Detalle_Pagos!$J$5:$J$2004="No")),Detalle_Pagos!$B$5:$B$2004)))</f>
        <v/>
      </c>
      <c r="P49" s="43">
        <f>IF(J49="","",SUMIFS(Detalle_Pagos!$I$5:$I$2004,Detalle_Pagos!$E$5:$E$2004,J49,Detalle_Pagos!$J$5:$J$2004,"Si"))</f>
        <v/>
      </c>
      <c r="Q49">
        <f>IF(J49="","",COUNTIFS(Detalle_Pagos!$E$5:$E$2004,J49,Detalle_Pagos!$J$5:$J$2004,"Si"))</f>
        <v/>
      </c>
      <c r="R49">
        <f>IF(J49="","",N49+K49/100000+(100000-ROW())/1000000000)</f>
        <v/>
      </c>
    </row>
    <row r="50">
      <c r="A50" s="38">
        <f>IFERROR(INDEX($J$8:$J$207,MATCH(LARGE($R$8:$R$207,ROWS($A$8:A50)),$R$8:$R$207,0)),"")</f>
        <v/>
      </c>
      <c r="B50" s="38">
        <f>IFERROR(INDEX($K$8:$K$207,MATCH(LARGE($R$8:$R$207,ROWS($A$8:A50)),$R$8:$R$207,0)),"")</f>
        <v/>
      </c>
      <c r="C50" s="39">
        <f>IFERROR(INDEX($L$8:$L$207,MATCH(LARGE($R$8:$R$207,ROWS($A$8:A50)),$R$8:$R$207,0)),"")</f>
        <v/>
      </c>
      <c r="D50" s="39">
        <f>IFERROR(INDEX($M$8:$M$207,MATCH(LARGE($R$8:$R$207,ROWS($A$8:A50)),$R$8:$R$207,0)),"")</f>
        <v/>
      </c>
      <c r="E50" s="39">
        <f>IFERROR(INDEX($N$8:$N$207,MATCH(LARGE($R$8:$R$207,ROWS($A$8:A50)),$R$8:$R$207,0)),"")</f>
        <v/>
      </c>
      <c r="F50" s="41">
        <f>IFERROR(INDEX($O$8:$O$207,MATCH(LARGE($R$8:$R$207,ROWS($A$8:A50)),$R$8:$R$207,0)),"")</f>
        <v/>
      </c>
      <c r="G50" s="39">
        <f>IFERROR(INDEX($P$8:$P$207,MATCH(LARGE($R$8:$R$207,ROWS($A$8:A50)),$R$8:$R$207,0)),"")</f>
        <v/>
      </c>
      <c r="H50" s="38">
        <f>IFERROR(INDEX($Q$8:$Q$207,MATCH(LARGE($R$8:$R$207,ROWS($A$8:A50)),$R$8:$R$207,0)),"")</f>
        <v/>
      </c>
      <c r="J50">
        <f>IF(Trabajadores!B47="","",Trabajadores!B47)</f>
        <v/>
      </c>
      <c r="K50">
        <f>IF(J50="","",COUNTIFS(Detalle_Pagos!$E$5:$E$2004,J50,Detalle_Pagos!$J$5:$J$2004,"No"))</f>
        <v/>
      </c>
      <c r="L50" s="43">
        <f>IF(J50="","",SUMIFS(Detalle_Pagos!$I$5:$I$2004,Detalle_Pagos!$E$5:$E$2004,J50,Detalle_Pagos!$J$5:$J$2004,"No"))</f>
        <v/>
      </c>
      <c r="M50" s="43">
        <f>IF(J50="","",K50*IFERROR(INDEX(Trabajadores!$D$5:$D$204,MATCH(J50,Trabajadores!$B$5:$B$204,0)),0))</f>
        <v/>
      </c>
      <c r="N50" s="43">
        <f>IF(J50="","",L50+M50)</f>
        <v/>
      </c>
      <c r="O50" s="44">
        <f>IF(J50="","",IF(K50=0,"",LOOKUP(2,1/((Detalle_Pagos!$E$5:$E$2004=J50)*(Detalle_Pagos!$J$5:$J$2004="No")),Detalle_Pagos!$B$5:$B$2004)))</f>
        <v/>
      </c>
      <c r="P50" s="43">
        <f>IF(J50="","",SUMIFS(Detalle_Pagos!$I$5:$I$2004,Detalle_Pagos!$E$5:$E$2004,J50,Detalle_Pagos!$J$5:$J$2004,"Si"))</f>
        <v/>
      </c>
      <c r="Q50">
        <f>IF(J50="","",COUNTIFS(Detalle_Pagos!$E$5:$E$2004,J50,Detalle_Pagos!$J$5:$J$2004,"Si"))</f>
        <v/>
      </c>
      <c r="R50">
        <f>IF(J50="","",N50+K50/100000+(100000-ROW())/1000000000)</f>
        <v/>
      </c>
    </row>
    <row r="51">
      <c r="A51" s="36">
        <f>IFERROR(INDEX($J$8:$J$207,MATCH(LARGE($R$8:$R$207,ROWS($A$8:A51)),$R$8:$R$207,0)),"")</f>
        <v/>
      </c>
      <c r="B51" s="36">
        <f>IFERROR(INDEX($K$8:$K$207,MATCH(LARGE($R$8:$R$207,ROWS($A$8:A51)),$R$8:$R$207,0)),"")</f>
        <v/>
      </c>
      <c r="C51" s="37">
        <f>IFERROR(INDEX($L$8:$L$207,MATCH(LARGE($R$8:$R$207,ROWS($A$8:A51)),$R$8:$R$207,0)),"")</f>
        <v/>
      </c>
      <c r="D51" s="37">
        <f>IFERROR(INDEX($M$8:$M$207,MATCH(LARGE($R$8:$R$207,ROWS($A$8:A51)),$R$8:$R$207,0)),"")</f>
        <v/>
      </c>
      <c r="E51" s="37">
        <f>IFERROR(INDEX($N$8:$N$207,MATCH(LARGE($R$8:$R$207,ROWS($A$8:A51)),$R$8:$R$207,0)),"")</f>
        <v/>
      </c>
      <c r="F51" s="40">
        <f>IFERROR(INDEX($O$8:$O$207,MATCH(LARGE($R$8:$R$207,ROWS($A$8:A51)),$R$8:$R$207,0)),"")</f>
        <v/>
      </c>
      <c r="G51" s="37">
        <f>IFERROR(INDEX($P$8:$P$207,MATCH(LARGE($R$8:$R$207,ROWS($A$8:A51)),$R$8:$R$207,0)),"")</f>
        <v/>
      </c>
      <c r="H51" s="36">
        <f>IFERROR(INDEX($Q$8:$Q$207,MATCH(LARGE($R$8:$R$207,ROWS($A$8:A51)),$R$8:$R$207,0)),"")</f>
        <v/>
      </c>
      <c r="J51">
        <f>IF(Trabajadores!B48="","",Trabajadores!B48)</f>
        <v/>
      </c>
      <c r="K51">
        <f>IF(J51="","",COUNTIFS(Detalle_Pagos!$E$5:$E$2004,J51,Detalle_Pagos!$J$5:$J$2004,"No"))</f>
        <v/>
      </c>
      <c r="L51" s="43">
        <f>IF(J51="","",SUMIFS(Detalle_Pagos!$I$5:$I$2004,Detalle_Pagos!$E$5:$E$2004,J51,Detalle_Pagos!$J$5:$J$2004,"No"))</f>
        <v/>
      </c>
      <c r="M51" s="43">
        <f>IF(J51="","",K51*IFERROR(INDEX(Trabajadores!$D$5:$D$204,MATCH(J51,Trabajadores!$B$5:$B$204,0)),0))</f>
        <v/>
      </c>
      <c r="N51" s="43">
        <f>IF(J51="","",L51+M51)</f>
        <v/>
      </c>
      <c r="O51" s="44">
        <f>IF(J51="","",IF(K51=0,"",LOOKUP(2,1/((Detalle_Pagos!$E$5:$E$2004=J51)*(Detalle_Pagos!$J$5:$J$2004="No")),Detalle_Pagos!$B$5:$B$2004)))</f>
        <v/>
      </c>
      <c r="P51" s="43">
        <f>IF(J51="","",SUMIFS(Detalle_Pagos!$I$5:$I$2004,Detalle_Pagos!$E$5:$E$2004,J51,Detalle_Pagos!$J$5:$J$2004,"Si"))</f>
        <v/>
      </c>
      <c r="Q51">
        <f>IF(J51="","",COUNTIFS(Detalle_Pagos!$E$5:$E$2004,J51,Detalle_Pagos!$J$5:$J$2004,"Si"))</f>
        <v/>
      </c>
      <c r="R51">
        <f>IF(J51="","",N51+K51/100000+(100000-ROW())/1000000000)</f>
        <v/>
      </c>
    </row>
    <row r="52">
      <c r="A52" s="38">
        <f>IFERROR(INDEX($J$8:$J$207,MATCH(LARGE($R$8:$R$207,ROWS($A$8:A52)),$R$8:$R$207,0)),"")</f>
        <v/>
      </c>
      <c r="B52" s="38">
        <f>IFERROR(INDEX($K$8:$K$207,MATCH(LARGE($R$8:$R$207,ROWS($A$8:A52)),$R$8:$R$207,0)),"")</f>
        <v/>
      </c>
      <c r="C52" s="39">
        <f>IFERROR(INDEX($L$8:$L$207,MATCH(LARGE($R$8:$R$207,ROWS($A$8:A52)),$R$8:$R$207,0)),"")</f>
        <v/>
      </c>
      <c r="D52" s="39">
        <f>IFERROR(INDEX($M$8:$M$207,MATCH(LARGE($R$8:$R$207,ROWS($A$8:A52)),$R$8:$R$207,0)),"")</f>
        <v/>
      </c>
      <c r="E52" s="39">
        <f>IFERROR(INDEX($N$8:$N$207,MATCH(LARGE($R$8:$R$207,ROWS($A$8:A52)),$R$8:$R$207,0)),"")</f>
        <v/>
      </c>
      <c r="F52" s="41">
        <f>IFERROR(INDEX($O$8:$O$207,MATCH(LARGE($R$8:$R$207,ROWS($A$8:A52)),$R$8:$R$207,0)),"")</f>
        <v/>
      </c>
      <c r="G52" s="39">
        <f>IFERROR(INDEX($P$8:$P$207,MATCH(LARGE($R$8:$R$207,ROWS($A$8:A52)),$R$8:$R$207,0)),"")</f>
        <v/>
      </c>
      <c r="H52" s="38">
        <f>IFERROR(INDEX($Q$8:$Q$207,MATCH(LARGE($R$8:$R$207,ROWS($A$8:A52)),$R$8:$R$207,0)),"")</f>
        <v/>
      </c>
      <c r="J52">
        <f>IF(Trabajadores!B49="","",Trabajadores!B49)</f>
        <v/>
      </c>
      <c r="K52">
        <f>IF(J52="","",COUNTIFS(Detalle_Pagos!$E$5:$E$2004,J52,Detalle_Pagos!$J$5:$J$2004,"No"))</f>
        <v/>
      </c>
      <c r="L52" s="43">
        <f>IF(J52="","",SUMIFS(Detalle_Pagos!$I$5:$I$2004,Detalle_Pagos!$E$5:$E$2004,J52,Detalle_Pagos!$J$5:$J$2004,"No"))</f>
        <v/>
      </c>
      <c r="M52" s="43">
        <f>IF(J52="","",K52*IFERROR(INDEX(Trabajadores!$D$5:$D$204,MATCH(J52,Trabajadores!$B$5:$B$204,0)),0))</f>
        <v/>
      </c>
      <c r="N52" s="43">
        <f>IF(J52="","",L52+M52)</f>
        <v/>
      </c>
      <c r="O52" s="44">
        <f>IF(J52="","",IF(K52=0,"",LOOKUP(2,1/((Detalle_Pagos!$E$5:$E$2004=J52)*(Detalle_Pagos!$J$5:$J$2004="No")),Detalle_Pagos!$B$5:$B$2004)))</f>
        <v/>
      </c>
      <c r="P52" s="43">
        <f>IF(J52="","",SUMIFS(Detalle_Pagos!$I$5:$I$2004,Detalle_Pagos!$E$5:$E$2004,J52,Detalle_Pagos!$J$5:$J$2004,"Si"))</f>
        <v/>
      </c>
      <c r="Q52">
        <f>IF(J52="","",COUNTIFS(Detalle_Pagos!$E$5:$E$2004,J52,Detalle_Pagos!$J$5:$J$2004,"Si"))</f>
        <v/>
      </c>
      <c r="R52">
        <f>IF(J52="","",N52+K52/100000+(100000-ROW())/1000000000)</f>
        <v/>
      </c>
    </row>
    <row r="53">
      <c r="A53" s="36">
        <f>IFERROR(INDEX($J$8:$J$207,MATCH(LARGE($R$8:$R$207,ROWS($A$8:A53)),$R$8:$R$207,0)),"")</f>
        <v/>
      </c>
      <c r="B53" s="36">
        <f>IFERROR(INDEX($K$8:$K$207,MATCH(LARGE($R$8:$R$207,ROWS($A$8:A53)),$R$8:$R$207,0)),"")</f>
        <v/>
      </c>
      <c r="C53" s="37">
        <f>IFERROR(INDEX($L$8:$L$207,MATCH(LARGE($R$8:$R$207,ROWS($A$8:A53)),$R$8:$R$207,0)),"")</f>
        <v/>
      </c>
      <c r="D53" s="37">
        <f>IFERROR(INDEX($M$8:$M$207,MATCH(LARGE($R$8:$R$207,ROWS($A$8:A53)),$R$8:$R$207,0)),"")</f>
        <v/>
      </c>
      <c r="E53" s="37">
        <f>IFERROR(INDEX($N$8:$N$207,MATCH(LARGE($R$8:$R$207,ROWS($A$8:A53)),$R$8:$R$207,0)),"")</f>
        <v/>
      </c>
      <c r="F53" s="40">
        <f>IFERROR(INDEX($O$8:$O$207,MATCH(LARGE($R$8:$R$207,ROWS($A$8:A53)),$R$8:$R$207,0)),"")</f>
        <v/>
      </c>
      <c r="G53" s="37">
        <f>IFERROR(INDEX($P$8:$P$207,MATCH(LARGE($R$8:$R$207,ROWS($A$8:A53)),$R$8:$R$207,0)),"")</f>
        <v/>
      </c>
      <c r="H53" s="36">
        <f>IFERROR(INDEX($Q$8:$Q$207,MATCH(LARGE($R$8:$R$207,ROWS($A$8:A53)),$R$8:$R$207,0)),"")</f>
        <v/>
      </c>
      <c r="J53">
        <f>IF(Trabajadores!B50="","",Trabajadores!B50)</f>
        <v/>
      </c>
      <c r="K53">
        <f>IF(J53="","",COUNTIFS(Detalle_Pagos!$E$5:$E$2004,J53,Detalle_Pagos!$J$5:$J$2004,"No"))</f>
        <v/>
      </c>
      <c r="L53" s="43">
        <f>IF(J53="","",SUMIFS(Detalle_Pagos!$I$5:$I$2004,Detalle_Pagos!$E$5:$E$2004,J53,Detalle_Pagos!$J$5:$J$2004,"No"))</f>
        <v/>
      </c>
      <c r="M53" s="43">
        <f>IF(J53="","",K53*IFERROR(INDEX(Trabajadores!$D$5:$D$204,MATCH(J53,Trabajadores!$B$5:$B$204,0)),0))</f>
        <v/>
      </c>
      <c r="N53" s="43">
        <f>IF(J53="","",L53+M53)</f>
        <v/>
      </c>
      <c r="O53" s="44">
        <f>IF(J53="","",IF(K53=0,"",LOOKUP(2,1/((Detalle_Pagos!$E$5:$E$2004=J53)*(Detalle_Pagos!$J$5:$J$2004="No")),Detalle_Pagos!$B$5:$B$2004)))</f>
        <v/>
      </c>
      <c r="P53" s="43">
        <f>IF(J53="","",SUMIFS(Detalle_Pagos!$I$5:$I$2004,Detalle_Pagos!$E$5:$E$2004,J53,Detalle_Pagos!$J$5:$J$2004,"Si"))</f>
        <v/>
      </c>
      <c r="Q53">
        <f>IF(J53="","",COUNTIFS(Detalle_Pagos!$E$5:$E$2004,J53,Detalle_Pagos!$J$5:$J$2004,"Si"))</f>
        <v/>
      </c>
      <c r="R53">
        <f>IF(J53="","",N53+K53/100000+(100000-ROW())/1000000000)</f>
        <v/>
      </c>
    </row>
    <row r="54">
      <c r="A54" s="38">
        <f>IFERROR(INDEX($J$8:$J$207,MATCH(LARGE($R$8:$R$207,ROWS($A$8:A54)),$R$8:$R$207,0)),"")</f>
        <v/>
      </c>
      <c r="B54" s="38">
        <f>IFERROR(INDEX($K$8:$K$207,MATCH(LARGE($R$8:$R$207,ROWS($A$8:A54)),$R$8:$R$207,0)),"")</f>
        <v/>
      </c>
      <c r="C54" s="39">
        <f>IFERROR(INDEX($L$8:$L$207,MATCH(LARGE($R$8:$R$207,ROWS($A$8:A54)),$R$8:$R$207,0)),"")</f>
        <v/>
      </c>
      <c r="D54" s="39">
        <f>IFERROR(INDEX($M$8:$M$207,MATCH(LARGE($R$8:$R$207,ROWS($A$8:A54)),$R$8:$R$207,0)),"")</f>
        <v/>
      </c>
      <c r="E54" s="39">
        <f>IFERROR(INDEX($N$8:$N$207,MATCH(LARGE($R$8:$R$207,ROWS($A$8:A54)),$R$8:$R$207,0)),"")</f>
        <v/>
      </c>
      <c r="F54" s="41">
        <f>IFERROR(INDEX($O$8:$O$207,MATCH(LARGE($R$8:$R$207,ROWS($A$8:A54)),$R$8:$R$207,0)),"")</f>
        <v/>
      </c>
      <c r="G54" s="39">
        <f>IFERROR(INDEX($P$8:$P$207,MATCH(LARGE($R$8:$R$207,ROWS($A$8:A54)),$R$8:$R$207,0)),"")</f>
        <v/>
      </c>
      <c r="H54" s="38">
        <f>IFERROR(INDEX($Q$8:$Q$207,MATCH(LARGE($R$8:$R$207,ROWS($A$8:A54)),$R$8:$R$207,0)),"")</f>
        <v/>
      </c>
      <c r="J54">
        <f>IF(Trabajadores!B51="","",Trabajadores!B51)</f>
        <v/>
      </c>
      <c r="K54">
        <f>IF(J54="","",COUNTIFS(Detalle_Pagos!$E$5:$E$2004,J54,Detalle_Pagos!$J$5:$J$2004,"No"))</f>
        <v/>
      </c>
      <c r="L54" s="43">
        <f>IF(J54="","",SUMIFS(Detalle_Pagos!$I$5:$I$2004,Detalle_Pagos!$E$5:$E$2004,J54,Detalle_Pagos!$J$5:$J$2004,"No"))</f>
        <v/>
      </c>
      <c r="M54" s="43">
        <f>IF(J54="","",K54*IFERROR(INDEX(Trabajadores!$D$5:$D$204,MATCH(J54,Trabajadores!$B$5:$B$204,0)),0))</f>
        <v/>
      </c>
      <c r="N54" s="43">
        <f>IF(J54="","",L54+M54)</f>
        <v/>
      </c>
      <c r="O54" s="44">
        <f>IF(J54="","",IF(K54=0,"",LOOKUP(2,1/((Detalle_Pagos!$E$5:$E$2004=J54)*(Detalle_Pagos!$J$5:$J$2004="No")),Detalle_Pagos!$B$5:$B$2004)))</f>
        <v/>
      </c>
      <c r="P54" s="43">
        <f>IF(J54="","",SUMIFS(Detalle_Pagos!$I$5:$I$2004,Detalle_Pagos!$E$5:$E$2004,J54,Detalle_Pagos!$J$5:$J$2004,"Si"))</f>
        <v/>
      </c>
      <c r="Q54">
        <f>IF(J54="","",COUNTIFS(Detalle_Pagos!$E$5:$E$2004,J54,Detalle_Pagos!$J$5:$J$2004,"Si"))</f>
        <v/>
      </c>
      <c r="R54">
        <f>IF(J54="","",N54+K54/100000+(100000-ROW())/1000000000)</f>
        <v/>
      </c>
    </row>
    <row r="55">
      <c r="A55" s="36">
        <f>IFERROR(INDEX($J$8:$J$207,MATCH(LARGE($R$8:$R$207,ROWS($A$8:A55)),$R$8:$R$207,0)),"")</f>
        <v/>
      </c>
      <c r="B55" s="36">
        <f>IFERROR(INDEX($K$8:$K$207,MATCH(LARGE($R$8:$R$207,ROWS($A$8:A55)),$R$8:$R$207,0)),"")</f>
        <v/>
      </c>
      <c r="C55" s="37">
        <f>IFERROR(INDEX($L$8:$L$207,MATCH(LARGE($R$8:$R$207,ROWS($A$8:A55)),$R$8:$R$207,0)),"")</f>
        <v/>
      </c>
      <c r="D55" s="37">
        <f>IFERROR(INDEX($M$8:$M$207,MATCH(LARGE($R$8:$R$207,ROWS($A$8:A55)),$R$8:$R$207,0)),"")</f>
        <v/>
      </c>
      <c r="E55" s="37">
        <f>IFERROR(INDEX($N$8:$N$207,MATCH(LARGE($R$8:$R$207,ROWS($A$8:A55)),$R$8:$R$207,0)),"")</f>
        <v/>
      </c>
      <c r="F55" s="40">
        <f>IFERROR(INDEX($O$8:$O$207,MATCH(LARGE($R$8:$R$207,ROWS($A$8:A55)),$R$8:$R$207,0)),"")</f>
        <v/>
      </c>
      <c r="G55" s="37">
        <f>IFERROR(INDEX($P$8:$P$207,MATCH(LARGE($R$8:$R$207,ROWS($A$8:A55)),$R$8:$R$207,0)),"")</f>
        <v/>
      </c>
      <c r="H55" s="36">
        <f>IFERROR(INDEX($Q$8:$Q$207,MATCH(LARGE($R$8:$R$207,ROWS($A$8:A55)),$R$8:$R$207,0)),"")</f>
        <v/>
      </c>
      <c r="J55">
        <f>IF(Trabajadores!B52="","",Trabajadores!B52)</f>
        <v/>
      </c>
      <c r="K55">
        <f>IF(J55="","",COUNTIFS(Detalle_Pagos!$E$5:$E$2004,J55,Detalle_Pagos!$J$5:$J$2004,"No"))</f>
        <v/>
      </c>
      <c r="L55" s="43">
        <f>IF(J55="","",SUMIFS(Detalle_Pagos!$I$5:$I$2004,Detalle_Pagos!$E$5:$E$2004,J55,Detalle_Pagos!$J$5:$J$2004,"No"))</f>
        <v/>
      </c>
      <c r="M55" s="43">
        <f>IF(J55="","",K55*IFERROR(INDEX(Trabajadores!$D$5:$D$204,MATCH(J55,Trabajadores!$B$5:$B$204,0)),0))</f>
        <v/>
      </c>
      <c r="N55" s="43">
        <f>IF(J55="","",L55+M55)</f>
        <v/>
      </c>
      <c r="O55" s="44">
        <f>IF(J55="","",IF(K55=0,"",LOOKUP(2,1/((Detalle_Pagos!$E$5:$E$2004=J55)*(Detalle_Pagos!$J$5:$J$2004="No")),Detalle_Pagos!$B$5:$B$2004)))</f>
        <v/>
      </c>
      <c r="P55" s="43">
        <f>IF(J55="","",SUMIFS(Detalle_Pagos!$I$5:$I$2004,Detalle_Pagos!$E$5:$E$2004,J55,Detalle_Pagos!$J$5:$J$2004,"Si"))</f>
        <v/>
      </c>
      <c r="Q55">
        <f>IF(J55="","",COUNTIFS(Detalle_Pagos!$E$5:$E$2004,J55,Detalle_Pagos!$J$5:$J$2004,"Si"))</f>
        <v/>
      </c>
      <c r="R55">
        <f>IF(J55="","",N55+K55/100000+(100000-ROW())/1000000000)</f>
        <v/>
      </c>
    </row>
    <row r="56">
      <c r="A56" s="38">
        <f>IFERROR(INDEX($J$8:$J$207,MATCH(LARGE($R$8:$R$207,ROWS($A$8:A56)),$R$8:$R$207,0)),"")</f>
        <v/>
      </c>
      <c r="B56" s="38">
        <f>IFERROR(INDEX($K$8:$K$207,MATCH(LARGE($R$8:$R$207,ROWS($A$8:A56)),$R$8:$R$207,0)),"")</f>
        <v/>
      </c>
      <c r="C56" s="39">
        <f>IFERROR(INDEX($L$8:$L$207,MATCH(LARGE($R$8:$R$207,ROWS($A$8:A56)),$R$8:$R$207,0)),"")</f>
        <v/>
      </c>
      <c r="D56" s="39">
        <f>IFERROR(INDEX($M$8:$M$207,MATCH(LARGE($R$8:$R$207,ROWS($A$8:A56)),$R$8:$R$207,0)),"")</f>
        <v/>
      </c>
      <c r="E56" s="39">
        <f>IFERROR(INDEX($N$8:$N$207,MATCH(LARGE($R$8:$R$207,ROWS($A$8:A56)),$R$8:$R$207,0)),"")</f>
        <v/>
      </c>
      <c r="F56" s="41">
        <f>IFERROR(INDEX($O$8:$O$207,MATCH(LARGE($R$8:$R$207,ROWS($A$8:A56)),$R$8:$R$207,0)),"")</f>
        <v/>
      </c>
      <c r="G56" s="39">
        <f>IFERROR(INDEX($P$8:$P$207,MATCH(LARGE($R$8:$R$207,ROWS($A$8:A56)),$R$8:$R$207,0)),"")</f>
        <v/>
      </c>
      <c r="H56" s="38">
        <f>IFERROR(INDEX($Q$8:$Q$207,MATCH(LARGE($R$8:$R$207,ROWS($A$8:A56)),$R$8:$R$207,0)),"")</f>
        <v/>
      </c>
      <c r="J56">
        <f>IF(Trabajadores!B53="","",Trabajadores!B53)</f>
        <v/>
      </c>
      <c r="K56">
        <f>IF(J56="","",COUNTIFS(Detalle_Pagos!$E$5:$E$2004,J56,Detalle_Pagos!$J$5:$J$2004,"No"))</f>
        <v/>
      </c>
      <c r="L56" s="43">
        <f>IF(J56="","",SUMIFS(Detalle_Pagos!$I$5:$I$2004,Detalle_Pagos!$E$5:$E$2004,J56,Detalle_Pagos!$J$5:$J$2004,"No"))</f>
        <v/>
      </c>
      <c r="M56" s="43">
        <f>IF(J56="","",K56*IFERROR(INDEX(Trabajadores!$D$5:$D$204,MATCH(J56,Trabajadores!$B$5:$B$204,0)),0))</f>
        <v/>
      </c>
      <c r="N56" s="43">
        <f>IF(J56="","",L56+M56)</f>
        <v/>
      </c>
      <c r="O56" s="44">
        <f>IF(J56="","",IF(K56=0,"",LOOKUP(2,1/((Detalle_Pagos!$E$5:$E$2004=J56)*(Detalle_Pagos!$J$5:$J$2004="No")),Detalle_Pagos!$B$5:$B$2004)))</f>
        <v/>
      </c>
      <c r="P56" s="43">
        <f>IF(J56="","",SUMIFS(Detalle_Pagos!$I$5:$I$2004,Detalle_Pagos!$E$5:$E$2004,J56,Detalle_Pagos!$J$5:$J$2004,"Si"))</f>
        <v/>
      </c>
      <c r="Q56">
        <f>IF(J56="","",COUNTIFS(Detalle_Pagos!$E$5:$E$2004,J56,Detalle_Pagos!$J$5:$J$2004,"Si"))</f>
        <v/>
      </c>
      <c r="R56">
        <f>IF(J56="","",N56+K56/100000+(100000-ROW())/1000000000)</f>
        <v/>
      </c>
    </row>
    <row r="57">
      <c r="A57" s="36">
        <f>IFERROR(INDEX($J$8:$J$207,MATCH(LARGE($R$8:$R$207,ROWS($A$8:A57)),$R$8:$R$207,0)),"")</f>
        <v/>
      </c>
      <c r="B57" s="36">
        <f>IFERROR(INDEX($K$8:$K$207,MATCH(LARGE($R$8:$R$207,ROWS($A$8:A57)),$R$8:$R$207,0)),"")</f>
        <v/>
      </c>
      <c r="C57" s="37">
        <f>IFERROR(INDEX($L$8:$L$207,MATCH(LARGE($R$8:$R$207,ROWS($A$8:A57)),$R$8:$R$207,0)),"")</f>
        <v/>
      </c>
      <c r="D57" s="37">
        <f>IFERROR(INDEX($M$8:$M$207,MATCH(LARGE($R$8:$R$207,ROWS($A$8:A57)),$R$8:$R$207,0)),"")</f>
        <v/>
      </c>
      <c r="E57" s="37">
        <f>IFERROR(INDEX($N$8:$N$207,MATCH(LARGE($R$8:$R$207,ROWS($A$8:A57)),$R$8:$R$207,0)),"")</f>
        <v/>
      </c>
      <c r="F57" s="40">
        <f>IFERROR(INDEX($O$8:$O$207,MATCH(LARGE($R$8:$R$207,ROWS($A$8:A57)),$R$8:$R$207,0)),"")</f>
        <v/>
      </c>
      <c r="G57" s="37">
        <f>IFERROR(INDEX($P$8:$P$207,MATCH(LARGE($R$8:$R$207,ROWS($A$8:A57)),$R$8:$R$207,0)),"")</f>
        <v/>
      </c>
      <c r="H57" s="36">
        <f>IFERROR(INDEX($Q$8:$Q$207,MATCH(LARGE($R$8:$R$207,ROWS($A$8:A57)),$R$8:$R$207,0)),"")</f>
        <v/>
      </c>
      <c r="J57">
        <f>IF(Trabajadores!B54="","",Trabajadores!B54)</f>
        <v/>
      </c>
      <c r="K57">
        <f>IF(J57="","",COUNTIFS(Detalle_Pagos!$E$5:$E$2004,J57,Detalle_Pagos!$J$5:$J$2004,"No"))</f>
        <v/>
      </c>
      <c r="L57" s="43">
        <f>IF(J57="","",SUMIFS(Detalle_Pagos!$I$5:$I$2004,Detalle_Pagos!$E$5:$E$2004,J57,Detalle_Pagos!$J$5:$J$2004,"No"))</f>
        <v/>
      </c>
      <c r="M57" s="43">
        <f>IF(J57="","",K57*IFERROR(INDEX(Trabajadores!$D$5:$D$204,MATCH(J57,Trabajadores!$B$5:$B$204,0)),0))</f>
        <v/>
      </c>
      <c r="N57" s="43">
        <f>IF(J57="","",L57+M57)</f>
        <v/>
      </c>
      <c r="O57" s="44">
        <f>IF(J57="","",IF(K57=0,"",LOOKUP(2,1/((Detalle_Pagos!$E$5:$E$2004=J57)*(Detalle_Pagos!$J$5:$J$2004="No")),Detalle_Pagos!$B$5:$B$2004)))</f>
        <v/>
      </c>
      <c r="P57" s="43">
        <f>IF(J57="","",SUMIFS(Detalle_Pagos!$I$5:$I$2004,Detalle_Pagos!$E$5:$E$2004,J57,Detalle_Pagos!$J$5:$J$2004,"Si"))</f>
        <v/>
      </c>
      <c r="Q57">
        <f>IF(J57="","",COUNTIFS(Detalle_Pagos!$E$5:$E$2004,J57,Detalle_Pagos!$J$5:$J$2004,"Si"))</f>
        <v/>
      </c>
      <c r="R57">
        <f>IF(J57="","",N57+K57/100000+(100000-ROW())/1000000000)</f>
        <v/>
      </c>
    </row>
    <row r="58">
      <c r="A58" s="38">
        <f>IFERROR(INDEX($J$8:$J$207,MATCH(LARGE($R$8:$R$207,ROWS($A$8:A58)),$R$8:$R$207,0)),"")</f>
        <v/>
      </c>
      <c r="B58" s="38">
        <f>IFERROR(INDEX($K$8:$K$207,MATCH(LARGE($R$8:$R$207,ROWS($A$8:A58)),$R$8:$R$207,0)),"")</f>
        <v/>
      </c>
      <c r="C58" s="39">
        <f>IFERROR(INDEX($L$8:$L$207,MATCH(LARGE($R$8:$R$207,ROWS($A$8:A58)),$R$8:$R$207,0)),"")</f>
        <v/>
      </c>
      <c r="D58" s="39">
        <f>IFERROR(INDEX($M$8:$M$207,MATCH(LARGE($R$8:$R$207,ROWS($A$8:A58)),$R$8:$R$207,0)),"")</f>
        <v/>
      </c>
      <c r="E58" s="39">
        <f>IFERROR(INDEX($N$8:$N$207,MATCH(LARGE($R$8:$R$207,ROWS($A$8:A58)),$R$8:$R$207,0)),"")</f>
        <v/>
      </c>
      <c r="F58" s="41">
        <f>IFERROR(INDEX($O$8:$O$207,MATCH(LARGE($R$8:$R$207,ROWS($A$8:A58)),$R$8:$R$207,0)),"")</f>
        <v/>
      </c>
      <c r="G58" s="39">
        <f>IFERROR(INDEX($P$8:$P$207,MATCH(LARGE($R$8:$R$207,ROWS($A$8:A58)),$R$8:$R$207,0)),"")</f>
        <v/>
      </c>
      <c r="H58" s="38">
        <f>IFERROR(INDEX($Q$8:$Q$207,MATCH(LARGE($R$8:$R$207,ROWS($A$8:A58)),$R$8:$R$207,0)),"")</f>
        <v/>
      </c>
      <c r="J58">
        <f>IF(Trabajadores!B55="","",Trabajadores!B55)</f>
        <v/>
      </c>
      <c r="K58">
        <f>IF(J58="","",COUNTIFS(Detalle_Pagos!$E$5:$E$2004,J58,Detalle_Pagos!$J$5:$J$2004,"No"))</f>
        <v/>
      </c>
      <c r="L58" s="43">
        <f>IF(J58="","",SUMIFS(Detalle_Pagos!$I$5:$I$2004,Detalle_Pagos!$E$5:$E$2004,J58,Detalle_Pagos!$J$5:$J$2004,"No"))</f>
        <v/>
      </c>
      <c r="M58" s="43">
        <f>IF(J58="","",K58*IFERROR(INDEX(Trabajadores!$D$5:$D$204,MATCH(J58,Trabajadores!$B$5:$B$204,0)),0))</f>
        <v/>
      </c>
      <c r="N58" s="43">
        <f>IF(J58="","",L58+M58)</f>
        <v/>
      </c>
      <c r="O58" s="44">
        <f>IF(J58="","",IF(K58=0,"",LOOKUP(2,1/((Detalle_Pagos!$E$5:$E$2004=J58)*(Detalle_Pagos!$J$5:$J$2004="No")),Detalle_Pagos!$B$5:$B$2004)))</f>
        <v/>
      </c>
      <c r="P58" s="43">
        <f>IF(J58="","",SUMIFS(Detalle_Pagos!$I$5:$I$2004,Detalle_Pagos!$E$5:$E$2004,J58,Detalle_Pagos!$J$5:$J$2004,"Si"))</f>
        <v/>
      </c>
      <c r="Q58">
        <f>IF(J58="","",COUNTIFS(Detalle_Pagos!$E$5:$E$2004,J58,Detalle_Pagos!$J$5:$J$2004,"Si"))</f>
        <v/>
      </c>
      <c r="R58">
        <f>IF(J58="","",N58+K58/100000+(100000-ROW())/1000000000)</f>
        <v/>
      </c>
    </row>
    <row r="59">
      <c r="A59" s="36">
        <f>IFERROR(INDEX($J$8:$J$207,MATCH(LARGE($R$8:$R$207,ROWS($A$8:A59)),$R$8:$R$207,0)),"")</f>
        <v/>
      </c>
      <c r="B59" s="36">
        <f>IFERROR(INDEX($K$8:$K$207,MATCH(LARGE($R$8:$R$207,ROWS($A$8:A59)),$R$8:$R$207,0)),"")</f>
        <v/>
      </c>
      <c r="C59" s="37">
        <f>IFERROR(INDEX($L$8:$L$207,MATCH(LARGE($R$8:$R$207,ROWS($A$8:A59)),$R$8:$R$207,0)),"")</f>
        <v/>
      </c>
      <c r="D59" s="37">
        <f>IFERROR(INDEX($M$8:$M$207,MATCH(LARGE($R$8:$R$207,ROWS($A$8:A59)),$R$8:$R$207,0)),"")</f>
        <v/>
      </c>
      <c r="E59" s="37">
        <f>IFERROR(INDEX($N$8:$N$207,MATCH(LARGE($R$8:$R$207,ROWS($A$8:A59)),$R$8:$R$207,0)),"")</f>
        <v/>
      </c>
      <c r="F59" s="40">
        <f>IFERROR(INDEX($O$8:$O$207,MATCH(LARGE($R$8:$R$207,ROWS($A$8:A59)),$R$8:$R$207,0)),"")</f>
        <v/>
      </c>
      <c r="G59" s="37">
        <f>IFERROR(INDEX($P$8:$P$207,MATCH(LARGE($R$8:$R$207,ROWS($A$8:A59)),$R$8:$R$207,0)),"")</f>
        <v/>
      </c>
      <c r="H59" s="36">
        <f>IFERROR(INDEX($Q$8:$Q$207,MATCH(LARGE($R$8:$R$207,ROWS($A$8:A59)),$R$8:$R$207,0)),"")</f>
        <v/>
      </c>
      <c r="J59">
        <f>IF(Trabajadores!B56="","",Trabajadores!B56)</f>
        <v/>
      </c>
      <c r="K59">
        <f>IF(J59="","",COUNTIFS(Detalle_Pagos!$E$5:$E$2004,J59,Detalle_Pagos!$J$5:$J$2004,"No"))</f>
        <v/>
      </c>
      <c r="L59" s="43">
        <f>IF(J59="","",SUMIFS(Detalle_Pagos!$I$5:$I$2004,Detalle_Pagos!$E$5:$E$2004,J59,Detalle_Pagos!$J$5:$J$2004,"No"))</f>
        <v/>
      </c>
      <c r="M59" s="43">
        <f>IF(J59="","",K59*IFERROR(INDEX(Trabajadores!$D$5:$D$204,MATCH(J59,Trabajadores!$B$5:$B$204,0)),0))</f>
        <v/>
      </c>
      <c r="N59" s="43">
        <f>IF(J59="","",L59+M59)</f>
        <v/>
      </c>
      <c r="O59" s="44">
        <f>IF(J59="","",IF(K59=0,"",LOOKUP(2,1/((Detalle_Pagos!$E$5:$E$2004=J59)*(Detalle_Pagos!$J$5:$J$2004="No")),Detalle_Pagos!$B$5:$B$2004)))</f>
        <v/>
      </c>
      <c r="P59" s="43">
        <f>IF(J59="","",SUMIFS(Detalle_Pagos!$I$5:$I$2004,Detalle_Pagos!$E$5:$E$2004,J59,Detalle_Pagos!$J$5:$J$2004,"Si"))</f>
        <v/>
      </c>
      <c r="Q59">
        <f>IF(J59="","",COUNTIFS(Detalle_Pagos!$E$5:$E$2004,J59,Detalle_Pagos!$J$5:$J$2004,"Si"))</f>
        <v/>
      </c>
      <c r="R59">
        <f>IF(J59="","",N59+K59/100000+(100000-ROW())/1000000000)</f>
        <v/>
      </c>
    </row>
    <row r="60">
      <c r="A60" s="38">
        <f>IFERROR(INDEX($J$8:$J$207,MATCH(LARGE($R$8:$R$207,ROWS($A$8:A60)),$R$8:$R$207,0)),"")</f>
        <v/>
      </c>
      <c r="B60" s="38">
        <f>IFERROR(INDEX($K$8:$K$207,MATCH(LARGE($R$8:$R$207,ROWS($A$8:A60)),$R$8:$R$207,0)),"")</f>
        <v/>
      </c>
      <c r="C60" s="39">
        <f>IFERROR(INDEX($L$8:$L$207,MATCH(LARGE($R$8:$R$207,ROWS($A$8:A60)),$R$8:$R$207,0)),"")</f>
        <v/>
      </c>
      <c r="D60" s="39">
        <f>IFERROR(INDEX($M$8:$M$207,MATCH(LARGE($R$8:$R$207,ROWS($A$8:A60)),$R$8:$R$207,0)),"")</f>
        <v/>
      </c>
      <c r="E60" s="39">
        <f>IFERROR(INDEX($N$8:$N$207,MATCH(LARGE($R$8:$R$207,ROWS($A$8:A60)),$R$8:$R$207,0)),"")</f>
        <v/>
      </c>
      <c r="F60" s="41">
        <f>IFERROR(INDEX($O$8:$O$207,MATCH(LARGE($R$8:$R$207,ROWS($A$8:A60)),$R$8:$R$207,0)),"")</f>
        <v/>
      </c>
      <c r="G60" s="39">
        <f>IFERROR(INDEX($P$8:$P$207,MATCH(LARGE($R$8:$R$207,ROWS($A$8:A60)),$R$8:$R$207,0)),"")</f>
        <v/>
      </c>
      <c r="H60" s="38">
        <f>IFERROR(INDEX($Q$8:$Q$207,MATCH(LARGE($R$8:$R$207,ROWS($A$8:A60)),$R$8:$R$207,0)),"")</f>
        <v/>
      </c>
      <c r="J60">
        <f>IF(Trabajadores!B57="","",Trabajadores!B57)</f>
        <v/>
      </c>
      <c r="K60">
        <f>IF(J60="","",COUNTIFS(Detalle_Pagos!$E$5:$E$2004,J60,Detalle_Pagos!$J$5:$J$2004,"No"))</f>
        <v/>
      </c>
      <c r="L60" s="43">
        <f>IF(J60="","",SUMIFS(Detalle_Pagos!$I$5:$I$2004,Detalle_Pagos!$E$5:$E$2004,J60,Detalle_Pagos!$J$5:$J$2004,"No"))</f>
        <v/>
      </c>
      <c r="M60" s="43">
        <f>IF(J60="","",K60*IFERROR(INDEX(Trabajadores!$D$5:$D$204,MATCH(J60,Trabajadores!$B$5:$B$204,0)),0))</f>
        <v/>
      </c>
      <c r="N60" s="43">
        <f>IF(J60="","",L60+M60)</f>
        <v/>
      </c>
      <c r="O60" s="44">
        <f>IF(J60="","",IF(K60=0,"",LOOKUP(2,1/((Detalle_Pagos!$E$5:$E$2004=J60)*(Detalle_Pagos!$J$5:$J$2004="No")),Detalle_Pagos!$B$5:$B$2004)))</f>
        <v/>
      </c>
      <c r="P60" s="43">
        <f>IF(J60="","",SUMIFS(Detalle_Pagos!$I$5:$I$2004,Detalle_Pagos!$E$5:$E$2004,J60,Detalle_Pagos!$J$5:$J$2004,"Si"))</f>
        <v/>
      </c>
      <c r="Q60">
        <f>IF(J60="","",COUNTIFS(Detalle_Pagos!$E$5:$E$2004,J60,Detalle_Pagos!$J$5:$J$2004,"Si"))</f>
        <v/>
      </c>
      <c r="R60">
        <f>IF(J60="","",N60+K60/100000+(100000-ROW())/1000000000)</f>
        <v/>
      </c>
    </row>
    <row r="61">
      <c r="A61" s="36">
        <f>IFERROR(INDEX($J$8:$J$207,MATCH(LARGE($R$8:$R$207,ROWS($A$8:A61)),$R$8:$R$207,0)),"")</f>
        <v/>
      </c>
      <c r="B61" s="36">
        <f>IFERROR(INDEX($K$8:$K$207,MATCH(LARGE($R$8:$R$207,ROWS($A$8:A61)),$R$8:$R$207,0)),"")</f>
        <v/>
      </c>
      <c r="C61" s="37">
        <f>IFERROR(INDEX($L$8:$L$207,MATCH(LARGE($R$8:$R$207,ROWS($A$8:A61)),$R$8:$R$207,0)),"")</f>
        <v/>
      </c>
      <c r="D61" s="37">
        <f>IFERROR(INDEX($M$8:$M$207,MATCH(LARGE($R$8:$R$207,ROWS($A$8:A61)),$R$8:$R$207,0)),"")</f>
        <v/>
      </c>
      <c r="E61" s="37">
        <f>IFERROR(INDEX($N$8:$N$207,MATCH(LARGE($R$8:$R$207,ROWS($A$8:A61)),$R$8:$R$207,0)),"")</f>
        <v/>
      </c>
      <c r="F61" s="40">
        <f>IFERROR(INDEX($O$8:$O$207,MATCH(LARGE($R$8:$R$207,ROWS($A$8:A61)),$R$8:$R$207,0)),"")</f>
        <v/>
      </c>
      <c r="G61" s="37">
        <f>IFERROR(INDEX($P$8:$P$207,MATCH(LARGE($R$8:$R$207,ROWS($A$8:A61)),$R$8:$R$207,0)),"")</f>
        <v/>
      </c>
      <c r="H61" s="36">
        <f>IFERROR(INDEX($Q$8:$Q$207,MATCH(LARGE($R$8:$R$207,ROWS($A$8:A61)),$R$8:$R$207,0)),"")</f>
        <v/>
      </c>
      <c r="J61">
        <f>IF(Trabajadores!B58="","",Trabajadores!B58)</f>
        <v/>
      </c>
      <c r="K61">
        <f>IF(J61="","",COUNTIFS(Detalle_Pagos!$E$5:$E$2004,J61,Detalle_Pagos!$J$5:$J$2004,"No"))</f>
        <v/>
      </c>
      <c r="L61" s="43">
        <f>IF(J61="","",SUMIFS(Detalle_Pagos!$I$5:$I$2004,Detalle_Pagos!$E$5:$E$2004,J61,Detalle_Pagos!$J$5:$J$2004,"No"))</f>
        <v/>
      </c>
      <c r="M61" s="43">
        <f>IF(J61="","",K61*IFERROR(INDEX(Trabajadores!$D$5:$D$204,MATCH(J61,Trabajadores!$B$5:$B$204,0)),0))</f>
        <v/>
      </c>
      <c r="N61" s="43">
        <f>IF(J61="","",L61+M61)</f>
        <v/>
      </c>
      <c r="O61" s="44">
        <f>IF(J61="","",IF(K61=0,"",LOOKUP(2,1/((Detalle_Pagos!$E$5:$E$2004=J61)*(Detalle_Pagos!$J$5:$J$2004="No")),Detalle_Pagos!$B$5:$B$2004)))</f>
        <v/>
      </c>
      <c r="P61" s="43">
        <f>IF(J61="","",SUMIFS(Detalle_Pagos!$I$5:$I$2004,Detalle_Pagos!$E$5:$E$2004,J61,Detalle_Pagos!$J$5:$J$2004,"Si"))</f>
        <v/>
      </c>
      <c r="Q61">
        <f>IF(J61="","",COUNTIFS(Detalle_Pagos!$E$5:$E$2004,J61,Detalle_Pagos!$J$5:$J$2004,"Si"))</f>
        <v/>
      </c>
      <c r="R61">
        <f>IF(J61="","",N61+K61/100000+(100000-ROW())/1000000000)</f>
        <v/>
      </c>
    </row>
    <row r="62">
      <c r="A62" s="38">
        <f>IFERROR(INDEX($J$8:$J$207,MATCH(LARGE($R$8:$R$207,ROWS($A$8:A62)),$R$8:$R$207,0)),"")</f>
        <v/>
      </c>
      <c r="B62" s="38">
        <f>IFERROR(INDEX($K$8:$K$207,MATCH(LARGE($R$8:$R$207,ROWS($A$8:A62)),$R$8:$R$207,0)),"")</f>
        <v/>
      </c>
      <c r="C62" s="39">
        <f>IFERROR(INDEX($L$8:$L$207,MATCH(LARGE($R$8:$R$207,ROWS($A$8:A62)),$R$8:$R$207,0)),"")</f>
        <v/>
      </c>
      <c r="D62" s="39">
        <f>IFERROR(INDEX($M$8:$M$207,MATCH(LARGE($R$8:$R$207,ROWS($A$8:A62)),$R$8:$R$207,0)),"")</f>
        <v/>
      </c>
      <c r="E62" s="39">
        <f>IFERROR(INDEX($N$8:$N$207,MATCH(LARGE($R$8:$R$207,ROWS($A$8:A62)),$R$8:$R$207,0)),"")</f>
        <v/>
      </c>
      <c r="F62" s="41">
        <f>IFERROR(INDEX($O$8:$O$207,MATCH(LARGE($R$8:$R$207,ROWS($A$8:A62)),$R$8:$R$207,0)),"")</f>
        <v/>
      </c>
      <c r="G62" s="39">
        <f>IFERROR(INDEX($P$8:$P$207,MATCH(LARGE($R$8:$R$207,ROWS($A$8:A62)),$R$8:$R$207,0)),"")</f>
        <v/>
      </c>
      <c r="H62" s="38">
        <f>IFERROR(INDEX($Q$8:$Q$207,MATCH(LARGE($R$8:$R$207,ROWS($A$8:A62)),$R$8:$R$207,0)),"")</f>
        <v/>
      </c>
      <c r="J62">
        <f>IF(Trabajadores!B59="","",Trabajadores!B59)</f>
        <v/>
      </c>
      <c r="K62">
        <f>IF(J62="","",COUNTIFS(Detalle_Pagos!$E$5:$E$2004,J62,Detalle_Pagos!$J$5:$J$2004,"No"))</f>
        <v/>
      </c>
      <c r="L62" s="43">
        <f>IF(J62="","",SUMIFS(Detalle_Pagos!$I$5:$I$2004,Detalle_Pagos!$E$5:$E$2004,J62,Detalle_Pagos!$J$5:$J$2004,"No"))</f>
        <v/>
      </c>
      <c r="M62" s="43">
        <f>IF(J62="","",K62*IFERROR(INDEX(Trabajadores!$D$5:$D$204,MATCH(J62,Trabajadores!$B$5:$B$204,0)),0))</f>
        <v/>
      </c>
      <c r="N62" s="43">
        <f>IF(J62="","",L62+M62)</f>
        <v/>
      </c>
      <c r="O62" s="44">
        <f>IF(J62="","",IF(K62=0,"",LOOKUP(2,1/((Detalle_Pagos!$E$5:$E$2004=J62)*(Detalle_Pagos!$J$5:$J$2004="No")),Detalle_Pagos!$B$5:$B$2004)))</f>
        <v/>
      </c>
      <c r="P62" s="43">
        <f>IF(J62="","",SUMIFS(Detalle_Pagos!$I$5:$I$2004,Detalle_Pagos!$E$5:$E$2004,J62,Detalle_Pagos!$J$5:$J$2004,"Si"))</f>
        <v/>
      </c>
      <c r="Q62">
        <f>IF(J62="","",COUNTIFS(Detalle_Pagos!$E$5:$E$2004,J62,Detalle_Pagos!$J$5:$J$2004,"Si"))</f>
        <v/>
      </c>
      <c r="R62">
        <f>IF(J62="","",N62+K62/100000+(100000-ROW())/1000000000)</f>
        <v/>
      </c>
    </row>
    <row r="63">
      <c r="A63" s="36">
        <f>IFERROR(INDEX($J$8:$J$207,MATCH(LARGE($R$8:$R$207,ROWS($A$8:A63)),$R$8:$R$207,0)),"")</f>
        <v/>
      </c>
      <c r="B63" s="36">
        <f>IFERROR(INDEX($K$8:$K$207,MATCH(LARGE($R$8:$R$207,ROWS($A$8:A63)),$R$8:$R$207,0)),"")</f>
        <v/>
      </c>
      <c r="C63" s="37">
        <f>IFERROR(INDEX($L$8:$L$207,MATCH(LARGE($R$8:$R$207,ROWS($A$8:A63)),$R$8:$R$207,0)),"")</f>
        <v/>
      </c>
      <c r="D63" s="37">
        <f>IFERROR(INDEX($M$8:$M$207,MATCH(LARGE($R$8:$R$207,ROWS($A$8:A63)),$R$8:$R$207,0)),"")</f>
        <v/>
      </c>
      <c r="E63" s="37">
        <f>IFERROR(INDEX($N$8:$N$207,MATCH(LARGE($R$8:$R$207,ROWS($A$8:A63)),$R$8:$R$207,0)),"")</f>
        <v/>
      </c>
      <c r="F63" s="40">
        <f>IFERROR(INDEX($O$8:$O$207,MATCH(LARGE($R$8:$R$207,ROWS($A$8:A63)),$R$8:$R$207,0)),"")</f>
        <v/>
      </c>
      <c r="G63" s="37">
        <f>IFERROR(INDEX($P$8:$P$207,MATCH(LARGE($R$8:$R$207,ROWS($A$8:A63)),$R$8:$R$207,0)),"")</f>
        <v/>
      </c>
      <c r="H63" s="36">
        <f>IFERROR(INDEX($Q$8:$Q$207,MATCH(LARGE($R$8:$R$207,ROWS($A$8:A63)),$R$8:$R$207,0)),"")</f>
        <v/>
      </c>
      <c r="J63">
        <f>IF(Trabajadores!B60="","",Trabajadores!B60)</f>
        <v/>
      </c>
      <c r="K63">
        <f>IF(J63="","",COUNTIFS(Detalle_Pagos!$E$5:$E$2004,J63,Detalle_Pagos!$J$5:$J$2004,"No"))</f>
        <v/>
      </c>
      <c r="L63" s="43">
        <f>IF(J63="","",SUMIFS(Detalle_Pagos!$I$5:$I$2004,Detalle_Pagos!$E$5:$E$2004,J63,Detalle_Pagos!$J$5:$J$2004,"No"))</f>
        <v/>
      </c>
      <c r="M63" s="43">
        <f>IF(J63="","",K63*IFERROR(INDEX(Trabajadores!$D$5:$D$204,MATCH(J63,Trabajadores!$B$5:$B$204,0)),0))</f>
        <v/>
      </c>
      <c r="N63" s="43">
        <f>IF(J63="","",L63+M63)</f>
        <v/>
      </c>
      <c r="O63" s="44">
        <f>IF(J63="","",IF(K63=0,"",LOOKUP(2,1/((Detalle_Pagos!$E$5:$E$2004=J63)*(Detalle_Pagos!$J$5:$J$2004="No")),Detalle_Pagos!$B$5:$B$2004)))</f>
        <v/>
      </c>
      <c r="P63" s="43">
        <f>IF(J63="","",SUMIFS(Detalle_Pagos!$I$5:$I$2004,Detalle_Pagos!$E$5:$E$2004,J63,Detalle_Pagos!$J$5:$J$2004,"Si"))</f>
        <v/>
      </c>
      <c r="Q63">
        <f>IF(J63="","",COUNTIFS(Detalle_Pagos!$E$5:$E$2004,J63,Detalle_Pagos!$J$5:$J$2004,"Si"))</f>
        <v/>
      </c>
      <c r="R63">
        <f>IF(J63="","",N63+K63/100000+(100000-ROW())/1000000000)</f>
        <v/>
      </c>
    </row>
    <row r="64">
      <c r="A64" s="38">
        <f>IFERROR(INDEX($J$8:$J$207,MATCH(LARGE($R$8:$R$207,ROWS($A$8:A64)),$R$8:$R$207,0)),"")</f>
        <v/>
      </c>
      <c r="B64" s="38">
        <f>IFERROR(INDEX($K$8:$K$207,MATCH(LARGE($R$8:$R$207,ROWS($A$8:A64)),$R$8:$R$207,0)),"")</f>
        <v/>
      </c>
      <c r="C64" s="39">
        <f>IFERROR(INDEX($L$8:$L$207,MATCH(LARGE($R$8:$R$207,ROWS($A$8:A64)),$R$8:$R$207,0)),"")</f>
        <v/>
      </c>
      <c r="D64" s="39">
        <f>IFERROR(INDEX($M$8:$M$207,MATCH(LARGE($R$8:$R$207,ROWS($A$8:A64)),$R$8:$R$207,0)),"")</f>
        <v/>
      </c>
      <c r="E64" s="39">
        <f>IFERROR(INDEX($N$8:$N$207,MATCH(LARGE($R$8:$R$207,ROWS($A$8:A64)),$R$8:$R$207,0)),"")</f>
        <v/>
      </c>
      <c r="F64" s="41">
        <f>IFERROR(INDEX($O$8:$O$207,MATCH(LARGE($R$8:$R$207,ROWS($A$8:A64)),$R$8:$R$207,0)),"")</f>
        <v/>
      </c>
      <c r="G64" s="39">
        <f>IFERROR(INDEX($P$8:$P$207,MATCH(LARGE($R$8:$R$207,ROWS($A$8:A64)),$R$8:$R$207,0)),"")</f>
        <v/>
      </c>
      <c r="H64" s="38">
        <f>IFERROR(INDEX($Q$8:$Q$207,MATCH(LARGE($R$8:$R$207,ROWS($A$8:A64)),$R$8:$R$207,0)),"")</f>
        <v/>
      </c>
      <c r="J64">
        <f>IF(Trabajadores!B61="","",Trabajadores!B61)</f>
        <v/>
      </c>
      <c r="K64">
        <f>IF(J64="","",COUNTIFS(Detalle_Pagos!$E$5:$E$2004,J64,Detalle_Pagos!$J$5:$J$2004,"No"))</f>
        <v/>
      </c>
      <c r="L64" s="43">
        <f>IF(J64="","",SUMIFS(Detalle_Pagos!$I$5:$I$2004,Detalle_Pagos!$E$5:$E$2004,J64,Detalle_Pagos!$J$5:$J$2004,"No"))</f>
        <v/>
      </c>
      <c r="M64" s="43">
        <f>IF(J64="","",K64*IFERROR(INDEX(Trabajadores!$D$5:$D$204,MATCH(J64,Trabajadores!$B$5:$B$204,0)),0))</f>
        <v/>
      </c>
      <c r="N64" s="43">
        <f>IF(J64="","",L64+M64)</f>
        <v/>
      </c>
      <c r="O64" s="44">
        <f>IF(J64="","",IF(K64=0,"",LOOKUP(2,1/((Detalle_Pagos!$E$5:$E$2004=J64)*(Detalle_Pagos!$J$5:$J$2004="No")),Detalle_Pagos!$B$5:$B$2004)))</f>
        <v/>
      </c>
      <c r="P64" s="43">
        <f>IF(J64="","",SUMIFS(Detalle_Pagos!$I$5:$I$2004,Detalle_Pagos!$E$5:$E$2004,J64,Detalle_Pagos!$J$5:$J$2004,"Si"))</f>
        <v/>
      </c>
      <c r="Q64">
        <f>IF(J64="","",COUNTIFS(Detalle_Pagos!$E$5:$E$2004,J64,Detalle_Pagos!$J$5:$J$2004,"Si"))</f>
        <v/>
      </c>
      <c r="R64">
        <f>IF(J64="","",N64+K64/100000+(100000-ROW())/1000000000)</f>
        <v/>
      </c>
    </row>
    <row r="65">
      <c r="A65" s="36">
        <f>IFERROR(INDEX($J$8:$J$207,MATCH(LARGE($R$8:$R$207,ROWS($A$8:A65)),$R$8:$R$207,0)),"")</f>
        <v/>
      </c>
      <c r="B65" s="36">
        <f>IFERROR(INDEX($K$8:$K$207,MATCH(LARGE($R$8:$R$207,ROWS($A$8:A65)),$R$8:$R$207,0)),"")</f>
        <v/>
      </c>
      <c r="C65" s="37">
        <f>IFERROR(INDEX($L$8:$L$207,MATCH(LARGE($R$8:$R$207,ROWS($A$8:A65)),$R$8:$R$207,0)),"")</f>
        <v/>
      </c>
      <c r="D65" s="37">
        <f>IFERROR(INDEX($M$8:$M$207,MATCH(LARGE($R$8:$R$207,ROWS($A$8:A65)),$R$8:$R$207,0)),"")</f>
        <v/>
      </c>
      <c r="E65" s="37">
        <f>IFERROR(INDEX($N$8:$N$207,MATCH(LARGE($R$8:$R$207,ROWS($A$8:A65)),$R$8:$R$207,0)),"")</f>
        <v/>
      </c>
      <c r="F65" s="40">
        <f>IFERROR(INDEX($O$8:$O$207,MATCH(LARGE($R$8:$R$207,ROWS($A$8:A65)),$R$8:$R$207,0)),"")</f>
        <v/>
      </c>
      <c r="G65" s="37">
        <f>IFERROR(INDEX($P$8:$P$207,MATCH(LARGE($R$8:$R$207,ROWS($A$8:A65)),$R$8:$R$207,0)),"")</f>
        <v/>
      </c>
      <c r="H65" s="36">
        <f>IFERROR(INDEX($Q$8:$Q$207,MATCH(LARGE($R$8:$R$207,ROWS($A$8:A65)),$R$8:$R$207,0)),"")</f>
        <v/>
      </c>
      <c r="J65">
        <f>IF(Trabajadores!B62="","",Trabajadores!B62)</f>
        <v/>
      </c>
      <c r="K65">
        <f>IF(J65="","",COUNTIFS(Detalle_Pagos!$E$5:$E$2004,J65,Detalle_Pagos!$J$5:$J$2004,"No"))</f>
        <v/>
      </c>
      <c r="L65" s="43">
        <f>IF(J65="","",SUMIFS(Detalle_Pagos!$I$5:$I$2004,Detalle_Pagos!$E$5:$E$2004,J65,Detalle_Pagos!$J$5:$J$2004,"No"))</f>
        <v/>
      </c>
      <c r="M65" s="43">
        <f>IF(J65="","",K65*IFERROR(INDEX(Trabajadores!$D$5:$D$204,MATCH(J65,Trabajadores!$B$5:$B$204,0)),0))</f>
        <v/>
      </c>
      <c r="N65" s="43">
        <f>IF(J65="","",L65+M65)</f>
        <v/>
      </c>
      <c r="O65" s="44">
        <f>IF(J65="","",IF(K65=0,"",LOOKUP(2,1/((Detalle_Pagos!$E$5:$E$2004=J65)*(Detalle_Pagos!$J$5:$J$2004="No")),Detalle_Pagos!$B$5:$B$2004)))</f>
        <v/>
      </c>
      <c r="P65" s="43">
        <f>IF(J65="","",SUMIFS(Detalle_Pagos!$I$5:$I$2004,Detalle_Pagos!$E$5:$E$2004,J65,Detalle_Pagos!$J$5:$J$2004,"Si"))</f>
        <v/>
      </c>
      <c r="Q65">
        <f>IF(J65="","",COUNTIFS(Detalle_Pagos!$E$5:$E$2004,J65,Detalle_Pagos!$J$5:$J$2004,"Si"))</f>
        <v/>
      </c>
      <c r="R65">
        <f>IF(J65="","",N65+K65/100000+(100000-ROW())/1000000000)</f>
        <v/>
      </c>
    </row>
    <row r="66">
      <c r="A66" s="38">
        <f>IFERROR(INDEX($J$8:$J$207,MATCH(LARGE($R$8:$R$207,ROWS($A$8:A66)),$R$8:$R$207,0)),"")</f>
        <v/>
      </c>
      <c r="B66" s="38">
        <f>IFERROR(INDEX($K$8:$K$207,MATCH(LARGE($R$8:$R$207,ROWS($A$8:A66)),$R$8:$R$207,0)),"")</f>
        <v/>
      </c>
      <c r="C66" s="39">
        <f>IFERROR(INDEX($L$8:$L$207,MATCH(LARGE($R$8:$R$207,ROWS($A$8:A66)),$R$8:$R$207,0)),"")</f>
        <v/>
      </c>
      <c r="D66" s="39">
        <f>IFERROR(INDEX($M$8:$M$207,MATCH(LARGE($R$8:$R$207,ROWS($A$8:A66)),$R$8:$R$207,0)),"")</f>
        <v/>
      </c>
      <c r="E66" s="39">
        <f>IFERROR(INDEX($N$8:$N$207,MATCH(LARGE($R$8:$R$207,ROWS($A$8:A66)),$R$8:$R$207,0)),"")</f>
        <v/>
      </c>
      <c r="F66" s="41">
        <f>IFERROR(INDEX($O$8:$O$207,MATCH(LARGE($R$8:$R$207,ROWS($A$8:A66)),$R$8:$R$207,0)),"")</f>
        <v/>
      </c>
      <c r="G66" s="39">
        <f>IFERROR(INDEX($P$8:$P$207,MATCH(LARGE($R$8:$R$207,ROWS($A$8:A66)),$R$8:$R$207,0)),"")</f>
        <v/>
      </c>
      <c r="H66" s="38">
        <f>IFERROR(INDEX($Q$8:$Q$207,MATCH(LARGE($R$8:$R$207,ROWS($A$8:A66)),$R$8:$R$207,0)),"")</f>
        <v/>
      </c>
      <c r="J66">
        <f>IF(Trabajadores!B63="","",Trabajadores!B63)</f>
        <v/>
      </c>
      <c r="K66">
        <f>IF(J66="","",COUNTIFS(Detalle_Pagos!$E$5:$E$2004,J66,Detalle_Pagos!$J$5:$J$2004,"No"))</f>
        <v/>
      </c>
      <c r="L66" s="43">
        <f>IF(J66="","",SUMIFS(Detalle_Pagos!$I$5:$I$2004,Detalle_Pagos!$E$5:$E$2004,J66,Detalle_Pagos!$J$5:$J$2004,"No"))</f>
        <v/>
      </c>
      <c r="M66" s="43">
        <f>IF(J66="","",K66*IFERROR(INDEX(Trabajadores!$D$5:$D$204,MATCH(J66,Trabajadores!$B$5:$B$204,0)),0))</f>
        <v/>
      </c>
      <c r="N66" s="43">
        <f>IF(J66="","",L66+M66)</f>
        <v/>
      </c>
      <c r="O66" s="44">
        <f>IF(J66="","",IF(K66=0,"",LOOKUP(2,1/((Detalle_Pagos!$E$5:$E$2004=J66)*(Detalle_Pagos!$J$5:$J$2004="No")),Detalle_Pagos!$B$5:$B$2004)))</f>
        <v/>
      </c>
      <c r="P66" s="43">
        <f>IF(J66="","",SUMIFS(Detalle_Pagos!$I$5:$I$2004,Detalle_Pagos!$E$5:$E$2004,J66,Detalle_Pagos!$J$5:$J$2004,"Si"))</f>
        <v/>
      </c>
      <c r="Q66">
        <f>IF(J66="","",COUNTIFS(Detalle_Pagos!$E$5:$E$2004,J66,Detalle_Pagos!$J$5:$J$2004,"Si"))</f>
        <v/>
      </c>
      <c r="R66">
        <f>IF(J66="","",N66+K66/100000+(100000-ROW())/1000000000)</f>
        <v/>
      </c>
    </row>
    <row r="67">
      <c r="A67" s="36">
        <f>IFERROR(INDEX($J$8:$J$207,MATCH(LARGE($R$8:$R$207,ROWS($A$8:A67)),$R$8:$R$207,0)),"")</f>
        <v/>
      </c>
      <c r="B67" s="36">
        <f>IFERROR(INDEX($K$8:$K$207,MATCH(LARGE($R$8:$R$207,ROWS($A$8:A67)),$R$8:$R$207,0)),"")</f>
        <v/>
      </c>
      <c r="C67" s="37">
        <f>IFERROR(INDEX($L$8:$L$207,MATCH(LARGE($R$8:$R$207,ROWS($A$8:A67)),$R$8:$R$207,0)),"")</f>
        <v/>
      </c>
      <c r="D67" s="37">
        <f>IFERROR(INDEX($M$8:$M$207,MATCH(LARGE($R$8:$R$207,ROWS($A$8:A67)),$R$8:$R$207,0)),"")</f>
        <v/>
      </c>
      <c r="E67" s="37">
        <f>IFERROR(INDEX($N$8:$N$207,MATCH(LARGE($R$8:$R$207,ROWS($A$8:A67)),$R$8:$R$207,0)),"")</f>
        <v/>
      </c>
      <c r="F67" s="40">
        <f>IFERROR(INDEX($O$8:$O$207,MATCH(LARGE($R$8:$R$207,ROWS($A$8:A67)),$R$8:$R$207,0)),"")</f>
        <v/>
      </c>
      <c r="G67" s="37">
        <f>IFERROR(INDEX($P$8:$P$207,MATCH(LARGE($R$8:$R$207,ROWS($A$8:A67)),$R$8:$R$207,0)),"")</f>
        <v/>
      </c>
      <c r="H67" s="36">
        <f>IFERROR(INDEX($Q$8:$Q$207,MATCH(LARGE($R$8:$R$207,ROWS($A$8:A67)),$R$8:$R$207,0)),"")</f>
        <v/>
      </c>
      <c r="J67">
        <f>IF(Trabajadores!B64="","",Trabajadores!B64)</f>
        <v/>
      </c>
      <c r="K67">
        <f>IF(J67="","",COUNTIFS(Detalle_Pagos!$E$5:$E$2004,J67,Detalle_Pagos!$J$5:$J$2004,"No"))</f>
        <v/>
      </c>
      <c r="L67" s="43">
        <f>IF(J67="","",SUMIFS(Detalle_Pagos!$I$5:$I$2004,Detalle_Pagos!$E$5:$E$2004,J67,Detalle_Pagos!$J$5:$J$2004,"No"))</f>
        <v/>
      </c>
      <c r="M67" s="43">
        <f>IF(J67="","",K67*IFERROR(INDEX(Trabajadores!$D$5:$D$204,MATCH(J67,Trabajadores!$B$5:$B$204,0)),0))</f>
        <v/>
      </c>
      <c r="N67" s="43">
        <f>IF(J67="","",L67+M67)</f>
        <v/>
      </c>
      <c r="O67" s="44">
        <f>IF(J67="","",IF(K67=0,"",LOOKUP(2,1/((Detalle_Pagos!$E$5:$E$2004=J67)*(Detalle_Pagos!$J$5:$J$2004="No")),Detalle_Pagos!$B$5:$B$2004)))</f>
        <v/>
      </c>
      <c r="P67" s="43">
        <f>IF(J67="","",SUMIFS(Detalle_Pagos!$I$5:$I$2004,Detalle_Pagos!$E$5:$E$2004,J67,Detalle_Pagos!$J$5:$J$2004,"Si"))</f>
        <v/>
      </c>
      <c r="Q67">
        <f>IF(J67="","",COUNTIFS(Detalle_Pagos!$E$5:$E$2004,J67,Detalle_Pagos!$J$5:$J$2004,"Si"))</f>
        <v/>
      </c>
      <c r="R67">
        <f>IF(J67="","",N67+K67/100000+(100000-ROW())/1000000000)</f>
        <v/>
      </c>
    </row>
    <row r="68">
      <c r="A68" s="38">
        <f>IFERROR(INDEX($J$8:$J$207,MATCH(LARGE($R$8:$R$207,ROWS($A$8:A68)),$R$8:$R$207,0)),"")</f>
        <v/>
      </c>
      <c r="B68" s="38">
        <f>IFERROR(INDEX($K$8:$K$207,MATCH(LARGE($R$8:$R$207,ROWS($A$8:A68)),$R$8:$R$207,0)),"")</f>
        <v/>
      </c>
      <c r="C68" s="39">
        <f>IFERROR(INDEX($L$8:$L$207,MATCH(LARGE($R$8:$R$207,ROWS($A$8:A68)),$R$8:$R$207,0)),"")</f>
        <v/>
      </c>
      <c r="D68" s="39">
        <f>IFERROR(INDEX($M$8:$M$207,MATCH(LARGE($R$8:$R$207,ROWS($A$8:A68)),$R$8:$R$207,0)),"")</f>
        <v/>
      </c>
      <c r="E68" s="39">
        <f>IFERROR(INDEX($N$8:$N$207,MATCH(LARGE($R$8:$R$207,ROWS($A$8:A68)),$R$8:$R$207,0)),"")</f>
        <v/>
      </c>
      <c r="F68" s="41">
        <f>IFERROR(INDEX($O$8:$O$207,MATCH(LARGE($R$8:$R$207,ROWS($A$8:A68)),$R$8:$R$207,0)),"")</f>
        <v/>
      </c>
      <c r="G68" s="39">
        <f>IFERROR(INDEX($P$8:$P$207,MATCH(LARGE($R$8:$R$207,ROWS($A$8:A68)),$R$8:$R$207,0)),"")</f>
        <v/>
      </c>
      <c r="H68" s="38">
        <f>IFERROR(INDEX($Q$8:$Q$207,MATCH(LARGE($R$8:$R$207,ROWS($A$8:A68)),$R$8:$R$207,0)),"")</f>
        <v/>
      </c>
      <c r="J68">
        <f>IF(Trabajadores!B65="","",Trabajadores!B65)</f>
        <v/>
      </c>
      <c r="K68">
        <f>IF(J68="","",COUNTIFS(Detalle_Pagos!$E$5:$E$2004,J68,Detalle_Pagos!$J$5:$J$2004,"No"))</f>
        <v/>
      </c>
      <c r="L68" s="43">
        <f>IF(J68="","",SUMIFS(Detalle_Pagos!$I$5:$I$2004,Detalle_Pagos!$E$5:$E$2004,J68,Detalle_Pagos!$J$5:$J$2004,"No"))</f>
        <v/>
      </c>
      <c r="M68" s="43">
        <f>IF(J68="","",K68*IFERROR(INDEX(Trabajadores!$D$5:$D$204,MATCH(J68,Trabajadores!$B$5:$B$204,0)),0))</f>
        <v/>
      </c>
      <c r="N68" s="43">
        <f>IF(J68="","",L68+M68)</f>
        <v/>
      </c>
      <c r="O68" s="44">
        <f>IF(J68="","",IF(K68=0,"",LOOKUP(2,1/((Detalle_Pagos!$E$5:$E$2004=J68)*(Detalle_Pagos!$J$5:$J$2004="No")),Detalle_Pagos!$B$5:$B$2004)))</f>
        <v/>
      </c>
      <c r="P68" s="43">
        <f>IF(J68="","",SUMIFS(Detalle_Pagos!$I$5:$I$2004,Detalle_Pagos!$E$5:$E$2004,J68,Detalle_Pagos!$J$5:$J$2004,"Si"))</f>
        <v/>
      </c>
      <c r="Q68">
        <f>IF(J68="","",COUNTIFS(Detalle_Pagos!$E$5:$E$2004,J68,Detalle_Pagos!$J$5:$J$2004,"Si"))</f>
        <v/>
      </c>
      <c r="R68">
        <f>IF(J68="","",N68+K68/100000+(100000-ROW())/1000000000)</f>
        <v/>
      </c>
    </row>
    <row r="69">
      <c r="A69" s="36">
        <f>IFERROR(INDEX($J$8:$J$207,MATCH(LARGE($R$8:$R$207,ROWS($A$8:A69)),$R$8:$R$207,0)),"")</f>
        <v/>
      </c>
      <c r="B69" s="36">
        <f>IFERROR(INDEX($K$8:$K$207,MATCH(LARGE($R$8:$R$207,ROWS($A$8:A69)),$R$8:$R$207,0)),"")</f>
        <v/>
      </c>
      <c r="C69" s="37">
        <f>IFERROR(INDEX($L$8:$L$207,MATCH(LARGE($R$8:$R$207,ROWS($A$8:A69)),$R$8:$R$207,0)),"")</f>
        <v/>
      </c>
      <c r="D69" s="37">
        <f>IFERROR(INDEX($M$8:$M$207,MATCH(LARGE($R$8:$R$207,ROWS($A$8:A69)),$R$8:$R$207,0)),"")</f>
        <v/>
      </c>
      <c r="E69" s="37">
        <f>IFERROR(INDEX($N$8:$N$207,MATCH(LARGE($R$8:$R$207,ROWS($A$8:A69)),$R$8:$R$207,0)),"")</f>
        <v/>
      </c>
      <c r="F69" s="40">
        <f>IFERROR(INDEX($O$8:$O$207,MATCH(LARGE($R$8:$R$207,ROWS($A$8:A69)),$R$8:$R$207,0)),"")</f>
        <v/>
      </c>
      <c r="G69" s="37">
        <f>IFERROR(INDEX($P$8:$P$207,MATCH(LARGE($R$8:$R$207,ROWS($A$8:A69)),$R$8:$R$207,0)),"")</f>
        <v/>
      </c>
      <c r="H69" s="36">
        <f>IFERROR(INDEX($Q$8:$Q$207,MATCH(LARGE($R$8:$R$207,ROWS($A$8:A69)),$R$8:$R$207,0)),"")</f>
        <v/>
      </c>
      <c r="J69">
        <f>IF(Trabajadores!B66="","",Trabajadores!B66)</f>
        <v/>
      </c>
      <c r="K69">
        <f>IF(J69="","",COUNTIFS(Detalle_Pagos!$E$5:$E$2004,J69,Detalle_Pagos!$J$5:$J$2004,"No"))</f>
        <v/>
      </c>
      <c r="L69" s="43">
        <f>IF(J69="","",SUMIFS(Detalle_Pagos!$I$5:$I$2004,Detalle_Pagos!$E$5:$E$2004,J69,Detalle_Pagos!$J$5:$J$2004,"No"))</f>
        <v/>
      </c>
      <c r="M69" s="43">
        <f>IF(J69="","",K69*IFERROR(INDEX(Trabajadores!$D$5:$D$204,MATCH(J69,Trabajadores!$B$5:$B$204,0)),0))</f>
        <v/>
      </c>
      <c r="N69" s="43">
        <f>IF(J69="","",L69+M69)</f>
        <v/>
      </c>
      <c r="O69" s="44">
        <f>IF(J69="","",IF(K69=0,"",LOOKUP(2,1/((Detalle_Pagos!$E$5:$E$2004=J69)*(Detalle_Pagos!$J$5:$J$2004="No")),Detalle_Pagos!$B$5:$B$2004)))</f>
        <v/>
      </c>
      <c r="P69" s="43">
        <f>IF(J69="","",SUMIFS(Detalle_Pagos!$I$5:$I$2004,Detalle_Pagos!$E$5:$E$2004,J69,Detalle_Pagos!$J$5:$J$2004,"Si"))</f>
        <v/>
      </c>
      <c r="Q69">
        <f>IF(J69="","",COUNTIFS(Detalle_Pagos!$E$5:$E$2004,J69,Detalle_Pagos!$J$5:$J$2004,"Si"))</f>
        <v/>
      </c>
      <c r="R69">
        <f>IF(J69="","",N69+K69/100000+(100000-ROW())/1000000000)</f>
        <v/>
      </c>
    </row>
    <row r="70">
      <c r="A70" s="38">
        <f>IFERROR(INDEX($J$8:$J$207,MATCH(LARGE($R$8:$R$207,ROWS($A$8:A70)),$R$8:$R$207,0)),"")</f>
        <v/>
      </c>
      <c r="B70" s="38">
        <f>IFERROR(INDEX($K$8:$K$207,MATCH(LARGE($R$8:$R$207,ROWS($A$8:A70)),$R$8:$R$207,0)),"")</f>
        <v/>
      </c>
      <c r="C70" s="39">
        <f>IFERROR(INDEX($L$8:$L$207,MATCH(LARGE($R$8:$R$207,ROWS($A$8:A70)),$R$8:$R$207,0)),"")</f>
        <v/>
      </c>
      <c r="D70" s="39">
        <f>IFERROR(INDEX($M$8:$M$207,MATCH(LARGE($R$8:$R$207,ROWS($A$8:A70)),$R$8:$R$207,0)),"")</f>
        <v/>
      </c>
      <c r="E70" s="39">
        <f>IFERROR(INDEX($N$8:$N$207,MATCH(LARGE($R$8:$R$207,ROWS($A$8:A70)),$R$8:$R$207,0)),"")</f>
        <v/>
      </c>
      <c r="F70" s="41">
        <f>IFERROR(INDEX($O$8:$O$207,MATCH(LARGE($R$8:$R$207,ROWS($A$8:A70)),$R$8:$R$207,0)),"")</f>
        <v/>
      </c>
      <c r="G70" s="39">
        <f>IFERROR(INDEX($P$8:$P$207,MATCH(LARGE($R$8:$R$207,ROWS($A$8:A70)),$R$8:$R$207,0)),"")</f>
        <v/>
      </c>
      <c r="H70" s="38">
        <f>IFERROR(INDEX($Q$8:$Q$207,MATCH(LARGE($R$8:$R$207,ROWS($A$8:A70)),$R$8:$R$207,0)),"")</f>
        <v/>
      </c>
      <c r="J70">
        <f>IF(Trabajadores!B67="","",Trabajadores!B67)</f>
        <v/>
      </c>
      <c r="K70">
        <f>IF(J70="","",COUNTIFS(Detalle_Pagos!$E$5:$E$2004,J70,Detalle_Pagos!$J$5:$J$2004,"No"))</f>
        <v/>
      </c>
      <c r="L70" s="43">
        <f>IF(J70="","",SUMIFS(Detalle_Pagos!$I$5:$I$2004,Detalle_Pagos!$E$5:$E$2004,J70,Detalle_Pagos!$J$5:$J$2004,"No"))</f>
        <v/>
      </c>
      <c r="M70" s="43">
        <f>IF(J70="","",K70*IFERROR(INDEX(Trabajadores!$D$5:$D$204,MATCH(J70,Trabajadores!$B$5:$B$204,0)),0))</f>
        <v/>
      </c>
      <c r="N70" s="43">
        <f>IF(J70="","",L70+M70)</f>
        <v/>
      </c>
      <c r="O70" s="44">
        <f>IF(J70="","",IF(K70=0,"",LOOKUP(2,1/((Detalle_Pagos!$E$5:$E$2004=J70)*(Detalle_Pagos!$J$5:$J$2004="No")),Detalle_Pagos!$B$5:$B$2004)))</f>
        <v/>
      </c>
      <c r="P70" s="43">
        <f>IF(J70="","",SUMIFS(Detalle_Pagos!$I$5:$I$2004,Detalle_Pagos!$E$5:$E$2004,J70,Detalle_Pagos!$J$5:$J$2004,"Si"))</f>
        <v/>
      </c>
      <c r="Q70">
        <f>IF(J70="","",COUNTIFS(Detalle_Pagos!$E$5:$E$2004,J70,Detalle_Pagos!$J$5:$J$2004,"Si"))</f>
        <v/>
      </c>
      <c r="R70">
        <f>IF(J70="","",N70+K70/100000+(100000-ROW())/1000000000)</f>
        <v/>
      </c>
    </row>
    <row r="71">
      <c r="A71" s="36">
        <f>IFERROR(INDEX($J$8:$J$207,MATCH(LARGE($R$8:$R$207,ROWS($A$8:A71)),$R$8:$R$207,0)),"")</f>
        <v/>
      </c>
      <c r="B71" s="36">
        <f>IFERROR(INDEX($K$8:$K$207,MATCH(LARGE($R$8:$R$207,ROWS($A$8:A71)),$R$8:$R$207,0)),"")</f>
        <v/>
      </c>
      <c r="C71" s="37">
        <f>IFERROR(INDEX($L$8:$L$207,MATCH(LARGE($R$8:$R$207,ROWS($A$8:A71)),$R$8:$R$207,0)),"")</f>
        <v/>
      </c>
      <c r="D71" s="37">
        <f>IFERROR(INDEX($M$8:$M$207,MATCH(LARGE($R$8:$R$207,ROWS($A$8:A71)),$R$8:$R$207,0)),"")</f>
        <v/>
      </c>
      <c r="E71" s="37">
        <f>IFERROR(INDEX($N$8:$N$207,MATCH(LARGE($R$8:$R$207,ROWS($A$8:A71)),$R$8:$R$207,0)),"")</f>
        <v/>
      </c>
      <c r="F71" s="40">
        <f>IFERROR(INDEX($O$8:$O$207,MATCH(LARGE($R$8:$R$207,ROWS($A$8:A71)),$R$8:$R$207,0)),"")</f>
        <v/>
      </c>
      <c r="G71" s="37">
        <f>IFERROR(INDEX($P$8:$P$207,MATCH(LARGE($R$8:$R$207,ROWS($A$8:A71)),$R$8:$R$207,0)),"")</f>
        <v/>
      </c>
      <c r="H71" s="36">
        <f>IFERROR(INDEX($Q$8:$Q$207,MATCH(LARGE($R$8:$R$207,ROWS($A$8:A71)),$R$8:$R$207,0)),"")</f>
        <v/>
      </c>
      <c r="J71">
        <f>IF(Trabajadores!B68="","",Trabajadores!B68)</f>
        <v/>
      </c>
      <c r="K71">
        <f>IF(J71="","",COUNTIFS(Detalle_Pagos!$E$5:$E$2004,J71,Detalle_Pagos!$J$5:$J$2004,"No"))</f>
        <v/>
      </c>
      <c r="L71" s="43">
        <f>IF(J71="","",SUMIFS(Detalle_Pagos!$I$5:$I$2004,Detalle_Pagos!$E$5:$E$2004,J71,Detalle_Pagos!$J$5:$J$2004,"No"))</f>
        <v/>
      </c>
      <c r="M71" s="43">
        <f>IF(J71="","",K71*IFERROR(INDEX(Trabajadores!$D$5:$D$204,MATCH(J71,Trabajadores!$B$5:$B$204,0)),0))</f>
        <v/>
      </c>
      <c r="N71" s="43">
        <f>IF(J71="","",L71+M71)</f>
        <v/>
      </c>
      <c r="O71" s="44">
        <f>IF(J71="","",IF(K71=0,"",LOOKUP(2,1/((Detalle_Pagos!$E$5:$E$2004=J71)*(Detalle_Pagos!$J$5:$J$2004="No")),Detalle_Pagos!$B$5:$B$2004)))</f>
        <v/>
      </c>
      <c r="P71" s="43">
        <f>IF(J71="","",SUMIFS(Detalle_Pagos!$I$5:$I$2004,Detalle_Pagos!$E$5:$E$2004,J71,Detalle_Pagos!$J$5:$J$2004,"Si"))</f>
        <v/>
      </c>
      <c r="Q71">
        <f>IF(J71="","",COUNTIFS(Detalle_Pagos!$E$5:$E$2004,J71,Detalle_Pagos!$J$5:$J$2004,"Si"))</f>
        <v/>
      </c>
      <c r="R71">
        <f>IF(J71="","",N71+K71/100000+(100000-ROW())/1000000000)</f>
        <v/>
      </c>
    </row>
    <row r="72">
      <c r="A72" s="38">
        <f>IFERROR(INDEX($J$8:$J$207,MATCH(LARGE($R$8:$R$207,ROWS($A$8:A72)),$R$8:$R$207,0)),"")</f>
        <v/>
      </c>
      <c r="B72" s="38">
        <f>IFERROR(INDEX($K$8:$K$207,MATCH(LARGE($R$8:$R$207,ROWS($A$8:A72)),$R$8:$R$207,0)),"")</f>
        <v/>
      </c>
      <c r="C72" s="39">
        <f>IFERROR(INDEX($L$8:$L$207,MATCH(LARGE($R$8:$R$207,ROWS($A$8:A72)),$R$8:$R$207,0)),"")</f>
        <v/>
      </c>
      <c r="D72" s="39">
        <f>IFERROR(INDEX($M$8:$M$207,MATCH(LARGE($R$8:$R$207,ROWS($A$8:A72)),$R$8:$R$207,0)),"")</f>
        <v/>
      </c>
      <c r="E72" s="39">
        <f>IFERROR(INDEX($N$8:$N$207,MATCH(LARGE($R$8:$R$207,ROWS($A$8:A72)),$R$8:$R$207,0)),"")</f>
        <v/>
      </c>
      <c r="F72" s="41">
        <f>IFERROR(INDEX($O$8:$O$207,MATCH(LARGE($R$8:$R$207,ROWS($A$8:A72)),$R$8:$R$207,0)),"")</f>
        <v/>
      </c>
      <c r="G72" s="39">
        <f>IFERROR(INDEX($P$8:$P$207,MATCH(LARGE($R$8:$R$207,ROWS($A$8:A72)),$R$8:$R$207,0)),"")</f>
        <v/>
      </c>
      <c r="H72" s="38">
        <f>IFERROR(INDEX($Q$8:$Q$207,MATCH(LARGE($R$8:$R$207,ROWS($A$8:A72)),$R$8:$R$207,0)),"")</f>
        <v/>
      </c>
      <c r="J72">
        <f>IF(Trabajadores!B69="","",Trabajadores!B69)</f>
        <v/>
      </c>
      <c r="K72">
        <f>IF(J72="","",COUNTIFS(Detalle_Pagos!$E$5:$E$2004,J72,Detalle_Pagos!$J$5:$J$2004,"No"))</f>
        <v/>
      </c>
      <c r="L72" s="43">
        <f>IF(J72="","",SUMIFS(Detalle_Pagos!$I$5:$I$2004,Detalle_Pagos!$E$5:$E$2004,J72,Detalle_Pagos!$J$5:$J$2004,"No"))</f>
        <v/>
      </c>
      <c r="M72" s="43">
        <f>IF(J72="","",K72*IFERROR(INDEX(Trabajadores!$D$5:$D$204,MATCH(J72,Trabajadores!$B$5:$B$204,0)),0))</f>
        <v/>
      </c>
      <c r="N72" s="43">
        <f>IF(J72="","",L72+M72)</f>
        <v/>
      </c>
      <c r="O72" s="44">
        <f>IF(J72="","",IF(K72=0,"",LOOKUP(2,1/((Detalle_Pagos!$E$5:$E$2004=J72)*(Detalle_Pagos!$J$5:$J$2004="No")),Detalle_Pagos!$B$5:$B$2004)))</f>
        <v/>
      </c>
      <c r="P72" s="43">
        <f>IF(J72="","",SUMIFS(Detalle_Pagos!$I$5:$I$2004,Detalle_Pagos!$E$5:$E$2004,J72,Detalle_Pagos!$J$5:$J$2004,"Si"))</f>
        <v/>
      </c>
      <c r="Q72">
        <f>IF(J72="","",COUNTIFS(Detalle_Pagos!$E$5:$E$2004,J72,Detalle_Pagos!$J$5:$J$2004,"Si"))</f>
        <v/>
      </c>
      <c r="R72">
        <f>IF(J72="","",N72+K72/100000+(100000-ROW())/1000000000)</f>
        <v/>
      </c>
    </row>
    <row r="73">
      <c r="A73" s="36">
        <f>IFERROR(INDEX($J$8:$J$207,MATCH(LARGE($R$8:$R$207,ROWS($A$8:A73)),$R$8:$R$207,0)),"")</f>
        <v/>
      </c>
      <c r="B73" s="36">
        <f>IFERROR(INDEX($K$8:$K$207,MATCH(LARGE($R$8:$R$207,ROWS($A$8:A73)),$R$8:$R$207,0)),"")</f>
        <v/>
      </c>
      <c r="C73" s="37">
        <f>IFERROR(INDEX($L$8:$L$207,MATCH(LARGE($R$8:$R$207,ROWS($A$8:A73)),$R$8:$R$207,0)),"")</f>
        <v/>
      </c>
      <c r="D73" s="37">
        <f>IFERROR(INDEX($M$8:$M$207,MATCH(LARGE($R$8:$R$207,ROWS($A$8:A73)),$R$8:$R$207,0)),"")</f>
        <v/>
      </c>
      <c r="E73" s="37">
        <f>IFERROR(INDEX($N$8:$N$207,MATCH(LARGE($R$8:$R$207,ROWS($A$8:A73)),$R$8:$R$207,0)),"")</f>
        <v/>
      </c>
      <c r="F73" s="40">
        <f>IFERROR(INDEX($O$8:$O$207,MATCH(LARGE($R$8:$R$207,ROWS($A$8:A73)),$R$8:$R$207,0)),"")</f>
        <v/>
      </c>
      <c r="G73" s="37">
        <f>IFERROR(INDEX($P$8:$P$207,MATCH(LARGE($R$8:$R$207,ROWS($A$8:A73)),$R$8:$R$207,0)),"")</f>
        <v/>
      </c>
      <c r="H73" s="36">
        <f>IFERROR(INDEX($Q$8:$Q$207,MATCH(LARGE($R$8:$R$207,ROWS($A$8:A73)),$R$8:$R$207,0)),"")</f>
        <v/>
      </c>
      <c r="J73">
        <f>IF(Trabajadores!B70="","",Trabajadores!B70)</f>
        <v/>
      </c>
      <c r="K73">
        <f>IF(J73="","",COUNTIFS(Detalle_Pagos!$E$5:$E$2004,J73,Detalle_Pagos!$J$5:$J$2004,"No"))</f>
        <v/>
      </c>
      <c r="L73" s="43">
        <f>IF(J73="","",SUMIFS(Detalle_Pagos!$I$5:$I$2004,Detalle_Pagos!$E$5:$E$2004,J73,Detalle_Pagos!$J$5:$J$2004,"No"))</f>
        <v/>
      </c>
      <c r="M73" s="43">
        <f>IF(J73="","",K73*IFERROR(INDEX(Trabajadores!$D$5:$D$204,MATCH(J73,Trabajadores!$B$5:$B$204,0)),0))</f>
        <v/>
      </c>
      <c r="N73" s="43">
        <f>IF(J73="","",L73+M73)</f>
        <v/>
      </c>
      <c r="O73" s="44">
        <f>IF(J73="","",IF(K73=0,"",LOOKUP(2,1/((Detalle_Pagos!$E$5:$E$2004=J73)*(Detalle_Pagos!$J$5:$J$2004="No")),Detalle_Pagos!$B$5:$B$2004)))</f>
        <v/>
      </c>
      <c r="P73" s="43">
        <f>IF(J73="","",SUMIFS(Detalle_Pagos!$I$5:$I$2004,Detalle_Pagos!$E$5:$E$2004,J73,Detalle_Pagos!$J$5:$J$2004,"Si"))</f>
        <v/>
      </c>
      <c r="Q73">
        <f>IF(J73="","",COUNTIFS(Detalle_Pagos!$E$5:$E$2004,J73,Detalle_Pagos!$J$5:$J$2004,"Si"))</f>
        <v/>
      </c>
      <c r="R73">
        <f>IF(J73="","",N73+K73/100000+(100000-ROW())/1000000000)</f>
        <v/>
      </c>
    </row>
    <row r="74">
      <c r="A74" s="38">
        <f>IFERROR(INDEX($J$8:$J$207,MATCH(LARGE($R$8:$R$207,ROWS($A$8:A74)),$R$8:$R$207,0)),"")</f>
        <v/>
      </c>
      <c r="B74" s="38">
        <f>IFERROR(INDEX($K$8:$K$207,MATCH(LARGE($R$8:$R$207,ROWS($A$8:A74)),$R$8:$R$207,0)),"")</f>
        <v/>
      </c>
      <c r="C74" s="39">
        <f>IFERROR(INDEX($L$8:$L$207,MATCH(LARGE($R$8:$R$207,ROWS($A$8:A74)),$R$8:$R$207,0)),"")</f>
        <v/>
      </c>
      <c r="D74" s="39">
        <f>IFERROR(INDEX($M$8:$M$207,MATCH(LARGE($R$8:$R$207,ROWS($A$8:A74)),$R$8:$R$207,0)),"")</f>
        <v/>
      </c>
      <c r="E74" s="39">
        <f>IFERROR(INDEX($N$8:$N$207,MATCH(LARGE($R$8:$R$207,ROWS($A$8:A74)),$R$8:$R$207,0)),"")</f>
        <v/>
      </c>
      <c r="F74" s="41">
        <f>IFERROR(INDEX($O$8:$O$207,MATCH(LARGE($R$8:$R$207,ROWS($A$8:A74)),$R$8:$R$207,0)),"")</f>
        <v/>
      </c>
      <c r="G74" s="39">
        <f>IFERROR(INDEX($P$8:$P$207,MATCH(LARGE($R$8:$R$207,ROWS($A$8:A74)),$R$8:$R$207,0)),"")</f>
        <v/>
      </c>
      <c r="H74" s="38">
        <f>IFERROR(INDEX($Q$8:$Q$207,MATCH(LARGE($R$8:$R$207,ROWS($A$8:A74)),$R$8:$R$207,0)),"")</f>
        <v/>
      </c>
      <c r="J74">
        <f>IF(Trabajadores!B71="","",Trabajadores!B71)</f>
        <v/>
      </c>
      <c r="K74">
        <f>IF(J74="","",COUNTIFS(Detalle_Pagos!$E$5:$E$2004,J74,Detalle_Pagos!$J$5:$J$2004,"No"))</f>
        <v/>
      </c>
      <c r="L74" s="43">
        <f>IF(J74="","",SUMIFS(Detalle_Pagos!$I$5:$I$2004,Detalle_Pagos!$E$5:$E$2004,J74,Detalle_Pagos!$J$5:$J$2004,"No"))</f>
        <v/>
      </c>
      <c r="M74" s="43">
        <f>IF(J74="","",K74*IFERROR(INDEX(Trabajadores!$D$5:$D$204,MATCH(J74,Trabajadores!$B$5:$B$204,0)),0))</f>
        <v/>
      </c>
      <c r="N74" s="43">
        <f>IF(J74="","",L74+M74)</f>
        <v/>
      </c>
      <c r="O74" s="44">
        <f>IF(J74="","",IF(K74=0,"",LOOKUP(2,1/((Detalle_Pagos!$E$5:$E$2004=J74)*(Detalle_Pagos!$J$5:$J$2004="No")),Detalle_Pagos!$B$5:$B$2004)))</f>
        <v/>
      </c>
      <c r="P74" s="43">
        <f>IF(J74="","",SUMIFS(Detalle_Pagos!$I$5:$I$2004,Detalle_Pagos!$E$5:$E$2004,J74,Detalle_Pagos!$J$5:$J$2004,"Si"))</f>
        <v/>
      </c>
      <c r="Q74">
        <f>IF(J74="","",COUNTIFS(Detalle_Pagos!$E$5:$E$2004,J74,Detalle_Pagos!$J$5:$J$2004,"Si"))</f>
        <v/>
      </c>
      <c r="R74">
        <f>IF(J74="","",N74+K74/100000+(100000-ROW())/1000000000)</f>
        <v/>
      </c>
    </row>
    <row r="75">
      <c r="A75" s="36">
        <f>IFERROR(INDEX($J$8:$J$207,MATCH(LARGE($R$8:$R$207,ROWS($A$8:A75)),$R$8:$R$207,0)),"")</f>
        <v/>
      </c>
      <c r="B75" s="36">
        <f>IFERROR(INDEX($K$8:$K$207,MATCH(LARGE($R$8:$R$207,ROWS($A$8:A75)),$R$8:$R$207,0)),"")</f>
        <v/>
      </c>
      <c r="C75" s="37">
        <f>IFERROR(INDEX($L$8:$L$207,MATCH(LARGE($R$8:$R$207,ROWS($A$8:A75)),$R$8:$R$207,0)),"")</f>
        <v/>
      </c>
      <c r="D75" s="37">
        <f>IFERROR(INDEX($M$8:$M$207,MATCH(LARGE($R$8:$R$207,ROWS($A$8:A75)),$R$8:$R$207,0)),"")</f>
        <v/>
      </c>
      <c r="E75" s="37">
        <f>IFERROR(INDEX($N$8:$N$207,MATCH(LARGE($R$8:$R$207,ROWS($A$8:A75)),$R$8:$R$207,0)),"")</f>
        <v/>
      </c>
      <c r="F75" s="40">
        <f>IFERROR(INDEX($O$8:$O$207,MATCH(LARGE($R$8:$R$207,ROWS($A$8:A75)),$R$8:$R$207,0)),"")</f>
        <v/>
      </c>
      <c r="G75" s="37">
        <f>IFERROR(INDEX($P$8:$P$207,MATCH(LARGE($R$8:$R$207,ROWS($A$8:A75)),$R$8:$R$207,0)),"")</f>
        <v/>
      </c>
      <c r="H75" s="36">
        <f>IFERROR(INDEX($Q$8:$Q$207,MATCH(LARGE($R$8:$R$207,ROWS($A$8:A75)),$R$8:$R$207,0)),"")</f>
        <v/>
      </c>
      <c r="J75">
        <f>IF(Trabajadores!B72="","",Trabajadores!B72)</f>
        <v/>
      </c>
      <c r="K75">
        <f>IF(J75="","",COUNTIFS(Detalle_Pagos!$E$5:$E$2004,J75,Detalle_Pagos!$J$5:$J$2004,"No"))</f>
        <v/>
      </c>
      <c r="L75" s="43">
        <f>IF(J75="","",SUMIFS(Detalle_Pagos!$I$5:$I$2004,Detalle_Pagos!$E$5:$E$2004,J75,Detalle_Pagos!$J$5:$J$2004,"No"))</f>
        <v/>
      </c>
      <c r="M75" s="43">
        <f>IF(J75="","",K75*IFERROR(INDEX(Trabajadores!$D$5:$D$204,MATCH(J75,Trabajadores!$B$5:$B$204,0)),0))</f>
        <v/>
      </c>
      <c r="N75" s="43">
        <f>IF(J75="","",L75+M75)</f>
        <v/>
      </c>
      <c r="O75" s="44">
        <f>IF(J75="","",IF(K75=0,"",LOOKUP(2,1/((Detalle_Pagos!$E$5:$E$2004=J75)*(Detalle_Pagos!$J$5:$J$2004="No")),Detalle_Pagos!$B$5:$B$2004)))</f>
        <v/>
      </c>
      <c r="P75" s="43">
        <f>IF(J75="","",SUMIFS(Detalle_Pagos!$I$5:$I$2004,Detalle_Pagos!$E$5:$E$2004,J75,Detalle_Pagos!$J$5:$J$2004,"Si"))</f>
        <v/>
      </c>
      <c r="Q75">
        <f>IF(J75="","",COUNTIFS(Detalle_Pagos!$E$5:$E$2004,J75,Detalle_Pagos!$J$5:$J$2004,"Si"))</f>
        <v/>
      </c>
      <c r="R75">
        <f>IF(J75="","",N75+K75/100000+(100000-ROW())/1000000000)</f>
        <v/>
      </c>
    </row>
    <row r="76">
      <c r="A76" s="38">
        <f>IFERROR(INDEX($J$8:$J$207,MATCH(LARGE($R$8:$R$207,ROWS($A$8:A76)),$R$8:$R$207,0)),"")</f>
        <v/>
      </c>
      <c r="B76" s="38">
        <f>IFERROR(INDEX($K$8:$K$207,MATCH(LARGE($R$8:$R$207,ROWS($A$8:A76)),$R$8:$R$207,0)),"")</f>
        <v/>
      </c>
      <c r="C76" s="39">
        <f>IFERROR(INDEX($L$8:$L$207,MATCH(LARGE($R$8:$R$207,ROWS($A$8:A76)),$R$8:$R$207,0)),"")</f>
        <v/>
      </c>
      <c r="D76" s="39">
        <f>IFERROR(INDEX($M$8:$M$207,MATCH(LARGE($R$8:$R$207,ROWS($A$8:A76)),$R$8:$R$207,0)),"")</f>
        <v/>
      </c>
      <c r="E76" s="39">
        <f>IFERROR(INDEX($N$8:$N$207,MATCH(LARGE($R$8:$R$207,ROWS($A$8:A76)),$R$8:$R$207,0)),"")</f>
        <v/>
      </c>
      <c r="F76" s="41">
        <f>IFERROR(INDEX($O$8:$O$207,MATCH(LARGE($R$8:$R$207,ROWS($A$8:A76)),$R$8:$R$207,0)),"")</f>
        <v/>
      </c>
      <c r="G76" s="39">
        <f>IFERROR(INDEX($P$8:$P$207,MATCH(LARGE($R$8:$R$207,ROWS($A$8:A76)),$R$8:$R$207,0)),"")</f>
        <v/>
      </c>
      <c r="H76" s="38">
        <f>IFERROR(INDEX($Q$8:$Q$207,MATCH(LARGE($R$8:$R$207,ROWS($A$8:A76)),$R$8:$R$207,0)),"")</f>
        <v/>
      </c>
      <c r="J76">
        <f>IF(Trabajadores!B73="","",Trabajadores!B73)</f>
        <v/>
      </c>
      <c r="K76">
        <f>IF(J76="","",COUNTIFS(Detalle_Pagos!$E$5:$E$2004,J76,Detalle_Pagos!$J$5:$J$2004,"No"))</f>
        <v/>
      </c>
      <c r="L76" s="43">
        <f>IF(J76="","",SUMIFS(Detalle_Pagos!$I$5:$I$2004,Detalle_Pagos!$E$5:$E$2004,J76,Detalle_Pagos!$J$5:$J$2004,"No"))</f>
        <v/>
      </c>
      <c r="M76" s="43">
        <f>IF(J76="","",K76*IFERROR(INDEX(Trabajadores!$D$5:$D$204,MATCH(J76,Trabajadores!$B$5:$B$204,0)),0))</f>
        <v/>
      </c>
      <c r="N76" s="43">
        <f>IF(J76="","",L76+M76)</f>
        <v/>
      </c>
      <c r="O76" s="44">
        <f>IF(J76="","",IF(K76=0,"",LOOKUP(2,1/((Detalle_Pagos!$E$5:$E$2004=J76)*(Detalle_Pagos!$J$5:$J$2004="No")),Detalle_Pagos!$B$5:$B$2004)))</f>
        <v/>
      </c>
      <c r="P76" s="43">
        <f>IF(J76="","",SUMIFS(Detalle_Pagos!$I$5:$I$2004,Detalle_Pagos!$E$5:$E$2004,J76,Detalle_Pagos!$J$5:$J$2004,"Si"))</f>
        <v/>
      </c>
      <c r="Q76">
        <f>IF(J76="","",COUNTIFS(Detalle_Pagos!$E$5:$E$2004,J76,Detalle_Pagos!$J$5:$J$2004,"Si"))</f>
        <v/>
      </c>
      <c r="R76">
        <f>IF(J76="","",N76+K76/100000+(100000-ROW())/1000000000)</f>
        <v/>
      </c>
    </row>
    <row r="77">
      <c r="A77" s="36">
        <f>IFERROR(INDEX($J$8:$J$207,MATCH(LARGE($R$8:$R$207,ROWS($A$8:A77)),$R$8:$R$207,0)),"")</f>
        <v/>
      </c>
      <c r="B77" s="36">
        <f>IFERROR(INDEX($K$8:$K$207,MATCH(LARGE($R$8:$R$207,ROWS($A$8:A77)),$R$8:$R$207,0)),"")</f>
        <v/>
      </c>
      <c r="C77" s="37">
        <f>IFERROR(INDEX($L$8:$L$207,MATCH(LARGE($R$8:$R$207,ROWS($A$8:A77)),$R$8:$R$207,0)),"")</f>
        <v/>
      </c>
      <c r="D77" s="37">
        <f>IFERROR(INDEX($M$8:$M$207,MATCH(LARGE($R$8:$R$207,ROWS($A$8:A77)),$R$8:$R$207,0)),"")</f>
        <v/>
      </c>
      <c r="E77" s="37">
        <f>IFERROR(INDEX($N$8:$N$207,MATCH(LARGE($R$8:$R$207,ROWS($A$8:A77)),$R$8:$R$207,0)),"")</f>
        <v/>
      </c>
      <c r="F77" s="40">
        <f>IFERROR(INDEX($O$8:$O$207,MATCH(LARGE($R$8:$R$207,ROWS($A$8:A77)),$R$8:$R$207,0)),"")</f>
        <v/>
      </c>
      <c r="G77" s="37">
        <f>IFERROR(INDEX($P$8:$P$207,MATCH(LARGE($R$8:$R$207,ROWS($A$8:A77)),$R$8:$R$207,0)),"")</f>
        <v/>
      </c>
      <c r="H77" s="36">
        <f>IFERROR(INDEX($Q$8:$Q$207,MATCH(LARGE($R$8:$R$207,ROWS($A$8:A77)),$R$8:$R$207,0)),"")</f>
        <v/>
      </c>
      <c r="J77">
        <f>IF(Trabajadores!B74="","",Trabajadores!B74)</f>
        <v/>
      </c>
      <c r="K77">
        <f>IF(J77="","",COUNTIFS(Detalle_Pagos!$E$5:$E$2004,J77,Detalle_Pagos!$J$5:$J$2004,"No"))</f>
        <v/>
      </c>
      <c r="L77" s="43">
        <f>IF(J77="","",SUMIFS(Detalle_Pagos!$I$5:$I$2004,Detalle_Pagos!$E$5:$E$2004,J77,Detalle_Pagos!$J$5:$J$2004,"No"))</f>
        <v/>
      </c>
      <c r="M77" s="43">
        <f>IF(J77="","",K77*IFERROR(INDEX(Trabajadores!$D$5:$D$204,MATCH(J77,Trabajadores!$B$5:$B$204,0)),0))</f>
        <v/>
      </c>
      <c r="N77" s="43">
        <f>IF(J77="","",L77+M77)</f>
        <v/>
      </c>
      <c r="O77" s="44">
        <f>IF(J77="","",IF(K77=0,"",LOOKUP(2,1/((Detalle_Pagos!$E$5:$E$2004=J77)*(Detalle_Pagos!$J$5:$J$2004="No")),Detalle_Pagos!$B$5:$B$2004)))</f>
        <v/>
      </c>
      <c r="P77" s="43">
        <f>IF(J77="","",SUMIFS(Detalle_Pagos!$I$5:$I$2004,Detalle_Pagos!$E$5:$E$2004,J77,Detalle_Pagos!$J$5:$J$2004,"Si"))</f>
        <v/>
      </c>
      <c r="Q77">
        <f>IF(J77="","",COUNTIFS(Detalle_Pagos!$E$5:$E$2004,J77,Detalle_Pagos!$J$5:$J$2004,"Si"))</f>
        <v/>
      </c>
      <c r="R77">
        <f>IF(J77="","",N77+K77/100000+(100000-ROW())/1000000000)</f>
        <v/>
      </c>
    </row>
    <row r="78">
      <c r="A78" s="38">
        <f>IFERROR(INDEX($J$8:$J$207,MATCH(LARGE($R$8:$R$207,ROWS($A$8:A78)),$R$8:$R$207,0)),"")</f>
        <v/>
      </c>
      <c r="B78" s="38">
        <f>IFERROR(INDEX($K$8:$K$207,MATCH(LARGE($R$8:$R$207,ROWS($A$8:A78)),$R$8:$R$207,0)),"")</f>
        <v/>
      </c>
      <c r="C78" s="39">
        <f>IFERROR(INDEX($L$8:$L$207,MATCH(LARGE($R$8:$R$207,ROWS($A$8:A78)),$R$8:$R$207,0)),"")</f>
        <v/>
      </c>
      <c r="D78" s="39">
        <f>IFERROR(INDEX($M$8:$M$207,MATCH(LARGE($R$8:$R$207,ROWS($A$8:A78)),$R$8:$R$207,0)),"")</f>
        <v/>
      </c>
      <c r="E78" s="39">
        <f>IFERROR(INDEX($N$8:$N$207,MATCH(LARGE($R$8:$R$207,ROWS($A$8:A78)),$R$8:$R$207,0)),"")</f>
        <v/>
      </c>
      <c r="F78" s="41">
        <f>IFERROR(INDEX($O$8:$O$207,MATCH(LARGE($R$8:$R$207,ROWS($A$8:A78)),$R$8:$R$207,0)),"")</f>
        <v/>
      </c>
      <c r="G78" s="39">
        <f>IFERROR(INDEX($P$8:$P$207,MATCH(LARGE($R$8:$R$207,ROWS($A$8:A78)),$R$8:$R$207,0)),"")</f>
        <v/>
      </c>
      <c r="H78" s="38">
        <f>IFERROR(INDEX($Q$8:$Q$207,MATCH(LARGE($R$8:$R$207,ROWS($A$8:A78)),$R$8:$R$207,0)),"")</f>
        <v/>
      </c>
      <c r="J78">
        <f>IF(Trabajadores!B75="","",Trabajadores!B75)</f>
        <v/>
      </c>
      <c r="K78">
        <f>IF(J78="","",COUNTIFS(Detalle_Pagos!$E$5:$E$2004,J78,Detalle_Pagos!$J$5:$J$2004,"No"))</f>
        <v/>
      </c>
      <c r="L78" s="43">
        <f>IF(J78="","",SUMIFS(Detalle_Pagos!$I$5:$I$2004,Detalle_Pagos!$E$5:$E$2004,J78,Detalle_Pagos!$J$5:$J$2004,"No"))</f>
        <v/>
      </c>
      <c r="M78" s="43">
        <f>IF(J78="","",K78*IFERROR(INDEX(Trabajadores!$D$5:$D$204,MATCH(J78,Trabajadores!$B$5:$B$204,0)),0))</f>
        <v/>
      </c>
      <c r="N78" s="43">
        <f>IF(J78="","",L78+M78)</f>
        <v/>
      </c>
      <c r="O78" s="44">
        <f>IF(J78="","",IF(K78=0,"",LOOKUP(2,1/((Detalle_Pagos!$E$5:$E$2004=J78)*(Detalle_Pagos!$J$5:$J$2004="No")),Detalle_Pagos!$B$5:$B$2004)))</f>
        <v/>
      </c>
      <c r="P78" s="43">
        <f>IF(J78="","",SUMIFS(Detalle_Pagos!$I$5:$I$2004,Detalle_Pagos!$E$5:$E$2004,J78,Detalle_Pagos!$J$5:$J$2004,"Si"))</f>
        <v/>
      </c>
      <c r="Q78">
        <f>IF(J78="","",COUNTIFS(Detalle_Pagos!$E$5:$E$2004,J78,Detalle_Pagos!$J$5:$J$2004,"Si"))</f>
        <v/>
      </c>
      <c r="R78">
        <f>IF(J78="","",N78+K78/100000+(100000-ROW())/1000000000)</f>
        <v/>
      </c>
    </row>
    <row r="79">
      <c r="A79" s="36">
        <f>IFERROR(INDEX($J$8:$J$207,MATCH(LARGE($R$8:$R$207,ROWS($A$8:A79)),$R$8:$R$207,0)),"")</f>
        <v/>
      </c>
      <c r="B79" s="36">
        <f>IFERROR(INDEX($K$8:$K$207,MATCH(LARGE($R$8:$R$207,ROWS($A$8:A79)),$R$8:$R$207,0)),"")</f>
        <v/>
      </c>
      <c r="C79" s="37">
        <f>IFERROR(INDEX($L$8:$L$207,MATCH(LARGE($R$8:$R$207,ROWS($A$8:A79)),$R$8:$R$207,0)),"")</f>
        <v/>
      </c>
      <c r="D79" s="37">
        <f>IFERROR(INDEX($M$8:$M$207,MATCH(LARGE($R$8:$R$207,ROWS($A$8:A79)),$R$8:$R$207,0)),"")</f>
        <v/>
      </c>
      <c r="E79" s="37">
        <f>IFERROR(INDEX($N$8:$N$207,MATCH(LARGE($R$8:$R$207,ROWS($A$8:A79)),$R$8:$R$207,0)),"")</f>
        <v/>
      </c>
      <c r="F79" s="40">
        <f>IFERROR(INDEX($O$8:$O$207,MATCH(LARGE($R$8:$R$207,ROWS($A$8:A79)),$R$8:$R$207,0)),"")</f>
        <v/>
      </c>
      <c r="G79" s="37">
        <f>IFERROR(INDEX($P$8:$P$207,MATCH(LARGE($R$8:$R$207,ROWS($A$8:A79)),$R$8:$R$207,0)),"")</f>
        <v/>
      </c>
      <c r="H79" s="36">
        <f>IFERROR(INDEX($Q$8:$Q$207,MATCH(LARGE($R$8:$R$207,ROWS($A$8:A79)),$R$8:$R$207,0)),"")</f>
        <v/>
      </c>
      <c r="J79">
        <f>IF(Trabajadores!B76="","",Trabajadores!B76)</f>
        <v/>
      </c>
      <c r="K79">
        <f>IF(J79="","",COUNTIFS(Detalle_Pagos!$E$5:$E$2004,J79,Detalle_Pagos!$J$5:$J$2004,"No"))</f>
        <v/>
      </c>
      <c r="L79" s="43">
        <f>IF(J79="","",SUMIFS(Detalle_Pagos!$I$5:$I$2004,Detalle_Pagos!$E$5:$E$2004,J79,Detalle_Pagos!$J$5:$J$2004,"No"))</f>
        <v/>
      </c>
      <c r="M79" s="43">
        <f>IF(J79="","",K79*IFERROR(INDEX(Trabajadores!$D$5:$D$204,MATCH(J79,Trabajadores!$B$5:$B$204,0)),0))</f>
        <v/>
      </c>
      <c r="N79" s="43">
        <f>IF(J79="","",L79+M79)</f>
        <v/>
      </c>
      <c r="O79" s="44">
        <f>IF(J79="","",IF(K79=0,"",LOOKUP(2,1/((Detalle_Pagos!$E$5:$E$2004=J79)*(Detalle_Pagos!$J$5:$J$2004="No")),Detalle_Pagos!$B$5:$B$2004)))</f>
        <v/>
      </c>
      <c r="P79" s="43">
        <f>IF(J79="","",SUMIFS(Detalle_Pagos!$I$5:$I$2004,Detalle_Pagos!$E$5:$E$2004,J79,Detalle_Pagos!$J$5:$J$2004,"Si"))</f>
        <v/>
      </c>
      <c r="Q79">
        <f>IF(J79="","",COUNTIFS(Detalle_Pagos!$E$5:$E$2004,J79,Detalle_Pagos!$J$5:$J$2004,"Si"))</f>
        <v/>
      </c>
      <c r="R79">
        <f>IF(J79="","",N79+K79/100000+(100000-ROW())/1000000000)</f>
        <v/>
      </c>
    </row>
    <row r="80">
      <c r="A80" s="38">
        <f>IFERROR(INDEX($J$8:$J$207,MATCH(LARGE($R$8:$R$207,ROWS($A$8:A80)),$R$8:$R$207,0)),"")</f>
        <v/>
      </c>
      <c r="B80" s="38">
        <f>IFERROR(INDEX($K$8:$K$207,MATCH(LARGE($R$8:$R$207,ROWS($A$8:A80)),$R$8:$R$207,0)),"")</f>
        <v/>
      </c>
      <c r="C80" s="39">
        <f>IFERROR(INDEX($L$8:$L$207,MATCH(LARGE($R$8:$R$207,ROWS($A$8:A80)),$R$8:$R$207,0)),"")</f>
        <v/>
      </c>
      <c r="D80" s="39">
        <f>IFERROR(INDEX($M$8:$M$207,MATCH(LARGE($R$8:$R$207,ROWS($A$8:A80)),$R$8:$R$207,0)),"")</f>
        <v/>
      </c>
      <c r="E80" s="39">
        <f>IFERROR(INDEX($N$8:$N$207,MATCH(LARGE($R$8:$R$207,ROWS($A$8:A80)),$R$8:$R$207,0)),"")</f>
        <v/>
      </c>
      <c r="F80" s="41">
        <f>IFERROR(INDEX($O$8:$O$207,MATCH(LARGE($R$8:$R$207,ROWS($A$8:A80)),$R$8:$R$207,0)),"")</f>
        <v/>
      </c>
      <c r="G80" s="39">
        <f>IFERROR(INDEX($P$8:$P$207,MATCH(LARGE($R$8:$R$207,ROWS($A$8:A80)),$R$8:$R$207,0)),"")</f>
        <v/>
      </c>
      <c r="H80" s="38">
        <f>IFERROR(INDEX($Q$8:$Q$207,MATCH(LARGE($R$8:$R$207,ROWS($A$8:A80)),$R$8:$R$207,0)),"")</f>
        <v/>
      </c>
      <c r="J80">
        <f>IF(Trabajadores!B77="","",Trabajadores!B77)</f>
        <v/>
      </c>
      <c r="K80">
        <f>IF(J80="","",COUNTIFS(Detalle_Pagos!$E$5:$E$2004,J80,Detalle_Pagos!$J$5:$J$2004,"No"))</f>
        <v/>
      </c>
      <c r="L80" s="43">
        <f>IF(J80="","",SUMIFS(Detalle_Pagos!$I$5:$I$2004,Detalle_Pagos!$E$5:$E$2004,J80,Detalle_Pagos!$J$5:$J$2004,"No"))</f>
        <v/>
      </c>
      <c r="M80" s="43">
        <f>IF(J80="","",K80*IFERROR(INDEX(Trabajadores!$D$5:$D$204,MATCH(J80,Trabajadores!$B$5:$B$204,0)),0))</f>
        <v/>
      </c>
      <c r="N80" s="43">
        <f>IF(J80="","",L80+M80)</f>
        <v/>
      </c>
      <c r="O80" s="44">
        <f>IF(J80="","",IF(K80=0,"",LOOKUP(2,1/((Detalle_Pagos!$E$5:$E$2004=J80)*(Detalle_Pagos!$J$5:$J$2004="No")),Detalle_Pagos!$B$5:$B$2004)))</f>
        <v/>
      </c>
      <c r="P80" s="43">
        <f>IF(J80="","",SUMIFS(Detalle_Pagos!$I$5:$I$2004,Detalle_Pagos!$E$5:$E$2004,J80,Detalle_Pagos!$J$5:$J$2004,"Si"))</f>
        <v/>
      </c>
      <c r="Q80">
        <f>IF(J80="","",COUNTIFS(Detalle_Pagos!$E$5:$E$2004,J80,Detalle_Pagos!$J$5:$J$2004,"Si"))</f>
        <v/>
      </c>
      <c r="R80">
        <f>IF(J80="","",N80+K80/100000+(100000-ROW())/1000000000)</f>
        <v/>
      </c>
    </row>
    <row r="81">
      <c r="A81" s="36">
        <f>IFERROR(INDEX($J$8:$J$207,MATCH(LARGE($R$8:$R$207,ROWS($A$8:A81)),$R$8:$R$207,0)),"")</f>
        <v/>
      </c>
      <c r="B81" s="36">
        <f>IFERROR(INDEX($K$8:$K$207,MATCH(LARGE($R$8:$R$207,ROWS($A$8:A81)),$R$8:$R$207,0)),"")</f>
        <v/>
      </c>
      <c r="C81" s="37">
        <f>IFERROR(INDEX($L$8:$L$207,MATCH(LARGE($R$8:$R$207,ROWS($A$8:A81)),$R$8:$R$207,0)),"")</f>
        <v/>
      </c>
      <c r="D81" s="37">
        <f>IFERROR(INDEX($M$8:$M$207,MATCH(LARGE($R$8:$R$207,ROWS($A$8:A81)),$R$8:$R$207,0)),"")</f>
        <v/>
      </c>
      <c r="E81" s="37">
        <f>IFERROR(INDEX($N$8:$N$207,MATCH(LARGE($R$8:$R$207,ROWS($A$8:A81)),$R$8:$R$207,0)),"")</f>
        <v/>
      </c>
      <c r="F81" s="40">
        <f>IFERROR(INDEX($O$8:$O$207,MATCH(LARGE($R$8:$R$207,ROWS($A$8:A81)),$R$8:$R$207,0)),"")</f>
        <v/>
      </c>
      <c r="G81" s="37">
        <f>IFERROR(INDEX($P$8:$P$207,MATCH(LARGE($R$8:$R$207,ROWS($A$8:A81)),$R$8:$R$207,0)),"")</f>
        <v/>
      </c>
      <c r="H81" s="36">
        <f>IFERROR(INDEX($Q$8:$Q$207,MATCH(LARGE($R$8:$R$207,ROWS($A$8:A81)),$R$8:$R$207,0)),"")</f>
        <v/>
      </c>
      <c r="J81">
        <f>IF(Trabajadores!B78="","",Trabajadores!B78)</f>
        <v/>
      </c>
      <c r="K81">
        <f>IF(J81="","",COUNTIFS(Detalle_Pagos!$E$5:$E$2004,J81,Detalle_Pagos!$J$5:$J$2004,"No"))</f>
        <v/>
      </c>
      <c r="L81" s="43">
        <f>IF(J81="","",SUMIFS(Detalle_Pagos!$I$5:$I$2004,Detalle_Pagos!$E$5:$E$2004,J81,Detalle_Pagos!$J$5:$J$2004,"No"))</f>
        <v/>
      </c>
      <c r="M81" s="43">
        <f>IF(J81="","",K81*IFERROR(INDEX(Trabajadores!$D$5:$D$204,MATCH(J81,Trabajadores!$B$5:$B$204,0)),0))</f>
        <v/>
      </c>
      <c r="N81" s="43">
        <f>IF(J81="","",L81+M81)</f>
        <v/>
      </c>
      <c r="O81" s="44">
        <f>IF(J81="","",IF(K81=0,"",LOOKUP(2,1/((Detalle_Pagos!$E$5:$E$2004=J81)*(Detalle_Pagos!$J$5:$J$2004="No")),Detalle_Pagos!$B$5:$B$2004)))</f>
        <v/>
      </c>
      <c r="P81" s="43">
        <f>IF(J81="","",SUMIFS(Detalle_Pagos!$I$5:$I$2004,Detalle_Pagos!$E$5:$E$2004,J81,Detalle_Pagos!$J$5:$J$2004,"Si"))</f>
        <v/>
      </c>
      <c r="Q81">
        <f>IF(J81="","",COUNTIFS(Detalle_Pagos!$E$5:$E$2004,J81,Detalle_Pagos!$J$5:$J$2004,"Si"))</f>
        <v/>
      </c>
      <c r="R81">
        <f>IF(J81="","",N81+K81/100000+(100000-ROW())/1000000000)</f>
        <v/>
      </c>
    </row>
    <row r="82">
      <c r="A82" s="38">
        <f>IFERROR(INDEX($J$8:$J$207,MATCH(LARGE($R$8:$R$207,ROWS($A$8:A82)),$R$8:$R$207,0)),"")</f>
        <v/>
      </c>
      <c r="B82" s="38">
        <f>IFERROR(INDEX($K$8:$K$207,MATCH(LARGE($R$8:$R$207,ROWS($A$8:A82)),$R$8:$R$207,0)),"")</f>
        <v/>
      </c>
      <c r="C82" s="39">
        <f>IFERROR(INDEX($L$8:$L$207,MATCH(LARGE($R$8:$R$207,ROWS($A$8:A82)),$R$8:$R$207,0)),"")</f>
        <v/>
      </c>
      <c r="D82" s="39">
        <f>IFERROR(INDEX($M$8:$M$207,MATCH(LARGE($R$8:$R$207,ROWS($A$8:A82)),$R$8:$R$207,0)),"")</f>
        <v/>
      </c>
      <c r="E82" s="39">
        <f>IFERROR(INDEX($N$8:$N$207,MATCH(LARGE($R$8:$R$207,ROWS($A$8:A82)),$R$8:$R$207,0)),"")</f>
        <v/>
      </c>
      <c r="F82" s="41">
        <f>IFERROR(INDEX($O$8:$O$207,MATCH(LARGE($R$8:$R$207,ROWS($A$8:A82)),$R$8:$R$207,0)),"")</f>
        <v/>
      </c>
      <c r="G82" s="39">
        <f>IFERROR(INDEX($P$8:$P$207,MATCH(LARGE($R$8:$R$207,ROWS($A$8:A82)),$R$8:$R$207,0)),"")</f>
        <v/>
      </c>
      <c r="H82" s="38">
        <f>IFERROR(INDEX($Q$8:$Q$207,MATCH(LARGE($R$8:$R$207,ROWS($A$8:A82)),$R$8:$R$207,0)),"")</f>
        <v/>
      </c>
      <c r="J82">
        <f>IF(Trabajadores!B79="","",Trabajadores!B79)</f>
        <v/>
      </c>
      <c r="K82">
        <f>IF(J82="","",COUNTIFS(Detalle_Pagos!$E$5:$E$2004,J82,Detalle_Pagos!$J$5:$J$2004,"No"))</f>
        <v/>
      </c>
      <c r="L82" s="43">
        <f>IF(J82="","",SUMIFS(Detalle_Pagos!$I$5:$I$2004,Detalle_Pagos!$E$5:$E$2004,J82,Detalle_Pagos!$J$5:$J$2004,"No"))</f>
        <v/>
      </c>
      <c r="M82" s="43">
        <f>IF(J82="","",K82*IFERROR(INDEX(Trabajadores!$D$5:$D$204,MATCH(J82,Trabajadores!$B$5:$B$204,0)),0))</f>
        <v/>
      </c>
      <c r="N82" s="43">
        <f>IF(J82="","",L82+M82)</f>
        <v/>
      </c>
      <c r="O82" s="44">
        <f>IF(J82="","",IF(K82=0,"",LOOKUP(2,1/((Detalle_Pagos!$E$5:$E$2004=J82)*(Detalle_Pagos!$J$5:$J$2004="No")),Detalle_Pagos!$B$5:$B$2004)))</f>
        <v/>
      </c>
      <c r="P82" s="43">
        <f>IF(J82="","",SUMIFS(Detalle_Pagos!$I$5:$I$2004,Detalle_Pagos!$E$5:$E$2004,J82,Detalle_Pagos!$J$5:$J$2004,"Si"))</f>
        <v/>
      </c>
      <c r="Q82">
        <f>IF(J82="","",COUNTIFS(Detalle_Pagos!$E$5:$E$2004,J82,Detalle_Pagos!$J$5:$J$2004,"Si"))</f>
        <v/>
      </c>
      <c r="R82">
        <f>IF(J82="","",N82+K82/100000+(100000-ROW())/1000000000)</f>
        <v/>
      </c>
    </row>
    <row r="83">
      <c r="A83" s="36">
        <f>IFERROR(INDEX($J$8:$J$207,MATCH(LARGE($R$8:$R$207,ROWS($A$8:A83)),$R$8:$R$207,0)),"")</f>
        <v/>
      </c>
      <c r="B83" s="36">
        <f>IFERROR(INDEX($K$8:$K$207,MATCH(LARGE($R$8:$R$207,ROWS($A$8:A83)),$R$8:$R$207,0)),"")</f>
        <v/>
      </c>
      <c r="C83" s="37">
        <f>IFERROR(INDEX($L$8:$L$207,MATCH(LARGE($R$8:$R$207,ROWS($A$8:A83)),$R$8:$R$207,0)),"")</f>
        <v/>
      </c>
      <c r="D83" s="37">
        <f>IFERROR(INDEX($M$8:$M$207,MATCH(LARGE($R$8:$R$207,ROWS($A$8:A83)),$R$8:$R$207,0)),"")</f>
        <v/>
      </c>
      <c r="E83" s="37">
        <f>IFERROR(INDEX($N$8:$N$207,MATCH(LARGE($R$8:$R$207,ROWS($A$8:A83)),$R$8:$R$207,0)),"")</f>
        <v/>
      </c>
      <c r="F83" s="40">
        <f>IFERROR(INDEX($O$8:$O$207,MATCH(LARGE($R$8:$R$207,ROWS($A$8:A83)),$R$8:$R$207,0)),"")</f>
        <v/>
      </c>
      <c r="G83" s="37">
        <f>IFERROR(INDEX($P$8:$P$207,MATCH(LARGE($R$8:$R$207,ROWS($A$8:A83)),$R$8:$R$207,0)),"")</f>
        <v/>
      </c>
      <c r="H83" s="36">
        <f>IFERROR(INDEX($Q$8:$Q$207,MATCH(LARGE($R$8:$R$207,ROWS($A$8:A83)),$R$8:$R$207,0)),"")</f>
        <v/>
      </c>
      <c r="J83">
        <f>IF(Trabajadores!B80="","",Trabajadores!B80)</f>
        <v/>
      </c>
      <c r="K83">
        <f>IF(J83="","",COUNTIFS(Detalle_Pagos!$E$5:$E$2004,J83,Detalle_Pagos!$J$5:$J$2004,"No"))</f>
        <v/>
      </c>
      <c r="L83" s="43">
        <f>IF(J83="","",SUMIFS(Detalle_Pagos!$I$5:$I$2004,Detalle_Pagos!$E$5:$E$2004,J83,Detalle_Pagos!$J$5:$J$2004,"No"))</f>
        <v/>
      </c>
      <c r="M83" s="43">
        <f>IF(J83="","",K83*IFERROR(INDEX(Trabajadores!$D$5:$D$204,MATCH(J83,Trabajadores!$B$5:$B$204,0)),0))</f>
        <v/>
      </c>
      <c r="N83" s="43">
        <f>IF(J83="","",L83+M83)</f>
        <v/>
      </c>
      <c r="O83" s="44">
        <f>IF(J83="","",IF(K83=0,"",LOOKUP(2,1/((Detalle_Pagos!$E$5:$E$2004=J83)*(Detalle_Pagos!$J$5:$J$2004="No")),Detalle_Pagos!$B$5:$B$2004)))</f>
        <v/>
      </c>
      <c r="P83" s="43">
        <f>IF(J83="","",SUMIFS(Detalle_Pagos!$I$5:$I$2004,Detalle_Pagos!$E$5:$E$2004,J83,Detalle_Pagos!$J$5:$J$2004,"Si"))</f>
        <v/>
      </c>
      <c r="Q83">
        <f>IF(J83="","",COUNTIFS(Detalle_Pagos!$E$5:$E$2004,J83,Detalle_Pagos!$J$5:$J$2004,"Si"))</f>
        <v/>
      </c>
      <c r="R83">
        <f>IF(J83="","",N83+K83/100000+(100000-ROW())/1000000000)</f>
        <v/>
      </c>
    </row>
    <row r="84">
      <c r="A84" s="38">
        <f>IFERROR(INDEX($J$8:$J$207,MATCH(LARGE($R$8:$R$207,ROWS($A$8:A84)),$R$8:$R$207,0)),"")</f>
        <v/>
      </c>
      <c r="B84" s="38">
        <f>IFERROR(INDEX($K$8:$K$207,MATCH(LARGE($R$8:$R$207,ROWS($A$8:A84)),$R$8:$R$207,0)),"")</f>
        <v/>
      </c>
      <c r="C84" s="39">
        <f>IFERROR(INDEX($L$8:$L$207,MATCH(LARGE($R$8:$R$207,ROWS($A$8:A84)),$R$8:$R$207,0)),"")</f>
        <v/>
      </c>
      <c r="D84" s="39">
        <f>IFERROR(INDEX($M$8:$M$207,MATCH(LARGE($R$8:$R$207,ROWS($A$8:A84)),$R$8:$R$207,0)),"")</f>
        <v/>
      </c>
      <c r="E84" s="39">
        <f>IFERROR(INDEX($N$8:$N$207,MATCH(LARGE($R$8:$R$207,ROWS($A$8:A84)),$R$8:$R$207,0)),"")</f>
        <v/>
      </c>
      <c r="F84" s="41">
        <f>IFERROR(INDEX($O$8:$O$207,MATCH(LARGE($R$8:$R$207,ROWS($A$8:A84)),$R$8:$R$207,0)),"")</f>
        <v/>
      </c>
      <c r="G84" s="39">
        <f>IFERROR(INDEX($P$8:$P$207,MATCH(LARGE($R$8:$R$207,ROWS($A$8:A84)),$R$8:$R$207,0)),"")</f>
        <v/>
      </c>
      <c r="H84" s="38">
        <f>IFERROR(INDEX($Q$8:$Q$207,MATCH(LARGE($R$8:$R$207,ROWS($A$8:A84)),$R$8:$R$207,0)),"")</f>
        <v/>
      </c>
      <c r="J84">
        <f>IF(Trabajadores!B81="","",Trabajadores!B81)</f>
        <v/>
      </c>
      <c r="K84">
        <f>IF(J84="","",COUNTIFS(Detalle_Pagos!$E$5:$E$2004,J84,Detalle_Pagos!$J$5:$J$2004,"No"))</f>
        <v/>
      </c>
      <c r="L84" s="43">
        <f>IF(J84="","",SUMIFS(Detalle_Pagos!$I$5:$I$2004,Detalle_Pagos!$E$5:$E$2004,J84,Detalle_Pagos!$J$5:$J$2004,"No"))</f>
        <v/>
      </c>
      <c r="M84" s="43">
        <f>IF(J84="","",K84*IFERROR(INDEX(Trabajadores!$D$5:$D$204,MATCH(J84,Trabajadores!$B$5:$B$204,0)),0))</f>
        <v/>
      </c>
      <c r="N84" s="43">
        <f>IF(J84="","",L84+M84)</f>
        <v/>
      </c>
      <c r="O84" s="44">
        <f>IF(J84="","",IF(K84=0,"",LOOKUP(2,1/((Detalle_Pagos!$E$5:$E$2004=J84)*(Detalle_Pagos!$J$5:$J$2004="No")),Detalle_Pagos!$B$5:$B$2004)))</f>
        <v/>
      </c>
      <c r="P84" s="43">
        <f>IF(J84="","",SUMIFS(Detalle_Pagos!$I$5:$I$2004,Detalle_Pagos!$E$5:$E$2004,J84,Detalle_Pagos!$J$5:$J$2004,"Si"))</f>
        <v/>
      </c>
      <c r="Q84">
        <f>IF(J84="","",COUNTIFS(Detalle_Pagos!$E$5:$E$2004,J84,Detalle_Pagos!$J$5:$J$2004,"Si"))</f>
        <v/>
      </c>
      <c r="R84">
        <f>IF(J84="","",N84+K84/100000+(100000-ROW())/1000000000)</f>
        <v/>
      </c>
    </row>
    <row r="85">
      <c r="A85" s="36">
        <f>IFERROR(INDEX($J$8:$J$207,MATCH(LARGE($R$8:$R$207,ROWS($A$8:A85)),$R$8:$R$207,0)),"")</f>
        <v/>
      </c>
      <c r="B85" s="36">
        <f>IFERROR(INDEX($K$8:$K$207,MATCH(LARGE($R$8:$R$207,ROWS($A$8:A85)),$R$8:$R$207,0)),"")</f>
        <v/>
      </c>
      <c r="C85" s="37">
        <f>IFERROR(INDEX($L$8:$L$207,MATCH(LARGE($R$8:$R$207,ROWS($A$8:A85)),$R$8:$R$207,0)),"")</f>
        <v/>
      </c>
      <c r="D85" s="37">
        <f>IFERROR(INDEX($M$8:$M$207,MATCH(LARGE($R$8:$R$207,ROWS($A$8:A85)),$R$8:$R$207,0)),"")</f>
        <v/>
      </c>
      <c r="E85" s="37">
        <f>IFERROR(INDEX($N$8:$N$207,MATCH(LARGE($R$8:$R$207,ROWS($A$8:A85)),$R$8:$R$207,0)),"")</f>
        <v/>
      </c>
      <c r="F85" s="40">
        <f>IFERROR(INDEX($O$8:$O$207,MATCH(LARGE($R$8:$R$207,ROWS($A$8:A85)),$R$8:$R$207,0)),"")</f>
        <v/>
      </c>
      <c r="G85" s="37">
        <f>IFERROR(INDEX($P$8:$P$207,MATCH(LARGE($R$8:$R$207,ROWS($A$8:A85)),$R$8:$R$207,0)),"")</f>
        <v/>
      </c>
      <c r="H85" s="36">
        <f>IFERROR(INDEX($Q$8:$Q$207,MATCH(LARGE($R$8:$R$207,ROWS($A$8:A85)),$R$8:$R$207,0)),"")</f>
        <v/>
      </c>
      <c r="J85">
        <f>IF(Trabajadores!B82="","",Trabajadores!B82)</f>
        <v/>
      </c>
      <c r="K85">
        <f>IF(J85="","",COUNTIFS(Detalle_Pagos!$E$5:$E$2004,J85,Detalle_Pagos!$J$5:$J$2004,"No"))</f>
        <v/>
      </c>
      <c r="L85" s="43">
        <f>IF(J85="","",SUMIFS(Detalle_Pagos!$I$5:$I$2004,Detalle_Pagos!$E$5:$E$2004,J85,Detalle_Pagos!$J$5:$J$2004,"No"))</f>
        <v/>
      </c>
      <c r="M85" s="43">
        <f>IF(J85="","",K85*IFERROR(INDEX(Trabajadores!$D$5:$D$204,MATCH(J85,Trabajadores!$B$5:$B$204,0)),0))</f>
        <v/>
      </c>
      <c r="N85" s="43">
        <f>IF(J85="","",L85+M85)</f>
        <v/>
      </c>
      <c r="O85" s="44">
        <f>IF(J85="","",IF(K85=0,"",LOOKUP(2,1/((Detalle_Pagos!$E$5:$E$2004=J85)*(Detalle_Pagos!$J$5:$J$2004="No")),Detalle_Pagos!$B$5:$B$2004)))</f>
        <v/>
      </c>
      <c r="P85" s="43">
        <f>IF(J85="","",SUMIFS(Detalle_Pagos!$I$5:$I$2004,Detalle_Pagos!$E$5:$E$2004,J85,Detalle_Pagos!$J$5:$J$2004,"Si"))</f>
        <v/>
      </c>
      <c r="Q85">
        <f>IF(J85="","",COUNTIFS(Detalle_Pagos!$E$5:$E$2004,J85,Detalle_Pagos!$J$5:$J$2004,"Si"))</f>
        <v/>
      </c>
      <c r="R85">
        <f>IF(J85="","",N85+K85/100000+(100000-ROW())/1000000000)</f>
        <v/>
      </c>
    </row>
    <row r="86">
      <c r="A86" s="38">
        <f>IFERROR(INDEX($J$8:$J$207,MATCH(LARGE($R$8:$R$207,ROWS($A$8:A86)),$R$8:$R$207,0)),"")</f>
        <v/>
      </c>
      <c r="B86" s="38">
        <f>IFERROR(INDEX($K$8:$K$207,MATCH(LARGE($R$8:$R$207,ROWS($A$8:A86)),$R$8:$R$207,0)),"")</f>
        <v/>
      </c>
      <c r="C86" s="39">
        <f>IFERROR(INDEX($L$8:$L$207,MATCH(LARGE($R$8:$R$207,ROWS($A$8:A86)),$R$8:$R$207,0)),"")</f>
        <v/>
      </c>
      <c r="D86" s="39">
        <f>IFERROR(INDEX($M$8:$M$207,MATCH(LARGE($R$8:$R$207,ROWS($A$8:A86)),$R$8:$R$207,0)),"")</f>
        <v/>
      </c>
      <c r="E86" s="39">
        <f>IFERROR(INDEX($N$8:$N$207,MATCH(LARGE($R$8:$R$207,ROWS($A$8:A86)),$R$8:$R$207,0)),"")</f>
        <v/>
      </c>
      <c r="F86" s="41">
        <f>IFERROR(INDEX($O$8:$O$207,MATCH(LARGE($R$8:$R$207,ROWS($A$8:A86)),$R$8:$R$207,0)),"")</f>
        <v/>
      </c>
      <c r="G86" s="39">
        <f>IFERROR(INDEX($P$8:$P$207,MATCH(LARGE($R$8:$R$207,ROWS($A$8:A86)),$R$8:$R$207,0)),"")</f>
        <v/>
      </c>
      <c r="H86" s="38">
        <f>IFERROR(INDEX($Q$8:$Q$207,MATCH(LARGE($R$8:$R$207,ROWS($A$8:A86)),$R$8:$R$207,0)),"")</f>
        <v/>
      </c>
      <c r="J86">
        <f>IF(Trabajadores!B83="","",Trabajadores!B83)</f>
        <v/>
      </c>
      <c r="K86">
        <f>IF(J86="","",COUNTIFS(Detalle_Pagos!$E$5:$E$2004,J86,Detalle_Pagos!$J$5:$J$2004,"No"))</f>
        <v/>
      </c>
      <c r="L86" s="43">
        <f>IF(J86="","",SUMIFS(Detalle_Pagos!$I$5:$I$2004,Detalle_Pagos!$E$5:$E$2004,J86,Detalle_Pagos!$J$5:$J$2004,"No"))</f>
        <v/>
      </c>
      <c r="M86" s="43">
        <f>IF(J86="","",K86*IFERROR(INDEX(Trabajadores!$D$5:$D$204,MATCH(J86,Trabajadores!$B$5:$B$204,0)),0))</f>
        <v/>
      </c>
      <c r="N86" s="43">
        <f>IF(J86="","",L86+M86)</f>
        <v/>
      </c>
      <c r="O86" s="44">
        <f>IF(J86="","",IF(K86=0,"",LOOKUP(2,1/((Detalle_Pagos!$E$5:$E$2004=J86)*(Detalle_Pagos!$J$5:$J$2004="No")),Detalle_Pagos!$B$5:$B$2004)))</f>
        <v/>
      </c>
      <c r="P86" s="43">
        <f>IF(J86="","",SUMIFS(Detalle_Pagos!$I$5:$I$2004,Detalle_Pagos!$E$5:$E$2004,J86,Detalle_Pagos!$J$5:$J$2004,"Si"))</f>
        <v/>
      </c>
      <c r="Q86">
        <f>IF(J86="","",COUNTIFS(Detalle_Pagos!$E$5:$E$2004,J86,Detalle_Pagos!$J$5:$J$2004,"Si"))</f>
        <v/>
      </c>
      <c r="R86">
        <f>IF(J86="","",N86+K86/100000+(100000-ROW())/1000000000)</f>
        <v/>
      </c>
    </row>
    <row r="87">
      <c r="A87" s="36">
        <f>IFERROR(INDEX($J$8:$J$207,MATCH(LARGE($R$8:$R$207,ROWS($A$8:A87)),$R$8:$R$207,0)),"")</f>
        <v/>
      </c>
      <c r="B87" s="36">
        <f>IFERROR(INDEX($K$8:$K$207,MATCH(LARGE($R$8:$R$207,ROWS($A$8:A87)),$R$8:$R$207,0)),"")</f>
        <v/>
      </c>
      <c r="C87" s="37">
        <f>IFERROR(INDEX($L$8:$L$207,MATCH(LARGE($R$8:$R$207,ROWS($A$8:A87)),$R$8:$R$207,0)),"")</f>
        <v/>
      </c>
      <c r="D87" s="37">
        <f>IFERROR(INDEX($M$8:$M$207,MATCH(LARGE($R$8:$R$207,ROWS($A$8:A87)),$R$8:$R$207,0)),"")</f>
        <v/>
      </c>
      <c r="E87" s="37">
        <f>IFERROR(INDEX($N$8:$N$207,MATCH(LARGE($R$8:$R$207,ROWS($A$8:A87)),$R$8:$R$207,0)),"")</f>
        <v/>
      </c>
      <c r="F87" s="40">
        <f>IFERROR(INDEX($O$8:$O$207,MATCH(LARGE($R$8:$R$207,ROWS($A$8:A87)),$R$8:$R$207,0)),"")</f>
        <v/>
      </c>
      <c r="G87" s="37">
        <f>IFERROR(INDEX($P$8:$P$207,MATCH(LARGE($R$8:$R$207,ROWS($A$8:A87)),$R$8:$R$207,0)),"")</f>
        <v/>
      </c>
      <c r="H87" s="36">
        <f>IFERROR(INDEX($Q$8:$Q$207,MATCH(LARGE($R$8:$R$207,ROWS($A$8:A87)),$R$8:$R$207,0)),"")</f>
        <v/>
      </c>
      <c r="J87">
        <f>IF(Trabajadores!B84="","",Trabajadores!B84)</f>
        <v/>
      </c>
      <c r="K87">
        <f>IF(J87="","",COUNTIFS(Detalle_Pagos!$E$5:$E$2004,J87,Detalle_Pagos!$J$5:$J$2004,"No"))</f>
        <v/>
      </c>
      <c r="L87" s="43">
        <f>IF(J87="","",SUMIFS(Detalle_Pagos!$I$5:$I$2004,Detalle_Pagos!$E$5:$E$2004,J87,Detalle_Pagos!$J$5:$J$2004,"No"))</f>
        <v/>
      </c>
      <c r="M87" s="43">
        <f>IF(J87="","",K87*IFERROR(INDEX(Trabajadores!$D$5:$D$204,MATCH(J87,Trabajadores!$B$5:$B$204,0)),0))</f>
        <v/>
      </c>
      <c r="N87" s="43">
        <f>IF(J87="","",L87+M87)</f>
        <v/>
      </c>
      <c r="O87" s="44">
        <f>IF(J87="","",IF(K87=0,"",LOOKUP(2,1/((Detalle_Pagos!$E$5:$E$2004=J87)*(Detalle_Pagos!$J$5:$J$2004="No")),Detalle_Pagos!$B$5:$B$2004)))</f>
        <v/>
      </c>
      <c r="P87" s="43">
        <f>IF(J87="","",SUMIFS(Detalle_Pagos!$I$5:$I$2004,Detalle_Pagos!$E$5:$E$2004,J87,Detalle_Pagos!$J$5:$J$2004,"Si"))</f>
        <v/>
      </c>
      <c r="Q87">
        <f>IF(J87="","",COUNTIFS(Detalle_Pagos!$E$5:$E$2004,J87,Detalle_Pagos!$J$5:$J$2004,"Si"))</f>
        <v/>
      </c>
      <c r="R87">
        <f>IF(J87="","",N87+K87/100000+(100000-ROW())/1000000000)</f>
        <v/>
      </c>
    </row>
    <row r="88">
      <c r="A88" s="38">
        <f>IFERROR(INDEX($J$8:$J$207,MATCH(LARGE($R$8:$R$207,ROWS($A$8:A88)),$R$8:$R$207,0)),"")</f>
        <v/>
      </c>
      <c r="B88" s="38">
        <f>IFERROR(INDEX($K$8:$K$207,MATCH(LARGE($R$8:$R$207,ROWS($A$8:A88)),$R$8:$R$207,0)),"")</f>
        <v/>
      </c>
      <c r="C88" s="39">
        <f>IFERROR(INDEX($L$8:$L$207,MATCH(LARGE($R$8:$R$207,ROWS($A$8:A88)),$R$8:$R$207,0)),"")</f>
        <v/>
      </c>
      <c r="D88" s="39">
        <f>IFERROR(INDEX($M$8:$M$207,MATCH(LARGE($R$8:$R$207,ROWS($A$8:A88)),$R$8:$R$207,0)),"")</f>
        <v/>
      </c>
      <c r="E88" s="39">
        <f>IFERROR(INDEX($N$8:$N$207,MATCH(LARGE($R$8:$R$207,ROWS($A$8:A88)),$R$8:$R$207,0)),"")</f>
        <v/>
      </c>
      <c r="F88" s="41">
        <f>IFERROR(INDEX($O$8:$O$207,MATCH(LARGE($R$8:$R$207,ROWS($A$8:A88)),$R$8:$R$207,0)),"")</f>
        <v/>
      </c>
      <c r="G88" s="39">
        <f>IFERROR(INDEX($P$8:$P$207,MATCH(LARGE($R$8:$R$207,ROWS($A$8:A88)),$R$8:$R$207,0)),"")</f>
        <v/>
      </c>
      <c r="H88" s="38">
        <f>IFERROR(INDEX($Q$8:$Q$207,MATCH(LARGE($R$8:$R$207,ROWS($A$8:A88)),$R$8:$R$207,0)),"")</f>
        <v/>
      </c>
      <c r="J88">
        <f>IF(Trabajadores!B85="","",Trabajadores!B85)</f>
        <v/>
      </c>
      <c r="K88">
        <f>IF(J88="","",COUNTIFS(Detalle_Pagos!$E$5:$E$2004,J88,Detalle_Pagos!$J$5:$J$2004,"No"))</f>
        <v/>
      </c>
      <c r="L88" s="43">
        <f>IF(J88="","",SUMIFS(Detalle_Pagos!$I$5:$I$2004,Detalle_Pagos!$E$5:$E$2004,J88,Detalle_Pagos!$J$5:$J$2004,"No"))</f>
        <v/>
      </c>
      <c r="M88" s="43">
        <f>IF(J88="","",K88*IFERROR(INDEX(Trabajadores!$D$5:$D$204,MATCH(J88,Trabajadores!$B$5:$B$204,0)),0))</f>
        <v/>
      </c>
      <c r="N88" s="43">
        <f>IF(J88="","",L88+M88)</f>
        <v/>
      </c>
      <c r="O88" s="44">
        <f>IF(J88="","",IF(K88=0,"",LOOKUP(2,1/((Detalle_Pagos!$E$5:$E$2004=J88)*(Detalle_Pagos!$J$5:$J$2004="No")),Detalle_Pagos!$B$5:$B$2004)))</f>
        <v/>
      </c>
      <c r="P88" s="43">
        <f>IF(J88="","",SUMIFS(Detalle_Pagos!$I$5:$I$2004,Detalle_Pagos!$E$5:$E$2004,J88,Detalle_Pagos!$J$5:$J$2004,"Si"))</f>
        <v/>
      </c>
      <c r="Q88">
        <f>IF(J88="","",COUNTIFS(Detalle_Pagos!$E$5:$E$2004,J88,Detalle_Pagos!$J$5:$J$2004,"Si"))</f>
        <v/>
      </c>
      <c r="R88">
        <f>IF(J88="","",N88+K88/100000+(100000-ROW())/1000000000)</f>
        <v/>
      </c>
    </row>
    <row r="89">
      <c r="A89" s="36">
        <f>IFERROR(INDEX($J$8:$J$207,MATCH(LARGE($R$8:$R$207,ROWS($A$8:A89)),$R$8:$R$207,0)),"")</f>
        <v/>
      </c>
      <c r="B89" s="36">
        <f>IFERROR(INDEX($K$8:$K$207,MATCH(LARGE($R$8:$R$207,ROWS($A$8:A89)),$R$8:$R$207,0)),"")</f>
        <v/>
      </c>
      <c r="C89" s="37">
        <f>IFERROR(INDEX($L$8:$L$207,MATCH(LARGE($R$8:$R$207,ROWS($A$8:A89)),$R$8:$R$207,0)),"")</f>
        <v/>
      </c>
      <c r="D89" s="37">
        <f>IFERROR(INDEX($M$8:$M$207,MATCH(LARGE($R$8:$R$207,ROWS($A$8:A89)),$R$8:$R$207,0)),"")</f>
        <v/>
      </c>
      <c r="E89" s="37">
        <f>IFERROR(INDEX($N$8:$N$207,MATCH(LARGE($R$8:$R$207,ROWS($A$8:A89)),$R$8:$R$207,0)),"")</f>
        <v/>
      </c>
      <c r="F89" s="40">
        <f>IFERROR(INDEX($O$8:$O$207,MATCH(LARGE($R$8:$R$207,ROWS($A$8:A89)),$R$8:$R$207,0)),"")</f>
        <v/>
      </c>
      <c r="G89" s="37">
        <f>IFERROR(INDEX($P$8:$P$207,MATCH(LARGE($R$8:$R$207,ROWS($A$8:A89)),$R$8:$R$207,0)),"")</f>
        <v/>
      </c>
      <c r="H89" s="36">
        <f>IFERROR(INDEX($Q$8:$Q$207,MATCH(LARGE($R$8:$R$207,ROWS($A$8:A89)),$R$8:$R$207,0)),"")</f>
        <v/>
      </c>
      <c r="J89">
        <f>IF(Trabajadores!B86="","",Trabajadores!B86)</f>
        <v/>
      </c>
      <c r="K89">
        <f>IF(J89="","",COUNTIFS(Detalle_Pagos!$E$5:$E$2004,J89,Detalle_Pagos!$J$5:$J$2004,"No"))</f>
        <v/>
      </c>
      <c r="L89" s="43">
        <f>IF(J89="","",SUMIFS(Detalle_Pagos!$I$5:$I$2004,Detalle_Pagos!$E$5:$E$2004,J89,Detalle_Pagos!$J$5:$J$2004,"No"))</f>
        <v/>
      </c>
      <c r="M89" s="43">
        <f>IF(J89="","",K89*IFERROR(INDEX(Trabajadores!$D$5:$D$204,MATCH(J89,Trabajadores!$B$5:$B$204,0)),0))</f>
        <v/>
      </c>
      <c r="N89" s="43">
        <f>IF(J89="","",L89+M89)</f>
        <v/>
      </c>
      <c r="O89" s="44">
        <f>IF(J89="","",IF(K89=0,"",LOOKUP(2,1/((Detalle_Pagos!$E$5:$E$2004=J89)*(Detalle_Pagos!$J$5:$J$2004="No")),Detalle_Pagos!$B$5:$B$2004)))</f>
        <v/>
      </c>
      <c r="P89" s="43">
        <f>IF(J89="","",SUMIFS(Detalle_Pagos!$I$5:$I$2004,Detalle_Pagos!$E$5:$E$2004,J89,Detalle_Pagos!$J$5:$J$2004,"Si"))</f>
        <v/>
      </c>
      <c r="Q89">
        <f>IF(J89="","",COUNTIFS(Detalle_Pagos!$E$5:$E$2004,J89,Detalle_Pagos!$J$5:$J$2004,"Si"))</f>
        <v/>
      </c>
      <c r="R89">
        <f>IF(J89="","",N89+K89/100000+(100000-ROW())/1000000000)</f>
        <v/>
      </c>
    </row>
    <row r="90">
      <c r="A90" s="38">
        <f>IFERROR(INDEX($J$8:$J$207,MATCH(LARGE($R$8:$R$207,ROWS($A$8:A90)),$R$8:$R$207,0)),"")</f>
        <v/>
      </c>
      <c r="B90" s="38">
        <f>IFERROR(INDEX($K$8:$K$207,MATCH(LARGE($R$8:$R$207,ROWS($A$8:A90)),$R$8:$R$207,0)),"")</f>
        <v/>
      </c>
      <c r="C90" s="39">
        <f>IFERROR(INDEX($L$8:$L$207,MATCH(LARGE($R$8:$R$207,ROWS($A$8:A90)),$R$8:$R$207,0)),"")</f>
        <v/>
      </c>
      <c r="D90" s="39">
        <f>IFERROR(INDEX($M$8:$M$207,MATCH(LARGE($R$8:$R$207,ROWS($A$8:A90)),$R$8:$R$207,0)),"")</f>
        <v/>
      </c>
      <c r="E90" s="39">
        <f>IFERROR(INDEX($N$8:$N$207,MATCH(LARGE($R$8:$R$207,ROWS($A$8:A90)),$R$8:$R$207,0)),"")</f>
        <v/>
      </c>
      <c r="F90" s="41">
        <f>IFERROR(INDEX($O$8:$O$207,MATCH(LARGE($R$8:$R$207,ROWS($A$8:A90)),$R$8:$R$207,0)),"")</f>
        <v/>
      </c>
      <c r="G90" s="39">
        <f>IFERROR(INDEX($P$8:$P$207,MATCH(LARGE($R$8:$R$207,ROWS($A$8:A90)),$R$8:$R$207,0)),"")</f>
        <v/>
      </c>
      <c r="H90" s="38">
        <f>IFERROR(INDEX($Q$8:$Q$207,MATCH(LARGE($R$8:$R$207,ROWS($A$8:A90)),$R$8:$R$207,0)),"")</f>
        <v/>
      </c>
      <c r="J90">
        <f>IF(Trabajadores!B87="","",Trabajadores!B87)</f>
        <v/>
      </c>
      <c r="K90">
        <f>IF(J90="","",COUNTIFS(Detalle_Pagos!$E$5:$E$2004,J90,Detalle_Pagos!$J$5:$J$2004,"No"))</f>
        <v/>
      </c>
      <c r="L90" s="43">
        <f>IF(J90="","",SUMIFS(Detalle_Pagos!$I$5:$I$2004,Detalle_Pagos!$E$5:$E$2004,J90,Detalle_Pagos!$J$5:$J$2004,"No"))</f>
        <v/>
      </c>
      <c r="M90" s="43">
        <f>IF(J90="","",K90*IFERROR(INDEX(Trabajadores!$D$5:$D$204,MATCH(J90,Trabajadores!$B$5:$B$204,0)),0))</f>
        <v/>
      </c>
      <c r="N90" s="43">
        <f>IF(J90="","",L90+M90)</f>
        <v/>
      </c>
      <c r="O90" s="44">
        <f>IF(J90="","",IF(K90=0,"",LOOKUP(2,1/((Detalle_Pagos!$E$5:$E$2004=J90)*(Detalle_Pagos!$J$5:$J$2004="No")),Detalle_Pagos!$B$5:$B$2004)))</f>
        <v/>
      </c>
      <c r="P90" s="43">
        <f>IF(J90="","",SUMIFS(Detalle_Pagos!$I$5:$I$2004,Detalle_Pagos!$E$5:$E$2004,J90,Detalle_Pagos!$J$5:$J$2004,"Si"))</f>
        <v/>
      </c>
      <c r="Q90">
        <f>IF(J90="","",COUNTIFS(Detalle_Pagos!$E$5:$E$2004,J90,Detalle_Pagos!$J$5:$J$2004,"Si"))</f>
        <v/>
      </c>
      <c r="R90">
        <f>IF(J90="","",N90+K90/100000+(100000-ROW())/1000000000)</f>
        <v/>
      </c>
    </row>
    <row r="91">
      <c r="A91" s="36">
        <f>IFERROR(INDEX($J$8:$J$207,MATCH(LARGE($R$8:$R$207,ROWS($A$8:A91)),$R$8:$R$207,0)),"")</f>
        <v/>
      </c>
      <c r="B91" s="36">
        <f>IFERROR(INDEX($K$8:$K$207,MATCH(LARGE($R$8:$R$207,ROWS($A$8:A91)),$R$8:$R$207,0)),"")</f>
        <v/>
      </c>
      <c r="C91" s="37">
        <f>IFERROR(INDEX($L$8:$L$207,MATCH(LARGE($R$8:$R$207,ROWS($A$8:A91)),$R$8:$R$207,0)),"")</f>
        <v/>
      </c>
      <c r="D91" s="37">
        <f>IFERROR(INDEX($M$8:$M$207,MATCH(LARGE($R$8:$R$207,ROWS($A$8:A91)),$R$8:$R$207,0)),"")</f>
        <v/>
      </c>
      <c r="E91" s="37">
        <f>IFERROR(INDEX($N$8:$N$207,MATCH(LARGE($R$8:$R$207,ROWS($A$8:A91)),$R$8:$R$207,0)),"")</f>
        <v/>
      </c>
      <c r="F91" s="40">
        <f>IFERROR(INDEX($O$8:$O$207,MATCH(LARGE($R$8:$R$207,ROWS($A$8:A91)),$R$8:$R$207,0)),"")</f>
        <v/>
      </c>
      <c r="G91" s="37">
        <f>IFERROR(INDEX($P$8:$P$207,MATCH(LARGE($R$8:$R$207,ROWS($A$8:A91)),$R$8:$R$207,0)),"")</f>
        <v/>
      </c>
      <c r="H91" s="36">
        <f>IFERROR(INDEX($Q$8:$Q$207,MATCH(LARGE($R$8:$R$207,ROWS($A$8:A91)),$R$8:$R$207,0)),"")</f>
        <v/>
      </c>
      <c r="J91">
        <f>IF(Trabajadores!B88="","",Trabajadores!B88)</f>
        <v/>
      </c>
      <c r="K91">
        <f>IF(J91="","",COUNTIFS(Detalle_Pagos!$E$5:$E$2004,J91,Detalle_Pagos!$J$5:$J$2004,"No"))</f>
        <v/>
      </c>
      <c r="L91" s="43">
        <f>IF(J91="","",SUMIFS(Detalle_Pagos!$I$5:$I$2004,Detalle_Pagos!$E$5:$E$2004,J91,Detalle_Pagos!$J$5:$J$2004,"No"))</f>
        <v/>
      </c>
      <c r="M91" s="43">
        <f>IF(J91="","",K91*IFERROR(INDEX(Trabajadores!$D$5:$D$204,MATCH(J91,Trabajadores!$B$5:$B$204,0)),0))</f>
        <v/>
      </c>
      <c r="N91" s="43">
        <f>IF(J91="","",L91+M91)</f>
        <v/>
      </c>
      <c r="O91" s="44">
        <f>IF(J91="","",IF(K91=0,"",LOOKUP(2,1/((Detalle_Pagos!$E$5:$E$2004=J91)*(Detalle_Pagos!$J$5:$J$2004="No")),Detalle_Pagos!$B$5:$B$2004)))</f>
        <v/>
      </c>
      <c r="P91" s="43">
        <f>IF(J91="","",SUMIFS(Detalle_Pagos!$I$5:$I$2004,Detalle_Pagos!$E$5:$E$2004,J91,Detalle_Pagos!$J$5:$J$2004,"Si"))</f>
        <v/>
      </c>
      <c r="Q91">
        <f>IF(J91="","",COUNTIFS(Detalle_Pagos!$E$5:$E$2004,J91,Detalle_Pagos!$J$5:$J$2004,"Si"))</f>
        <v/>
      </c>
      <c r="R91">
        <f>IF(J91="","",N91+K91/100000+(100000-ROW())/1000000000)</f>
        <v/>
      </c>
    </row>
    <row r="92">
      <c r="A92" s="38">
        <f>IFERROR(INDEX($J$8:$J$207,MATCH(LARGE($R$8:$R$207,ROWS($A$8:A92)),$R$8:$R$207,0)),"")</f>
        <v/>
      </c>
      <c r="B92" s="38">
        <f>IFERROR(INDEX($K$8:$K$207,MATCH(LARGE($R$8:$R$207,ROWS($A$8:A92)),$R$8:$R$207,0)),"")</f>
        <v/>
      </c>
      <c r="C92" s="39">
        <f>IFERROR(INDEX($L$8:$L$207,MATCH(LARGE($R$8:$R$207,ROWS($A$8:A92)),$R$8:$R$207,0)),"")</f>
        <v/>
      </c>
      <c r="D92" s="39">
        <f>IFERROR(INDEX($M$8:$M$207,MATCH(LARGE($R$8:$R$207,ROWS($A$8:A92)),$R$8:$R$207,0)),"")</f>
        <v/>
      </c>
      <c r="E92" s="39">
        <f>IFERROR(INDEX($N$8:$N$207,MATCH(LARGE($R$8:$R$207,ROWS($A$8:A92)),$R$8:$R$207,0)),"")</f>
        <v/>
      </c>
      <c r="F92" s="41">
        <f>IFERROR(INDEX($O$8:$O$207,MATCH(LARGE($R$8:$R$207,ROWS($A$8:A92)),$R$8:$R$207,0)),"")</f>
        <v/>
      </c>
      <c r="G92" s="39">
        <f>IFERROR(INDEX($P$8:$P$207,MATCH(LARGE($R$8:$R$207,ROWS($A$8:A92)),$R$8:$R$207,0)),"")</f>
        <v/>
      </c>
      <c r="H92" s="38">
        <f>IFERROR(INDEX($Q$8:$Q$207,MATCH(LARGE($R$8:$R$207,ROWS($A$8:A92)),$R$8:$R$207,0)),"")</f>
        <v/>
      </c>
      <c r="J92">
        <f>IF(Trabajadores!B89="","",Trabajadores!B89)</f>
        <v/>
      </c>
      <c r="K92">
        <f>IF(J92="","",COUNTIFS(Detalle_Pagos!$E$5:$E$2004,J92,Detalle_Pagos!$J$5:$J$2004,"No"))</f>
        <v/>
      </c>
      <c r="L92" s="43">
        <f>IF(J92="","",SUMIFS(Detalle_Pagos!$I$5:$I$2004,Detalle_Pagos!$E$5:$E$2004,J92,Detalle_Pagos!$J$5:$J$2004,"No"))</f>
        <v/>
      </c>
      <c r="M92" s="43">
        <f>IF(J92="","",K92*IFERROR(INDEX(Trabajadores!$D$5:$D$204,MATCH(J92,Trabajadores!$B$5:$B$204,0)),0))</f>
        <v/>
      </c>
      <c r="N92" s="43">
        <f>IF(J92="","",L92+M92)</f>
        <v/>
      </c>
      <c r="O92" s="44">
        <f>IF(J92="","",IF(K92=0,"",LOOKUP(2,1/((Detalle_Pagos!$E$5:$E$2004=J92)*(Detalle_Pagos!$J$5:$J$2004="No")),Detalle_Pagos!$B$5:$B$2004)))</f>
        <v/>
      </c>
      <c r="P92" s="43">
        <f>IF(J92="","",SUMIFS(Detalle_Pagos!$I$5:$I$2004,Detalle_Pagos!$E$5:$E$2004,J92,Detalle_Pagos!$J$5:$J$2004,"Si"))</f>
        <v/>
      </c>
      <c r="Q92">
        <f>IF(J92="","",COUNTIFS(Detalle_Pagos!$E$5:$E$2004,J92,Detalle_Pagos!$J$5:$J$2004,"Si"))</f>
        <v/>
      </c>
      <c r="R92">
        <f>IF(J92="","",N92+K92/100000+(100000-ROW())/1000000000)</f>
        <v/>
      </c>
    </row>
    <row r="93">
      <c r="A93" s="36">
        <f>IFERROR(INDEX($J$8:$J$207,MATCH(LARGE($R$8:$R$207,ROWS($A$8:A93)),$R$8:$R$207,0)),"")</f>
        <v/>
      </c>
      <c r="B93" s="36">
        <f>IFERROR(INDEX($K$8:$K$207,MATCH(LARGE($R$8:$R$207,ROWS($A$8:A93)),$R$8:$R$207,0)),"")</f>
        <v/>
      </c>
      <c r="C93" s="37">
        <f>IFERROR(INDEX($L$8:$L$207,MATCH(LARGE($R$8:$R$207,ROWS($A$8:A93)),$R$8:$R$207,0)),"")</f>
        <v/>
      </c>
      <c r="D93" s="37">
        <f>IFERROR(INDEX($M$8:$M$207,MATCH(LARGE($R$8:$R$207,ROWS($A$8:A93)),$R$8:$R$207,0)),"")</f>
        <v/>
      </c>
      <c r="E93" s="37">
        <f>IFERROR(INDEX($N$8:$N$207,MATCH(LARGE($R$8:$R$207,ROWS($A$8:A93)),$R$8:$R$207,0)),"")</f>
        <v/>
      </c>
      <c r="F93" s="40">
        <f>IFERROR(INDEX($O$8:$O$207,MATCH(LARGE($R$8:$R$207,ROWS($A$8:A93)),$R$8:$R$207,0)),"")</f>
        <v/>
      </c>
      <c r="G93" s="37">
        <f>IFERROR(INDEX($P$8:$P$207,MATCH(LARGE($R$8:$R$207,ROWS($A$8:A93)),$R$8:$R$207,0)),"")</f>
        <v/>
      </c>
      <c r="H93" s="36">
        <f>IFERROR(INDEX($Q$8:$Q$207,MATCH(LARGE($R$8:$R$207,ROWS($A$8:A93)),$R$8:$R$207,0)),"")</f>
        <v/>
      </c>
      <c r="J93">
        <f>IF(Trabajadores!B90="","",Trabajadores!B90)</f>
        <v/>
      </c>
      <c r="K93">
        <f>IF(J93="","",COUNTIFS(Detalle_Pagos!$E$5:$E$2004,J93,Detalle_Pagos!$J$5:$J$2004,"No"))</f>
        <v/>
      </c>
      <c r="L93" s="43">
        <f>IF(J93="","",SUMIFS(Detalle_Pagos!$I$5:$I$2004,Detalle_Pagos!$E$5:$E$2004,J93,Detalle_Pagos!$J$5:$J$2004,"No"))</f>
        <v/>
      </c>
      <c r="M93" s="43">
        <f>IF(J93="","",K93*IFERROR(INDEX(Trabajadores!$D$5:$D$204,MATCH(J93,Trabajadores!$B$5:$B$204,0)),0))</f>
        <v/>
      </c>
      <c r="N93" s="43">
        <f>IF(J93="","",L93+M93)</f>
        <v/>
      </c>
      <c r="O93" s="44">
        <f>IF(J93="","",IF(K93=0,"",LOOKUP(2,1/((Detalle_Pagos!$E$5:$E$2004=J93)*(Detalle_Pagos!$J$5:$J$2004="No")),Detalle_Pagos!$B$5:$B$2004)))</f>
        <v/>
      </c>
      <c r="P93" s="43">
        <f>IF(J93="","",SUMIFS(Detalle_Pagos!$I$5:$I$2004,Detalle_Pagos!$E$5:$E$2004,J93,Detalle_Pagos!$J$5:$J$2004,"Si"))</f>
        <v/>
      </c>
      <c r="Q93">
        <f>IF(J93="","",COUNTIFS(Detalle_Pagos!$E$5:$E$2004,J93,Detalle_Pagos!$J$5:$J$2004,"Si"))</f>
        <v/>
      </c>
      <c r="R93">
        <f>IF(J93="","",N93+K93/100000+(100000-ROW())/1000000000)</f>
        <v/>
      </c>
    </row>
    <row r="94">
      <c r="A94" s="38">
        <f>IFERROR(INDEX($J$8:$J$207,MATCH(LARGE($R$8:$R$207,ROWS($A$8:A94)),$R$8:$R$207,0)),"")</f>
        <v/>
      </c>
      <c r="B94" s="38">
        <f>IFERROR(INDEX($K$8:$K$207,MATCH(LARGE($R$8:$R$207,ROWS($A$8:A94)),$R$8:$R$207,0)),"")</f>
        <v/>
      </c>
      <c r="C94" s="39">
        <f>IFERROR(INDEX($L$8:$L$207,MATCH(LARGE($R$8:$R$207,ROWS($A$8:A94)),$R$8:$R$207,0)),"")</f>
        <v/>
      </c>
      <c r="D94" s="39">
        <f>IFERROR(INDEX($M$8:$M$207,MATCH(LARGE($R$8:$R$207,ROWS($A$8:A94)),$R$8:$R$207,0)),"")</f>
        <v/>
      </c>
      <c r="E94" s="39">
        <f>IFERROR(INDEX($N$8:$N$207,MATCH(LARGE($R$8:$R$207,ROWS($A$8:A94)),$R$8:$R$207,0)),"")</f>
        <v/>
      </c>
      <c r="F94" s="41">
        <f>IFERROR(INDEX($O$8:$O$207,MATCH(LARGE($R$8:$R$207,ROWS($A$8:A94)),$R$8:$R$207,0)),"")</f>
        <v/>
      </c>
      <c r="G94" s="39">
        <f>IFERROR(INDEX($P$8:$P$207,MATCH(LARGE($R$8:$R$207,ROWS($A$8:A94)),$R$8:$R$207,0)),"")</f>
        <v/>
      </c>
      <c r="H94" s="38">
        <f>IFERROR(INDEX($Q$8:$Q$207,MATCH(LARGE($R$8:$R$207,ROWS($A$8:A94)),$R$8:$R$207,0)),"")</f>
        <v/>
      </c>
      <c r="J94">
        <f>IF(Trabajadores!B91="","",Trabajadores!B91)</f>
        <v/>
      </c>
      <c r="K94">
        <f>IF(J94="","",COUNTIFS(Detalle_Pagos!$E$5:$E$2004,J94,Detalle_Pagos!$J$5:$J$2004,"No"))</f>
        <v/>
      </c>
      <c r="L94" s="43">
        <f>IF(J94="","",SUMIFS(Detalle_Pagos!$I$5:$I$2004,Detalle_Pagos!$E$5:$E$2004,J94,Detalle_Pagos!$J$5:$J$2004,"No"))</f>
        <v/>
      </c>
      <c r="M94" s="43">
        <f>IF(J94="","",K94*IFERROR(INDEX(Trabajadores!$D$5:$D$204,MATCH(J94,Trabajadores!$B$5:$B$204,0)),0))</f>
        <v/>
      </c>
      <c r="N94" s="43">
        <f>IF(J94="","",L94+M94)</f>
        <v/>
      </c>
      <c r="O94" s="44">
        <f>IF(J94="","",IF(K94=0,"",LOOKUP(2,1/((Detalle_Pagos!$E$5:$E$2004=J94)*(Detalle_Pagos!$J$5:$J$2004="No")),Detalle_Pagos!$B$5:$B$2004)))</f>
        <v/>
      </c>
      <c r="P94" s="43">
        <f>IF(J94="","",SUMIFS(Detalle_Pagos!$I$5:$I$2004,Detalle_Pagos!$E$5:$E$2004,J94,Detalle_Pagos!$J$5:$J$2004,"Si"))</f>
        <v/>
      </c>
      <c r="Q94">
        <f>IF(J94="","",COUNTIFS(Detalle_Pagos!$E$5:$E$2004,J94,Detalle_Pagos!$J$5:$J$2004,"Si"))</f>
        <v/>
      </c>
      <c r="R94">
        <f>IF(J94="","",N94+K94/100000+(100000-ROW())/1000000000)</f>
        <v/>
      </c>
    </row>
    <row r="95">
      <c r="A95" s="36">
        <f>IFERROR(INDEX($J$8:$J$207,MATCH(LARGE($R$8:$R$207,ROWS($A$8:A95)),$R$8:$R$207,0)),"")</f>
        <v/>
      </c>
      <c r="B95" s="36">
        <f>IFERROR(INDEX($K$8:$K$207,MATCH(LARGE($R$8:$R$207,ROWS($A$8:A95)),$R$8:$R$207,0)),"")</f>
        <v/>
      </c>
      <c r="C95" s="37">
        <f>IFERROR(INDEX($L$8:$L$207,MATCH(LARGE($R$8:$R$207,ROWS($A$8:A95)),$R$8:$R$207,0)),"")</f>
        <v/>
      </c>
      <c r="D95" s="37">
        <f>IFERROR(INDEX($M$8:$M$207,MATCH(LARGE($R$8:$R$207,ROWS($A$8:A95)),$R$8:$R$207,0)),"")</f>
        <v/>
      </c>
      <c r="E95" s="37">
        <f>IFERROR(INDEX($N$8:$N$207,MATCH(LARGE($R$8:$R$207,ROWS($A$8:A95)),$R$8:$R$207,0)),"")</f>
        <v/>
      </c>
      <c r="F95" s="40">
        <f>IFERROR(INDEX($O$8:$O$207,MATCH(LARGE($R$8:$R$207,ROWS($A$8:A95)),$R$8:$R$207,0)),"")</f>
        <v/>
      </c>
      <c r="G95" s="37">
        <f>IFERROR(INDEX($P$8:$P$207,MATCH(LARGE($R$8:$R$207,ROWS($A$8:A95)),$R$8:$R$207,0)),"")</f>
        <v/>
      </c>
      <c r="H95" s="36">
        <f>IFERROR(INDEX($Q$8:$Q$207,MATCH(LARGE($R$8:$R$207,ROWS($A$8:A95)),$R$8:$R$207,0)),"")</f>
        <v/>
      </c>
      <c r="J95">
        <f>IF(Trabajadores!B92="","",Trabajadores!B92)</f>
        <v/>
      </c>
      <c r="K95">
        <f>IF(J95="","",COUNTIFS(Detalle_Pagos!$E$5:$E$2004,J95,Detalle_Pagos!$J$5:$J$2004,"No"))</f>
        <v/>
      </c>
      <c r="L95" s="43">
        <f>IF(J95="","",SUMIFS(Detalle_Pagos!$I$5:$I$2004,Detalle_Pagos!$E$5:$E$2004,J95,Detalle_Pagos!$J$5:$J$2004,"No"))</f>
        <v/>
      </c>
      <c r="M95" s="43">
        <f>IF(J95="","",K95*IFERROR(INDEX(Trabajadores!$D$5:$D$204,MATCH(J95,Trabajadores!$B$5:$B$204,0)),0))</f>
        <v/>
      </c>
      <c r="N95" s="43">
        <f>IF(J95="","",L95+M95)</f>
        <v/>
      </c>
      <c r="O95" s="44">
        <f>IF(J95="","",IF(K95=0,"",LOOKUP(2,1/((Detalle_Pagos!$E$5:$E$2004=J95)*(Detalle_Pagos!$J$5:$J$2004="No")),Detalle_Pagos!$B$5:$B$2004)))</f>
        <v/>
      </c>
      <c r="P95" s="43">
        <f>IF(J95="","",SUMIFS(Detalle_Pagos!$I$5:$I$2004,Detalle_Pagos!$E$5:$E$2004,J95,Detalle_Pagos!$J$5:$J$2004,"Si"))</f>
        <v/>
      </c>
      <c r="Q95">
        <f>IF(J95="","",COUNTIFS(Detalle_Pagos!$E$5:$E$2004,J95,Detalle_Pagos!$J$5:$J$2004,"Si"))</f>
        <v/>
      </c>
      <c r="R95">
        <f>IF(J95="","",N95+K95/100000+(100000-ROW())/1000000000)</f>
        <v/>
      </c>
    </row>
    <row r="96">
      <c r="A96" s="38">
        <f>IFERROR(INDEX($J$8:$J$207,MATCH(LARGE($R$8:$R$207,ROWS($A$8:A96)),$R$8:$R$207,0)),"")</f>
        <v/>
      </c>
      <c r="B96" s="38">
        <f>IFERROR(INDEX($K$8:$K$207,MATCH(LARGE($R$8:$R$207,ROWS($A$8:A96)),$R$8:$R$207,0)),"")</f>
        <v/>
      </c>
      <c r="C96" s="39">
        <f>IFERROR(INDEX($L$8:$L$207,MATCH(LARGE($R$8:$R$207,ROWS($A$8:A96)),$R$8:$R$207,0)),"")</f>
        <v/>
      </c>
      <c r="D96" s="39">
        <f>IFERROR(INDEX($M$8:$M$207,MATCH(LARGE($R$8:$R$207,ROWS($A$8:A96)),$R$8:$R$207,0)),"")</f>
        <v/>
      </c>
      <c r="E96" s="39">
        <f>IFERROR(INDEX($N$8:$N$207,MATCH(LARGE($R$8:$R$207,ROWS($A$8:A96)),$R$8:$R$207,0)),"")</f>
        <v/>
      </c>
      <c r="F96" s="41">
        <f>IFERROR(INDEX($O$8:$O$207,MATCH(LARGE($R$8:$R$207,ROWS($A$8:A96)),$R$8:$R$207,0)),"")</f>
        <v/>
      </c>
      <c r="G96" s="39">
        <f>IFERROR(INDEX($P$8:$P$207,MATCH(LARGE($R$8:$R$207,ROWS($A$8:A96)),$R$8:$R$207,0)),"")</f>
        <v/>
      </c>
      <c r="H96" s="38">
        <f>IFERROR(INDEX($Q$8:$Q$207,MATCH(LARGE($R$8:$R$207,ROWS($A$8:A96)),$R$8:$R$207,0)),"")</f>
        <v/>
      </c>
      <c r="J96">
        <f>IF(Trabajadores!B93="","",Trabajadores!B93)</f>
        <v/>
      </c>
      <c r="K96">
        <f>IF(J96="","",COUNTIFS(Detalle_Pagos!$E$5:$E$2004,J96,Detalle_Pagos!$J$5:$J$2004,"No"))</f>
        <v/>
      </c>
      <c r="L96" s="43">
        <f>IF(J96="","",SUMIFS(Detalle_Pagos!$I$5:$I$2004,Detalle_Pagos!$E$5:$E$2004,J96,Detalle_Pagos!$J$5:$J$2004,"No"))</f>
        <v/>
      </c>
      <c r="M96" s="43">
        <f>IF(J96="","",K96*IFERROR(INDEX(Trabajadores!$D$5:$D$204,MATCH(J96,Trabajadores!$B$5:$B$204,0)),0))</f>
        <v/>
      </c>
      <c r="N96" s="43">
        <f>IF(J96="","",L96+M96)</f>
        <v/>
      </c>
      <c r="O96" s="44">
        <f>IF(J96="","",IF(K96=0,"",LOOKUP(2,1/((Detalle_Pagos!$E$5:$E$2004=J96)*(Detalle_Pagos!$J$5:$J$2004="No")),Detalle_Pagos!$B$5:$B$2004)))</f>
        <v/>
      </c>
      <c r="P96" s="43">
        <f>IF(J96="","",SUMIFS(Detalle_Pagos!$I$5:$I$2004,Detalle_Pagos!$E$5:$E$2004,J96,Detalle_Pagos!$J$5:$J$2004,"Si"))</f>
        <v/>
      </c>
      <c r="Q96">
        <f>IF(J96="","",COUNTIFS(Detalle_Pagos!$E$5:$E$2004,J96,Detalle_Pagos!$J$5:$J$2004,"Si"))</f>
        <v/>
      </c>
      <c r="R96">
        <f>IF(J96="","",N96+K96/100000+(100000-ROW())/1000000000)</f>
        <v/>
      </c>
    </row>
    <row r="97">
      <c r="A97" s="36">
        <f>IFERROR(INDEX($J$8:$J$207,MATCH(LARGE($R$8:$R$207,ROWS($A$8:A97)),$R$8:$R$207,0)),"")</f>
        <v/>
      </c>
      <c r="B97" s="36">
        <f>IFERROR(INDEX($K$8:$K$207,MATCH(LARGE($R$8:$R$207,ROWS($A$8:A97)),$R$8:$R$207,0)),"")</f>
        <v/>
      </c>
      <c r="C97" s="37">
        <f>IFERROR(INDEX($L$8:$L$207,MATCH(LARGE($R$8:$R$207,ROWS($A$8:A97)),$R$8:$R$207,0)),"")</f>
        <v/>
      </c>
      <c r="D97" s="37">
        <f>IFERROR(INDEX($M$8:$M$207,MATCH(LARGE($R$8:$R$207,ROWS($A$8:A97)),$R$8:$R$207,0)),"")</f>
        <v/>
      </c>
      <c r="E97" s="37">
        <f>IFERROR(INDEX($N$8:$N$207,MATCH(LARGE($R$8:$R$207,ROWS($A$8:A97)),$R$8:$R$207,0)),"")</f>
        <v/>
      </c>
      <c r="F97" s="40">
        <f>IFERROR(INDEX($O$8:$O$207,MATCH(LARGE($R$8:$R$207,ROWS($A$8:A97)),$R$8:$R$207,0)),"")</f>
        <v/>
      </c>
      <c r="G97" s="37">
        <f>IFERROR(INDEX($P$8:$P$207,MATCH(LARGE($R$8:$R$207,ROWS($A$8:A97)),$R$8:$R$207,0)),"")</f>
        <v/>
      </c>
      <c r="H97" s="36">
        <f>IFERROR(INDEX($Q$8:$Q$207,MATCH(LARGE($R$8:$R$207,ROWS($A$8:A97)),$R$8:$R$207,0)),"")</f>
        <v/>
      </c>
      <c r="J97">
        <f>IF(Trabajadores!B94="","",Trabajadores!B94)</f>
        <v/>
      </c>
      <c r="K97">
        <f>IF(J97="","",COUNTIFS(Detalle_Pagos!$E$5:$E$2004,J97,Detalle_Pagos!$J$5:$J$2004,"No"))</f>
        <v/>
      </c>
      <c r="L97" s="43">
        <f>IF(J97="","",SUMIFS(Detalle_Pagos!$I$5:$I$2004,Detalle_Pagos!$E$5:$E$2004,J97,Detalle_Pagos!$J$5:$J$2004,"No"))</f>
        <v/>
      </c>
      <c r="M97" s="43">
        <f>IF(J97="","",K97*IFERROR(INDEX(Trabajadores!$D$5:$D$204,MATCH(J97,Trabajadores!$B$5:$B$204,0)),0))</f>
        <v/>
      </c>
      <c r="N97" s="43">
        <f>IF(J97="","",L97+M97)</f>
        <v/>
      </c>
      <c r="O97" s="44">
        <f>IF(J97="","",IF(K97=0,"",LOOKUP(2,1/((Detalle_Pagos!$E$5:$E$2004=J97)*(Detalle_Pagos!$J$5:$J$2004="No")),Detalle_Pagos!$B$5:$B$2004)))</f>
        <v/>
      </c>
      <c r="P97" s="43">
        <f>IF(J97="","",SUMIFS(Detalle_Pagos!$I$5:$I$2004,Detalle_Pagos!$E$5:$E$2004,J97,Detalle_Pagos!$J$5:$J$2004,"Si"))</f>
        <v/>
      </c>
      <c r="Q97">
        <f>IF(J97="","",COUNTIFS(Detalle_Pagos!$E$5:$E$2004,J97,Detalle_Pagos!$J$5:$J$2004,"Si"))</f>
        <v/>
      </c>
      <c r="R97">
        <f>IF(J97="","",N97+K97/100000+(100000-ROW())/1000000000)</f>
        <v/>
      </c>
    </row>
    <row r="98">
      <c r="A98" s="38">
        <f>IFERROR(INDEX($J$8:$J$207,MATCH(LARGE($R$8:$R$207,ROWS($A$8:A98)),$R$8:$R$207,0)),"")</f>
        <v/>
      </c>
      <c r="B98" s="38">
        <f>IFERROR(INDEX($K$8:$K$207,MATCH(LARGE($R$8:$R$207,ROWS($A$8:A98)),$R$8:$R$207,0)),"")</f>
        <v/>
      </c>
      <c r="C98" s="39">
        <f>IFERROR(INDEX($L$8:$L$207,MATCH(LARGE($R$8:$R$207,ROWS($A$8:A98)),$R$8:$R$207,0)),"")</f>
        <v/>
      </c>
      <c r="D98" s="39">
        <f>IFERROR(INDEX($M$8:$M$207,MATCH(LARGE($R$8:$R$207,ROWS($A$8:A98)),$R$8:$R$207,0)),"")</f>
        <v/>
      </c>
      <c r="E98" s="39">
        <f>IFERROR(INDEX($N$8:$N$207,MATCH(LARGE($R$8:$R$207,ROWS($A$8:A98)),$R$8:$R$207,0)),"")</f>
        <v/>
      </c>
      <c r="F98" s="41">
        <f>IFERROR(INDEX($O$8:$O$207,MATCH(LARGE($R$8:$R$207,ROWS($A$8:A98)),$R$8:$R$207,0)),"")</f>
        <v/>
      </c>
      <c r="G98" s="39">
        <f>IFERROR(INDEX($P$8:$P$207,MATCH(LARGE($R$8:$R$207,ROWS($A$8:A98)),$R$8:$R$207,0)),"")</f>
        <v/>
      </c>
      <c r="H98" s="38">
        <f>IFERROR(INDEX($Q$8:$Q$207,MATCH(LARGE($R$8:$R$207,ROWS($A$8:A98)),$R$8:$R$207,0)),"")</f>
        <v/>
      </c>
      <c r="J98">
        <f>IF(Trabajadores!B95="","",Trabajadores!B95)</f>
        <v/>
      </c>
      <c r="K98">
        <f>IF(J98="","",COUNTIFS(Detalle_Pagos!$E$5:$E$2004,J98,Detalle_Pagos!$J$5:$J$2004,"No"))</f>
        <v/>
      </c>
      <c r="L98" s="43">
        <f>IF(J98="","",SUMIFS(Detalle_Pagos!$I$5:$I$2004,Detalle_Pagos!$E$5:$E$2004,J98,Detalle_Pagos!$J$5:$J$2004,"No"))</f>
        <v/>
      </c>
      <c r="M98" s="43">
        <f>IF(J98="","",K98*IFERROR(INDEX(Trabajadores!$D$5:$D$204,MATCH(J98,Trabajadores!$B$5:$B$204,0)),0))</f>
        <v/>
      </c>
      <c r="N98" s="43">
        <f>IF(J98="","",L98+M98)</f>
        <v/>
      </c>
      <c r="O98" s="44">
        <f>IF(J98="","",IF(K98=0,"",LOOKUP(2,1/((Detalle_Pagos!$E$5:$E$2004=J98)*(Detalle_Pagos!$J$5:$J$2004="No")),Detalle_Pagos!$B$5:$B$2004)))</f>
        <v/>
      </c>
      <c r="P98" s="43">
        <f>IF(J98="","",SUMIFS(Detalle_Pagos!$I$5:$I$2004,Detalle_Pagos!$E$5:$E$2004,J98,Detalle_Pagos!$J$5:$J$2004,"Si"))</f>
        <v/>
      </c>
      <c r="Q98">
        <f>IF(J98="","",COUNTIFS(Detalle_Pagos!$E$5:$E$2004,J98,Detalle_Pagos!$J$5:$J$2004,"Si"))</f>
        <v/>
      </c>
      <c r="R98">
        <f>IF(J98="","",N98+K98/100000+(100000-ROW())/1000000000)</f>
        <v/>
      </c>
    </row>
    <row r="99">
      <c r="A99" s="36">
        <f>IFERROR(INDEX($J$8:$J$207,MATCH(LARGE($R$8:$R$207,ROWS($A$8:A99)),$R$8:$R$207,0)),"")</f>
        <v/>
      </c>
      <c r="B99" s="36">
        <f>IFERROR(INDEX($K$8:$K$207,MATCH(LARGE($R$8:$R$207,ROWS($A$8:A99)),$R$8:$R$207,0)),"")</f>
        <v/>
      </c>
      <c r="C99" s="37">
        <f>IFERROR(INDEX($L$8:$L$207,MATCH(LARGE($R$8:$R$207,ROWS($A$8:A99)),$R$8:$R$207,0)),"")</f>
        <v/>
      </c>
      <c r="D99" s="37">
        <f>IFERROR(INDEX($M$8:$M$207,MATCH(LARGE($R$8:$R$207,ROWS($A$8:A99)),$R$8:$R$207,0)),"")</f>
        <v/>
      </c>
      <c r="E99" s="37">
        <f>IFERROR(INDEX($N$8:$N$207,MATCH(LARGE($R$8:$R$207,ROWS($A$8:A99)),$R$8:$R$207,0)),"")</f>
        <v/>
      </c>
      <c r="F99" s="40">
        <f>IFERROR(INDEX($O$8:$O$207,MATCH(LARGE($R$8:$R$207,ROWS($A$8:A99)),$R$8:$R$207,0)),"")</f>
        <v/>
      </c>
      <c r="G99" s="37">
        <f>IFERROR(INDEX($P$8:$P$207,MATCH(LARGE($R$8:$R$207,ROWS($A$8:A99)),$R$8:$R$207,0)),"")</f>
        <v/>
      </c>
      <c r="H99" s="36">
        <f>IFERROR(INDEX($Q$8:$Q$207,MATCH(LARGE($R$8:$R$207,ROWS($A$8:A99)),$R$8:$R$207,0)),"")</f>
        <v/>
      </c>
      <c r="J99">
        <f>IF(Trabajadores!B96="","",Trabajadores!B96)</f>
        <v/>
      </c>
      <c r="K99">
        <f>IF(J99="","",COUNTIFS(Detalle_Pagos!$E$5:$E$2004,J99,Detalle_Pagos!$J$5:$J$2004,"No"))</f>
        <v/>
      </c>
      <c r="L99" s="43">
        <f>IF(J99="","",SUMIFS(Detalle_Pagos!$I$5:$I$2004,Detalle_Pagos!$E$5:$E$2004,J99,Detalle_Pagos!$J$5:$J$2004,"No"))</f>
        <v/>
      </c>
      <c r="M99" s="43">
        <f>IF(J99="","",K99*IFERROR(INDEX(Trabajadores!$D$5:$D$204,MATCH(J99,Trabajadores!$B$5:$B$204,0)),0))</f>
        <v/>
      </c>
      <c r="N99" s="43">
        <f>IF(J99="","",L99+M99)</f>
        <v/>
      </c>
      <c r="O99" s="44">
        <f>IF(J99="","",IF(K99=0,"",LOOKUP(2,1/((Detalle_Pagos!$E$5:$E$2004=J99)*(Detalle_Pagos!$J$5:$J$2004="No")),Detalle_Pagos!$B$5:$B$2004)))</f>
        <v/>
      </c>
      <c r="P99" s="43">
        <f>IF(J99="","",SUMIFS(Detalle_Pagos!$I$5:$I$2004,Detalle_Pagos!$E$5:$E$2004,J99,Detalle_Pagos!$J$5:$J$2004,"Si"))</f>
        <v/>
      </c>
      <c r="Q99">
        <f>IF(J99="","",COUNTIFS(Detalle_Pagos!$E$5:$E$2004,J99,Detalle_Pagos!$J$5:$J$2004,"Si"))</f>
        <v/>
      </c>
      <c r="R99">
        <f>IF(J99="","",N99+K99/100000+(100000-ROW())/1000000000)</f>
        <v/>
      </c>
    </row>
    <row r="100">
      <c r="A100" s="38">
        <f>IFERROR(INDEX($J$8:$J$207,MATCH(LARGE($R$8:$R$207,ROWS($A$8:A100)),$R$8:$R$207,0)),"")</f>
        <v/>
      </c>
      <c r="B100" s="38">
        <f>IFERROR(INDEX($K$8:$K$207,MATCH(LARGE($R$8:$R$207,ROWS($A$8:A100)),$R$8:$R$207,0)),"")</f>
        <v/>
      </c>
      <c r="C100" s="39">
        <f>IFERROR(INDEX($L$8:$L$207,MATCH(LARGE($R$8:$R$207,ROWS($A$8:A100)),$R$8:$R$207,0)),"")</f>
        <v/>
      </c>
      <c r="D100" s="39">
        <f>IFERROR(INDEX($M$8:$M$207,MATCH(LARGE($R$8:$R$207,ROWS($A$8:A100)),$R$8:$R$207,0)),"")</f>
        <v/>
      </c>
      <c r="E100" s="39">
        <f>IFERROR(INDEX($N$8:$N$207,MATCH(LARGE($R$8:$R$207,ROWS($A$8:A100)),$R$8:$R$207,0)),"")</f>
        <v/>
      </c>
      <c r="F100" s="41">
        <f>IFERROR(INDEX($O$8:$O$207,MATCH(LARGE($R$8:$R$207,ROWS($A$8:A100)),$R$8:$R$207,0)),"")</f>
        <v/>
      </c>
      <c r="G100" s="39">
        <f>IFERROR(INDEX($P$8:$P$207,MATCH(LARGE($R$8:$R$207,ROWS($A$8:A100)),$R$8:$R$207,0)),"")</f>
        <v/>
      </c>
      <c r="H100" s="38">
        <f>IFERROR(INDEX($Q$8:$Q$207,MATCH(LARGE($R$8:$R$207,ROWS($A$8:A100)),$R$8:$R$207,0)),"")</f>
        <v/>
      </c>
      <c r="J100">
        <f>IF(Trabajadores!B97="","",Trabajadores!B97)</f>
        <v/>
      </c>
      <c r="K100">
        <f>IF(J100="","",COUNTIFS(Detalle_Pagos!$E$5:$E$2004,J100,Detalle_Pagos!$J$5:$J$2004,"No"))</f>
        <v/>
      </c>
      <c r="L100" s="43">
        <f>IF(J100="","",SUMIFS(Detalle_Pagos!$I$5:$I$2004,Detalle_Pagos!$E$5:$E$2004,J100,Detalle_Pagos!$J$5:$J$2004,"No"))</f>
        <v/>
      </c>
      <c r="M100" s="43">
        <f>IF(J100="","",K100*IFERROR(INDEX(Trabajadores!$D$5:$D$204,MATCH(J100,Trabajadores!$B$5:$B$204,0)),0))</f>
        <v/>
      </c>
      <c r="N100" s="43">
        <f>IF(J100="","",L100+M100)</f>
        <v/>
      </c>
      <c r="O100" s="44">
        <f>IF(J100="","",IF(K100=0,"",LOOKUP(2,1/((Detalle_Pagos!$E$5:$E$2004=J100)*(Detalle_Pagos!$J$5:$J$2004="No")),Detalle_Pagos!$B$5:$B$2004)))</f>
        <v/>
      </c>
      <c r="P100" s="43">
        <f>IF(J100="","",SUMIFS(Detalle_Pagos!$I$5:$I$2004,Detalle_Pagos!$E$5:$E$2004,J100,Detalle_Pagos!$J$5:$J$2004,"Si"))</f>
        <v/>
      </c>
      <c r="Q100">
        <f>IF(J100="","",COUNTIFS(Detalle_Pagos!$E$5:$E$2004,J100,Detalle_Pagos!$J$5:$J$2004,"Si"))</f>
        <v/>
      </c>
      <c r="R100">
        <f>IF(J100="","",N100+K100/100000+(100000-ROW())/1000000000)</f>
        <v/>
      </c>
    </row>
    <row r="101">
      <c r="A101" s="36">
        <f>IFERROR(INDEX($J$8:$J$207,MATCH(LARGE($R$8:$R$207,ROWS($A$8:A101)),$R$8:$R$207,0)),"")</f>
        <v/>
      </c>
      <c r="B101" s="36">
        <f>IFERROR(INDEX($K$8:$K$207,MATCH(LARGE($R$8:$R$207,ROWS($A$8:A101)),$R$8:$R$207,0)),"")</f>
        <v/>
      </c>
      <c r="C101" s="37">
        <f>IFERROR(INDEX($L$8:$L$207,MATCH(LARGE($R$8:$R$207,ROWS($A$8:A101)),$R$8:$R$207,0)),"")</f>
        <v/>
      </c>
      <c r="D101" s="37">
        <f>IFERROR(INDEX($M$8:$M$207,MATCH(LARGE($R$8:$R$207,ROWS($A$8:A101)),$R$8:$R$207,0)),"")</f>
        <v/>
      </c>
      <c r="E101" s="37">
        <f>IFERROR(INDEX($N$8:$N$207,MATCH(LARGE($R$8:$R$207,ROWS($A$8:A101)),$R$8:$R$207,0)),"")</f>
        <v/>
      </c>
      <c r="F101" s="40">
        <f>IFERROR(INDEX($O$8:$O$207,MATCH(LARGE($R$8:$R$207,ROWS($A$8:A101)),$R$8:$R$207,0)),"")</f>
        <v/>
      </c>
      <c r="G101" s="37">
        <f>IFERROR(INDEX($P$8:$P$207,MATCH(LARGE($R$8:$R$207,ROWS($A$8:A101)),$R$8:$R$207,0)),"")</f>
        <v/>
      </c>
      <c r="H101" s="36">
        <f>IFERROR(INDEX($Q$8:$Q$207,MATCH(LARGE($R$8:$R$207,ROWS($A$8:A101)),$R$8:$R$207,0)),"")</f>
        <v/>
      </c>
      <c r="J101">
        <f>IF(Trabajadores!B98="","",Trabajadores!B98)</f>
        <v/>
      </c>
      <c r="K101">
        <f>IF(J101="","",COUNTIFS(Detalle_Pagos!$E$5:$E$2004,J101,Detalle_Pagos!$J$5:$J$2004,"No"))</f>
        <v/>
      </c>
      <c r="L101" s="43">
        <f>IF(J101="","",SUMIFS(Detalle_Pagos!$I$5:$I$2004,Detalle_Pagos!$E$5:$E$2004,J101,Detalle_Pagos!$J$5:$J$2004,"No"))</f>
        <v/>
      </c>
      <c r="M101" s="43">
        <f>IF(J101="","",K101*IFERROR(INDEX(Trabajadores!$D$5:$D$204,MATCH(J101,Trabajadores!$B$5:$B$204,0)),0))</f>
        <v/>
      </c>
      <c r="N101" s="43">
        <f>IF(J101="","",L101+M101)</f>
        <v/>
      </c>
      <c r="O101" s="44">
        <f>IF(J101="","",IF(K101=0,"",LOOKUP(2,1/((Detalle_Pagos!$E$5:$E$2004=J101)*(Detalle_Pagos!$J$5:$J$2004="No")),Detalle_Pagos!$B$5:$B$2004)))</f>
        <v/>
      </c>
      <c r="P101" s="43">
        <f>IF(J101="","",SUMIFS(Detalle_Pagos!$I$5:$I$2004,Detalle_Pagos!$E$5:$E$2004,J101,Detalle_Pagos!$J$5:$J$2004,"Si"))</f>
        <v/>
      </c>
      <c r="Q101">
        <f>IF(J101="","",COUNTIFS(Detalle_Pagos!$E$5:$E$2004,J101,Detalle_Pagos!$J$5:$J$2004,"Si"))</f>
        <v/>
      </c>
      <c r="R101">
        <f>IF(J101="","",N101+K101/100000+(100000-ROW())/1000000000)</f>
        <v/>
      </c>
    </row>
    <row r="102">
      <c r="A102" s="38">
        <f>IFERROR(INDEX($J$8:$J$207,MATCH(LARGE($R$8:$R$207,ROWS($A$8:A102)),$R$8:$R$207,0)),"")</f>
        <v/>
      </c>
      <c r="B102" s="38">
        <f>IFERROR(INDEX($K$8:$K$207,MATCH(LARGE($R$8:$R$207,ROWS($A$8:A102)),$R$8:$R$207,0)),"")</f>
        <v/>
      </c>
      <c r="C102" s="39">
        <f>IFERROR(INDEX($L$8:$L$207,MATCH(LARGE($R$8:$R$207,ROWS($A$8:A102)),$R$8:$R$207,0)),"")</f>
        <v/>
      </c>
      <c r="D102" s="39">
        <f>IFERROR(INDEX($M$8:$M$207,MATCH(LARGE($R$8:$R$207,ROWS($A$8:A102)),$R$8:$R$207,0)),"")</f>
        <v/>
      </c>
      <c r="E102" s="39">
        <f>IFERROR(INDEX($N$8:$N$207,MATCH(LARGE($R$8:$R$207,ROWS($A$8:A102)),$R$8:$R$207,0)),"")</f>
        <v/>
      </c>
      <c r="F102" s="41">
        <f>IFERROR(INDEX($O$8:$O$207,MATCH(LARGE($R$8:$R$207,ROWS($A$8:A102)),$R$8:$R$207,0)),"")</f>
        <v/>
      </c>
      <c r="G102" s="39">
        <f>IFERROR(INDEX($P$8:$P$207,MATCH(LARGE($R$8:$R$207,ROWS($A$8:A102)),$R$8:$R$207,0)),"")</f>
        <v/>
      </c>
      <c r="H102" s="38">
        <f>IFERROR(INDEX($Q$8:$Q$207,MATCH(LARGE($R$8:$R$207,ROWS($A$8:A102)),$R$8:$R$207,0)),"")</f>
        <v/>
      </c>
      <c r="J102">
        <f>IF(Trabajadores!B99="","",Trabajadores!B99)</f>
        <v/>
      </c>
      <c r="K102">
        <f>IF(J102="","",COUNTIFS(Detalle_Pagos!$E$5:$E$2004,J102,Detalle_Pagos!$J$5:$J$2004,"No"))</f>
        <v/>
      </c>
      <c r="L102" s="43">
        <f>IF(J102="","",SUMIFS(Detalle_Pagos!$I$5:$I$2004,Detalle_Pagos!$E$5:$E$2004,J102,Detalle_Pagos!$J$5:$J$2004,"No"))</f>
        <v/>
      </c>
      <c r="M102" s="43">
        <f>IF(J102="","",K102*IFERROR(INDEX(Trabajadores!$D$5:$D$204,MATCH(J102,Trabajadores!$B$5:$B$204,0)),0))</f>
        <v/>
      </c>
      <c r="N102" s="43">
        <f>IF(J102="","",L102+M102)</f>
        <v/>
      </c>
      <c r="O102" s="44">
        <f>IF(J102="","",IF(K102=0,"",LOOKUP(2,1/((Detalle_Pagos!$E$5:$E$2004=J102)*(Detalle_Pagos!$J$5:$J$2004="No")),Detalle_Pagos!$B$5:$B$2004)))</f>
        <v/>
      </c>
      <c r="P102" s="43">
        <f>IF(J102="","",SUMIFS(Detalle_Pagos!$I$5:$I$2004,Detalle_Pagos!$E$5:$E$2004,J102,Detalle_Pagos!$J$5:$J$2004,"Si"))</f>
        <v/>
      </c>
      <c r="Q102">
        <f>IF(J102="","",COUNTIFS(Detalle_Pagos!$E$5:$E$2004,J102,Detalle_Pagos!$J$5:$J$2004,"Si"))</f>
        <v/>
      </c>
      <c r="R102">
        <f>IF(J102="","",N102+K102/100000+(100000-ROW())/1000000000)</f>
        <v/>
      </c>
    </row>
    <row r="103">
      <c r="A103" s="36">
        <f>IFERROR(INDEX($J$8:$J$207,MATCH(LARGE($R$8:$R$207,ROWS($A$8:A103)),$R$8:$R$207,0)),"")</f>
        <v/>
      </c>
      <c r="B103" s="36">
        <f>IFERROR(INDEX($K$8:$K$207,MATCH(LARGE($R$8:$R$207,ROWS($A$8:A103)),$R$8:$R$207,0)),"")</f>
        <v/>
      </c>
      <c r="C103" s="37">
        <f>IFERROR(INDEX($L$8:$L$207,MATCH(LARGE($R$8:$R$207,ROWS($A$8:A103)),$R$8:$R$207,0)),"")</f>
        <v/>
      </c>
      <c r="D103" s="37">
        <f>IFERROR(INDEX($M$8:$M$207,MATCH(LARGE($R$8:$R$207,ROWS($A$8:A103)),$R$8:$R$207,0)),"")</f>
        <v/>
      </c>
      <c r="E103" s="37">
        <f>IFERROR(INDEX($N$8:$N$207,MATCH(LARGE($R$8:$R$207,ROWS($A$8:A103)),$R$8:$R$207,0)),"")</f>
        <v/>
      </c>
      <c r="F103" s="40">
        <f>IFERROR(INDEX($O$8:$O$207,MATCH(LARGE($R$8:$R$207,ROWS($A$8:A103)),$R$8:$R$207,0)),"")</f>
        <v/>
      </c>
      <c r="G103" s="37">
        <f>IFERROR(INDEX($P$8:$P$207,MATCH(LARGE($R$8:$R$207,ROWS($A$8:A103)),$R$8:$R$207,0)),"")</f>
        <v/>
      </c>
      <c r="H103" s="36">
        <f>IFERROR(INDEX($Q$8:$Q$207,MATCH(LARGE($R$8:$R$207,ROWS($A$8:A103)),$R$8:$R$207,0)),"")</f>
        <v/>
      </c>
      <c r="J103">
        <f>IF(Trabajadores!B100="","",Trabajadores!B100)</f>
        <v/>
      </c>
      <c r="K103">
        <f>IF(J103="","",COUNTIFS(Detalle_Pagos!$E$5:$E$2004,J103,Detalle_Pagos!$J$5:$J$2004,"No"))</f>
        <v/>
      </c>
      <c r="L103" s="43">
        <f>IF(J103="","",SUMIFS(Detalle_Pagos!$I$5:$I$2004,Detalle_Pagos!$E$5:$E$2004,J103,Detalle_Pagos!$J$5:$J$2004,"No"))</f>
        <v/>
      </c>
      <c r="M103" s="43">
        <f>IF(J103="","",K103*IFERROR(INDEX(Trabajadores!$D$5:$D$204,MATCH(J103,Trabajadores!$B$5:$B$204,0)),0))</f>
        <v/>
      </c>
      <c r="N103" s="43">
        <f>IF(J103="","",L103+M103)</f>
        <v/>
      </c>
      <c r="O103" s="44">
        <f>IF(J103="","",IF(K103=0,"",LOOKUP(2,1/((Detalle_Pagos!$E$5:$E$2004=J103)*(Detalle_Pagos!$J$5:$J$2004="No")),Detalle_Pagos!$B$5:$B$2004)))</f>
        <v/>
      </c>
      <c r="P103" s="43">
        <f>IF(J103="","",SUMIFS(Detalle_Pagos!$I$5:$I$2004,Detalle_Pagos!$E$5:$E$2004,J103,Detalle_Pagos!$J$5:$J$2004,"Si"))</f>
        <v/>
      </c>
      <c r="Q103">
        <f>IF(J103="","",COUNTIFS(Detalle_Pagos!$E$5:$E$2004,J103,Detalle_Pagos!$J$5:$J$2004,"Si"))</f>
        <v/>
      </c>
      <c r="R103">
        <f>IF(J103="","",N103+K103/100000+(100000-ROW())/1000000000)</f>
        <v/>
      </c>
    </row>
    <row r="104">
      <c r="A104" s="38">
        <f>IFERROR(INDEX($J$8:$J$207,MATCH(LARGE($R$8:$R$207,ROWS($A$8:A104)),$R$8:$R$207,0)),"")</f>
        <v/>
      </c>
      <c r="B104" s="38">
        <f>IFERROR(INDEX($K$8:$K$207,MATCH(LARGE($R$8:$R$207,ROWS($A$8:A104)),$R$8:$R$207,0)),"")</f>
        <v/>
      </c>
      <c r="C104" s="39">
        <f>IFERROR(INDEX($L$8:$L$207,MATCH(LARGE($R$8:$R$207,ROWS($A$8:A104)),$R$8:$R$207,0)),"")</f>
        <v/>
      </c>
      <c r="D104" s="39">
        <f>IFERROR(INDEX($M$8:$M$207,MATCH(LARGE($R$8:$R$207,ROWS($A$8:A104)),$R$8:$R$207,0)),"")</f>
        <v/>
      </c>
      <c r="E104" s="39">
        <f>IFERROR(INDEX($N$8:$N$207,MATCH(LARGE($R$8:$R$207,ROWS($A$8:A104)),$R$8:$R$207,0)),"")</f>
        <v/>
      </c>
      <c r="F104" s="41">
        <f>IFERROR(INDEX($O$8:$O$207,MATCH(LARGE($R$8:$R$207,ROWS($A$8:A104)),$R$8:$R$207,0)),"")</f>
        <v/>
      </c>
      <c r="G104" s="39">
        <f>IFERROR(INDEX($P$8:$P$207,MATCH(LARGE($R$8:$R$207,ROWS($A$8:A104)),$R$8:$R$207,0)),"")</f>
        <v/>
      </c>
      <c r="H104" s="38">
        <f>IFERROR(INDEX($Q$8:$Q$207,MATCH(LARGE($R$8:$R$207,ROWS($A$8:A104)),$R$8:$R$207,0)),"")</f>
        <v/>
      </c>
      <c r="J104">
        <f>IF(Trabajadores!B101="","",Trabajadores!B101)</f>
        <v/>
      </c>
      <c r="K104">
        <f>IF(J104="","",COUNTIFS(Detalle_Pagos!$E$5:$E$2004,J104,Detalle_Pagos!$J$5:$J$2004,"No"))</f>
        <v/>
      </c>
      <c r="L104" s="43">
        <f>IF(J104="","",SUMIFS(Detalle_Pagos!$I$5:$I$2004,Detalle_Pagos!$E$5:$E$2004,J104,Detalle_Pagos!$J$5:$J$2004,"No"))</f>
        <v/>
      </c>
      <c r="M104" s="43">
        <f>IF(J104="","",K104*IFERROR(INDEX(Trabajadores!$D$5:$D$204,MATCH(J104,Trabajadores!$B$5:$B$204,0)),0))</f>
        <v/>
      </c>
      <c r="N104" s="43">
        <f>IF(J104="","",L104+M104)</f>
        <v/>
      </c>
      <c r="O104" s="44">
        <f>IF(J104="","",IF(K104=0,"",LOOKUP(2,1/((Detalle_Pagos!$E$5:$E$2004=J104)*(Detalle_Pagos!$J$5:$J$2004="No")),Detalle_Pagos!$B$5:$B$2004)))</f>
        <v/>
      </c>
      <c r="P104" s="43">
        <f>IF(J104="","",SUMIFS(Detalle_Pagos!$I$5:$I$2004,Detalle_Pagos!$E$5:$E$2004,J104,Detalle_Pagos!$J$5:$J$2004,"Si"))</f>
        <v/>
      </c>
      <c r="Q104">
        <f>IF(J104="","",COUNTIFS(Detalle_Pagos!$E$5:$E$2004,J104,Detalle_Pagos!$J$5:$J$2004,"Si"))</f>
        <v/>
      </c>
      <c r="R104">
        <f>IF(J104="","",N104+K104/100000+(100000-ROW())/1000000000)</f>
        <v/>
      </c>
    </row>
    <row r="105">
      <c r="A105" s="36">
        <f>IFERROR(INDEX($J$8:$J$207,MATCH(LARGE($R$8:$R$207,ROWS($A$8:A105)),$R$8:$R$207,0)),"")</f>
        <v/>
      </c>
      <c r="B105" s="36">
        <f>IFERROR(INDEX($K$8:$K$207,MATCH(LARGE($R$8:$R$207,ROWS($A$8:A105)),$R$8:$R$207,0)),"")</f>
        <v/>
      </c>
      <c r="C105" s="37">
        <f>IFERROR(INDEX($L$8:$L$207,MATCH(LARGE($R$8:$R$207,ROWS($A$8:A105)),$R$8:$R$207,0)),"")</f>
        <v/>
      </c>
      <c r="D105" s="37">
        <f>IFERROR(INDEX($M$8:$M$207,MATCH(LARGE($R$8:$R$207,ROWS($A$8:A105)),$R$8:$R$207,0)),"")</f>
        <v/>
      </c>
      <c r="E105" s="37">
        <f>IFERROR(INDEX($N$8:$N$207,MATCH(LARGE($R$8:$R$207,ROWS($A$8:A105)),$R$8:$R$207,0)),"")</f>
        <v/>
      </c>
      <c r="F105" s="40">
        <f>IFERROR(INDEX($O$8:$O$207,MATCH(LARGE($R$8:$R$207,ROWS($A$8:A105)),$R$8:$R$207,0)),"")</f>
        <v/>
      </c>
      <c r="G105" s="37">
        <f>IFERROR(INDEX($P$8:$P$207,MATCH(LARGE($R$8:$R$207,ROWS($A$8:A105)),$R$8:$R$207,0)),"")</f>
        <v/>
      </c>
      <c r="H105" s="36">
        <f>IFERROR(INDEX($Q$8:$Q$207,MATCH(LARGE($R$8:$R$207,ROWS($A$8:A105)),$R$8:$R$207,0)),"")</f>
        <v/>
      </c>
      <c r="J105">
        <f>IF(Trabajadores!B102="","",Trabajadores!B102)</f>
        <v/>
      </c>
      <c r="K105">
        <f>IF(J105="","",COUNTIFS(Detalle_Pagos!$E$5:$E$2004,J105,Detalle_Pagos!$J$5:$J$2004,"No"))</f>
        <v/>
      </c>
      <c r="L105" s="43">
        <f>IF(J105="","",SUMIFS(Detalle_Pagos!$I$5:$I$2004,Detalle_Pagos!$E$5:$E$2004,J105,Detalle_Pagos!$J$5:$J$2004,"No"))</f>
        <v/>
      </c>
      <c r="M105" s="43">
        <f>IF(J105="","",K105*IFERROR(INDEX(Trabajadores!$D$5:$D$204,MATCH(J105,Trabajadores!$B$5:$B$204,0)),0))</f>
        <v/>
      </c>
      <c r="N105" s="43">
        <f>IF(J105="","",L105+M105)</f>
        <v/>
      </c>
      <c r="O105" s="44">
        <f>IF(J105="","",IF(K105=0,"",LOOKUP(2,1/((Detalle_Pagos!$E$5:$E$2004=J105)*(Detalle_Pagos!$J$5:$J$2004="No")),Detalle_Pagos!$B$5:$B$2004)))</f>
        <v/>
      </c>
      <c r="P105" s="43">
        <f>IF(J105="","",SUMIFS(Detalle_Pagos!$I$5:$I$2004,Detalle_Pagos!$E$5:$E$2004,J105,Detalle_Pagos!$J$5:$J$2004,"Si"))</f>
        <v/>
      </c>
      <c r="Q105">
        <f>IF(J105="","",COUNTIFS(Detalle_Pagos!$E$5:$E$2004,J105,Detalle_Pagos!$J$5:$J$2004,"Si"))</f>
        <v/>
      </c>
      <c r="R105">
        <f>IF(J105="","",N105+K105/100000+(100000-ROW())/1000000000)</f>
        <v/>
      </c>
    </row>
    <row r="106">
      <c r="A106" s="38">
        <f>IFERROR(INDEX($J$8:$J$207,MATCH(LARGE($R$8:$R$207,ROWS($A$8:A106)),$R$8:$R$207,0)),"")</f>
        <v/>
      </c>
      <c r="B106" s="38">
        <f>IFERROR(INDEX($K$8:$K$207,MATCH(LARGE($R$8:$R$207,ROWS($A$8:A106)),$R$8:$R$207,0)),"")</f>
        <v/>
      </c>
      <c r="C106" s="39">
        <f>IFERROR(INDEX($L$8:$L$207,MATCH(LARGE($R$8:$R$207,ROWS($A$8:A106)),$R$8:$R$207,0)),"")</f>
        <v/>
      </c>
      <c r="D106" s="39">
        <f>IFERROR(INDEX($M$8:$M$207,MATCH(LARGE($R$8:$R$207,ROWS($A$8:A106)),$R$8:$R$207,0)),"")</f>
        <v/>
      </c>
      <c r="E106" s="39">
        <f>IFERROR(INDEX($N$8:$N$207,MATCH(LARGE($R$8:$R$207,ROWS($A$8:A106)),$R$8:$R$207,0)),"")</f>
        <v/>
      </c>
      <c r="F106" s="41">
        <f>IFERROR(INDEX($O$8:$O$207,MATCH(LARGE($R$8:$R$207,ROWS($A$8:A106)),$R$8:$R$207,0)),"")</f>
        <v/>
      </c>
      <c r="G106" s="39">
        <f>IFERROR(INDEX($P$8:$P$207,MATCH(LARGE($R$8:$R$207,ROWS($A$8:A106)),$R$8:$R$207,0)),"")</f>
        <v/>
      </c>
      <c r="H106" s="38">
        <f>IFERROR(INDEX($Q$8:$Q$207,MATCH(LARGE($R$8:$R$207,ROWS($A$8:A106)),$R$8:$R$207,0)),"")</f>
        <v/>
      </c>
      <c r="J106">
        <f>IF(Trabajadores!B103="","",Trabajadores!B103)</f>
        <v/>
      </c>
      <c r="K106">
        <f>IF(J106="","",COUNTIFS(Detalle_Pagos!$E$5:$E$2004,J106,Detalle_Pagos!$J$5:$J$2004,"No"))</f>
        <v/>
      </c>
      <c r="L106" s="43">
        <f>IF(J106="","",SUMIFS(Detalle_Pagos!$I$5:$I$2004,Detalle_Pagos!$E$5:$E$2004,J106,Detalle_Pagos!$J$5:$J$2004,"No"))</f>
        <v/>
      </c>
      <c r="M106" s="43">
        <f>IF(J106="","",K106*IFERROR(INDEX(Trabajadores!$D$5:$D$204,MATCH(J106,Trabajadores!$B$5:$B$204,0)),0))</f>
        <v/>
      </c>
      <c r="N106" s="43">
        <f>IF(J106="","",L106+M106)</f>
        <v/>
      </c>
      <c r="O106" s="44">
        <f>IF(J106="","",IF(K106=0,"",LOOKUP(2,1/((Detalle_Pagos!$E$5:$E$2004=J106)*(Detalle_Pagos!$J$5:$J$2004="No")),Detalle_Pagos!$B$5:$B$2004)))</f>
        <v/>
      </c>
      <c r="P106" s="43">
        <f>IF(J106="","",SUMIFS(Detalle_Pagos!$I$5:$I$2004,Detalle_Pagos!$E$5:$E$2004,J106,Detalle_Pagos!$J$5:$J$2004,"Si"))</f>
        <v/>
      </c>
      <c r="Q106">
        <f>IF(J106="","",COUNTIFS(Detalle_Pagos!$E$5:$E$2004,J106,Detalle_Pagos!$J$5:$J$2004,"Si"))</f>
        <v/>
      </c>
      <c r="R106">
        <f>IF(J106="","",N106+K106/100000+(100000-ROW())/1000000000)</f>
        <v/>
      </c>
    </row>
    <row r="107">
      <c r="A107" s="36">
        <f>IFERROR(INDEX($J$8:$J$207,MATCH(LARGE($R$8:$R$207,ROWS($A$8:A107)),$R$8:$R$207,0)),"")</f>
        <v/>
      </c>
      <c r="B107" s="36">
        <f>IFERROR(INDEX($K$8:$K$207,MATCH(LARGE($R$8:$R$207,ROWS($A$8:A107)),$R$8:$R$207,0)),"")</f>
        <v/>
      </c>
      <c r="C107" s="37">
        <f>IFERROR(INDEX($L$8:$L$207,MATCH(LARGE($R$8:$R$207,ROWS($A$8:A107)),$R$8:$R$207,0)),"")</f>
        <v/>
      </c>
      <c r="D107" s="37">
        <f>IFERROR(INDEX($M$8:$M$207,MATCH(LARGE($R$8:$R$207,ROWS($A$8:A107)),$R$8:$R$207,0)),"")</f>
        <v/>
      </c>
      <c r="E107" s="37">
        <f>IFERROR(INDEX($N$8:$N$207,MATCH(LARGE($R$8:$R$207,ROWS($A$8:A107)),$R$8:$R$207,0)),"")</f>
        <v/>
      </c>
      <c r="F107" s="40">
        <f>IFERROR(INDEX($O$8:$O$207,MATCH(LARGE($R$8:$R$207,ROWS($A$8:A107)),$R$8:$R$207,0)),"")</f>
        <v/>
      </c>
      <c r="G107" s="37">
        <f>IFERROR(INDEX($P$8:$P$207,MATCH(LARGE($R$8:$R$207,ROWS($A$8:A107)),$R$8:$R$207,0)),"")</f>
        <v/>
      </c>
      <c r="H107" s="36">
        <f>IFERROR(INDEX($Q$8:$Q$207,MATCH(LARGE($R$8:$R$207,ROWS($A$8:A107)),$R$8:$R$207,0)),"")</f>
        <v/>
      </c>
      <c r="J107">
        <f>IF(Trabajadores!B104="","",Trabajadores!B104)</f>
        <v/>
      </c>
      <c r="K107">
        <f>IF(J107="","",COUNTIFS(Detalle_Pagos!$E$5:$E$2004,J107,Detalle_Pagos!$J$5:$J$2004,"No"))</f>
        <v/>
      </c>
      <c r="L107" s="43">
        <f>IF(J107="","",SUMIFS(Detalle_Pagos!$I$5:$I$2004,Detalle_Pagos!$E$5:$E$2004,J107,Detalle_Pagos!$J$5:$J$2004,"No"))</f>
        <v/>
      </c>
      <c r="M107" s="43">
        <f>IF(J107="","",K107*IFERROR(INDEX(Trabajadores!$D$5:$D$204,MATCH(J107,Trabajadores!$B$5:$B$204,0)),0))</f>
        <v/>
      </c>
      <c r="N107" s="43">
        <f>IF(J107="","",L107+M107)</f>
        <v/>
      </c>
      <c r="O107" s="44">
        <f>IF(J107="","",IF(K107=0,"",LOOKUP(2,1/((Detalle_Pagos!$E$5:$E$2004=J107)*(Detalle_Pagos!$J$5:$J$2004="No")),Detalle_Pagos!$B$5:$B$2004)))</f>
        <v/>
      </c>
      <c r="P107" s="43">
        <f>IF(J107="","",SUMIFS(Detalle_Pagos!$I$5:$I$2004,Detalle_Pagos!$E$5:$E$2004,J107,Detalle_Pagos!$J$5:$J$2004,"Si"))</f>
        <v/>
      </c>
      <c r="Q107">
        <f>IF(J107="","",COUNTIFS(Detalle_Pagos!$E$5:$E$2004,J107,Detalle_Pagos!$J$5:$J$2004,"Si"))</f>
        <v/>
      </c>
      <c r="R107">
        <f>IF(J107="","",N107+K107/100000+(100000-ROW())/1000000000)</f>
        <v/>
      </c>
    </row>
    <row r="108">
      <c r="A108" s="38">
        <f>IFERROR(INDEX($J$8:$J$207,MATCH(LARGE($R$8:$R$207,ROWS($A$8:A108)),$R$8:$R$207,0)),"")</f>
        <v/>
      </c>
      <c r="B108" s="38">
        <f>IFERROR(INDEX($K$8:$K$207,MATCH(LARGE($R$8:$R$207,ROWS($A$8:A108)),$R$8:$R$207,0)),"")</f>
        <v/>
      </c>
      <c r="C108" s="39">
        <f>IFERROR(INDEX($L$8:$L$207,MATCH(LARGE($R$8:$R$207,ROWS($A$8:A108)),$R$8:$R$207,0)),"")</f>
        <v/>
      </c>
      <c r="D108" s="39">
        <f>IFERROR(INDEX($M$8:$M$207,MATCH(LARGE($R$8:$R$207,ROWS($A$8:A108)),$R$8:$R$207,0)),"")</f>
        <v/>
      </c>
      <c r="E108" s="39">
        <f>IFERROR(INDEX($N$8:$N$207,MATCH(LARGE($R$8:$R$207,ROWS($A$8:A108)),$R$8:$R$207,0)),"")</f>
        <v/>
      </c>
      <c r="F108" s="41">
        <f>IFERROR(INDEX($O$8:$O$207,MATCH(LARGE($R$8:$R$207,ROWS($A$8:A108)),$R$8:$R$207,0)),"")</f>
        <v/>
      </c>
      <c r="G108" s="39">
        <f>IFERROR(INDEX($P$8:$P$207,MATCH(LARGE($R$8:$R$207,ROWS($A$8:A108)),$R$8:$R$207,0)),"")</f>
        <v/>
      </c>
      <c r="H108" s="38">
        <f>IFERROR(INDEX($Q$8:$Q$207,MATCH(LARGE($R$8:$R$207,ROWS($A$8:A108)),$R$8:$R$207,0)),"")</f>
        <v/>
      </c>
      <c r="J108">
        <f>IF(Trabajadores!B105="","",Trabajadores!B105)</f>
        <v/>
      </c>
      <c r="K108">
        <f>IF(J108="","",COUNTIFS(Detalle_Pagos!$E$5:$E$2004,J108,Detalle_Pagos!$J$5:$J$2004,"No"))</f>
        <v/>
      </c>
      <c r="L108" s="43">
        <f>IF(J108="","",SUMIFS(Detalle_Pagos!$I$5:$I$2004,Detalle_Pagos!$E$5:$E$2004,J108,Detalle_Pagos!$J$5:$J$2004,"No"))</f>
        <v/>
      </c>
      <c r="M108" s="43">
        <f>IF(J108="","",K108*IFERROR(INDEX(Trabajadores!$D$5:$D$204,MATCH(J108,Trabajadores!$B$5:$B$204,0)),0))</f>
        <v/>
      </c>
      <c r="N108" s="43">
        <f>IF(J108="","",L108+M108)</f>
        <v/>
      </c>
      <c r="O108" s="44">
        <f>IF(J108="","",IF(K108=0,"",LOOKUP(2,1/((Detalle_Pagos!$E$5:$E$2004=J108)*(Detalle_Pagos!$J$5:$J$2004="No")),Detalle_Pagos!$B$5:$B$2004)))</f>
        <v/>
      </c>
      <c r="P108" s="43">
        <f>IF(J108="","",SUMIFS(Detalle_Pagos!$I$5:$I$2004,Detalle_Pagos!$E$5:$E$2004,J108,Detalle_Pagos!$J$5:$J$2004,"Si"))</f>
        <v/>
      </c>
      <c r="Q108">
        <f>IF(J108="","",COUNTIFS(Detalle_Pagos!$E$5:$E$2004,J108,Detalle_Pagos!$J$5:$J$2004,"Si"))</f>
        <v/>
      </c>
      <c r="R108">
        <f>IF(J108="","",N108+K108/100000+(100000-ROW())/1000000000)</f>
        <v/>
      </c>
    </row>
    <row r="109">
      <c r="A109" s="36">
        <f>IFERROR(INDEX($J$8:$J$207,MATCH(LARGE($R$8:$R$207,ROWS($A$8:A109)),$R$8:$R$207,0)),"")</f>
        <v/>
      </c>
      <c r="B109" s="36">
        <f>IFERROR(INDEX($K$8:$K$207,MATCH(LARGE($R$8:$R$207,ROWS($A$8:A109)),$R$8:$R$207,0)),"")</f>
        <v/>
      </c>
      <c r="C109" s="37">
        <f>IFERROR(INDEX($L$8:$L$207,MATCH(LARGE($R$8:$R$207,ROWS($A$8:A109)),$R$8:$R$207,0)),"")</f>
        <v/>
      </c>
      <c r="D109" s="37">
        <f>IFERROR(INDEX($M$8:$M$207,MATCH(LARGE($R$8:$R$207,ROWS($A$8:A109)),$R$8:$R$207,0)),"")</f>
        <v/>
      </c>
      <c r="E109" s="37">
        <f>IFERROR(INDEX($N$8:$N$207,MATCH(LARGE($R$8:$R$207,ROWS($A$8:A109)),$R$8:$R$207,0)),"")</f>
        <v/>
      </c>
      <c r="F109" s="40">
        <f>IFERROR(INDEX($O$8:$O$207,MATCH(LARGE($R$8:$R$207,ROWS($A$8:A109)),$R$8:$R$207,0)),"")</f>
        <v/>
      </c>
      <c r="G109" s="37">
        <f>IFERROR(INDEX($P$8:$P$207,MATCH(LARGE($R$8:$R$207,ROWS($A$8:A109)),$R$8:$R$207,0)),"")</f>
        <v/>
      </c>
      <c r="H109" s="36">
        <f>IFERROR(INDEX($Q$8:$Q$207,MATCH(LARGE($R$8:$R$207,ROWS($A$8:A109)),$R$8:$R$207,0)),"")</f>
        <v/>
      </c>
      <c r="J109">
        <f>IF(Trabajadores!B106="","",Trabajadores!B106)</f>
        <v/>
      </c>
      <c r="K109">
        <f>IF(J109="","",COUNTIFS(Detalle_Pagos!$E$5:$E$2004,J109,Detalle_Pagos!$J$5:$J$2004,"No"))</f>
        <v/>
      </c>
      <c r="L109" s="43">
        <f>IF(J109="","",SUMIFS(Detalle_Pagos!$I$5:$I$2004,Detalle_Pagos!$E$5:$E$2004,J109,Detalle_Pagos!$J$5:$J$2004,"No"))</f>
        <v/>
      </c>
      <c r="M109" s="43">
        <f>IF(J109="","",K109*IFERROR(INDEX(Trabajadores!$D$5:$D$204,MATCH(J109,Trabajadores!$B$5:$B$204,0)),0))</f>
        <v/>
      </c>
      <c r="N109" s="43">
        <f>IF(J109="","",L109+M109)</f>
        <v/>
      </c>
      <c r="O109" s="44">
        <f>IF(J109="","",IF(K109=0,"",LOOKUP(2,1/((Detalle_Pagos!$E$5:$E$2004=J109)*(Detalle_Pagos!$J$5:$J$2004="No")),Detalle_Pagos!$B$5:$B$2004)))</f>
        <v/>
      </c>
      <c r="P109" s="43">
        <f>IF(J109="","",SUMIFS(Detalle_Pagos!$I$5:$I$2004,Detalle_Pagos!$E$5:$E$2004,J109,Detalle_Pagos!$J$5:$J$2004,"Si"))</f>
        <v/>
      </c>
      <c r="Q109">
        <f>IF(J109="","",COUNTIFS(Detalle_Pagos!$E$5:$E$2004,J109,Detalle_Pagos!$J$5:$J$2004,"Si"))</f>
        <v/>
      </c>
      <c r="R109">
        <f>IF(J109="","",N109+K109/100000+(100000-ROW())/1000000000)</f>
        <v/>
      </c>
    </row>
    <row r="110">
      <c r="A110" s="38">
        <f>IFERROR(INDEX($J$8:$J$207,MATCH(LARGE($R$8:$R$207,ROWS($A$8:A110)),$R$8:$R$207,0)),"")</f>
        <v/>
      </c>
      <c r="B110" s="38">
        <f>IFERROR(INDEX($K$8:$K$207,MATCH(LARGE($R$8:$R$207,ROWS($A$8:A110)),$R$8:$R$207,0)),"")</f>
        <v/>
      </c>
      <c r="C110" s="39">
        <f>IFERROR(INDEX($L$8:$L$207,MATCH(LARGE($R$8:$R$207,ROWS($A$8:A110)),$R$8:$R$207,0)),"")</f>
        <v/>
      </c>
      <c r="D110" s="39">
        <f>IFERROR(INDEX($M$8:$M$207,MATCH(LARGE($R$8:$R$207,ROWS($A$8:A110)),$R$8:$R$207,0)),"")</f>
        <v/>
      </c>
      <c r="E110" s="39">
        <f>IFERROR(INDEX($N$8:$N$207,MATCH(LARGE($R$8:$R$207,ROWS($A$8:A110)),$R$8:$R$207,0)),"")</f>
        <v/>
      </c>
      <c r="F110" s="41">
        <f>IFERROR(INDEX($O$8:$O$207,MATCH(LARGE($R$8:$R$207,ROWS($A$8:A110)),$R$8:$R$207,0)),"")</f>
        <v/>
      </c>
      <c r="G110" s="39">
        <f>IFERROR(INDEX($P$8:$P$207,MATCH(LARGE($R$8:$R$207,ROWS($A$8:A110)),$R$8:$R$207,0)),"")</f>
        <v/>
      </c>
      <c r="H110" s="38">
        <f>IFERROR(INDEX($Q$8:$Q$207,MATCH(LARGE($R$8:$R$207,ROWS($A$8:A110)),$R$8:$R$207,0)),"")</f>
        <v/>
      </c>
      <c r="J110">
        <f>IF(Trabajadores!B107="","",Trabajadores!B107)</f>
        <v/>
      </c>
      <c r="K110">
        <f>IF(J110="","",COUNTIFS(Detalle_Pagos!$E$5:$E$2004,J110,Detalle_Pagos!$J$5:$J$2004,"No"))</f>
        <v/>
      </c>
      <c r="L110" s="43">
        <f>IF(J110="","",SUMIFS(Detalle_Pagos!$I$5:$I$2004,Detalle_Pagos!$E$5:$E$2004,J110,Detalle_Pagos!$J$5:$J$2004,"No"))</f>
        <v/>
      </c>
      <c r="M110" s="43">
        <f>IF(J110="","",K110*IFERROR(INDEX(Trabajadores!$D$5:$D$204,MATCH(J110,Trabajadores!$B$5:$B$204,0)),0))</f>
        <v/>
      </c>
      <c r="N110" s="43">
        <f>IF(J110="","",L110+M110)</f>
        <v/>
      </c>
      <c r="O110" s="44">
        <f>IF(J110="","",IF(K110=0,"",LOOKUP(2,1/((Detalle_Pagos!$E$5:$E$2004=J110)*(Detalle_Pagos!$J$5:$J$2004="No")),Detalle_Pagos!$B$5:$B$2004)))</f>
        <v/>
      </c>
      <c r="P110" s="43">
        <f>IF(J110="","",SUMIFS(Detalle_Pagos!$I$5:$I$2004,Detalle_Pagos!$E$5:$E$2004,J110,Detalle_Pagos!$J$5:$J$2004,"Si"))</f>
        <v/>
      </c>
      <c r="Q110">
        <f>IF(J110="","",COUNTIFS(Detalle_Pagos!$E$5:$E$2004,J110,Detalle_Pagos!$J$5:$J$2004,"Si"))</f>
        <v/>
      </c>
      <c r="R110">
        <f>IF(J110="","",N110+K110/100000+(100000-ROW())/1000000000)</f>
        <v/>
      </c>
    </row>
    <row r="111">
      <c r="A111" s="36">
        <f>IFERROR(INDEX($J$8:$J$207,MATCH(LARGE($R$8:$R$207,ROWS($A$8:A111)),$R$8:$R$207,0)),"")</f>
        <v/>
      </c>
      <c r="B111" s="36">
        <f>IFERROR(INDEX($K$8:$K$207,MATCH(LARGE($R$8:$R$207,ROWS($A$8:A111)),$R$8:$R$207,0)),"")</f>
        <v/>
      </c>
      <c r="C111" s="37">
        <f>IFERROR(INDEX($L$8:$L$207,MATCH(LARGE($R$8:$R$207,ROWS($A$8:A111)),$R$8:$R$207,0)),"")</f>
        <v/>
      </c>
      <c r="D111" s="37">
        <f>IFERROR(INDEX($M$8:$M$207,MATCH(LARGE($R$8:$R$207,ROWS($A$8:A111)),$R$8:$R$207,0)),"")</f>
        <v/>
      </c>
      <c r="E111" s="37">
        <f>IFERROR(INDEX($N$8:$N$207,MATCH(LARGE($R$8:$R$207,ROWS($A$8:A111)),$R$8:$R$207,0)),"")</f>
        <v/>
      </c>
      <c r="F111" s="40">
        <f>IFERROR(INDEX($O$8:$O$207,MATCH(LARGE($R$8:$R$207,ROWS($A$8:A111)),$R$8:$R$207,0)),"")</f>
        <v/>
      </c>
      <c r="G111" s="37">
        <f>IFERROR(INDEX($P$8:$P$207,MATCH(LARGE($R$8:$R$207,ROWS($A$8:A111)),$R$8:$R$207,0)),"")</f>
        <v/>
      </c>
      <c r="H111" s="36">
        <f>IFERROR(INDEX($Q$8:$Q$207,MATCH(LARGE($R$8:$R$207,ROWS($A$8:A111)),$R$8:$R$207,0)),"")</f>
        <v/>
      </c>
      <c r="J111">
        <f>IF(Trabajadores!B108="","",Trabajadores!B108)</f>
        <v/>
      </c>
      <c r="K111">
        <f>IF(J111="","",COUNTIFS(Detalle_Pagos!$E$5:$E$2004,J111,Detalle_Pagos!$J$5:$J$2004,"No"))</f>
        <v/>
      </c>
      <c r="L111" s="43">
        <f>IF(J111="","",SUMIFS(Detalle_Pagos!$I$5:$I$2004,Detalle_Pagos!$E$5:$E$2004,J111,Detalle_Pagos!$J$5:$J$2004,"No"))</f>
        <v/>
      </c>
      <c r="M111" s="43">
        <f>IF(J111="","",K111*IFERROR(INDEX(Trabajadores!$D$5:$D$204,MATCH(J111,Trabajadores!$B$5:$B$204,0)),0))</f>
        <v/>
      </c>
      <c r="N111" s="43">
        <f>IF(J111="","",L111+M111)</f>
        <v/>
      </c>
      <c r="O111" s="44">
        <f>IF(J111="","",IF(K111=0,"",LOOKUP(2,1/((Detalle_Pagos!$E$5:$E$2004=J111)*(Detalle_Pagos!$J$5:$J$2004="No")),Detalle_Pagos!$B$5:$B$2004)))</f>
        <v/>
      </c>
      <c r="P111" s="43">
        <f>IF(J111="","",SUMIFS(Detalle_Pagos!$I$5:$I$2004,Detalle_Pagos!$E$5:$E$2004,J111,Detalle_Pagos!$J$5:$J$2004,"Si"))</f>
        <v/>
      </c>
      <c r="Q111">
        <f>IF(J111="","",COUNTIFS(Detalle_Pagos!$E$5:$E$2004,J111,Detalle_Pagos!$J$5:$J$2004,"Si"))</f>
        <v/>
      </c>
      <c r="R111">
        <f>IF(J111="","",N111+K111/100000+(100000-ROW())/1000000000)</f>
        <v/>
      </c>
    </row>
    <row r="112">
      <c r="A112" s="38">
        <f>IFERROR(INDEX($J$8:$J$207,MATCH(LARGE($R$8:$R$207,ROWS($A$8:A112)),$R$8:$R$207,0)),"")</f>
        <v/>
      </c>
      <c r="B112" s="38">
        <f>IFERROR(INDEX($K$8:$K$207,MATCH(LARGE($R$8:$R$207,ROWS($A$8:A112)),$R$8:$R$207,0)),"")</f>
        <v/>
      </c>
      <c r="C112" s="39">
        <f>IFERROR(INDEX($L$8:$L$207,MATCH(LARGE($R$8:$R$207,ROWS($A$8:A112)),$R$8:$R$207,0)),"")</f>
        <v/>
      </c>
      <c r="D112" s="39">
        <f>IFERROR(INDEX($M$8:$M$207,MATCH(LARGE($R$8:$R$207,ROWS($A$8:A112)),$R$8:$R$207,0)),"")</f>
        <v/>
      </c>
      <c r="E112" s="39">
        <f>IFERROR(INDEX($N$8:$N$207,MATCH(LARGE($R$8:$R$207,ROWS($A$8:A112)),$R$8:$R$207,0)),"")</f>
        <v/>
      </c>
      <c r="F112" s="41">
        <f>IFERROR(INDEX($O$8:$O$207,MATCH(LARGE($R$8:$R$207,ROWS($A$8:A112)),$R$8:$R$207,0)),"")</f>
        <v/>
      </c>
      <c r="G112" s="39">
        <f>IFERROR(INDEX($P$8:$P$207,MATCH(LARGE($R$8:$R$207,ROWS($A$8:A112)),$R$8:$R$207,0)),"")</f>
        <v/>
      </c>
      <c r="H112" s="38">
        <f>IFERROR(INDEX($Q$8:$Q$207,MATCH(LARGE($R$8:$R$207,ROWS($A$8:A112)),$R$8:$R$207,0)),"")</f>
        <v/>
      </c>
      <c r="J112">
        <f>IF(Trabajadores!B109="","",Trabajadores!B109)</f>
        <v/>
      </c>
      <c r="K112">
        <f>IF(J112="","",COUNTIFS(Detalle_Pagos!$E$5:$E$2004,J112,Detalle_Pagos!$J$5:$J$2004,"No"))</f>
        <v/>
      </c>
      <c r="L112" s="43">
        <f>IF(J112="","",SUMIFS(Detalle_Pagos!$I$5:$I$2004,Detalle_Pagos!$E$5:$E$2004,J112,Detalle_Pagos!$J$5:$J$2004,"No"))</f>
        <v/>
      </c>
      <c r="M112" s="43">
        <f>IF(J112="","",K112*IFERROR(INDEX(Trabajadores!$D$5:$D$204,MATCH(J112,Trabajadores!$B$5:$B$204,0)),0))</f>
        <v/>
      </c>
      <c r="N112" s="43">
        <f>IF(J112="","",L112+M112)</f>
        <v/>
      </c>
      <c r="O112" s="44">
        <f>IF(J112="","",IF(K112=0,"",LOOKUP(2,1/((Detalle_Pagos!$E$5:$E$2004=J112)*(Detalle_Pagos!$J$5:$J$2004="No")),Detalle_Pagos!$B$5:$B$2004)))</f>
        <v/>
      </c>
      <c r="P112" s="43">
        <f>IF(J112="","",SUMIFS(Detalle_Pagos!$I$5:$I$2004,Detalle_Pagos!$E$5:$E$2004,J112,Detalle_Pagos!$J$5:$J$2004,"Si"))</f>
        <v/>
      </c>
      <c r="Q112">
        <f>IF(J112="","",COUNTIFS(Detalle_Pagos!$E$5:$E$2004,J112,Detalle_Pagos!$J$5:$J$2004,"Si"))</f>
        <v/>
      </c>
      <c r="R112">
        <f>IF(J112="","",N112+K112/100000+(100000-ROW())/1000000000)</f>
        <v/>
      </c>
    </row>
    <row r="113">
      <c r="A113" s="36">
        <f>IFERROR(INDEX($J$8:$J$207,MATCH(LARGE($R$8:$R$207,ROWS($A$8:A113)),$R$8:$R$207,0)),"")</f>
        <v/>
      </c>
      <c r="B113" s="36">
        <f>IFERROR(INDEX($K$8:$K$207,MATCH(LARGE($R$8:$R$207,ROWS($A$8:A113)),$R$8:$R$207,0)),"")</f>
        <v/>
      </c>
      <c r="C113" s="37">
        <f>IFERROR(INDEX($L$8:$L$207,MATCH(LARGE($R$8:$R$207,ROWS($A$8:A113)),$R$8:$R$207,0)),"")</f>
        <v/>
      </c>
      <c r="D113" s="37">
        <f>IFERROR(INDEX($M$8:$M$207,MATCH(LARGE($R$8:$R$207,ROWS($A$8:A113)),$R$8:$R$207,0)),"")</f>
        <v/>
      </c>
      <c r="E113" s="37">
        <f>IFERROR(INDEX($N$8:$N$207,MATCH(LARGE($R$8:$R$207,ROWS($A$8:A113)),$R$8:$R$207,0)),"")</f>
        <v/>
      </c>
      <c r="F113" s="40">
        <f>IFERROR(INDEX($O$8:$O$207,MATCH(LARGE($R$8:$R$207,ROWS($A$8:A113)),$R$8:$R$207,0)),"")</f>
        <v/>
      </c>
      <c r="G113" s="37">
        <f>IFERROR(INDEX($P$8:$P$207,MATCH(LARGE($R$8:$R$207,ROWS($A$8:A113)),$R$8:$R$207,0)),"")</f>
        <v/>
      </c>
      <c r="H113" s="36">
        <f>IFERROR(INDEX($Q$8:$Q$207,MATCH(LARGE($R$8:$R$207,ROWS($A$8:A113)),$R$8:$R$207,0)),"")</f>
        <v/>
      </c>
      <c r="J113">
        <f>IF(Trabajadores!B110="","",Trabajadores!B110)</f>
        <v/>
      </c>
      <c r="K113">
        <f>IF(J113="","",COUNTIFS(Detalle_Pagos!$E$5:$E$2004,J113,Detalle_Pagos!$J$5:$J$2004,"No"))</f>
        <v/>
      </c>
      <c r="L113" s="43">
        <f>IF(J113="","",SUMIFS(Detalle_Pagos!$I$5:$I$2004,Detalle_Pagos!$E$5:$E$2004,J113,Detalle_Pagos!$J$5:$J$2004,"No"))</f>
        <v/>
      </c>
      <c r="M113" s="43">
        <f>IF(J113="","",K113*IFERROR(INDEX(Trabajadores!$D$5:$D$204,MATCH(J113,Trabajadores!$B$5:$B$204,0)),0))</f>
        <v/>
      </c>
      <c r="N113" s="43">
        <f>IF(J113="","",L113+M113)</f>
        <v/>
      </c>
      <c r="O113" s="44">
        <f>IF(J113="","",IF(K113=0,"",LOOKUP(2,1/((Detalle_Pagos!$E$5:$E$2004=J113)*(Detalle_Pagos!$J$5:$J$2004="No")),Detalle_Pagos!$B$5:$B$2004)))</f>
        <v/>
      </c>
      <c r="P113" s="43">
        <f>IF(J113="","",SUMIFS(Detalle_Pagos!$I$5:$I$2004,Detalle_Pagos!$E$5:$E$2004,J113,Detalle_Pagos!$J$5:$J$2004,"Si"))</f>
        <v/>
      </c>
      <c r="Q113">
        <f>IF(J113="","",COUNTIFS(Detalle_Pagos!$E$5:$E$2004,J113,Detalle_Pagos!$J$5:$J$2004,"Si"))</f>
        <v/>
      </c>
      <c r="R113">
        <f>IF(J113="","",N113+K113/100000+(100000-ROW())/1000000000)</f>
        <v/>
      </c>
    </row>
    <row r="114">
      <c r="A114" s="38">
        <f>IFERROR(INDEX($J$8:$J$207,MATCH(LARGE($R$8:$R$207,ROWS($A$8:A114)),$R$8:$R$207,0)),"")</f>
        <v/>
      </c>
      <c r="B114" s="38">
        <f>IFERROR(INDEX($K$8:$K$207,MATCH(LARGE($R$8:$R$207,ROWS($A$8:A114)),$R$8:$R$207,0)),"")</f>
        <v/>
      </c>
      <c r="C114" s="39">
        <f>IFERROR(INDEX($L$8:$L$207,MATCH(LARGE($R$8:$R$207,ROWS($A$8:A114)),$R$8:$R$207,0)),"")</f>
        <v/>
      </c>
      <c r="D114" s="39">
        <f>IFERROR(INDEX($M$8:$M$207,MATCH(LARGE($R$8:$R$207,ROWS($A$8:A114)),$R$8:$R$207,0)),"")</f>
        <v/>
      </c>
      <c r="E114" s="39">
        <f>IFERROR(INDEX($N$8:$N$207,MATCH(LARGE($R$8:$R$207,ROWS($A$8:A114)),$R$8:$R$207,0)),"")</f>
        <v/>
      </c>
      <c r="F114" s="41">
        <f>IFERROR(INDEX($O$8:$O$207,MATCH(LARGE($R$8:$R$207,ROWS($A$8:A114)),$R$8:$R$207,0)),"")</f>
        <v/>
      </c>
      <c r="G114" s="39">
        <f>IFERROR(INDEX($P$8:$P$207,MATCH(LARGE($R$8:$R$207,ROWS($A$8:A114)),$R$8:$R$207,0)),"")</f>
        <v/>
      </c>
      <c r="H114" s="38">
        <f>IFERROR(INDEX($Q$8:$Q$207,MATCH(LARGE($R$8:$R$207,ROWS($A$8:A114)),$R$8:$R$207,0)),"")</f>
        <v/>
      </c>
      <c r="J114">
        <f>IF(Trabajadores!B111="","",Trabajadores!B111)</f>
        <v/>
      </c>
      <c r="K114">
        <f>IF(J114="","",COUNTIFS(Detalle_Pagos!$E$5:$E$2004,J114,Detalle_Pagos!$J$5:$J$2004,"No"))</f>
        <v/>
      </c>
      <c r="L114" s="43">
        <f>IF(J114="","",SUMIFS(Detalle_Pagos!$I$5:$I$2004,Detalle_Pagos!$E$5:$E$2004,J114,Detalle_Pagos!$J$5:$J$2004,"No"))</f>
        <v/>
      </c>
      <c r="M114" s="43">
        <f>IF(J114="","",K114*IFERROR(INDEX(Trabajadores!$D$5:$D$204,MATCH(J114,Trabajadores!$B$5:$B$204,0)),0))</f>
        <v/>
      </c>
      <c r="N114" s="43">
        <f>IF(J114="","",L114+M114)</f>
        <v/>
      </c>
      <c r="O114" s="44">
        <f>IF(J114="","",IF(K114=0,"",LOOKUP(2,1/((Detalle_Pagos!$E$5:$E$2004=J114)*(Detalle_Pagos!$J$5:$J$2004="No")),Detalle_Pagos!$B$5:$B$2004)))</f>
        <v/>
      </c>
      <c r="P114" s="43">
        <f>IF(J114="","",SUMIFS(Detalle_Pagos!$I$5:$I$2004,Detalle_Pagos!$E$5:$E$2004,J114,Detalle_Pagos!$J$5:$J$2004,"Si"))</f>
        <v/>
      </c>
      <c r="Q114">
        <f>IF(J114="","",COUNTIFS(Detalle_Pagos!$E$5:$E$2004,J114,Detalle_Pagos!$J$5:$J$2004,"Si"))</f>
        <v/>
      </c>
      <c r="R114">
        <f>IF(J114="","",N114+K114/100000+(100000-ROW())/1000000000)</f>
        <v/>
      </c>
    </row>
    <row r="115">
      <c r="A115" s="36">
        <f>IFERROR(INDEX($J$8:$J$207,MATCH(LARGE($R$8:$R$207,ROWS($A$8:A115)),$R$8:$R$207,0)),"")</f>
        <v/>
      </c>
      <c r="B115" s="36">
        <f>IFERROR(INDEX($K$8:$K$207,MATCH(LARGE($R$8:$R$207,ROWS($A$8:A115)),$R$8:$R$207,0)),"")</f>
        <v/>
      </c>
      <c r="C115" s="37">
        <f>IFERROR(INDEX($L$8:$L$207,MATCH(LARGE($R$8:$R$207,ROWS($A$8:A115)),$R$8:$R$207,0)),"")</f>
        <v/>
      </c>
      <c r="D115" s="37">
        <f>IFERROR(INDEX($M$8:$M$207,MATCH(LARGE($R$8:$R$207,ROWS($A$8:A115)),$R$8:$R$207,0)),"")</f>
        <v/>
      </c>
      <c r="E115" s="37">
        <f>IFERROR(INDEX($N$8:$N$207,MATCH(LARGE($R$8:$R$207,ROWS($A$8:A115)),$R$8:$R$207,0)),"")</f>
        <v/>
      </c>
      <c r="F115" s="40">
        <f>IFERROR(INDEX($O$8:$O$207,MATCH(LARGE($R$8:$R$207,ROWS($A$8:A115)),$R$8:$R$207,0)),"")</f>
        <v/>
      </c>
      <c r="G115" s="37">
        <f>IFERROR(INDEX($P$8:$P$207,MATCH(LARGE($R$8:$R$207,ROWS($A$8:A115)),$R$8:$R$207,0)),"")</f>
        <v/>
      </c>
      <c r="H115" s="36">
        <f>IFERROR(INDEX($Q$8:$Q$207,MATCH(LARGE($R$8:$R$207,ROWS($A$8:A115)),$R$8:$R$207,0)),"")</f>
        <v/>
      </c>
      <c r="J115">
        <f>IF(Trabajadores!B112="","",Trabajadores!B112)</f>
        <v/>
      </c>
      <c r="K115">
        <f>IF(J115="","",COUNTIFS(Detalle_Pagos!$E$5:$E$2004,J115,Detalle_Pagos!$J$5:$J$2004,"No"))</f>
        <v/>
      </c>
      <c r="L115" s="43">
        <f>IF(J115="","",SUMIFS(Detalle_Pagos!$I$5:$I$2004,Detalle_Pagos!$E$5:$E$2004,J115,Detalle_Pagos!$J$5:$J$2004,"No"))</f>
        <v/>
      </c>
      <c r="M115" s="43">
        <f>IF(J115="","",K115*IFERROR(INDEX(Trabajadores!$D$5:$D$204,MATCH(J115,Trabajadores!$B$5:$B$204,0)),0))</f>
        <v/>
      </c>
      <c r="N115" s="43">
        <f>IF(J115="","",L115+M115)</f>
        <v/>
      </c>
      <c r="O115" s="44">
        <f>IF(J115="","",IF(K115=0,"",LOOKUP(2,1/((Detalle_Pagos!$E$5:$E$2004=J115)*(Detalle_Pagos!$J$5:$J$2004="No")),Detalle_Pagos!$B$5:$B$2004)))</f>
        <v/>
      </c>
      <c r="P115" s="43">
        <f>IF(J115="","",SUMIFS(Detalle_Pagos!$I$5:$I$2004,Detalle_Pagos!$E$5:$E$2004,J115,Detalle_Pagos!$J$5:$J$2004,"Si"))</f>
        <v/>
      </c>
      <c r="Q115">
        <f>IF(J115="","",COUNTIFS(Detalle_Pagos!$E$5:$E$2004,J115,Detalle_Pagos!$J$5:$J$2004,"Si"))</f>
        <v/>
      </c>
      <c r="R115">
        <f>IF(J115="","",N115+K115/100000+(100000-ROW())/1000000000)</f>
        <v/>
      </c>
    </row>
    <row r="116">
      <c r="A116" s="38">
        <f>IFERROR(INDEX($J$8:$J$207,MATCH(LARGE($R$8:$R$207,ROWS($A$8:A116)),$R$8:$R$207,0)),"")</f>
        <v/>
      </c>
      <c r="B116" s="38">
        <f>IFERROR(INDEX($K$8:$K$207,MATCH(LARGE($R$8:$R$207,ROWS($A$8:A116)),$R$8:$R$207,0)),"")</f>
        <v/>
      </c>
      <c r="C116" s="39">
        <f>IFERROR(INDEX($L$8:$L$207,MATCH(LARGE($R$8:$R$207,ROWS($A$8:A116)),$R$8:$R$207,0)),"")</f>
        <v/>
      </c>
      <c r="D116" s="39">
        <f>IFERROR(INDEX($M$8:$M$207,MATCH(LARGE($R$8:$R$207,ROWS($A$8:A116)),$R$8:$R$207,0)),"")</f>
        <v/>
      </c>
      <c r="E116" s="39">
        <f>IFERROR(INDEX($N$8:$N$207,MATCH(LARGE($R$8:$R$207,ROWS($A$8:A116)),$R$8:$R$207,0)),"")</f>
        <v/>
      </c>
      <c r="F116" s="41">
        <f>IFERROR(INDEX($O$8:$O$207,MATCH(LARGE($R$8:$R$207,ROWS($A$8:A116)),$R$8:$R$207,0)),"")</f>
        <v/>
      </c>
      <c r="G116" s="39">
        <f>IFERROR(INDEX($P$8:$P$207,MATCH(LARGE($R$8:$R$207,ROWS($A$8:A116)),$R$8:$R$207,0)),"")</f>
        <v/>
      </c>
      <c r="H116" s="38">
        <f>IFERROR(INDEX($Q$8:$Q$207,MATCH(LARGE($R$8:$R$207,ROWS($A$8:A116)),$R$8:$R$207,0)),"")</f>
        <v/>
      </c>
      <c r="J116">
        <f>IF(Trabajadores!B113="","",Trabajadores!B113)</f>
        <v/>
      </c>
      <c r="K116">
        <f>IF(J116="","",COUNTIFS(Detalle_Pagos!$E$5:$E$2004,J116,Detalle_Pagos!$J$5:$J$2004,"No"))</f>
        <v/>
      </c>
      <c r="L116" s="43">
        <f>IF(J116="","",SUMIFS(Detalle_Pagos!$I$5:$I$2004,Detalle_Pagos!$E$5:$E$2004,J116,Detalle_Pagos!$J$5:$J$2004,"No"))</f>
        <v/>
      </c>
      <c r="M116" s="43">
        <f>IF(J116="","",K116*IFERROR(INDEX(Trabajadores!$D$5:$D$204,MATCH(J116,Trabajadores!$B$5:$B$204,0)),0))</f>
        <v/>
      </c>
      <c r="N116" s="43">
        <f>IF(J116="","",L116+M116)</f>
        <v/>
      </c>
      <c r="O116" s="44">
        <f>IF(J116="","",IF(K116=0,"",LOOKUP(2,1/((Detalle_Pagos!$E$5:$E$2004=J116)*(Detalle_Pagos!$J$5:$J$2004="No")),Detalle_Pagos!$B$5:$B$2004)))</f>
        <v/>
      </c>
      <c r="P116" s="43">
        <f>IF(J116="","",SUMIFS(Detalle_Pagos!$I$5:$I$2004,Detalle_Pagos!$E$5:$E$2004,J116,Detalle_Pagos!$J$5:$J$2004,"Si"))</f>
        <v/>
      </c>
      <c r="Q116">
        <f>IF(J116="","",COUNTIFS(Detalle_Pagos!$E$5:$E$2004,J116,Detalle_Pagos!$J$5:$J$2004,"Si"))</f>
        <v/>
      </c>
      <c r="R116">
        <f>IF(J116="","",N116+K116/100000+(100000-ROW())/1000000000)</f>
        <v/>
      </c>
    </row>
    <row r="117">
      <c r="A117" s="36">
        <f>IFERROR(INDEX($J$8:$J$207,MATCH(LARGE($R$8:$R$207,ROWS($A$8:A117)),$R$8:$R$207,0)),"")</f>
        <v/>
      </c>
      <c r="B117" s="36">
        <f>IFERROR(INDEX($K$8:$K$207,MATCH(LARGE($R$8:$R$207,ROWS($A$8:A117)),$R$8:$R$207,0)),"")</f>
        <v/>
      </c>
      <c r="C117" s="37">
        <f>IFERROR(INDEX($L$8:$L$207,MATCH(LARGE($R$8:$R$207,ROWS($A$8:A117)),$R$8:$R$207,0)),"")</f>
        <v/>
      </c>
      <c r="D117" s="37">
        <f>IFERROR(INDEX($M$8:$M$207,MATCH(LARGE($R$8:$R$207,ROWS($A$8:A117)),$R$8:$R$207,0)),"")</f>
        <v/>
      </c>
      <c r="E117" s="37">
        <f>IFERROR(INDEX($N$8:$N$207,MATCH(LARGE($R$8:$R$207,ROWS($A$8:A117)),$R$8:$R$207,0)),"")</f>
        <v/>
      </c>
      <c r="F117" s="40">
        <f>IFERROR(INDEX($O$8:$O$207,MATCH(LARGE($R$8:$R$207,ROWS($A$8:A117)),$R$8:$R$207,0)),"")</f>
        <v/>
      </c>
      <c r="G117" s="37">
        <f>IFERROR(INDEX($P$8:$P$207,MATCH(LARGE($R$8:$R$207,ROWS($A$8:A117)),$R$8:$R$207,0)),"")</f>
        <v/>
      </c>
      <c r="H117" s="36">
        <f>IFERROR(INDEX($Q$8:$Q$207,MATCH(LARGE($R$8:$R$207,ROWS($A$8:A117)),$R$8:$R$207,0)),"")</f>
        <v/>
      </c>
      <c r="J117">
        <f>IF(Trabajadores!B114="","",Trabajadores!B114)</f>
        <v/>
      </c>
      <c r="K117">
        <f>IF(J117="","",COUNTIFS(Detalle_Pagos!$E$5:$E$2004,J117,Detalle_Pagos!$J$5:$J$2004,"No"))</f>
        <v/>
      </c>
      <c r="L117" s="43">
        <f>IF(J117="","",SUMIFS(Detalle_Pagos!$I$5:$I$2004,Detalle_Pagos!$E$5:$E$2004,J117,Detalle_Pagos!$J$5:$J$2004,"No"))</f>
        <v/>
      </c>
      <c r="M117" s="43">
        <f>IF(J117="","",K117*IFERROR(INDEX(Trabajadores!$D$5:$D$204,MATCH(J117,Trabajadores!$B$5:$B$204,0)),0))</f>
        <v/>
      </c>
      <c r="N117" s="43">
        <f>IF(J117="","",L117+M117)</f>
        <v/>
      </c>
      <c r="O117" s="44">
        <f>IF(J117="","",IF(K117=0,"",LOOKUP(2,1/((Detalle_Pagos!$E$5:$E$2004=J117)*(Detalle_Pagos!$J$5:$J$2004="No")),Detalle_Pagos!$B$5:$B$2004)))</f>
        <v/>
      </c>
      <c r="P117" s="43">
        <f>IF(J117="","",SUMIFS(Detalle_Pagos!$I$5:$I$2004,Detalle_Pagos!$E$5:$E$2004,J117,Detalle_Pagos!$J$5:$J$2004,"Si"))</f>
        <v/>
      </c>
      <c r="Q117">
        <f>IF(J117="","",COUNTIFS(Detalle_Pagos!$E$5:$E$2004,J117,Detalle_Pagos!$J$5:$J$2004,"Si"))</f>
        <v/>
      </c>
      <c r="R117">
        <f>IF(J117="","",N117+K117/100000+(100000-ROW())/1000000000)</f>
        <v/>
      </c>
    </row>
    <row r="118">
      <c r="A118" s="38">
        <f>IFERROR(INDEX($J$8:$J$207,MATCH(LARGE($R$8:$R$207,ROWS($A$8:A118)),$R$8:$R$207,0)),"")</f>
        <v/>
      </c>
      <c r="B118" s="38">
        <f>IFERROR(INDEX($K$8:$K$207,MATCH(LARGE($R$8:$R$207,ROWS($A$8:A118)),$R$8:$R$207,0)),"")</f>
        <v/>
      </c>
      <c r="C118" s="39">
        <f>IFERROR(INDEX($L$8:$L$207,MATCH(LARGE($R$8:$R$207,ROWS($A$8:A118)),$R$8:$R$207,0)),"")</f>
        <v/>
      </c>
      <c r="D118" s="39">
        <f>IFERROR(INDEX($M$8:$M$207,MATCH(LARGE($R$8:$R$207,ROWS($A$8:A118)),$R$8:$R$207,0)),"")</f>
        <v/>
      </c>
      <c r="E118" s="39">
        <f>IFERROR(INDEX($N$8:$N$207,MATCH(LARGE($R$8:$R$207,ROWS($A$8:A118)),$R$8:$R$207,0)),"")</f>
        <v/>
      </c>
      <c r="F118" s="41">
        <f>IFERROR(INDEX($O$8:$O$207,MATCH(LARGE($R$8:$R$207,ROWS($A$8:A118)),$R$8:$R$207,0)),"")</f>
        <v/>
      </c>
      <c r="G118" s="39">
        <f>IFERROR(INDEX($P$8:$P$207,MATCH(LARGE($R$8:$R$207,ROWS($A$8:A118)),$R$8:$R$207,0)),"")</f>
        <v/>
      </c>
      <c r="H118" s="38">
        <f>IFERROR(INDEX($Q$8:$Q$207,MATCH(LARGE($R$8:$R$207,ROWS($A$8:A118)),$R$8:$R$207,0)),"")</f>
        <v/>
      </c>
      <c r="J118">
        <f>IF(Trabajadores!B115="","",Trabajadores!B115)</f>
        <v/>
      </c>
      <c r="K118">
        <f>IF(J118="","",COUNTIFS(Detalle_Pagos!$E$5:$E$2004,J118,Detalle_Pagos!$J$5:$J$2004,"No"))</f>
        <v/>
      </c>
      <c r="L118" s="43">
        <f>IF(J118="","",SUMIFS(Detalle_Pagos!$I$5:$I$2004,Detalle_Pagos!$E$5:$E$2004,J118,Detalle_Pagos!$J$5:$J$2004,"No"))</f>
        <v/>
      </c>
      <c r="M118" s="43">
        <f>IF(J118="","",K118*IFERROR(INDEX(Trabajadores!$D$5:$D$204,MATCH(J118,Trabajadores!$B$5:$B$204,0)),0))</f>
        <v/>
      </c>
      <c r="N118" s="43">
        <f>IF(J118="","",L118+M118)</f>
        <v/>
      </c>
      <c r="O118" s="44">
        <f>IF(J118="","",IF(K118=0,"",LOOKUP(2,1/((Detalle_Pagos!$E$5:$E$2004=J118)*(Detalle_Pagos!$J$5:$J$2004="No")),Detalle_Pagos!$B$5:$B$2004)))</f>
        <v/>
      </c>
      <c r="P118" s="43">
        <f>IF(J118="","",SUMIFS(Detalle_Pagos!$I$5:$I$2004,Detalle_Pagos!$E$5:$E$2004,J118,Detalle_Pagos!$J$5:$J$2004,"Si"))</f>
        <v/>
      </c>
      <c r="Q118">
        <f>IF(J118="","",COUNTIFS(Detalle_Pagos!$E$5:$E$2004,J118,Detalle_Pagos!$J$5:$J$2004,"Si"))</f>
        <v/>
      </c>
      <c r="R118">
        <f>IF(J118="","",N118+K118/100000+(100000-ROW())/1000000000)</f>
        <v/>
      </c>
    </row>
    <row r="119">
      <c r="A119" s="36">
        <f>IFERROR(INDEX($J$8:$J$207,MATCH(LARGE($R$8:$R$207,ROWS($A$8:A119)),$R$8:$R$207,0)),"")</f>
        <v/>
      </c>
      <c r="B119" s="36">
        <f>IFERROR(INDEX($K$8:$K$207,MATCH(LARGE($R$8:$R$207,ROWS($A$8:A119)),$R$8:$R$207,0)),"")</f>
        <v/>
      </c>
      <c r="C119" s="37">
        <f>IFERROR(INDEX($L$8:$L$207,MATCH(LARGE($R$8:$R$207,ROWS($A$8:A119)),$R$8:$R$207,0)),"")</f>
        <v/>
      </c>
      <c r="D119" s="37">
        <f>IFERROR(INDEX($M$8:$M$207,MATCH(LARGE($R$8:$R$207,ROWS($A$8:A119)),$R$8:$R$207,0)),"")</f>
        <v/>
      </c>
      <c r="E119" s="37">
        <f>IFERROR(INDEX($N$8:$N$207,MATCH(LARGE($R$8:$R$207,ROWS($A$8:A119)),$R$8:$R$207,0)),"")</f>
        <v/>
      </c>
      <c r="F119" s="40">
        <f>IFERROR(INDEX($O$8:$O$207,MATCH(LARGE($R$8:$R$207,ROWS($A$8:A119)),$R$8:$R$207,0)),"")</f>
        <v/>
      </c>
      <c r="G119" s="37">
        <f>IFERROR(INDEX($P$8:$P$207,MATCH(LARGE($R$8:$R$207,ROWS($A$8:A119)),$R$8:$R$207,0)),"")</f>
        <v/>
      </c>
      <c r="H119" s="36">
        <f>IFERROR(INDEX($Q$8:$Q$207,MATCH(LARGE($R$8:$R$207,ROWS($A$8:A119)),$R$8:$R$207,0)),"")</f>
        <v/>
      </c>
      <c r="J119">
        <f>IF(Trabajadores!B116="","",Trabajadores!B116)</f>
        <v/>
      </c>
      <c r="K119">
        <f>IF(J119="","",COUNTIFS(Detalle_Pagos!$E$5:$E$2004,J119,Detalle_Pagos!$J$5:$J$2004,"No"))</f>
        <v/>
      </c>
      <c r="L119" s="43">
        <f>IF(J119="","",SUMIFS(Detalle_Pagos!$I$5:$I$2004,Detalle_Pagos!$E$5:$E$2004,J119,Detalle_Pagos!$J$5:$J$2004,"No"))</f>
        <v/>
      </c>
      <c r="M119" s="43">
        <f>IF(J119="","",K119*IFERROR(INDEX(Trabajadores!$D$5:$D$204,MATCH(J119,Trabajadores!$B$5:$B$204,0)),0))</f>
        <v/>
      </c>
      <c r="N119" s="43">
        <f>IF(J119="","",L119+M119)</f>
        <v/>
      </c>
      <c r="O119" s="44">
        <f>IF(J119="","",IF(K119=0,"",LOOKUP(2,1/((Detalle_Pagos!$E$5:$E$2004=J119)*(Detalle_Pagos!$J$5:$J$2004="No")),Detalle_Pagos!$B$5:$B$2004)))</f>
        <v/>
      </c>
      <c r="P119" s="43">
        <f>IF(J119="","",SUMIFS(Detalle_Pagos!$I$5:$I$2004,Detalle_Pagos!$E$5:$E$2004,J119,Detalle_Pagos!$J$5:$J$2004,"Si"))</f>
        <v/>
      </c>
      <c r="Q119">
        <f>IF(J119="","",COUNTIFS(Detalle_Pagos!$E$5:$E$2004,J119,Detalle_Pagos!$J$5:$J$2004,"Si"))</f>
        <v/>
      </c>
      <c r="R119">
        <f>IF(J119="","",N119+K119/100000+(100000-ROW())/1000000000)</f>
        <v/>
      </c>
    </row>
    <row r="120">
      <c r="A120" s="38">
        <f>IFERROR(INDEX($J$8:$J$207,MATCH(LARGE($R$8:$R$207,ROWS($A$8:A120)),$R$8:$R$207,0)),"")</f>
        <v/>
      </c>
      <c r="B120" s="38">
        <f>IFERROR(INDEX($K$8:$K$207,MATCH(LARGE($R$8:$R$207,ROWS($A$8:A120)),$R$8:$R$207,0)),"")</f>
        <v/>
      </c>
      <c r="C120" s="39">
        <f>IFERROR(INDEX($L$8:$L$207,MATCH(LARGE($R$8:$R$207,ROWS($A$8:A120)),$R$8:$R$207,0)),"")</f>
        <v/>
      </c>
      <c r="D120" s="39">
        <f>IFERROR(INDEX($M$8:$M$207,MATCH(LARGE($R$8:$R$207,ROWS($A$8:A120)),$R$8:$R$207,0)),"")</f>
        <v/>
      </c>
      <c r="E120" s="39">
        <f>IFERROR(INDEX($N$8:$N$207,MATCH(LARGE($R$8:$R$207,ROWS($A$8:A120)),$R$8:$R$207,0)),"")</f>
        <v/>
      </c>
      <c r="F120" s="41">
        <f>IFERROR(INDEX($O$8:$O$207,MATCH(LARGE($R$8:$R$207,ROWS($A$8:A120)),$R$8:$R$207,0)),"")</f>
        <v/>
      </c>
      <c r="G120" s="39">
        <f>IFERROR(INDEX($P$8:$P$207,MATCH(LARGE($R$8:$R$207,ROWS($A$8:A120)),$R$8:$R$207,0)),"")</f>
        <v/>
      </c>
      <c r="H120" s="38">
        <f>IFERROR(INDEX($Q$8:$Q$207,MATCH(LARGE($R$8:$R$207,ROWS($A$8:A120)),$R$8:$R$207,0)),"")</f>
        <v/>
      </c>
      <c r="J120">
        <f>IF(Trabajadores!B117="","",Trabajadores!B117)</f>
        <v/>
      </c>
      <c r="K120">
        <f>IF(J120="","",COUNTIFS(Detalle_Pagos!$E$5:$E$2004,J120,Detalle_Pagos!$J$5:$J$2004,"No"))</f>
        <v/>
      </c>
      <c r="L120" s="43">
        <f>IF(J120="","",SUMIFS(Detalle_Pagos!$I$5:$I$2004,Detalle_Pagos!$E$5:$E$2004,J120,Detalle_Pagos!$J$5:$J$2004,"No"))</f>
        <v/>
      </c>
      <c r="M120" s="43">
        <f>IF(J120="","",K120*IFERROR(INDEX(Trabajadores!$D$5:$D$204,MATCH(J120,Trabajadores!$B$5:$B$204,0)),0))</f>
        <v/>
      </c>
      <c r="N120" s="43">
        <f>IF(J120="","",L120+M120)</f>
        <v/>
      </c>
      <c r="O120" s="44">
        <f>IF(J120="","",IF(K120=0,"",LOOKUP(2,1/((Detalle_Pagos!$E$5:$E$2004=J120)*(Detalle_Pagos!$J$5:$J$2004="No")),Detalle_Pagos!$B$5:$B$2004)))</f>
        <v/>
      </c>
      <c r="P120" s="43">
        <f>IF(J120="","",SUMIFS(Detalle_Pagos!$I$5:$I$2004,Detalle_Pagos!$E$5:$E$2004,J120,Detalle_Pagos!$J$5:$J$2004,"Si"))</f>
        <v/>
      </c>
      <c r="Q120">
        <f>IF(J120="","",COUNTIFS(Detalle_Pagos!$E$5:$E$2004,J120,Detalle_Pagos!$J$5:$J$2004,"Si"))</f>
        <v/>
      </c>
      <c r="R120">
        <f>IF(J120="","",N120+K120/100000+(100000-ROW())/1000000000)</f>
        <v/>
      </c>
    </row>
    <row r="121">
      <c r="A121" s="36">
        <f>IFERROR(INDEX($J$8:$J$207,MATCH(LARGE($R$8:$R$207,ROWS($A$8:A121)),$R$8:$R$207,0)),"")</f>
        <v/>
      </c>
      <c r="B121" s="36">
        <f>IFERROR(INDEX($K$8:$K$207,MATCH(LARGE($R$8:$R$207,ROWS($A$8:A121)),$R$8:$R$207,0)),"")</f>
        <v/>
      </c>
      <c r="C121" s="37">
        <f>IFERROR(INDEX($L$8:$L$207,MATCH(LARGE($R$8:$R$207,ROWS($A$8:A121)),$R$8:$R$207,0)),"")</f>
        <v/>
      </c>
      <c r="D121" s="37">
        <f>IFERROR(INDEX($M$8:$M$207,MATCH(LARGE($R$8:$R$207,ROWS($A$8:A121)),$R$8:$R$207,0)),"")</f>
        <v/>
      </c>
      <c r="E121" s="37">
        <f>IFERROR(INDEX($N$8:$N$207,MATCH(LARGE($R$8:$R$207,ROWS($A$8:A121)),$R$8:$R$207,0)),"")</f>
        <v/>
      </c>
      <c r="F121" s="40">
        <f>IFERROR(INDEX($O$8:$O$207,MATCH(LARGE($R$8:$R$207,ROWS($A$8:A121)),$R$8:$R$207,0)),"")</f>
        <v/>
      </c>
      <c r="G121" s="37">
        <f>IFERROR(INDEX($P$8:$P$207,MATCH(LARGE($R$8:$R$207,ROWS($A$8:A121)),$R$8:$R$207,0)),"")</f>
        <v/>
      </c>
      <c r="H121" s="36">
        <f>IFERROR(INDEX($Q$8:$Q$207,MATCH(LARGE($R$8:$R$207,ROWS($A$8:A121)),$R$8:$R$207,0)),"")</f>
        <v/>
      </c>
      <c r="J121">
        <f>IF(Trabajadores!B118="","",Trabajadores!B118)</f>
        <v/>
      </c>
      <c r="K121">
        <f>IF(J121="","",COUNTIFS(Detalle_Pagos!$E$5:$E$2004,J121,Detalle_Pagos!$J$5:$J$2004,"No"))</f>
        <v/>
      </c>
      <c r="L121" s="43">
        <f>IF(J121="","",SUMIFS(Detalle_Pagos!$I$5:$I$2004,Detalle_Pagos!$E$5:$E$2004,J121,Detalle_Pagos!$J$5:$J$2004,"No"))</f>
        <v/>
      </c>
      <c r="M121" s="43">
        <f>IF(J121="","",K121*IFERROR(INDEX(Trabajadores!$D$5:$D$204,MATCH(J121,Trabajadores!$B$5:$B$204,0)),0))</f>
        <v/>
      </c>
      <c r="N121" s="43">
        <f>IF(J121="","",L121+M121)</f>
        <v/>
      </c>
      <c r="O121" s="44">
        <f>IF(J121="","",IF(K121=0,"",LOOKUP(2,1/((Detalle_Pagos!$E$5:$E$2004=J121)*(Detalle_Pagos!$J$5:$J$2004="No")),Detalle_Pagos!$B$5:$B$2004)))</f>
        <v/>
      </c>
      <c r="P121" s="43">
        <f>IF(J121="","",SUMIFS(Detalle_Pagos!$I$5:$I$2004,Detalle_Pagos!$E$5:$E$2004,J121,Detalle_Pagos!$J$5:$J$2004,"Si"))</f>
        <v/>
      </c>
      <c r="Q121">
        <f>IF(J121="","",COUNTIFS(Detalle_Pagos!$E$5:$E$2004,J121,Detalle_Pagos!$J$5:$J$2004,"Si"))</f>
        <v/>
      </c>
      <c r="R121">
        <f>IF(J121="","",N121+K121/100000+(100000-ROW())/1000000000)</f>
        <v/>
      </c>
    </row>
    <row r="122">
      <c r="A122" s="38">
        <f>IFERROR(INDEX($J$8:$J$207,MATCH(LARGE($R$8:$R$207,ROWS($A$8:A122)),$R$8:$R$207,0)),"")</f>
        <v/>
      </c>
      <c r="B122" s="38">
        <f>IFERROR(INDEX($K$8:$K$207,MATCH(LARGE($R$8:$R$207,ROWS($A$8:A122)),$R$8:$R$207,0)),"")</f>
        <v/>
      </c>
      <c r="C122" s="39">
        <f>IFERROR(INDEX($L$8:$L$207,MATCH(LARGE($R$8:$R$207,ROWS($A$8:A122)),$R$8:$R$207,0)),"")</f>
        <v/>
      </c>
      <c r="D122" s="39">
        <f>IFERROR(INDEX($M$8:$M$207,MATCH(LARGE($R$8:$R$207,ROWS($A$8:A122)),$R$8:$R$207,0)),"")</f>
        <v/>
      </c>
      <c r="E122" s="39">
        <f>IFERROR(INDEX($N$8:$N$207,MATCH(LARGE($R$8:$R$207,ROWS($A$8:A122)),$R$8:$R$207,0)),"")</f>
        <v/>
      </c>
      <c r="F122" s="41">
        <f>IFERROR(INDEX($O$8:$O$207,MATCH(LARGE($R$8:$R$207,ROWS($A$8:A122)),$R$8:$R$207,0)),"")</f>
        <v/>
      </c>
      <c r="G122" s="39">
        <f>IFERROR(INDEX($P$8:$P$207,MATCH(LARGE($R$8:$R$207,ROWS($A$8:A122)),$R$8:$R$207,0)),"")</f>
        <v/>
      </c>
      <c r="H122" s="38">
        <f>IFERROR(INDEX($Q$8:$Q$207,MATCH(LARGE($R$8:$R$207,ROWS($A$8:A122)),$R$8:$R$207,0)),"")</f>
        <v/>
      </c>
      <c r="J122">
        <f>IF(Trabajadores!B119="","",Trabajadores!B119)</f>
        <v/>
      </c>
      <c r="K122">
        <f>IF(J122="","",COUNTIFS(Detalle_Pagos!$E$5:$E$2004,J122,Detalle_Pagos!$J$5:$J$2004,"No"))</f>
        <v/>
      </c>
      <c r="L122" s="43">
        <f>IF(J122="","",SUMIFS(Detalle_Pagos!$I$5:$I$2004,Detalle_Pagos!$E$5:$E$2004,J122,Detalle_Pagos!$J$5:$J$2004,"No"))</f>
        <v/>
      </c>
      <c r="M122" s="43">
        <f>IF(J122="","",K122*IFERROR(INDEX(Trabajadores!$D$5:$D$204,MATCH(J122,Trabajadores!$B$5:$B$204,0)),0))</f>
        <v/>
      </c>
      <c r="N122" s="43">
        <f>IF(J122="","",L122+M122)</f>
        <v/>
      </c>
      <c r="O122" s="44">
        <f>IF(J122="","",IF(K122=0,"",LOOKUP(2,1/((Detalle_Pagos!$E$5:$E$2004=J122)*(Detalle_Pagos!$J$5:$J$2004="No")),Detalle_Pagos!$B$5:$B$2004)))</f>
        <v/>
      </c>
      <c r="P122" s="43">
        <f>IF(J122="","",SUMIFS(Detalle_Pagos!$I$5:$I$2004,Detalle_Pagos!$E$5:$E$2004,J122,Detalle_Pagos!$J$5:$J$2004,"Si"))</f>
        <v/>
      </c>
      <c r="Q122">
        <f>IF(J122="","",COUNTIFS(Detalle_Pagos!$E$5:$E$2004,J122,Detalle_Pagos!$J$5:$J$2004,"Si"))</f>
        <v/>
      </c>
      <c r="R122">
        <f>IF(J122="","",N122+K122/100000+(100000-ROW())/1000000000)</f>
        <v/>
      </c>
    </row>
    <row r="123">
      <c r="A123" s="36">
        <f>IFERROR(INDEX($J$8:$J$207,MATCH(LARGE($R$8:$R$207,ROWS($A$8:A123)),$R$8:$R$207,0)),"")</f>
        <v/>
      </c>
      <c r="B123" s="36">
        <f>IFERROR(INDEX($K$8:$K$207,MATCH(LARGE($R$8:$R$207,ROWS($A$8:A123)),$R$8:$R$207,0)),"")</f>
        <v/>
      </c>
      <c r="C123" s="37">
        <f>IFERROR(INDEX($L$8:$L$207,MATCH(LARGE($R$8:$R$207,ROWS($A$8:A123)),$R$8:$R$207,0)),"")</f>
        <v/>
      </c>
      <c r="D123" s="37">
        <f>IFERROR(INDEX($M$8:$M$207,MATCH(LARGE($R$8:$R$207,ROWS($A$8:A123)),$R$8:$R$207,0)),"")</f>
        <v/>
      </c>
      <c r="E123" s="37">
        <f>IFERROR(INDEX($N$8:$N$207,MATCH(LARGE($R$8:$R$207,ROWS($A$8:A123)),$R$8:$R$207,0)),"")</f>
        <v/>
      </c>
      <c r="F123" s="40">
        <f>IFERROR(INDEX($O$8:$O$207,MATCH(LARGE($R$8:$R$207,ROWS($A$8:A123)),$R$8:$R$207,0)),"")</f>
        <v/>
      </c>
      <c r="G123" s="37">
        <f>IFERROR(INDEX($P$8:$P$207,MATCH(LARGE($R$8:$R$207,ROWS($A$8:A123)),$R$8:$R$207,0)),"")</f>
        <v/>
      </c>
      <c r="H123" s="36">
        <f>IFERROR(INDEX($Q$8:$Q$207,MATCH(LARGE($R$8:$R$207,ROWS($A$8:A123)),$R$8:$R$207,0)),"")</f>
        <v/>
      </c>
      <c r="J123">
        <f>IF(Trabajadores!B120="","",Trabajadores!B120)</f>
        <v/>
      </c>
      <c r="K123">
        <f>IF(J123="","",COUNTIFS(Detalle_Pagos!$E$5:$E$2004,J123,Detalle_Pagos!$J$5:$J$2004,"No"))</f>
        <v/>
      </c>
      <c r="L123" s="43">
        <f>IF(J123="","",SUMIFS(Detalle_Pagos!$I$5:$I$2004,Detalle_Pagos!$E$5:$E$2004,J123,Detalle_Pagos!$J$5:$J$2004,"No"))</f>
        <v/>
      </c>
      <c r="M123" s="43">
        <f>IF(J123="","",K123*IFERROR(INDEX(Trabajadores!$D$5:$D$204,MATCH(J123,Trabajadores!$B$5:$B$204,0)),0))</f>
        <v/>
      </c>
      <c r="N123" s="43">
        <f>IF(J123="","",L123+M123)</f>
        <v/>
      </c>
      <c r="O123" s="44">
        <f>IF(J123="","",IF(K123=0,"",LOOKUP(2,1/((Detalle_Pagos!$E$5:$E$2004=J123)*(Detalle_Pagos!$J$5:$J$2004="No")),Detalle_Pagos!$B$5:$B$2004)))</f>
        <v/>
      </c>
      <c r="P123" s="43">
        <f>IF(J123="","",SUMIFS(Detalle_Pagos!$I$5:$I$2004,Detalle_Pagos!$E$5:$E$2004,J123,Detalle_Pagos!$J$5:$J$2004,"Si"))</f>
        <v/>
      </c>
      <c r="Q123">
        <f>IF(J123="","",COUNTIFS(Detalle_Pagos!$E$5:$E$2004,J123,Detalle_Pagos!$J$5:$J$2004,"Si"))</f>
        <v/>
      </c>
      <c r="R123">
        <f>IF(J123="","",N123+K123/100000+(100000-ROW())/1000000000)</f>
        <v/>
      </c>
    </row>
    <row r="124">
      <c r="A124" s="38">
        <f>IFERROR(INDEX($J$8:$J$207,MATCH(LARGE($R$8:$R$207,ROWS($A$8:A124)),$R$8:$R$207,0)),"")</f>
        <v/>
      </c>
      <c r="B124" s="38">
        <f>IFERROR(INDEX($K$8:$K$207,MATCH(LARGE($R$8:$R$207,ROWS($A$8:A124)),$R$8:$R$207,0)),"")</f>
        <v/>
      </c>
      <c r="C124" s="39">
        <f>IFERROR(INDEX($L$8:$L$207,MATCH(LARGE($R$8:$R$207,ROWS($A$8:A124)),$R$8:$R$207,0)),"")</f>
        <v/>
      </c>
      <c r="D124" s="39">
        <f>IFERROR(INDEX($M$8:$M$207,MATCH(LARGE($R$8:$R$207,ROWS($A$8:A124)),$R$8:$R$207,0)),"")</f>
        <v/>
      </c>
      <c r="E124" s="39">
        <f>IFERROR(INDEX($N$8:$N$207,MATCH(LARGE($R$8:$R$207,ROWS($A$8:A124)),$R$8:$R$207,0)),"")</f>
        <v/>
      </c>
      <c r="F124" s="41">
        <f>IFERROR(INDEX($O$8:$O$207,MATCH(LARGE($R$8:$R$207,ROWS($A$8:A124)),$R$8:$R$207,0)),"")</f>
        <v/>
      </c>
      <c r="G124" s="39">
        <f>IFERROR(INDEX($P$8:$P$207,MATCH(LARGE($R$8:$R$207,ROWS($A$8:A124)),$R$8:$R$207,0)),"")</f>
        <v/>
      </c>
      <c r="H124" s="38">
        <f>IFERROR(INDEX($Q$8:$Q$207,MATCH(LARGE($R$8:$R$207,ROWS($A$8:A124)),$R$8:$R$207,0)),"")</f>
        <v/>
      </c>
      <c r="J124">
        <f>IF(Trabajadores!B121="","",Trabajadores!B121)</f>
        <v/>
      </c>
      <c r="K124">
        <f>IF(J124="","",COUNTIFS(Detalle_Pagos!$E$5:$E$2004,J124,Detalle_Pagos!$J$5:$J$2004,"No"))</f>
        <v/>
      </c>
      <c r="L124" s="43">
        <f>IF(J124="","",SUMIFS(Detalle_Pagos!$I$5:$I$2004,Detalle_Pagos!$E$5:$E$2004,J124,Detalle_Pagos!$J$5:$J$2004,"No"))</f>
        <v/>
      </c>
      <c r="M124" s="43">
        <f>IF(J124="","",K124*IFERROR(INDEX(Trabajadores!$D$5:$D$204,MATCH(J124,Trabajadores!$B$5:$B$204,0)),0))</f>
        <v/>
      </c>
      <c r="N124" s="43">
        <f>IF(J124="","",L124+M124)</f>
        <v/>
      </c>
      <c r="O124" s="44">
        <f>IF(J124="","",IF(K124=0,"",LOOKUP(2,1/((Detalle_Pagos!$E$5:$E$2004=J124)*(Detalle_Pagos!$J$5:$J$2004="No")),Detalle_Pagos!$B$5:$B$2004)))</f>
        <v/>
      </c>
      <c r="P124" s="43">
        <f>IF(J124="","",SUMIFS(Detalle_Pagos!$I$5:$I$2004,Detalle_Pagos!$E$5:$E$2004,J124,Detalle_Pagos!$J$5:$J$2004,"Si"))</f>
        <v/>
      </c>
      <c r="Q124">
        <f>IF(J124="","",COUNTIFS(Detalle_Pagos!$E$5:$E$2004,J124,Detalle_Pagos!$J$5:$J$2004,"Si"))</f>
        <v/>
      </c>
      <c r="R124">
        <f>IF(J124="","",N124+K124/100000+(100000-ROW())/1000000000)</f>
        <v/>
      </c>
    </row>
    <row r="125">
      <c r="A125" s="36">
        <f>IFERROR(INDEX($J$8:$J$207,MATCH(LARGE($R$8:$R$207,ROWS($A$8:A125)),$R$8:$R$207,0)),"")</f>
        <v/>
      </c>
      <c r="B125" s="36">
        <f>IFERROR(INDEX($K$8:$K$207,MATCH(LARGE($R$8:$R$207,ROWS($A$8:A125)),$R$8:$R$207,0)),"")</f>
        <v/>
      </c>
      <c r="C125" s="37">
        <f>IFERROR(INDEX($L$8:$L$207,MATCH(LARGE($R$8:$R$207,ROWS($A$8:A125)),$R$8:$R$207,0)),"")</f>
        <v/>
      </c>
      <c r="D125" s="37">
        <f>IFERROR(INDEX($M$8:$M$207,MATCH(LARGE($R$8:$R$207,ROWS($A$8:A125)),$R$8:$R$207,0)),"")</f>
        <v/>
      </c>
      <c r="E125" s="37">
        <f>IFERROR(INDEX($N$8:$N$207,MATCH(LARGE($R$8:$R$207,ROWS($A$8:A125)),$R$8:$R$207,0)),"")</f>
        <v/>
      </c>
      <c r="F125" s="40">
        <f>IFERROR(INDEX($O$8:$O$207,MATCH(LARGE($R$8:$R$207,ROWS($A$8:A125)),$R$8:$R$207,0)),"")</f>
        <v/>
      </c>
      <c r="G125" s="37">
        <f>IFERROR(INDEX($P$8:$P$207,MATCH(LARGE($R$8:$R$207,ROWS($A$8:A125)),$R$8:$R$207,0)),"")</f>
        <v/>
      </c>
      <c r="H125" s="36">
        <f>IFERROR(INDEX($Q$8:$Q$207,MATCH(LARGE($R$8:$R$207,ROWS($A$8:A125)),$R$8:$R$207,0)),"")</f>
        <v/>
      </c>
      <c r="J125">
        <f>IF(Trabajadores!B122="","",Trabajadores!B122)</f>
        <v/>
      </c>
      <c r="K125">
        <f>IF(J125="","",COUNTIFS(Detalle_Pagos!$E$5:$E$2004,J125,Detalle_Pagos!$J$5:$J$2004,"No"))</f>
        <v/>
      </c>
      <c r="L125" s="43">
        <f>IF(J125="","",SUMIFS(Detalle_Pagos!$I$5:$I$2004,Detalle_Pagos!$E$5:$E$2004,J125,Detalle_Pagos!$J$5:$J$2004,"No"))</f>
        <v/>
      </c>
      <c r="M125" s="43">
        <f>IF(J125="","",K125*IFERROR(INDEX(Trabajadores!$D$5:$D$204,MATCH(J125,Trabajadores!$B$5:$B$204,0)),0))</f>
        <v/>
      </c>
      <c r="N125" s="43">
        <f>IF(J125="","",L125+M125)</f>
        <v/>
      </c>
      <c r="O125" s="44">
        <f>IF(J125="","",IF(K125=0,"",LOOKUP(2,1/((Detalle_Pagos!$E$5:$E$2004=J125)*(Detalle_Pagos!$J$5:$J$2004="No")),Detalle_Pagos!$B$5:$B$2004)))</f>
        <v/>
      </c>
      <c r="P125" s="43">
        <f>IF(J125="","",SUMIFS(Detalle_Pagos!$I$5:$I$2004,Detalle_Pagos!$E$5:$E$2004,J125,Detalle_Pagos!$J$5:$J$2004,"Si"))</f>
        <v/>
      </c>
      <c r="Q125">
        <f>IF(J125="","",COUNTIFS(Detalle_Pagos!$E$5:$E$2004,J125,Detalle_Pagos!$J$5:$J$2004,"Si"))</f>
        <v/>
      </c>
      <c r="R125">
        <f>IF(J125="","",N125+K125/100000+(100000-ROW())/1000000000)</f>
        <v/>
      </c>
    </row>
    <row r="126">
      <c r="A126" s="38">
        <f>IFERROR(INDEX($J$8:$J$207,MATCH(LARGE($R$8:$R$207,ROWS($A$8:A126)),$R$8:$R$207,0)),"")</f>
        <v/>
      </c>
      <c r="B126" s="38">
        <f>IFERROR(INDEX($K$8:$K$207,MATCH(LARGE($R$8:$R$207,ROWS($A$8:A126)),$R$8:$R$207,0)),"")</f>
        <v/>
      </c>
      <c r="C126" s="39">
        <f>IFERROR(INDEX($L$8:$L$207,MATCH(LARGE($R$8:$R$207,ROWS($A$8:A126)),$R$8:$R$207,0)),"")</f>
        <v/>
      </c>
      <c r="D126" s="39">
        <f>IFERROR(INDEX($M$8:$M$207,MATCH(LARGE($R$8:$R$207,ROWS($A$8:A126)),$R$8:$R$207,0)),"")</f>
        <v/>
      </c>
      <c r="E126" s="39">
        <f>IFERROR(INDEX($N$8:$N$207,MATCH(LARGE($R$8:$R$207,ROWS($A$8:A126)),$R$8:$R$207,0)),"")</f>
        <v/>
      </c>
      <c r="F126" s="41">
        <f>IFERROR(INDEX($O$8:$O$207,MATCH(LARGE($R$8:$R$207,ROWS($A$8:A126)),$R$8:$R$207,0)),"")</f>
        <v/>
      </c>
      <c r="G126" s="39">
        <f>IFERROR(INDEX($P$8:$P$207,MATCH(LARGE($R$8:$R$207,ROWS($A$8:A126)),$R$8:$R$207,0)),"")</f>
        <v/>
      </c>
      <c r="H126" s="38">
        <f>IFERROR(INDEX($Q$8:$Q$207,MATCH(LARGE($R$8:$R$207,ROWS($A$8:A126)),$R$8:$R$207,0)),"")</f>
        <v/>
      </c>
      <c r="J126">
        <f>IF(Trabajadores!B123="","",Trabajadores!B123)</f>
        <v/>
      </c>
      <c r="K126">
        <f>IF(J126="","",COUNTIFS(Detalle_Pagos!$E$5:$E$2004,J126,Detalle_Pagos!$J$5:$J$2004,"No"))</f>
        <v/>
      </c>
      <c r="L126" s="43">
        <f>IF(J126="","",SUMIFS(Detalle_Pagos!$I$5:$I$2004,Detalle_Pagos!$E$5:$E$2004,J126,Detalle_Pagos!$J$5:$J$2004,"No"))</f>
        <v/>
      </c>
      <c r="M126" s="43">
        <f>IF(J126="","",K126*IFERROR(INDEX(Trabajadores!$D$5:$D$204,MATCH(J126,Trabajadores!$B$5:$B$204,0)),0))</f>
        <v/>
      </c>
      <c r="N126" s="43">
        <f>IF(J126="","",L126+M126)</f>
        <v/>
      </c>
      <c r="O126" s="44">
        <f>IF(J126="","",IF(K126=0,"",LOOKUP(2,1/((Detalle_Pagos!$E$5:$E$2004=J126)*(Detalle_Pagos!$J$5:$J$2004="No")),Detalle_Pagos!$B$5:$B$2004)))</f>
        <v/>
      </c>
      <c r="P126" s="43">
        <f>IF(J126="","",SUMIFS(Detalle_Pagos!$I$5:$I$2004,Detalle_Pagos!$E$5:$E$2004,J126,Detalle_Pagos!$J$5:$J$2004,"Si"))</f>
        <v/>
      </c>
      <c r="Q126">
        <f>IF(J126="","",COUNTIFS(Detalle_Pagos!$E$5:$E$2004,J126,Detalle_Pagos!$J$5:$J$2004,"Si"))</f>
        <v/>
      </c>
      <c r="R126">
        <f>IF(J126="","",N126+K126/100000+(100000-ROW())/1000000000)</f>
        <v/>
      </c>
    </row>
    <row r="127">
      <c r="A127" s="36">
        <f>IFERROR(INDEX($J$8:$J$207,MATCH(LARGE($R$8:$R$207,ROWS($A$8:A127)),$R$8:$R$207,0)),"")</f>
        <v/>
      </c>
      <c r="B127" s="36">
        <f>IFERROR(INDEX($K$8:$K$207,MATCH(LARGE($R$8:$R$207,ROWS($A$8:A127)),$R$8:$R$207,0)),"")</f>
        <v/>
      </c>
      <c r="C127" s="37">
        <f>IFERROR(INDEX($L$8:$L$207,MATCH(LARGE($R$8:$R$207,ROWS($A$8:A127)),$R$8:$R$207,0)),"")</f>
        <v/>
      </c>
      <c r="D127" s="37">
        <f>IFERROR(INDEX($M$8:$M$207,MATCH(LARGE($R$8:$R$207,ROWS($A$8:A127)),$R$8:$R$207,0)),"")</f>
        <v/>
      </c>
      <c r="E127" s="37">
        <f>IFERROR(INDEX($N$8:$N$207,MATCH(LARGE($R$8:$R$207,ROWS($A$8:A127)),$R$8:$R$207,0)),"")</f>
        <v/>
      </c>
      <c r="F127" s="40">
        <f>IFERROR(INDEX($O$8:$O$207,MATCH(LARGE($R$8:$R$207,ROWS($A$8:A127)),$R$8:$R$207,0)),"")</f>
        <v/>
      </c>
      <c r="G127" s="37">
        <f>IFERROR(INDEX($P$8:$P$207,MATCH(LARGE($R$8:$R$207,ROWS($A$8:A127)),$R$8:$R$207,0)),"")</f>
        <v/>
      </c>
      <c r="H127" s="36">
        <f>IFERROR(INDEX($Q$8:$Q$207,MATCH(LARGE($R$8:$R$207,ROWS($A$8:A127)),$R$8:$R$207,0)),"")</f>
        <v/>
      </c>
      <c r="J127">
        <f>IF(Trabajadores!B124="","",Trabajadores!B124)</f>
        <v/>
      </c>
      <c r="K127">
        <f>IF(J127="","",COUNTIFS(Detalle_Pagos!$E$5:$E$2004,J127,Detalle_Pagos!$J$5:$J$2004,"No"))</f>
        <v/>
      </c>
      <c r="L127" s="43">
        <f>IF(J127="","",SUMIFS(Detalle_Pagos!$I$5:$I$2004,Detalle_Pagos!$E$5:$E$2004,J127,Detalle_Pagos!$J$5:$J$2004,"No"))</f>
        <v/>
      </c>
      <c r="M127" s="43">
        <f>IF(J127="","",K127*IFERROR(INDEX(Trabajadores!$D$5:$D$204,MATCH(J127,Trabajadores!$B$5:$B$204,0)),0))</f>
        <v/>
      </c>
      <c r="N127" s="43">
        <f>IF(J127="","",L127+M127)</f>
        <v/>
      </c>
      <c r="O127" s="44">
        <f>IF(J127="","",IF(K127=0,"",LOOKUP(2,1/((Detalle_Pagos!$E$5:$E$2004=J127)*(Detalle_Pagos!$J$5:$J$2004="No")),Detalle_Pagos!$B$5:$B$2004)))</f>
        <v/>
      </c>
      <c r="P127" s="43">
        <f>IF(J127="","",SUMIFS(Detalle_Pagos!$I$5:$I$2004,Detalle_Pagos!$E$5:$E$2004,J127,Detalle_Pagos!$J$5:$J$2004,"Si"))</f>
        <v/>
      </c>
      <c r="Q127">
        <f>IF(J127="","",COUNTIFS(Detalle_Pagos!$E$5:$E$2004,J127,Detalle_Pagos!$J$5:$J$2004,"Si"))</f>
        <v/>
      </c>
      <c r="R127">
        <f>IF(J127="","",N127+K127/100000+(100000-ROW())/1000000000)</f>
        <v/>
      </c>
    </row>
    <row r="128">
      <c r="A128" s="38">
        <f>IFERROR(INDEX($J$8:$J$207,MATCH(LARGE($R$8:$R$207,ROWS($A$8:A128)),$R$8:$R$207,0)),"")</f>
        <v/>
      </c>
      <c r="B128" s="38">
        <f>IFERROR(INDEX($K$8:$K$207,MATCH(LARGE($R$8:$R$207,ROWS($A$8:A128)),$R$8:$R$207,0)),"")</f>
        <v/>
      </c>
      <c r="C128" s="39">
        <f>IFERROR(INDEX($L$8:$L$207,MATCH(LARGE($R$8:$R$207,ROWS($A$8:A128)),$R$8:$R$207,0)),"")</f>
        <v/>
      </c>
      <c r="D128" s="39">
        <f>IFERROR(INDEX($M$8:$M$207,MATCH(LARGE($R$8:$R$207,ROWS($A$8:A128)),$R$8:$R$207,0)),"")</f>
        <v/>
      </c>
      <c r="E128" s="39">
        <f>IFERROR(INDEX($N$8:$N$207,MATCH(LARGE($R$8:$R$207,ROWS($A$8:A128)),$R$8:$R$207,0)),"")</f>
        <v/>
      </c>
      <c r="F128" s="41">
        <f>IFERROR(INDEX($O$8:$O$207,MATCH(LARGE($R$8:$R$207,ROWS($A$8:A128)),$R$8:$R$207,0)),"")</f>
        <v/>
      </c>
      <c r="G128" s="39">
        <f>IFERROR(INDEX($P$8:$P$207,MATCH(LARGE($R$8:$R$207,ROWS($A$8:A128)),$R$8:$R$207,0)),"")</f>
        <v/>
      </c>
      <c r="H128" s="38">
        <f>IFERROR(INDEX($Q$8:$Q$207,MATCH(LARGE($R$8:$R$207,ROWS($A$8:A128)),$R$8:$R$207,0)),"")</f>
        <v/>
      </c>
      <c r="J128">
        <f>IF(Trabajadores!B125="","",Trabajadores!B125)</f>
        <v/>
      </c>
      <c r="K128">
        <f>IF(J128="","",COUNTIFS(Detalle_Pagos!$E$5:$E$2004,J128,Detalle_Pagos!$J$5:$J$2004,"No"))</f>
        <v/>
      </c>
      <c r="L128" s="43">
        <f>IF(J128="","",SUMIFS(Detalle_Pagos!$I$5:$I$2004,Detalle_Pagos!$E$5:$E$2004,J128,Detalle_Pagos!$J$5:$J$2004,"No"))</f>
        <v/>
      </c>
      <c r="M128" s="43">
        <f>IF(J128="","",K128*IFERROR(INDEX(Trabajadores!$D$5:$D$204,MATCH(J128,Trabajadores!$B$5:$B$204,0)),0))</f>
        <v/>
      </c>
      <c r="N128" s="43">
        <f>IF(J128="","",L128+M128)</f>
        <v/>
      </c>
      <c r="O128" s="44">
        <f>IF(J128="","",IF(K128=0,"",LOOKUP(2,1/((Detalle_Pagos!$E$5:$E$2004=J128)*(Detalle_Pagos!$J$5:$J$2004="No")),Detalle_Pagos!$B$5:$B$2004)))</f>
        <v/>
      </c>
      <c r="P128" s="43">
        <f>IF(J128="","",SUMIFS(Detalle_Pagos!$I$5:$I$2004,Detalle_Pagos!$E$5:$E$2004,J128,Detalle_Pagos!$J$5:$J$2004,"Si"))</f>
        <v/>
      </c>
      <c r="Q128">
        <f>IF(J128="","",COUNTIFS(Detalle_Pagos!$E$5:$E$2004,J128,Detalle_Pagos!$J$5:$J$2004,"Si"))</f>
        <v/>
      </c>
      <c r="R128">
        <f>IF(J128="","",N128+K128/100000+(100000-ROW())/1000000000)</f>
        <v/>
      </c>
    </row>
    <row r="129">
      <c r="A129" s="36">
        <f>IFERROR(INDEX($J$8:$J$207,MATCH(LARGE($R$8:$R$207,ROWS($A$8:A129)),$R$8:$R$207,0)),"")</f>
        <v/>
      </c>
      <c r="B129" s="36">
        <f>IFERROR(INDEX($K$8:$K$207,MATCH(LARGE($R$8:$R$207,ROWS($A$8:A129)),$R$8:$R$207,0)),"")</f>
        <v/>
      </c>
      <c r="C129" s="37">
        <f>IFERROR(INDEX($L$8:$L$207,MATCH(LARGE($R$8:$R$207,ROWS($A$8:A129)),$R$8:$R$207,0)),"")</f>
        <v/>
      </c>
      <c r="D129" s="37">
        <f>IFERROR(INDEX($M$8:$M$207,MATCH(LARGE($R$8:$R$207,ROWS($A$8:A129)),$R$8:$R$207,0)),"")</f>
        <v/>
      </c>
      <c r="E129" s="37">
        <f>IFERROR(INDEX($N$8:$N$207,MATCH(LARGE($R$8:$R$207,ROWS($A$8:A129)),$R$8:$R$207,0)),"")</f>
        <v/>
      </c>
      <c r="F129" s="40">
        <f>IFERROR(INDEX($O$8:$O$207,MATCH(LARGE($R$8:$R$207,ROWS($A$8:A129)),$R$8:$R$207,0)),"")</f>
        <v/>
      </c>
      <c r="G129" s="37">
        <f>IFERROR(INDEX($P$8:$P$207,MATCH(LARGE($R$8:$R$207,ROWS($A$8:A129)),$R$8:$R$207,0)),"")</f>
        <v/>
      </c>
      <c r="H129" s="36">
        <f>IFERROR(INDEX($Q$8:$Q$207,MATCH(LARGE($R$8:$R$207,ROWS($A$8:A129)),$R$8:$R$207,0)),"")</f>
        <v/>
      </c>
      <c r="J129">
        <f>IF(Trabajadores!B126="","",Trabajadores!B126)</f>
        <v/>
      </c>
      <c r="K129">
        <f>IF(J129="","",COUNTIFS(Detalle_Pagos!$E$5:$E$2004,J129,Detalle_Pagos!$J$5:$J$2004,"No"))</f>
        <v/>
      </c>
      <c r="L129" s="43">
        <f>IF(J129="","",SUMIFS(Detalle_Pagos!$I$5:$I$2004,Detalle_Pagos!$E$5:$E$2004,J129,Detalle_Pagos!$J$5:$J$2004,"No"))</f>
        <v/>
      </c>
      <c r="M129" s="43">
        <f>IF(J129="","",K129*IFERROR(INDEX(Trabajadores!$D$5:$D$204,MATCH(J129,Trabajadores!$B$5:$B$204,0)),0))</f>
        <v/>
      </c>
      <c r="N129" s="43">
        <f>IF(J129="","",L129+M129)</f>
        <v/>
      </c>
      <c r="O129" s="44">
        <f>IF(J129="","",IF(K129=0,"",LOOKUP(2,1/((Detalle_Pagos!$E$5:$E$2004=J129)*(Detalle_Pagos!$J$5:$J$2004="No")),Detalle_Pagos!$B$5:$B$2004)))</f>
        <v/>
      </c>
      <c r="P129" s="43">
        <f>IF(J129="","",SUMIFS(Detalle_Pagos!$I$5:$I$2004,Detalle_Pagos!$E$5:$E$2004,J129,Detalle_Pagos!$J$5:$J$2004,"Si"))</f>
        <v/>
      </c>
      <c r="Q129">
        <f>IF(J129="","",COUNTIFS(Detalle_Pagos!$E$5:$E$2004,J129,Detalle_Pagos!$J$5:$J$2004,"Si"))</f>
        <v/>
      </c>
      <c r="R129">
        <f>IF(J129="","",N129+K129/100000+(100000-ROW())/1000000000)</f>
        <v/>
      </c>
    </row>
    <row r="130">
      <c r="A130" s="38">
        <f>IFERROR(INDEX($J$8:$J$207,MATCH(LARGE($R$8:$R$207,ROWS($A$8:A130)),$R$8:$R$207,0)),"")</f>
        <v/>
      </c>
      <c r="B130" s="38">
        <f>IFERROR(INDEX($K$8:$K$207,MATCH(LARGE($R$8:$R$207,ROWS($A$8:A130)),$R$8:$R$207,0)),"")</f>
        <v/>
      </c>
      <c r="C130" s="39">
        <f>IFERROR(INDEX($L$8:$L$207,MATCH(LARGE($R$8:$R$207,ROWS($A$8:A130)),$R$8:$R$207,0)),"")</f>
        <v/>
      </c>
      <c r="D130" s="39">
        <f>IFERROR(INDEX($M$8:$M$207,MATCH(LARGE($R$8:$R$207,ROWS($A$8:A130)),$R$8:$R$207,0)),"")</f>
        <v/>
      </c>
      <c r="E130" s="39">
        <f>IFERROR(INDEX($N$8:$N$207,MATCH(LARGE($R$8:$R$207,ROWS($A$8:A130)),$R$8:$R$207,0)),"")</f>
        <v/>
      </c>
      <c r="F130" s="41">
        <f>IFERROR(INDEX($O$8:$O$207,MATCH(LARGE($R$8:$R$207,ROWS($A$8:A130)),$R$8:$R$207,0)),"")</f>
        <v/>
      </c>
      <c r="G130" s="39">
        <f>IFERROR(INDEX($P$8:$P$207,MATCH(LARGE($R$8:$R$207,ROWS($A$8:A130)),$R$8:$R$207,0)),"")</f>
        <v/>
      </c>
      <c r="H130" s="38">
        <f>IFERROR(INDEX($Q$8:$Q$207,MATCH(LARGE($R$8:$R$207,ROWS($A$8:A130)),$R$8:$R$207,0)),"")</f>
        <v/>
      </c>
      <c r="J130">
        <f>IF(Trabajadores!B127="","",Trabajadores!B127)</f>
        <v/>
      </c>
      <c r="K130">
        <f>IF(J130="","",COUNTIFS(Detalle_Pagos!$E$5:$E$2004,J130,Detalle_Pagos!$J$5:$J$2004,"No"))</f>
        <v/>
      </c>
      <c r="L130" s="43">
        <f>IF(J130="","",SUMIFS(Detalle_Pagos!$I$5:$I$2004,Detalle_Pagos!$E$5:$E$2004,J130,Detalle_Pagos!$J$5:$J$2004,"No"))</f>
        <v/>
      </c>
      <c r="M130" s="43">
        <f>IF(J130="","",K130*IFERROR(INDEX(Trabajadores!$D$5:$D$204,MATCH(J130,Trabajadores!$B$5:$B$204,0)),0))</f>
        <v/>
      </c>
      <c r="N130" s="43">
        <f>IF(J130="","",L130+M130)</f>
        <v/>
      </c>
      <c r="O130" s="44">
        <f>IF(J130="","",IF(K130=0,"",LOOKUP(2,1/((Detalle_Pagos!$E$5:$E$2004=J130)*(Detalle_Pagos!$J$5:$J$2004="No")),Detalle_Pagos!$B$5:$B$2004)))</f>
        <v/>
      </c>
      <c r="P130" s="43">
        <f>IF(J130="","",SUMIFS(Detalle_Pagos!$I$5:$I$2004,Detalle_Pagos!$E$5:$E$2004,J130,Detalle_Pagos!$J$5:$J$2004,"Si"))</f>
        <v/>
      </c>
      <c r="Q130">
        <f>IF(J130="","",COUNTIFS(Detalle_Pagos!$E$5:$E$2004,J130,Detalle_Pagos!$J$5:$J$2004,"Si"))</f>
        <v/>
      </c>
      <c r="R130">
        <f>IF(J130="","",N130+K130/100000+(100000-ROW())/1000000000)</f>
        <v/>
      </c>
    </row>
    <row r="131">
      <c r="A131" s="36">
        <f>IFERROR(INDEX($J$8:$J$207,MATCH(LARGE($R$8:$R$207,ROWS($A$8:A131)),$R$8:$R$207,0)),"")</f>
        <v/>
      </c>
      <c r="B131" s="36">
        <f>IFERROR(INDEX($K$8:$K$207,MATCH(LARGE($R$8:$R$207,ROWS($A$8:A131)),$R$8:$R$207,0)),"")</f>
        <v/>
      </c>
      <c r="C131" s="37">
        <f>IFERROR(INDEX($L$8:$L$207,MATCH(LARGE($R$8:$R$207,ROWS($A$8:A131)),$R$8:$R$207,0)),"")</f>
        <v/>
      </c>
      <c r="D131" s="37">
        <f>IFERROR(INDEX($M$8:$M$207,MATCH(LARGE($R$8:$R$207,ROWS($A$8:A131)),$R$8:$R$207,0)),"")</f>
        <v/>
      </c>
      <c r="E131" s="37">
        <f>IFERROR(INDEX($N$8:$N$207,MATCH(LARGE($R$8:$R$207,ROWS($A$8:A131)),$R$8:$R$207,0)),"")</f>
        <v/>
      </c>
      <c r="F131" s="40">
        <f>IFERROR(INDEX($O$8:$O$207,MATCH(LARGE($R$8:$R$207,ROWS($A$8:A131)),$R$8:$R$207,0)),"")</f>
        <v/>
      </c>
      <c r="G131" s="37">
        <f>IFERROR(INDEX($P$8:$P$207,MATCH(LARGE($R$8:$R$207,ROWS($A$8:A131)),$R$8:$R$207,0)),"")</f>
        <v/>
      </c>
      <c r="H131" s="36">
        <f>IFERROR(INDEX($Q$8:$Q$207,MATCH(LARGE($R$8:$R$207,ROWS($A$8:A131)),$R$8:$R$207,0)),"")</f>
        <v/>
      </c>
      <c r="J131">
        <f>IF(Trabajadores!B128="","",Trabajadores!B128)</f>
        <v/>
      </c>
      <c r="K131">
        <f>IF(J131="","",COUNTIFS(Detalle_Pagos!$E$5:$E$2004,J131,Detalle_Pagos!$J$5:$J$2004,"No"))</f>
        <v/>
      </c>
      <c r="L131" s="43">
        <f>IF(J131="","",SUMIFS(Detalle_Pagos!$I$5:$I$2004,Detalle_Pagos!$E$5:$E$2004,J131,Detalle_Pagos!$J$5:$J$2004,"No"))</f>
        <v/>
      </c>
      <c r="M131" s="43">
        <f>IF(J131="","",K131*IFERROR(INDEX(Trabajadores!$D$5:$D$204,MATCH(J131,Trabajadores!$B$5:$B$204,0)),0))</f>
        <v/>
      </c>
      <c r="N131" s="43">
        <f>IF(J131="","",L131+M131)</f>
        <v/>
      </c>
      <c r="O131" s="44">
        <f>IF(J131="","",IF(K131=0,"",LOOKUP(2,1/((Detalle_Pagos!$E$5:$E$2004=J131)*(Detalle_Pagos!$J$5:$J$2004="No")),Detalle_Pagos!$B$5:$B$2004)))</f>
        <v/>
      </c>
      <c r="P131" s="43">
        <f>IF(J131="","",SUMIFS(Detalle_Pagos!$I$5:$I$2004,Detalle_Pagos!$E$5:$E$2004,J131,Detalle_Pagos!$J$5:$J$2004,"Si"))</f>
        <v/>
      </c>
      <c r="Q131">
        <f>IF(J131="","",COUNTIFS(Detalle_Pagos!$E$5:$E$2004,J131,Detalle_Pagos!$J$5:$J$2004,"Si"))</f>
        <v/>
      </c>
      <c r="R131">
        <f>IF(J131="","",N131+K131/100000+(100000-ROW())/1000000000)</f>
        <v/>
      </c>
    </row>
    <row r="132">
      <c r="A132" s="38">
        <f>IFERROR(INDEX($J$8:$J$207,MATCH(LARGE($R$8:$R$207,ROWS($A$8:A132)),$R$8:$R$207,0)),"")</f>
        <v/>
      </c>
      <c r="B132" s="38">
        <f>IFERROR(INDEX($K$8:$K$207,MATCH(LARGE($R$8:$R$207,ROWS($A$8:A132)),$R$8:$R$207,0)),"")</f>
        <v/>
      </c>
      <c r="C132" s="39">
        <f>IFERROR(INDEX($L$8:$L$207,MATCH(LARGE($R$8:$R$207,ROWS($A$8:A132)),$R$8:$R$207,0)),"")</f>
        <v/>
      </c>
      <c r="D132" s="39">
        <f>IFERROR(INDEX($M$8:$M$207,MATCH(LARGE($R$8:$R$207,ROWS($A$8:A132)),$R$8:$R$207,0)),"")</f>
        <v/>
      </c>
      <c r="E132" s="39">
        <f>IFERROR(INDEX($N$8:$N$207,MATCH(LARGE($R$8:$R$207,ROWS($A$8:A132)),$R$8:$R$207,0)),"")</f>
        <v/>
      </c>
      <c r="F132" s="41">
        <f>IFERROR(INDEX($O$8:$O$207,MATCH(LARGE($R$8:$R$207,ROWS($A$8:A132)),$R$8:$R$207,0)),"")</f>
        <v/>
      </c>
      <c r="G132" s="39">
        <f>IFERROR(INDEX($P$8:$P$207,MATCH(LARGE($R$8:$R$207,ROWS($A$8:A132)),$R$8:$R$207,0)),"")</f>
        <v/>
      </c>
      <c r="H132" s="38">
        <f>IFERROR(INDEX($Q$8:$Q$207,MATCH(LARGE($R$8:$R$207,ROWS($A$8:A132)),$R$8:$R$207,0)),"")</f>
        <v/>
      </c>
      <c r="J132">
        <f>IF(Trabajadores!B129="","",Trabajadores!B129)</f>
        <v/>
      </c>
      <c r="K132">
        <f>IF(J132="","",COUNTIFS(Detalle_Pagos!$E$5:$E$2004,J132,Detalle_Pagos!$J$5:$J$2004,"No"))</f>
        <v/>
      </c>
      <c r="L132" s="43">
        <f>IF(J132="","",SUMIFS(Detalle_Pagos!$I$5:$I$2004,Detalle_Pagos!$E$5:$E$2004,J132,Detalle_Pagos!$J$5:$J$2004,"No"))</f>
        <v/>
      </c>
      <c r="M132" s="43">
        <f>IF(J132="","",K132*IFERROR(INDEX(Trabajadores!$D$5:$D$204,MATCH(J132,Trabajadores!$B$5:$B$204,0)),0))</f>
        <v/>
      </c>
      <c r="N132" s="43">
        <f>IF(J132="","",L132+M132)</f>
        <v/>
      </c>
      <c r="O132" s="44">
        <f>IF(J132="","",IF(K132=0,"",LOOKUP(2,1/((Detalle_Pagos!$E$5:$E$2004=J132)*(Detalle_Pagos!$J$5:$J$2004="No")),Detalle_Pagos!$B$5:$B$2004)))</f>
        <v/>
      </c>
      <c r="P132" s="43">
        <f>IF(J132="","",SUMIFS(Detalle_Pagos!$I$5:$I$2004,Detalle_Pagos!$E$5:$E$2004,J132,Detalle_Pagos!$J$5:$J$2004,"Si"))</f>
        <v/>
      </c>
      <c r="Q132">
        <f>IF(J132="","",COUNTIFS(Detalle_Pagos!$E$5:$E$2004,J132,Detalle_Pagos!$J$5:$J$2004,"Si"))</f>
        <v/>
      </c>
      <c r="R132">
        <f>IF(J132="","",N132+K132/100000+(100000-ROW())/1000000000)</f>
        <v/>
      </c>
    </row>
    <row r="133">
      <c r="A133" s="36">
        <f>IFERROR(INDEX($J$8:$J$207,MATCH(LARGE($R$8:$R$207,ROWS($A$8:A133)),$R$8:$R$207,0)),"")</f>
        <v/>
      </c>
      <c r="B133" s="36">
        <f>IFERROR(INDEX($K$8:$K$207,MATCH(LARGE($R$8:$R$207,ROWS($A$8:A133)),$R$8:$R$207,0)),"")</f>
        <v/>
      </c>
      <c r="C133" s="37">
        <f>IFERROR(INDEX($L$8:$L$207,MATCH(LARGE($R$8:$R$207,ROWS($A$8:A133)),$R$8:$R$207,0)),"")</f>
        <v/>
      </c>
      <c r="D133" s="37">
        <f>IFERROR(INDEX($M$8:$M$207,MATCH(LARGE($R$8:$R$207,ROWS($A$8:A133)),$R$8:$R$207,0)),"")</f>
        <v/>
      </c>
      <c r="E133" s="37">
        <f>IFERROR(INDEX($N$8:$N$207,MATCH(LARGE($R$8:$R$207,ROWS($A$8:A133)),$R$8:$R$207,0)),"")</f>
        <v/>
      </c>
      <c r="F133" s="40">
        <f>IFERROR(INDEX($O$8:$O$207,MATCH(LARGE($R$8:$R$207,ROWS($A$8:A133)),$R$8:$R$207,0)),"")</f>
        <v/>
      </c>
      <c r="G133" s="37">
        <f>IFERROR(INDEX($P$8:$P$207,MATCH(LARGE($R$8:$R$207,ROWS($A$8:A133)),$R$8:$R$207,0)),"")</f>
        <v/>
      </c>
      <c r="H133" s="36">
        <f>IFERROR(INDEX($Q$8:$Q$207,MATCH(LARGE($R$8:$R$207,ROWS($A$8:A133)),$R$8:$R$207,0)),"")</f>
        <v/>
      </c>
      <c r="J133">
        <f>IF(Trabajadores!B130="","",Trabajadores!B130)</f>
        <v/>
      </c>
      <c r="K133">
        <f>IF(J133="","",COUNTIFS(Detalle_Pagos!$E$5:$E$2004,J133,Detalle_Pagos!$J$5:$J$2004,"No"))</f>
        <v/>
      </c>
      <c r="L133" s="43">
        <f>IF(J133="","",SUMIFS(Detalle_Pagos!$I$5:$I$2004,Detalle_Pagos!$E$5:$E$2004,J133,Detalle_Pagos!$J$5:$J$2004,"No"))</f>
        <v/>
      </c>
      <c r="M133" s="43">
        <f>IF(J133="","",K133*IFERROR(INDEX(Trabajadores!$D$5:$D$204,MATCH(J133,Trabajadores!$B$5:$B$204,0)),0))</f>
        <v/>
      </c>
      <c r="N133" s="43">
        <f>IF(J133="","",L133+M133)</f>
        <v/>
      </c>
      <c r="O133" s="44">
        <f>IF(J133="","",IF(K133=0,"",LOOKUP(2,1/((Detalle_Pagos!$E$5:$E$2004=J133)*(Detalle_Pagos!$J$5:$J$2004="No")),Detalle_Pagos!$B$5:$B$2004)))</f>
        <v/>
      </c>
      <c r="P133" s="43">
        <f>IF(J133="","",SUMIFS(Detalle_Pagos!$I$5:$I$2004,Detalle_Pagos!$E$5:$E$2004,J133,Detalle_Pagos!$J$5:$J$2004,"Si"))</f>
        <v/>
      </c>
      <c r="Q133">
        <f>IF(J133="","",COUNTIFS(Detalle_Pagos!$E$5:$E$2004,J133,Detalle_Pagos!$J$5:$J$2004,"Si"))</f>
        <v/>
      </c>
      <c r="R133">
        <f>IF(J133="","",N133+K133/100000+(100000-ROW())/1000000000)</f>
        <v/>
      </c>
    </row>
    <row r="134">
      <c r="A134" s="38">
        <f>IFERROR(INDEX($J$8:$J$207,MATCH(LARGE($R$8:$R$207,ROWS($A$8:A134)),$R$8:$R$207,0)),"")</f>
        <v/>
      </c>
      <c r="B134" s="38">
        <f>IFERROR(INDEX($K$8:$K$207,MATCH(LARGE($R$8:$R$207,ROWS($A$8:A134)),$R$8:$R$207,0)),"")</f>
        <v/>
      </c>
      <c r="C134" s="39">
        <f>IFERROR(INDEX($L$8:$L$207,MATCH(LARGE($R$8:$R$207,ROWS($A$8:A134)),$R$8:$R$207,0)),"")</f>
        <v/>
      </c>
      <c r="D134" s="39">
        <f>IFERROR(INDEX($M$8:$M$207,MATCH(LARGE($R$8:$R$207,ROWS($A$8:A134)),$R$8:$R$207,0)),"")</f>
        <v/>
      </c>
      <c r="E134" s="39">
        <f>IFERROR(INDEX($N$8:$N$207,MATCH(LARGE($R$8:$R$207,ROWS($A$8:A134)),$R$8:$R$207,0)),"")</f>
        <v/>
      </c>
      <c r="F134" s="41">
        <f>IFERROR(INDEX($O$8:$O$207,MATCH(LARGE($R$8:$R$207,ROWS($A$8:A134)),$R$8:$R$207,0)),"")</f>
        <v/>
      </c>
      <c r="G134" s="39">
        <f>IFERROR(INDEX($P$8:$P$207,MATCH(LARGE($R$8:$R$207,ROWS($A$8:A134)),$R$8:$R$207,0)),"")</f>
        <v/>
      </c>
      <c r="H134" s="38">
        <f>IFERROR(INDEX($Q$8:$Q$207,MATCH(LARGE($R$8:$R$207,ROWS($A$8:A134)),$R$8:$R$207,0)),"")</f>
        <v/>
      </c>
      <c r="J134">
        <f>IF(Trabajadores!B131="","",Trabajadores!B131)</f>
        <v/>
      </c>
      <c r="K134">
        <f>IF(J134="","",COUNTIFS(Detalle_Pagos!$E$5:$E$2004,J134,Detalle_Pagos!$J$5:$J$2004,"No"))</f>
        <v/>
      </c>
      <c r="L134" s="43">
        <f>IF(J134="","",SUMIFS(Detalle_Pagos!$I$5:$I$2004,Detalle_Pagos!$E$5:$E$2004,J134,Detalle_Pagos!$J$5:$J$2004,"No"))</f>
        <v/>
      </c>
      <c r="M134" s="43">
        <f>IF(J134="","",K134*IFERROR(INDEX(Trabajadores!$D$5:$D$204,MATCH(J134,Trabajadores!$B$5:$B$204,0)),0))</f>
        <v/>
      </c>
      <c r="N134" s="43">
        <f>IF(J134="","",L134+M134)</f>
        <v/>
      </c>
      <c r="O134" s="44">
        <f>IF(J134="","",IF(K134=0,"",LOOKUP(2,1/((Detalle_Pagos!$E$5:$E$2004=J134)*(Detalle_Pagos!$J$5:$J$2004="No")),Detalle_Pagos!$B$5:$B$2004)))</f>
        <v/>
      </c>
      <c r="P134" s="43">
        <f>IF(J134="","",SUMIFS(Detalle_Pagos!$I$5:$I$2004,Detalle_Pagos!$E$5:$E$2004,J134,Detalle_Pagos!$J$5:$J$2004,"Si"))</f>
        <v/>
      </c>
      <c r="Q134">
        <f>IF(J134="","",COUNTIFS(Detalle_Pagos!$E$5:$E$2004,J134,Detalle_Pagos!$J$5:$J$2004,"Si"))</f>
        <v/>
      </c>
      <c r="R134">
        <f>IF(J134="","",N134+K134/100000+(100000-ROW())/1000000000)</f>
        <v/>
      </c>
    </row>
    <row r="135">
      <c r="A135" s="36">
        <f>IFERROR(INDEX($J$8:$J$207,MATCH(LARGE($R$8:$R$207,ROWS($A$8:A135)),$R$8:$R$207,0)),"")</f>
        <v/>
      </c>
      <c r="B135" s="36">
        <f>IFERROR(INDEX($K$8:$K$207,MATCH(LARGE($R$8:$R$207,ROWS($A$8:A135)),$R$8:$R$207,0)),"")</f>
        <v/>
      </c>
      <c r="C135" s="37">
        <f>IFERROR(INDEX($L$8:$L$207,MATCH(LARGE($R$8:$R$207,ROWS($A$8:A135)),$R$8:$R$207,0)),"")</f>
        <v/>
      </c>
      <c r="D135" s="37">
        <f>IFERROR(INDEX($M$8:$M$207,MATCH(LARGE($R$8:$R$207,ROWS($A$8:A135)),$R$8:$R$207,0)),"")</f>
        <v/>
      </c>
      <c r="E135" s="37">
        <f>IFERROR(INDEX($N$8:$N$207,MATCH(LARGE($R$8:$R$207,ROWS($A$8:A135)),$R$8:$R$207,0)),"")</f>
        <v/>
      </c>
      <c r="F135" s="40">
        <f>IFERROR(INDEX($O$8:$O$207,MATCH(LARGE($R$8:$R$207,ROWS($A$8:A135)),$R$8:$R$207,0)),"")</f>
        <v/>
      </c>
      <c r="G135" s="37">
        <f>IFERROR(INDEX($P$8:$P$207,MATCH(LARGE($R$8:$R$207,ROWS($A$8:A135)),$R$8:$R$207,0)),"")</f>
        <v/>
      </c>
      <c r="H135" s="36">
        <f>IFERROR(INDEX($Q$8:$Q$207,MATCH(LARGE($R$8:$R$207,ROWS($A$8:A135)),$R$8:$R$207,0)),"")</f>
        <v/>
      </c>
      <c r="J135">
        <f>IF(Trabajadores!B132="","",Trabajadores!B132)</f>
        <v/>
      </c>
      <c r="K135">
        <f>IF(J135="","",COUNTIFS(Detalle_Pagos!$E$5:$E$2004,J135,Detalle_Pagos!$J$5:$J$2004,"No"))</f>
        <v/>
      </c>
      <c r="L135" s="43">
        <f>IF(J135="","",SUMIFS(Detalle_Pagos!$I$5:$I$2004,Detalle_Pagos!$E$5:$E$2004,J135,Detalle_Pagos!$J$5:$J$2004,"No"))</f>
        <v/>
      </c>
      <c r="M135" s="43">
        <f>IF(J135="","",K135*IFERROR(INDEX(Trabajadores!$D$5:$D$204,MATCH(J135,Trabajadores!$B$5:$B$204,0)),0))</f>
        <v/>
      </c>
      <c r="N135" s="43">
        <f>IF(J135="","",L135+M135)</f>
        <v/>
      </c>
      <c r="O135" s="44">
        <f>IF(J135="","",IF(K135=0,"",LOOKUP(2,1/((Detalle_Pagos!$E$5:$E$2004=J135)*(Detalle_Pagos!$J$5:$J$2004="No")),Detalle_Pagos!$B$5:$B$2004)))</f>
        <v/>
      </c>
      <c r="P135" s="43">
        <f>IF(J135="","",SUMIFS(Detalle_Pagos!$I$5:$I$2004,Detalle_Pagos!$E$5:$E$2004,J135,Detalle_Pagos!$J$5:$J$2004,"Si"))</f>
        <v/>
      </c>
      <c r="Q135">
        <f>IF(J135="","",COUNTIFS(Detalle_Pagos!$E$5:$E$2004,J135,Detalle_Pagos!$J$5:$J$2004,"Si"))</f>
        <v/>
      </c>
      <c r="R135">
        <f>IF(J135="","",N135+K135/100000+(100000-ROW())/1000000000)</f>
        <v/>
      </c>
    </row>
    <row r="136">
      <c r="A136" s="38">
        <f>IFERROR(INDEX($J$8:$J$207,MATCH(LARGE($R$8:$R$207,ROWS($A$8:A136)),$R$8:$R$207,0)),"")</f>
        <v/>
      </c>
      <c r="B136" s="38">
        <f>IFERROR(INDEX($K$8:$K$207,MATCH(LARGE($R$8:$R$207,ROWS($A$8:A136)),$R$8:$R$207,0)),"")</f>
        <v/>
      </c>
      <c r="C136" s="39">
        <f>IFERROR(INDEX($L$8:$L$207,MATCH(LARGE($R$8:$R$207,ROWS($A$8:A136)),$R$8:$R$207,0)),"")</f>
        <v/>
      </c>
      <c r="D136" s="39">
        <f>IFERROR(INDEX($M$8:$M$207,MATCH(LARGE($R$8:$R$207,ROWS($A$8:A136)),$R$8:$R$207,0)),"")</f>
        <v/>
      </c>
      <c r="E136" s="39">
        <f>IFERROR(INDEX($N$8:$N$207,MATCH(LARGE($R$8:$R$207,ROWS($A$8:A136)),$R$8:$R$207,0)),"")</f>
        <v/>
      </c>
      <c r="F136" s="41">
        <f>IFERROR(INDEX($O$8:$O$207,MATCH(LARGE($R$8:$R$207,ROWS($A$8:A136)),$R$8:$R$207,0)),"")</f>
        <v/>
      </c>
      <c r="G136" s="39">
        <f>IFERROR(INDEX($P$8:$P$207,MATCH(LARGE($R$8:$R$207,ROWS($A$8:A136)),$R$8:$R$207,0)),"")</f>
        <v/>
      </c>
      <c r="H136" s="38">
        <f>IFERROR(INDEX($Q$8:$Q$207,MATCH(LARGE($R$8:$R$207,ROWS($A$8:A136)),$R$8:$R$207,0)),"")</f>
        <v/>
      </c>
      <c r="J136">
        <f>IF(Trabajadores!B133="","",Trabajadores!B133)</f>
        <v/>
      </c>
      <c r="K136">
        <f>IF(J136="","",COUNTIFS(Detalle_Pagos!$E$5:$E$2004,J136,Detalle_Pagos!$J$5:$J$2004,"No"))</f>
        <v/>
      </c>
      <c r="L136" s="43">
        <f>IF(J136="","",SUMIFS(Detalle_Pagos!$I$5:$I$2004,Detalle_Pagos!$E$5:$E$2004,J136,Detalle_Pagos!$J$5:$J$2004,"No"))</f>
        <v/>
      </c>
      <c r="M136" s="43">
        <f>IF(J136="","",K136*IFERROR(INDEX(Trabajadores!$D$5:$D$204,MATCH(J136,Trabajadores!$B$5:$B$204,0)),0))</f>
        <v/>
      </c>
      <c r="N136" s="43">
        <f>IF(J136="","",L136+M136)</f>
        <v/>
      </c>
      <c r="O136" s="44">
        <f>IF(J136="","",IF(K136=0,"",LOOKUP(2,1/((Detalle_Pagos!$E$5:$E$2004=J136)*(Detalle_Pagos!$J$5:$J$2004="No")),Detalle_Pagos!$B$5:$B$2004)))</f>
        <v/>
      </c>
      <c r="P136" s="43">
        <f>IF(J136="","",SUMIFS(Detalle_Pagos!$I$5:$I$2004,Detalle_Pagos!$E$5:$E$2004,J136,Detalle_Pagos!$J$5:$J$2004,"Si"))</f>
        <v/>
      </c>
      <c r="Q136">
        <f>IF(J136="","",COUNTIFS(Detalle_Pagos!$E$5:$E$2004,J136,Detalle_Pagos!$J$5:$J$2004,"Si"))</f>
        <v/>
      </c>
      <c r="R136">
        <f>IF(J136="","",N136+K136/100000+(100000-ROW())/1000000000)</f>
        <v/>
      </c>
    </row>
    <row r="137">
      <c r="A137" s="36">
        <f>IFERROR(INDEX($J$8:$J$207,MATCH(LARGE($R$8:$R$207,ROWS($A$8:A137)),$R$8:$R$207,0)),"")</f>
        <v/>
      </c>
      <c r="B137" s="36">
        <f>IFERROR(INDEX($K$8:$K$207,MATCH(LARGE($R$8:$R$207,ROWS($A$8:A137)),$R$8:$R$207,0)),"")</f>
        <v/>
      </c>
      <c r="C137" s="37">
        <f>IFERROR(INDEX($L$8:$L$207,MATCH(LARGE($R$8:$R$207,ROWS($A$8:A137)),$R$8:$R$207,0)),"")</f>
        <v/>
      </c>
      <c r="D137" s="37">
        <f>IFERROR(INDEX($M$8:$M$207,MATCH(LARGE($R$8:$R$207,ROWS($A$8:A137)),$R$8:$R$207,0)),"")</f>
        <v/>
      </c>
      <c r="E137" s="37">
        <f>IFERROR(INDEX($N$8:$N$207,MATCH(LARGE($R$8:$R$207,ROWS($A$8:A137)),$R$8:$R$207,0)),"")</f>
        <v/>
      </c>
      <c r="F137" s="40">
        <f>IFERROR(INDEX($O$8:$O$207,MATCH(LARGE($R$8:$R$207,ROWS($A$8:A137)),$R$8:$R$207,0)),"")</f>
        <v/>
      </c>
      <c r="G137" s="37">
        <f>IFERROR(INDEX($P$8:$P$207,MATCH(LARGE($R$8:$R$207,ROWS($A$8:A137)),$R$8:$R$207,0)),"")</f>
        <v/>
      </c>
      <c r="H137" s="36">
        <f>IFERROR(INDEX($Q$8:$Q$207,MATCH(LARGE($R$8:$R$207,ROWS($A$8:A137)),$R$8:$R$207,0)),"")</f>
        <v/>
      </c>
      <c r="J137">
        <f>IF(Trabajadores!B134="","",Trabajadores!B134)</f>
        <v/>
      </c>
      <c r="K137">
        <f>IF(J137="","",COUNTIFS(Detalle_Pagos!$E$5:$E$2004,J137,Detalle_Pagos!$J$5:$J$2004,"No"))</f>
        <v/>
      </c>
      <c r="L137" s="43">
        <f>IF(J137="","",SUMIFS(Detalle_Pagos!$I$5:$I$2004,Detalle_Pagos!$E$5:$E$2004,J137,Detalle_Pagos!$J$5:$J$2004,"No"))</f>
        <v/>
      </c>
      <c r="M137" s="43">
        <f>IF(J137="","",K137*IFERROR(INDEX(Trabajadores!$D$5:$D$204,MATCH(J137,Trabajadores!$B$5:$B$204,0)),0))</f>
        <v/>
      </c>
      <c r="N137" s="43">
        <f>IF(J137="","",L137+M137)</f>
        <v/>
      </c>
      <c r="O137" s="44">
        <f>IF(J137="","",IF(K137=0,"",LOOKUP(2,1/((Detalle_Pagos!$E$5:$E$2004=J137)*(Detalle_Pagos!$J$5:$J$2004="No")),Detalle_Pagos!$B$5:$B$2004)))</f>
        <v/>
      </c>
      <c r="P137" s="43">
        <f>IF(J137="","",SUMIFS(Detalle_Pagos!$I$5:$I$2004,Detalle_Pagos!$E$5:$E$2004,J137,Detalle_Pagos!$J$5:$J$2004,"Si"))</f>
        <v/>
      </c>
      <c r="Q137">
        <f>IF(J137="","",COUNTIFS(Detalle_Pagos!$E$5:$E$2004,J137,Detalle_Pagos!$J$5:$J$2004,"Si"))</f>
        <v/>
      </c>
      <c r="R137">
        <f>IF(J137="","",N137+K137/100000+(100000-ROW())/1000000000)</f>
        <v/>
      </c>
    </row>
    <row r="138">
      <c r="A138" s="38">
        <f>IFERROR(INDEX($J$8:$J$207,MATCH(LARGE($R$8:$R$207,ROWS($A$8:A138)),$R$8:$R$207,0)),"")</f>
        <v/>
      </c>
      <c r="B138" s="38">
        <f>IFERROR(INDEX($K$8:$K$207,MATCH(LARGE($R$8:$R$207,ROWS($A$8:A138)),$R$8:$R$207,0)),"")</f>
        <v/>
      </c>
      <c r="C138" s="39">
        <f>IFERROR(INDEX($L$8:$L$207,MATCH(LARGE($R$8:$R$207,ROWS($A$8:A138)),$R$8:$R$207,0)),"")</f>
        <v/>
      </c>
      <c r="D138" s="39">
        <f>IFERROR(INDEX($M$8:$M$207,MATCH(LARGE($R$8:$R$207,ROWS($A$8:A138)),$R$8:$R$207,0)),"")</f>
        <v/>
      </c>
      <c r="E138" s="39">
        <f>IFERROR(INDEX($N$8:$N$207,MATCH(LARGE($R$8:$R$207,ROWS($A$8:A138)),$R$8:$R$207,0)),"")</f>
        <v/>
      </c>
      <c r="F138" s="41">
        <f>IFERROR(INDEX($O$8:$O$207,MATCH(LARGE($R$8:$R$207,ROWS($A$8:A138)),$R$8:$R$207,0)),"")</f>
        <v/>
      </c>
      <c r="G138" s="39">
        <f>IFERROR(INDEX($P$8:$P$207,MATCH(LARGE($R$8:$R$207,ROWS($A$8:A138)),$R$8:$R$207,0)),"")</f>
        <v/>
      </c>
      <c r="H138" s="38">
        <f>IFERROR(INDEX($Q$8:$Q$207,MATCH(LARGE($R$8:$R$207,ROWS($A$8:A138)),$R$8:$R$207,0)),"")</f>
        <v/>
      </c>
      <c r="J138">
        <f>IF(Trabajadores!B135="","",Trabajadores!B135)</f>
        <v/>
      </c>
      <c r="K138">
        <f>IF(J138="","",COUNTIFS(Detalle_Pagos!$E$5:$E$2004,J138,Detalle_Pagos!$J$5:$J$2004,"No"))</f>
        <v/>
      </c>
      <c r="L138" s="43">
        <f>IF(J138="","",SUMIFS(Detalle_Pagos!$I$5:$I$2004,Detalle_Pagos!$E$5:$E$2004,J138,Detalle_Pagos!$J$5:$J$2004,"No"))</f>
        <v/>
      </c>
      <c r="M138" s="43">
        <f>IF(J138="","",K138*IFERROR(INDEX(Trabajadores!$D$5:$D$204,MATCH(J138,Trabajadores!$B$5:$B$204,0)),0))</f>
        <v/>
      </c>
      <c r="N138" s="43">
        <f>IF(J138="","",L138+M138)</f>
        <v/>
      </c>
      <c r="O138" s="44">
        <f>IF(J138="","",IF(K138=0,"",LOOKUP(2,1/((Detalle_Pagos!$E$5:$E$2004=J138)*(Detalle_Pagos!$J$5:$J$2004="No")),Detalle_Pagos!$B$5:$B$2004)))</f>
        <v/>
      </c>
      <c r="P138" s="43">
        <f>IF(J138="","",SUMIFS(Detalle_Pagos!$I$5:$I$2004,Detalle_Pagos!$E$5:$E$2004,J138,Detalle_Pagos!$J$5:$J$2004,"Si"))</f>
        <v/>
      </c>
      <c r="Q138">
        <f>IF(J138="","",COUNTIFS(Detalle_Pagos!$E$5:$E$2004,J138,Detalle_Pagos!$J$5:$J$2004,"Si"))</f>
        <v/>
      </c>
      <c r="R138">
        <f>IF(J138="","",N138+K138/100000+(100000-ROW())/1000000000)</f>
        <v/>
      </c>
    </row>
    <row r="139">
      <c r="A139" s="36">
        <f>IFERROR(INDEX($J$8:$J$207,MATCH(LARGE($R$8:$R$207,ROWS($A$8:A139)),$R$8:$R$207,0)),"")</f>
        <v/>
      </c>
      <c r="B139" s="36">
        <f>IFERROR(INDEX($K$8:$K$207,MATCH(LARGE($R$8:$R$207,ROWS($A$8:A139)),$R$8:$R$207,0)),"")</f>
        <v/>
      </c>
      <c r="C139" s="37">
        <f>IFERROR(INDEX($L$8:$L$207,MATCH(LARGE($R$8:$R$207,ROWS($A$8:A139)),$R$8:$R$207,0)),"")</f>
        <v/>
      </c>
      <c r="D139" s="37">
        <f>IFERROR(INDEX($M$8:$M$207,MATCH(LARGE($R$8:$R$207,ROWS($A$8:A139)),$R$8:$R$207,0)),"")</f>
        <v/>
      </c>
      <c r="E139" s="37">
        <f>IFERROR(INDEX($N$8:$N$207,MATCH(LARGE($R$8:$R$207,ROWS($A$8:A139)),$R$8:$R$207,0)),"")</f>
        <v/>
      </c>
      <c r="F139" s="40">
        <f>IFERROR(INDEX($O$8:$O$207,MATCH(LARGE($R$8:$R$207,ROWS($A$8:A139)),$R$8:$R$207,0)),"")</f>
        <v/>
      </c>
      <c r="G139" s="37">
        <f>IFERROR(INDEX($P$8:$P$207,MATCH(LARGE($R$8:$R$207,ROWS($A$8:A139)),$R$8:$R$207,0)),"")</f>
        <v/>
      </c>
      <c r="H139" s="36">
        <f>IFERROR(INDEX($Q$8:$Q$207,MATCH(LARGE($R$8:$R$207,ROWS($A$8:A139)),$R$8:$R$207,0)),"")</f>
        <v/>
      </c>
      <c r="J139">
        <f>IF(Trabajadores!B136="","",Trabajadores!B136)</f>
        <v/>
      </c>
      <c r="K139">
        <f>IF(J139="","",COUNTIFS(Detalle_Pagos!$E$5:$E$2004,J139,Detalle_Pagos!$J$5:$J$2004,"No"))</f>
        <v/>
      </c>
      <c r="L139" s="43">
        <f>IF(J139="","",SUMIFS(Detalle_Pagos!$I$5:$I$2004,Detalle_Pagos!$E$5:$E$2004,J139,Detalle_Pagos!$J$5:$J$2004,"No"))</f>
        <v/>
      </c>
      <c r="M139" s="43">
        <f>IF(J139="","",K139*IFERROR(INDEX(Trabajadores!$D$5:$D$204,MATCH(J139,Trabajadores!$B$5:$B$204,0)),0))</f>
        <v/>
      </c>
      <c r="N139" s="43">
        <f>IF(J139="","",L139+M139)</f>
        <v/>
      </c>
      <c r="O139" s="44">
        <f>IF(J139="","",IF(K139=0,"",LOOKUP(2,1/((Detalle_Pagos!$E$5:$E$2004=J139)*(Detalle_Pagos!$J$5:$J$2004="No")),Detalle_Pagos!$B$5:$B$2004)))</f>
        <v/>
      </c>
      <c r="P139" s="43">
        <f>IF(J139="","",SUMIFS(Detalle_Pagos!$I$5:$I$2004,Detalle_Pagos!$E$5:$E$2004,J139,Detalle_Pagos!$J$5:$J$2004,"Si"))</f>
        <v/>
      </c>
      <c r="Q139">
        <f>IF(J139="","",COUNTIFS(Detalle_Pagos!$E$5:$E$2004,J139,Detalle_Pagos!$J$5:$J$2004,"Si"))</f>
        <v/>
      </c>
      <c r="R139">
        <f>IF(J139="","",N139+K139/100000+(100000-ROW())/1000000000)</f>
        <v/>
      </c>
    </row>
    <row r="140">
      <c r="A140" s="38">
        <f>IFERROR(INDEX($J$8:$J$207,MATCH(LARGE($R$8:$R$207,ROWS($A$8:A140)),$R$8:$R$207,0)),"")</f>
        <v/>
      </c>
      <c r="B140" s="38">
        <f>IFERROR(INDEX($K$8:$K$207,MATCH(LARGE($R$8:$R$207,ROWS($A$8:A140)),$R$8:$R$207,0)),"")</f>
        <v/>
      </c>
      <c r="C140" s="39">
        <f>IFERROR(INDEX($L$8:$L$207,MATCH(LARGE($R$8:$R$207,ROWS($A$8:A140)),$R$8:$R$207,0)),"")</f>
        <v/>
      </c>
      <c r="D140" s="39">
        <f>IFERROR(INDEX($M$8:$M$207,MATCH(LARGE($R$8:$R$207,ROWS($A$8:A140)),$R$8:$R$207,0)),"")</f>
        <v/>
      </c>
      <c r="E140" s="39">
        <f>IFERROR(INDEX($N$8:$N$207,MATCH(LARGE($R$8:$R$207,ROWS($A$8:A140)),$R$8:$R$207,0)),"")</f>
        <v/>
      </c>
      <c r="F140" s="41">
        <f>IFERROR(INDEX($O$8:$O$207,MATCH(LARGE($R$8:$R$207,ROWS($A$8:A140)),$R$8:$R$207,0)),"")</f>
        <v/>
      </c>
      <c r="G140" s="39">
        <f>IFERROR(INDEX($P$8:$P$207,MATCH(LARGE($R$8:$R$207,ROWS($A$8:A140)),$R$8:$R$207,0)),"")</f>
        <v/>
      </c>
      <c r="H140" s="38">
        <f>IFERROR(INDEX($Q$8:$Q$207,MATCH(LARGE($R$8:$R$207,ROWS($A$8:A140)),$R$8:$R$207,0)),"")</f>
        <v/>
      </c>
      <c r="J140">
        <f>IF(Trabajadores!B137="","",Trabajadores!B137)</f>
        <v/>
      </c>
      <c r="K140">
        <f>IF(J140="","",COUNTIFS(Detalle_Pagos!$E$5:$E$2004,J140,Detalle_Pagos!$J$5:$J$2004,"No"))</f>
        <v/>
      </c>
      <c r="L140" s="43">
        <f>IF(J140="","",SUMIFS(Detalle_Pagos!$I$5:$I$2004,Detalle_Pagos!$E$5:$E$2004,J140,Detalle_Pagos!$J$5:$J$2004,"No"))</f>
        <v/>
      </c>
      <c r="M140" s="43">
        <f>IF(J140="","",K140*IFERROR(INDEX(Trabajadores!$D$5:$D$204,MATCH(J140,Trabajadores!$B$5:$B$204,0)),0))</f>
        <v/>
      </c>
      <c r="N140" s="43">
        <f>IF(J140="","",L140+M140)</f>
        <v/>
      </c>
      <c r="O140" s="44">
        <f>IF(J140="","",IF(K140=0,"",LOOKUP(2,1/((Detalle_Pagos!$E$5:$E$2004=J140)*(Detalle_Pagos!$J$5:$J$2004="No")),Detalle_Pagos!$B$5:$B$2004)))</f>
        <v/>
      </c>
      <c r="P140" s="43">
        <f>IF(J140="","",SUMIFS(Detalle_Pagos!$I$5:$I$2004,Detalle_Pagos!$E$5:$E$2004,J140,Detalle_Pagos!$J$5:$J$2004,"Si"))</f>
        <v/>
      </c>
      <c r="Q140">
        <f>IF(J140="","",COUNTIFS(Detalle_Pagos!$E$5:$E$2004,J140,Detalle_Pagos!$J$5:$J$2004,"Si"))</f>
        <v/>
      </c>
      <c r="R140">
        <f>IF(J140="","",N140+K140/100000+(100000-ROW())/1000000000)</f>
        <v/>
      </c>
    </row>
    <row r="141">
      <c r="A141" s="36">
        <f>IFERROR(INDEX($J$8:$J$207,MATCH(LARGE($R$8:$R$207,ROWS($A$8:A141)),$R$8:$R$207,0)),"")</f>
        <v/>
      </c>
      <c r="B141" s="36">
        <f>IFERROR(INDEX($K$8:$K$207,MATCH(LARGE($R$8:$R$207,ROWS($A$8:A141)),$R$8:$R$207,0)),"")</f>
        <v/>
      </c>
      <c r="C141" s="37">
        <f>IFERROR(INDEX($L$8:$L$207,MATCH(LARGE($R$8:$R$207,ROWS($A$8:A141)),$R$8:$R$207,0)),"")</f>
        <v/>
      </c>
      <c r="D141" s="37">
        <f>IFERROR(INDEX($M$8:$M$207,MATCH(LARGE($R$8:$R$207,ROWS($A$8:A141)),$R$8:$R$207,0)),"")</f>
        <v/>
      </c>
      <c r="E141" s="37">
        <f>IFERROR(INDEX($N$8:$N$207,MATCH(LARGE($R$8:$R$207,ROWS($A$8:A141)),$R$8:$R$207,0)),"")</f>
        <v/>
      </c>
      <c r="F141" s="40">
        <f>IFERROR(INDEX($O$8:$O$207,MATCH(LARGE($R$8:$R$207,ROWS($A$8:A141)),$R$8:$R$207,0)),"")</f>
        <v/>
      </c>
      <c r="G141" s="37">
        <f>IFERROR(INDEX($P$8:$P$207,MATCH(LARGE($R$8:$R$207,ROWS($A$8:A141)),$R$8:$R$207,0)),"")</f>
        <v/>
      </c>
      <c r="H141" s="36">
        <f>IFERROR(INDEX($Q$8:$Q$207,MATCH(LARGE($R$8:$R$207,ROWS($A$8:A141)),$R$8:$R$207,0)),"")</f>
        <v/>
      </c>
      <c r="J141">
        <f>IF(Trabajadores!B138="","",Trabajadores!B138)</f>
        <v/>
      </c>
      <c r="K141">
        <f>IF(J141="","",COUNTIFS(Detalle_Pagos!$E$5:$E$2004,J141,Detalle_Pagos!$J$5:$J$2004,"No"))</f>
        <v/>
      </c>
      <c r="L141" s="43">
        <f>IF(J141="","",SUMIFS(Detalle_Pagos!$I$5:$I$2004,Detalle_Pagos!$E$5:$E$2004,J141,Detalle_Pagos!$J$5:$J$2004,"No"))</f>
        <v/>
      </c>
      <c r="M141" s="43">
        <f>IF(J141="","",K141*IFERROR(INDEX(Trabajadores!$D$5:$D$204,MATCH(J141,Trabajadores!$B$5:$B$204,0)),0))</f>
        <v/>
      </c>
      <c r="N141" s="43">
        <f>IF(J141="","",L141+M141)</f>
        <v/>
      </c>
      <c r="O141" s="44">
        <f>IF(J141="","",IF(K141=0,"",LOOKUP(2,1/((Detalle_Pagos!$E$5:$E$2004=J141)*(Detalle_Pagos!$J$5:$J$2004="No")),Detalle_Pagos!$B$5:$B$2004)))</f>
        <v/>
      </c>
      <c r="P141" s="43">
        <f>IF(J141="","",SUMIFS(Detalle_Pagos!$I$5:$I$2004,Detalle_Pagos!$E$5:$E$2004,J141,Detalle_Pagos!$J$5:$J$2004,"Si"))</f>
        <v/>
      </c>
      <c r="Q141">
        <f>IF(J141="","",COUNTIFS(Detalle_Pagos!$E$5:$E$2004,J141,Detalle_Pagos!$J$5:$J$2004,"Si"))</f>
        <v/>
      </c>
      <c r="R141">
        <f>IF(J141="","",N141+K141/100000+(100000-ROW())/1000000000)</f>
        <v/>
      </c>
    </row>
    <row r="142">
      <c r="A142" s="38">
        <f>IFERROR(INDEX($J$8:$J$207,MATCH(LARGE($R$8:$R$207,ROWS($A$8:A142)),$R$8:$R$207,0)),"")</f>
        <v/>
      </c>
      <c r="B142" s="38">
        <f>IFERROR(INDEX($K$8:$K$207,MATCH(LARGE($R$8:$R$207,ROWS($A$8:A142)),$R$8:$R$207,0)),"")</f>
        <v/>
      </c>
      <c r="C142" s="39">
        <f>IFERROR(INDEX($L$8:$L$207,MATCH(LARGE($R$8:$R$207,ROWS($A$8:A142)),$R$8:$R$207,0)),"")</f>
        <v/>
      </c>
      <c r="D142" s="39">
        <f>IFERROR(INDEX($M$8:$M$207,MATCH(LARGE($R$8:$R$207,ROWS($A$8:A142)),$R$8:$R$207,0)),"")</f>
        <v/>
      </c>
      <c r="E142" s="39">
        <f>IFERROR(INDEX($N$8:$N$207,MATCH(LARGE($R$8:$R$207,ROWS($A$8:A142)),$R$8:$R$207,0)),"")</f>
        <v/>
      </c>
      <c r="F142" s="41">
        <f>IFERROR(INDEX($O$8:$O$207,MATCH(LARGE($R$8:$R$207,ROWS($A$8:A142)),$R$8:$R$207,0)),"")</f>
        <v/>
      </c>
      <c r="G142" s="39">
        <f>IFERROR(INDEX($P$8:$P$207,MATCH(LARGE($R$8:$R$207,ROWS($A$8:A142)),$R$8:$R$207,0)),"")</f>
        <v/>
      </c>
      <c r="H142" s="38">
        <f>IFERROR(INDEX($Q$8:$Q$207,MATCH(LARGE($R$8:$R$207,ROWS($A$8:A142)),$R$8:$R$207,0)),"")</f>
        <v/>
      </c>
      <c r="J142">
        <f>IF(Trabajadores!B139="","",Trabajadores!B139)</f>
        <v/>
      </c>
      <c r="K142">
        <f>IF(J142="","",COUNTIFS(Detalle_Pagos!$E$5:$E$2004,J142,Detalle_Pagos!$J$5:$J$2004,"No"))</f>
        <v/>
      </c>
      <c r="L142" s="43">
        <f>IF(J142="","",SUMIFS(Detalle_Pagos!$I$5:$I$2004,Detalle_Pagos!$E$5:$E$2004,J142,Detalle_Pagos!$J$5:$J$2004,"No"))</f>
        <v/>
      </c>
      <c r="M142" s="43">
        <f>IF(J142="","",K142*IFERROR(INDEX(Trabajadores!$D$5:$D$204,MATCH(J142,Trabajadores!$B$5:$B$204,0)),0))</f>
        <v/>
      </c>
      <c r="N142" s="43">
        <f>IF(J142="","",L142+M142)</f>
        <v/>
      </c>
      <c r="O142" s="44">
        <f>IF(J142="","",IF(K142=0,"",LOOKUP(2,1/((Detalle_Pagos!$E$5:$E$2004=J142)*(Detalle_Pagos!$J$5:$J$2004="No")),Detalle_Pagos!$B$5:$B$2004)))</f>
        <v/>
      </c>
      <c r="P142" s="43">
        <f>IF(J142="","",SUMIFS(Detalle_Pagos!$I$5:$I$2004,Detalle_Pagos!$E$5:$E$2004,J142,Detalle_Pagos!$J$5:$J$2004,"Si"))</f>
        <v/>
      </c>
      <c r="Q142">
        <f>IF(J142="","",COUNTIFS(Detalle_Pagos!$E$5:$E$2004,J142,Detalle_Pagos!$J$5:$J$2004,"Si"))</f>
        <v/>
      </c>
      <c r="R142">
        <f>IF(J142="","",N142+K142/100000+(100000-ROW())/1000000000)</f>
        <v/>
      </c>
    </row>
    <row r="143">
      <c r="A143" s="36">
        <f>IFERROR(INDEX($J$8:$J$207,MATCH(LARGE($R$8:$R$207,ROWS($A$8:A143)),$R$8:$R$207,0)),"")</f>
        <v/>
      </c>
      <c r="B143" s="36">
        <f>IFERROR(INDEX($K$8:$K$207,MATCH(LARGE($R$8:$R$207,ROWS($A$8:A143)),$R$8:$R$207,0)),"")</f>
        <v/>
      </c>
      <c r="C143" s="37">
        <f>IFERROR(INDEX($L$8:$L$207,MATCH(LARGE($R$8:$R$207,ROWS($A$8:A143)),$R$8:$R$207,0)),"")</f>
        <v/>
      </c>
      <c r="D143" s="37">
        <f>IFERROR(INDEX($M$8:$M$207,MATCH(LARGE($R$8:$R$207,ROWS($A$8:A143)),$R$8:$R$207,0)),"")</f>
        <v/>
      </c>
      <c r="E143" s="37">
        <f>IFERROR(INDEX($N$8:$N$207,MATCH(LARGE($R$8:$R$207,ROWS($A$8:A143)),$R$8:$R$207,0)),"")</f>
        <v/>
      </c>
      <c r="F143" s="40">
        <f>IFERROR(INDEX($O$8:$O$207,MATCH(LARGE($R$8:$R$207,ROWS($A$8:A143)),$R$8:$R$207,0)),"")</f>
        <v/>
      </c>
      <c r="G143" s="37">
        <f>IFERROR(INDEX($P$8:$P$207,MATCH(LARGE($R$8:$R$207,ROWS($A$8:A143)),$R$8:$R$207,0)),"")</f>
        <v/>
      </c>
      <c r="H143" s="36">
        <f>IFERROR(INDEX($Q$8:$Q$207,MATCH(LARGE($R$8:$R$207,ROWS($A$8:A143)),$R$8:$R$207,0)),"")</f>
        <v/>
      </c>
      <c r="J143">
        <f>IF(Trabajadores!B140="","",Trabajadores!B140)</f>
        <v/>
      </c>
      <c r="K143">
        <f>IF(J143="","",COUNTIFS(Detalle_Pagos!$E$5:$E$2004,J143,Detalle_Pagos!$J$5:$J$2004,"No"))</f>
        <v/>
      </c>
      <c r="L143" s="43">
        <f>IF(J143="","",SUMIFS(Detalle_Pagos!$I$5:$I$2004,Detalle_Pagos!$E$5:$E$2004,J143,Detalle_Pagos!$J$5:$J$2004,"No"))</f>
        <v/>
      </c>
      <c r="M143" s="43">
        <f>IF(J143="","",K143*IFERROR(INDEX(Trabajadores!$D$5:$D$204,MATCH(J143,Trabajadores!$B$5:$B$204,0)),0))</f>
        <v/>
      </c>
      <c r="N143" s="43">
        <f>IF(J143="","",L143+M143)</f>
        <v/>
      </c>
      <c r="O143" s="44">
        <f>IF(J143="","",IF(K143=0,"",LOOKUP(2,1/((Detalle_Pagos!$E$5:$E$2004=J143)*(Detalle_Pagos!$J$5:$J$2004="No")),Detalle_Pagos!$B$5:$B$2004)))</f>
        <v/>
      </c>
      <c r="P143" s="43">
        <f>IF(J143="","",SUMIFS(Detalle_Pagos!$I$5:$I$2004,Detalle_Pagos!$E$5:$E$2004,J143,Detalle_Pagos!$J$5:$J$2004,"Si"))</f>
        <v/>
      </c>
      <c r="Q143">
        <f>IF(J143="","",COUNTIFS(Detalle_Pagos!$E$5:$E$2004,J143,Detalle_Pagos!$J$5:$J$2004,"Si"))</f>
        <v/>
      </c>
      <c r="R143">
        <f>IF(J143="","",N143+K143/100000+(100000-ROW())/1000000000)</f>
        <v/>
      </c>
    </row>
    <row r="144">
      <c r="A144" s="38">
        <f>IFERROR(INDEX($J$8:$J$207,MATCH(LARGE($R$8:$R$207,ROWS($A$8:A144)),$R$8:$R$207,0)),"")</f>
        <v/>
      </c>
      <c r="B144" s="38">
        <f>IFERROR(INDEX($K$8:$K$207,MATCH(LARGE($R$8:$R$207,ROWS($A$8:A144)),$R$8:$R$207,0)),"")</f>
        <v/>
      </c>
      <c r="C144" s="39">
        <f>IFERROR(INDEX($L$8:$L$207,MATCH(LARGE($R$8:$R$207,ROWS($A$8:A144)),$R$8:$R$207,0)),"")</f>
        <v/>
      </c>
      <c r="D144" s="39">
        <f>IFERROR(INDEX($M$8:$M$207,MATCH(LARGE($R$8:$R$207,ROWS($A$8:A144)),$R$8:$R$207,0)),"")</f>
        <v/>
      </c>
      <c r="E144" s="39">
        <f>IFERROR(INDEX($N$8:$N$207,MATCH(LARGE($R$8:$R$207,ROWS($A$8:A144)),$R$8:$R$207,0)),"")</f>
        <v/>
      </c>
      <c r="F144" s="41">
        <f>IFERROR(INDEX($O$8:$O$207,MATCH(LARGE($R$8:$R$207,ROWS($A$8:A144)),$R$8:$R$207,0)),"")</f>
        <v/>
      </c>
      <c r="G144" s="39">
        <f>IFERROR(INDEX($P$8:$P$207,MATCH(LARGE($R$8:$R$207,ROWS($A$8:A144)),$R$8:$R$207,0)),"")</f>
        <v/>
      </c>
      <c r="H144" s="38">
        <f>IFERROR(INDEX($Q$8:$Q$207,MATCH(LARGE($R$8:$R$207,ROWS($A$8:A144)),$R$8:$R$207,0)),"")</f>
        <v/>
      </c>
      <c r="J144">
        <f>IF(Trabajadores!B141="","",Trabajadores!B141)</f>
        <v/>
      </c>
      <c r="K144">
        <f>IF(J144="","",COUNTIFS(Detalle_Pagos!$E$5:$E$2004,J144,Detalle_Pagos!$J$5:$J$2004,"No"))</f>
        <v/>
      </c>
      <c r="L144" s="43">
        <f>IF(J144="","",SUMIFS(Detalle_Pagos!$I$5:$I$2004,Detalle_Pagos!$E$5:$E$2004,J144,Detalle_Pagos!$J$5:$J$2004,"No"))</f>
        <v/>
      </c>
      <c r="M144" s="43">
        <f>IF(J144="","",K144*IFERROR(INDEX(Trabajadores!$D$5:$D$204,MATCH(J144,Trabajadores!$B$5:$B$204,0)),0))</f>
        <v/>
      </c>
      <c r="N144" s="43">
        <f>IF(J144="","",L144+M144)</f>
        <v/>
      </c>
      <c r="O144" s="44">
        <f>IF(J144="","",IF(K144=0,"",LOOKUP(2,1/((Detalle_Pagos!$E$5:$E$2004=J144)*(Detalle_Pagos!$J$5:$J$2004="No")),Detalle_Pagos!$B$5:$B$2004)))</f>
        <v/>
      </c>
      <c r="P144" s="43">
        <f>IF(J144="","",SUMIFS(Detalle_Pagos!$I$5:$I$2004,Detalle_Pagos!$E$5:$E$2004,J144,Detalle_Pagos!$J$5:$J$2004,"Si"))</f>
        <v/>
      </c>
      <c r="Q144">
        <f>IF(J144="","",COUNTIFS(Detalle_Pagos!$E$5:$E$2004,J144,Detalle_Pagos!$J$5:$J$2004,"Si"))</f>
        <v/>
      </c>
      <c r="R144">
        <f>IF(J144="","",N144+K144/100000+(100000-ROW())/1000000000)</f>
        <v/>
      </c>
    </row>
    <row r="145">
      <c r="A145" s="36">
        <f>IFERROR(INDEX($J$8:$J$207,MATCH(LARGE($R$8:$R$207,ROWS($A$8:A145)),$R$8:$R$207,0)),"")</f>
        <v/>
      </c>
      <c r="B145" s="36">
        <f>IFERROR(INDEX($K$8:$K$207,MATCH(LARGE($R$8:$R$207,ROWS($A$8:A145)),$R$8:$R$207,0)),"")</f>
        <v/>
      </c>
      <c r="C145" s="37">
        <f>IFERROR(INDEX($L$8:$L$207,MATCH(LARGE($R$8:$R$207,ROWS($A$8:A145)),$R$8:$R$207,0)),"")</f>
        <v/>
      </c>
      <c r="D145" s="37">
        <f>IFERROR(INDEX($M$8:$M$207,MATCH(LARGE($R$8:$R$207,ROWS($A$8:A145)),$R$8:$R$207,0)),"")</f>
        <v/>
      </c>
      <c r="E145" s="37">
        <f>IFERROR(INDEX($N$8:$N$207,MATCH(LARGE($R$8:$R$207,ROWS($A$8:A145)),$R$8:$R$207,0)),"")</f>
        <v/>
      </c>
      <c r="F145" s="40">
        <f>IFERROR(INDEX($O$8:$O$207,MATCH(LARGE($R$8:$R$207,ROWS($A$8:A145)),$R$8:$R$207,0)),"")</f>
        <v/>
      </c>
      <c r="G145" s="37">
        <f>IFERROR(INDEX($P$8:$P$207,MATCH(LARGE($R$8:$R$207,ROWS($A$8:A145)),$R$8:$R$207,0)),"")</f>
        <v/>
      </c>
      <c r="H145" s="36">
        <f>IFERROR(INDEX($Q$8:$Q$207,MATCH(LARGE($R$8:$R$207,ROWS($A$8:A145)),$R$8:$R$207,0)),"")</f>
        <v/>
      </c>
      <c r="J145">
        <f>IF(Trabajadores!B142="","",Trabajadores!B142)</f>
        <v/>
      </c>
      <c r="K145">
        <f>IF(J145="","",COUNTIFS(Detalle_Pagos!$E$5:$E$2004,J145,Detalle_Pagos!$J$5:$J$2004,"No"))</f>
        <v/>
      </c>
      <c r="L145" s="43">
        <f>IF(J145="","",SUMIFS(Detalle_Pagos!$I$5:$I$2004,Detalle_Pagos!$E$5:$E$2004,J145,Detalle_Pagos!$J$5:$J$2004,"No"))</f>
        <v/>
      </c>
      <c r="M145" s="43">
        <f>IF(J145="","",K145*IFERROR(INDEX(Trabajadores!$D$5:$D$204,MATCH(J145,Trabajadores!$B$5:$B$204,0)),0))</f>
        <v/>
      </c>
      <c r="N145" s="43">
        <f>IF(J145="","",L145+M145)</f>
        <v/>
      </c>
      <c r="O145" s="44">
        <f>IF(J145="","",IF(K145=0,"",LOOKUP(2,1/((Detalle_Pagos!$E$5:$E$2004=J145)*(Detalle_Pagos!$J$5:$J$2004="No")),Detalle_Pagos!$B$5:$B$2004)))</f>
        <v/>
      </c>
      <c r="P145" s="43">
        <f>IF(J145="","",SUMIFS(Detalle_Pagos!$I$5:$I$2004,Detalle_Pagos!$E$5:$E$2004,J145,Detalle_Pagos!$J$5:$J$2004,"Si"))</f>
        <v/>
      </c>
      <c r="Q145">
        <f>IF(J145="","",COUNTIFS(Detalle_Pagos!$E$5:$E$2004,J145,Detalle_Pagos!$J$5:$J$2004,"Si"))</f>
        <v/>
      </c>
      <c r="R145">
        <f>IF(J145="","",N145+K145/100000+(100000-ROW())/1000000000)</f>
        <v/>
      </c>
    </row>
    <row r="146">
      <c r="A146" s="38">
        <f>IFERROR(INDEX($J$8:$J$207,MATCH(LARGE($R$8:$R$207,ROWS($A$8:A146)),$R$8:$R$207,0)),"")</f>
        <v/>
      </c>
      <c r="B146" s="38">
        <f>IFERROR(INDEX($K$8:$K$207,MATCH(LARGE($R$8:$R$207,ROWS($A$8:A146)),$R$8:$R$207,0)),"")</f>
        <v/>
      </c>
      <c r="C146" s="39">
        <f>IFERROR(INDEX($L$8:$L$207,MATCH(LARGE($R$8:$R$207,ROWS($A$8:A146)),$R$8:$R$207,0)),"")</f>
        <v/>
      </c>
      <c r="D146" s="39">
        <f>IFERROR(INDEX($M$8:$M$207,MATCH(LARGE($R$8:$R$207,ROWS($A$8:A146)),$R$8:$R$207,0)),"")</f>
        <v/>
      </c>
      <c r="E146" s="39">
        <f>IFERROR(INDEX($N$8:$N$207,MATCH(LARGE($R$8:$R$207,ROWS($A$8:A146)),$R$8:$R$207,0)),"")</f>
        <v/>
      </c>
      <c r="F146" s="41">
        <f>IFERROR(INDEX($O$8:$O$207,MATCH(LARGE($R$8:$R$207,ROWS($A$8:A146)),$R$8:$R$207,0)),"")</f>
        <v/>
      </c>
      <c r="G146" s="39">
        <f>IFERROR(INDEX($P$8:$P$207,MATCH(LARGE($R$8:$R$207,ROWS($A$8:A146)),$R$8:$R$207,0)),"")</f>
        <v/>
      </c>
      <c r="H146" s="38">
        <f>IFERROR(INDEX($Q$8:$Q$207,MATCH(LARGE($R$8:$R$207,ROWS($A$8:A146)),$R$8:$R$207,0)),"")</f>
        <v/>
      </c>
      <c r="J146">
        <f>IF(Trabajadores!B143="","",Trabajadores!B143)</f>
        <v/>
      </c>
      <c r="K146">
        <f>IF(J146="","",COUNTIFS(Detalle_Pagos!$E$5:$E$2004,J146,Detalle_Pagos!$J$5:$J$2004,"No"))</f>
        <v/>
      </c>
      <c r="L146" s="43">
        <f>IF(J146="","",SUMIFS(Detalle_Pagos!$I$5:$I$2004,Detalle_Pagos!$E$5:$E$2004,J146,Detalle_Pagos!$J$5:$J$2004,"No"))</f>
        <v/>
      </c>
      <c r="M146" s="43">
        <f>IF(J146="","",K146*IFERROR(INDEX(Trabajadores!$D$5:$D$204,MATCH(J146,Trabajadores!$B$5:$B$204,0)),0))</f>
        <v/>
      </c>
      <c r="N146" s="43">
        <f>IF(J146="","",L146+M146)</f>
        <v/>
      </c>
      <c r="O146" s="44">
        <f>IF(J146="","",IF(K146=0,"",LOOKUP(2,1/((Detalle_Pagos!$E$5:$E$2004=J146)*(Detalle_Pagos!$J$5:$J$2004="No")),Detalle_Pagos!$B$5:$B$2004)))</f>
        <v/>
      </c>
      <c r="P146" s="43">
        <f>IF(J146="","",SUMIFS(Detalle_Pagos!$I$5:$I$2004,Detalle_Pagos!$E$5:$E$2004,J146,Detalle_Pagos!$J$5:$J$2004,"Si"))</f>
        <v/>
      </c>
      <c r="Q146">
        <f>IF(J146="","",COUNTIFS(Detalle_Pagos!$E$5:$E$2004,J146,Detalle_Pagos!$J$5:$J$2004,"Si"))</f>
        <v/>
      </c>
      <c r="R146">
        <f>IF(J146="","",N146+K146/100000+(100000-ROW())/1000000000)</f>
        <v/>
      </c>
    </row>
    <row r="147">
      <c r="A147" s="36">
        <f>IFERROR(INDEX($J$8:$J$207,MATCH(LARGE($R$8:$R$207,ROWS($A$8:A147)),$R$8:$R$207,0)),"")</f>
        <v/>
      </c>
      <c r="B147" s="36">
        <f>IFERROR(INDEX($K$8:$K$207,MATCH(LARGE($R$8:$R$207,ROWS($A$8:A147)),$R$8:$R$207,0)),"")</f>
        <v/>
      </c>
      <c r="C147" s="37">
        <f>IFERROR(INDEX($L$8:$L$207,MATCH(LARGE($R$8:$R$207,ROWS($A$8:A147)),$R$8:$R$207,0)),"")</f>
        <v/>
      </c>
      <c r="D147" s="37">
        <f>IFERROR(INDEX($M$8:$M$207,MATCH(LARGE($R$8:$R$207,ROWS($A$8:A147)),$R$8:$R$207,0)),"")</f>
        <v/>
      </c>
      <c r="E147" s="37">
        <f>IFERROR(INDEX($N$8:$N$207,MATCH(LARGE($R$8:$R$207,ROWS($A$8:A147)),$R$8:$R$207,0)),"")</f>
        <v/>
      </c>
      <c r="F147" s="40">
        <f>IFERROR(INDEX($O$8:$O$207,MATCH(LARGE($R$8:$R$207,ROWS($A$8:A147)),$R$8:$R$207,0)),"")</f>
        <v/>
      </c>
      <c r="G147" s="37">
        <f>IFERROR(INDEX($P$8:$P$207,MATCH(LARGE($R$8:$R$207,ROWS($A$8:A147)),$R$8:$R$207,0)),"")</f>
        <v/>
      </c>
      <c r="H147" s="36">
        <f>IFERROR(INDEX($Q$8:$Q$207,MATCH(LARGE($R$8:$R$207,ROWS($A$8:A147)),$R$8:$R$207,0)),"")</f>
        <v/>
      </c>
      <c r="J147">
        <f>IF(Trabajadores!B144="","",Trabajadores!B144)</f>
        <v/>
      </c>
      <c r="K147">
        <f>IF(J147="","",COUNTIFS(Detalle_Pagos!$E$5:$E$2004,J147,Detalle_Pagos!$J$5:$J$2004,"No"))</f>
        <v/>
      </c>
      <c r="L147" s="43">
        <f>IF(J147="","",SUMIFS(Detalle_Pagos!$I$5:$I$2004,Detalle_Pagos!$E$5:$E$2004,J147,Detalle_Pagos!$J$5:$J$2004,"No"))</f>
        <v/>
      </c>
      <c r="M147" s="43">
        <f>IF(J147="","",K147*IFERROR(INDEX(Trabajadores!$D$5:$D$204,MATCH(J147,Trabajadores!$B$5:$B$204,0)),0))</f>
        <v/>
      </c>
      <c r="N147" s="43">
        <f>IF(J147="","",L147+M147)</f>
        <v/>
      </c>
      <c r="O147" s="44">
        <f>IF(J147="","",IF(K147=0,"",LOOKUP(2,1/((Detalle_Pagos!$E$5:$E$2004=J147)*(Detalle_Pagos!$J$5:$J$2004="No")),Detalle_Pagos!$B$5:$B$2004)))</f>
        <v/>
      </c>
      <c r="P147" s="43">
        <f>IF(J147="","",SUMIFS(Detalle_Pagos!$I$5:$I$2004,Detalle_Pagos!$E$5:$E$2004,J147,Detalle_Pagos!$J$5:$J$2004,"Si"))</f>
        <v/>
      </c>
      <c r="Q147">
        <f>IF(J147="","",COUNTIFS(Detalle_Pagos!$E$5:$E$2004,J147,Detalle_Pagos!$J$5:$J$2004,"Si"))</f>
        <v/>
      </c>
      <c r="R147">
        <f>IF(J147="","",N147+K147/100000+(100000-ROW())/1000000000)</f>
        <v/>
      </c>
    </row>
    <row r="148">
      <c r="A148" s="38">
        <f>IFERROR(INDEX($J$8:$J$207,MATCH(LARGE($R$8:$R$207,ROWS($A$8:A148)),$R$8:$R$207,0)),"")</f>
        <v/>
      </c>
      <c r="B148" s="38">
        <f>IFERROR(INDEX($K$8:$K$207,MATCH(LARGE($R$8:$R$207,ROWS($A$8:A148)),$R$8:$R$207,0)),"")</f>
        <v/>
      </c>
      <c r="C148" s="39">
        <f>IFERROR(INDEX($L$8:$L$207,MATCH(LARGE($R$8:$R$207,ROWS($A$8:A148)),$R$8:$R$207,0)),"")</f>
        <v/>
      </c>
      <c r="D148" s="39">
        <f>IFERROR(INDEX($M$8:$M$207,MATCH(LARGE($R$8:$R$207,ROWS($A$8:A148)),$R$8:$R$207,0)),"")</f>
        <v/>
      </c>
      <c r="E148" s="39">
        <f>IFERROR(INDEX($N$8:$N$207,MATCH(LARGE($R$8:$R$207,ROWS($A$8:A148)),$R$8:$R$207,0)),"")</f>
        <v/>
      </c>
      <c r="F148" s="41">
        <f>IFERROR(INDEX($O$8:$O$207,MATCH(LARGE($R$8:$R$207,ROWS($A$8:A148)),$R$8:$R$207,0)),"")</f>
        <v/>
      </c>
      <c r="G148" s="39">
        <f>IFERROR(INDEX($P$8:$P$207,MATCH(LARGE($R$8:$R$207,ROWS($A$8:A148)),$R$8:$R$207,0)),"")</f>
        <v/>
      </c>
      <c r="H148" s="38">
        <f>IFERROR(INDEX($Q$8:$Q$207,MATCH(LARGE($R$8:$R$207,ROWS($A$8:A148)),$R$8:$R$207,0)),"")</f>
        <v/>
      </c>
      <c r="J148">
        <f>IF(Trabajadores!B145="","",Trabajadores!B145)</f>
        <v/>
      </c>
      <c r="K148">
        <f>IF(J148="","",COUNTIFS(Detalle_Pagos!$E$5:$E$2004,J148,Detalle_Pagos!$J$5:$J$2004,"No"))</f>
        <v/>
      </c>
      <c r="L148" s="43">
        <f>IF(J148="","",SUMIFS(Detalle_Pagos!$I$5:$I$2004,Detalle_Pagos!$E$5:$E$2004,J148,Detalle_Pagos!$J$5:$J$2004,"No"))</f>
        <v/>
      </c>
      <c r="M148" s="43">
        <f>IF(J148="","",K148*IFERROR(INDEX(Trabajadores!$D$5:$D$204,MATCH(J148,Trabajadores!$B$5:$B$204,0)),0))</f>
        <v/>
      </c>
      <c r="N148" s="43">
        <f>IF(J148="","",L148+M148)</f>
        <v/>
      </c>
      <c r="O148" s="44">
        <f>IF(J148="","",IF(K148=0,"",LOOKUP(2,1/((Detalle_Pagos!$E$5:$E$2004=J148)*(Detalle_Pagos!$J$5:$J$2004="No")),Detalle_Pagos!$B$5:$B$2004)))</f>
        <v/>
      </c>
      <c r="P148" s="43">
        <f>IF(J148="","",SUMIFS(Detalle_Pagos!$I$5:$I$2004,Detalle_Pagos!$E$5:$E$2004,J148,Detalle_Pagos!$J$5:$J$2004,"Si"))</f>
        <v/>
      </c>
      <c r="Q148">
        <f>IF(J148="","",COUNTIFS(Detalle_Pagos!$E$5:$E$2004,J148,Detalle_Pagos!$J$5:$J$2004,"Si"))</f>
        <v/>
      </c>
      <c r="R148">
        <f>IF(J148="","",N148+K148/100000+(100000-ROW())/1000000000)</f>
        <v/>
      </c>
    </row>
    <row r="149">
      <c r="A149" s="36">
        <f>IFERROR(INDEX($J$8:$J$207,MATCH(LARGE($R$8:$R$207,ROWS($A$8:A149)),$R$8:$R$207,0)),"")</f>
        <v/>
      </c>
      <c r="B149" s="36">
        <f>IFERROR(INDEX($K$8:$K$207,MATCH(LARGE($R$8:$R$207,ROWS($A$8:A149)),$R$8:$R$207,0)),"")</f>
        <v/>
      </c>
      <c r="C149" s="37">
        <f>IFERROR(INDEX($L$8:$L$207,MATCH(LARGE($R$8:$R$207,ROWS($A$8:A149)),$R$8:$R$207,0)),"")</f>
        <v/>
      </c>
      <c r="D149" s="37">
        <f>IFERROR(INDEX($M$8:$M$207,MATCH(LARGE($R$8:$R$207,ROWS($A$8:A149)),$R$8:$R$207,0)),"")</f>
        <v/>
      </c>
      <c r="E149" s="37">
        <f>IFERROR(INDEX($N$8:$N$207,MATCH(LARGE($R$8:$R$207,ROWS($A$8:A149)),$R$8:$R$207,0)),"")</f>
        <v/>
      </c>
      <c r="F149" s="40">
        <f>IFERROR(INDEX($O$8:$O$207,MATCH(LARGE($R$8:$R$207,ROWS($A$8:A149)),$R$8:$R$207,0)),"")</f>
        <v/>
      </c>
      <c r="G149" s="37">
        <f>IFERROR(INDEX($P$8:$P$207,MATCH(LARGE($R$8:$R$207,ROWS($A$8:A149)),$R$8:$R$207,0)),"")</f>
        <v/>
      </c>
      <c r="H149" s="36">
        <f>IFERROR(INDEX($Q$8:$Q$207,MATCH(LARGE($R$8:$R$207,ROWS($A$8:A149)),$R$8:$R$207,0)),"")</f>
        <v/>
      </c>
      <c r="J149">
        <f>IF(Trabajadores!B146="","",Trabajadores!B146)</f>
        <v/>
      </c>
      <c r="K149">
        <f>IF(J149="","",COUNTIFS(Detalle_Pagos!$E$5:$E$2004,J149,Detalle_Pagos!$J$5:$J$2004,"No"))</f>
        <v/>
      </c>
      <c r="L149" s="43">
        <f>IF(J149="","",SUMIFS(Detalle_Pagos!$I$5:$I$2004,Detalle_Pagos!$E$5:$E$2004,J149,Detalle_Pagos!$J$5:$J$2004,"No"))</f>
        <v/>
      </c>
      <c r="M149" s="43">
        <f>IF(J149="","",K149*IFERROR(INDEX(Trabajadores!$D$5:$D$204,MATCH(J149,Trabajadores!$B$5:$B$204,0)),0))</f>
        <v/>
      </c>
      <c r="N149" s="43">
        <f>IF(J149="","",L149+M149)</f>
        <v/>
      </c>
      <c r="O149" s="44">
        <f>IF(J149="","",IF(K149=0,"",LOOKUP(2,1/((Detalle_Pagos!$E$5:$E$2004=J149)*(Detalle_Pagos!$J$5:$J$2004="No")),Detalle_Pagos!$B$5:$B$2004)))</f>
        <v/>
      </c>
      <c r="P149" s="43">
        <f>IF(J149="","",SUMIFS(Detalle_Pagos!$I$5:$I$2004,Detalle_Pagos!$E$5:$E$2004,J149,Detalle_Pagos!$J$5:$J$2004,"Si"))</f>
        <v/>
      </c>
      <c r="Q149">
        <f>IF(J149="","",COUNTIFS(Detalle_Pagos!$E$5:$E$2004,J149,Detalle_Pagos!$J$5:$J$2004,"Si"))</f>
        <v/>
      </c>
      <c r="R149">
        <f>IF(J149="","",N149+K149/100000+(100000-ROW())/1000000000)</f>
        <v/>
      </c>
    </row>
    <row r="150">
      <c r="A150" s="38">
        <f>IFERROR(INDEX($J$8:$J$207,MATCH(LARGE($R$8:$R$207,ROWS($A$8:A150)),$R$8:$R$207,0)),"")</f>
        <v/>
      </c>
      <c r="B150" s="38">
        <f>IFERROR(INDEX($K$8:$K$207,MATCH(LARGE($R$8:$R$207,ROWS($A$8:A150)),$R$8:$R$207,0)),"")</f>
        <v/>
      </c>
      <c r="C150" s="39">
        <f>IFERROR(INDEX($L$8:$L$207,MATCH(LARGE($R$8:$R$207,ROWS($A$8:A150)),$R$8:$R$207,0)),"")</f>
        <v/>
      </c>
      <c r="D150" s="39">
        <f>IFERROR(INDEX($M$8:$M$207,MATCH(LARGE($R$8:$R$207,ROWS($A$8:A150)),$R$8:$R$207,0)),"")</f>
        <v/>
      </c>
      <c r="E150" s="39">
        <f>IFERROR(INDEX($N$8:$N$207,MATCH(LARGE($R$8:$R$207,ROWS($A$8:A150)),$R$8:$R$207,0)),"")</f>
        <v/>
      </c>
      <c r="F150" s="41">
        <f>IFERROR(INDEX($O$8:$O$207,MATCH(LARGE($R$8:$R$207,ROWS($A$8:A150)),$R$8:$R$207,0)),"")</f>
        <v/>
      </c>
      <c r="G150" s="39">
        <f>IFERROR(INDEX($P$8:$P$207,MATCH(LARGE($R$8:$R$207,ROWS($A$8:A150)),$R$8:$R$207,0)),"")</f>
        <v/>
      </c>
      <c r="H150" s="38">
        <f>IFERROR(INDEX($Q$8:$Q$207,MATCH(LARGE($R$8:$R$207,ROWS($A$8:A150)),$R$8:$R$207,0)),"")</f>
        <v/>
      </c>
      <c r="J150">
        <f>IF(Trabajadores!B147="","",Trabajadores!B147)</f>
        <v/>
      </c>
      <c r="K150">
        <f>IF(J150="","",COUNTIFS(Detalle_Pagos!$E$5:$E$2004,J150,Detalle_Pagos!$J$5:$J$2004,"No"))</f>
        <v/>
      </c>
      <c r="L150" s="43">
        <f>IF(J150="","",SUMIFS(Detalle_Pagos!$I$5:$I$2004,Detalle_Pagos!$E$5:$E$2004,J150,Detalle_Pagos!$J$5:$J$2004,"No"))</f>
        <v/>
      </c>
      <c r="M150" s="43">
        <f>IF(J150="","",K150*IFERROR(INDEX(Trabajadores!$D$5:$D$204,MATCH(J150,Trabajadores!$B$5:$B$204,0)),0))</f>
        <v/>
      </c>
      <c r="N150" s="43">
        <f>IF(J150="","",L150+M150)</f>
        <v/>
      </c>
      <c r="O150" s="44">
        <f>IF(J150="","",IF(K150=0,"",LOOKUP(2,1/((Detalle_Pagos!$E$5:$E$2004=J150)*(Detalle_Pagos!$J$5:$J$2004="No")),Detalle_Pagos!$B$5:$B$2004)))</f>
        <v/>
      </c>
      <c r="P150" s="43">
        <f>IF(J150="","",SUMIFS(Detalle_Pagos!$I$5:$I$2004,Detalle_Pagos!$E$5:$E$2004,J150,Detalle_Pagos!$J$5:$J$2004,"Si"))</f>
        <v/>
      </c>
      <c r="Q150">
        <f>IF(J150="","",COUNTIFS(Detalle_Pagos!$E$5:$E$2004,J150,Detalle_Pagos!$J$5:$J$2004,"Si"))</f>
        <v/>
      </c>
      <c r="R150">
        <f>IF(J150="","",N150+K150/100000+(100000-ROW())/1000000000)</f>
        <v/>
      </c>
    </row>
    <row r="151">
      <c r="A151" s="36">
        <f>IFERROR(INDEX($J$8:$J$207,MATCH(LARGE($R$8:$R$207,ROWS($A$8:A151)),$R$8:$R$207,0)),"")</f>
        <v/>
      </c>
      <c r="B151" s="36">
        <f>IFERROR(INDEX($K$8:$K$207,MATCH(LARGE($R$8:$R$207,ROWS($A$8:A151)),$R$8:$R$207,0)),"")</f>
        <v/>
      </c>
      <c r="C151" s="37">
        <f>IFERROR(INDEX($L$8:$L$207,MATCH(LARGE($R$8:$R$207,ROWS($A$8:A151)),$R$8:$R$207,0)),"")</f>
        <v/>
      </c>
      <c r="D151" s="37">
        <f>IFERROR(INDEX($M$8:$M$207,MATCH(LARGE($R$8:$R$207,ROWS($A$8:A151)),$R$8:$R$207,0)),"")</f>
        <v/>
      </c>
      <c r="E151" s="37">
        <f>IFERROR(INDEX($N$8:$N$207,MATCH(LARGE($R$8:$R$207,ROWS($A$8:A151)),$R$8:$R$207,0)),"")</f>
        <v/>
      </c>
      <c r="F151" s="40">
        <f>IFERROR(INDEX($O$8:$O$207,MATCH(LARGE($R$8:$R$207,ROWS($A$8:A151)),$R$8:$R$207,0)),"")</f>
        <v/>
      </c>
      <c r="G151" s="37">
        <f>IFERROR(INDEX($P$8:$P$207,MATCH(LARGE($R$8:$R$207,ROWS($A$8:A151)),$R$8:$R$207,0)),"")</f>
        <v/>
      </c>
      <c r="H151" s="36">
        <f>IFERROR(INDEX($Q$8:$Q$207,MATCH(LARGE($R$8:$R$207,ROWS($A$8:A151)),$R$8:$R$207,0)),"")</f>
        <v/>
      </c>
      <c r="J151">
        <f>IF(Trabajadores!B148="","",Trabajadores!B148)</f>
        <v/>
      </c>
      <c r="K151">
        <f>IF(J151="","",COUNTIFS(Detalle_Pagos!$E$5:$E$2004,J151,Detalle_Pagos!$J$5:$J$2004,"No"))</f>
        <v/>
      </c>
      <c r="L151" s="43">
        <f>IF(J151="","",SUMIFS(Detalle_Pagos!$I$5:$I$2004,Detalle_Pagos!$E$5:$E$2004,J151,Detalle_Pagos!$J$5:$J$2004,"No"))</f>
        <v/>
      </c>
      <c r="M151" s="43">
        <f>IF(J151="","",K151*IFERROR(INDEX(Trabajadores!$D$5:$D$204,MATCH(J151,Trabajadores!$B$5:$B$204,0)),0))</f>
        <v/>
      </c>
      <c r="N151" s="43">
        <f>IF(J151="","",L151+M151)</f>
        <v/>
      </c>
      <c r="O151" s="44">
        <f>IF(J151="","",IF(K151=0,"",LOOKUP(2,1/((Detalle_Pagos!$E$5:$E$2004=J151)*(Detalle_Pagos!$J$5:$J$2004="No")),Detalle_Pagos!$B$5:$B$2004)))</f>
        <v/>
      </c>
      <c r="P151" s="43">
        <f>IF(J151="","",SUMIFS(Detalle_Pagos!$I$5:$I$2004,Detalle_Pagos!$E$5:$E$2004,J151,Detalle_Pagos!$J$5:$J$2004,"Si"))</f>
        <v/>
      </c>
      <c r="Q151">
        <f>IF(J151="","",COUNTIFS(Detalle_Pagos!$E$5:$E$2004,J151,Detalle_Pagos!$J$5:$J$2004,"Si"))</f>
        <v/>
      </c>
      <c r="R151">
        <f>IF(J151="","",N151+K151/100000+(100000-ROW())/1000000000)</f>
        <v/>
      </c>
    </row>
    <row r="152">
      <c r="A152" s="38">
        <f>IFERROR(INDEX($J$8:$J$207,MATCH(LARGE($R$8:$R$207,ROWS($A$8:A152)),$R$8:$R$207,0)),"")</f>
        <v/>
      </c>
      <c r="B152" s="38">
        <f>IFERROR(INDEX($K$8:$K$207,MATCH(LARGE($R$8:$R$207,ROWS($A$8:A152)),$R$8:$R$207,0)),"")</f>
        <v/>
      </c>
      <c r="C152" s="39">
        <f>IFERROR(INDEX($L$8:$L$207,MATCH(LARGE($R$8:$R$207,ROWS($A$8:A152)),$R$8:$R$207,0)),"")</f>
        <v/>
      </c>
      <c r="D152" s="39">
        <f>IFERROR(INDEX($M$8:$M$207,MATCH(LARGE($R$8:$R$207,ROWS($A$8:A152)),$R$8:$R$207,0)),"")</f>
        <v/>
      </c>
      <c r="E152" s="39">
        <f>IFERROR(INDEX($N$8:$N$207,MATCH(LARGE($R$8:$R$207,ROWS($A$8:A152)),$R$8:$R$207,0)),"")</f>
        <v/>
      </c>
      <c r="F152" s="41">
        <f>IFERROR(INDEX($O$8:$O$207,MATCH(LARGE($R$8:$R$207,ROWS($A$8:A152)),$R$8:$R$207,0)),"")</f>
        <v/>
      </c>
      <c r="G152" s="39">
        <f>IFERROR(INDEX($P$8:$P$207,MATCH(LARGE($R$8:$R$207,ROWS($A$8:A152)),$R$8:$R$207,0)),"")</f>
        <v/>
      </c>
      <c r="H152" s="38">
        <f>IFERROR(INDEX($Q$8:$Q$207,MATCH(LARGE($R$8:$R$207,ROWS($A$8:A152)),$R$8:$R$207,0)),"")</f>
        <v/>
      </c>
      <c r="J152">
        <f>IF(Trabajadores!B149="","",Trabajadores!B149)</f>
        <v/>
      </c>
      <c r="K152">
        <f>IF(J152="","",COUNTIFS(Detalle_Pagos!$E$5:$E$2004,J152,Detalle_Pagos!$J$5:$J$2004,"No"))</f>
        <v/>
      </c>
      <c r="L152" s="43">
        <f>IF(J152="","",SUMIFS(Detalle_Pagos!$I$5:$I$2004,Detalle_Pagos!$E$5:$E$2004,J152,Detalle_Pagos!$J$5:$J$2004,"No"))</f>
        <v/>
      </c>
      <c r="M152" s="43">
        <f>IF(J152="","",K152*IFERROR(INDEX(Trabajadores!$D$5:$D$204,MATCH(J152,Trabajadores!$B$5:$B$204,0)),0))</f>
        <v/>
      </c>
      <c r="N152" s="43">
        <f>IF(J152="","",L152+M152)</f>
        <v/>
      </c>
      <c r="O152" s="44">
        <f>IF(J152="","",IF(K152=0,"",LOOKUP(2,1/((Detalle_Pagos!$E$5:$E$2004=J152)*(Detalle_Pagos!$J$5:$J$2004="No")),Detalle_Pagos!$B$5:$B$2004)))</f>
        <v/>
      </c>
      <c r="P152" s="43">
        <f>IF(J152="","",SUMIFS(Detalle_Pagos!$I$5:$I$2004,Detalle_Pagos!$E$5:$E$2004,J152,Detalle_Pagos!$J$5:$J$2004,"Si"))</f>
        <v/>
      </c>
      <c r="Q152">
        <f>IF(J152="","",COUNTIFS(Detalle_Pagos!$E$5:$E$2004,J152,Detalle_Pagos!$J$5:$J$2004,"Si"))</f>
        <v/>
      </c>
      <c r="R152">
        <f>IF(J152="","",N152+K152/100000+(100000-ROW())/1000000000)</f>
        <v/>
      </c>
    </row>
    <row r="153">
      <c r="A153" s="36">
        <f>IFERROR(INDEX($J$8:$J$207,MATCH(LARGE($R$8:$R$207,ROWS($A$8:A153)),$R$8:$R$207,0)),"")</f>
        <v/>
      </c>
      <c r="B153" s="36">
        <f>IFERROR(INDEX($K$8:$K$207,MATCH(LARGE($R$8:$R$207,ROWS($A$8:A153)),$R$8:$R$207,0)),"")</f>
        <v/>
      </c>
      <c r="C153" s="37">
        <f>IFERROR(INDEX($L$8:$L$207,MATCH(LARGE($R$8:$R$207,ROWS($A$8:A153)),$R$8:$R$207,0)),"")</f>
        <v/>
      </c>
      <c r="D153" s="37">
        <f>IFERROR(INDEX($M$8:$M$207,MATCH(LARGE($R$8:$R$207,ROWS($A$8:A153)),$R$8:$R$207,0)),"")</f>
        <v/>
      </c>
      <c r="E153" s="37">
        <f>IFERROR(INDEX($N$8:$N$207,MATCH(LARGE($R$8:$R$207,ROWS($A$8:A153)),$R$8:$R$207,0)),"")</f>
        <v/>
      </c>
      <c r="F153" s="40">
        <f>IFERROR(INDEX($O$8:$O$207,MATCH(LARGE($R$8:$R$207,ROWS($A$8:A153)),$R$8:$R$207,0)),"")</f>
        <v/>
      </c>
      <c r="G153" s="37">
        <f>IFERROR(INDEX($P$8:$P$207,MATCH(LARGE($R$8:$R$207,ROWS($A$8:A153)),$R$8:$R$207,0)),"")</f>
        <v/>
      </c>
      <c r="H153" s="36">
        <f>IFERROR(INDEX($Q$8:$Q$207,MATCH(LARGE($R$8:$R$207,ROWS($A$8:A153)),$R$8:$R$207,0)),"")</f>
        <v/>
      </c>
      <c r="J153">
        <f>IF(Trabajadores!B150="","",Trabajadores!B150)</f>
        <v/>
      </c>
      <c r="K153">
        <f>IF(J153="","",COUNTIFS(Detalle_Pagos!$E$5:$E$2004,J153,Detalle_Pagos!$J$5:$J$2004,"No"))</f>
        <v/>
      </c>
      <c r="L153" s="43">
        <f>IF(J153="","",SUMIFS(Detalle_Pagos!$I$5:$I$2004,Detalle_Pagos!$E$5:$E$2004,J153,Detalle_Pagos!$J$5:$J$2004,"No"))</f>
        <v/>
      </c>
      <c r="M153" s="43">
        <f>IF(J153="","",K153*IFERROR(INDEX(Trabajadores!$D$5:$D$204,MATCH(J153,Trabajadores!$B$5:$B$204,0)),0))</f>
        <v/>
      </c>
      <c r="N153" s="43">
        <f>IF(J153="","",L153+M153)</f>
        <v/>
      </c>
      <c r="O153" s="44">
        <f>IF(J153="","",IF(K153=0,"",LOOKUP(2,1/((Detalle_Pagos!$E$5:$E$2004=J153)*(Detalle_Pagos!$J$5:$J$2004="No")),Detalle_Pagos!$B$5:$B$2004)))</f>
        <v/>
      </c>
      <c r="P153" s="43">
        <f>IF(J153="","",SUMIFS(Detalle_Pagos!$I$5:$I$2004,Detalle_Pagos!$E$5:$E$2004,J153,Detalle_Pagos!$J$5:$J$2004,"Si"))</f>
        <v/>
      </c>
      <c r="Q153">
        <f>IF(J153="","",COUNTIFS(Detalle_Pagos!$E$5:$E$2004,J153,Detalle_Pagos!$J$5:$J$2004,"Si"))</f>
        <v/>
      </c>
      <c r="R153">
        <f>IF(J153="","",N153+K153/100000+(100000-ROW())/1000000000)</f>
        <v/>
      </c>
    </row>
    <row r="154">
      <c r="A154" s="38">
        <f>IFERROR(INDEX($J$8:$J$207,MATCH(LARGE($R$8:$R$207,ROWS($A$8:A154)),$R$8:$R$207,0)),"")</f>
        <v/>
      </c>
      <c r="B154" s="38">
        <f>IFERROR(INDEX($K$8:$K$207,MATCH(LARGE($R$8:$R$207,ROWS($A$8:A154)),$R$8:$R$207,0)),"")</f>
        <v/>
      </c>
      <c r="C154" s="39">
        <f>IFERROR(INDEX($L$8:$L$207,MATCH(LARGE($R$8:$R$207,ROWS($A$8:A154)),$R$8:$R$207,0)),"")</f>
        <v/>
      </c>
      <c r="D154" s="39">
        <f>IFERROR(INDEX($M$8:$M$207,MATCH(LARGE($R$8:$R$207,ROWS($A$8:A154)),$R$8:$R$207,0)),"")</f>
        <v/>
      </c>
      <c r="E154" s="39">
        <f>IFERROR(INDEX($N$8:$N$207,MATCH(LARGE($R$8:$R$207,ROWS($A$8:A154)),$R$8:$R$207,0)),"")</f>
        <v/>
      </c>
      <c r="F154" s="41">
        <f>IFERROR(INDEX($O$8:$O$207,MATCH(LARGE($R$8:$R$207,ROWS($A$8:A154)),$R$8:$R$207,0)),"")</f>
        <v/>
      </c>
      <c r="G154" s="39">
        <f>IFERROR(INDEX($P$8:$P$207,MATCH(LARGE($R$8:$R$207,ROWS($A$8:A154)),$R$8:$R$207,0)),"")</f>
        <v/>
      </c>
      <c r="H154" s="38">
        <f>IFERROR(INDEX($Q$8:$Q$207,MATCH(LARGE($R$8:$R$207,ROWS($A$8:A154)),$R$8:$R$207,0)),"")</f>
        <v/>
      </c>
      <c r="J154">
        <f>IF(Trabajadores!B151="","",Trabajadores!B151)</f>
        <v/>
      </c>
      <c r="K154">
        <f>IF(J154="","",COUNTIFS(Detalle_Pagos!$E$5:$E$2004,J154,Detalle_Pagos!$J$5:$J$2004,"No"))</f>
        <v/>
      </c>
      <c r="L154" s="43">
        <f>IF(J154="","",SUMIFS(Detalle_Pagos!$I$5:$I$2004,Detalle_Pagos!$E$5:$E$2004,J154,Detalle_Pagos!$J$5:$J$2004,"No"))</f>
        <v/>
      </c>
      <c r="M154" s="43">
        <f>IF(J154="","",K154*IFERROR(INDEX(Trabajadores!$D$5:$D$204,MATCH(J154,Trabajadores!$B$5:$B$204,0)),0))</f>
        <v/>
      </c>
      <c r="N154" s="43">
        <f>IF(J154="","",L154+M154)</f>
        <v/>
      </c>
      <c r="O154" s="44">
        <f>IF(J154="","",IF(K154=0,"",LOOKUP(2,1/((Detalle_Pagos!$E$5:$E$2004=J154)*(Detalle_Pagos!$J$5:$J$2004="No")),Detalle_Pagos!$B$5:$B$2004)))</f>
        <v/>
      </c>
      <c r="P154" s="43">
        <f>IF(J154="","",SUMIFS(Detalle_Pagos!$I$5:$I$2004,Detalle_Pagos!$E$5:$E$2004,J154,Detalle_Pagos!$J$5:$J$2004,"Si"))</f>
        <v/>
      </c>
      <c r="Q154">
        <f>IF(J154="","",COUNTIFS(Detalle_Pagos!$E$5:$E$2004,J154,Detalle_Pagos!$J$5:$J$2004,"Si"))</f>
        <v/>
      </c>
      <c r="R154">
        <f>IF(J154="","",N154+K154/100000+(100000-ROW())/1000000000)</f>
        <v/>
      </c>
    </row>
    <row r="155">
      <c r="A155" s="36">
        <f>IFERROR(INDEX($J$8:$J$207,MATCH(LARGE($R$8:$R$207,ROWS($A$8:A155)),$R$8:$R$207,0)),"")</f>
        <v/>
      </c>
      <c r="B155" s="36">
        <f>IFERROR(INDEX($K$8:$K$207,MATCH(LARGE($R$8:$R$207,ROWS($A$8:A155)),$R$8:$R$207,0)),"")</f>
        <v/>
      </c>
      <c r="C155" s="37">
        <f>IFERROR(INDEX($L$8:$L$207,MATCH(LARGE($R$8:$R$207,ROWS($A$8:A155)),$R$8:$R$207,0)),"")</f>
        <v/>
      </c>
      <c r="D155" s="37">
        <f>IFERROR(INDEX($M$8:$M$207,MATCH(LARGE($R$8:$R$207,ROWS($A$8:A155)),$R$8:$R$207,0)),"")</f>
        <v/>
      </c>
      <c r="E155" s="37">
        <f>IFERROR(INDEX($N$8:$N$207,MATCH(LARGE($R$8:$R$207,ROWS($A$8:A155)),$R$8:$R$207,0)),"")</f>
        <v/>
      </c>
      <c r="F155" s="40">
        <f>IFERROR(INDEX($O$8:$O$207,MATCH(LARGE($R$8:$R$207,ROWS($A$8:A155)),$R$8:$R$207,0)),"")</f>
        <v/>
      </c>
      <c r="G155" s="37">
        <f>IFERROR(INDEX($P$8:$P$207,MATCH(LARGE($R$8:$R$207,ROWS($A$8:A155)),$R$8:$R$207,0)),"")</f>
        <v/>
      </c>
      <c r="H155" s="36">
        <f>IFERROR(INDEX($Q$8:$Q$207,MATCH(LARGE($R$8:$R$207,ROWS($A$8:A155)),$R$8:$R$207,0)),"")</f>
        <v/>
      </c>
      <c r="J155">
        <f>IF(Trabajadores!B152="","",Trabajadores!B152)</f>
        <v/>
      </c>
      <c r="K155">
        <f>IF(J155="","",COUNTIFS(Detalle_Pagos!$E$5:$E$2004,J155,Detalle_Pagos!$J$5:$J$2004,"No"))</f>
        <v/>
      </c>
      <c r="L155" s="43">
        <f>IF(J155="","",SUMIFS(Detalle_Pagos!$I$5:$I$2004,Detalle_Pagos!$E$5:$E$2004,J155,Detalle_Pagos!$J$5:$J$2004,"No"))</f>
        <v/>
      </c>
      <c r="M155" s="43">
        <f>IF(J155="","",K155*IFERROR(INDEX(Trabajadores!$D$5:$D$204,MATCH(J155,Trabajadores!$B$5:$B$204,0)),0))</f>
        <v/>
      </c>
      <c r="N155" s="43">
        <f>IF(J155="","",L155+M155)</f>
        <v/>
      </c>
      <c r="O155" s="44">
        <f>IF(J155="","",IF(K155=0,"",LOOKUP(2,1/((Detalle_Pagos!$E$5:$E$2004=J155)*(Detalle_Pagos!$J$5:$J$2004="No")),Detalle_Pagos!$B$5:$B$2004)))</f>
        <v/>
      </c>
      <c r="P155" s="43">
        <f>IF(J155="","",SUMIFS(Detalle_Pagos!$I$5:$I$2004,Detalle_Pagos!$E$5:$E$2004,J155,Detalle_Pagos!$J$5:$J$2004,"Si"))</f>
        <v/>
      </c>
      <c r="Q155">
        <f>IF(J155="","",COUNTIFS(Detalle_Pagos!$E$5:$E$2004,J155,Detalle_Pagos!$J$5:$J$2004,"Si"))</f>
        <v/>
      </c>
      <c r="R155">
        <f>IF(J155="","",N155+K155/100000+(100000-ROW())/1000000000)</f>
        <v/>
      </c>
    </row>
    <row r="156">
      <c r="A156" s="38">
        <f>IFERROR(INDEX($J$8:$J$207,MATCH(LARGE($R$8:$R$207,ROWS($A$8:A156)),$R$8:$R$207,0)),"")</f>
        <v/>
      </c>
      <c r="B156" s="38">
        <f>IFERROR(INDEX($K$8:$K$207,MATCH(LARGE($R$8:$R$207,ROWS($A$8:A156)),$R$8:$R$207,0)),"")</f>
        <v/>
      </c>
      <c r="C156" s="39">
        <f>IFERROR(INDEX($L$8:$L$207,MATCH(LARGE($R$8:$R$207,ROWS($A$8:A156)),$R$8:$R$207,0)),"")</f>
        <v/>
      </c>
      <c r="D156" s="39">
        <f>IFERROR(INDEX($M$8:$M$207,MATCH(LARGE($R$8:$R$207,ROWS($A$8:A156)),$R$8:$R$207,0)),"")</f>
        <v/>
      </c>
      <c r="E156" s="39">
        <f>IFERROR(INDEX($N$8:$N$207,MATCH(LARGE($R$8:$R$207,ROWS($A$8:A156)),$R$8:$R$207,0)),"")</f>
        <v/>
      </c>
      <c r="F156" s="41">
        <f>IFERROR(INDEX($O$8:$O$207,MATCH(LARGE($R$8:$R$207,ROWS($A$8:A156)),$R$8:$R$207,0)),"")</f>
        <v/>
      </c>
      <c r="G156" s="39">
        <f>IFERROR(INDEX($P$8:$P$207,MATCH(LARGE($R$8:$R$207,ROWS($A$8:A156)),$R$8:$R$207,0)),"")</f>
        <v/>
      </c>
      <c r="H156" s="38">
        <f>IFERROR(INDEX($Q$8:$Q$207,MATCH(LARGE($R$8:$R$207,ROWS($A$8:A156)),$R$8:$R$207,0)),"")</f>
        <v/>
      </c>
      <c r="J156">
        <f>IF(Trabajadores!B153="","",Trabajadores!B153)</f>
        <v/>
      </c>
      <c r="K156">
        <f>IF(J156="","",COUNTIFS(Detalle_Pagos!$E$5:$E$2004,J156,Detalle_Pagos!$J$5:$J$2004,"No"))</f>
        <v/>
      </c>
      <c r="L156" s="43">
        <f>IF(J156="","",SUMIFS(Detalle_Pagos!$I$5:$I$2004,Detalle_Pagos!$E$5:$E$2004,J156,Detalle_Pagos!$J$5:$J$2004,"No"))</f>
        <v/>
      </c>
      <c r="M156" s="43">
        <f>IF(J156="","",K156*IFERROR(INDEX(Trabajadores!$D$5:$D$204,MATCH(J156,Trabajadores!$B$5:$B$204,0)),0))</f>
        <v/>
      </c>
      <c r="N156" s="43">
        <f>IF(J156="","",L156+M156)</f>
        <v/>
      </c>
      <c r="O156" s="44">
        <f>IF(J156="","",IF(K156=0,"",LOOKUP(2,1/((Detalle_Pagos!$E$5:$E$2004=J156)*(Detalle_Pagos!$J$5:$J$2004="No")),Detalle_Pagos!$B$5:$B$2004)))</f>
        <v/>
      </c>
      <c r="P156" s="43">
        <f>IF(J156="","",SUMIFS(Detalle_Pagos!$I$5:$I$2004,Detalle_Pagos!$E$5:$E$2004,J156,Detalle_Pagos!$J$5:$J$2004,"Si"))</f>
        <v/>
      </c>
      <c r="Q156">
        <f>IF(J156="","",COUNTIFS(Detalle_Pagos!$E$5:$E$2004,J156,Detalle_Pagos!$J$5:$J$2004,"Si"))</f>
        <v/>
      </c>
      <c r="R156">
        <f>IF(J156="","",N156+K156/100000+(100000-ROW())/1000000000)</f>
        <v/>
      </c>
    </row>
    <row r="157">
      <c r="A157" s="36">
        <f>IFERROR(INDEX($J$8:$J$207,MATCH(LARGE($R$8:$R$207,ROWS($A$8:A157)),$R$8:$R$207,0)),"")</f>
        <v/>
      </c>
      <c r="B157" s="36">
        <f>IFERROR(INDEX($K$8:$K$207,MATCH(LARGE($R$8:$R$207,ROWS($A$8:A157)),$R$8:$R$207,0)),"")</f>
        <v/>
      </c>
      <c r="C157" s="37">
        <f>IFERROR(INDEX($L$8:$L$207,MATCH(LARGE($R$8:$R$207,ROWS($A$8:A157)),$R$8:$R$207,0)),"")</f>
        <v/>
      </c>
      <c r="D157" s="37">
        <f>IFERROR(INDEX($M$8:$M$207,MATCH(LARGE($R$8:$R$207,ROWS($A$8:A157)),$R$8:$R$207,0)),"")</f>
        <v/>
      </c>
      <c r="E157" s="37">
        <f>IFERROR(INDEX($N$8:$N$207,MATCH(LARGE($R$8:$R$207,ROWS($A$8:A157)),$R$8:$R$207,0)),"")</f>
        <v/>
      </c>
      <c r="F157" s="40">
        <f>IFERROR(INDEX($O$8:$O$207,MATCH(LARGE($R$8:$R$207,ROWS($A$8:A157)),$R$8:$R$207,0)),"")</f>
        <v/>
      </c>
      <c r="G157" s="37">
        <f>IFERROR(INDEX($P$8:$P$207,MATCH(LARGE($R$8:$R$207,ROWS($A$8:A157)),$R$8:$R$207,0)),"")</f>
        <v/>
      </c>
      <c r="H157" s="36">
        <f>IFERROR(INDEX($Q$8:$Q$207,MATCH(LARGE($R$8:$R$207,ROWS($A$8:A157)),$R$8:$R$207,0)),"")</f>
        <v/>
      </c>
      <c r="J157">
        <f>IF(Trabajadores!B154="","",Trabajadores!B154)</f>
        <v/>
      </c>
      <c r="K157">
        <f>IF(J157="","",COUNTIFS(Detalle_Pagos!$E$5:$E$2004,J157,Detalle_Pagos!$J$5:$J$2004,"No"))</f>
        <v/>
      </c>
      <c r="L157" s="43">
        <f>IF(J157="","",SUMIFS(Detalle_Pagos!$I$5:$I$2004,Detalle_Pagos!$E$5:$E$2004,J157,Detalle_Pagos!$J$5:$J$2004,"No"))</f>
        <v/>
      </c>
      <c r="M157" s="43">
        <f>IF(J157="","",K157*IFERROR(INDEX(Trabajadores!$D$5:$D$204,MATCH(J157,Trabajadores!$B$5:$B$204,0)),0))</f>
        <v/>
      </c>
      <c r="N157" s="43">
        <f>IF(J157="","",L157+M157)</f>
        <v/>
      </c>
      <c r="O157" s="44">
        <f>IF(J157="","",IF(K157=0,"",LOOKUP(2,1/((Detalle_Pagos!$E$5:$E$2004=J157)*(Detalle_Pagos!$J$5:$J$2004="No")),Detalle_Pagos!$B$5:$B$2004)))</f>
        <v/>
      </c>
      <c r="P157" s="43">
        <f>IF(J157="","",SUMIFS(Detalle_Pagos!$I$5:$I$2004,Detalle_Pagos!$E$5:$E$2004,J157,Detalle_Pagos!$J$5:$J$2004,"Si"))</f>
        <v/>
      </c>
      <c r="Q157">
        <f>IF(J157="","",COUNTIFS(Detalle_Pagos!$E$5:$E$2004,J157,Detalle_Pagos!$J$5:$J$2004,"Si"))</f>
        <v/>
      </c>
      <c r="R157">
        <f>IF(J157="","",N157+K157/100000+(100000-ROW())/1000000000)</f>
        <v/>
      </c>
    </row>
    <row r="158">
      <c r="A158" s="38">
        <f>IFERROR(INDEX($J$8:$J$207,MATCH(LARGE($R$8:$R$207,ROWS($A$8:A158)),$R$8:$R$207,0)),"")</f>
        <v/>
      </c>
      <c r="B158" s="38">
        <f>IFERROR(INDEX($K$8:$K$207,MATCH(LARGE($R$8:$R$207,ROWS($A$8:A158)),$R$8:$R$207,0)),"")</f>
        <v/>
      </c>
      <c r="C158" s="39">
        <f>IFERROR(INDEX($L$8:$L$207,MATCH(LARGE($R$8:$R$207,ROWS($A$8:A158)),$R$8:$R$207,0)),"")</f>
        <v/>
      </c>
      <c r="D158" s="39">
        <f>IFERROR(INDEX($M$8:$M$207,MATCH(LARGE($R$8:$R$207,ROWS($A$8:A158)),$R$8:$R$207,0)),"")</f>
        <v/>
      </c>
      <c r="E158" s="39">
        <f>IFERROR(INDEX($N$8:$N$207,MATCH(LARGE($R$8:$R$207,ROWS($A$8:A158)),$R$8:$R$207,0)),"")</f>
        <v/>
      </c>
      <c r="F158" s="41">
        <f>IFERROR(INDEX($O$8:$O$207,MATCH(LARGE($R$8:$R$207,ROWS($A$8:A158)),$R$8:$R$207,0)),"")</f>
        <v/>
      </c>
      <c r="G158" s="39">
        <f>IFERROR(INDEX($P$8:$P$207,MATCH(LARGE($R$8:$R$207,ROWS($A$8:A158)),$R$8:$R$207,0)),"")</f>
        <v/>
      </c>
      <c r="H158" s="38">
        <f>IFERROR(INDEX($Q$8:$Q$207,MATCH(LARGE($R$8:$R$207,ROWS($A$8:A158)),$R$8:$R$207,0)),"")</f>
        <v/>
      </c>
      <c r="J158">
        <f>IF(Trabajadores!B155="","",Trabajadores!B155)</f>
        <v/>
      </c>
      <c r="K158">
        <f>IF(J158="","",COUNTIFS(Detalle_Pagos!$E$5:$E$2004,J158,Detalle_Pagos!$J$5:$J$2004,"No"))</f>
        <v/>
      </c>
      <c r="L158" s="43">
        <f>IF(J158="","",SUMIFS(Detalle_Pagos!$I$5:$I$2004,Detalle_Pagos!$E$5:$E$2004,J158,Detalle_Pagos!$J$5:$J$2004,"No"))</f>
        <v/>
      </c>
      <c r="M158" s="43">
        <f>IF(J158="","",K158*IFERROR(INDEX(Trabajadores!$D$5:$D$204,MATCH(J158,Trabajadores!$B$5:$B$204,0)),0))</f>
        <v/>
      </c>
      <c r="N158" s="43">
        <f>IF(J158="","",L158+M158)</f>
        <v/>
      </c>
      <c r="O158" s="44">
        <f>IF(J158="","",IF(K158=0,"",LOOKUP(2,1/((Detalle_Pagos!$E$5:$E$2004=J158)*(Detalle_Pagos!$J$5:$J$2004="No")),Detalle_Pagos!$B$5:$B$2004)))</f>
        <v/>
      </c>
      <c r="P158" s="43">
        <f>IF(J158="","",SUMIFS(Detalle_Pagos!$I$5:$I$2004,Detalle_Pagos!$E$5:$E$2004,J158,Detalle_Pagos!$J$5:$J$2004,"Si"))</f>
        <v/>
      </c>
      <c r="Q158">
        <f>IF(J158="","",COUNTIFS(Detalle_Pagos!$E$5:$E$2004,J158,Detalle_Pagos!$J$5:$J$2004,"Si"))</f>
        <v/>
      </c>
      <c r="R158">
        <f>IF(J158="","",N158+K158/100000+(100000-ROW())/1000000000)</f>
        <v/>
      </c>
    </row>
    <row r="159">
      <c r="A159" s="36">
        <f>IFERROR(INDEX($J$8:$J$207,MATCH(LARGE($R$8:$R$207,ROWS($A$8:A159)),$R$8:$R$207,0)),"")</f>
        <v/>
      </c>
      <c r="B159" s="36">
        <f>IFERROR(INDEX($K$8:$K$207,MATCH(LARGE($R$8:$R$207,ROWS($A$8:A159)),$R$8:$R$207,0)),"")</f>
        <v/>
      </c>
      <c r="C159" s="37">
        <f>IFERROR(INDEX($L$8:$L$207,MATCH(LARGE($R$8:$R$207,ROWS($A$8:A159)),$R$8:$R$207,0)),"")</f>
        <v/>
      </c>
      <c r="D159" s="37">
        <f>IFERROR(INDEX($M$8:$M$207,MATCH(LARGE($R$8:$R$207,ROWS($A$8:A159)),$R$8:$R$207,0)),"")</f>
        <v/>
      </c>
      <c r="E159" s="37">
        <f>IFERROR(INDEX($N$8:$N$207,MATCH(LARGE($R$8:$R$207,ROWS($A$8:A159)),$R$8:$R$207,0)),"")</f>
        <v/>
      </c>
      <c r="F159" s="40">
        <f>IFERROR(INDEX($O$8:$O$207,MATCH(LARGE($R$8:$R$207,ROWS($A$8:A159)),$R$8:$R$207,0)),"")</f>
        <v/>
      </c>
      <c r="G159" s="37">
        <f>IFERROR(INDEX($P$8:$P$207,MATCH(LARGE($R$8:$R$207,ROWS($A$8:A159)),$R$8:$R$207,0)),"")</f>
        <v/>
      </c>
      <c r="H159" s="36">
        <f>IFERROR(INDEX($Q$8:$Q$207,MATCH(LARGE($R$8:$R$207,ROWS($A$8:A159)),$R$8:$R$207,0)),"")</f>
        <v/>
      </c>
      <c r="J159">
        <f>IF(Trabajadores!B156="","",Trabajadores!B156)</f>
        <v/>
      </c>
      <c r="K159">
        <f>IF(J159="","",COUNTIFS(Detalle_Pagos!$E$5:$E$2004,J159,Detalle_Pagos!$J$5:$J$2004,"No"))</f>
        <v/>
      </c>
      <c r="L159" s="43">
        <f>IF(J159="","",SUMIFS(Detalle_Pagos!$I$5:$I$2004,Detalle_Pagos!$E$5:$E$2004,J159,Detalle_Pagos!$J$5:$J$2004,"No"))</f>
        <v/>
      </c>
      <c r="M159" s="43">
        <f>IF(J159="","",K159*IFERROR(INDEX(Trabajadores!$D$5:$D$204,MATCH(J159,Trabajadores!$B$5:$B$204,0)),0))</f>
        <v/>
      </c>
      <c r="N159" s="43">
        <f>IF(J159="","",L159+M159)</f>
        <v/>
      </c>
      <c r="O159" s="44">
        <f>IF(J159="","",IF(K159=0,"",LOOKUP(2,1/((Detalle_Pagos!$E$5:$E$2004=J159)*(Detalle_Pagos!$J$5:$J$2004="No")),Detalle_Pagos!$B$5:$B$2004)))</f>
        <v/>
      </c>
      <c r="P159" s="43">
        <f>IF(J159="","",SUMIFS(Detalle_Pagos!$I$5:$I$2004,Detalle_Pagos!$E$5:$E$2004,J159,Detalle_Pagos!$J$5:$J$2004,"Si"))</f>
        <v/>
      </c>
      <c r="Q159">
        <f>IF(J159="","",COUNTIFS(Detalle_Pagos!$E$5:$E$2004,J159,Detalle_Pagos!$J$5:$J$2004,"Si"))</f>
        <v/>
      </c>
      <c r="R159">
        <f>IF(J159="","",N159+K159/100000+(100000-ROW())/1000000000)</f>
        <v/>
      </c>
    </row>
    <row r="160">
      <c r="A160" s="38">
        <f>IFERROR(INDEX($J$8:$J$207,MATCH(LARGE($R$8:$R$207,ROWS($A$8:A160)),$R$8:$R$207,0)),"")</f>
        <v/>
      </c>
      <c r="B160" s="38">
        <f>IFERROR(INDEX($K$8:$K$207,MATCH(LARGE($R$8:$R$207,ROWS($A$8:A160)),$R$8:$R$207,0)),"")</f>
        <v/>
      </c>
      <c r="C160" s="39">
        <f>IFERROR(INDEX($L$8:$L$207,MATCH(LARGE($R$8:$R$207,ROWS($A$8:A160)),$R$8:$R$207,0)),"")</f>
        <v/>
      </c>
      <c r="D160" s="39">
        <f>IFERROR(INDEX($M$8:$M$207,MATCH(LARGE($R$8:$R$207,ROWS($A$8:A160)),$R$8:$R$207,0)),"")</f>
        <v/>
      </c>
      <c r="E160" s="39">
        <f>IFERROR(INDEX($N$8:$N$207,MATCH(LARGE($R$8:$R$207,ROWS($A$8:A160)),$R$8:$R$207,0)),"")</f>
        <v/>
      </c>
      <c r="F160" s="41">
        <f>IFERROR(INDEX($O$8:$O$207,MATCH(LARGE($R$8:$R$207,ROWS($A$8:A160)),$R$8:$R$207,0)),"")</f>
        <v/>
      </c>
      <c r="G160" s="39">
        <f>IFERROR(INDEX($P$8:$P$207,MATCH(LARGE($R$8:$R$207,ROWS($A$8:A160)),$R$8:$R$207,0)),"")</f>
        <v/>
      </c>
      <c r="H160" s="38">
        <f>IFERROR(INDEX($Q$8:$Q$207,MATCH(LARGE($R$8:$R$207,ROWS($A$8:A160)),$R$8:$R$207,0)),"")</f>
        <v/>
      </c>
      <c r="J160">
        <f>IF(Trabajadores!B157="","",Trabajadores!B157)</f>
        <v/>
      </c>
      <c r="K160">
        <f>IF(J160="","",COUNTIFS(Detalle_Pagos!$E$5:$E$2004,J160,Detalle_Pagos!$J$5:$J$2004,"No"))</f>
        <v/>
      </c>
      <c r="L160" s="43">
        <f>IF(J160="","",SUMIFS(Detalle_Pagos!$I$5:$I$2004,Detalle_Pagos!$E$5:$E$2004,J160,Detalle_Pagos!$J$5:$J$2004,"No"))</f>
        <v/>
      </c>
      <c r="M160" s="43">
        <f>IF(J160="","",K160*IFERROR(INDEX(Trabajadores!$D$5:$D$204,MATCH(J160,Trabajadores!$B$5:$B$204,0)),0))</f>
        <v/>
      </c>
      <c r="N160" s="43">
        <f>IF(J160="","",L160+M160)</f>
        <v/>
      </c>
      <c r="O160" s="44">
        <f>IF(J160="","",IF(K160=0,"",LOOKUP(2,1/((Detalle_Pagos!$E$5:$E$2004=J160)*(Detalle_Pagos!$J$5:$J$2004="No")),Detalle_Pagos!$B$5:$B$2004)))</f>
        <v/>
      </c>
      <c r="P160" s="43">
        <f>IF(J160="","",SUMIFS(Detalle_Pagos!$I$5:$I$2004,Detalle_Pagos!$E$5:$E$2004,J160,Detalle_Pagos!$J$5:$J$2004,"Si"))</f>
        <v/>
      </c>
      <c r="Q160">
        <f>IF(J160="","",COUNTIFS(Detalle_Pagos!$E$5:$E$2004,J160,Detalle_Pagos!$J$5:$J$2004,"Si"))</f>
        <v/>
      </c>
      <c r="R160">
        <f>IF(J160="","",N160+K160/100000+(100000-ROW())/1000000000)</f>
        <v/>
      </c>
    </row>
    <row r="161">
      <c r="A161" s="36">
        <f>IFERROR(INDEX($J$8:$J$207,MATCH(LARGE($R$8:$R$207,ROWS($A$8:A161)),$R$8:$R$207,0)),"")</f>
        <v/>
      </c>
      <c r="B161" s="36">
        <f>IFERROR(INDEX($K$8:$K$207,MATCH(LARGE($R$8:$R$207,ROWS($A$8:A161)),$R$8:$R$207,0)),"")</f>
        <v/>
      </c>
      <c r="C161" s="37">
        <f>IFERROR(INDEX($L$8:$L$207,MATCH(LARGE($R$8:$R$207,ROWS($A$8:A161)),$R$8:$R$207,0)),"")</f>
        <v/>
      </c>
      <c r="D161" s="37">
        <f>IFERROR(INDEX($M$8:$M$207,MATCH(LARGE($R$8:$R$207,ROWS($A$8:A161)),$R$8:$R$207,0)),"")</f>
        <v/>
      </c>
      <c r="E161" s="37">
        <f>IFERROR(INDEX($N$8:$N$207,MATCH(LARGE($R$8:$R$207,ROWS($A$8:A161)),$R$8:$R$207,0)),"")</f>
        <v/>
      </c>
      <c r="F161" s="40">
        <f>IFERROR(INDEX($O$8:$O$207,MATCH(LARGE($R$8:$R$207,ROWS($A$8:A161)),$R$8:$R$207,0)),"")</f>
        <v/>
      </c>
      <c r="G161" s="37">
        <f>IFERROR(INDEX($P$8:$P$207,MATCH(LARGE($R$8:$R$207,ROWS($A$8:A161)),$R$8:$R$207,0)),"")</f>
        <v/>
      </c>
      <c r="H161" s="36">
        <f>IFERROR(INDEX($Q$8:$Q$207,MATCH(LARGE($R$8:$R$207,ROWS($A$8:A161)),$R$8:$R$207,0)),"")</f>
        <v/>
      </c>
      <c r="J161">
        <f>IF(Trabajadores!B158="","",Trabajadores!B158)</f>
        <v/>
      </c>
      <c r="K161">
        <f>IF(J161="","",COUNTIFS(Detalle_Pagos!$E$5:$E$2004,J161,Detalle_Pagos!$J$5:$J$2004,"No"))</f>
        <v/>
      </c>
      <c r="L161" s="43">
        <f>IF(J161="","",SUMIFS(Detalle_Pagos!$I$5:$I$2004,Detalle_Pagos!$E$5:$E$2004,J161,Detalle_Pagos!$J$5:$J$2004,"No"))</f>
        <v/>
      </c>
      <c r="M161" s="43">
        <f>IF(J161="","",K161*IFERROR(INDEX(Trabajadores!$D$5:$D$204,MATCH(J161,Trabajadores!$B$5:$B$204,0)),0))</f>
        <v/>
      </c>
      <c r="N161" s="43">
        <f>IF(J161="","",L161+M161)</f>
        <v/>
      </c>
      <c r="O161" s="44">
        <f>IF(J161="","",IF(K161=0,"",LOOKUP(2,1/((Detalle_Pagos!$E$5:$E$2004=J161)*(Detalle_Pagos!$J$5:$J$2004="No")),Detalle_Pagos!$B$5:$B$2004)))</f>
        <v/>
      </c>
      <c r="P161" s="43">
        <f>IF(J161="","",SUMIFS(Detalle_Pagos!$I$5:$I$2004,Detalle_Pagos!$E$5:$E$2004,J161,Detalle_Pagos!$J$5:$J$2004,"Si"))</f>
        <v/>
      </c>
      <c r="Q161">
        <f>IF(J161="","",COUNTIFS(Detalle_Pagos!$E$5:$E$2004,J161,Detalle_Pagos!$J$5:$J$2004,"Si"))</f>
        <v/>
      </c>
      <c r="R161">
        <f>IF(J161="","",N161+K161/100000+(100000-ROW())/1000000000)</f>
        <v/>
      </c>
    </row>
    <row r="162">
      <c r="A162" s="38">
        <f>IFERROR(INDEX($J$8:$J$207,MATCH(LARGE($R$8:$R$207,ROWS($A$8:A162)),$R$8:$R$207,0)),"")</f>
        <v/>
      </c>
      <c r="B162" s="38">
        <f>IFERROR(INDEX($K$8:$K$207,MATCH(LARGE($R$8:$R$207,ROWS($A$8:A162)),$R$8:$R$207,0)),"")</f>
        <v/>
      </c>
      <c r="C162" s="39">
        <f>IFERROR(INDEX($L$8:$L$207,MATCH(LARGE($R$8:$R$207,ROWS($A$8:A162)),$R$8:$R$207,0)),"")</f>
        <v/>
      </c>
      <c r="D162" s="39">
        <f>IFERROR(INDEX($M$8:$M$207,MATCH(LARGE($R$8:$R$207,ROWS($A$8:A162)),$R$8:$R$207,0)),"")</f>
        <v/>
      </c>
      <c r="E162" s="39">
        <f>IFERROR(INDEX($N$8:$N$207,MATCH(LARGE($R$8:$R$207,ROWS($A$8:A162)),$R$8:$R$207,0)),"")</f>
        <v/>
      </c>
      <c r="F162" s="41">
        <f>IFERROR(INDEX($O$8:$O$207,MATCH(LARGE($R$8:$R$207,ROWS($A$8:A162)),$R$8:$R$207,0)),"")</f>
        <v/>
      </c>
      <c r="G162" s="39">
        <f>IFERROR(INDEX($P$8:$P$207,MATCH(LARGE($R$8:$R$207,ROWS($A$8:A162)),$R$8:$R$207,0)),"")</f>
        <v/>
      </c>
      <c r="H162" s="38">
        <f>IFERROR(INDEX($Q$8:$Q$207,MATCH(LARGE($R$8:$R$207,ROWS($A$8:A162)),$R$8:$R$207,0)),"")</f>
        <v/>
      </c>
      <c r="J162">
        <f>IF(Trabajadores!B159="","",Trabajadores!B159)</f>
        <v/>
      </c>
      <c r="K162">
        <f>IF(J162="","",COUNTIFS(Detalle_Pagos!$E$5:$E$2004,J162,Detalle_Pagos!$J$5:$J$2004,"No"))</f>
        <v/>
      </c>
      <c r="L162" s="43">
        <f>IF(J162="","",SUMIFS(Detalle_Pagos!$I$5:$I$2004,Detalle_Pagos!$E$5:$E$2004,J162,Detalle_Pagos!$J$5:$J$2004,"No"))</f>
        <v/>
      </c>
      <c r="M162" s="43">
        <f>IF(J162="","",K162*IFERROR(INDEX(Trabajadores!$D$5:$D$204,MATCH(J162,Trabajadores!$B$5:$B$204,0)),0))</f>
        <v/>
      </c>
      <c r="N162" s="43">
        <f>IF(J162="","",L162+M162)</f>
        <v/>
      </c>
      <c r="O162" s="44">
        <f>IF(J162="","",IF(K162=0,"",LOOKUP(2,1/((Detalle_Pagos!$E$5:$E$2004=J162)*(Detalle_Pagos!$J$5:$J$2004="No")),Detalle_Pagos!$B$5:$B$2004)))</f>
        <v/>
      </c>
      <c r="P162" s="43">
        <f>IF(J162="","",SUMIFS(Detalle_Pagos!$I$5:$I$2004,Detalle_Pagos!$E$5:$E$2004,J162,Detalle_Pagos!$J$5:$J$2004,"Si"))</f>
        <v/>
      </c>
      <c r="Q162">
        <f>IF(J162="","",COUNTIFS(Detalle_Pagos!$E$5:$E$2004,J162,Detalle_Pagos!$J$5:$J$2004,"Si"))</f>
        <v/>
      </c>
      <c r="R162">
        <f>IF(J162="","",N162+K162/100000+(100000-ROW())/1000000000)</f>
        <v/>
      </c>
    </row>
    <row r="163">
      <c r="A163" s="36">
        <f>IFERROR(INDEX($J$8:$J$207,MATCH(LARGE($R$8:$R$207,ROWS($A$8:A163)),$R$8:$R$207,0)),"")</f>
        <v/>
      </c>
      <c r="B163" s="36">
        <f>IFERROR(INDEX($K$8:$K$207,MATCH(LARGE($R$8:$R$207,ROWS($A$8:A163)),$R$8:$R$207,0)),"")</f>
        <v/>
      </c>
      <c r="C163" s="37">
        <f>IFERROR(INDEX($L$8:$L$207,MATCH(LARGE($R$8:$R$207,ROWS($A$8:A163)),$R$8:$R$207,0)),"")</f>
        <v/>
      </c>
      <c r="D163" s="37">
        <f>IFERROR(INDEX($M$8:$M$207,MATCH(LARGE($R$8:$R$207,ROWS($A$8:A163)),$R$8:$R$207,0)),"")</f>
        <v/>
      </c>
      <c r="E163" s="37">
        <f>IFERROR(INDEX($N$8:$N$207,MATCH(LARGE($R$8:$R$207,ROWS($A$8:A163)),$R$8:$R$207,0)),"")</f>
        <v/>
      </c>
      <c r="F163" s="40">
        <f>IFERROR(INDEX($O$8:$O$207,MATCH(LARGE($R$8:$R$207,ROWS($A$8:A163)),$R$8:$R$207,0)),"")</f>
        <v/>
      </c>
      <c r="G163" s="37">
        <f>IFERROR(INDEX($P$8:$P$207,MATCH(LARGE($R$8:$R$207,ROWS($A$8:A163)),$R$8:$R$207,0)),"")</f>
        <v/>
      </c>
      <c r="H163" s="36">
        <f>IFERROR(INDEX($Q$8:$Q$207,MATCH(LARGE($R$8:$R$207,ROWS($A$8:A163)),$R$8:$R$207,0)),"")</f>
        <v/>
      </c>
      <c r="J163">
        <f>IF(Trabajadores!B160="","",Trabajadores!B160)</f>
        <v/>
      </c>
      <c r="K163">
        <f>IF(J163="","",COUNTIFS(Detalle_Pagos!$E$5:$E$2004,J163,Detalle_Pagos!$J$5:$J$2004,"No"))</f>
        <v/>
      </c>
      <c r="L163" s="43">
        <f>IF(J163="","",SUMIFS(Detalle_Pagos!$I$5:$I$2004,Detalle_Pagos!$E$5:$E$2004,J163,Detalle_Pagos!$J$5:$J$2004,"No"))</f>
        <v/>
      </c>
      <c r="M163" s="43">
        <f>IF(J163="","",K163*IFERROR(INDEX(Trabajadores!$D$5:$D$204,MATCH(J163,Trabajadores!$B$5:$B$204,0)),0))</f>
        <v/>
      </c>
      <c r="N163" s="43">
        <f>IF(J163="","",L163+M163)</f>
        <v/>
      </c>
      <c r="O163" s="44">
        <f>IF(J163="","",IF(K163=0,"",LOOKUP(2,1/((Detalle_Pagos!$E$5:$E$2004=J163)*(Detalle_Pagos!$J$5:$J$2004="No")),Detalle_Pagos!$B$5:$B$2004)))</f>
        <v/>
      </c>
      <c r="P163" s="43">
        <f>IF(J163="","",SUMIFS(Detalle_Pagos!$I$5:$I$2004,Detalle_Pagos!$E$5:$E$2004,J163,Detalle_Pagos!$J$5:$J$2004,"Si"))</f>
        <v/>
      </c>
      <c r="Q163">
        <f>IF(J163="","",COUNTIFS(Detalle_Pagos!$E$5:$E$2004,J163,Detalle_Pagos!$J$5:$J$2004,"Si"))</f>
        <v/>
      </c>
      <c r="R163">
        <f>IF(J163="","",N163+K163/100000+(100000-ROW())/1000000000)</f>
        <v/>
      </c>
    </row>
    <row r="164">
      <c r="A164" s="38">
        <f>IFERROR(INDEX($J$8:$J$207,MATCH(LARGE($R$8:$R$207,ROWS($A$8:A164)),$R$8:$R$207,0)),"")</f>
        <v/>
      </c>
      <c r="B164" s="38">
        <f>IFERROR(INDEX($K$8:$K$207,MATCH(LARGE($R$8:$R$207,ROWS($A$8:A164)),$R$8:$R$207,0)),"")</f>
        <v/>
      </c>
      <c r="C164" s="39">
        <f>IFERROR(INDEX($L$8:$L$207,MATCH(LARGE($R$8:$R$207,ROWS($A$8:A164)),$R$8:$R$207,0)),"")</f>
        <v/>
      </c>
      <c r="D164" s="39">
        <f>IFERROR(INDEX($M$8:$M$207,MATCH(LARGE($R$8:$R$207,ROWS($A$8:A164)),$R$8:$R$207,0)),"")</f>
        <v/>
      </c>
      <c r="E164" s="39">
        <f>IFERROR(INDEX($N$8:$N$207,MATCH(LARGE($R$8:$R$207,ROWS($A$8:A164)),$R$8:$R$207,0)),"")</f>
        <v/>
      </c>
      <c r="F164" s="41">
        <f>IFERROR(INDEX($O$8:$O$207,MATCH(LARGE($R$8:$R$207,ROWS($A$8:A164)),$R$8:$R$207,0)),"")</f>
        <v/>
      </c>
      <c r="G164" s="39">
        <f>IFERROR(INDEX($P$8:$P$207,MATCH(LARGE($R$8:$R$207,ROWS($A$8:A164)),$R$8:$R$207,0)),"")</f>
        <v/>
      </c>
      <c r="H164" s="38">
        <f>IFERROR(INDEX($Q$8:$Q$207,MATCH(LARGE($R$8:$R$207,ROWS($A$8:A164)),$R$8:$R$207,0)),"")</f>
        <v/>
      </c>
      <c r="J164">
        <f>IF(Trabajadores!B161="","",Trabajadores!B161)</f>
        <v/>
      </c>
      <c r="K164">
        <f>IF(J164="","",COUNTIFS(Detalle_Pagos!$E$5:$E$2004,J164,Detalle_Pagos!$J$5:$J$2004,"No"))</f>
        <v/>
      </c>
      <c r="L164" s="43">
        <f>IF(J164="","",SUMIFS(Detalle_Pagos!$I$5:$I$2004,Detalle_Pagos!$E$5:$E$2004,J164,Detalle_Pagos!$J$5:$J$2004,"No"))</f>
        <v/>
      </c>
      <c r="M164" s="43">
        <f>IF(J164="","",K164*IFERROR(INDEX(Trabajadores!$D$5:$D$204,MATCH(J164,Trabajadores!$B$5:$B$204,0)),0))</f>
        <v/>
      </c>
      <c r="N164" s="43">
        <f>IF(J164="","",L164+M164)</f>
        <v/>
      </c>
      <c r="O164" s="44">
        <f>IF(J164="","",IF(K164=0,"",LOOKUP(2,1/((Detalle_Pagos!$E$5:$E$2004=J164)*(Detalle_Pagos!$J$5:$J$2004="No")),Detalle_Pagos!$B$5:$B$2004)))</f>
        <v/>
      </c>
      <c r="P164" s="43">
        <f>IF(J164="","",SUMIFS(Detalle_Pagos!$I$5:$I$2004,Detalle_Pagos!$E$5:$E$2004,J164,Detalle_Pagos!$J$5:$J$2004,"Si"))</f>
        <v/>
      </c>
      <c r="Q164">
        <f>IF(J164="","",COUNTIFS(Detalle_Pagos!$E$5:$E$2004,J164,Detalle_Pagos!$J$5:$J$2004,"Si"))</f>
        <v/>
      </c>
      <c r="R164">
        <f>IF(J164="","",N164+K164/100000+(100000-ROW())/1000000000)</f>
        <v/>
      </c>
    </row>
    <row r="165">
      <c r="A165" s="36">
        <f>IFERROR(INDEX($J$8:$J$207,MATCH(LARGE($R$8:$R$207,ROWS($A$8:A165)),$R$8:$R$207,0)),"")</f>
        <v/>
      </c>
      <c r="B165" s="36">
        <f>IFERROR(INDEX($K$8:$K$207,MATCH(LARGE($R$8:$R$207,ROWS($A$8:A165)),$R$8:$R$207,0)),"")</f>
        <v/>
      </c>
      <c r="C165" s="37">
        <f>IFERROR(INDEX($L$8:$L$207,MATCH(LARGE($R$8:$R$207,ROWS($A$8:A165)),$R$8:$R$207,0)),"")</f>
        <v/>
      </c>
      <c r="D165" s="37">
        <f>IFERROR(INDEX($M$8:$M$207,MATCH(LARGE($R$8:$R$207,ROWS($A$8:A165)),$R$8:$R$207,0)),"")</f>
        <v/>
      </c>
      <c r="E165" s="37">
        <f>IFERROR(INDEX($N$8:$N$207,MATCH(LARGE($R$8:$R$207,ROWS($A$8:A165)),$R$8:$R$207,0)),"")</f>
        <v/>
      </c>
      <c r="F165" s="40">
        <f>IFERROR(INDEX($O$8:$O$207,MATCH(LARGE($R$8:$R$207,ROWS($A$8:A165)),$R$8:$R$207,0)),"")</f>
        <v/>
      </c>
      <c r="G165" s="37">
        <f>IFERROR(INDEX($P$8:$P$207,MATCH(LARGE($R$8:$R$207,ROWS($A$8:A165)),$R$8:$R$207,0)),"")</f>
        <v/>
      </c>
      <c r="H165" s="36">
        <f>IFERROR(INDEX($Q$8:$Q$207,MATCH(LARGE($R$8:$R$207,ROWS($A$8:A165)),$R$8:$R$207,0)),"")</f>
        <v/>
      </c>
      <c r="J165">
        <f>IF(Trabajadores!B162="","",Trabajadores!B162)</f>
        <v/>
      </c>
      <c r="K165">
        <f>IF(J165="","",COUNTIFS(Detalle_Pagos!$E$5:$E$2004,J165,Detalle_Pagos!$J$5:$J$2004,"No"))</f>
        <v/>
      </c>
      <c r="L165" s="43">
        <f>IF(J165="","",SUMIFS(Detalle_Pagos!$I$5:$I$2004,Detalle_Pagos!$E$5:$E$2004,J165,Detalle_Pagos!$J$5:$J$2004,"No"))</f>
        <v/>
      </c>
      <c r="M165" s="43">
        <f>IF(J165="","",K165*IFERROR(INDEX(Trabajadores!$D$5:$D$204,MATCH(J165,Trabajadores!$B$5:$B$204,0)),0))</f>
        <v/>
      </c>
      <c r="N165" s="43">
        <f>IF(J165="","",L165+M165)</f>
        <v/>
      </c>
      <c r="O165" s="44">
        <f>IF(J165="","",IF(K165=0,"",LOOKUP(2,1/((Detalle_Pagos!$E$5:$E$2004=J165)*(Detalle_Pagos!$J$5:$J$2004="No")),Detalle_Pagos!$B$5:$B$2004)))</f>
        <v/>
      </c>
      <c r="P165" s="43">
        <f>IF(J165="","",SUMIFS(Detalle_Pagos!$I$5:$I$2004,Detalle_Pagos!$E$5:$E$2004,J165,Detalle_Pagos!$J$5:$J$2004,"Si"))</f>
        <v/>
      </c>
      <c r="Q165">
        <f>IF(J165="","",COUNTIFS(Detalle_Pagos!$E$5:$E$2004,J165,Detalle_Pagos!$J$5:$J$2004,"Si"))</f>
        <v/>
      </c>
      <c r="R165">
        <f>IF(J165="","",N165+K165/100000+(100000-ROW())/1000000000)</f>
        <v/>
      </c>
    </row>
    <row r="166">
      <c r="A166" s="38">
        <f>IFERROR(INDEX($J$8:$J$207,MATCH(LARGE($R$8:$R$207,ROWS($A$8:A166)),$R$8:$R$207,0)),"")</f>
        <v/>
      </c>
      <c r="B166" s="38">
        <f>IFERROR(INDEX($K$8:$K$207,MATCH(LARGE($R$8:$R$207,ROWS($A$8:A166)),$R$8:$R$207,0)),"")</f>
        <v/>
      </c>
      <c r="C166" s="39">
        <f>IFERROR(INDEX($L$8:$L$207,MATCH(LARGE($R$8:$R$207,ROWS($A$8:A166)),$R$8:$R$207,0)),"")</f>
        <v/>
      </c>
      <c r="D166" s="39">
        <f>IFERROR(INDEX($M$8:$M$207,MATCH(LARGE($R$8:$R$207,ROWS($A$8:A166)),$R$8:$R$207,0)),"")</f>
        <v/>
      </c>
      <c r="E166" s="39">
        <f>IFERROR(INDEX($N$8:$N$207,MATCH(LARGE($R$8:$R$207,ROWS($A$8:A166)),$R$8:$R$207,0)),"")</f>
        <v/>
      </c>
      <c r="F166" s="41">
        <f>IFERROR(INDEX($O$8:$O$207,MATCH(LARGE($R$8:$R$207,ROWS($A$8:A166)),$R$8:$R$207,0)),"")</f>
        <v/>
      </c>
      <c r="G166" s="39">
        <f>IFERROR(INDEX($P$8:$P$207,MATCH(LARGE($R$8:$R$207,ROWS($A$8:A166)),$R$8:$R$207,0)),"")</f>
        <v/>
      </c>
      <c r="H166" s="38">
        <f>IFERROR(INDEX($Q$8:$Q$207,MATCH(LARGE($R$8:$R$207,ROWS($A$8:A166)),$R$8:$R$207,0)),"")</f>
        <v/>
      </c>
      <c r="J166">
        <f>IF(Trabajadores!B163="","",Trabajadores!B163)</f>
        <v/>
      </c>
      <c r="K166">
        <f>IF(J166="","",COUNTIFS(Detalle_Pagos!$E$5:$E$2004,J166,Detalle_Pagos!$J$5:$J$2004,"No"))</f>
        <v/>
      </c>
      <c r="L166" s="43">
        <f>IF(J166="","",SUMIFS(Detalle_Pagos!$I$5:$I$2004,Detalle_Pagos!$E$5:$E$2004,J166,Detalle_Pagos!$J$5:$J$2004,"No"))</f>
        <v/>
      </c>
      <c r="M166" s="43">
        <f>IF(J166="","",K166*IFERROR(INDEX(Trabajadores!$D$5:$D$204,MATCH(J166,Trabajadores!$B$5:$B$204,0)),0))</f>
        <v/>
      </c>
      <c r="N166" s="43">
        <f>IF(J166="","",L166+M166)</f>
        <v/>
      </c>
      <c r="O166" s="44">
        <f>IF(J166="","",IF(K166=0,"",LOOKUP(2,1/((Detalle_Pagos!$E$5:$E$2004=J166)*(Detalle_Pagos!$J$5:$J$2004="No")),Detalle_Pagos!$B$5:$B$2004)))</f>
        <v/>
      </c>
      <c r="P166" s="43">
        <f>IF(J166="","",SUMIFS(Detalle_Pagos!$I$5:$I$2004,Detalle_Pagos!$E$5:$E$2004,J166,Detalle_Pagos!$J$5:$J$2004,"Si"))</f>
        <v/>
      </c>
      <c r="Q166">
        <f>IF(J166="","",COUNTIFS(Detalle_Pagos!$E$5:$E$2004,J166,Detalle_Pagos!$J$5:$J$2004,"Si"))</f>
        <v/>
      </c>
      <c r="R166">
        <f>IF(J166="","",N166+K166/100000+(100000-ROW())/1000000000)</f>
        <v/>
      </c>
    </row>
    <row r="167">
      <c r="A167" s="36">
        <f>IFERROR(INDEX($J$8:$J$207,MATCH(LARGE($R$8:$R$207,ROWS($A$8:A167)),$R$8:$R$207,0)),"")</f>
        <v/>
      </c>
      <c r="B167" s="36">
        <f>IFERROR(INDEX($K$8:$K$207,MATCH(LARGE($R$8:$R$207,ROWS($A$8:A167)),$R$8:$R$207,0)),"")</f>
        <v/>
      </c>
      <c r="C167" s="37">
        <f>IFERROR(INDEX($L$8:$L$207,MATCH(LARGE($R$8:$R$207,ROWS($A$8:A167)),$R$8:$R$207,0)),"")</f>
        <v/>
      </c>
      <c r="D167" s="37">
        <f>IFERROR(INDEX($M$8:$M$207,MATCH(LARGE($R$8:$R$207,ROWS($A$8:A167)),$R$8:$R$207,0)),"")</f>
        <v/>
      </c>
      <c r="E167" s="37">
        <f>IFERROR(INDEX($N$8:$N$207,MATCH(LARGE($R$8:$R$207,ROWS($A$8:A167)),$R$8:$R$207,0)),"")</f>
        <v/>
      </c>
      <c r="F167" s="40">
        <f>IFERROR(INDEX($O$8:$O$207,MATCH(LARGE($R$8:$R$207,ROWS($A$8:A167)),$R$8:$R$207,0)),"")</f>
        <v/>
      </c>
      <c r="G167" s="37">
        <f>IFERROR(INDEX($P$8:$P$207,MATCH(LARGE($R$8:$R$207,ROWS($A$8:A167)),$R$8:$R$207,0)),"")</f>
        <v/>
      </c>
      <c r="H167" s="36">
        <f>IFERROR(INDEX($Q$8:$Q$207,MATCH(LARGE($R$8:$R$207,ROWS($A$8:A167)),$R$8:$R$207,0)),"")</f>
        <v/>
      </c>
      <c r="J167">
        <f>IF(Trabajadores!B164="","",Trabajadores!B164)</f>
        <v/>
      </c>
      <c r="K167">
        <f>IF(J167="","",COUNTIFS(Detalle_Pagos!$E$5:$E$2004,J167,Detalle_Pagos!$J$5:$J$2004,"No"))</f>
        <v/>
      </c>
      <c r="L167" s="43">
        <f>IF(J167="","",SUMIFS(Detalle_Pagos!$I$5:$I$2004,Detalle_Pagos!$E$5:$E$2004,J167,Detalle_Pagos!$J$5:$J$2004,"No"))</f>
        <v/>
      </c>
      <c r="M167" s="43">
        <f>IF(J167="","",K167*IFERROR(INDEX(Trabajadores!$D$5:$D$204,MATCH(J167,Trabajadores!$B$5:$B$204,0)),0))</f>
        <v/>
      </c>
      <c r="N167" s="43">
        <f>IF(J167="","",L167+M167)</f>
        <v/>
      </c>
      <c r="O167" s="44">
        <f>IF(J167="","",IF(K167=0,"",LOOKUP(2,1/((Detalle_Pagos!$E$5:$E$2004=J167)*(Detalle_Pagos!$J$5:$J$2004="No")),Detalle_Pagos!$B$5:$B$2004)))</f>
        <v/>
      </c>
      <c r="P167" s="43">
        <f>IF(J167="","",SUMIFS(Detalle_Pagos!$I$5:$I$2004,Detalle_Pagos!$E$5:$E$2004,J167,Detalle_Pagos!$J$5:$J$2004,"Si"))</f>
        <v/>
      </c>
      <c r="Q167">
        <f>IF(J167="","",COUNTIFS(Detalle_Pagos!$E$5:$E$2004,J167,Detalle_Pagos!$J$5:$J$2004,"Si"))</f>
        <v/>
      </c>
      <c r="R167">
        <f>IF(J167="","",N167+K167/100000+(100000-ROW())/1000000000)</f>
        <v/>
      </c>
    </row>
    <row r="168">
      <c r="A168" s="38">
        <f>IFERROR(INDEX($J$8:$J$207,MATCH(LARGE($R$8:$R$207,ROWS($A$8:A168)),$R$8:$R$207,0)),"")</f>
        <v/>
      </c>
      <c r="B168" s="38">
        <f>IFERROR(INDEX($K$8:$K$207,MATCH(LARGE($R$8:$R$207,ROWS($A$8:A168)),$R$8:$R$207,0)),"")</f>
        <v/>
      </c>
      <c r="C168" s="39">
        <f>IFERROR(INDEX($L$8:$L$207,MATCH(LARGE($R$8:$R$207,ROWS($A$8:A168)),$R$8:$R$207,0)),"")</f>
        <v/>
      </c>
      <c r="D168" s="39">
        <f>IFERROR(INDEX($M$8:$M$207,MATCH(LARGE($R$8:$R$207,ROWS($A$8:A168)),$R$8:$R$207,0)),"")</f>
        <v/>
      </c>
      <c r="E168" s="39">
        <f>IFERROR(INDEX($N$8:$N$207,MATCH(LARGE($R$8:$R$207,ROWS($A$8:A168)),$R$8:$R$207,0)),"")</f>
        <v/>
      </c>
      <c r="F168" s="41">
        <f>IFERROR(INDEX($O$8:$O$207,MATCH(LARGE($R$8:$R$207,ROWS($A$8:A168)),$R$8:$R$207,0)),"")</f>
        <v/>
      </c>
      <c r="G168" s="39">
        <f>IFERROR(INDEX($P$8:$P$207,MATCH(LARGE($R$8:$R$207,ROWS($A$8:A168)),$R$8:$R$207,0)),"")</f>
        <v/>
      </c>
      <c r="H168" s="38">
        <f>IFERROR(INDEX($Q$8:$Q$207,MATCH(LARGE($R$8:$R$207,ROWS($A$8:A168)),$R$8:$R$207,0)),"")</f>
        <v/>
      </c>
      <c r="J168">
        <f>IF(Trabajadores!B165="","",Trabajadores!B165)</f>
        <v/>
      </c>
      <c r="K168">
        <f>IF(J168="","",COUNTIFS(Detalle_Pagos!$E$5:$E$2004,J168,Detalle_Pagos!$J$5:$J$2004,"No"))</f>
        <v/>
      </c>
      <c r="L168" s="43">
        <f>IF(J168="","",SUMIFS(Detalle_Pagos!$I$5:$I$2004,Detalle_Pagos!$E$5:$E$2004,J168,Detalle_Pagos!$J$5:$J$2004,"No"))</f>
        <v/>
      </c>
      <c r="M168" s="43">
        <f>IF(J168="","",K168*IFERROR(INDEX(Trabajadores!$D$5:$D$204,MATCH(J168,Trabajadores!$B$5:$B$204,0)),0))</f>
        <v/>
      </c>
      <c r="N168" s="43">
        <f>IF(J168="","",L168+M168)</f>
        <v/>
      </c>
      <c r="O168" s="44">
        <f>IF(J168="","",IF(K168=0,"",LOOKUP(2,1/((Detalle_Pagos!$E$5:$E$2004=J168)*(Detalle_Pagos!$J$5:$J$2004="No")),Detalle_Pagos!$B$5:$B$2004)))</f>
        <v/>
      </c>
      <c r="P168" s="43">
        <f>IF(J168="","",SUMIFS(Detalle_Pagos!$I$5:$I$2004,Detalle_Pagos!$E$5:$E$2004,J168,Detalle_Pagos!$J$5:$J$2004,"Si"))</f>
        <v/>
      </c>
      <c r="Q168">
        <f>IF(J168="","",COUNTIFS(Detalle_Pagos!$E$5:$E$2004,J168,Detalle_Pagos!$J$5:$J$2004,"Si"))</f>
        <v/>
      </c>
      <c r="R168">
        <f>IF(J168="","",N168+K168/100000+(100000-ROW())/1000000000)</f>
        <v/>
      </c>
    </row>
    <row r="169">
      <c r="A169" s="36">
        <f>IFERROR(INDEX($J$8:$J$207,MATCH(LARGE($R$8:$R$207,ROWS($A$8:A169)),$R$8:$R$207,0)),"")</f>
        <v/>
      </c>
      <c r="B169" s="36">
        <f>IFERROR(INDEX($K$8:$K$207,MATCH(LARGE($R$8:$R$207,ROWS($A$8:A169)),$R$8:$R$207,0)),"")</f>
        <v/>
      </c>
      <c r="C169" s="37">
        <f>IFERROR(INDEX($L$8:$L$207,MATCH(LARGE($R$8:$R$207,ROWS($A$8:A169)),$R$8:$R$207,0)),"")</f>
        <v/>
      </c>
      <c r="D169" s="37">
        <f>IFERROR(INDEX($M$8:$M$207,MATCH(LARGE($R$8:$R$207,ROWS($A$8:A169)),$R$8:$R$207,0)),"")</f>
        <v/>
      </c>
      <c r="E169" s="37">
        <f>IFERROR(INDEX($N$8:$N$207,MATCH(LARGE($R$8:$R$207,ROWS($A$8:A169)),$R$8:$R$207,0)),"")</f>
        <v/>
      </c>
      <c r="F169" s="40">
        <f>IFERROR(INDEX($O$8:$O$207,MATCH(LARGE($R$8:$R$207,ROWS($A$8:A169)),$R$8:$R$207,0)),"")</f>
        <v/>
      </c>
      <c r="G169" s="37">
        <f>IFERROR(INDEX($P$8:$P$207,MATCH(LARGE($R$8:$R$207,ROWS($A$8:A169)),$R$8:$R$207,0)),"")</f>
        <v/>
      </c>
      <c r="H169" s="36">
        <f>IFERROR(INDEX($Q$8:$Q$207,MATCH(LARGE($R$8:$R$207,ROWS($A$8:A169)),$R$8:$R$207,0)),"")</f>
        <v/>
      </c>
      <c r="J169">
        <f>IF(Trabajadores!B166="","",Trabajadores!B166)</f>
        <v/>
      </c>
      <c r="K169">
        <f>IF(J169="","",COUNTIFS(Detalle_Pagos!$E$5:$E$2004,J169,Detalle_Pagos!$J$5:$J$2004,"No"))</f>
        <v/>
      </c>
      <c r="L169" s="43">
        <f>IF(J169="","",SUMIFS(Detalle_Pagos!$I$5:$I$2004,Detalle_Pagos!$E$5:$E$2004,J169,Detalle_Pagos!$J$5:$J$2004,"No"))</f>
        <v/>
      </c>
      <c r="M169" s="43">
        <f>IF(J169="","",K169*IFERROR(INDEX(Trabajadores!$D$5:$D$204,MATCH(J169,Trabajadores!$B$5:$B$204,0)),0))</f>
        <v/>
      </c>
      <c r="N169" s="43">
        <f>IF(J169="","",L169+M169)</f>
        <v/>
      </c>
      <c r="O169" s="44">
        <f>IF(J169="","",IF(K169=0,"",LOOKUP(2,1/((Detalle_Pagos!$E$5:$E$2004=J169)*(Detalle_Pagos!$J$5:$J$2004="No")),Detalle_Pagos!$B$5:$B$2004)))</f>
        <v/>
      </c>
      <c r="P169" s="43">
        <f>IF(J169="","",SUMIFS(Detalle_Pagos!$I$5:$I$2004,Detalle_Pagos!$E$5:$E$2004,J169,Detalle_Pagos!$J$5:$J$2004,"Si"))</f>
        <v/>
      </c>
      <c r="Q169">
        <f>IF(J169="","",COUNTIFS(Detalle_Pagos!$E$5:$E$2004,J169,Detalle_Pagos!$J$5:$J$2004,"Si"))</f>
        <v/>
      </c>
      <c r="R169">
        <f>IF(J169="","",N169+K169/100000+(100000-ROW())/1000000000)</f>
        <v/>
      </c>
    </row>
    <row r="170">
      <c r="A170" s="38">
        <f>IFERROR(INDEX($J$8:$J$207,MATCH(LARGE($R$8:$R$207,ROWS($A$8:A170)),$R$8:$R$207,0)),"")</f>
        <v/>
      </c>
      <c r="B170" s="38">
        <f>IFERROR(INDEX($K$8:$K$207,MATCH(LARGE($R$8:$R$207,ROWS($A$8:A170)),$R$8:$R$207,0)),"")</f>
        <v/>
      </c>
      <c r="C170" s="39">
        <f>IFERROR(INDEX($L$8:$L$207,MATCH(LARGE($R$8:$R$207,ROWS($A$8:A170)),$R$8:$R$207,0)),"")</f>
        <v/>
      </c>
      <c r="D170" s="39">
        <f>IFERROR(INDEX($M$8:$M$207,MATCH(LARGE($R$8:$R$207,ROWS($A$8:A170)),$R$8:$R$207,0)),"")</f>
        <v/>
      </c>
      <c r="E170" s="39">
        <f>IFERROR(INDEX($N$8:$N$207,MATCH(LARGE($R$8:$R$207,ROWS($A$8:A170)),$R$8:$R$207,0)),"")</f>
        <v/>
      </c>
      <c r="F170" s="41">
        <f>IFERROR(INDEX($O$8:$O$207,MATCH(LARGE($R$8:$R$207,ROWS($A$8:A170)),$R$8:$R$207,0)),"")</f>
        <v/>
      </c>
      <c r="G170" s="39">
        <f>IFERROR(INDEX($P$8:$P$207,MATCH(LARGE($R$8:$R$207,ROWS($A$8:A170)),$R$8:$R$207,0)),"")</f>
        <v/>
      </c>
      <c r="H170" s="38">
        <f>IFERROR(INDEX($Q$8:$Q$207,MATCH(LARGE($R$8:$R$207,ROWS($A$8:A170)),$R$8:$R$207,0)),"")</f>
        <v/>
      </c>
      <c r="J170">
        <f>IF(Trabajadores!B167="","",Trabajadores!B167)</f>
        <v/>
      </c>
      <c r="K170">
        <f>IF(J170="","",COUNTIFS(Detalle_Pagos!$E$5:$E$2004,J170,Detalle_Pagos!$J$5:$J$2004,"No"))</f>
        <v/>
      </c>
      <c r="L170" s="43">
        <f>IF(J170="","",SUMIFS(Detalle_Pagos!$I$5:$I$2004,Detalle_Pagos!$E$5:$E$2004,J170,Detalle_Pagos!$J$5:$J$2004,"No"))</f>
        <v/>
      </c>
      <c r="M170" s="43">
        <f>IF(J170="","",K170*IFERROR(INDEX(Trabajadores!$D$5:$D$204,MATCH(J170,Trabajadores!$B$5:$B$204,0)),0))</f>
        <v/>
      </c>
      <c r="N170" s="43">
        <f>IF(J170="","",L170+M170)</f>
        <v/>
      </c>
      <c r="O170" s="44">
        <f>IF(J170="","",IF(K170=0,"",LOOKUP(2,1/((Detalle_Pagos!$E$5:$E$2004=J170)*(Detalle_Pagos!$J$5:$J$2004="No")),Detalle_Pagos!$B$5:$B$2004)))</f>
        <v/>
      </c>
      <c r="P170" s="43">
        <f>IF(J170="","",SUMIFS(Detalle_Pagos!$I$5:$I$2004,Detalle_Pagos!$E$5:$E$2004,J170,Detalle_Pagos!$J$5:$J$2004,"Si"))</f>
        <v/>
      </c>
      <c r="Q170">
        <f>IF(J170="","",COUNTIFS(Detalle_Pagos!$E$5:$E$2004,J170,Detalle_Pagos!$J$5:$J$2004,"Si"))</f>
        <v/>
      </c>
      <c r="R170">
        <f>IF(J170="","",N170+K170/100000+(100000-ROW())/1000000000)</f>
        <v/>
      </c>
    </row>
    <row r="171">
      <c r="A171" s="36">
        <f>IFERROR(INDEX($J$8:$J$207,MATCH(LARGE($R$8:$R$207,ROWS($A$8:A171)),$R$8:$R$207,0)),"")</f>
        <v/>
      </c>
      <c r="B171" s="36">
        <f>IFERROR(INDEX($K$8:$K$207,MATCH(LARGE($R$8:$R$207,ROWS($A$8:A171)),$R$8:$R$207,0)),"")</f>
        <v/>
      </c>
      <c r="C171" s="37">
        <f>IFERROR(INDEX($L$8:$L$207,MATCH(LARGE($R$8:$R$207,ROWS($A$8:A171)),$R$8:$R$207,0)),"")</f>
        <v/>
      </c>
      <c r="D171" s="37">
        <f>IFERROR(INDEX($M$8:$M$207,MATCH(LARGE($R$8:$R$207,ROWS($A$8:A171)),$R$8:$R$207,0)),"")</f>
        <v/>
      </c>
      <c r="E171" s="37">
        <f>IFERROR(INDEX($N$8:$N$207,MATCH(LARGE($R$8:$R$207,ROWS($A$8:A171)),$R$8:$R$207,0)),"")</f>
        <v/>
      </c>
      <c r="F171" s="40">
        <f>IFERROR(INDEX($O$8:$O$207,MATCH(LARGE($R$8:$R$207,ROWS($A$8:A171)),$R$8:$R$207,0)),"")</f>
        <v/>
      </c>
      <c r="G171" s="37">
        <f>IFERROR(INDEX($P$8:$P$207,MATCH(LARGE($R$8:$R$207,ROWS($A$8:A171)),$R$8:$R$207,0)),"")</f>
        <v/>
      </c>
      <c r="H171" s="36">
        <f>IFERROR(INDEX($Q$8:$Q$207,MATCH(LARGE($R$8:$R$207,ROWS($A$8:A171)),$R$8:$R$207,0)),"")</f>
        <v/>
      </c>
      <c r="J171">
        <f>IF(Trabajadores!B168="","",Trabajadores!B168)</f>
        <v/>
      </c>
      <c r="K171">
        <f>IF(J171="","",COUNTIFS(Detalle_Pagos!$E$5:$E$2004,J171,Detalle_Pagos!$J$5:$J$2004,"No"))</f>
        <v/>
      </c>
      <c r="L171" s="43">
        <f>IF(J171="","",SUMIFS(Detalle_Pagos!$I$5:$I$2004,Detalle_Pagos!$E$5:$E$2004,J171,Detalle_Pagos!$J$5:$J$2004,"No"))</f>
        <v/>
      </c>
      <c r="M171" s="43">
        <f>IF(J171="","",K171*IFERROR(INDEX(Trabajadores!$D$5:$D$204,MATCH(J171,Trabajadores!$B$5:$B$204,0)),0))</f>
        <v/>
      </c>
      <c r="N171" s="43">
        <f>IF(J171="","",L171+M171)</f>
        <v/>
      </c>
      <c r="O171" s="44">
        <f>IF(J171="","",IF(K171=0,"",LOOKUP(2,1/((Detalle_Pagos!$E$5:$E$2004=J171)*(Detalle_Pagos!$J$5:$J$2004="No")),Detalle_Pagos!$B$5:$B$2004)))</f>
        <v/>
      </c>
      <c r="P171" s="43">
        <f>IF(J171="","",SUMIFS(Detalle_Pagos!$I$5:$I$2004,Detalle_Pagos!$E$5:$E$2004,J171,Detalle_Pagos!$J$5:$J$2004,"Si"))</f>
        <v/>
      </c>
      <c r="Q171">
        <f>IF(J171="","",COUNTIFS(Detalle_Pagos!$E$5:$E$2004,J171,Detalle_Pagos!$J$5:$J$2004,"Si"))</f>
        <v/>
      </c>
      <c r="R171">
        <f>IF(J171="","",N171+K171/100000+(100000-ROW())/1000000000)</f>
        <v/>
      </c>
    </row>
    <row r="172">
      <c r="A172" s="38">
        <f>IFERROR(INDEX($J$8:$J$207,MATCH(LARGE($R$8:$R$207,ROWS($A$8:A172)),$R$8:$R$207,0)),"")</f>
        <v/>
      </c>
      <c r="B172" s="38">
        <f>IFERROR(INDEX($K$8:$K$207,MATCH(LARGE($R$8:$R$207,ROWS($A$8:A172)),$R$8:$R$207,0)),"")</f>
        <v/>
      </c>
      <c r="C172" s="39">
        <f>IFERROR(INDEX($L$8:$L$207,MATCH(LARGE($R$8:$R$207,ROWS($A$8:A172)),$R$8:$R$207,0)),"")</f>
        <v/>
      </c>
      <c r="D172" s="39">
        <f>IFERROR(INDEX($M$8:$M$207,MATCH(LARGE($R$8:$R$207,ROWS($A$8:A172)),$R$8:$R$207,0)),"")</f>
        <v/>
      </c>
      <c r="E172" s="39">
        <f>IFERROR(INDEX($N$8:$N$207,MATCH(LARGE($R$8:$R$207,ROWS($A$8:A172)),$R$8:$R$207,0)),"")</f>
        <v/>
      </c>
      <c r="F172" s="41">
        <f>IFERROR(INDEX($O$8:$O$207,MATCH(LARGE($R$8:$R$207,ROWS($A$8:A172)),$R$8:$R$207,0)),"")</f>
        <v/>
      </c>
      <c r="G172" s="39">
        <f>IFERROR(INDEX($P$8:$P$207,MATCH(LARGE($R$8:$R$207,ROWS($A$8:A172)),$R$8:$R$207,0)),"")</f>
        <v/>
      </c>
      <c r="H172" s="38">
        <f>IFERROR(INDEX($Q$8:$Q$207,MATCH(LARGE($R$8:$R$207,ROWS($A$8:A172)),$R$8:$R$207,0)),"")</f>
        <v/>
      </c>
      <c r="J172">
        <f>IF(Trabajadores!B169="","",Trabajadores!B169)</f>
        <v/>
      </c>
      <c r="K172">
        <f>IF(J172="","",COUNTIFS(Detalle_Pagos!$E$5:$E$2004,J172,Detalle_Pagos!$J$5:$J$2004,"No"))</f>
        <v/>
      </c>
      <c r="L172" s="43">
        <f>IF(J172="","",SUMIFS(Detalle_Pagos!$I$5:$I$2004,Detalle_Pagos!$E$5:$E$2004,J172,Detalle_Pagos!$J$5:$J$2004,"No"))</f>
        <v/>
      </c>
      <c r="M172" s="43">
        <f>IF(J172="","",K172*IFERROR(INDEX(Trabajadores!$D$5:$D$204,MATCH(J172,Trabajadores!$B$5:$B$204,0)),0))</f>
        <v/>
      </c>
      <c r="N172" s="43">
        <f>IF(J172="","",L172+M172)</f>
        <v/>
      </c>
      <c r="O172" s="44">
        <f>IF(J172="","",IF(K172=0,"",LOOKUP(2,1/((Detalle_Pagos!$E$5:$E$2004=J172)*(Detalle_Pagos!$J$5:$J$2004="No")),Detalle_Pagos!$B$5:$B$2004)))</f>
        <v/>
      </c>
      <c r="P172" s="43">
        <f>IF(J172="","",SUMIFS(Detalle_Pagos!$I$5:$I$2004,Detalle_Pagos!$E$5:$E$2004,J172,Detalle_Pagos!$J$5:$J$2004,"Si"))</f>
        <v/>
      </c>
      <c r="Q172">
        <f>IF(J172="","",COUNTIFS(Detalle_Pagos!$E$5:$E$2004,J172,Detalle_Pagos!$J$5:$J$2004,"Si"))</f>
        <v/>
      </c>
      <c r="R172">
        <f>IF(J172="","",N172+K172/100000+(100000-ROW())/1000000000)</f>
        <v/>
      </c>
    </row>
    <row r="173">
      <c r="A173" s="36">
        <f>IFERROR(INDEX($J$8:$J$207,MATCH(LARGE($R$8:$R$207,ROWS($A$8:A173)),$R$8:$R$207,0)),"")</f>
        <v/>
      </c>
      <c r="B173" s="36">
        <f>IFERROR(INDEX($K$8:$K$207,MATCH(LARGE($R$8:$R$207,ROWS($A$8:A173)),$R$8:$R$207,0)),"")</f>
        <v/>
      </c>
      <c r="C173" s="37">
        <f>IFERROR(INDEX($L$8:$L$207,MATCH(LARGE($R$8:$R$207,ROWS($A$8:A173)),$R$8:$R$207,0)),"")</f>
        <v/>
      </c>
      <c r="D173" s="37">
        <f>IFERROR(INDEX($M$8:$M$207,MATCH(LARGE($R$8:$R$207,ROWS($A$8:A173)),$R$8:$R$207,0)),"")</f>
        <v/>
      </c>
      <c r="E173" s="37">
        <f>IFERROR(INDEX($N$8:$N$207,MATCH(LARGE($R$8:$R$207,ROWS($A$8:A173)),$R$8:$R$207,0)),"")</f>
        <v/>
      </c>
      <c r="F173" s="40">
        <f>IFERROR(INDEX($O$8:$O$207,MATCH(LARGE($R$8:$R$207,ROWS($A$8:A173)),$R$8:$R$207,0)),"")</f>
        <v/>
      </c>
      <c r="G173" s="37">
        <f>IFERROR(INDEX($P$8:$P$207,MATCH(LARGE($R$8:$R$207,ROWS($A$8:A173)),$R$8:$R$207,0)),"")</f>
        <v/>
      </c>
      <c r="H173" s="36">
        <f>IFERROR(INDEX($Q$8:$Q$207,MATCH(LARGE($R$8:$R$207,ROWS($A$8:A173)),$R$8:$R$207,0)),"")</f>
        <v/>
      </c>
      <c r="J173">
        <f>IF(Trabajadores!B170="","",Trabajadores!B170)</f>
        <v/>
      </c>
      <c r="K173">
        <f>IF(J173="","",COUNTIFS(Detalle_Pagos!$E$5:$E$2004,J173,Detalle_Pagos!$J$5:$J$2004,"No"))</f>
        <v/>
      </c>
      <c r="L173" s="43">
        <f>IF(J173="","",SUMIFS(Detalle_Pagos!$I$5:$I$2004,Detalle_Pagos!$E$5:$E$2004,J173,Detalle_Pagos!$J$5:$J$2004,"No"))</f>
        <v/>
      </c>
      <c r="M173" s="43">
        <f>IF(J173="","",K173*IFERROR(INDEX(Trabajadores!$D$5:$D$204,MATCH(J173,Trabajadores!$B$5:$B$204,0)),0))</f>
        <v/>
      </c>
      <c r="N173" s="43">
        <f>IF(J173="","",L173+M173)</f>
        <v/>
      </c>
      <c r="O173" s="44">
        <f>IF(J173="","",IF(K173=0,"",LOOKUP(2,1/((Detalle_Pagos!$E$5:$E$2004=J173)*(Detalle_Pagos!$J$5:$J$2004="No")),Detalle_Pagos!$B$5:$B$2004)))</f>
        <v/>
      </c>
      <c r="P173" s="43">
        <f>IF(J173="","",SUMIFS(Detalle_Pagos!$I$5:$I$2004,Detalle_Pagos!$E$5:$E$2004,J173,Detalle_Pagos!$J$5:$J$2004,"Si"))</f>
        <v/>
      </c>
      <c r="Q173">
        <f>IF(J173="","",COUNTIFS(Detalle_Pagos!$E$5:$E$2004,J173,Detalle_Pagos!$J$5:$J$2004,"Si"))</f>
        <v/>
      </c>
      <c r="R173">
        <f>IF(J173="","",N173+K173/100000+(100000-ROW())/1000000000)</f>
        <v/>
      </c>
    </row>
    <row r="174">
      <c r="A174" s="38">
        <f>IFERROR(INDEX($J$8:$J$207,MATCH(LARGE($R$8:$R$207,ROWS($A$8:A174)),$R$8:$R$207,0)),"")</f>
        <v/>
      </c>
      <c r="B174" s="38">
        <f>IFERROR(INDEX($K$8:$K$207,MATCH(LARGE($R$8:$R$207,ROWS($A$8:A174)),$R$8:$R$207,0)),"")</f>
        <v/>
      </c>
      <c r="C174" s="39">
        <f>IFERROR(INDEX($L$8:$L$207,MATCH(LARGE($R$8:$R$207,ROWS($A$8:A174)),$R$8:$R$207,0)),"")</f>
        <v/>
      </c>
      <c r="D174" s="39">
        <f>IFERROR(INDEX($M$8:$M$207,MATCH(LARGE($R$8:$R$207,ROWS($A$8:A174)),$R$8:$R$207,0)),"")</f>
        <v/>
      </c>
      <c r="E174" s="39">
        <f>IFERROR(INDEX($N$8:$N$207,MATCH(LARGE($R$8:$R$207,ROWS($A$8:A174)),$R$8:$R$207,0)),"")</f>
        <v/>
      </c>
      <c r="F174" s="41">
        <f>IFERROR(INDEX($O$8:$O$207,MATCH(LARGE($R$8:$R$207,ROWS($A$8:A174)),$R$8:$R$207,0)),"")</f>
        <v/>
      </c>
      <c r="G174" s="39">
        <f>IFERROR(INDEX($P$8:$P$207,MATCH(LARGE($R$8:$R$207,ROWS($A$8:A174)),$R$8:$R$207,0)),"")</f>
        <v/>
      </c>
      <c r="H174" s="38">
        <f>IFERROR(INDEX($Q$8:$Q$207,MATCH(LARGE($R$8:$R$207,ROWS($A$8:A174)),$R$8:$R$207,0)),"")</f>
        <v/>
      </c>
      <c r="J174">
        <f>IF(Trabajadores!B171="","",Trabajadores!B171)</f>
        <v/>
      </c>
      <c r="K174">
        <f>IF(J174="","",COUNTIFS(Detalle_Pagos!$E$5:$E$2004,J174,Detalle_Pagos!$J$5:$J$2004,"No"))</f>
        <v/>
      </c>
      <c r="L174" s="43">
        <f>IF(J174="","",SUMIFS(Detalle_Pagos!$I$5:$I$2004,Detalle_Pagos!$E$5:$E$2004,J174,Detalle_Pagos!$J$5:$J$2004,"No"))</f>
        <v/>
      </c>
      <c r="M174" s="43">
        <f>IF(J174="","",K174*IFERROR(INDEX(Trabajadores!$D$5:$D$204,MATCH(J174,Trabajadores!$B$5:$B$204,0)),0))</f>
        <v/>
      </c>
      <c r="N174" s="43">
        <f>IF(J174="","",L174+M174)</f>
        <v/>
      </c>
      <c r="O174" s="44">
        <f>IF(J174="","",IF(K174=0,"",LOOKUP(2,1/((Detalle_Pagos!$E$5:$E$2004=J174)*(Detalle_Pagos!$J$5:$J$2004="No")),Detalle_Pagos!$B$5:$B$2004)))</f>
        <v/>
      </c>
      <c r="P174" s="43">
        <f>IF(J174="","",SUMIFS(Detalle_Pagos!$I$5:$I$2004,Detalle_Pagos!$E$5:$E$2004,J174,Detalle_Pagos!$J$5:$J$2004,"Si"))</f>
        <v/>
      </c>
      <c r="Q174">
        <f>IF(J174="","",COUNTIFS(Detalle_Pagos!$E$5:$E$2004,J174,Detalle_Pagos!$J$5:$J$2004,"Si"))</f>
        <v/>
      </c>
      <c r="R174">
        <f>IF(J174="","",N174+K174/100000+(100000-ROW())/1000000000)</f>
        <v/>
      </c>
    </row>
    <row r="175">
      <c r="A175" s="36">
        <f>IFERROR(INDEX($J$8:$J$207,MATCH(LARGE($R$8:$R$207,ROWS($A$8:A175)),$R$8:$R$207,0)),"")</f>
        <v/>
      </c>
      <c r="B175" s="36">
        <f>IFERROR(INDEX($K$8:$K$207,MATCH(LARGE($R$8:$R$207,ROWS($A$8:A175)),$R$8:$R$207,0)),"")</f>
        <v/>
      </c>
      <c r="C175" s="37">
        <f>IFERROR(INDEX($L$8:$L$207,MATCH(LARGE($R$8:$R$207,ROWS($A$8:A175)),$R$8:$R$207,0)),"")</f>
        <v/>
      </c>
      <c r="D175" s="37">
        <f>IFERROR(INDEX($M$8:$M$207,MATCH(LARGE($R$8:$R$207,ROWS($A$8:A175)),$R$8:$R$207,0)),"")</f>
        <v/>
      </c>
      <c r="E175" s="37">
        <f>IFERROR(INDEX($N$8:$N$207,MATCH(LARGE($R$8:$R$207,ROWS($A$8:A175)),$R$8:$R$207,0)),"")</f>
        <v/>
      </c>
      <c r="F175" s="40">
        <f>IFERROR(INDEX($O$8:$O$207,MATCH(LARGE($R$8:$R$207,ROWS($A$8:A175)),$R$8:$R$207,0)),"")</f>
        <v/>
      </c>
      <c r="G175" s="37">
        <f>IFERROR(INDEX($P$8:$P$207,MATCH(LARGE($R$8:$R$207,ROWS($A$8:A175)),$R$8:$R$207,0)),"")</f>
        <v/>
      </c>
      <c r="H175" s="36">
        <f>IFERROR(INDEX($Q$8:$Q$207,MATCH(LARGE($R$8:$R$207,ROWS($A$8:A175)),$R$8:$R$207,0)),"")</f>
        <v/>
      </c>
      <c r="J175">
        <f>IF(Trabajadores!B172="","",Trabajadores!B172)</f>
        <v/>
      </c>
      <c r="K175">
        <f>IF(J175="","",COUNTIFS(Detalle_Pagos!$E$5:$E$2004,J175,Detalle_Pagos!$J$5:$J$2004,"No"))</f>
        <v/>
      </c>
      <c r="L175" s="43">
        <f>IF(J175="","",SUMIFS(Detalle_Pagos!$I$5:$I$2004,Detalle_Pagos!$E$5:$E$2004,J175,Detalle_Pagos!$J$5:$J$2004,"No"))</f>
        <v/>
      </c>
      <c r="M175" s="43">
        <f>IF(J175="","",K175*IFERROR(INDEX(Trabajadores!$D$5:$D$204,MATCH(J175,Trabajadores!$B$5:$B$204,0)),0))</f>
        <v/>
      </c>
      <c r="N175" s="43">
        <f>IF(J175="","",L175+M175)</f>
        <v/>
      </c>
      <c r="O175" s="44">
        <f>IF(J175="","",IF(K175=0,"",LOOKUP(2,1/((Detalle_Pagos!$E$5:$E$2004=J175)*(Detalle_Pagos!$J$5:$J$2004="No")),Detalle_Pagos!$B$5:$B$2004)))</f>
        <v/>
      </c>
      <c r="P175" s="43">
        <f>IF(J175="","",SUMIFS(Detalle_Pagos!$I$5:$I$2004,Detalle_Pagos!$E$5:$E$2004,J175,Detalle_Pagos!$J$5:$J$2004,"Si"))</f>
        <v/>
      </c>
      <c r="Q175">
        <f>IF(J175="","",COUNTIFS(Detalle_Pagos!$E$5:$E$2004,J175,Detalle_Pagos!$J$5:$J$2004,"Si"))</f>
        <v/>
      </c>
      <c r="R175">
        <f>IF(J175="","",N175+K175/100000+(100000-ROW())/1000000000)</f>
        <v/>
      </c>
    </row>
    <row r="176">
      <c r="A176" s="38">
        <f>IFERROR(INDEX($J$8:$J$207,MATCH(LARGE($R$8:$R$207,ROWS($A$8:A176)),$R$8:$R$207,0)),"")</f>
        <v/>
      </c>
      <c r="B176" s="38">
        <f>IFERROR(INDEX($K$8:$K$207,MATCH(LARGE($R$8:$R$207,ROWS($A$8:A176)),$R$8:$R$207,0)),"")</f>
        <v/>
      </c>
      <c r="C176" s="39">
        <f>IFERROR(INDEX($L$8:$L$207,MATCH(LARGE($R$8:$R$207,ROWS($A$8:A176)),$R$8:$R$207,0)),"")</f>
        <v/>
      </c>
      <c r="D176" s="39">
        <f>IFERROR(INDEX($M$8:$M$207,MATCH(LARGE($R$8:$R$207,ROWS($A$8:A176)),$R$8:$R$207,0)),"")</f>
        <v/>
      </c>
      <c r="E176" s="39">
        <f>IFERROR(INDEX($N$8:$N$207,MATCH(LARGE($R$8:$R$207,ROWS($A$8:A176)),$R$8:$R$207,0)),"")</f>
        <v/>
      </c>
      <c r="F176" s="41">
        <f>IFERROR(INDEX($O$8:$O$207,MATCH(LARGE($R$8:$R$207,ROWS($A$8:A176)),$R$8:$R$207,0)),"")</f>
        <v/>
      </c>
      <c r="G176" s="39">
        <f>IFERROR(INDEX($P$8:$P$207,MATCH(LARGE($R$8:$R$207,ROWS($A$8:A176)),$R$8:$R$207,0)),"")</f>
        <v/>
      </c>
      <c r="H176" s="38">
        <f>IFERROR(INDEX($Q$8:$Q$207,MATCH(LARGE($R$8:$R$207,ROWS($A$8:A176)),$R$8:$R$207,0)),"")</f>
        <v/>
      </c>
      <c r="J176">
        <f>IF(Trabajadores!B173="","",Trabajadores!B173)</f>
        <v/>
      </c>
      <c r="K176">
        <f>IF(J176="","",COUNTIFS(Detalle_Pagos!$E$5:$E$2004,J176,Detalle_Pagos!$J$5:$J$2004,"No"))</f>
        <v/>
      </c>
      <c r="L176" s="43">
        <f>IF(J176="","",SUMIFS(Detalle_Pagos!$I$5:$I$2004,Detalle_Pagos!$E$5:$E$2004,J176,Detalle_Pagos!$J$5:$J$2004,"No"))</f>
        <v/>
      </c>
      <c r="M176" s="43">
        <f>IF(J176="","",K176*IFERROR(INDEX(Trabajadores!$D$5:$D$204,MATCH(J176,Trabajadores!$B$5:$B$204,0)),0))</f>
        <v/>
      </c>
      <c r="N176" s="43">
        <f>IF(J176="","",L176+M176)</f>
        <v/>
      </c>
      <c r="O176" s="44">
        <f>IF(J176="","",IF(K176=0,"",LOOKUP(2,1/((Detalle_Pagos!$E$5:$E$2004=J176)*(Detalle_Pagos!$J$5:$J$2004="No")),Detalle_Pagos!$B$5:$B$2004)))</f>
        <v/>
      </c>
      <c r="P176" s="43">
        <f>IF(J176="","",SUMIFS(Detalle_Pagos!$I$5:$I$2004,Detalle_Pagos!$E$5:$E$2004,J176,Detalle_Pagos!$J$5:$J$2004,"Si"))</f>
        <v/>
      </c>
      <c r="Q176">
        <f>IF(J176="","",COUNTIFS(Detalle_Pagos!$E$5:$E$2004,J176,Detalle_Pagos!$J$5:$J$2004,"Si"))</f>
        <v/>
      </c>
      <c r="R176">
        <f>IF(J176="","",N176+K176/100000+(100000-ROW())/1000000000)</f>
        <v/>
      </c>
    </row>
    <row r="177">
      <c r="A177" s="36">
        <f>IFERROR(INDEX($J$8:$J$207,MATCH(LARGE($R$8:$R$207,ROWS($A$8:A177)),$R$8:$R$207,0)),"")</f>
        <v/>
      </c>
      <c r="B177" s="36">
        <f>IFERROR(INDEX($K$8:$K$207,MATCH(LARGE($R$8:$R$207,ROWS($A$8:A177)),$R$8:$R$207,0)),"")</f>
        <v/>
      </c>
      <c r="C177" s="37">
        <f>IFERROR(INDEX($L$8:$L$207,MATCH(LARGE($R$8:$R$207,ROWS($A$8:A177)),$R$8:$R$207,0)),"")</f>
        <v/>
      </c>
      <c r="D177" s="37">
        <f>IFERROR(INDEX($M$8:$M$207,MATCH(LARGE($R$8:$R$207,ROWS($A$8:A177)),$R$8:$R$207,0)),"")</f>
        <v/>
      </c>
      <c r="E177" s="37">
        <f>IFERROR(INDEX($N$8:$N$207,MATCH(LARGE($R$8:$R$207,ROWS($A$8:A177)),$R$8:$R$207,0)),"")</f>
        <v/>
      </c>
      <c r="F177" s="40">
        <f>IFERROR(INDEX($O$8:$O$207,MATCH(LARGE($R$8:$R$207,ROWS($A$8:A177)),$R$8:$R$207,0)),"")</f>
        <v/>
      </c>
      <c r="G177" s="37">
        <f>IFERROR(INDEX($P$8:$P$207,MATCH(LARGE($R$8:$R$207,ROWS($A$8:A177)),$R$8:$R$207,0)),"")</f>
        <v/>
      </c>
      <c r="H177" s="36">
        <f>IFERROR(INDEX($Q$8:$Q$207,MATCH(LARGE($R$8:$R$207,ROWS($A$8:A177)),$R$8:$R$207,0)),"")</f>
        <v/>
      </c>
      <c r="J177">
        <f>IF(Trabajadores!B174="","",Trabajadores!B174)</f>
        <v/>
      </c>
      <c r="K177">
        <f>IF(J177="","",COUNTIFS(Detalle_Pagos!$E$5:$E$2004,J177,Detalle_Pagos!$J$5:$J$2004,"No"))</f>
        <v/>
      </c>
      <c r="L177" s="43">
        <f>IF(J177="","",SUMIFS(Detalle_Pagos!$I$5:$I$2004,Detalle_Pagos!$E$5:$E$2004,J177,Detalle_Pagos!$J$5:$J$2004,"No"))</f>
        <v/>
      </c>
      <c r="M177" s="43">
        <f>IF(J177="","",K177*IFERROR(INDEX(Trabajadores!$D$5:$D$204,MATCH(J177,Trabajadores!$B$5:$B$204,0)),0))</f>
        <v/>
      </c>
      <c r="N177" s="43">
        <f>IF(J177="","",L177+M177)</f>
        <v/>
      </c>
      <c r="O177" s="44">
        <f>IF(J177="","",IF(K177=0,"",LOOKUP(2,1/((Detalle_Pagos!$E$5:$E$2004=J177)*(Detalle_Pagos!$J$5:$J$2004="No")),Detalle_Pagos!$B$5:$B$2004)))</f>
        <v/>
      </c>
      <c r="P177" s="43">
        <f>IF(J177="","",SUMIFS(Detalle_Pagos!$I$5:$I$2004,Detalle_Pagos!$E$5:$E$2004,J177,Detalle_Pagos!$J$5:$J$2004,"Si"))</f>
        <v/>
      </c>
      <c r="Q177">
        <f>IF(J177="","",COUNTIFS(Detalle_Pagos!$E$5:$E$2004,J177,Detalle_Pagos!$J$5:$J$2004,"Si"))</f>
        <v/>
      </c>
      <c r="R177">
        <f>IF(J177="","",N177+K177/100000+(100000-ROW())/1000000000)</f>
        <v/>
      </c>
    </row>
    <row r="178">
      <c r="A178" s="38">
        <f>IFERROR(INDEX($J$8:$J$207,MATCH(LARGE($R$8:$R$207,ROWS($A$8:A178)),$R$8:$R$207,0)),"")</f>
        <v/>
      </c>
      <c r="B178" s="38">
        <f>IFERROR(INDEX($K$8:$K$207,MATCH(LARGE($R$8:$R$207,ROWS($A$8:A178)),$R$8:$R$207,0)),"")</f>
        <v/>
      </c>
      <c r="C178" s="39">
        <f>IFERROR(INDEX($L$8:$L$207,MATCH(LARGE($R$8:$R$207,ROWS($A$8:A178)),$R$8:$R$207,0)),"")</f>
        <v/>
      </c>
      <c r="D178" s="39">
        <f>IFERROR(INDEX($M$8:$M$207,MATCH(LARGE($R$8:$R$207,ROWS($A$8:A178)),$R$8:$R$207,0)),"")</f>
        <v/>
      </c>
      <c r="E178" s="39">
        <f>IFERROR(INDEX($N$8:$N$207,MATCH(LARGE($R$8:$R$207,ROWS($A$8:A178)),$R$8:$R$207,0)),"")</f>
        <v/>
      </c>
      <c r="F178" s="41">
        <f>IFERROR(INDEX($O$8:$O$207,MATCH(LARGE($R$8:$R$207,ROWS($A$8:A178)),$R$8:$R$207,0)),"")</f>
        <v/>
      </c>
      <c r="G178" s="39">
        <f>IFERROR(INDEX($P$8:$P$207,MATCH(LARGE($R$8:$R$207,ROWS($A$8:A178)),$R$8:$R$207,0)),"")</f>
        <v/>
      </c>
      <c r="H178" s="38">
        <f>IFERROR(INDEX($Q$8:$Q$207,MATCH(LARGE($R$8:$R$207,ROWS($A$8:A178)),$R$8:$R$207,0)),"")</f>
        <v/>
      </c>
      <c r="J178">
        <f>IF(Trabajadores!B175="","",Trabajadores!B175)</f>
        <v/>
      </c>
      <c r="K178">
        <f>IF(J178="","",COUNTIFS(Detalle_Pagos!$E$5:$E$2004,J178,Detalle_Pagos!$J$5:$J$2004,"No"))</f>
        <v/>
      </c>
      <c r="L178" s="43">
        <f>IF(J178="","",SUMIFS(Detalle_Pagos!$I$5:$I$2004,Detalle_Pagos!$E$5:$E$2004,J178,Detalle_Pagos!$J$5:$J$2004,"No"))</f>
        <v/>
      </c>
      <c r="M178" s="43">
        <f>IF(J178="","",K178*IFERROR(INDEX(Trabajadores!$D$5:$D$204,MATCH(J178,Trabajadores!$B$5:$B$204,0)),0))</f>
        <v/>
      </c>
      <c r="N178" s="43">
        <f>IF(J178="","",L178+M178)</f>
        <v/>
      </c>
      <c r="O178" s="44">
        <f>IF(J178="","",IF(K178=0,"",LOOKUP(2,1/((Detalle_Pagos!$E$5:$E$2004=J178)*(Detalle_Pagos!$J$5:$J$2004="No")),Detalle_Pagos!$B$5:$B$2004)))</f>
        <v/>
      </c>
      <c r="P178" s="43">
        <f>IF(J178="","",SUMIFS(Detalle_Pagos!$I$5:$I$2004,Detalle_Pagos!$E$5:$E$2004,J178,Detalle_Pagos!$J$5:$J$2004,"Si"))</f>
        <v/>
      </c>
      <c r="Q178">
        <f>IF(J178="","",COUNTIFS(Detalle_Pagos!$E$5:$E$2004,J178,Detalle_Pagos!$J$5:$J$2004,"Si"))</f>
        <v/>
      </c>
      <c r="R178">
        <f>IF(J178="","",N178+K178/100000+(100000-ROW())/1000000000)</f>
        <v/>
      </c>
    </row>
    <row r="179">
      <c r="A179" s="36">
        <f>IFERROR(INDEX($J$8:$J$207,MATCH(LARGE($R$8:$R$207,ROWS($A$8:A179)),$R$8:$R$207,0)),"")</f>
        <v/>
      </c>
      <c r="B179" s="36">
        <f>IFERROR(INDEX($K$8:$K$207,MATCH(LARGE($R$8:$R$207,ROWS($A$8:A179)),$R$8:$R$207,0)),"")</f>
        <v/>
      </c>
      <c r="C179" s="37">
        <f>IFERROR(INDEX($L$8:$L$207,MATCH(LARGE($R$8:$R$207,ROWS($A$8:A179)),$R$8:$R$207,0)),"")</f>
        <v/>
      </c>
      <c r="D179" s="37">
        <f>IFERROR(INDEX($M$8:$M$207,MATCH(LARGE($R$8:$R$207,ROWS($A$8:A179)),$R$8:$R$207,0)),"")</f>
        <v/>
      </c>
      <c r="E179" s="37">
        <f>IFERROR(INDEX($N$8:$N$207,MATCH(LARGE($R$8:$R$207,ROWS($A$8:A179)),$R$8:$R$207,0)),"")</f>
        <v/>
      </c>
      <c r="F179" s="40">
        <f>IFERROR(INDEX($O$8:$O$207,MATCH(LARGE($R$8:$R$207,ROWS($A$8:A179)),$R$8:$R$207,0)),"")</f>
        <v/>
      </c>
      <c r="G179" s="37">
        <f>IFERROR(INDEX($P$8:$P$207,MATCH(LARGE($R$8:$R$207,ROWS($A$8:A179)),$R$8:$R$207,0)),"")</f>
        <v/>
      </c>
      <c r="H179" s="36">
        <f>IFERROR(INDEX($Q$8:$Q$207,MATCH(LARGE($R$8:$R$207,ROWS($A$8:A179)),$R$8:$R$207,0)),"")</f>
        <v/>
      </c>
      <c r="J179">
        <f>IF(Trabajadores!B176="","",Trabajadores!B176)</f>
        <v/>
      </c>
      <c r="K179">
        <f>IF(J179="","",COUNTIFS(Detalle_Pagos!$E$5:$E$2004,J179,Detalle_Pagos!$J$5:$J$2004,"No"))</f>
        <v/>
      </c>
      <c r="L179" s="43">
        <f>IF(J179="","",SUMIFS(Detalle_Pagos!$I$5:$I$2004,Detalle_Pagos!$E$5:$E$2004,J179,Detalle_Pagos!$J$5:$J$2004,"No"))</f>
        <v/>
      </c>
      <c r="M179" s="43">
        <f>IF(J179="","",K179*IFERROR(INDEX(Trabajadores!$D$5:$D$204,MATCH(J179,Trabajadores!$B$5:$B$204,0)),0))</f>
        <v/>
      </c>
      <c r="N179" s="43">
        <f>IF(J179="","",L179+M179)</f>
        <v/>
      </c>
      <c r="O179" s="44">
        <f>IF(J179="","",IF(K179=0,"",LOOKUP(2,1/((Detalle_Pagos!$E$5:$E$2004=J179)*(Detalle_Pagos!$J$5:$J$2004="No")),Detalle_Pagos!$B$5:$B$2004)))</f>
        <v/>
      </c>
      <c r="P179" s="43">
        <f>IF(J179="","",SUMIFS(Detalle_Pagos!$I$5:$I$2004,Detalle_Pagos!$E$5:$E$2004,J179,Detalle_Pagos!$J$5:$J$2004,"Si"))</f>
        <v/>
      </c>
      <c r="Q179">
        <f>IF(J179="","",COUNTIFS(Detalle_Pagos!$E$5:$E$2004,J179,Detalle_Pagos!$J$5:$J$2004,"Si"))</f>
        <v/>
      </c>
      <c r="R179">
        <f>IF(J179="","",N179+K179/100000+(100000-ROW())/1000000000)</f>
        <v/>
      </c>
    </row>
    <row r="180">
      <c r="A180" s="38">
        <f>IFERROR(INDEX($J$8:$J$207,MATCH(LARGE($R$8:$R$207,ROWS($A$8:A180)),$R$8:$R$207,0)),"")</f>
        <v/>
      </c>
      <c r="B180" s="38">
        <f>IFERROR(INDEX($K$8:$K$207,MATCH(LARGE($R$8:$R$207,ROWS($A$8:A180)),$R$8:$R$207,0)),"")</f>
        <v/>
      </c>
      <c r="C180" s="39">
        <f>IFERROR(INDEX($L$8:$L$207,MATCH(LARGE($R$8:$R$207,ROWS($A$8:A180)),$R$8:$R$207,0)),"")</f>
        <v/>
      </c>
      <c r="D180" s="39">
        <f>IFERROR(INDEX($M$8:$M$207,MATCH(LARGE($R$8:$R$207,ROWS($A$8:A180)),$R$8:$R$207,0)),"")</f>
        <v/>
      </c>
      <c r="E180" s="39">
        <f>IFERROR(INDEX($N$8:$N$207,MATCH(LARGE($R$8:$R$207,ROWS($A$8:A180)),$R$8:$R$207,0)),"")</f>
        <v/>
      </c>
      <c r="F180" s="41">
        <f>IFERROR(INDEX($O$8:$O$207,MATCH(LARGE($R$8:$R$207,ROWS($A$8:A180)),$R$8:$R$207,0)),"")</f>
        <v/>
      </c>
      <c r="G180" s="39">
        <f>IFERROR(INDEX($P$8:$P$207,MATCH(LARGE($R$8:$R$207,ROWS($A$8:A180)),$R$8:$R$207,0)),"")</f>
        <v/>
      </c>
      <c r="H180" s="38">
        <f>IFERROR(INDEX($Q$8:$Q$207,MATCH(LARGE($R$8:$R$207,ROWS($A$8:A180)),$R$8:$R$207,0)),"")</f>
        <v/>
      </c>
      <c r="J180">
        <f>IF(Trabajadores!B177="","",Trabajadores!B177)</f>
        <v/>
      </c>
      <c r="K180">
        <f>IF(J180="","",COUNTIFS(Detalle_Pagos!$E$5:$E$2004,J180,Detalle_Pagos!$J$5:$J$2004,"No"))</f>
        <v/>
      </c>
      <c r="L180" s="43">
        <f>IF(J180="","",SUMIFS(Detalle_Pagos!$I$5:$I$2004,Detalle_Pagos!$E$5:$E$2004,J180,Detalle_Pagos!$J$5:$J$2004,"No"))</f>
        <v/>
      </c>
      <c r="M180" s="43">
        <f>IF(J180="","",K180*IFERROR(INDEX(Trabajadores!$D$5:$D$204,MATCH(J180,Trabajadores!$B$5:$B$204,0)),0))</f>
        <v/>
      </c>
      <c r="N180" s="43">
        <f>IF(J180="","",L180+M180)</f>
        <v/>
      </c>
      <c r="O180" s="44">
        <f>IF(J180="","",IF(K180=0,"",LOOKUP(2,1/((Detalle_Pagos!$E$5:$E$2004=J180)*(Detalle_Pagos!$J$5:$J$2004="No")),Detalle_Pagos!$B$5:$B$2004)))</f>
        <v/>
      </c>
      <c r="P180" s="43">
        <f>IF(J180="","",SUMIFS(Detalle_Pagos!$I$5:$I$2004,Detalle_Pagos!$E$5:$E$2004,J180,Detalle_Pagos!$J$5:$J$2004,"Si"))</f>
        <v/>
      </c>
      <c r="Q180">
        <f>IF(J180="","",COUNTIFS(Detalle_Pagos!$E$5:$E$2004,J180,Detalle_Pagos!$J$5:$J$2004,"Si"))</f>
        <v/>
      </c>
      <c r="R180">
        <f>IF(J180="","",N180+K180/100000+(100000-ROW())/1000000000)</f>
        <v/>
      </c>
    </row>
    <row r="181">
      <c r="A181" s="36">
        <f>IFERROR(INDEX($J$8:$J$207,MATCH(LARGE($R$8:$R$207,ROWS($A$8:A181)),$R$8:$R$207,0)),"")</f>
        <v/>
      </c>
      <c r="B181" s="36">
        <f>IFERROR(INDEX($K$8:$K$207,MATCH(LARGE($R$8:$R$207,ROWS($A$8:A181)),$R$8:$R$207,0)),"")</f>
        <v/>
      </c>
      <c r="C181" s="37">
        <f>IFERROR(INDEX($L$8:$L$207,MATCH(LARGE($R$8:$R$207,ROWS($A$8:A181)),$R$8:$R$207,0)),"")</f>
        <v/>
      </c>
      <c r="D181" s="37">
        <f>IFERROR(INDEX($M$8:$M$207,MATCH(LARGE($R$8:$R$207,ROWS($A$8:A181)),$R$8:$R$207,0)),"")</f>
        <v/>
      </c>
      <c r="E181" s="37">
        <f>IFERROR(INDEX($N$8:$N$207,MATCH(LARGE($R$8:$R$207,ROWS($A$8:A181)),$R$8:$R$207,0)),"")</f>
        <v/>
      </c>
      <c r="F181" s="40">
        <f>IFERROR(INDEX($O$8:$O$207,MATCH(LARGE($R$8:$R$207,ROWS($A$8:A181)),$R$8:$R$207,0)),"")</f>
        <v/>
      </c>
      <c r="G181" s="37">
        <f>IFERROR(INDEX($P$8:$P$207,MATCH(LARGE($R$8:$R$207,ROWS($A$8:A181)),$R$8:$R$207,0)),"")</f>
        <v/>
      </c>
      <c r="H181" s="36">
        <f>IFERROR(INDEX($Q$8:$Q$207,MATCH(LARGE($R$8:$R$207,ROWS($A$8:A181)),$R$8:$R$207,0)),"")</f>
        <v/>
      </c>
      <c r="J181">
        <f>IF(Trabajadores!B178="","",Trabajadores!B178)</f>
        <v/>
      </c>
      <c r="K181">
        <f>IF(J181="","",COUNTIFS(Detalle_Pagos!$E$5:$E$2004,J181,Detalle_Pagos!$J$5:$J$2004,"No"))</f>
        <v/>
      </c>
      <c r="L181" s="43">
        <f>IF(J181="","",SUMIFS(Detalle_Pagos!$I$5:$I$2004,Detalle_Pagos!$E$5:$E$2004,J181,Detalle_Pagos!$J$5:$J$2004,"No"))</f>
        <v/>
      </c>
      <c r="M181" s="43">
        <f>IF(J181="","",K181*IFERROR(INDEX(Trabajadores!$D$5:$D$204,MATCH(J181,Trabajadores!$B$5:$B$204,0)),0))</f>
        <v/>
      </c>
      <c r="N181" s="43">
        <f>IF(J181="","",L181+M181)</f>
        <v/>
      </c>
      <c r="O181" s="44">
        <f>IF(J181="","",IF(K181=0,"",LOOKUP(2,1/((Detalle_Pagos!$E$5:$E$2004=J181)*(Detalle_Pagos!$J$5:$J$2004="No")),Detalle_Pagos!$B$5:$B$2004)))</f>
        <v/>
      </c>
      <c r="P181" s="43">
        <f>IF(J181="","",SUMIFS(Detalle_Pagos!$I$5:$I$2004,Detalle_Pagos!$E$5:$E$2004,J181,Detalle_Pagos!$J$5:$J$2004,"Si"))</f>
        <v/>
      </c>
      <c r="Q181">
        <f>IF(J181="","",COUNTIFS(Detalle_Pagos!$E$5:$E$2004,J181,Detalle_Pagos!$J$5:$J$2004,"Si"))</f>
        <v/>
      </c>
      <c r="R181">
        <f>IF(J181="","",N181+K181/100000+(100000-ROW())/1000000000)</f>
        <v/>
      </c>
    </row>
    <row r="182">
      <c r="A182" s="38">
        <f>IFERROR(INDEX($J$8:$J$207,MATCH(LARGE($R$8:$R$207,ROWS($A$8:A182)),$R$8:$R$207,0)),"")</f>
        <v/>
      </c>
      <c r="B182" s="38">
        <f>IFERROR(INDEX($K$8:$K$207,MATCH(LARGE($R$8:$R$207,ROWS($A$8:A182)),$R$8:$R$207,0)),"")</f>
        <v/>
      </c>
      <c r="C182" s="39">
        <f>IFERROR(INDEX($L$8:$L$207,MATCH(LARGE($R$8:$R$207,ROWS($A$8:A182)),$R$8:$R$207,0)),"")</f>
        <v/>
      </c>
      <c r="D182" s="39">
        <f>IFERROR(INDEX($M$8:$M$207,MATCH(LARGE($R$8:$R$207,ROWS($A$8:A182)),$R$8:$R$207,0)),"")</f>
        <v/>
      </c>
      <c r="E182" s="39">
        <f>IFERROR(INDEX($N$8:$N$207,MATCH(LARGE($R$8:$R$207,ROWS($A$8:A182)),$R$8:$R$207,0)),"")</f>
        <v/>
      </c>
      <c r="F182" s="41">
        <f>IFERROR(INDEX($O$8:$O$207,MATCH(LARGE($R$8:$R$207,ROWS($A$8:A182)),$R$8:$R$207,0)),"")</f>
        <v/>
      </c>
      <c r="G182" s="39">
        <f>IFERROR(INDEX($P$8:$P$207,MATCH(LARGE($R$8:$R$207,ROWS($A$8:A182)),$R$8:$R$207,0)),"")</f>
        <v/>
      </c>
      <c r="H182" s="38">
        <f>IFERROR(INDEX($Q$8:$Q$207,MATCH(LARGE($R$8:$R$207,ROWS($A$8:A182)),$R$8:$R$207,0)),"")</f>
        <v/>
      </c>
      <c r="J182">
        <f>IF(Trabajadores!B179="","",Trabajadores!B179)</f>
        <v/>
      </c>
      <c r="K182">
        <f>IF(J182="","",COUNTIFS(Detalle_Pagos!$E$5:$E$2004,J182,Detalle_Pagos!$J$5:$J$2004,"No"))</f>
        <v/>
      </c>
      <c r="L182" s="43">
        <f>IF(J182="","",SUMIFS(Detalle_Pagos!$I$5:$I$2004,Detalle_Pagos!$E$5:$E$2004,J182,Detalle_Pagos!$J$5:$J$2004,"No"))</f>
        <v/>
      </c>
      <c r="M182" s="43">
        <f>IF(J182="","",K182*IFERROR(INDEX(Trabajadores!$D$5:$D$204,MATCH(J182,Trabajadores!$B$5:$B$204,0)),0))</f>
        <v/>
      </c>
      <c r="N182" s="43">
        <f>IF(J182="","",L182+M182)</f>
        <v/>
      </c>
      <c r="O182" s="44">
        <f>IF(J182="","",IF(K182=0,"",LOOKUP(2,1/((Detalle_Pagos!$E$5:$E$2004=J182)*(Detalle_Pagos!$J$5:$J$2004="No")),Detalle_Pagos!$B$5:$B$2004)))</f>
        <v/>
      </c>
      <c r="P182" s="43">
        <f>IF(J182="","",SUMIFS(Detalle_Pagos!$I$5:$I$2004,Detalle_Pagos!$E$5:$E$2004,J182,Detalle_Pagos!$J$5:$J$2004,"Si"))</f>
        <v/>
      </c>
      <c r="Q182">
        <f>IF(J182="","",COUNTIFS(Detalle_Pagos!$E$5:$E$2004,J182,Detalle_Pagos!$J$5:$J$2004,"Si"))</f>
        <v/>
      </c>
      <c r="R182">
        <f>IF(J182="","",N182+K182/100000+(100000-ROW())/1000000000)</f>
        <v/>
      </c>
    </row>
    <row r="183">
      <c r="A183" s="36">
        <f>IFERROR(INDEX($J$8:$J$207,MATCH(LARGE($R$8:$R$207,ROWS($A$8:A183)),$R$8:$R$207,0)),"")</f>
        <v/>
      </c>
      <c r="B183" s="36">
        <f>IFERROR(INDEX($K$8:$K$207,MATCH(LARGE($R$8:$R$207,ROWS($A$8:A183)),$R$8:$R$207,0)),"")</f>
        <v/>
      </c>
      <c r="C183" s="37">
        <f>IFERROR(INDEX($L$8:$L$207,MATCH(LARGE($R$8:$R$207,ROWS($A$8:A183)),$R$8:$R$207,0)),"")</f>
        <v/>
      </c>
      <c r="D183" s="37">
        <f>IFERROR(INDEX($M$8:$M$207,MATCH(LARGE($R$8:$R$207,ROWS($A$8:A183)),$R$8:$R$207,0)),"")</f>
        <v/>
      </c>
      <c r="E183" s="37">
        <f>IFERROR(INDEX($N$8:$N$207,MATCH(LARGE($R$8:$R$207,ROWS($A$8:A183)),$R$8:$R$207,0)),"")</f>
        <v/>
      </c>
      <c r="F183" s="40">
        <f>IFERROR(INDEX($O$8:$O$207,MATCH(LARGE($R$8:$R$207,ROWS($A$8:A183)),$R$8:$R$207,0)),"")</f>
        <v/>
      </c>
      <c r="G183" s="37">
        <f>IFERROR(INDEX($P$8:$P$207,MATCH(LARGE($R$8:$R$207,ROWS($A$8:A183)),$R$8:$R$207,0)),"")</f>
        <v/>
      </c>
      <c r="H183" s="36">
        <f>IFERROR(INDEX($Q$8:$Q$207,MATCH(LARGE($R$8:$R$207,ROWS($A$8:A183)),$R$8:$R$207,0)),"")</f>
        <v/>
      </c>
      <c r="J183">
        <f>IF(Trabajadores!B180="","",Trabajadores!B180)</f>
        <v/>
      </c>
      <c r="K183">
        <f>IF(J183="","",COUNTIFS(Detalle_Pagos!$E$5:$E$2004,J183,Detalle_Pagos!$J$5:$J$2004,"No"))</f>
        <v/>
      </c>
      <c r="L183" s="43">
        <f>IF(J183="","",SUMIFS(Detalle_Pagos!$I$5:$I$2004,Detalle_Pagos!$E$5:$E$2004,J183,Detalle_Pagos!$J$5:$J$2004,"No"))</f>
        <v/>
      </c>
      <c r="M183" s="43">
        <f>IF(J183="","",K183*IFERROR(INDEX(Trabajadores!$D$5:$D$204,MATCH(J183,Trabajadores!$B$5:$B$204,0)),0))</f>
        <v/>
      </c>
      <c r="N183" s="43">
        <f>IF(J183="","",L183+M183)</f>
        <v/>
      </c>
      <c r="O183" s="44">
        <f>IF(J183="","",IF(K183=0,"",LOOKUP(2,1/((Detalle_Pagos!$E$5:$E$2004=J183)*(Detalle_Pagos!$J$5:$J$2004="No")),Detalle_Pagos!$B$5:$B$2004)))</f>
        <v/>
      </c>
      <c r="P183" s="43">
        <f>IF(J183="","",SUMIFS(Detalle_Pagos!$I$5:$I$2004,Detalle_Pagos!$E$5:$E$2004,J183,Detalle_Pagos!$J$5:$J$2004,"Si"))</f>
        <v/>
      </c>
      <c r="Q183">
        <f>IF(J183="","",COUNTIFS(Detalle_Pagos!$E$5:$E$2004,J183,Detalle_Pagos!$J$5:$J$2004,"Si"))</f>
        <v/>
      </c>
      <c r="R183">
        <f>IF(J183="","",N183+K183/100000+(100000-ROW())/1000000000)</f>
        <v/>
      </c>
    </row>
    <row r="184">
      <c r="A184" s="38">
        <f>IFERROR(INDEX($J$8:$J$207,MATCH(LARGE($R$8:$R$207,ROWS($A$8:A184)),$R$8:$R$207,0)),"")</f>
        <v/>
      </c>
      <c r="B184" s="38">
        <f>IFERROR(INDEX($K$8:$K$207,MATCH(LARGE($R$8:$R$207,ROWS($A$8:A184)),$R$8:$R$207,0)),"")</f>
        <v/>
      </c>
      <c r="C184" s="39">
        <f>IFERROR(INDEX($L$8:$L$207,MATCH(LARGE($R$8:$R$207,ROWS($A$8:A184)),$R$8:$R$207,0)),"")</f>
        <v/>
      </c>
      <c r="D184" s="39">
        <f>IFERROR(INDEX($M$8:$M$207,MATCH(LARGE($R$8:$R$207,ROWS($A$8:A184)),$R$8:$R$207,0)),"")</f>
        <v/>
      </c>
      <c r="E184" s="39">
        <f>IFERROR(INDEX($N$8:$N$207,MATCH(LARGE($R$8:$R$207,ROWS($A$8:A184)),$R$8:$R$207,0)),"")</f>
        <v/>
      </c>
      <c r="F184" s="41">
        <f>IFERROR(INDEX($O$8:$O$207,MATCH(LARGE($R$8:$R$207,ROWS($A$8:A184)),$R$8:$R$207,0)),"")</f>
        <v/>
      </c>
      <c r="G184" s="39">
        <f>IFERROR(INDEX($P$8:$P$207,MATCH(LARGE($R$8:$R$207,ROWS($A$8:A184)),$R$8:$R$207,0)),"")</f>
        <v/>
      </c>
      <c r="H184" s="38">
        <f>IFERROR(INDEX($Q$8:$Q$207,MATCH(LARGE($R$8:$R$207,ROWS($A$8:A184)),$R$8:$R$207,0)),"")</f>
        <v/>
      </c>
      <c r="J184">
        <f>IF(Trabajadores!B181="","",Trabajadores!B181)</f>
        <v/>
      </c>
      <c r="K184">
        <f>IF(J184="","",COUNTIFS(Detalle_Pagos!$E$5:$E$2004,J184,Detalle_Pagos!$J$5:$J$2004,"No"))</f>
        <v/>
      </c>
      <c r="L184" s="43">
        <f>IF(J184="","",SUMIFS(Detalle_Pagos!$I$5:$I$2004,Detalle_Pagos!$E$5:$E$2004,J184,Detalle_Pagos!$J$5:$J$2004,"No"))</f>
        <v/>
      </c>
      <c r="M184" s="43">
        <f>IF(J184="","",K184*IFERROR(INDEX(Trabajadores!$D$5:$D$204,MATCH(J184,Trabajadores!$B$5:$B$204,0)),0))</f>
        <v/>
      </c>
      <c r="N184" s="43">
        <f>IF(J184="","",L184+M184)</f>
        <v/>
      </c>
      <c r="O184" s="44">
        <f>IF(J184="","",IF(K184=0,"",LOOKUP(2,1/((Detalle_Pagos!$E$5:$E$2004=J184)*(Detalle_Pagos!$J$5:$J$2004="No")),Detalle_Pagos!$B$5:$B$2004)))</f>
        <v/>
      </c>
      <c r="P184" s="43">
        <f>IF(J184="","",SUMIFS(Detalle_Pagos!$I$5:$I$2004,Detalle_Pagos!$E$5:$E$2004,J184,Detalle_Pagos!$J$5:$J$2004,"Si"))</f>
        <v/>
      </c>
      <c r="Q184">
        <f>IF(J184="","",COUNTIFS(Detalle_Pagos!$E$5:$E$2004,J184,Detalle_Pagos!$J$5:$J$2004,"Si"))</f>
        <v/>
      </c>
      <c r="R184">
        <f>IF(J184="","",N184+K184/100000+(100000-ROW())/1000000000)</f>
        <v/>
      </c>
    </row>
    <row r="185">
      <c r="A185" s="36">
        <f>IFERROR(INDEX($J$8:$J$207,MATCH(LARGE($R$8:$R$207,ROWS($A$8:A185)),$R$8:$R$207,0)),"")</f>
        <v/>
      </c>
      <c r="B185" s="36">
        <f>IFERROR(INDEX($K$8:$K$207,MATCH(LARGE($R$8:$R$207,ROWS($A$8:A185)),$R$8:$R$207,0)),"")</f>
        <v/>
      </c>
      <c r="C185" s="37">
        <f>IFERROR(INDEX($L$8:$L$207,MATCH(LARGE($R$8:$R$207,ROWS($A$8:A185)),$R$8:$R$207,0)),"")</f>
        <v/>
      </c>
      <c r="D185" s="37">
        <f>IFERROR(INDEX($M$8:$M$207,MATCH(LARGE($R$8:$R$207,ROWS($A$8:A185)),$R$8:$R$207,0)),"")</f>
        <v/>
      </c>
      <c r="E185" s="37">
        <f>IFERROR(INDEX($N$8:$N$207,MATCH(LARGE($R$8:$R$207,ROWS($A$8:A185)),$R$8:$R$207,0)),"")</f>
        <v/>
      </c>
      <c r="F185" s="40">
        <f>IFERROR(INDEX($O$8:$O$207,MATCH(LARGE($R$8:$R$207,ROWS($A$8:A185)),$R$8:$R$207,0)),"")</f>
        <v/>
      </c>
      <c r="G185" s="37">
        <f>IFERROR(INDEX($P$8:$P$207,MATCH(LARGE($R$8:$R$207,ROWS($A$8:A185)),$R$8:$R$207,0)),"")</f>
        <v/>
      </c>
      <c r="H185" s="36">
        <f>IFERROR(INDEX($Q$8:$Q$207,MATCH(LARGE($R$8:$R$207,ROWS($A$8:A185)),$R$8:$R$207,0)),"")</f>
        <v/>
      </c>
      <c r="J185">
        <f>IF(Trabajadores!B182="","",Trabajadores!B182)</f>
        <v/>
      </c>
      <c r="K185">
        <f>IF(J185="","",COUNTIFS(Detalle_Pagos!$E$5:$E$2004,J185,Detalle_Pagos!$J$5:$J$2004,"No"))</f>
        <v/>
      </c>
      <c r="L185" s="43">
        <f>IF(J185="","",SUMIFS(Detalle_Pagos!$I$5:$I$2004,Detalle_Pagos!$E$5:$E$2004,J185,Detalle_Pagos!$J$5:$J$2004,"No"))</f>
        <v/>
      </c>
      <c r="M185" s="43">
        <f>IF(J185="","",K185*IFERROR(INDEX(Trabajadores!$D$5:$D$204,MATCH(J185,Trabajadores!$B$5:$B$204,0)),0))</f>
        <v/>
      </c>
      <c r="N185" s="43">
        <f>IF(J185="","",L185+M185)</f>
        <v/>
      </c>
      <c r="O185" s="44">
        <f>IF(J185="","",IF(K185=0,"",LOOKUP(2,1/((Detalle_Pagos!$E$5:$E$2004=J185)*(Detalle_Pagos!$J$5:$J$2004="No")),Detalle_Pagos!$B$5:$B$2004)))</f>
        <v/>
      </c>
      <c r="P185" s="43">
        <f>IF(J185="","",SUMIFS(Detalle_Pagos!$I$5:$I$2004,Detalle_Pagos!$E$5:$E$2004,J185,Detalle_Pagos!$J$5:$J$2004,"Si"))</f>
        <v/>
      </c>
      <c r="Q185">
        <f>IF(J185="","",COUNTIFS(Detalle_Pagos!$E$5:$E$2004,J185,Detalle_Pagos!$J$5:$J$2004,"Si"))</f>
        <v/>
      </c>
      <c r="R185">
        <f>IF(J185="","",N185+K185/100000+(100000-ROW())/1000000000)</f>
        <v/>
      </c>
    </row>
    <row r="186">
      <c r="A186" s="38">
        <f>IFERROR(INDEX($J$8:$J$207,MATCH(LARGE($R$8:$R$207,ROWS($A$8:A186)),$R$8:$R$207,0)),"")</f>
        <v/>
      </c>
      <c r="B186" s="38">
        <f>IFERROR(INDEX($K$8:$K$207,MATCH(LARGE($R$8:$R$207,ROWS($A$8:A186)),$R$8:$R$207,0)),"")</f>
        <v/>
      </c>
      <c r="C186" s="39">
        <f>IFERROR(INDEX($L$8:$L$207,MATCH(LARGE($R$8:$R$207,ROWS($A$8:A186)),$R$8:$R$207,0)),"")</f>
        <v/>
      </c>
      <c r="D186" s="39">
        <f>IFERROR(INDEX($M$8:$M$207,MATCH(LARGE($R$8:$R$207,ROWS($A$8:A186)),$R$8:$R$207,0)),"")</f>
        <v/>
      </c>
      <c r="E186" s="39">
        <f>IFERROR(INDEX($N$8:$N$207,MATCH(LARGE($R$8:$R$207,ROWS($A$8:A186)),$R$8:$R$207,0)),"")</f>
        <v/>
      </c>
      <c r="F186" s="41">
        <f>IFERROR(INDEX($O$8:$O$207,MATCH(LARGE($R$8:$R$207,ROWS($A$8:A186)),$R$8:$R$207,0)),"")</f>
        <v/>
      </c>
      <c r="G186" s="39">
        <f>IFERROR(INDEX($P$8:$P$207,MATCH(LARGE($R$8:$R$207,ROWS($A$8:A186)),$R$8:$R$207,0)),"")</f>
        <v/>
      </c>
      <c r="H186" s="38">
        <f>IFERROR(INDEX($Q$8:$Q$207,MATCH(LARGE($R$8:$R$207,ROWS($A$8:A186)),$R$8:$R$207,0)),"")</f>
        <v/>
      </c>
      <c r="J186">
        <f>IF(Trabajadores!B183="","",Trabajadores!B183)</f>
        <v/>
      </c>
      <c r="K186">
        <f>IF(J186="","",COUNTIFS(Detalle_Pagos!$E$5:$E$2004,J186,Detalle_Pagos!$J$5:$J$2004,"No"))</f>
        <v/>
      </c>
      <c r="L186" s="43">
        <f>IF(J186="","",SUMIFS(Detalle_Pagos!$I$5:$I$2004,Detalle_Pagos!$E$5:$E$2004,J186,Detalle_Pagos!$J$5:$J$2004,"No"))</f>
        <v/>
      </c>
      <c r="M186" s="43">
        <f>IF(J186="","",K186*IFERROR(INDEX(Trabajadores!$D$5:$D$204,MATCH(J186,Trabajadores!$B$5:$B$204,0)),0))</f>
        <v/>
      </c>
      <c r="N186" s="43">
        <f>IF(J186="","",L186+M186)</f>
        <v/>
      </c>
      <c r="O186" s="44">
        <f>IF(J186="","",IF(K186=0,"",LOOKUP(2,1/((Detalle_Pagos!$E$5:$E$2004=J186)*(Detalle_Pagos!$J$5:$J$2004="No")),Detalle_Pagos!$B$5:$B$2004)))</f>
        <v/>
      </c>
      <c r="P186" s="43">
        <f>IF(J186="","",SUMIFS(Detalle_Pagos!$I$5:$I$2004,Detalle_Pagos!$E$5:$E$2004,J186,Detalle_Pagos!$J$5:$J$2004,"Si"))</f>
        <v/>
      </c>
      <c r="Q186">
        <f>IF(J186="","",COUNTIFS(Detalle_Pagos!$E$5:$E$2004,J186,Detalle_Pagos!$J$5:$J$2004,"Si"))</f>
        <v/>
      </c>
      <c r="R186">
        <f>IF(J186="","",N186+K186/100000+(100000-ROW())/1000000000)</f>
        <v/>
      </c>
    </row>
    <row r="187">
      <c r="A187" s="36">
        <f>IFERROR(INDEX($J$8:$J$207,MATCH(LARGE($R$8:$R$207,ROWS($A$8:A187)),$R$8:$R$207,0)),"")</f>
        <v/>
      </c>
      <c r="B187" s="36">
        <f>IFERROR(INDEX($K$8:$K$207,MATCH(LARGE($R$8:$R$207,ROWS($A$8:A187)),$R$8:$R$207,0)),"")</f>
        <v/>
      </c>
      <c r="C187" s="37">
        <f>IFERROR(INDEX($L$8:$L$207,MATCH(LARGE($R$8:$R$207,ROWS($A$8:A187)),$R$8:$R$207,0)),"")</f>
        <v/>
      </c>
      <c r="D187" s="37">
        <f>IFERROR(INDEX($M$8:$M$207,MATCH(LARGE($R$8:$R$207,ROWS($A$8:A187)),$R$8:$R$207,0)),"")</f>
        <v/>
      </c>
      <c r="E187" s="37">
        <f>IFERROR(INDEX($N$8:$N$207,MATCH(LARGE($R$8:$R$207,ROWS($A$8:A187)),$R$8:$R$207,0)),"")</f>
        <v/>
      </c>
      <c r="F187" s="40">
        <f>IFERROR(INDEX($O$8:$O$207,MATCH(LARGE($R$8:$R$207,ROWS($A$8:A187)),$R$8:$R$207,0)),"")</f>
        <v/>
      </c>
      <c r="G187" s="37">
        <f>IFERROR(INDEX($P$8:$P$207,MATCH(LARGE($R$8:$R$207,ROWS($A$8:A187)),$R$8:$R$207,0)),"")</f>
        <v/>
      </c>
      <c r="H187" s="36">
        <f>IFERROR(INDEX($Q$8:$Q$207,MATCH(LARGE($R$8:$R$207,ROWS($A$8:A187)),$R$8:$R$207,0)),"")</f>
        <v/>
      </c>
      <c r="J187">
        <f>IF(Trabajadores!B184="","",Trabajadores!B184)</f>
        <v/>
      </c>
      <c r="K187">
        <f>IF(J187="","",COUNTIFS(Detalle_Pagos!$E$5:$E$2004,J187,Detalle_Pagos!$J$5:$J$2004,"No"))</f>
        <v/>
      </c>
      <c r="L187" s="43">
        <f>IF(J187="","",SUMIFS(Detalle_Pagos!$I$5:$I$2004,Detalle_Pagos!$E$5:$E$2004,J187,Detalle_Pagos!$J$5:$J$2004,"No"))</f>
        <v/>
      </c>
      <c r="M187" s="43">
        <f>IF(J187="","",K187*IFERROR(INDEX(Trabajadores!$D$5:$D$204,MATCH(J187,Trabajadores!$B$5:$B$204,0)),0))</f>
        <v/>
      </c>
      <c r="N187" s="43">
        <f>IF(J187="","",L187+M187)</f>
        <v/>
      </c>
      <c r="O187" s="44">
        <f>IF(J187="","",IF(K187=0,"",LOOKUP(2,1/((Detalle_Pagos!$E$5:$E$2004=J187)*(Detalle_Pagos!$J$5:$J$2004="No")),Detalle_Pagos!$B$5:$B$2004)))</f>
        <v/>
      </c>
      <c r="P187" s="43">
        <f>IF(J187="","",SUMIFS(Detalle_Pagos!$I$5:$I$2004,Detalle_Pagos!$E$5:$E$2004,J187,Detalle_Pagos!$J$5:$J$2004,"Si"))</f>
        <v/>
      </c>
      <c r="Q187">
        <f>IF(J187="","",COUNTIFS(Detalle_Pagos!$E$5:$E$2004,J187,Detalle_Pagos!$J$5:$J$2004,"Si"))</f>
        <v/>
      </c>
      <c r="R187">
        <f>IF(J187="","",N187+K187/100000+(100000-ROW())/1000000000)</f>
        <v/>
      </c>
    </row>
    <row r="188">
      <c r="A188" s="38">
        <f>IFERROR(INDEX($J$8:$J$207,MATCH(LARGE($R$8:$R$207,ROWS($A$8:A188)),$R$8:$R$207,0)),"")</f>
        <v/>
      </c>
      <c r="B188" s="38">
        <f>IFERROR(INDEX($K$8:$K$207,MATCH(LARGE($R$8:$R$207,ROWS($A$8:A188)),$R$8:$R$207,0)),"")</f>
        <v/>
      </c>
      <c r="C188" s="39">
        <f>IFERROR(INDEX($L$8:$L$207,MATCH(LARGE($R$8:$R$207,ROWS($A$8:A188)),$R$8:$R$207,0)),"")</f>
        <v/>
      </c>
      <c r="D188" s="39">
        <f>IFERROR(INDEX($M$8:$M$207,MATCH(LARGE($R$8:$R$207,ROWS($A$8:A188)),$R$8:$R$207,0)),"")</f>
        <v/>
      </c>
      <c r="E188" s="39">
        <f>IFERROR(INDEX($N$8:$N$207,MATCH(LARGE($R$8:$R$207,ROWS($A$8:A188)),$R$8:$R$207,0)),"")</f>
        <v/>
      </c>
      <c r="F188" s="41">
        <f>IFERROR(INDEX($O$8:$O$207,MATCH(LARGE($R$8:$R$207,ROWS($A$8:A188)),$R$8:$R$207,0)),"")</f>
        <v/>
      </c>
      <c r="G188" s="39">
        <f>IFERROR(INDEX($P$8:$P$207,MATCH(LARGE($R$8:$R$207,ROWS($A$8:A188)),$R$8:$R$207,0)),"")</f>
        <v/>
      </c>
      <c r="H188" s="38">
        <f>IFERROR(INDEX($Q$8:$Q$207,MATCH(LARGE($R$8:$R$207,ROWS($A$8:A188)),$R$8:$R$207,0)),"")</f>
        <v/>
      </c>
      <c r="J188">
        <f>IF(Trabajadores!B185="","",Trabajadores!B185)</f>
        <v/>
      </c>
      <c r="K188">
        <f>IF(J188="","",COUNTIFS(Detalle_Pagos!$E$5:$E$2004,J188,Detalle_Pagos!$J$5:$J$2004,"No"))</f>
        <v/>
      </c>
      <c r="L188" s="43">
        <f>IF(J188="","",SUMIFS(Detalle_Pagos!$I$5:$I$2004,Detalle_Pagos!$E$5:$E$2004,J188,Detalle_Pagos!$J$5:$J$2004,"No"))</f>
        <v/>
      </c>
      <c r="M188" s="43">
        <f>IF(J188="","",K188*IFERROR(INDEX(Trabajadores!$D$5:$D$204,MATCH(J188,Trabajadores!$B$5:$B$204,0)),0))</f>
        <v/>
      </c>
      <c r="N188" s="43">
        <f>IF(J188="","",L188+M188)</f>
        <v/>
      </c>
      <c r="O188" s="44">
        <f>IF(J188="","",IF(K188=0,"",LOOKUP(2,1/((Detalle_Pagos!$E$5:$E$2004=J188)*(Detalle_Pagos!$J$5:$J$2004="No")),Detalle_Pagos!$B$5:$B$2004)))</f>
        <v/>
      </c>
      <c r="P188" s="43">
        <f>IF(J188="","",SUMIFS(Detalle_Pagos!$I$5:$I$2004,Detalle_Pagos!$E$5:$E$2004,J188,Detalle_Pagos!$J$5:$J$2004,"Si"))</f>
        <v/>
      </c>
      <c r="Q188">
        <f>IF(J188="","",COUNTIFS(Detalle_Pagos!$E$5:$E$2004,J188,Detalle_Pagos!$J$5:$J$2004,"Si"))</f>
        <v/>
      </c>
      <c r="R188">
        <f>IF(J188="","",N188+K188/100000+(100000-ROW())/1000000000)</f>
        <v/>
      </c>
    </row>
    <row r="189">
      <c r="A189" s="36">
        <f>IFERROR(INDEX($J$8:$J$207,MATCH(LARGE($R$8:$R$207,ROWS($A$8:A189)),$R$8:$R$207,0)),"")</f>
        <v/>
      </c>
      <c r="B189" s="36">
        <f>IFERROR(INDEX($K$8:$K$207,MATCH(LARGE($R$8:$R$207,ROWS($A$8:A189)),$R$8:$R$207,0)),"")</f>
        <v/>
      </c>
      <c r="C189" s="37">
        <f>IFERROR(INDEX($L$8:$L$207,MATCH(LARGE($R$8:$R$207,ROWS($A$8:A189)),$R$8:$R$207,0)),"")</f>
        <v/>
      </c>
      <c r="D189" s="37">
        <f>IFERROR(INDEX($M$8:$M$207,MATCH(LARGE($R$8:$R$207,ROWS($A$8:A189)),$R$8:$R$207,0)),"")</f>
        <v/>
      </c>
      <c r="E189" s="37">
        <f>IFERROR(INDEX($N$8:$N$207,MATCH(LARGE($R$8:$R$207,ROWS($A$8:A189)),$R$8:$R$207,0)),"")</f>
        <v/>
      </c>
      <c r="F189" s="40">
        <f>IFERROR(INDEX($O$8:$O$207,MATCH(LARGE($R$8:$R$207,ROWS($A$8:A189)),$R$8:$R$207,0)),"")</f>
        <v/>
      </c>
      <c r="G189" s="37">
        <f>IFERROR(INDEX($P$8:$P$207,MATCH(LARGE($R$8:$R$207,ROWS($A$8:A189)),$R$8:$R$207,0)),"")</f>
        <v/>
      </c>
      <c r="H189" s="36">
        <f>IFERROR(INDEX($Q$8:$Q$207,MATCH(LARGE($R$8:$R$207,ROWS($A$8:A189)),$R$8:$R$207,0)),"")</f>
        <v/>
      </c>
      <c r="J189">
        <f>IF(Trabajadores!B186="","",Trabajadores!B186)</f>
        <v/>
      </c>
      <c r="K189">
        <f>IF(J189="","",COUNTIFS(Detalle_Pagos!$E$5:$E$2004,J189,Detalle_Pagos!$J$5:$J$2004,"No"))</f>
        <v/>
      </c>
      <c r="L189" s="43">
        <f>IF(J189="","",SUMIFS(Detalle_Pagos!$I$5:$I$2004,Detalle_Pagos!$E$5:$E$2004,J189,Detalle_Pagos!$J$5:$J$2004,"No"))</f>
        <v/>
      </c>
      <c r="M189" s="43">
        <f>IF(J189="","",K189*IFERROR(INDEX(Trabajadores!$D$5:$D$204,MATCH(J189,Trabajadores!$B$5:$B$204,0)),0))</f>
        <v/>
      </c>
      <c r="N189" s="43">
        <f>IF(J189="","",L189+M189)</f>
        <v/>
      </c>
      <c r="O189" s="44">
        <f>IF(J189="","",IF(K189=0,"",LOOKUP(2,1/((Detalle_Pagos!$E$5:$E$2004=J189)*(Detalle_Pagos!$J$5:$J$2004="No")),Detalle_Pagos!$B$5:$B$2004)))</f>
        <v/>
      </c>
      <c r="P189" s="43">
        <f>IF(J189="","",SUMIFS(Detalle_Pagos!$I$5:$I$2004,Detalle_Pagos!$E$5:$E$2004,J189,Detalle_Pagos!$J$5:$J$2004,"Si"))</f>
        <v/>
      </c>
      <c r="Q189">
        <f>IF(J189="","",COUNTIFS(Detalle_Pagos!$E$5:$E$2004,J189,Detalle_Pagos!$J$5:$J$2004,"Si"))</f>
        <v/>
      </c>
      <c r="R189">
        <f>IF(J189="","",N189+K189/100000+(100000-ROW())/1000000000)</f>
        <v/>
      </c>
    </row>
    <row r="190">
      <c r="A190" s="38">
        <f>IFERROR(INDEX($J$8:$J$207,MATCH(LARGE($R$8:$R$207,ROWS($A$8:A190)),$R$8:$R$207,0)),"")</f>
        <v/>
      </c>
      <c r="B190" s="38">
        <f>IFERROR(INDEX($K$8:$K$207,MATCH(LARGE($R$8:$R$207,ROWS($A$8:A190)),$R$8:$R$207,0)),"")</f>
        <v/>
      </c>
      <c r="C190" s="39">
        <f>IFERROR(INDEX($L$8:$L$207,MATCH(LARGE($R$8:$R$207,ROWS($A$8:A190)),$R$8:$R$207,0)),"")</f>
        <v/>
      </c>
      <c r="D190" s="39">
        <f>IFERROR(INDEX($M$8:$M$207,MATCH(LARGE($R$8:$R$207,ROWS($A$8:A190)),$R$8:$R$207,0)),"")</f>
        <v/>
      </c>
      <c r="E190" s="39">
        <f>IFERROR(INDEX($N$8:$N$207,MATCH(LARGE($R$8:$R$207,ROWS($A$8:A190)),$R$8:$R$207,0)),"")</f>
        <v/>
      </c>
      <c r="F190" s="41">
        <f>IFERROR(INDEX($O$8:$O$207,MATCH(LARGE($R$8:$R$207,ROWS($A$8:A190)),$R$8:$R$207,0)),"")</f>
        <v/>
      </c>
      <c r="G190" s="39">
        <f>IFERROR(INDEX($P$8:$P$207,MATCH(LARGE($R$8:$R$207,ROWS($A$8:A190)),$R$8:$R$207,0)),"")</f>
        <v/>
      </c>
      <c r="H190" s="38">
        <f>IFERROR(INDEX($Q$8:$Q$207,MATCH(LARGE($R$8:$R$207,ROWS($A$8:A190)),$R$8:$R$207,0)),"")</f>
        <v/>
      </c>
      <c r="J190">
        <f>IF(Trabajadores!B187="","",Trabajadores!B187)</f>
        <v/>
      </c>
      <c r="K190">
        <f>IF(J190="","",COUNTIFS(Detalle_Pagos!$E$5:$E$2004,J190,Detalle_Pagos!$J$5:$J$2004,"No"))</f>
        <v/>
      </c>
      <c r="L190" s="43">
        <f>IF(J190="","",SUMIFS(Detalle_Pagos!$I$5:$I$2004,Detalle_Pagos!$E$5:$E$2004,J190,Detalle_Pagos!$J$5:$J$2004,"No"))</f>
        <v/>
      </c>
      <c r="M190" s="43">
        <f>IF(J190="","",K190*IFERROR(INDEX(Trabajadores!$D$5:$D$204,MATCH(J190,Trabajadores!$B$5:$B$204,0)),0))</f>
        <v/>
      </c>
      <c r="N190" s="43">
        <f>IF(J190="","",L190+M190)</f>
        <v/>
      </c>
      <c r="O190" s="44">
        <f>IF(J190="","",IF(K190=0,"",LOOKUP(2,1/((Detalle_Pagos!$E$5:$E$2004=J190)*(Detalle_Pagos!$J$5:$J$2004="No")),Detalle_Pagos!$B$5:$B$2004)))</f>
        <v/>
      </c>
      <c r="P190" s="43">
        <f>IF(J190="","",SUMIFS(Detalle_Pagos!$I$5:$I$2004,Detalle_Pagos!$E$5:$E$2004,J190,Detalle_Pagos!$J$5:$J$2004,"Si"))</f>
        <v/>
      </c>
      <c r="Q190">
        <f>IF(J190="","",COUNTIFS(Detalle_Pagos!$E$5:$E$2004,J190,Detalle_Pagos!$J$5:$J$2004,"Si"))</f>
        <v/>
      </c>
      <c r="R190">
        <f>IF(J190="","",N190+K190/100000+(100000-ROW())/1000000000)</f>
        <v/>
      </c>
    </row>
    <row r="191">
      <c r="A191" s="36">
        <f>IFERROR(INDEX($J$8:$J$207,MATCH(LARGE($R$8:$R$207,ROWS($A$8:A191)),$R$8:$R$207,0)),"")</f>
        <v/>
      </c>
      <c r="B191" s="36">
        <f>IFERROR(INDEX($K$8:$K$207,MATCH(LARGE($R$8:$R$207,ROWS($A$8:A191)),$R$8:$R$207,0)),"")</f>
        <v/>
      </c>
      <c r="C191" s="37">
        <f>IFERROR(INDEX($L$8:$L$207,MATCH(LARGE($R$8:$R$207,ROWS($A$8:A191)),$R$8:$R$207,0)),"")</f>
        <v/>
      </c>
      <c r="D191" s="37">
        <f>IFERROR(INDEX($M$8:$M$207,MATCH(LARGE($R$8:$R$207,ROWS($A$8:A191)),$R$8:$R$207,0)),"")</f>
        <v/>
      </c>
      <c r="E191" s="37">
        <f>IFERROR(INDEX($N$8:$N$207,MATCH(LARGE($R$8:$R$207,ROWS($A$8:A191)),$R$8:$R$207,0)),"")</f>
        <v/>
      </c>
      <c r="F191" s="40">
        <f>IFERROR(INDEX($O$8:$O$207,MATCH(LARGE($R$8:$R$207,ROWS($A$8:A191)),$R$8:$R$207,0)),"")</f>
        <v/>
      </c>
      <c r="G191" s="37">
        <f>IFERROR(INDEX($P$8:$P$207,MATCH(LARGE($R$8:$R$207,ROWS($A$8:A191)),$R$8:$R$207,0)),"")</f>
        <v/>
      </c>
      <c r="H191" s="36">
        <f>IFERROR(INDEX($Q$8:$Q$207,MATCH(LARGE($R$8:$R$207,ROWS($A$8:A191)),$R$8:$R$207,0)),"")</f>
        <v/>
      </c>
      <c r="J191">
        <f>IF(Trabajadores!B188="","",Trabajadores!B188)</f>
        <v/>
      </c>
      <c r="K191">
        <f>IF(J191="","",COUNTIFS(Detalle_Pagos!$E$5:$E$2004,J191,Detalle_Pagos!$J$5:$J$2004,"No"))</f>
        <v/>
      </c>
      <c r="L191" s="43">
        <f>IF(J191="","",SUMIFS(Detalle_Pagos!$I$5:$I$2004,Detalle_Pagos!$E$5:$E$2004,J191,Detalle_Pagos!$J$5:$J$2004,"No"))</f>
        <v/>
      </c>
      <c r="M191" s="43">
        <f>IF(J191="","",K191*IFERROR(INDEX(Trabajadores!$D$5:$D$204,MATCH(J191,Trabajadores!$B$5:$B$204,0)),0))</f>
        <v/>
      </c>
      <c r="N191" s="43">
        <f>IF(J191="","",L191+M191)</f>
        <v/>
      </c>
      <c r="O191" s="44">
        <f>IF(J191="","",IF(K191=0,"",LOOKUP(2,1/((Detalle_Pagos!$E$5:$E$2004=J191)*(Detalle_Pagos!$J$5:$J$2004="No")),Detalle_Pagos!$B$5:$B$2004)))</f>
        <v/>
      </c>
      <c r="P191" s="43">
        <f>IF(J191="","",SUMIFS(Detalle_Pagos!$I$5:$I$2004,Detalle_Pagos!$E$5:$E$2004,J191,Detalle_Pagos!$J$5:$J$2004,"Si"))</f>
        <v/>
      </c>
      <c r="Q191">
        <f>IF(J191="","",COUNTIFS(Detalle_Pagos!$E$5:$E$2004,J191,Detalle_Pagos!$J$5:$J$2004,"Si"))</f>
        <v/>
      </c>
      <c r="R191">
        <f>IF(J191="","",N191+K191/100000+(100000-ROW())/1000000000)</f>
        <v/>
      </c>
    </row>
    <row r="192">
      <c r="A192" s="38">
        <f>IFERROR(INDEX($J$8:$J$207,MATCH(LARGE($R$8:$R$207,ROWS($A$8:A192)),$R$8:$R$207,0)),"")</f>
        <v/>
      </c>
      <c r="B192" s="38">
        <f>IFERROR(INDEX($K$8:$K$207,MATCH(LARGE($R$8:$R$207,ROWS($A$8:A192)),$R$8:$R$207,0)),"")</f>
        <v/>
      </c>
      <c r="C192" s="39">
        <f>IFERROR(INDEX($L$8:$L$207,MATCH(LARGE($R$8:$R$207,ROWS($A$8:A192)),$R$8:$R$207,0)),"")</f>
        <v/>
      </c>
      <c r="D192" s="39">
        <f>IFERROR(INDEX($M$8:$M$207,MATCH(LARGE($R$8:$R$207,ROWS($A$8:A192)),$R$8:$R$207,0)),"")</f>
        <v/>
      </c>
      <c r="E192" s="39">
        <f>IFERROR(INDEX($N$8:$N$207,MATCH(LARGE($R$8:$R$207,ROWS($A$8:A192)),$R$8:$R$207,0)),"")</f>
        <v/>
      </c>
      <c r="F192" s="41">
        <f>IFERROR(INDEX($O$8:$O$207,MATCH(LARGE($R$8:$R$207,ROWS($A$8:A192)),$R$8:$R$207,0)),"")</f>
        <v/>
      </c>
      <c r="G192" s="39">
        <f>IFERROR(INDEX($P$8:$P$207,MATCH(LARGE($R$8:$R$207,ROWS($A$8:A192)),$R$8:$R$207,0)),"")</f>
        <v/>
      </c>
      <c r="H192" s="38">
        <f>IFERROR(INDEX($Q$8:$Q$207,MATCH(LARGE($R$8:$R$207,ROWS($A$8:A192)),$R$8:$R$207,0)),"")</f>
        <v/>
      </c>
      <c r="J192">
        <f>IF(Trabajadores!B189="","",Trabajadores!B189)</f>
        <v/>
      </c>
      <c r="K192">
        <f>IF(J192="","",COUNTIFS(Detalle_Pagos!$E$5:$E$2004,J192,Detalle_Pagos!$J$5:$J$2004,"No"))</f>
        <v/>
      </c>
      <c r="L192" s="43">
        <f>IF(J192="","",SUMIFS(Detalle_Pagos!$I$5:$I$2004,Detalle_Pagos!$E$5:$E$2004,J192,Detalle_Pagos!$J$5:$J$2004,"No"))</f>
        <v/>
      </c>
      <c r="M192" s="43">
        <f>IF(J192="","",K192*IFERROR(INDEX(Trabajadores!$D$5:$D$204,MATCH(J192,Trabajadores!$B$5:$B$204,0)),0))</f>
        <v/>
      </c>
      <c r="N192" s="43">
        <f>IF(J192="","",L192+M192)</f>
        <v/>
      </c>
      <c r="O192" s="44">
        <f>IF(J192="","",IF(K192=0,"",LOOKUP(2,1/((Detalle_Pagos!$E$5:$E$2004=J192)*(Detalle_Pagos!$J$5:$J$2004="No")),Detalle_Pagos!$B$5:$B$2004)))</f>
        <v/>
      </c>
      <c r="P192" s="43">
        <f>IF(J192="","",SUMIFS(Detalle_Pagos!$I$5:$I$2004,Detalle_Pagos!$E$5:$E$2004,J192,Detalle_Pagos!$J$5:$J$2004,"Si"))</f>
        <v/>
      </c>
      <c r="Q192">
        <f>IF(J192="","",COUNTIFS(Detalle_Pagos!$E$5:$E$2004,J192,Detalle_Pagos!$J$5:$J$2004,"Si"))</f>
        <v/>
      </c>
      <c r="R192">
        <f>IF(J192="","",N192+K192/100000+(100000-ROW())/1000000000)</f>
        <v/>
      </c>
    </row>
    <row r="193">
      <c r="A193" s="36">
        <f>IFERROR(INDEX($J$8:$J$207,MATCH(LARGE($R$8:$R$207,ROWS($A$8:A193)),$R$8:$R$207,0)),"")</f>
        <v/>
      </c>
      <c r="B193" s="36">
        <f>IFERROR(INDEX($K$8:$K$207,MATCH(LARGE($R$8:$R$207,ROWS($A$8:A193)),$R$8:$R$207,0)),"")</f>
        <v/>
      </c>
      <c r="C193" s="37">
        <f>IFERROR(INDEX($L$8:$L$207,MATCH(LARGE($R$8:$R$207,ROWS($A$8:A193)),$R$8:$R$207,0)),"")</f>
        <v/>
      </c>
      <c r="D193" s="37">
        <f>IFERROR(INDEX($M$8:$M$207,MATCH(LARGE($R$8:$R$207,ROWS($A$8:A193)),$R$8:$R$207,0)),"")</f>
        <v/>
      </c>
      <c r="E193" s="37">
        <f>IFERROR(INDEX($N$8:$N$207,MATCH(LARGE($R$8:$R$207,ROWS($A$8:A193)),$R$8:$R$207,0)),"")</f>
        <v/>
      </c>
      <c r="F193" s="40">
        <f>IFERROR(INDEX($O$8:$O$207,MATCH(LARGE($R$8:$R$207,ROWS($A$8:A193)),$R$8:$R$207,0)),"")</f>
        <v/>
      </c>
      <c r="G193" s="37">
        <f>IFERROR(INDEX($P$8:$P$207,MATCH(LARGE($R$8:$R$207,ROWS($A$8:A193)),$R$8:$R$207,0)),"")</f>
        <v/>
      </c>
      <c r="H193" s="36">
        <f>IFERROR(INDEX($Q$8:$Q$207,MATCH(LARGE($R$8:$R$207,ROWS($A$8:A193)),$R$8:$R$207,0)),"")</f>
        <v/>
      </c>
      <c r="J193">
        <f>IF(Trabajadores!B190="","",Trabajadores!B190)</f>
        <v/>
      </c>
      <c r="K193">
        <f>IF(J193="","",COUNTIFS(Detalle_Pagos!$E$5:$E$2004,J193,Detalle_Pagos!$J$5:$J$2004,"No"))</f>
        <v/>
      </c>
      <c r="L193" s="43">
        <f>IF(J193="","",SUMIFS(Detalle_Pagos!$I$5:$I$2004,Detalle_Pagos!$E$5:$E$2004,J193,Detalle_Pagos!$J$5:$J$2004,"No"))</f>
        <v/>
      </c>
      <c r="M193" s="43">
        <f>IF(J193="","",K193*IFERROR(INDEX(Trabajadores!$D$5:$D$204,MATCH(J193,Trabajadores!$B$5:$B$204,0)),0))</f>
        <v/>
      </c>
      <c r="N193" s="43">
        <f>IF(J193="","",L193+M193)</f>
        <v/>
      </c>
      <c r="O193" s="44">
        <f>IF(J193="","",IF(K193=0,"",LOOKUP(2,1/((Detalle_Pagos!$E$5:$E$2004=J193)*(Detalle_Pagos!$J$5:$J$2004="No")),Detalle_Pagos!$B$5:$B$2004)))</f>
        <v/>
      </c>
      <c r="P193" s="43">
        <f>IF(J193="","",SUMIFS(Detalle_Pagos!$I$5:$I$2004,Detalle_Pagos!$E$5:$E$2004,J193,Detalle_Pagos!$J$5:$J$2004,"Si"))</f>
        <v/>
      </c>
      <c r="Q193">
        <f>IF(J193="","",COUNTIFS(Detalle_Pagos!$E$5:$E$2004,J193,Detalle_Pagos!$J$5:$J$2004,"Si"))</f>
        <v/>
      </c>
      <c r="R193">
        <f>IF(J193="","",N193+K193/100000+(100000-ROW())/1000000000)</f>
        <v/>
      </c>
    </row>
    <row r="194">
      <c r="A194" s="38">
        <f>IFERROR(INDEX($J$8:$J$207,MATCH(LARGE($R$8:$R$207,ROWS($A$8:A194)),$R$8:$R$207,0)),"")</f>
        <v/>
      </c>
      <c r="B194" s="38">
        <f>IFERROR(INDEX($K$8:$K$207,MATCH(LARGE($R$8:$R$207,ROWS($A$8:A194)),$R$8:$R$207,0)),"")</f>
        <v/>
      </c>
      <c r="C194" s="39">
        <f>IFERROR(INDEX($L$8:$L$207,MATCH(LARGE($R$8:$R$207,ROWS($A$8:A194)),$R$8:$R$207,0)),"")</f>
        <v/>
      </c>
      <c r="D194" s="39">
        <f>IFERROR(INDEX($M$8:$M$207,MATCH(LARGE($R$8:$R$207,ROWS($A$8:A194)),$R$8:$R$207,0)),"")</f>
        <v/>
      </c>
      <c r="E194" s="39">
        <f>IFERROR(INDEX($N$8:$N$207,MATCH(LARGE($R$8:$R$207,ROWS($A$8:A194)),$R$8:$R$207,0)),"")</f>
        <v/>
      </c>
      <c r="F194" s="41">
        <f>IFERROR(INDEX($O$8:$O$207,MATCH(LARGE($R$8:$R$207,ROWS($A$8:A194)),$R$8:$R$207,0)),"")</f>
        <v/>
      </c>
      <c r="G194" s="39">
        <f>IFERROR(INDEX($P$8:$P$207,MATCH(LARGE($R$8:$R$207,ROWS($A$8:A194)),$R$8:$R$207,0)),"")</f>
        <v/>
      </c>
      <c r="H194" s="38">
        <f>IFERROR(INDEX($Q$8:$Q$207,MATCH(LARGE($R$8:$R$207,ROWS($A$8:A194)),$R$8:$R$207,0)),"")</f>
        <v/>
      </c>
      <c r="J194">
        <f>IF(Trabajadores!B191="","",Trabajadores!B191)</f>
        <v/>
      </c>
      <c r="K194">
        <f>IF(J194="","",COUNTIFS(Detalle_Pagos!$E$5:$E$2004,J194,Detalle_Pagos!$J$5:$J$2004,"No"))</f>
        <v/>
      </c>
      <c r="L194" s="43">
        <f>IF(J194="","",SUMIFS(Detalle_Pagos!$I$5:$I$2004,Detalle_Pagos!$E$5:$E$2004,J194,Detalle_Pagos!$J$5:$J$2004,"No"))</f>
        <v/>
      </c>
      <c r="M194" s="43">
        <f>IF(J194="","",K194*IFERROR(INDEX(Trabajadores!$D$5:$D$204,MATCH(J194,Trabajadores!$B$5:$B$204,0)),0))</f>
        <v/>
      </c>
      <c r="N194" s="43">
        <f>IF(J194="","",L194+M194)</f>
        <v/>
      </c>
      <c r="O194" s="44">
        <f>IF(J194="","",IF(K194=0,"",LOOKUP(2,1/((Detalle_Pagos!$E$5:$E$2004=J194)*(Detalle_Pagos!$J$5:$J$2004="No")),Detalle_Pagos!$B$5:$B$2004)))</f>
        <v/>
      </c>
      <c r="P194" s="43">
        <f>IF(J194="","",SUMIFS(Detalle_Pagos!$I$5:$I$2004,Detalle_Pagos!$E$5:$E$2004,J194,Detalle_Pagos!$J$5:$J$2004,"Si"))</f>
        <v/>
      </c>
      <c r="Q194">
        <f>IF(J194="","",COUNTIFS(Detalle_Pagos!$E$5:$E$2004,J194,Detalle_Pagos!$J$5:$J$2004,"Si"))</f>
        <v/>
      </c>
      <c r="R194">
        <f>IF(J194="","",N194+K194/100000+(100000-ROW())/1000000000)</f>
        <v/>
      </c>
    </row>
    <row r="195">
      <c r="A195" s="36">
        <f>IFERROR(INDEX($J$8:$J$207,MATCH(LARGE($R$8:$R$207,ROWS($A$8:A195)),$R$8:$R$207,0)),"")</f>
        <v/>
      </c>
      <c r="B195" s="36">
        <f>IFERROR(INDEX($K$8:$K$207,MATCH(LARGE($R$8:$R$207,ROWS($A$8:A195)),$R$8:$R$207,0)),"")</f>
        <v/>
      </c>
      <c r="C195" s="37">
        <f>IFERROR(INDEX($L$8:$L$207,MATCH(LARGE($R$8:$R$207,ROWS($A$8:A195)),$R$8:$R$207,0)),"")</f>
        <v/>
      </c>
      <c r="D195" s="37">
        <f>IFERROR(INDEX($M$8:$M$207,MATCH(LARGE($R$8:$R$207,ROWS($A$8:A195)),$R$8:$R$207,0)),"")</f>
        <v/>
      </c>
      <c r="E195" s="37">
        <f>IFERROR(INDEX($N$8:$N$207,MATCH(LARGE($R$8:$R$207,ROWS($A$8:A195)),$R$8:$R$207,0)),"")</f>
        <v/>
      </c>
      <c r="F195" s="40">
        <f>IFERROR(INDEX($O$8:$O$207,MATCH(LARGE($R$8:$R$207,ROWS($A$8:A195)),$R$8:$R$207,0)),"")</f>
        <v/>
      </c>
      <c r="G195" s="37">
        <f>IFERROR(INDEX($P$8:$P$207,MATCH(LARGE($R$8:$R$207,ROWS($A$8:A195)),$R$8:$R$207,0)),"")</f>
        <v/>
      </c>
      <c r="H195" s="36">
        <f>IFERROR(INDEX($Q$8:$Q$207,MATCH(LARGE($R$8:$R$207,ROWS($A$8:A195)),$R$8:$R$207,0)),"")</f>
        <v/>
      </c>
      <c r="J195">
        <f>IF(Trabajadores!B192="","",Trabajadores!B192)</f>
        <v/>
      </c>
      <c r="K195">
        <f>IF(J195="","",COUNTIFS(Detalle_Pagos!$E$5:$E$2004,J195,Detalle_Pagos!$J$5:$J$2004,"No"))</f>
        <v/>
      </c>
      <c r="L195" s="43">
        <f>IF(J195="","",SUMIFS(Detalle_Pagos!$I$5:$I$2004,Detalle_Pagos!$E$5:$E$2004,J195,Detalle_Pagos!$J$5:$J$2004,"No"))</f>
        <v/>
      </c>
      <c r="M195" s="43">
        <f>IF(J195="","",K195*IFERROR(INDEX(Trabajadores!$D$5:$D$204,MATCH(J195,Trabajadores!$B$5:$B$204,0)),0))</f>
        <v/>
      </c>
      <c r="N195" s="43">
        <f>IF(J195="","",L195+M195)</f>
        <v/>
      </c>
      <c r="O195" s="44">
        <f>IF(J195="","",IF(K195=0,"",LOOKUP(2,1/((Detalle_Pagos!$E$5:$E$2004=J195)*(Detalle_Pagos!$J$5:$J$2004="No")),Detalle_Pagos!$B$5:$B$2004)))</f>
        <v/>
      </c>
      <c r="P195" s="43">
        <f>IF(J195="","",SUMIFS(Detalle_Pagos!$I$5:$I$2004,Detalle_Pagos!$E$5:$E$2004,J195,Detalle_Pagos!$J$5:$J$2004,"Si"))</f>
        <v/>
      </c>
      <c r="Q195">
        <f>IF(J195="","",COUNTIFS(Detalle_Pagos!$E$5:$E$2004,J195,Detalle_Pagos!$J$5:$J$2004,"Si"))</f>
        <v/>
      </c>
      <c r="R195">
        <f>IF(J195="","",N195+K195/100000+(100000-ROW())/1000000000)</f>
        <v/>
      </c>
    </row>
    <row r="196">
      <c r="A196" s="38">
        <f>IFERROR(INDEX($J$8:$J$207,MATCH(LARGE($R$8:$R$207,ROWS($A$8:A196)),$R$8:$R$207,0)),"")</f>
        <v/>
      </c>
      <c r="B196" s="38">
        <f>IFERROR(INDEX($K$8:$K$207,MATCH(LARGE($R$8:$R$207,ROWS($A$8:A196)),$R$8:$R$207,0)),"")</f>
        <v/>
      </c>
      <c r="C196" s="39">
        <f>IFERROR(INDEX($L$8:$L$207,MATCH(LARGE($R$8:$R$207,ROWS($A$8:A196)),$R$8:$R$207,0)),"")</f>
        <v/>
      </c>
      <c r="D196" s="39">
        <f>IFERROR(INDEX($M$8:$M$207,MATCH(LARGE($R$8:$R$207,ROWS($A$8:A196)),$R$8:$R$207,0)),"")</f>
        <v/>
      </c>
      <c r="E196" s="39">
        <f>IFERROR(INDEX($N$8:$N$207,MATCH(LARGE($R$8:$R$207,ROWS($A$8:A196)),$R$8:$R$207,0)),"")</f>
        <v/>
      </c>
      <c r="F196" s="41">
        <f>IFERROR(INDEX($O$8:$O$207,MATCH(LARGE($R$8:$R$207,ROWS($A$8:A196)),$R$8:$R$207,0)),"")</f>
        <v/>
      </c>
      <c r="G196" s="39">
        <f>IFERROR(INDEX($P$8:$P$207,MATCH(LARGE($R$8:$R$207,ROWS($A$8:A196)),$R$8:$R$207,0)),"")</f>
        <v/>
      </c>
      <c r="H196" s="38">
        <f>IFERROR(INDEX($Q$8:$Q$207,MATCH(LARGE($R$8:$R$207,ROWS($A$8:A196)),$R$8:$R$207,0)),"")</f>
        <v/>
      </c>
      <c r="J196">
        <f>IF(Trabajadores!B193="","",Trabajadores!B193)</f>
        <v/>
      </c>
      <c r="K196">
        <f>IF(J196="","",COUNTIFS(Detalle_Pagos!$E$5:$E$2004,J196,Detalle_Pagos!$J$5:$J$2004,"No"))</f>
        <v/>
      </c>
      <c r="L196" s="43">
        <f>IF(J196="","",SUMIFS(Detalle_Pagos!$I$5:$I$2004,Detalle_Pagos!$E$5:$E$2004,J196,Detalle_Pagos!$J$5:$J$2004,"No"))</f>
        <v/>
      </c>
      <c r="M196" s="43">
        <f>IF(J196="","",K196*IFERROR(INDEX(Trabajadores!$D$5:$D$204,MATCH(J196,Trabajadores!$B$5:$B$204,0)),0))</f>
        <v/>
      </c>
      <c r="N196" s="43">
        <f>IF(J196="","",L196+M196)</f>
        <v/>
      </c>
      <c r="O196" s="44">
        <f>IF(J196="","",IF(K196=0,"",LOOKUP(2,1/((Detalle_Pagos!$E$5:$E$2004=J196)*(Detalle_Pagos!$J$5:$J$2004="No")),Detalle_Pagos!$B$5:$B$2004)))</f>
        <v/>
      </c>
      <c r="P196" s="43">
        <f>IF(J196="","",SUMIFS(Detalle_Pagos!$I$5:$I$2004,Detalle_Pagos!$E$5:$E$2004,J196,Detalle_Pagos!$J$5:$J$2004,"Si"))</f>
        <v/>
      </c>
      <c r="Q196">
        <f>IF(J196="","",COUNTIFS(Detalle_Pagos!$E$5:$E$2004,J196,Detalle_Pagos!$J$5:$J$2004,"Si"))</f>
        <v/>
      </c>
      <c r="R196">
        <f>IF(J196="","",N196+K196/100000+(100000-ROW())/1000000000)</f>
        <v/>
      </c>
    </row>
    <row r="197">
      <c r="A197" s="36">
        <f>IFERROR(INDEX($J$8:$J$207,MATCH(LARGE($R$8:$R$207,ROWS($A$8:A197)),$R$8:$R$207,0)),"")</f>
        <v/>
      </c>
      <c r="B197" s="36">
        <f>IFERROR(INDEX($K$8:$K$207,MATCH(LARGE($R$8:$R$207,ROWS($A$8:A197)),$R$8:$R$207,0)),"")</f>
        <v/>
      </c>
      <c r="C197" s="37">
        <f>IFERROR(INDEX($L$8:$L$207,MATCH(LARGE($R$8:$R$207,ROWS($A$8:A197)),$R$8:$R$207,0)),"")</f>
        <v/>
      </c>
      <c r="D197" s="37">
        <f>IFERROR(INDEX($M$8:$M$207,MATCH(LARGE($R$8:$R$207,ROWS($A$8:A197)),$R$8:$R$207,0)),"")</f>
        <v/>
      </c>
      <c r="E197" s="37">
        <f>IFERROR(INDEX($N$8:$N$207,MATCH(LARGE($R$8:$R$207,ROWS($A$8:A197)),$R$8:$R$207,0)),"")</f>
        <v/>
      </c>
      <c r="F197" s="40">
        <f>IFERROR(INDEX($O$8:$O$207,MATCH(LARGE($R$8:$R$207,ROWS($A$8:A197)),$R$8:$R$207,0)),"")</f>
        <v/>
      </c>
      <c r="G197" s="37">
        <f>IFERROR(INDEX($P$8:$P$207,MATCH(LARGE($R$8:$R$207,ROWS($A$8:A197)),$R$8:$R$207,0)),"")</f>
        <v/>
      </c>
      <c r="H197" s="36">
        <f>IFERROR(INDEX($Q$8:$Q$207,MATCH(LARGE($R$8:$R$207,ROWS($A$8:A197)),$R$8:$R$207,0)),"")</f>
        <v/>
      </c>
      <c r="J197">
        <f>IF(Trabajadores!B194="","",Trabajadores!B194)</f>
        <v/>
      </c>
      <c r="K197">
        <f>IF(J197="","",COUNTIFS(Detalle_Pagos!$E$5:$E$2004,J197,Detalle_Pagos!$J$5:$J$2004,"No"))</f>
        <v/>
      </c>
      <c r="L197" s="43">
        <f>IF(J197="","",SUMIFS(Detalle_Pagos!$I$5:$I$2004,Detalle_Pagos!$E$5:$E$2004,J197,Detalle_Pagos!$J$5:$J$2004,"No"))</f>
        <v/>
      </c>
      <c r="M197" s="43">
        <f>IF(J197="","",K197*IFERROR(INDEX(Trabajadores!$D$5:$D$204,MATCH(J197,Trabajadores!$B$5:$B$204,0)),0))</f>
        <v/>
      </c>
      <c r="N197" s="43">
        <f>IF(J197="","",L197+M197)</f>
        <v/>
      </c>
      <c r="O197" s="44">
        <f>IF(J197="","",IF(K197=0,"",LOOKUP(2,1/((Detalle_Pagos!$E$5:$E$2004=J197)*(Detalle_Pagos!$J$5:$J$2004="No")),Detalle_Pagos!$B$5:$B$2004)))</f>
        <v/>
      </c>
      <c r="P197" s="43">
        <f>IF(J197="","",SUMIFS(Detalle_Pagos!$I$5:$I$2004,Detalle_Pagos!$E$5:$E$2004,J197,Detalle_Pagos!$J$5:$J$2004,"Si"))</f>
        <v/>
      </c>
      <c r="Q197">
        <f>IF(J197="","",COUNTIFS(Detalle_Pagos!$E$5:$E$2004,J197,Detalle_Pagos!$J$5:$J$2004,"Si"))</f>
        <v/>
      </c>
      <c r="R197">
        <f>IF(J197="","",N197+K197/100000+(100000-ROW())/1000000000)</f>
        <v/>
      </c>
    </row>
    <row r="198">
      <c r="A198" s="38">
        <f>IFERROR(INDEX($J$8:$J$207,MATCH(LARGE($R$8:$R$207,ROWS($A$8:A198)),$R$8:$R$207,0)),"")</f>
        <v/>
      </c>
      <c r="B198" s="38">
        <f>IFERROR(INDEX($K$8:$K$207,MATCH(LARGE($R$8:$R$207,ROWS($A$8:A198)),$R$8:$R$207,0)),"")</f>
        <v/>
      </c>
      <c r="C198" s="39">
        <f>IFERROR(INDEX($L$8:$L$207,MATCH(LARGE($R$8:$R$207,ROWS($A$8:A198)),$R$8:$R$207,0)),"")</f>
        <v/>
      </c>
      <c r="D198" s="39">
        <f>IFERROR(INDEX($M$8:$M$207,MATCH(LARGE($R$8:$R$207,ROWS($A$8:A198)),$R$8:$R$207,0)),"")</f>
        <v/>
      </c>
      <c r="E198" s="39">
        <f>IFERROR(INDEX($N$8:$N$207,MATCH(LARGE($R$8:$R$207,ROWS($A$8:A198)),$R$8:$R$207,0)),"")</f>
        <v/>
      </c>
      <c r="F198" s="41">
        <f>IFERROR(INDEX($O$8:$O$207,MATCH(LARGE($R$8:$R$207,ROWS($A$8:A198)),$R$8:$R$207,0)),"")</f>
        <v/>
      </c>
      <c r="G198" s="39">
        <f>IFERROR(INDEX($P$8:$P$207,MATCH(LARGE($R$8:$R$207,ROWS($A$8:A198)),$R$8:$R$207,0)),"")</f>
        <v/>
      </c>
      <c r="H198" s="38">
        <f>IFERROR(INDEX($Q$8:$Q$207,MATCH(LARGE($R$8:$R$207,ROWS($A$8:A198)),$R$8:$R$207,0)),"")</f>
        <v/>
      </c>
      <c r="J198">
        <f>IF(Trabajadores!B195="","",Trabajadores!B195)</f>
        <v/>
      </c>
      <c r="K198">
        <f>IF(J198="","",COUNTIFS(Detalle_Pagos!$E$5:$E$2004,J198,Detalle_Pagos!$J$5:$J$2004,"No"))</f>
        <v/>
      </c>
      <c r="L198" s="43">
        <f>IF(J198="","",SUMIFS(Detalle_Pagos!$I$5:$I$2004,Detalle_Pagos!$E$5:$E$2004,J198,Detalle_Pagos!$J$5:$J$2004,"No"))</f>
        <v/>
      </c>
      <c r="M198" s="43">
        <f>IF(J198="","",K198*IFERROR(INDEX(Trabajadores!$D$5:$D$204,MATCH(J198,Trabajadores!$B$5:$B$204,0)),0))</f>
        <v/>
      </c>
      <c r="N198" s="43">
        <f>IF(J198="","",L198+M198)</f>
        <v/>
      </c>
      <c r="O198" s="44">
        <f>IF(J198="","",IF(K198=0,"",LOOKUP(2,1/((Detalle_Pagos!$E$5:$E$2004=J198)*(Detalle_Pagos!$J$5:$J$2004="No")),Detalle_Pagos!$B$5:$B$2004)))</f>
        <v/>
      </c>
      <c r="P198" s="43">
        <f>IF(J198="","",SUMIFS(Detalle_Pagos!$I$5:$I$2004,Detalle_Pagos!$E$5:$E$2004,J198,Detalle_Pagos!$J$5:$J$2004,"Si"))</f>
        <v/>
      </c>
      <c r="Q198">
        <f>IF(J198="","",COUNTIFS(Detalle_Pagos!$E$5:$E$2004,J198,Detalle_Pagos!$J$5:$J$2004,"Si"))</f>
        <v/>
      </c>
      <c r="R198">
        <f>IF(J198="","",N198+K198/100000+(100000-ROW())/1000000000)</f>
        <v/>
      </c>
    </row>
    <row r="199">
      <c r="A199" s="36">
        <f>IFERROR(INDEX($J$8:$J$207,MATCH(LARGE($R$8:$R$207,ROWS($A$8:A199)),$R$8:$R$207,0)),"")</f>
        <v/>
      </c>
      <c r="B199" s="36">
        <f>IFERROR(INDEX($K$8:$K$207,MATCH(LARGE($R$8:$R$207,ROWS($A$8:A199)),$R$8:$R$207,0)),"")</f>
        <v/>
      </c>
      <c r="C199" s="37">
        <f>IFERROR(INDEX($L$8:$L$207,MATCH(LARGE($R$8:$R$207,ROWS($A$8:A199)),$R$8:$R$207,0)),"")</f>
        <v/>
      </c>
      <c r="D199" s="37">
        <f>IFERROR(INDEX($M$8:$M$207,MATCH(LARGE($R$8:$R$207,ROWS($A$8:A199)),$R$8:$R$207,0)),"")</f>
        <v/>
      </c>
      <c r="E199" s="37">
        <f>IFERROR(INDEX($N$8:$N$207,MATCH(LARGE($R$8:$R$207,ROWS($A$8:A199)),$R$8:$R$207,0)),"")</f>
        <v/>
      </c>
      <c r="F199" s="40">
        <f>IFERROR(INDEX($O$8:$O$207,MATCH(LARGE($R$8:$R$207,ROWS($A$8:A199)),$R$8:$R$207,0)),"")</f>
        <v/>
      </c>
      <c r="G199" s="37">
        <f>IFERROR(INDEX($P$8:$P$207,MATCH(LARGE($R$8:$R$207,ROWS($A$8:A199)),$R$8:$R$207,0)),"")</f>
        <v/>
      </c>
      <c r="H199" s="36">
        <f>IFERROR(INDEX($Q$8:$Q$207,MATCH(LARGE($R$8:$R$207,ROWS($A$8:A199)),$R$8:$R$207,0)),"")</f>
        <v/>
      </c>
      <c r="J199">
        <f>IF(Trabajadores!B196="","",Trabajadores!B196)</f>
        <v/>
      </c>
      <c r="K199">
        <f>IF(J199="","",COUNTIFS(Detalle_Pagos!$E$5:$E$2004,J199,Detalle_Pagos!$J$5:$J$2004,"No"))</f>
        <v/>
      </c>
      <c r="L199" s="43">
        <f>IF(J199="","",SUMIFS(Detalle_Pagos!$I$5:$I$2004,Detalle_Pagos!$E$5:$E$2004,J199,Detalle_Pagos!$J$5:$J$2004,"No"))</f>
        <v/>
      </c>
      <c r="M199" s="43">
        <f>IF(J199="","",K199*IFERROR(INDEX(Trabajadores!$D$5:$D$204,MATCH(J199,Trabajadores!$B$5:$B$204,0)),0))</f>
        <v/>
      </c>
      <c r="N199" s="43">
        <f>IF(J199="","",L199+M199)</f>
        <v/>
      </c>
      <c r="O199" s="44">
        <f>IF(J199="","",IF(K199=0,"",LOOKUP(2,1/((Detalle_Pagos!$E$5:$E$2004=J199)*(Detalle_Pagos!$J$5:$J$2004="No")),Detalle_Pagos!$B$5:$B$2004)))</f>
        <v/>
      </c>
      <c r="P199" s="43">
        <f>IF(J199="","",SUMIFS(Detalle_Pagos!$I$5:$I$2004,Detalle_Pagos!$E$5:$E$2004,J199,Detalle_Pagos!$J$5:$J$2004,"Si"))</f>
        <v/>
      </c>
      <c r="Q199">
        <f>IF(J199="","",COUNTIFS(Detalle_Pagos!$E$5:$E$2004,J199,Detalle_Pagos!$J$5:$J$2004,"Si"))</f>
        <v/>
      </c>
      <c r="R199">
        <f>IF(J199="","",N199+K199/100000+(100000-ROW())/1000000000)</f>
        <v/>
      </c>
    </row>
    <row r="200">
      <c r="A200" s="38">
        <f>IFERROR(INDEX($J$8:$J$207,MATCH(LARGE($R$8:$R$207,ROWS($A$8:A200)),$R$8:$R$207,0)),"")</f>
        <v/>
      </c>
      <c r="B200" s="38">
        <f>IFERROR(INDEX($K$8:$K$207,MATCH(LARGE($R$8:$R$207,ROWS($A$8:A200)),$R$8:$R$207,0)),"")</f>
        <v/>
      </c>
      <c r="C200" s="39">
        <f>IFERROR(INDEX($L$8:$L$207,MATCH(LARGE($R$8:$R$207,ROWS($A$8:A200)),$R$8:$R$207,0)),"")</f>
        <v/>
      </c>
      <c r="D200" s="39">
        <f>IFERROR(INDEX($M$8:$M$207,MATCH(LARGE($R$8:$R$207,ROWS($A$8:A200)),$R$8:$R$207,0)),"")</f>
        <v/>
      </c>
      <c r="E200" s="39">
        <f>IFERROR(INDEX($N$8:$N$207,MATCH(LARGE($R$8:$R$207,ROWS($A$8:A200)),$R$8:$R$207,0)),"")</f>
        <v/>
      </c>
      <c r="F200" s="41">
        <f>IFERROR(INDEX($O$8:$O$207,MATCH(LARGE($R$8:$R$207,ROWS($A$8:A200)),$R$8:$R$207,0)),"")</f>
        <v/>
      </c>
      <c r="G200" s="39">
        <f>IFERROR(INDEX($P$8:$P$207,MATCH(LARGE($R$8:$R$207,ROWS($A$8:A200)),$R$8:$R$207,0)),"")</f>
        <v/>
      </c>
      <c r="H200" s="38">
        <f>IFERROR(INDEX($Q$8:$Q$207,MATCH(LARGE($R$8:$R$207,ROWS($A$8:A200)),$R$8:$R$207,0)),"")</f>
        <v/>
      </c>
      <c r="J200">
        <f>IF(Trabajadores!B197="","",Trabajadores!B197)</f>
        <v/>
      </c>
      <c r="K200">
        <f>IF(J200="","",COUNTIFS(Detalle_Pagos!$E$5:$E$2004,J200,Detalle_Pagos!$J$5:$J$2004,"No"))</f>
        <v/>
      </c>
      <c r="L200" s="43">
        <f>IF(J200="","",SUMIFS(Detalle_Pagos!$I$5:$I$2004,Detalle_Pagos!$E$5:$E$2004,J200,Detalle_Pagos!$J$5:$J$2004,"No"))</f>
        <v/>
      </c>
      <c r="M200" s="43">
        <f>IF(J200="","",K200*IFERROR(INDEX(Trabajadores!$D$5:$D$204,MATCH(J200,Trabajadores!$B$5:$B$204,0)),0))</f>
        <v/>
      </c>
      <c r="N200" s="43">
        <f>IF(J200="","",L200+M200)</f>
        <v/>
      </c>
      <c r="O200" s="44">
        <f>IF(J200="","",IF(K200=0,"",LOOKUP(2,1/((Detalle_Pagos!$E$5:$E$2004=J200)*(Detalle_Pagos!$J$5:$J$2004="No")),Detalle_Pagos!$B$5:$B$2004)))</f>
        <v/>
      </c>
      <c r="P200" s="43">
        <f>IF(J200="","",SUMIFS(Detalle_Pagos!$I$5:$I$2004,Detalle_Pagos!$E$5:$E$2004,J200,Detalle_Pagos!$J$5:$J$2004,"Si"))</f>
        <v/>
      </c>
      <c r="Q200">
        <f>IF(J200="","",COUNTIFS(Detalle_Pagos!$E$5:$E$2004,J200,Detalle_Pagos!$J$5:$J$2004,"Si"))</f>
        <v/>
      </c>
      <c r="R200">
        <f>IF(J200="","",N200+K200/100000+(100000-ROW())/1000000000)</f>
        <v/>
      </c>
    </row>
    <row r="201">
      <c r="A201" s="36">
        <f>IFERROR(INDEX($J$8:$J$207,MATCH(LARGE($R$8:$R$207,ROWS($A$8:A201)),$R$8:$R$207,0)),"")</f>
        <v/>
      </c>
      <c r="B201" s="36">
        <f>IFERROR(INDEX($K$8:$K$207,MATCH(LARGE($R$8:$R$207,ROWS($A$8:A201)),$R$8:$R$207,0)),"")</f>
        <v/>
      </c>
      <c r="C201" s="37">
        <f>IFERROR(INDEX($L$8:$L$207,MATCH(LARGE($R$8:$R$207,ROWS($A$8:A201)),$R$8:$R$207,0)),"")</f>
        <v/>
      </c>
      <c r="D201" s="37">
        <f>IFERROR(INDEX($M$8:$M$207,MATCH(LARGE($R$8:$R$207,ROWS($A$8:A201)),$R$8:$R$207,0)),"")</f>
        <v/>
      </c>
      <c r="E201" s="37">
        <f>IFERROR(INDEX($N$8:$N$207,MATCH(LARGE($R$8:$R$207,ROWS($A$8:A201)),$R$8:$R$207,0)),"")</f>
        <v/>
      </c>
      <c r="F201" s="40">
        <f>IFERROR(INDEX($O$8:$O$207,MATCH(LARGE($R$8:$R$207,ROWS($A$8:A201)),$R$8:$R$207,0)),"")</f>
        <v/>
      </c>
      <c r="G201" s="37">
        <f>IFERROR(INDEX($P$8:$P$207,MATCH(LARGE($R$8:$R$207,ROWS($A$8:A201)),$R$8:$R$207,0)),"")</f>
        <v/>
      </c>
      <c r="H201" s="36">
        <f>IFERROR(INDEX($Q$8:$Q$207,MATCH(LARGE($R$8:$R$207,ROWS($A$8:A201)),$R$8:$R$207,0)),"")</f>
        <v/>
      </c>
      <c r="J201">
        <f>IF(Trabajadores!B198="","",Trabajadores!B198)</f>
        <v/>
      </c>
      <c r="K201">
        <f>IF(J201="","",COUNTIFS(Detalle_Pagos!$E$5:$E$2004,J201,Detalle_Pagos!$J$5:$J$2004,"No"))</f>
        <v/>
      </c>
      <c r="L201" s="43">
        <f>IF(J201="","",SUMIFS(Detalle_Pagos!$I$5:$I$2004,Detalle_Pagos!$E$5:$E$2004,J201,Detalle_Pagos!$J$5:$J$2004,"No"))</f>
        <v/>
      </c>
      <c r="M201" s="43">
        <f>IF(J201="","",K201*IFERROR(INDEX(Trabajadores!$D$5:$D$204,MATCH(J201,Trabajadores!$B$5:$B$204,0)),0))</f>
        <v/>
      </c>
      <c r="N201" s="43">
        <f>IF(J201="","",L201+M201)</f>
        <v/>
      </c>
      <c r="O201" s="44">
        <f>IF(J201="","",IF(K201=0,"",LOOKUP(2,1/((Detalle_Pagos!$E$5:$E$2004=J201)*(Detalle_Pagos!$J$5:$J$2004="No")),Detalle_Pagos!$B$5:$B$2004)))</f>
        <v/>
      </c>
      <c r="P201" s="43">
        <f>IF(J201="","",SUMIFS(Detalle_Pagos!$I$5:$I$2004,Detalle_Pagos!$E$5:$E$2004,J201,Detalle_Pagos!$J$5:$J$2004,"Si"))</f>
        <v/>
      </c>
      <c r="Q201">
        <f>IF(J201="","",COUNTIFS(Detalle_Pagos!$E$5:$E$2004,J201,Detalle_Pagos!$J$5:$J$2004,"Si"))</f>
        <v/>
      </c>
      <c r="R201">
        <f>IF(J201="","",N201+K201/100000+(100000-ROW())/1000000000)</f>
        <v/>
      </c>
    </row>
    <row r="202">
      <c r="A202" s="38">
        <f>IFERROR(INDEX($J$8:$J$207,MATCH(LARGE($R$8:$R$207,ROWS($A$8:A202)),$R$8:$R$207,0)),"")</f>
        <v/>
      </c>
      <c r="B202" s="38">
        <f>IFERROR(INDEX($K$8:$K$207,MATCH(LARGE($R$8:$R$207,ROWS($A$8:A202)),$R$8:$R$207,0)),"")</f>
        <v/>
      </c>
      <c r="C202" s="39">
        <f>IFERROR(INDEX($L$8:$L$207,MATCH(LARGE($R$8:$R$207,ROWS($A$8:A202)),$R$8:$R$207,0)),"")</f>
        <v/>
      </c>
      <c r="D202" s="39">
        <f>IFERROR(INDEX($M$8:$M$207,MATCH(LARGE($R$8:$R$207,ROWS($A$8:A202)),$R$8:$R$207,0)),"")</f>
        <v/>
      </c>
      <c r="E202" s="39">
        <f>IFERROR(INDEX($N$8:$N$207,MATCH(LARGE($R$8:$R$207,ROWS($A$8:A202)),$R$8:$R$207,0)),"")</f>
        <v/>
      </c>
      <c r="F202" s="41">
        <f>IFERROR(INDEX($O$8:$O$207,MATCH(LARGE($R$8:$R$207,ROWS($A$8:A202)),$R$8:$R$207,0)),"")</f>
        <v/>
      </c>
      <c r="G202" s="39">
        <f>IFERROR(INDEX($P$8:$P$207,MATCH(LARGE($R$8:$R$207,ROWS($A$8:A202)),$R$8:$R$207,0)),"")</f>
        <v/>
      </c>
      <c r="H202" s="38">
        <f>IFERROR(INDEX($Q$8:$Q$207,MATCH(LARGE($R$8:$R$207,ROWS($A$8:A202)),$R$8:$R$207,0)),"")</f>
        <v/>
      </c>
      <c r="J202">
        <f>IF(Trabajadores!B199="","",Trabajadores!B199)</f>
        <v/>
      </c>
      <c r="K202">
        <f>IF(J202="","",COUNTIFS(Detalle_Pagos!$E$5:$E$2004,J202,Detalle_Pagos!$J$5:$J$2004,"No"))</f>
        <v/>
      </c>
      <c r="L202" s="43">
        <f>IF(J202="","",SUMIFS(Detalle_Pagos!$I$5:$I$2004,Detalle_Pagos!$E$5:$E$2004,J202,Detalle_Pagos!$J$5:$J$2004,"No"))</f>
        <v/>
      </c>
      <c r="M202" s="43">
        <f>IF(J202="","",K202*IFERROR(INDEX(Trabajadores!$D$5:$D$204,MATCH(J202,Trabajadores!$B$5:$B$204,0)),0))</f>
        <v/>
      </c>
      <c r="N202" s="43">
        <f>IF(J202="","",L202+M202)</f>
        <v/>
      </c>
      <c r="O202" s="44">
        <f>IF(J202="","",IF(K202=0,"",LOOKUP(2,1/((Detalle_Pagos!$E$5:$E$2004=J202)*(Detalle_Pagos!$J$5:$J$2004="No")),Detalle_Pagos!$B$5:$B$2004)))</f>
        <v/>
      </c>
      <c r="P202" s="43">
        <f>IF(J202="","",SUMIFS(Detalle_Pagos!$I$5:$I$2004,Detalle_Pagos!$E$5:$E$2004,J202,Detalle_Pagos!$J$5:$J$2004,"Si"))</f>
        <v/>
      </c>
      <c r="Q202">
        <f>IF(J202="","",COUNTIFS(Detalle_Pagos!$E$5:$E$2004,J202,Detalle_Pagos!$J$5:$J$2004,"Si"))</f>
        <v/>
      </c>
      <c r="R202">
        <f>IF(J202="","",N202+K202/100000+(100000-ROW())/1000000000)</f>
        <v/>
      </c>
    </row>
    <row r="203">
      <c r="A203" s="36">
        <f>IFERROR(INDEX($J$8:$J$207,MATCH(LARGE($R$8:$R$207,ROWS($A$8:A203)),$R$8:$R$207,0)),"")</f>
        <v/>
      </c>
      <c r="B203" s="36">
        <f>IFERROR(INDEX($K$8:$K$207,MATCH(LARGE($R$8:$R$207,ROWS($A$8:A203)),$R$8:$R$207,0)),"")</f>
        <v/>
      </c>
      <c r="C203" s="37">
        <f>IFERROR(INDEX($L$8:$L$207,MATCH(LARGE($R$8:$R$207,ROWS($A$8:A203)),$R$8:$R$207,0)),"")</f>
        <v/>
      </c>
      <c r="D203" s="37">
        <f>IFERROR(INDEX($M$8:$M$207,MATCH(LARGE($R$8:$R$207,ROWS($A$8:A203)),$R$8:$R$207,0)),"")</f>
        <v/>
      </c>
      <c r="E203" s="37">
        <f>IFERROR(INDEX($N$8:$N$207,MATCH(LARGE($R$8:$R$207,ROWS($A$8:A203)),$R$8:$R$207,0)),"")</f>
        <v/>
      </c>
      <c r="F203" s="40">
        <f>IFERROR(INDEX($O$8:$O$207,MATCH(LARGE($R$8:$R$207,ROWS($A$8:A203)),$R$8:$R$207,0)),"")</f>
        <v/>
      </c>
      <c r="G203" s="37">
        <f>IFERROR(INDEX($P$8:$P$207,MATCH(LARGE($R$8:$R$207,ROWS($A$8:A203)),$R$8:$R$207,0)),"")</f>
        <v/>
      </c>
      <c r="H203" s="36">
        <f>IFERROR(INDEX($Q$8:$Q$207,MATCH(LARGE($R$8:$R$207,ROWS($A$8:A203)),$R$8:$R$207,0)),"")</f>
        <v/>
      </c>
      <c r="J203">
        <f>IF(Trabajadores!B200="","",Trabajadores!B200)</f>
        <v/>
      </c>
      <c r="K203">
        <f>IF(J203="","",COUNTIFS(Detalle_Pagos!$E$5:$E$2004,J203,Detalle_Pagos!$J$5:$J$2004,"No"))</f>
        <v/>
      </c>
      <c r="L203" s="43">
        <f>IF(J203="","",SUMIFS(Detalle_Pagos!$I$5:$I$2004,Detalle_Pagos!$E$5:$E$2004,J203,Detalle_Pagos!$J$5:$J$2004,"No"))</f>
        <v/>
      </c>
      <c r="M203" s="43">
        <f>IF(J203="","",K203*IFERROR(INDEX(Trabajadores!$D$5:$D$204,MATCH(J203,Trabajadores!$B$5:$B$204,0)),0))</f>
        <v/>
      </c>
      <c r="N203" s="43">
        <f>IF(J203="","",L203+M203)</f>
        <v/>
      </c>
      <c r="O203" s="44">
        <f>IF(J203="","",IF(K203=0,"",LOOKUP(2,1/((Detalle_Pagos!$E$5:$E$2004=J203)*(Detalle_Pagos!$J$5:$J$2004="No")),Detalle_Pagos!$B$5:$B$2004)))</f>
        <v/>
      </c>
      <c r="P203" s="43">
        <f>IF(J203="","",SUMIFS(Detalle_Pagos!$I$5:$I$2004,Detalle_Pagos!$E$5:$E$2004,J203,Detalle_Pagos!$J$5:$J$2004,"Si"))</f>
        <v/>
      </c>
      <c r="Q203">
        <f>IF(J203="","",COUNTIFS(Detalle_Pagos!$E$5:$E$2004,J203,Detalle_Pagos!$J$5:$J$2004,"Si"))</f>
        <v/>
      </c>
      <c r="R203">
        <f>IF(J203="","",N203+K203/100000+(100000-ROW())/1000000000)</f>
        <v/>
      </c>
    </row>
    <row r="204">
      <c r="A204" s="38">
        <f>IFERROR(INDEX($J$8:$J$207,MATCH(LARGE($R$8:$R$207,ROWS($A$8:A204)),$R$8:$R$207,0)),"")</f>
        <v/>
      </c>
      <c r="B204" s="38">
        <f>IFERROR(INDEX($K$8:$K$207,MATCH(LARGE($R$8:$R$207,ROWS($A$8:A204)),$R$8:$R$207,0)),"")</f>
        <v/>
      </c>
      <c r="C204" s="39">
        <f>IFERROR(INDEX($L$8:$L$207,MATCH(LARGE($R$8:$R$207,ROWS($A$8:A204)),$R$8:$R$207,0)),"")</f>
        <v/>
      </c>
      <c r="D204" s="39">
        <f>IFERROR(INDEX($M$8:$M$207,MATCH(LARGE($R$8:$R$207,ROWS($A$8:A204)),$R$8:$R$207,0)),"")</f>
        <v/>
      </c>
      <c r="E204" s="39">
        <f>IFERROR(INDEX($N$8:$N$207,MATCH(LARGE($R$8:$R$207,ROWS($A$8:A204)),$R$8:$R$207,0)),"")</f>
        <v/>
      </c>
      <c r="F204" s="41">
        <f>IFERROR(INDEX($O$8:$O$207,MATCH(LARGE($R$8:$R$207,ROWS($A$8:A204)),$R$8:$R$207,0)),"")</f>
        <v/>
      </c>
      <c r="G204" s="39">
        <f>IFERROR(INDEX($P$8:$P$207,MATCH(LARGE($R$8:$R$207,ROWS($A$8:A204)),$R$8:$R$207,0)),"")</f>
        <v/>
      </c>
      <c r="H204" s="38">
        <f>IFERROR(INDEX($Q$8:$Q$207,MATCH(LARGE($R$8:$R$207,ROWS($A$8:A204)),$R$8:$R$207,0)),"")</f>
        <v/>
      </c>
      <c r="J204">
        <f>IF(Trabajadores!B201="","",Trabajadores!B201)</f>
        <v/>
      </c>
      <c r="K204">
        <f>IF(J204="","",COUNTIFS(Detalle_Pagos!$E$5:$E$2004,J204,Detalle_Pagos!$J$5:$J$2004,"No"))</f>
        <v/>
      </c>
      <c r="L204" s="43">
        <f>IF(J204="","",SUMIFS(Detalle_Pagos!$I$5:$I$2004,Detalle_Pagos!$E$5:$E$2004,J204,Detalle_Pagos!$J$5:$J$2004,"No"))</f>
        <v/>
      </c>
      <c r="M204" s="43">
        <f>IF(J204="","",K204*IFERROR(INDEX(Trabajadores!$D$5:$D$204,MATCH(J204,Trabajadores!$B$5:$B$204,0)),0))</f>
        <v/>
      </c>
      <c r="N204" s="43">
        <f>IF(J204="","",L204+M204)</f>
        <v/>
      </c>
      <c r="O204" s="44">
        <f>IF(J204="","",IF(K204=0,"",LOOKUP(2,1/((Detalle_Pagos!$E$5:$E$2004=J204)*(Detalle_Pagos!$J$5:$J$2004="No")),Detalle_Pagos!$B$5:$B$2004)))</f>
        <v/>
      </c>
      <c r="P204" s="43">
        <f>IF(J204="","",SUMIFS(Detalle_Pagos!$I$5:$I$2004,Detalle_Pagos!$E$5:$E$2004,J204,Detalle_Pagos!$J$5:$J$2004,"Si"))</f>
        <v/>
      </c>
      <c r="Q204">
        <f>IF(J204="","",COUNTIFS(Detalle_Pagos!$E$5:$E$2004,J204,Detalle_Pagos!$J$5:$J$2004,"Si"))</f>
        <v/>
      </c>
      <c r="R204">
        <f>IF(J204="","",N204+K204/100000+(100000-ROW())/1000000000)</f>
        <v/>
      </c>
    </row>
    <row r="205">
      <c r="A205" s="36">
        <f>IFERROR(INDEX($J$8:$J$207,MATCH(LARGE($R$8:$R$207,ROWS($A$8:A205)),$R$8:$R$207,0)),"")</f>
        <v/>
      </c>
      <c r="B205" s="36">
        <f>IFERROR(INDEX($K$8:$K$207,MATCH(LARGE($R$8:$R$207,ROWS($A$8:A205)),$R$8:$R$207,0)),"")</f>
        <v/>
      </c>
      <c r="C205" s="37">
        <f>IFERROR(INDEX($L$8:$L$207,MATCH(LARGE($R$8:$R$207,ROWS($A$8:A205)),$R$8:$R$207,0)),"")</f>
        <v/>
      </c>
      <c r="D205" s="37">
        <f>IFERROR(INDEX($M$8:$M$207,MATCH(LARGE($R$8:$R$207,ROWS($A$8:A205)),$R$8:$R$207,0)),"")</f>
        <v/>
      </c>
      <c r="E205" s="37">
        <f>IFERROR(INDEX($N$8:$N$207,MATCH(LARGE($R$8:$R$207,ROWS($A$8:A205)),$R$8:$R$207,0)),"")</f>
        <v/>
      </c>
      <c r="F205" s="40">
        <f>IFERROR(INDEX($O$8:$O$207,MATCH(LARGE($R$8:$R$207,ROWS($A$8:A205)),$R$8:$R$207,0)),"")</f>
        <v/>
      </c>
      <c r="G205" s="37">
        <f>IFERROR(INDEX($P$8:$P$207,MATCH(LARGE($R$8:$R$207,ROWS($A$8:A205)),$R$8:$R$207,0)),"")</f>
        <v/>
      </c>
      <c r="H205" s="36">
        <f>IFERROR(INDEX($Q$8:$Q$207,MATCH(LARGE($R$8:$R$207,ROWS($A$8:A205)),$R$8:$R$207,0)),"")</f>
        <v/>
      </c>
      <c r="J205">
        <f>IF(Trabajadores!B202="","",Trabajadores!B202)</f>
        <v/>
      </c>
      <c r="K205">
        <f>IF(J205="","",COUNTIFS(Detalle_Pagos!$E$5:$E$2004,J205,Detalle_Pagos!$J$5:$J$2004,"No"))</f>
        <v/>
      </c>
      <c r="L205" s="43">
        <f>IF(J205="","",SUMIFS(Detalle_Pagos!$I$5:$I$2004,Detalle_Pagos!$E$5:$E$2004,J205,Detalle_Pagos!$J$5:$J$2004,"No"))</f>
        <v/>
      </c>
      <c r="M205" s="43">
        <f>IF(J205="","",K205*IFERROR(INDEX(Trabajadores!$D$5:$D$204,MATCH(J205,Trabajadores!$B$5:$B$204,0)),0))</f>
        <v/>
      </c>
      <c r="N205" s="43">
        <f>IF(J205="","",L205+M205)</f>
        <v/>
      </c>
      <c r="O205" s="44">
        <f>IF(J205="","",IF(K205=0,"",LOOKUP(2,1/((Detalle_Pagos!$E$5:$E$2004=J205)*(Detalle_Pagos!$J$5:$J$2004="No")),Detalle_Pagos!$B$5:$B$2004)))</f>
        <v/>
      </c>
      <c r="P205" s="43">
        <f>IF(J205="","",SUMIFS(Detalle_Pagos!$I$5:$I$2004,Detalle_Pagos!$E$5:$E$2004,J205,Detalle_Pagos!$J$5:$J$2004,"Si"))</f>
        <v/>
      </c>
      <c r="Q205">
        <f>IF(J205="","",COUNTIFS(Detalle_Pagos!$E$5:$E$2004,J205,Detalle_Pagos!$J$5:$J$2004,"Si"))</f>
        <v/>
      </c>
      <c r="R205">
        <f>IF(J205="","",N205+K205/100000+(100000-ROW())/1000000000)</f>
        <v/>
      </c>
    </row>
    <row r="206">
      <c r="A206" s="38">
        <f>IFERROR(INDEX($J$8:$J$207,MATCH(LARGE($R$8:$R$207,ROWS($A$8:A206)),$R$8:$R$207,0)),"")</f>
        <v/>
      </c>
      <c r="B206" s="38">
        <f>IFERROR(INDEX($K$8:$K$207,MATCH(LARGE($R$8:$R$207,ROWS($A$8:A206)),$R$8:$R$207,0)),"")</f>
        <v/>
      </c>
      <c r="C206" s="39">
        <f>IFERROR(INDEX($L$8:$L$207,MATCH(LARGE($R$8:$R$207,ROWS($A$8:A206)),$R$8:$R$207,0)),"")</f>
        <v/>
      </c>
      <c r="D206" s="39">
        <f>IFERROR(INDEX($M$8:$M$207,MATCH(LARGE($R$8:$R$207,ROWS($A$8:A206)),$R$8:$R$207,0)),"")</f>
        <v/>
      </c>
      <c r="E206" s="39">
        <f>IFERROR(INDEX($N$8:$N$207,MATCH(LARGE($R$8:$R$207,ROWS($A$8:A206)),$R$8:$R$207,0)),"")</f>
        <v/>
      </c>
      <c r="F206" s="41">
        <f>IFERROR(INDEX($O$8:$O$207,MATCH(LARGE($R$8:$R$207,ROWS($A$8:A206)),$R$8:$R$207,0)),"")</f>
        <v/>
      </c>
      <c r="G206" s="39">
        <f>IFERROR(INDEX($P$8:$P$207,MATCH(LARGE($R$8:$R$207,ROWS($A$8:A206)),$R$8:$R$207,0)),"")</f>
        <v/>
      </c>
      <c r="H206" s="38">
        <f>IFERROR(INDEX($Q$8:$Q$207,MATCH(LARGE($R$8:$R$207,ROWS($A$8:A206)),$R$8:$R$207,0)),"")</f>
        <v/>
      </c>
      <c r="J206">
        <f>IF(Trabajadores!B203="","",Trabajadores!B203)</f>
        <v/>
      </c>
      <c r="K206">
        <f>IF(J206="","",COUNTIFS(Detalle_Pagos!$E$5:$E$2004,J206,Detalle_Pagos!$J$5:$J$2004,"No"))</f>
        <v/>
      </c>
      <c r="L206" s="43">
        <f>IF(J206="","",SUMIFS(Detalle_Pagos!$I$5:$I$2004,Detalle_Pagos!$E$5:$E$2004,J206,Detalle_Pagos!$J$5:$J$2004,"No"))</f>
        <v/>
      </c>
      <c r="M206" s="43">
        <f>IF(J206="","",K206*IFERROR(INDEX(Trabajadores!$D$5:$D$204,MATCH(J206,Trabajadores!$B$5:$B$204,0)),0))</f>
        <v/>
      </c>
      <c r="N206" s="43">
        <f>IF(J206="","",L206+M206)</f>
        <v/>
      </c>
      <c r="O206" s="44">
        <f>IF(J206="","",IF(K206=0,"",LOOKUP(2,1/((Detalle_Pagos!$E$5:$E$2004=J206)*(Detalle_Pagos!$J$5:$J$2004="No")),Detalle_Pagos!$B$5:$B$2004)))</f>
        <v/>
      </c>
      <c r="P206" s="43">
        <f>IF(J206="","",SUMIFS(Detalle_Pagos!$I$5:$I$2004,Detalle_Pagos!$E$5:$E$2004,J206,Detalle_Pagos!$J$5:$J$2004,"Si"))</f>
        <v/>
      </c>
      <c r="Q206">
        <f>IF(J206="","",COUNTIFS(Detalle_Pagos!$E$5:$E$2004,J206,Detalle_Pagos!$J$5:$J$2004,"Si"))</f>
        <v/>
      </c>
      <c r="R206">
        <f>IF(J206="","",N206+K206/100000+(100000-ROW())/1000000000)</f>
        <v/>
      </c>
    </row>
    <row r="207">
      <c r="A207" s="36">
        <f>IFERROR(INDEX($J$8:$J$207,MATCH(LARGE($R$8:$R$207,ROWS($A$8:A207)),$R$8:$R$207,0)),"")</f>
        <v/>
      </c>
      <c r="B207" s="36">
        <f>IFERROR(INDEX($K$8:$K$207,MATCH(LARGE($R$8:$R$207,ROWS($A$8:A207)),$R$8:$R$207,0)),"")</f>
        <v/>
      </c>
      <c r="C207" s="37">
        <f>IFERROR(INDEX($L$8:$L$207,MATCH(LARGE($R$8:$R$207,ROWS($A$8:A207)),$R$8:$R$207,0)),"")</f>
        <v/>
      </c>
      <c r="D207" s="37">
        <f>IFERROR(INDEX($M$8:$M$207,MATCH(LARGE($R$8:$R$207,ROWS($A$8:A207)),$R$8:$R$207,0)),"")</f>
        <v/>
      </c>
      <c r="E207" s="37">
        <f>IFERROR(INDEX($N$8:$N$207,MATCH(LARGE($R$8:$R$207,ROWS($A$8:A207)),$R$8:$R$207,0)),"")</f>
        <v/>
      </c>
      <c r="F207" s="40">
        <f>IFERROR(INDEX($O$8:$O$207,MATCH(LARGE($R$8:$R$207,ROWS($A$8:A207)),$R$8:$R$207,0)),"")</f>
        <v/>
      </c>
      <c r="G207" s="37">
        <f>IFERROR(INDEX($P$8:$P$207,MATCH(LARGE($R$8:$R$207,ROWS($A$8:A207)),$R$8:$R$207,0)),"")</f>
        <v/>
      </c>
      <c r="H207" s="36">
        <f>IFERROR(INDEX($Q$8:$Q$207,MATCH(LARGE($R$8:$R$207,ROWS($A$8:A207)),$R$8:$R$207,0)),"")</f>
        <v/>
      </c>
      <c r="J207">
        <f>IF(Trabajadores!B204="","",Trabajadores!B204)</f>
        <v/>
      </c>
      <c r="K207">
        <f>IF(J207="","",COUNTIFS(Detalle_Pagos!$E$5:$E$2004,J207,Detalle_Pagos!$J$5:$J$2004,"No"))</f>
        <v/>
      </c>
      <c r="L207" s="43">
        <f>IF(J207="","",SUMIFS(Detalle_Pagos!$I$5:$I$2004,Detalle_Pagos!$E$5:$E$2004,J207,Detalle_Pagos!$J$5:$J$2004,"No"))</f>
        <v/>
      </c>
      <c r="M207" s="43">
        <f>IF(J207="","",K207*IFERROR(INDEX(Trabajadores!$D$5:$D$204,MATCH(J207,Trabajadores!$B$5:$B$204,0)),0))</f>
        <v/>
      </c>
      <c r="N207" s="43">
        <f>IF(J207="","",L207+M207)</f>
        <v/>
      </c>
      <c r="O207" s="44">
        <f>IF(J207="","",IF(K207=0,"",LOOKUP(2,1/((Detalle_Pagos!$E$5:$E$2004=J207)*(Detalle_Pagos!$J$5:$J$2004="No")),Detalle_Pagos!$B$5:$B$2004)))</f>
        <v/>
      </c>
      <c r="P207" s="43">
        <f>IF(J207="","",SUMIFS(Detalle_Pagos!$I$5:$I$2004,Detalle_Pagos!$E$5:$E$2004,J207,Detalle_Pagos!$J$5:$J$2004,"Si"))</f>
        <v/>
      </c>
      <c r="Q207">
        <f>IF(J207="","",COUNTIFS(Detalle_Pagos!$E$5:$E$2004,J207,Detalle_Pagos!$J$5:$J$2004,"Si"))</f>
        <v/>
      </c>
      <c r="R207">
        <f>IF(J207="","",N207+K207/100000+(100000-ROW())/1000000000)</f>
        <v/>
      </c>
    </row>
  </sheetData>
  <autoFilter ref="A7:H207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7" customWidth="1" min="3" max="3"/>
    <col width="18" customWidth="1" min="4" max="4"/>
    <col width="13" customWidth="1" min="5" max="5"/>
    <col width="13" customWidth="1" min="6" max="6"/>
    <col width="18" customWidth="1" min="7" max="7"/>
    <col width="18" customWidth="1" min="8" max="8"/>
    <col width="16" customWidth="1" min="9" max="9"/>
    <col width="12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>
      <c r="A1" s="28" t="inlineStr">
        <is>
          <t>RESUMEN GENERAL Y FILTRO POR FECHAS</t>
        </is>
      </c>
    </row>
    <row r="3">
      <c r="A3" s="45" t="inlineStr">
        <is>
          <t>Fecha inicio</t>
        </is>
      </c>
      <c r="B3" s="44" t="n">
        <v>46023</v>
      </c>
      <c r="D3" s="45" t="inlineStr">
        <is>
          <t>Total pagado</t>
        </is>
      </c>
      <c r="E3" s="43">
        <f>SUMIFS(Detalle_Pagos!$I$5:$I$2004,Detalle_Pagos!$J$5:$J$2004,"Si",Detalle_Pagos!$B$5:$B$2004,"&gt;="&amp;$B$3,Detalle_Pagos!$B$5:$B$2004,"&lt;="&amp;$B$4)</f>
        <v/>
      </c>
      <c r="G3" s="45" t="inlineStr">
        <is>
          <t>Maniobras registradas</t>
        </is>
      </c>
      <c r="H3">
        <f>COUNTIFS(Maniobras!$A$5:$A$504,"&lt;&gt;",Maniobras!$B$5:$B$504,"&gt;="&amp;$B$3,Maniobras!$B$5:$B$504,"&lt;="&amp;$B$4)</f>
        <v/>
      </c>
    </row>
    <row r="4">
      <c r="A4" s="45" t="inlineStr">
        <is>
          <t>Fecha fin</t>
        </is>
      </c>
      <c r="B4" s="44" t="n">
        <v>46387</v>
      </c>
      <c r="D4" s="45" t="inlineStr">
        <is>
          <t>Total pendiente</t>
        </is>
      </c>
      <c r="E4" s="43">
        <f>SUMIFS(Detalle_Pagos!$I$5:$I$2004,Detalle_Pagos!$J$5:$J$2004,"No",Detalle_Pagos!$B$5:$B$2004,"&gt;="&amp;$B$3,Detalle_Pagos!$B$5:$B$2004,"&lt;="&amp;$B$4)</f>
        <v/>
      </c>
      <c r="G4" s="45" t="inlineStr">
        <is>
          <t>Trabajadores con pendiente</t>
        </is>
      </c>
      <c r="H4">
        <f>COUNTIF(Pendientes!$B$8:$B$207,"&gt;0")</f>
        <v/>
      </c>
    </row>
    <row r="7">
      <c r="A7" s="31" t="inlineStr">
        <is>
          <t>Trabajador</t>
        </is>
      </c>
      <c r="B7" s="31" t="inlineStr">
        <is>
          <t>Maniobras en rango</t>
        </is>
      </c>
      <c r="C7" s="31" t="inlineStr">
        <is>
          <t>Pagado en rango</t>
        </is>
      </c>
      <c r="D7" s="31" t="inlineStr">
        <is>
          <t>Pendiente en rango</t>
        </is>
      </c>
      <c r="E7" s="31" t="inlineStr">
        <is>
          <t># pendientes</t>
        </is>
      </c>
      <c r="F7" s="31" t="inlineStr">
        <is>
          <t># pagadas</t>
        </is>
      </c>
      <c r="G7" s="31" t="inlineStr">
        <is>
          <t>Extra ref. pendientes</t>
        </is>
      </c>
      <c r="H7" s="31" t="inlineStr">
        <is>
          <t>Total + extra ref.</t>
        </is>
      </c>
      <c r="I7" s="31" t="inlineStr">
        <is>
          <t>Total general</t>
        </is>
      </c>
      <c r="J7" s="31" t="n"/>
      <c r="K7" t="inlineStr">
        <is>
          <t>Trabajador</t>
        </is>
      </c>
      <c r="L7" t="inlineStr">
        <is>
          <t>Maniobras en rango</t>
        </is>
      </c>
      <c r="M7" t="inlineStr">
        <is>
          <t>Pagado en rango</t>
        </is>
      </c>
      <c r="N7" t="inlineStr">
        <is>
          <t>Pendiente en rango</t>
        </is>
      </c>
      <c r="O7" t="inlineStr">
        <is>
          <t># pendientes</t>
        </is>
      </c>
      <c r="P7" t="inlineStr">
        <is>
          <t># pagadas</t>
        </is>
      </c>
      <c r="Q7" t="inlineStr">
        <is>
          <t>Extra ref. pendientes</t>
        </is>
      </c>
      <c r="R7" t="inlineStr">
        <is>
          <t>Total + extra ref.</t>
        </is>
      </c>
      <c r="S7" t="inlineStr">
        <is>
          <t>Total general</t>
        </is>
      </c>
      <c r="T7" t="inlineStr">
        <is>
          <t>Orden</t>
        </is>
      </c>
    </row>
    <row r="8">
      <c r="A8" s="38">
        <f>IFERROR(INDEX($K$8:$K$207,MATCH(LARGE($T$8:$T$207,ROWS($A$8:A8)),$T$8:$T$207,0)),"")</f>
        <v/>
      </c>
      <c r="B8" s="38">
        <f>IFERROR(INDEX($L$8:$L$207,MATCH(LARGE($T$8:$T$207,ROWS($A$8:A8)),$T$8:$T$207,0)),"")</f>
        <v/>
      </c>
      <c r="C8" s="39">
        <f>IFERROR(INDEX($M$8:$M$207,MATCH(LARGE($T$8:$T$207,ROWS($A$8:A8)),$T$8:$T$207,0)),"")</f>
        <v/>
      </c>
      <c r="D8" s="39">
        <f>IFERROR(INDEX($N$8:$N$207,MATCH(LARGE($T$8:$T$207,ROWS($A$8:A8)),$T$8:$T$207,0)),"")</f>
        <v/>
      </c>
      <c r="E8" s="38">
        <f>IFERROR(INDEX($O$8:$O$207,MATCH(LARGE($T$8:$T$207,ROWS($A$8:A8)),$T$8:$T$207,0)),"")</f>
        <v/>
      </c>
      <c r="F8" s="38">
        <f>IFERROR(INDEX($P$8:$P$207,MATCH(LARGE($T$8:$T$207,ROWS($A$8:A8)),$T$8:$T$207,0)),"")</f>
        <v/>
      </c>
      <c r="G8" s="39">
        <f>IFERROR(INDEX($Q$8:$Q$207,MATCH(LARGE($T$8:$T$207,ROWS($A$8:A8)),$T$8:$T$207,0)),"")</f>
        <v/>
      </c>
      <c r="H8" s="39">
        <f>IFERROR(INDEX($R$8:$R$207,MATCH(LARGE($T$8:$T$207,ROWS($A$8:A8)),$T$8:$T$207,0)),"")</f>
        <v/>
      </c>
      <c r="I8" s="39">
        <f>IFERROR(INDEX($S$8:$S$207,MATCH(LARGE($T$8:$T$207,ROWS($A$8:A8)),$T$8:$T$207,0)),"")</f>
        <v/>
      </c>
      <c r="K8">
        <f>IF(Trabajadores!B5="","",Trabajadores!B5)</f>
        <v/>
      </c>
      <c r="L8">
        <f>IF(K8="","",COUNTIFS(Detalle_Pagos!$E$5:$E$2004,K8,Detalle_Pagos!$B$5:$B$2004,"&gt;="&amp;$B$3,Detalle_Pagos!$B$5:$B$2004,"&lt;="&amp;$B$4))</f>
        <v/>
      </c>
      <c r="M8" s="43">
        <f>IF(K8="","",SUMIFS(Detalle_Pagos!$I$5:$I$2004,Detalle_Pagos!$E$5:$E$2004,K8,Detalle_Pagos!$J$5:$J$2004,"Si",Detalle_Pagos!$B$5:$B$2004,"&gt;="&amp;$B$3,Detalle_Pagos!$B$5:$B$2004,"&lt;="&amp;$B$4))</f>
        <v/>
      </c>
      <c r="N8" s="43">
        <f>IF(K8="","",SUMIFS(Detalle_Pagos!$I$5:$I$2004,Detalle_Pagos!$E$5:$E$2004,K8,Detalle_Pagos!$J$5:$J$2004,"No",Detalle_Pagos!$B$5:$B$2004,"&gt;="&amp;$B$3,Detalle_Pagos!$B$5:$B$2004,"&lt;="&amp;$B$4))</f>
        <v/>
      </c>
      <c r="O8">
        <f>IF(K8="","",COUNTIFS(Detalle_Pagos!$E$5:$E$2004,K8,Detalle_Pagos!$J$5:$J$2004,"No",Detalle_Pagos!$B$5:$B$2004,"&gt;="&amp;$B$3,Detalle_Pagos!$B$5:$B$2004,"&lt;="&amp;$B$4))</f>
        <v/>
      </c>
      <c r="P8">
        <f>IF(K8="","",COUNTIFS(Detalle_Pagos!$E$5:$E$2004,K8,Detalle_Pagos!$J$5:$J$2004,"Si",Detalle_Pagos!$B$5:$B$2004,"&gt;="&amp;$B$3,Detalle_Pagos!$B$5:$B$2004,"&lt;="&amp;$B$4))</f>
        <v/>
      </c>
      <c r="Q8" s="43">
        <f>IF(K8="","",O8*IFERROR(INDEX(Trabajadores!$D$5:$D$204,MATCH(K8,Trabajadores!$B$5:$B$204,0)),0))</f>
        <v/>
      </c>
      <c r="R8" s="43">
        <f>IF(K8="","",N8+Q8)</f>
        <v/>
      </c>
      <c r="S8" s="43">
        <f>IF(K8="","",M8+N8)</f>
        <v/>
      </c>
      <c r="T8">
        <f>IF(K8="","",S8+R8/100000+L8/100000000+(100000-ROW())/1000000000)</f>
        <v/>
      </c>
    </row>
    <row r="9">
      <c r="A9" s="36">
        <f>IFERROR(INDEX($K$8:$K$207,MATCH(LARGE($T$8:$T$207,ROWS($A$8:A9)),$T$8:$T$207,0)),"")</f>
        <v/>
      </c>
      <c r="B9" s="36">
        <f>IFERROR(INDEX($L$8:$L$207,MATCH(LARGE($T$8:$T$207,ROWS($A$8:A9)),$T$8:$T$207,0)),"")</f>
        <v/>
      </c>
      <c r="C9" s="37">
        <f>IFERROR(INDEX($M$8:$M$207,MATCH(LARGE($T$8:$T$207,ROWS($A$8:A9)),$T$8:$T$207,0)),"")</f>
        <v/>
      </c>
      <c r="D9" s="37">
        <f>IFERROR(INDEX($N$8:$N$207,MATCH(LARGE($T$8:$T$207,ROWS($A$8:A9)),$T$8:$T$207,0)),"")</f>
        <v/>
      </c>
      <c r="E9" s="36">
        <f>IFERROR(INDEX($O$8:$O$207,MATCH(LARGE($T$8:$T$207,ROWS($A$8:A9)),$T$8:$T$207,0)),"")</f>
        <v/>
      </c>
      <c r="F9" s="36">
        <f>IFERROR(INDEX($P$8:$P$207,MATCH(LARGE($T$8:$T$207,ROWS($A$8:A9)),$T$8:$T$207,0)),"")</f>
        <v/>
      </c>
      <c r="G9" s="37">
        <f>IFERROR(INDEX($Q$8:$Q$207,MATCH(LARGE($T$8:$T$207,ROWS($A$8:A9)),$T$8:$T$207,0)),"")</f>
        <v/>
      </c>
      <c r="H9" s="37">
        <f>IFERROR(INDEX($R$8:$R$207,MATCH(LARGE($T$8:$T$207,ROWS($A$8:A9)),$T$8:$T$207,0)),"")</f>
        <v/>
      </c>
      <c r="I9" s="37">
        <f>IFERROR(INDEX($S$8:$S$207,MATCH(LARGE($T$8:$T$207,ROWS($A$8:A9)),$T$8:$T$207,0)),"")</f>
        <v/>
      </c>
      <c r="K9">
        <f>IF(Trabajadores!B6="","",Trabajadores!B6)</f>
        <v/>
      </c>
      <c r="L9">
        <f>IF(K9="","",COUNTIFS(Detalle_Pagos!$E$5:$E$2004,K9,Detalle_Pagos!$B$5:$B$2004,"&gt;="&amp;$B$3,Detalle_Pagos!$B$5:$B$2004,"&lt;="&amp;$B$4))</f>
        <v/>
      </c>
      <c r="M9" s="43">
        <f>IF(K9="","",SUMIFS(Detalle_Pagos!$I$5:$I$2004,Detalle_Pagos!$E$5:$E$2004,K9,Detalle_Pagos!$J$5:$J$2004,"Si",Detalle_Pagos!$B$5:$B$2004,"&gt;="&amp;$B$3,Detalle_Pagos!$B$5:$B$2004,"&lt;="&amp;$B$4))</f>
        <v/>
      </c>
      <c r="N9" s="43">
        <f>IF(K9="","",SUMIFS(Detalle_Pagos!$I$5:$I$2004,Detalle_Pagos!$E$5:$E$2004,K9,Detalle_Pagos!$J$5:$J$2004,"No",Detalle_Pagos!$B$5:$B$2004,"&gt;="&amp;$B$3,Detalle_Pagos!$B$5:$B$2004,"&lt;="&amp;$B$4))</f>
        <v/>
      </c>
      <c r="O9">
        <f>IF(K9="","",COUNTIFS(Detalle_Pagos!$E$5:$E$2004,K9,Detalle_Pagos!$J$5:$J$2004,"No",Detalle_Pagos!$B$5:$B$2004,"&gt;="&amp;$B$3,Detalle_Pagos!$B$5:$B$2004,"&lt;="&amp;$B$4))</f>
        <v/>
      </c>
      <c r="P9">
        <f>IF(K9="","",COUNTIFS(Detalle_Pagos!$E$5:$E$2004,K9,Detalle_Pagos!$J$5:$J$2004,"Si",Detalle_Pagos!$B$5:$B$2004,"&gt;="&amp;$B$3,Detalle_Pagos!$B$5:$B$2004,"&lt;="&amp;$B$4))</f>
        <v/>
      </c>
      <c r="Q9" s="43">
        <f>IF(K9="","",O9*IFERROR(INDEX(Trabajadores!$D$5:$D$204,MATCH(K9,Trabajadores!$B$5:$B$204,0)),0))</f>
        <v/>
      </c>
      <c r="R9" s="43">
        <f>IF(K9="","",N9+Q9)</f>
        <v/>
      </c>
      <c r="S9" s="43">
        <f>IF(K9="","",M9+N9)</f>
        <v/>
      </c>
      <c r="T9">
        <f>IF(K9="","",S9+R9/100000+L9/100000000+(100000-ROW())/1000000000)</f>
        <v/>
      </c>
    </row>
    <row r="10">
      <c r="A10" s="38">
        <f>IFERROR(INDEX($K$8:$K$207,MATCH(LARGE($T$8:$T$207,ROWS($A$8:A10)),$T$8:$T$207,0)),"")</f>
        <v/>
      </c>
      <c r="B10" s="38">
        <f>IFERROR(INDEX($L$8:$L$207,MATCH(LARGE($T$8:$T$207,ROWS($A$8:A10)),$T$8:$T$207,0)),"")</f>
        <v/>
      </c>
      <c r="C10" s="39">
        <f>IFERROR(INDEX($M$8:$M$207,MATCH(LARGE($T$8:$T$207,ROWS($A$8:A10)),$T$8:$T$207,0)),"")</f>
        <v/>
      </c>
      <c r="D10" s="39">
        <f>IFERROR(INDEX($N$8:$N$207,MATCH(LARGE($T$8:$T$207,ROWS($A$8:A10)),$T$8:$T$207,0)),"")</f>
        <v/>
      </c>
      <c r="E10" s="38">
        <f>IFERROR(INDEX($O$8:$O$207,MATCH(LARGE($T$8:$T$207,ROWS($A$8:A10)),$T$8:$T$207,0)),"")</f>
        <v/>
      </c>
      <c r="F10" s="38">
        <f>IFERROR(INDEX($P$8:$P$207,MATCH(LARGE($T$8:$T$207,ROWS($A$8:A10)),$T$8:$T$207,0)),"")</f>
        <v/>
      </c>
      <c r="G10" s="39">
        <f>IFERROR(INDEX($Q$8:$Q$207,MATCH(LARGE($T$8:$T$207,ROWS($A$8:A10)),$T$8:$T$207,0)),"")</f>
        <v/>
      </c>
      <c r="H10" s="39">
        <f>IFERROR(INDEX($R$8:$R$207,MATCH(LARGE($T$8:$T$207,ROWS($A$8:A10)),$T$8:$T$207,0)),"")</f>
        <v/>
      </c>
      <c r="I10" s="39">
        <f>IFERROR(INDEX($S$8:$S$207,MATCH(LARGE($T$8:$T$207,ROWS($A$8:A10)),$T$8:$T$207,0)),"")</f>
        <v/>
      </c>
      <c r="K10">
        <f>IF(Trabajadores!B7="","",Trabajadores!B7)</f>
        <v/>
      </c>
      <c r="L10">
        <f>IF(K10="","",COUNTIFS(Detalle_Pagos!$E$5:$E$2004,K10,Detalle_Pagos!$B$5:$B$2004,"&gt;="&amp;$B$3,Detalle_Pagos!$B$5:$B$2004,"&lt;="&amp;$B$4))</f>
        <v/>
      </c>
      <c r="M10" s="43">
        <f>IF(K10="","",SUMIFS(Detalle_Pagos!$I$5:$I$2004,Detalle_Pagos!$E$5:$E$2004,K10,Detalle_Pagos!$J$5:$J$2004,"Si",Detalle_Pagos!$B$5:$B$2004,"&gt;="&amp;$B$3,Detalle_Pagos!$B$5:$B$2004,"&lt;="&amp;$B$4))</f>
        <v/>
      </c>
      <c r="N10" s="43">
        <f>IF(K10="","",SUMIFS(Detalle_Pagos!$I$5:$I$2004,Detalle_Pagos!$E$5:$E$2004,K10,Detalle_Pagos!$J$5:$J$2004,"No",Detalle_Pagos!$B$5:$B$2004,"&gt;="&amp;$B$3,Detalle_Pagos!$B$5:$B$2004,"&lt;="&amp;$B$4))</f>
        <v/>
      </c>
      <c r="O10">
        <f>IF(K10="","",COUNTIFS(Detalle_Pagos!$E$5:$E$2004,K10,Detalle_Pagos!$J$5:$J$2004,"No",Detalle_Pagos!$B$5:$B$2004,"&gt;="&amp;$B$3,Detalle_Pagos!$B$5:$B$2004,"&lt;="&amp;$B$4))</f>
        <v/>
      </c>
      <c r="P10">
        <f>IF(K10="","",COUNTIFS(Detalle_Pagos!$E$5:$E$2004,K10,Detalle_Pagos!$J$5:$J$2004,"Si",Detalle_Pagos!$B$5:$B$2004,"&gt;="&amp;$B$3,Detalle_Pagos!$B$5:$B$2004,"&lt;="&amp;$B$4))</f>
        <v/>
      </c>
      <c r="Q10" s="43">
        <f>IF(K10="","",O10*IFERROR(INDEX(Trabajadores!$D$5:$D$204,MATCH(K10,Trabajadores!$B$5:$B$204,0)),0))</f>
        <v/>
      </c>
      <c r="R10" s="43">
        <f>IF(K10="","",N10+Q10)</f>
        <v/>
      </c>
      <c r="S10" s="43">
        <f>IF(K10="","",M10+N10)</f>
        <v/>
      </c>
      <c r="T10">
        <f>IF(K10="","",S10+R10/100000+L10/100000000+(100000-ROW())/1000000000)</f>
        <v/>
      </c>
    </row>
    <row r="11">
      <c r="A11" s="36">
        <f>IFERROR(INDEX($K$8:$K$207,MATCH(LARGE($T$8:$T$207,ROWS($A$8:A11)),$T$8:$T$207,0)),"")</f>
        <v/>
      </c>
      <c r="B11" s="36">
        <f>IFERROR(INDEX($L$8:$L$207,MATCH(LARGE($T$8:$T$207,ROWS($A$8:A11)),$T$8:$T$207,0)),"")</f>
        <v/>
      </c>
      <c r="C11" s="37">
        <f>IFERROR(INDEX($M$8:$M$207,MATCH(LARGE($T$8:$T$207,ROWS($A$8:A11)),$T$8:$T$207,0)),"")</f>
        <v/>
      </c>
      <c r="D11" s="37">
        <f>IFERROR(INDEX($N$8:$N$207,MATCH(LARGE($T$8:$T$207,ROWS($A$8:A11)),$T$8:$T$207,0)),"")</f>
        <v/>
      </c>
      <c r="E11" s="36">
        <f>IFERROR(INDEX($O$8:$O$207,MATCH(LARGE($T$8:$T$207,ROWS($A$8:A11)),$T$8:$T$207,0)),"")</f>
        <v/>
      </c>
      <c r="F11" s="36">
        <f>IFERROR(INDEX($P$8:$P$207,MATCH(LARGE($T$8:$T$207,ROWS($A$8:A11)),$T$8:$T$207,0)),"")</f>
        <v/>
      </c>
      <c r="G11" s="37">
        <f>IFERROR(INDEX($Q$8:$Q$207,MATCH(LARGE($T$8:$T$207,ROWS($A$8:A11)),$T$8:$T$207,0)),"")</f>
        <v/>
      </c>
      <c r="H11" s="37">
        <f>IFERROR(INDEX($R$8:$R$207,MATCH(LARGE($T$8:$T$207,ROWS($A$8:A11)),$T$8:$T$207,0)),"")</f>
        <v/>
      </c>
      <c r="I11" s="37">
        <f>IFERROR(INDEX($S$8:$S$207,MATCH(LARGE($T$8:$T$207,ROWS($A$8:A11)),$T$8:$T$207,0)),"")</f>
        <v/>
      </c>
      <c r="K11">
        <f>IF(Trabajadores!B8="","",Trabajadores!B8)</f>
        <v/>
      </c>
      <c r="L11">
        <f>IF(K11="","",COUNTIFS(Detalle_Pagos!$E$5:$E$2004,K11,Detalle_Pagos!$B$5:$B$2004,"&gt;="&amp;$B$3,Detalle_Pagos!$B$5:$B$2004,"&lt;="&amp;$B$4))</f>
        <v/>
      </c>
      <c r="M11" s="43">
        <f>IF(K11="","",SUMIFS(Detalle_Pagos!$I$5:$I$2004,Detalle_Pagos!$E$5:$E$2004,K11,Detalle_Pagos!$J$5:$J$2004,"Si",Detalle_Pagos!$B$5:$B$2004,"&gt;="&amp;$B$3,Detalle_Pagos!$B$5:$B$2004,"&lt;="&amp;$B$4))</f>
        <v/>
      </c>
      <c r="N11" s="43">
        <f>IF(K11="","",SUMIFS(Detalle_Pagos!$I$5:$I$2004,Detalle_Pagos!$E$5:$E$2004,K11,Detalle_Pagos!$J$5:$J$2004,"No",Detalle_Pagos!$B$5:$B$2004,"&gt;="&amp;$B$3,Detalle_Pagos!$B$5:$B$2004,"&lt;="&amp;$B$4))</f>
        <v/>
      </c>
      <c r="O11">
        <f>IF(K11="","",COUNTIFS(Detalle_Pagos!$E$5:$E$2004,K11,Detalle_Pagos!$J$5:$J$2004,"No",Detalle_Pagos!$B$5:$B$2004,"&gt;="&amp;$B$3,Detalle_Pagos!$B$5:$B$2004,"&lt;="&amp;$B$4))</f>
        <v/>
      </c>
      <c r="P11">
        <f>IF(K11="","",COUNTIFS(Detalle_Pagos!$E$5:$E$2004,K11,Detalle_Pagos!$J$5:$J$2004,"Si",Detalle_Pagos!$B$5:$B$2004,"&gt;="&amp;$B$3,Detalle_Pagos!$B$5:$B$2004,"&lt;="&amp;$B$4))</f>
        <v/>
      </c>
      <c r="Q11" s="43">
        <f>IF(K11="","",O11*IFERROR(INDEX(Trabajadores!$D$5:$D$204,MATCH(K11,Trabajadores!$B$5:$B$204,0)),0))</f>
        <v/>
      </c>
      <c r="R11" s="43">
        <f>IF(K11="","",N11+Q11)</f>
        <v/>
      </c>
      <c r="S11" s="43">
        <f>IF(K11="","",M11+N11)</f>
        <v/>
      </c>
      <c r="T11">
        <f>IF(K11="","",S11+R11/100000+L11/100000000+(100000-ROW())/1000000000)</f>
        <v/>
      </c>
    </row>
    <row r="12">
      <c r="A12" s="38">
        <f>IFERROR(INDEX($K$8:$K$207,MATCH(LARGE($T$8:$T$207,ROWS($A$8:A12)),$T$8:$T$207,0)),"")</f>
        <v/>
      </c>
      <c r="B12" s="38">
        <f>IFERROR(INDEX($L$8:$L$207,MATCH(LARGE($T$8:$T$207,ROWS($A$8:A12)),$T$8:$T$207,0)),"")</f>
        <v/>
      </c>
      <c r="C12" s="39">
        <f>IFERROR(INDEX($M$8:$M$207,MATCH(LARGE($T$8:$T$207,ROWS($A$8:A12)),$T$8:$T$207,0)),"")</f>
        <v/>
      </c>
      <c r="D12" s="39">
        <f>IFERROR(INDEX($N$8:$N$207,MATCH(LARGE($T$8:$T$207,ROWS($A$8:A12)),$T$8:$T$207,0)),"")</f>
        <v/>
      </c>
      <c r="E12" s="38">
        <f>IFERROR(INDEX($O$8:$O$207,MATCH(LARGE($T$8:$T$207,ROWS($A$8:A12)),$T$8:$T$207,0)),"")</f>
        <v/>
      </c>
      <c r="F12" s="38">
        <f>IFERROR(INDEX($P$8:$P$207,MATCH(LARGE($T$8:$T$207,ROWS($A$8:A12)),$T$8:$T$207,0)),"")</f>
        <v/>
      </c>
      <c r="G12" s="39">
        <f>IFERROR(INDEX($Q$8:$Q$207,MATCH(LARGE($T$8:$T$207,ROWS($A$8:A12)),$T$8:$T$207,0)),"")</f>
        <v/>
      </c>
      <c r="H12" s="39">
        <f>IFERROR(INDEX($R$8:$R$207,MATCH(LARGE($T$8:$T$207,ROWS($A$8:A12)),$T$8:$T$207,0)),"")</f>
        <v/>
      </c>
      <c r="I12" s="39">
        <f>IFERROR(INDEX($S$8:$S$207,MATCH(LARGE($T$8:$T$207,ROWS($A$8:A12)),$T$8:$T$207,0)),"")</f>
        <v/>
      </c>
      <c r="K12">
        <f>IF(Trabajadores!B9="","",Trabajadores!B9)</f>
        <v/>
      </c>
      <c r="L12">
        <f>IF(K12="","",COUNTIFS(Detalle_Pagos!$E$5:$E$2004,K12,Detalle_Pagos!$B$5:$B$2004,"&gt;="&amp;$B$3,Detalle_Pagos!$B$5:$B$2004,"&lt;="&amp;$B$4))</f>
        <v/>
      </c>
      <c r="M12" s="43">
        <f>IF(K12="","",SUMIFS(Detalle_Pagos!$I$5:$I$2004,Detalle_Pagos!$E$5:$E$2004,K12,Detalle_Pagos!$J$5:$J$2004,"Si",Detalle_Pagos!$B$5:$B$2004,"&gt;="&amp;$B$3,Detalle_Pagos!$B$5:$B$2004,"&lt;="&amp;$B$4))</f>
        <v/>
      </c>
      <c r="N12" s="43">
        <f>IF(K12="","",SUMIFS(Detalle_Pagos!$I$5:$I$2004,Detalle_Pagos!$E$5:$E$2004,K12,Detalle_Pagos!$J$5:$J$2004,"No",Detalle_Pagos!$B$5:$B$2004,"&gt;="&amp;$B$3,Detalle_Pagos!$B$5:$B$2004,"&lt;="&amp;$B$4))</f>
        <v/>
      </c>
      <c r="O12">
        <f>IF(K12="","",COUNTIFS(Detalle_Pagos!$E$5:$E$2004,K12,Detalle_Pagos!$J$5:$J$2004,"No",Detalle_Pagos!$B$5:$B$2004,"&gt;="&amp;$B$3,Detalle_Pagos!$B$5:$B$2004,"&lt;="&amp;$B$4))</f>
        <v/>
      </c>
      <c r="P12">
        <f>IF(K12="","",COUNTIFS(Detalle_Pagos!$E$5:$E$2004,K12,Detalle_Pagos!$J$5:$J$2004,"Si",Detalle_Pagos!$B$5:$B$2004,"&gt;="&amp;$B$3,Detalle_Pagos!$B$5:$B$2004,"&lt;="&amp;$B$4))</f>
        <v/>
      </c>
      <c r="Q12" s="43">
        <f>IF(K12="","",O12*IFERROR(INDEX(Trabajadores!$D$5:$D$204,MATCH(K12,Trabajadores!$B$5:$B$204,0)),0))</f>
        <v/>
      </c>
      <c r="R12" s="43">
        <f>IF(K12="","",N12+Q12)</f>
        <v/>
      </c>
      <c r="S12" s="43">
        <f>IF(K12="","",M12+N12)</f>
        <v/>
      </c>
      <c r="T12">
        <f>IF(K12="","",S12+R12/100000+L12/100000000+(100000-ROW())/1000000000)</f>
        <v/>
      </c>
    </row>
    <row r="13">
      <c r="A13" s="36">
        <f>IFERROR(INDEX($K$8:$K$207,MATCH(LARGE($T$8:$T$207,ROWS($A$8:A13)),$T$8:$T$207,0)),"")</f>
        <v/>
      </c>
      <c r="B13" s="36">
        <f>IFERROR(INDEX($L$8:$L$207,MATCH(LARGE($T$8:$T$207,ROWS($A$8:A13)),$T$8:$T$207,0)),"")</f>
        <v/>
      </c>
      <c r="C13" s="37">
        <f>IFERROR(INDEX($M$8:$M$207,MATCH(LARGE($T$8:$T$207,ROWS($A$8:A13)),$T$8:$T$207,0)),"")</f>
        <v/>
      </c>
      <c r="D13" s="37">
        <f>IFERROR(INDEX($N$8:$N$207,MATCH(LARGE($T$8:$T$207,ROWS($A$8:A13)),$T$8:$T$207,0)),"")</f>
        <v/>
      </c>
      <c r="E13" s="36">
        <f>IFERROR(INDEX($O$8:$O$207,MATCH(LARGE($T$8:$T$207,ROWS($A$8:A13)),$T$8:$T$207,0)),"")</f>
        <v/>
      </c>
      <c r="F13" s="36">
        <f>IFERROR(INDEX($P$8:$P$207,MATCH(LARGE($T$8:$T$207,ROWS($A$8:A13)),$T$8:$T$207,0)),"")</f>
        <v/>
      </c>
      <c r="G13" s="37">
        <f>IFERROR(INDEX($Q$8:$Q$207,MATCH(LARGE($T$8:$T$207,ROWS($A$8:A13)),$T$8:$T$207,0)),"")</f>
        <v/>
      </c>
      <c r="H13" s="37">
        <f>IFERROR(INDEX($R$8:$R$207,MATCH(LARGE($T$8:$T$207,ROWS($A$8:A13)),$T$8:$T$207,0)),"")</f>
        <v/>
      </c>
      <c r="I13" s="37">
        <f>IFERROR(INDEX($S$8:$S$207,MATCH(LARGE($T$8:$T$207,ROWS($A$8:A13)),$T$8:$T$207,0)),"")</f>
        <v/>
      </c>
      <c r="K13">
        <f>IF(Trabajadores!B10="","",Trabajadores!B10)</f>
        <v/>
      </c>
      <c r="L13">
        <f>IF(K13="","",COUNTIFS(Detalle_Pagos!$E$5:$E$2004,K13,Detalle_Pagos!$B$5:$B$2004,"&gt;="&amp;$B$3,Detalle_Pagos!$B$5:$B$2004,"&lt;="&amp;$B$4))</f>
        <v/>
      </c>
      <c r="M13" s="43">
        <f>IF(K13="","",SUMIFS(Detalle_Pagos!$I$5:$I$2004,Detalle_Pagos!$E$5:$E$2004,K13,Detalle_Pagos!$J$5:$J$2004,"Si",Detalle_Pagos!$B$5:$B$2004,"&gt;="&amp;$B$3,Detalle_Pagos!$B$5:$B$2004,"&lt;="&amp;$B$4))</f>
        <v/>
      </c>
      <c r="N13" s="43">
        <f>IF(K13="","",SUMIFS(Detalle_Pagos!$I$5:$I$2004,Detalle_Pagos!$E$5:$E$2004,K13,Detalle_Pagos!$J$5:$J$2004,"No",Detalle_Pagos!$B$5:$B$2004,"&gt;="&amp;$B$3,Detalle_Pagos!$B$5:$B$2004,"&lt;="&amp;$B$4))</f>
        <v/>
      </c>
      <c r="O13">
        <f>IF(K13="","",COUNTIFS(Detalle_Pagos!$E$5:$E$2004,K13,Detalle_Pagos!$J$5:$J$2004,"No",Detalle_Pagos!$B$5:$B$2004,"&gt;="&amp;$B$3,Detalle_Pagos!$B$5:$B$2004,"&lt;="&amp;$B$4))</f>
        <v/>
      </c>
      <c r="P13">
        <f>IF(K13="","",COUNTIFS(Detalle_Pagos!$E$5:$E$2004,K13,Detalle_Pagos!$J$5:$J$2004,"Si",Detalle_Pagos!$B$5:$B$2004,"&gt;="&amp;$B$3,Detalle_Pagos!$B$5:$B$2004,"&lt;="&amp;$B$4))</f>
        <v/>
      </c>
      <c r="Q13" s="43">
        <f>IF(K13="","",O13*IFERROR(INDEX(Trabajadores!$D$5:$D$204,MATCH(K13,Trabajadores!$B$5:$B$204,0)),0))</f>
        <v/>
      </c>
      <c r="R13" s="43">
        <f>IF(K13="","",N13+Q13)</f>
        <v/>
      </c>
      <c r="S13" s="43">
        <f>IF(K13="","",M13+N13)</f>
        <v/>
      </c>
      <c r="T13">
        <f>IF(K13="","",S13+R13/100000+L13/100000000+(100000-ROW())/1000000000)</f>
        <v/>
      </c>
    </row>
    <row r="14">
      <c r="A14" s="38">
        <f>IFERROR(INDEX($K$8:$K$207,MATCH(LARGE($T$8:$T$207,ROWS($A$8:A14)),$T$8:$T$207,0)),"")</f>
        <v/>
      </c>
      <c r="B14" s="38">
        <f>IFERROR(INDEX($L$8:$L$207,MATCH(LARGE($T$8:$T$207,ROWS($A$8:A14)),$T$8:$T$207,0)),"")</f>
        <v/>
      </c>
      <c r="C14" s="39">
        <f>IFERROR(INDEX($M$8:$M$207,MATCH(LARGE($T$8:$T$207,ROWS($A$8:A14)),$T$8:$T$207,0)),"")</f>
        <v/>
      </c>
      <c r="D14" s="39">
        <f>IFERROR(INDEX($N$8:$N$207,MATCH(LARGE($T$8:$T$207,ROWS($A$8:A14)),$T$8:$T$207,0)),"")</f>
        <v/>
      </c>
      <c r="E14" s="38">
        <f>IFERROR(INDEX($O$8:$O$207,MATCH(LARGE($T$8:$T$207,ROWS($A$8:A14)),$T$8:$T$207,0)),"")</f>
        <v/>
      </c>
      <c r="F14" s="38">
        <f>IFERROR(INDEX($P$8:$P$207,MATCH(LARGE($T$8:$T$207,ROWS($A$8:A14)),$T$8:$T$207,0)),"")</f>
        <v/>
      </c>
      <c r="G14" s="39">
        <f>IFERROR(INDEX($Q$8:$Q$207,MATCH(LARGE($T$8:$T$207,ROWS($A$8:A14)),$T$8:$T$207,0)),"")</f>
        <v/>
      </c>
      <c r="H14" s="39">
        <f>IFERROR(INDEX($R$8:$R$207,MATCH(LARGE($T$8:$T$207,ROWS($A$8:A14)),$T$8:$T$207,0)),"")</f>
        <v/>
      </c>
      <c r="I14" s="39">
        <f>IFERROR(INDEX($S$8:$S$207,MATCH(LARGE($T$8:$T$207,ROWS($A$8:A14)),$T$8:$T$207,0)),"")</f>
        <v/>
      </c>
      <c r="K14">
        <f>IF(Trabajadores!B11="","",Trabajadores!B11)</f>
        <v/>
      </c>
      <c r="L14">
        <f>IF(K14="","",COUNTIFS(Detalle_Pagos!$E$5:$E$2004,K14,Detalle_Pagos!$B$5:$B$2004,"&gt;="&amp;$B$3,Detalle_Pagos!$B$5:$B$2004,"&lt;="&amp;$B$4))</f>
        <v/>
      </c>
      <c r="M14" s="43">
        <f>IF(K14="","",SUMIFS(Detalle_Pagos!$I$5:$I$2004,Detalle_Pagos!$E$5:$E$2004,K14,Detalle_Pagos!$J$5:$J$2004,"Si",Detalle_Pagos!$B$5:$B$2004,"&gt;="&amp;$B$3,Detalle_Pagos!$B$5:$B$2004,"&lt;="&amp;$B$4))</f>
        <v/>
      </c>
      <c r="N14" s="43">
        <f>IF(K14="","",SUMIFS(Detalle_Pagos!$I$5:$I$2004,Detalle_Pagos!$E$5:$E$2004,K14,Detalle_Pagos!$J$5:$J$2004,"No",Detalle_Pagos!$B$5:$B$2004,"&gt;="&amp;$B$3,Detalle_Pagos!$B$5:$B$2004,"&lt;="&amp;$B$4))</f>
        <v/>
      </c>
      <c r="O14">
        <f>IF(K14="","",COUNTIFS(Detalle_Pagos!$E$5:$E$2004,K14,Detalle_Pagos!$J$5:$J$2004,"No",Detalle_Pagos!$B$5:$B$2004,"&gt;="&amp;$B$3,Detalle_Pagos!$B$5:$B$2004,"&lt;="&amp;$B$4))</f>
        <v/>
      </c>
      <c r="P14">
        <f>IF(K14="","",COUNTIFS(Detalle_Pagos!$E$5:$E$2004,K14,Detalle_Pagos!$J$5:$J$2004,"Si",Detalle_Pagos!$B$5:$B$2004,"&gt;="&amp;$B$3,Detalle_Pagos!$B$5:$B$2004,"&lt;="&amp;$B$4))</f>
        <v/>
      </c>
      <c r="Q14" s="43">
        <f>IF(K14="","",O14*IFERROR(INDEX(Trabajadores!$D$5:$D$204,MATCH(K14,Trabajadores!$B$5:$B$204,0)),0))</f>
        <v/>
      </c>
      <c r="R14" s="43">
        <f>IF(K14="","",N14+Q14)</f>
        <v/>
      </c>
      <c r="S14" s="43">
        <f>IF(K14="","",M14+N14)</f>
        <v/>
      </c>
      <c r="T14">
        <f>IF(K14="","",S14+R14/100000+L14/100000000+(100000-ROW())/1000000000)</f>
        <v/>
      </c>
    </row>
    <row r="15">
      <c r="A15" s="36">
        <f>IFERROR(INDEX($K$8:$K$207,MATCH(LARGE($T$8:$T$207,ROWS($A$8:A15)),$T$8:$T$207,0)),"")</f>
        <v/>
      </c>
      <c r="B15" s="36">
        <f>IFERROR(INDEX($L$8:$L$207,MATCH(LARGE($T$8:$T$207,ROWS($A$8:A15)),$T$8:$T$207,0)),"")</f>
        <v/>
      </c>
      <c r="C15" s="37">
        <f>IFERROR(INDEX($M$8:$M$207,MATCH(LARGE($T$8:$T$207,ROWS($A$8:A15)),$T$8:$T$207,0)),"")</f>
        <v/>
      </c>
      <c r="D15" s="37">
        <f>IFERROR(INDEX($N$8:$N$207,MATCH(LARGE($T$8:$T$207,ROWS($A$8:A15)),$T$8:$T$207,0)),"")</f>
        <v/>
      </c>
      <c r="E15" s="36">
        <f>IFERROR(INDEX($O$8:$O$207,MATCH(LARGE($T$8:$T$207,ROWS($A$8:A15)),$T$8:$T$207,0)),"")</f>
        <v/>
      </c>
      <c r="F15" s="36">
        <f>IFERROR(INDEX($P$8:$P$207,MATCH(LARGE($T$8:$T$207,ROWS($A$8:A15)),$T$8:$T$207,0)),"")</f>
        <v/>
      </c>
      <c r="G15" s="37">
        <f>IFERROR(INDEX($Q$8:$Q$207,MATCH(LARGE($T$8:$T$207,ROWS($A$8:A15)),$T$8:$T$207,0)),"")</f>
        <v/>
      </c>
      <c r="H15" s="37">
        <f>IFERROR(INDEX($R$8:$R$207,MATCH(LARGE($T$8:$T$207,ROWS($A$8:A15)),$T$8:$T$207,0)),"")</f>
        <v/>
      </c>
      <c r="I15" s="37">
        <f>IFERROR(INDEX($S$8:$S$207,MATCH(LARGE($T$8:$T$207,ROWS($A$8:A15)),$T$8:$T$207,0)),"")</f>
        <v/>
      </c>
      <c r="K15">
        <f>IF(Trabajadores!B12="","",Trabajadores!B12)</f>
        <v/>
      </c>
      <c r="L15">
        <f>IF(K15="","",COUNTIFS(Detalle_Pagos!$E$5:$E$2004,K15,Detalle_Pagos!$B$5:$B$2004,"&gt;="&amp;$B$3,Detalle_Pagos!$B$5:$B$2004,"&lt;="&amp;$B$4))</f>
        <v/>
      </c>
      <c r="M15" s="43">
        <f>IF(K15="","",SUMIFS(Detalle_Pagos!$I$5:$I$2004,Detalle_Pagos!$E$5:$E$2004,K15,Detalle_Pagos!$J$5:$J$2004,"Si",Detalle_Pagos!$B$5:$B$2004,"&gt;="&amp;$B$3,Detalle_Pagos!$B$5:$B$2004,"&lt;="&amp;$B$4))</f>
        <v/>
      </c>
      <c r="N15" s="43">
        <f>IF(K15="","",SUMIFS(Detalle_Pagos!$I$5:$I$2004,Detalle_Pagos!$E$5:$E$2004,K15,Detalle_Pagos!$J$5:$J$2004,"No",Detalle_Pagos!$B$5:$B$2004,"&gt;="&amp;$B$3,Detalle_Pagos!$B$5:$B$2004,"&lt;="&amp;$B$4))</f>
        <v/>
      </c>
      <c r="O15">
        <f>IF(K15="","",COUNTIFS(Detalle_Pagos!$E$5:$E$2004,K15,Detalle_Pagos!$J$5:$J$2004,"No",Detalle_Pagos!$B$5:$B$2004,"&gt;="&amp;$B$3,Detalle_Pagos!$B$5:$B$2004,"&lt;="&amp;$B$4))</f>
        <v/>
      </c>
      <c r="P15">
        <f>IF(K15="","",COUNTIFS(Detalle_Pagos!$E$5:$E$2004,K15,Detalle_Pagos!$J$5:$J$2004,"Si",Detalle_Pagos!$B$5:$B$2004,"&gt;="&amp;$B$3,Detalle_Pagos!$B$5:$B$2004,"&lt;="&amp;$B$4))</f>
        <v/>
      </c>
      <c r="Q15" s="43">
        <f>IF(K15="","",O15*IFERROR(INDEX(Trabajadores!$D$5:$D$204,MATCH(K15,Trabajadores!$B$5:$B$204,0)),0))</f>
        <v/>
      </c>
      <c r="R15" s="43">
        <f>IF(K15="","",N15+Q15)</f>
        <v/>
      </c>
      <c r="S15" s="43">
        <f>IF(K15="","",M15+N15)</f>
        <v/>
      </c>
      <c r="T15">
        <f>IF(K15="","",S15+R15/100000+L15/100000000+(100000-ROW())/1000000000)</f>
        <v/>
      </c>
    </row>
    <row r="16">
      <c r="A16" s="38">
        <f>IFERROR(INDEX($K$8:$K$207,MATCH(LARGE($T$8:$T$207,ROWS($A$8:A16)),$T$8:$T$207,0)),"")</f>
        <v/>
      </c>
      <c r="B16" s="38">
        <f>IFERROR(INDEX($L$8:$L$207,MATCH(LARGE($T$8:$T$207,ROWS($A$8:A16)),$T$8:$T$207,0)),"")</f>
        <v/>
      </c>
      <c r="C16" s="39">
        <f>IFERROR(INDEX($M$8:$M$207,MATCH(LARGE($T$8:$T$207,ROWS($A$8:A16)),$T$8:$T$207,0)),"")</f>
        <v/>
      </c>
      <c r="D16" s="39">
        <f>IFERROR(INDEX($N$8:$N$207,MATCH(LARGE($T$8:$T$207,ROWS($A$8:A16)),$T$8:$T$207,0)),"")</f>
        <v/>
      </c>
      <c r="E16" s="38">
        <f>IFERROR(INDEX($O$8:$O$207,MATCH(LARGE($T$8:$T$207,ROWS($A$8:A16)),$T$8:$T$207,0)),"")</f>
        <v/>
      </c>
      <c r="F16" s="38">
        <f>IFERROR(INDEX($P$8:$P$207,MATCH(LARGE($T$8:$T$207,ROWS($A$8:A16)),$T$8:$T$207,0)),"")</f>
        <v/>
      </c>
      <c r="G16" s="39">
        <f>IFERROR(INDEX($Q$8:$Q$207,MATCH(LARGE($T$8:$T$207,ROWS($A$8:A16)),$T$8:$T$207,0)),"")</f>
        <v/>
      </c>
      <c r="H16" s="39">
        <f>IFERROR(INDEX($R$8:$R$207,MATCH(LARGE($T$8:$T$207,ROWS($A$8:A16)),$T$8:$T$207,0)),"")</f>
        <v/>
      </c>
      <c r="I16" s="39">
        <f>IFERROR(INDEX($S$8:$S$207,MATCH(LARGE($T$8:$T$207,ROWS($A$8:A16)),$T$8:$T$207,0)),"")</f>
        <v/>
      </c>
      <c r="K16">
        <f>IF(Trabajadores!B13="","",Trabajadores!B13)</f>
        <v/>
      </c>
      <c r="L16">
        <f>IF(K16="","",COUNTIFS(Detalle_Pagos!$E$5:$E$2004,K16,Detalle_Pagos!$B$5:$B$2004,"&gt;="&amp;$B$3,Detalle_Pagos!$B$5:$B$2004,"&lt;="&amp;$B$4))</f>
        <v/>
      </c>
      <c r="M16" s="43">
        <f>IF(K16="","",SUMIFS(Detalle_Pagos!$I$5:$I$2004,Detalle_Pagos!$E$5:$E$2004,K16,Detalle_Pagos!$J$5:$J$2004,"Si",Detalle_Pagos!$B$5:$B$2004,"&gt;="&amp;$B$3,Detalle_Pagos!$B$5:$B$2004,"&lt;="&amp;$B$4))</f>
        <v/>
      </c>
      <c r="N16" s="43">
        <f>IF(K16="","",SUMIFS(Detalle_Pagos!$I$5:$I$2004,Detalle_Pagos!$E$5:$E$2004,K16,Detalle_Pagos!$J$5:$J$2004,"No",Detalle_Pagos!$B$5:$B$2004,"&gt;="&amp;$B$3,Detalle_Pagos!$B$5:$B$2004,"&lt;="&amp;$B$4))</f>
        <v/>
      </c>
      <c r="O16">
        <f>IF(K16="","",COUNTIFS(Detalle_Pagos!$E$5:$E$2004,K16,Detalle_Pagos!$J$5:$J$2004,"No",Detalle_Pagos!$B$5:$B$2004,"&gt;="&amp;$B$3,Detalle_Pagos!$B$5:$B$2004,"&lt;="&amp;$B$4))</f>
        <v/>
      </c>
      <c r="P16">
        <f>IF(K16="","",COUNTIFS(Detalle_Pagos!$E$5:$E$2004,K16,Detalle_Pagos!$J$5:$J$2004,"Si",Detalle_Pagos!$B$5:$B$2004,"&gt;="&amp;$B$3,Detalle_Pagos!$B$5:$B$2004,"&lt;="&amp;$B$4))</f>
        <v/>
      </c>
      <c r="Q16" s="43">
        <f>IF(K16="","",O16*IFERROR(INDEX(Trabajadores!$D$5:$D$204,MATCH(K16,Trabajadores!$B$5:$B$204,0)),0))</f>
        <v/>
      </c>
      <c r="R16" s="43">
        <f>IF(K16="","",N16+Q16)</f>
        <v/>
      </c>
      <c r="S16" s="43">
        <f>IF(K16="","",M16+N16)</f>
        <v/>
      </c>
      <c r="T16">
        <f>IF(K16="","",S16+R16/100000+L16/100000000+(100000-ROW())/1000000000)</f>
        <v/>
      </c>
    </row>
    <row r="17">
      <c r="A17" s="36">
        <f>IFERROR(INDEX($K$8:$K$207,MATCH(LARGE($T$8:$T$207,ROWS($A$8:A17)),$T$8:$T$207,0)),"")</f>
        <v/>
      </c>
      <c r="B17" s="36">
        <f>IFERROR(INDEX($L$8:$L$207,MATCH(LARGE($T$8:$T$207,ROWS($A$8:A17)),$T$8:$T$207,0)),"")</f>
        <v/>
      </c>
      <c r="C17" s="37">
        <f>IFERROR(INDEX($M$8:$M$207,MATCH(LARGE($T$8:$T$207,ROWS($A$8:A17)),$T$8:$T$207,0)),"")</f>
        <v/>
      </c>
      <c r="D17" s="37">
        <f>IFERROR(INDEX($N$8:$N$207,MATCH(LARGE($T$8:$T$207,ROWS($A$8:A17)),$T$8:$T$207,0)),"")</f>
        <v/>
      </c>
      <c r="E17" s="36">
        <f>IFERROR(INDEX($O$8:$O$207,MATCH(LARGE($T$8:$T$207,ROWS($A$8:A17)),$T$8:$T$207,0)),"")</f>
        <v/>
      </c>
      <c r="F17" s="36">
        <f>IFERROR(INDEX($P$8:$P$207,MATCH(LARGE($T$8:$T$207,ROWS($A$8:A17)),$T$8:$T$207,0)),"")</f>
        <v/>
      </c>
      <c r="G17" s="37">
        <f>IFERROR(INDEX($Q$8:$Q$207,MATCH(LARGE($T$8:$T$207,ROWS($A$8:A17)),$T$8:$T$207,0)),"")</f>
        <v/>
      </c>
      <c r="H17" s="37">
        <f>IFERROR(INDEX($R$8:$R$207,MATCH(LARGE($T$8:$T$207,ROWS($A$8:A17)),$T$8:$T$207,0)),"")</f>
        <v/>
      </c>
      <c r="I17" s="37">
        <f>IFERROR(INDEX($S$8:$S$207,MATCH(LARGE($T$8:$T$207,ROWS($A$8:A17)),$T$8:$T$207,0)),"")</f>
        <v/>
      </c>
      <c r="K17">
        <f>IF(Trabajadores!B14="","",Trabajadores!B14)</f>
        <v/>
      </c>
      <c r="L17">
        <f>IF(K17="","",COUNTIFS(Detalle_Pagos!$E$5:$E$2004,K17,Detalle_Pagos!$B$5:$B$2004,"&gt;="&amp;$B$3,Detalle_Pagos!$B$5:$B$2004,"&lt;="&amp;$B$4))</f>
        <v/>
      </c>
      <c r="M17" s="43">
        <f>IF(K17="","",SUMIFS(Detalle_Pagos!$I$5:$I$2004,Detalle_Pagos!$E$5:$E$2004,K17,Detalle_Pagos!$J$5:$J$2004,"Si",Detalle_Pagos!$B$5:$B$2004,"&gt;="&amp;$B$3,Detalle_Pagos!$B$5:$B$2004,"&lt;="&amp;$B$4))</f>
        <v/>
      </c>
      <c r="N17" s="43">
        <f>IF(K17="","",SUMIFS(Detalle_Pagos!$I$5:$I$2004,Detalle_Pagos!$E$5:$E$2004,K17,Detalle_Pagos!$J$5:$J$2004,"No",Detalle_Pagos!$B$5:$B$2004,"&gt;="&amp;$B$3,Detalle_Pagos!$B$5:$B$2004,"&lt;="&amp;$B$4))</f>
        <v/>
      </c>
      <c r="O17">
        <f>IF(K17="","",COUNTIFS(Detalle_Pagos!$E$5:$E$2004,K17,Detalle_Pagos!$J$5:$J$2004,"No",Detalle_Pagos!$B$5:$B$2004,"&gt;="&amp;$B$3,Detalle_Pagos!$B$5:$B$2004,"&lt;="&amp;$B$4))</f>
        <v/>
      </c>
      <c r="P17">
        <f>IF(K17="","",COUNTIFS(Detalle_Pagos!$E$5:$E$2004,K17,Detalle_Pagos!$J$5:$J$2004,"Si",Detalle_Pagos!$B$5:$B$2004,"&gt;="&amp;$B$3,Detalle_Pagos!$B$5:$B$2004,"&lt;="&amp;$B$4))</f>
        <v/>
      </c>
      <c r="Q17" s="43">
        <f>IF(K17="","",O17*IFERROR(INDEX(Trabajadores!$D$5:$D$204,MATCH(K17,Trabajadores!$B$5:$B$204,0)),0))</f>
        <v/>
      </c>
      <c r="R17" s="43">
        <f>IF(K17="","",N17+Q17)</f>
        <v/>
      </c>
      <c r="S17" s="43">
        <f>IF(K17="","",M17+N17)</f>
        <v/>
      </c>
      <c r="T17">
        <f>IF(K17="","",S17+R17/100000+L17/100000000+(100000-ROW())/1000000000)</f>
        <v/>
      </c>
    </row>
    <row r="18">
      <c r="A18" s="38">
        <f>IFERROR(INDEX($K$8:$K$207,MATCH(LARGE($T$8:$T$207,ROWS($A$8:A18)),$T$8:$T$207,0)),"")</f>
        <v/>
      </c>
      <c r="B18" s="38">
        <f>IFERROR(INDEX($L$8:$L$207,MATCH(LARGE($T$8:$T$207,ROWS($A$8:A18)),$T$8:$T$207,0)),"")</f>
        <v/>
      </c>
      <c r="C18" s="39">
        <f>IFERROR(INDEX($M$8:$M$207,MATCH(LARGE($T$8:$T$207,ROWS($A$8:A18)),$T$8:$T$207,0)),"")</f>
        <v/>
      </c>
      <c r="D18" s="39">
        <f>IFERROR(INDEX($N$8:$N$207,MATCH(LARGE($T$8:$T$207,ROWS($A$8:A18)),$T$8:$T$207,0)),"")</f>
        <v/>
      </c>
      <c r="E18" s="38">
        <f>IFERROR(INDEX($O$8:$O$207,MATCH(LARGE($T$8:$T$207,ROWS($A$8:A18)),$T$8:$T$207,0)),"")</f>
        <v/>
      </c>
      <c r="F18" s="38">
        <f>IFERROR(INDEX($P$8:$P$207,MATCH(LARGE($T$8:$T$207,ROWS($A$8:A18)),$T$8:$T$207,0)),"")</f>
        <v/>
      </c>
      <c r="G18" s="39">
        <f>IFERROR(INDEX($Q$8:$Q$207,MATCH(LARGE($T$8:$T$207,ROWS($A$8:A18)),$T$8:$T$207,0)),"")</f>
        <v/>
      </c>
      <c r="H18" s="39">
        <f>IFERROR(INDEX($R$8:$R$207,MATCH(LARGE($T$8:$T$207,ROWS($A$8:A18)),$T$8:$T$207,0)),"")</f>
        <v/>
      </c>
      <c r="I18" s="39">
        <f>IFERROR(INDEX($S$8:$S$207,MATCH(LARGE($T$8:$T$207,ROWS($A$8:A18)),$T$8:$T$207,0)),"")</f>
        <v/>
      </c>
      <c r="K18">
        <f>IF(Trabajadores!B15="","",Trabajadores!B15)</f>
        <v/>
      </c>
      <c r="L18">
        <f>IF(K18="","",COUNTIFS(Detalle_Pagos!$E$5:$E$2004,K18,Detalle_Pagos!$B$5:$B$2004,"&gt;="&amp;$B$3,Detalle_Pagos!$B$5:$B$2004,"&lt;="&amp;$B$4))</f>
        <v/>
      </c>
      <c r="M18" s="43">
        <f>IF(K18="","",SUMIFS(Detalle_Pagos!$I$5:$I$2004,Detalle_Pagos!$E$5:$E$2004,K18,Detalle_Pagos!$J$5:$J$2004,"Si",Detalle_Pagos!$B$5:$B$2004,"&gt;="&amp;$B$3,Detalle_Pagos!$B$5:$B$2004,"&lt;="&amp;$B$4))</f>
        <v/>
      </c>
      <c r="N18" s="43">
        <f>IF(K18="","",SUMIFS(Detalle_Pagos!$I$5:$I$2004,Detalle_Pagos!$E$5:$E$2004,K18,Detalle_Pagos!$J$5:$J$2004,"No",Detalle_Pagos!$B$5:$B$2004,"&gt;="&amp;$B$3,Detalle_Pagos!$B$5:$B$2004,"&lt;="&amp;$B$4))</f>
        <v/>
      </c>
      <c r="O18">
        <f>IF(K18="","",COUNTIFS(Detalle_Pagos!$E$5:$E$2004,K18,Detalle_Pagos!$J$5:$J$2004,"No",Detalle_Pagos!$B$5:$B$2004,"&gt;="&amp;$B$3,Detalle_Pagos!$B$5:$B$2004,"&lt;="&amp;$B$4))</f>
        <v/>
      </c>
      <c r="P18">
        <f>IF(K18="","",COUNTIFS(Detalle_Pagos!$E$5:$E$2004,K18,Detalle_Pagos!$J$5:$J$2004,"Si",Detalle_Pagos!$B$5:$B$2004,"&gt;="&amp;$B$3,Detalle_Pagos!$B$5:$B$2004,"&lt;="&amp;$B$4))</f>
        <v/>
      </c>
      <c r="Q18" s="43">
        <f>IF(K18="","",O18*IFERROR(INDEX(Trabajadores!$D$5:$D$204,MATCH(K18,Trabajadores!$B$5:$B$204,0)),0))</f>
        <v/>
      </c>
      <c r="R18" s="43">
        <f>IF(K18="","",N18+Q18)</f>
        <v/>
      </c>
      <c r="S18" s="43">
        <f>IF(K18="","",M18+N18)</f>
        <v/>
      </c>
      <c r="T18">
        <f>IF(K18="","",S18+R18/100000+L18/100000000+(100000-ROW())/1000000000)</f>
        <v/>
      </c>
    </row>
    <row r="19">
      <c r="A19" s="36">
        <f>IFERROR(INDEX($K$8:$K$207,MATCH(LARGE($T$8:$T$207,ROWS($A$8:A19)),$T$8:$T$207,0)),"")</f>
        <v/>
      </c>
      <c r="B19" s="36">
        <f>IFERROR(INDEX($L$8:$L$207,MATCH(LARGE($T$8:$T$207,ROWS($A$8:A19)),$T$8:$T$207,0)),"")</f>
        <v/>
      </c>
      <c r="C19" s="37">
        <f>IFERROR(INDEX($M$8:$M$207,MATCH(LARGE($T$8:$T$207,ROWS($A$8:A19)),$T$8:$T$207,0)),"")</f>
        <v/>
      </c>
      <c r="D19" s="37">
        <f>IFERROR(INDEX($N$8:$N$207,MATCH(LARGE($T$8:$T$207,ROWS($A$8:A19)),$T$8:$T$207,0)),"")</f>
        <v/>
      </c>
      <c r="E19" s="36">
        <f>IFERROR(INDEX($O$8:$O$207,MATCH(LARGE($T$8:$T$207,ROWS($A$8:A19)),$T$8:$T$207,0)),"")</f>
        <v/>
      </c>
      <c r="F19" s="36">
        <f>IFERROR(INDEX($P$8:$P$207,MATCH(LARGE($T$8:$T$207,ROWS($A$8:A19)),$T$8:$T$207,0)),"")</f>
        <v/>
      </c>
      <c r="G19" s="37">
        <f>IFERROR(INDEX($Q$8:$Q$207,MATCH(LARGE($T$8:$T$207,ROWS($A$8:A19)),$T$8:$T$207,0)),"")</f>
        <v/>
      </c>
      <c r="H19" s="37">
        <f>IFERROR(INDEX($R$8:$R$207,MATCH(LARGE($T$8:$T$207,ROWS($A$8:A19)),$T$8:$T$207,0)),"")</f>
        <v/>
      </c>
      <c r="I19" s="37">
        <f>IFERROR(INDEX($S$8:$S$207,MATCH(LARGE($T$8:$T$207,ROWS($A$8:A19)),$T$8:$T$207,0)),"")</f>
        <v/>
      </c>
      <c r="K19">
        <f>IF(Trabajadores!B16="","",Trabajadores!B16)</f>
        <v/>
      </c>
      <c r="L19">
        <f>IF(K19="","",COUNTIFS(Detalle_Pagos!$E$5:$E$2004,K19,Detalle_Pagos!$B$5:$B$2004,"&gt;="&amp;$B$3,Detalle_Pagos!$B$5:$B$2004,"&lt;="&amp;$B$4))</f>
        <v/>
      </c>
      <c r="M19" s="43">
        <f>IF(K19="","",SUMIFS(Detalle_Pagos!$I$5:$I$2004,Detalle_Pagos!$E$5:$E$2004,K19,Detalle_Pagos!$J$5:$J$2004,"Si",Detalle_Pagos!$B$5:$B$2004,"&gt;="&amp;$B$3,Detalle_Pagos!$B$5:$B$2004,"&lt;="&amp;$B$4))</f>
        <v/>
      </c>
      <c r="N19" s="43">
        <f>IF(K19="","",SUMIFS(Detalle_Pagos!$I$5:$I$2004,Detalle_Pagos!$E$5:$E$2004,K19,Detalle_Pagos!$J$5:$J$2004,"No",Detalle_Pagos!$B$5:$B$2004,"&gt;="&amp;$B$3,Detalle_Pagos!$B$5:$B$2004,"&lt;="&amp;$B$4))</f>
        <v/>
      </c>
      <c r="O19">
        <f>IF(K19="","",COUNTIFS(Detalle_Pagos!$E$5:$E$2004,K19,Detalle_Pagos!$J$5:$J$2004,"No",Detalle_Pagos!$B$5:$B$2004,"&gt;="&amp;$B$3,Detalle_Pagos!$B$5:$B$2004,"&lt;="&amp;$B$4))</f>
        <v/>
      </c>
      <c r="P19">
        <f>IF(K19="","",COUNTIFS(Detalle_Pagos!$E$5:$E$2004,K19,Detalle_Pagos!$J$5:$J$2004,"Si",Detalle_Pagos!$B$5:$B$2004,"&gt;="&amp;$B$3,Detalle_Pagos!$B$5:$B$2004,"&lt;="&amp;$B$4))</f>
        <v/>
      </c>
      <c r="Q19" s="43">
        <f>IF(K19="","",O19*IFERROR(INDEX(Trabajadores!$D$5:$D$204,MATCH(K19,Trabajadores!$B$5:$B$204,0)),0))</f>
        <v/>
      </c>
      <c r="R19" s="43">
        <f>IF(K19="","",N19+Q19)</f>
        <v/>
      </c>
      <c r="S19" s="43">
        <f>IF(K19="","",M19+N19)</f>
        <v/>
      </c>
      <c r="T19">
        <f>IF(K19="","",S19+R19/100000+L19/100000000+(100000-ROW())/1000000000)</f>
        <v/>
      </c>
    </row>
    <row r="20">
      <c r="A20" s="38">
        <f>IFERROR(INDEX($K$8:$K$207,MATCH(LARGE($T$8:$T$207,ROWS($A$8:A20)),$T$8:$T$207,0)),"")</f>
        <v/>
      </c>
      <c r="B20" s="38">
        <f>IFERROR(INDEX($L$8:$L$207,MATCH(LARGE($T$8:$T$207,ROWS($A$8:A20)),$T$8:$T$207,0)),"")</f>
        <v/>
      </c>
      <c r="C20" s="39">
        <f>IFERROR(INDEX($M$8:$M$207,MATCH(LARGE($T$8:$T$207,ROWS($A$8:A20)),$T$8:$T$207,0)),"")</f>
        <v/>
      </c>
      <c r="D20" s="39">
        <f>IFERROR(INDEX($N$8:$N$207,MATCH(LARGE($T$8:$T$207,ROWS($A$8:A20)),$T$8:$T$207,0)),"")</f>
        <v/>
      </c>
      <c r="E20" s="38">
        <f>IFERROR(INDEX($O$8:$O$207,MATCH(LARGE($T$8:$T$207,ROWS($A$8:A20)),$T$8:$T$207,0)),"")</f>
        <v/>
      </c>
      <c r="F20" s="38">
        <f>IFERROR(INDEX($P$8:$P$207,MATCH(LARGE($T$8:$T$207,ROWS($A$8:A20)),$T$8:$T$207,0)),"")</f>
        <v/>
      </c>
      <c r="G20" s="39">
        <f>IFERROR(INDEX($Q$8:$Q$207,MATCH(LARGE($T$8:$T$207,ROWS($A$8:A20)),$T$8:$T$207,0)),"")</f>
        <v/>
      </c>
      <c r="H20" s="39">
        <f>IFERROR(INDEX($R$8:$R$207,MATCH(LARGE($T$8:$T$207,ROWS($A$8:A20)),$T$8:$T$207,0)),"")</f>
        <v/>
      </c>
      <c r="I20" s="39">
        <f>IFERROR(INDEX($S$8:$S$207,MATCH(LARGE($T$8:$T$207,ROWS($A$8:A20)),$T$8:$T$207,0)),"")</f>
        <v/>
      </c>
      <c r="K20">
        <f>IF(Trabajadores!B17="","",Trabajadores!B17)</f>
        <v/>
      </c>
      <c r="L20">
        <f>IF(K20="","",COUNTIFS(Detalle_Pagos!$E$5:$E$2004,K20,Detalle_Pagos!$B$5:$B$2004,"&gt;="&amp;$B$3,Detalle_Pagos!$B$5:$B$2004,"&lt;="&amp;$B$4))</f>
        <v/>
      </c>
      <c r="M20" s="43">
        <f>IF(K20="","",SUMIFS(Detalle_Pagos!$I$5:$I$2004,Detalle_Pagos!$E$5:$E$2004,K20,Detalle_Pagos!$J$5:$J$2004,"Si",Detalle_Pagos!$B$5:$B$2004,"&gt;="&amp;$B$3,Detalle_Pagos!$B$5:$B$2004,"&lt;="&amp;$B$4))</f>
        <v/>
      </c>
      <c r="N20" s="43">
        <f>IF(K20="","",SUMIFS(Detalle_Pagos!$I$5:$I$2004,Detalle_Pagos!$E$5:$E$2004,K20,Detalle_Pagos!$J$5:$J$2004,"No",Detalle_Pagos!$B$5:$B$2004,"&gt;="&amp;$B$3,Detalle_Pagos!$B$5:$B$2004,"&lt;="&amp;$B$4))</f>
        <v/>
      </c>
      <c r="O20">
        <f>IF(K20="","",COUNTIFS(Detalle_Pagos!$E$5:$E$2004,K20,Detalle_Pagos!$J$5:$J$2004,"No",Detalle_Pagos!$B$5:$B$2004,"&gt;="&amp;$B$3,Detalle_Pagos!$B$5:$B$2004,"&lt;="&amp;$B$4))</f>
        <v/>
      </c>
      <c r="P20">
        <f>IF(K20="","",COUNTIFS(Detalle_Pagos!$E$5:$E$2004,K20,Detalle_Pagos!$J$5:$J$2004,"Si",Detalle_Pagos!$B$5:$B$2004,"&gt;="&amp;$B$3,Detalle_Pagos!$B$5:$B$2004,"&lt;="&amp;$B$4))</f>
        <v/>
      </c>
      <c r="Q20" s="43">
        <f>IF(K20="","",O20*IFERROR(INDEX(Trabajadores!$D$5:$D$204,MATCH(K20,Trabajadores!$B$5:$B$204,0)),0))</f>
        <v/>
      </c>
      <c r="R20" s="43">
        <f>IF(K20="","",N20+Q20)</f>
        <v/>
      </c>
      <c r="S20" s="43">
        <f>IF(K20="","",M20+N20)</f>
        <v/>
      </c>
      <c r="T20">
        <f>IF(K20="","",S20+R20/100000+L20/100000000+(100000-ROW())/1000000000)</f>
        <v/>
      </c>
    </row>
    <row r="21">
      <c r="A21" s="36">
        <f>IFERROR(INDEX($K$8:$K$207,MATCH(LARGE($T$8:$T$207,ROWS($A$8:A21)),$T$8:$T$207,0)),"")</f>
        <v/>
      </c>
      <c r="B21" s="36">
        <f>IFERROR(INDEX($L$8:$L$207,MATCH(LARGE($T$8:$T$207,ROWS($A$8:A21)),$T$8:$T$207,0)),"")</f>
        <v/>
      </c>
      <c r="C21" s="37">
        <f>IFERROR(INDEX($M$8:$M$207,MATCH(LARGE($T$8:$T$207,ROWS($A$8:A21)),$T$8:$T$207,0)),"")</f>
        <v/>
      </c>
      <c r="D21" s="37">
        <f>IFERROR(INDEX($N$8:$N$207,MATCH(LARGE($T$8:$T$207,ROWS($A$8:A21)),$T$8:$T$207,0)),"")</f>
        <v/>
      </c>
      <c r="E21" s="36">
        <f>IFERROR(INDEX($O$8:$O$207,MATCH(LARGE($T$8:$T$207,ROWS($A$8:A21)),$T$8:$T$207,0)),"")</f>
        <v/>
      </c>
      <c r="F21" s="36">
        <f>IFERROR(INDEX($P$8:$P$207,MATCH(LARGE($T$8:$T$207,ROWS($A$8:A21)),$T$8:$T$207,0)),"")</f>
        <v/>
      </c>
      <c r="G21" s="37">
        <f>IFERROR(INDEX($Q$8:$Q$207,MATCH(LARGE($T$8:$T$207,ROWS($A$8:A21)),$T$8:$T$207,0)),"")</f>
        <v/>
      </c>
      <c r="H21" s="37">
        <f>IFERROR(INDEX($R$8:$R$207,MATCH(LARGE($T$8:$T$207,ROWS($A$8:A21)),$T$8:$T$207,0)),"")</f>
        <v/>
      </c>
      <c r="I21" s="37">
        <f>IFERROR(INDEX($S$8:$S$207,MATCH(LARGE($T$8:$T$207,ROWS($A$8:A21)),$T$8:$T$207,0)),"")</f>
        <v/>
      </c>
      <c r="K21">
        <f>IF(Trabajadores!B18="","",Trabajadores!B18)</f>
        <v/>
      </c>
      <c r="L21">
        <f>IF(K21="","",COUNTIFS(Detalle_Pagos!$E$5:$E$2004,K21,Detalle_Pagos!$B$5:$B$2004,"&gt;="&amp;$B$3,Detalle_Pagos!$B$5:$B$2004,"&lt;="&amp;$B$4))</f>
        <v/>
      </c>
      <c r="M21" s="43">
        <f>IF(K21="","",SUMIFS(Detalle_Pagos!$I$5:$I$2004,Detalle_Pagos!$E$5:$E$2004,K21,Detalle_Pagos!$J$5:$J$2004,"Si",Detalle_Pagos!$B$5:$B$2004,"&gt;="&amp;$B$3,Detalle_Pagos!$B$5:$B$2004,"&lt;="&amp;$B$4))</f>
        <v/>
      </c>
      <c r="N21" s="43">
        <f>IF(K21="","",SUMIFS(Detalle_Pagos!$I$5:$I$2004,Detalle_Pagos!$E$5:$E$2004,K21,Detalle_Pagos!$J$5:$J$2004,"No",Detalle_Pagos!$B$5:$B$2004,"&gt;="&amp;$B$3,Detalle_Pagos!$B$5:$B$2004,"&lt;="&amp;$B$4))</f>
        <v/>
      </c>
      <c r="O21">
        <f>IF(K21="","",COUNTIFS(Detalle_Pagos!$E$5:$E$2004,K21,Detalle_Pagos!$J$5:$J$2004,"No",Detalle_Pagos!$B$5:$B$2004,"&gt;="&amp;$B$3,Detalle_Pagos!$B$5:$B$2004,"&lt;="&amp;$B$4))</f>
        <v/>
      </c>
      <c r="P21">
        <f>IF(K21="","",COUNTIFS(Detalle_Pagos!$E$5:$E$2004,K21,Detalle_Pagos!$J$5:$J$2004,"Si",Detalle_Pagos!$B$5:$B$2004,"&gt;="&amp;$B$3,Detalle_Pagos!$B$5:$B$2004,"&lt;="&amp;$B$4))</f>
        <v/>
      </c>
      <c r="Q21" s="43">
        <f>IF(K21="","",O21*IFERROR(INDEX(Trabajadores!$D$5:$D$204,MATCH(K21,Trabajadores!$B$5:$B$204,0)),0))</f>
        <v/>
      </c>
      <c r="R21" s="43">
        <f>IF(K21="","",N21+Q21)</f>
        <v/>
      </c>
      <c r="S21" s="43">
        <f>IF(K21="","",M21+N21)</f>
        <v/>
      </c>
      <c r="T21">
        <f>IF(K21="","",S21+R21/100000+L21/100000000+(100000-ROW())/1000000000)</f>
        <v/>
      </c>
    </row>
    <row r="22">
      <c r="A22" s="38">
        <f>IFERROR(INDEX($K$8:$K$207,MATCH(LARGE($T$8:$T$207,ROWS($A$8:A22)),$T$8:$T$207,0)),"")</f>
        <v/>
      </c>
      <c r="B22" s="38">
        <f>IFERROR(INDEX($L$8:$L$207,MATCH(LARGE($T$8:$T$207,ROWS($A$8:A22)),$T$8:$T$207,0)),"")</f>
        <v/>
      </c>
      <c r="C22" s="39">
        <f>IFERROR(INDEX($M$8:$M$207,MATCH(LARGE($T$8:$T$207,ROWS($A$8:A22)),$T$8:$T$207,0)),"")</f>
        <v/>
      </c>
      <c r="D22" s="39">
        <f>IFERROR(INDEX($N$8:$N$207,MATCH(LARGE($T$8:$T$207,ROWS($A$8:A22)),$T$8:$T$207,0)),"")</f>
        <v/>
      </c>
      <c r="E22" s="38">
        <f>IFERROR(INDEX($O$8:$O$207,MATCH(LARGE($T$8:$T$207,ROWS($A$8:A22)),$T$8:$T$207,0)),"")</f>
        <v/>
      </c>
      <c r="F22" s="38">
        <f>IFERROR(INDEX($P$8:$P$207,MATCH(LARGE($T$8:$T$207,ROWS($A$8:A22)),$T$8:$T$207,0)),"")</f>
        <v/>
      </c>
      <c r="G22" s="39">
        <f>IFERROR(INDEX($Q$8:$Q$207,MATCH(LARGE($T$8:$T$207,ROWS($A$8:A22)),$T$8:$T$207,0)),"")</f>
        <v/>
      </c>
      <c r="H22" s="39">
        <f>IFERROR(INDEX($R$8:$R$207,MATCH(LARGE($T$8:$T$207,ROWS($A$8:A22)),$T$8:$T$207,0)),"")</f>
        <v/>
      </c>
      <c r="I22" s="39">
        <f>IFERROR(INDEX($S$8:$S$207,MATCH(LARGE($T$8:$T$207,ROWS($A$8:A22)),$T$8:$T$207,0)),"")</f>
        <v/>
      </c>
      <c r="K22">
        <f>IF(Trabajadores!B19="","",Trabajadores!B19)</f>
        <v/>
      </c>
      <c r="L22">
        <f>IF(K22="","",COUNTIFS(Detalle_Pagos!$E$5:$E$2004,K22,Detalle_Pagos!$B$5:$B$2004,"&gt;="&amp;$B$3,Detalle_Pagos!$B$5:$B$2004,"&lt;="&amp;$B$4))</f>
        <v/>
      </c>
      <c r="M22" s="43">
        <f>IF(K22="","",SUMIFS(Detalle_Pagos!$I$5:$I$2004,Detalle_Pagos!$E$5:$E$2004,K22,Detalle_Pagos!$J$5:$J$2004,"Si",Detalle_Pagos!$B$5:$B$2004,"&gt;="&amp;$B$3,Detalle_Pagos!$B$5:$B$2004,"&lt;="&amp;$B$4))</f>
        <v/>
      </c>
      <c r="N22" s="43">
        <f>IF(K22="","",SUMIFS(Detalle_Pagos!$I$5:$I$2004,Detalle_Pagos!$E$5:$E$2004,K22,Detalle_Pagos!$J$5:$J$2004,"No",Detalle_Pagos!$B$5:$B$2004,"&gt;="&amp;$B$3,Detalle_Pagos!$B$5:$B$2004,"&lt;="&amp;$B$4))</f>
        <v/>
      </c>
      <c r="O22">
        <f>IF(K22="","",COUNTIFS(Detalle_Pagos!$E$5:$E$2004,K22,Detalle_Pagos!$J$5:$J$2004,"No",Detalle_Pagos!$B$5:$B$2004,"&gt;="&amp;$B$3,Detalle_Pagos!$B$5:$B$2004,"&lt;="&amp;$B$4))</f>
        <v/>
      </c>
      <c r="P22">
        <f>IF(K22="","",COUNTIFS(Detalle_Pagos!$E$5:$E$2004,K22,Detalle_Pagos!$J$5:$J$2004,"Si",Detalle_Pagos!$B$5:$B$2004,"&gt;="&amp;$B$3,Detalle_Pagos!$B$5:$B$2004,"&lt;="&amp;$B$4))</f>
        <v/>
      </c>
      <c r="Q22" s="43">
        <f>IF(K22="","",O22*IFERROR(INDEX(Trabajadores!$D$5:$D$204,MATCH(K22,Trabajadores!$B$5:$B$204,0)),0))</f>
        <v/>
      </c>
      <c r="R22" s="43">
        <f>IF(K22="","",N22+Q22)</f>
        <v/>
      </c>
      <c r="S22" s="43">
        <f>IF(K22="","",M22+N22)</f>
        <v/>
      </c>
      <c r="T22">
        <f>IF(K22="","",S22+R22/100000+L22/100000000+(100000-ROW())/1000000000)</f>
        <v/>
      </c>
    </row>
    <row r="23">
      <c r="A23" s="36">
        <f>IFERROR(INDEX($K$8:$K$207,MATCH(LARGE($T$8:$T$207,ROWS($A$8:A23)),$T$8:$T$207,0)),"")</f>
        <v/>
      </c>
      <c r="B23" s="36">
        <f>IFERROR(INDEX($L$8:$L$207,MATCH(LARGE($T$8:$T$207,ROWS($A$8:A23)),$T$8:$T$207,0)),"")</f>
        <v/>
      </c>
      <c r="C23" s="37">
        <f>IFERROR(INDEX($M$8:$M$207,MATCH(LARGE($T$8:$T$207,ROWS($A$8:A23)),$T$8:$T$207,0)),"")</f>
        <v/>
      </c>
      <c r="D23" s="37">
        <f>IFERROR(INDEX($N$8:$N$207,MATCH(LARGE($T$8:$T$207,ROWS($A$8:A23)),$T$8:$T$207,0)),"")</f>
        <v/>
      </c>
      <c r="E23" s="36">
        <f>IFERROR(INDEX($O$8:$O$207,MATCH(LARGE($T$8:$T$207,ROWS($A$8:A23)),$T$8:$T$207,0)),"")</f>
        <v/>
      </c>
      <c r="F23" s="36">
        <f>IFERROR(INDEX($P$8:$P$207,MATCH(LARGE($T$8:$T$207,ROWS($A$8:A23)),$T$8:$T$207,0)),"")</f>
        <v/>
      </c>
      <c r="G23" s="37">
        <f>IFERROR(INDEX($Q$8:$Q$207,MATCH(LARGE($T$8:$T$207,ROWS($A$8:A23)),$T$8:$T$207,0)),"")</f>
        <v/>
      </c>
      <c r="H23" s="37">
        <f>IFERROR(INDEX($R$8:$R$207,MATCH(LARGE($T$8:$T$207,ROWS($A$8:A23)),$T$8:$T$207,0)),"")</f>
        <v/>
      </c>
      <c r="I23" s="37">
        <f>IFERROR(INDEX($S$8:$S$207,MATCH(LARGE($T$8:$T$207,ROWS($A$8:A23)),$T$8:$T$207,0)),"")</f>
        <v/>
      </c>
      <c r="K23">
        <f>IF(Trabajadores!B20="","",Trabajadores!B20)</f>
        <v/>
      </c>
      <c r="L23">
        <f>IF(K23="","",COUNTIFS(Detalle_Pagos!$E$5:$E$2004,K23,Detalle_Pagos!$B$5:$B$2004,"&gt;="&amp;$B$3,Detalle_Pagos!$B$5:$B$2004,"&lt;="&amp;$B$4))</f>
        <v/>
      </c>
      <c r="M23" s="43">
        <f>IF(K23="","",SUMIFS(Detalle_Pagos!$I$5:$I$2004,Detalle_Pagos!$E$5:$E$2004,K23,Detalle_Pagos!$J$5:$J$2004,"Si",Detalle_Pagos!$B$5:$B$2004,"&gt;="&amp;$B$3,Detalle_Pagos!$B$5:$B$2004,"&lt;="&amp;$B$4))</f>
        <v/>
      </c>
      <c r="N23" s="43">
        <f>IF(K23="","",SUMIFS(Detalle_Pagos!$I$5:$I$2004,Detalle_Pagos!$E$5:$E$2004,K23,Detalle_Pagos!$J$5:$J$2004,"No",Detalle_Pagos!$B$5:$B$2004,"&gt;="&amp;$B$3,Detalle_Pagos!$B$5:$B$2004,"&lt;="&amp;$B$4))</f>
        <v/>
      </c>
      <c r="O23">
        <f>IF(K23="","",COUNTIFS(Detalle_Pagos!$E$5:$E$2004,K23,Detalle_Pagos!$J$5:$J$2004,"No",Detalle_Pagos!$B$5:$B$2004,"&gt;="&amp;$B$3,Detalle_Pagos!$B$5:$B$2004,"&lt;="&amp;$B$4))</f>
        <v/>
      </c>
      <c r="P23">
        <f>IF(K23="","",COUNTIFS(Detalle_Pagos!$E$5:$E$2004,K23,Detalle_Pagos!$J$5:$J$2004,"Si",Detalle_Pagos!$B$5:$B$2004,"&gt;="&amp;$B$3,Detalle_Pagos!$B$5:$B$2004,"&lt;="&amp;$B$4))</f>
        <v/>
      </c>
      <c r="Q23" s="43">
        <f>IF(K23="","",O23*IFERROR(INDEX(Trabajadores!$D$5:$D$204,MATCH(K23,Trabajadores!$B$5:$B$204,0)),0))</f>
        <v/>
      </c>
      <c r="R23" s="43">
        <f>IF(K23="","",N23+Q23)</f>
        <v/>
      </c>
      <c r="S23" s="43">
        <f>IF(K23="","",M23+N23)</f>
        <v/>
      </c>
      <c r="T23">
        <f>IF(K23="","",S23+R23/100000+L23/100000000+(100000-ROW())/1000000000)</f>
        <v/>
      </c>
    </row>
    <row r="24">
      <c r="A24" s="38">
        <f>IFERROR(INDEX($K$8:$K$207,MATCH(LARGE($T$8:$T$207,ROWS($A$8:A24)),$T$8:$T$207,0)),"")</f>
        <v/>
      </c>
      <c r="B24" s="38">
        <f>IFERROR(INDEX($L$8:$L$207,MATCH(LARGE($T$8:$T$207,ROWS($A$8:A24)),$T$8:$T$207,0)),"")</f>
        <v/>
      </c>
      <c r="C24" s="39">
        <f>IFERROR(INDEX($M$8:$M$207,MATCH(LARGE($T$8:$T$207,ROWS($A$8:A24)),$T$8:$T$207,0)),"")</f>
        <v/>
      </c>
      <c r="D24" s="39">
        <f>IFERROR(INDEX($N$8:$N$207,MATCH(LARGE($T$8:$T$207,ROWS($A$8:A24)),$T$8:$T$207,0)),"")</f>
        <v/>
      </c>
      <c r="E24" s="38">
        <f>IFERROR(INDEX($O$8:$O$207,MATCH(LARGE($T$8:$T$207,ROWS($A$8:A24)),$T$8:$T$207,0)),"")</f>
        <v/>
      </c>
      <c r="F24" s="38">
        <f>IFERROR(INDEX($P$8:$P$207,MATCH(LARGE($T$8:$T$207,ROWS($A$8:A24)),$T$8:$T$207,0)),"")</f>
        <v/>
      </c>
      <c r="G24" s="39">
        <f>IFERROR(INDEX($Q$8:$Q$207,MATCH(LARGE($T$8:$T$207,ROWS($A$8:A24)),$T$8:$T$207,0)),"")</f>
        <v/>
      </c>
      <c r="H24" s="39">
        <f>IFERROR(INDEX($R$8:$R$207,MATCH(LARGE($T$8:$T$207,ROWS($A$8:A24)),$T$8:$T$207,0)),"")</f>
        <v/>
      </c>
      <c r="I24" s="39">
        <f>IFERROR(INDEX($S$8:$S$207,MATCH(LARGE($T$8:$T$207,ROWS($A$8:A24)),$T$8:$T$207,0)),"")</f>
        <v/>
      </c>
      <c r="K24">
        <f>IF(Trabajadores!B21="","",Trabajadores!B21)</f>
        <v/>
      </c>
      <c r="L24">
        <f>IF(K24="","",COUNTIFS(Detalle_Pagos!$E$5:$E$2004,K24,Detalle_Pagos!$B$5:$B$2004,"&gt;="&amp;$B$3,Detalle_Pagos!$B$5:$B$2004,"&lt;="&amp;$B$4))</f>
        <v/>
      </c>
      <c r="M24" s="43">
        <f>IF(K24="","",SUMIFS(Detalle_Pagos!$I$5:$I$2004,Detalle_Pagos!$E$5:$E$2004,K24,Detalle_Pagos!$J$5:$J$2004,"Si",Detalle_Pagos!$B$5:$B$2004,"&gt;="&amp;$B$3,Detalle_Pagos!$B$5:$B$2004,"&lt;="&amp;$B$4))</f>
        <v/>
      </c>
      <c r="N24" s="43">
        <f>IF(K24="","",SUMIFS(Detalle_Pagos!$I$5:$I$2004,Detalle_Pagos!$E$5:$E$2004,K24,Detalle_Pagos!$J$5:$J$2004,"No",Detalle_Pagos!$B$5:$B$2004,"&gt;="&amp;$B$3,Detalle_Pagos!$B$5:$B$2004,"&lt;="&amp;$B$4))</f>
        <v/>
      </c>
      <c r="O24">
        <f>IF(K24="","",COUNTIFS(Detalle_Pagos!$E$5:$E$2004,K24,Detalle_Pagos!$J$5:$J$2004,"No",Detalle_Pagos!$B$5:$B$2004,"&gt;="&amp;$B$3,Detalle_Pagos!$B$5:$B$2004,"&lt;="&amp;$B$4))</f>
        <v/>
      </c>
      <c r="P24">
        <f>IF(K24="","",COUNTIFS(Detalle_Pagos!$E$5:$E$2004,K24,Detalle_Pagos!$J$5:$J$2004,"Si",Detalle_Pagos!$B$5:$B$2004,"&gt;="&amp;$B$3,Detalle_Pagos!$B$5:$B$2004,"&lt;="&amp;$B$4))</f>
        <v/>
      </c>
      <c r="Q24" s="43">
        <f>IF(K24="","",O24*IFERROR(INDEX(Trabajadores!$D$5:$D$204,MATCH(K24,Trabajadores!$B$5:$B$204,0)),0))</f>
        <v/>
      </c>
      <c r="R24" s="43">
        <f>IF(K24="","",N24+Q24)</f>
        <v/>
      </c>
      <c r="S24" s="43">
        <f>IF(K24="","",M24+N24)</f>
        <v/>
      </c>
      <c r="T24">
        <f>IF(K24="","",S24+R24/100000+L24/100000000+(100000-ROW())/1000000000)</f>
        <v/>
      </c>
    </row>
    <row r="25">
      <c r="A25" s="36">
        <f>IFERROR(INDEX($K$8:$K$207,MATCH(LARGE($T$8:$T$207,ROWS($A$8:A25)),$T$8:$T$207,0)),"")</f>
        <v/>
      </c>
      <c r="B25" s="36">
        <f>IFERROR(INDEX($L$8:$L$207,MATCH(LARGE($T$8:$T$207,ROWS($A$8:A25)),$T$8:$T$207,0)),"")</f>
        <v/>
      </c>
      <c r="C25" s="37">
        <f>IFERROR(INDEX($M$8:$M$207,MATCH(LARGE($T$8:$T$207,ROWS($A$8:A25)),$T$8:$T$207,0)),"")</f>
        <v/>
      </c>
      <c r="D25" s="37">
        <f>IFERROR(INDEX($N$8:$N$207,MATCH(LARGE($T$8:$T$207,ROWS($A$8:A25)),$T$8:$T$207,0)),"")</f>
        <v/>
      </c>
      <c r="E25" s="36">
        <f>IFERROR(INDEX($O$8:$O$207,MATCH(LARGE($T$8:$T$207,ROWS($A$8:A25)),$T$8:$T$207,0)),"")</f>
        <v/>
      </c>
      <c r="F25" s="36">
        <f>IFERROR(INDEX($P$8:$P$207,MATCH(LARGE($T$8:$T$207,ROWS($A$8:A25)),$T$8:$T$207,0)),"")</f>
        <v/>
      </c>
      <c r="G25" s="37">
        <f>IFERROR(INDEX($Q$8:$Q$207,MATCH(LARGE($T$8:$T$207,ROWS($A$8:A25)),$T$8:$T$207,0)),"")</f>
        <v/>
      </c>
      <c r="H25" s="37">
        <f>IFERROR(INDEX($R$8:$R$207,MATCH(LARGE($T$8:$T$207,ROWS($A$8:A25)),$T$8:$T$207,0)),"")</f>
        <v/>
      </c>
      <c r="I25" s="37">
        <f>IFERROR(INDEX($S$8:$S$207,MATCH(LARGE($T$8:$T$207,ROWS($A$8:A25)),$T$8:$T$207,0)),"")</f>
        <v/>
      </c>
      <c r="K25">
        <f>IF(Trabajadores!B22="","",Trabajadores!B22)</f>
        <v/>
      </c>
      <c r="L25">
        <f>IF(K25="","",COUNTIFS(Detalle_Pagos!$E$5:$E$2004,K25,Detalle_Pagos!$B$5:$B$2004,"&gt;="&amp;$B$3,Detalle_Pagos!$B$5:$B$2004,"&lt;="&amp;$B$4))</f>
        <v/>
      </c>
      <c r="M25" s="43">
        <f>IF(K25="","",SUMIFS(Detalle_Pagos!$I$5:$I$2004,Detalle_Pagos!$E$5:$E$2004,K25,Detalle_Pagos!$J$5:$J$2004,"Si",Detalle_Pagos!$B$5:$B$2004,"&gt;="&amp;$B$3,Detalle_Pagos!$B$5:$B$2004,"&lt;="&amp;$B$4))</f>
        <v/>
      </c>
      <c r="N25" s="43">
        <f>IF(K25="","",SUMIFS(Detalle_Pagos!$I$5:$I$2004,Detalle_Pagos!$E$5:$E$2004,K25,Detalle_Pagos!$J$5:$J$2004,"No",Detalle_Pagos!$B$5:$B$2004,"&gt;="&amp;$B$3,Detalle_Pagos!$B$5:$B$2004,"&lt;="&amp;$B$4))</f>
        <v/>
      </c>
      <c r="O25">
        <f>IF(K25="","",COUNTIFS(Detalle_Pagos!$E$5:$E$2004,K25,Detalle_Pagos!$J$5:$J$2004,"No",Detalle_Pagos!$B$5:$B$2004,"&gt;="&amp;$B$3,Detalle_Pagos!$B$5:$B$2004,"&lt;="&amp;$B$4))</f>
        <v/>
      </c>
      <c r="P25">
        <f>IF(K25="","",COUNTIFS(Detalle_Pagos!$E$5:$E$2004,K25,Detalle_Pagos!$J$5:$J$2004,"Si",Detalle_Pagos!$B$5:$B$2004,"&gt;="&amp;$B$3,Detalle_Pagos!$B$5:$B$2004,"&lt;="&amp;$B$4))</f>
        <v/>
      </c>
      <c r="Q25" s="43">
        <f>IF(K25="","",O25*IFERROR(INDEX(Trabajadores!$D$5:$D$204,MATCH(K25,Trabajadores!$B$5:$B$204,0)),0))</f>
        <v/>
      </c>
      <c r="R25" s="43">
        <f>IF(K25="","",N25+Q25)</f>
        <v/>
      </c>
      <c r="S25" s="43">
        <f>IF(K25="","",M25+N25)</f>
        <v/>
      </c>
      <c r="T25">
        <f>IF(K25="","",S25+R25/100000+L25/100000000+(100000-ROW())/1000000000)</f>
        <v/>
      </c>
    </row>
    <row r="26">
      <c r="A26" s="38">
        <f>IFERROR(INDEX($K$8:$K$207,MATCH(LARGE($T$8:$T$207,ROWS($A$8:A26)),$T$8:$T$207,0)),"")</f>
        <v/>
      </c>
      <c r="B26" s="38">
        <f>IFERROR(INDEX($L$8:$L$207,MATCH(LARGE($T$8:$T$207,ROWS($A$8:A26)),$T$8:$T$207,0)),"")</f>
        <v/>
      </c>
      <c r="C26" s="39">
        <f>IFERROR(INDEX($M$8:$M$207,MATCH(LARGE($T$8:$T$207,ROWS($A$8:A26)),$T$8:$T$207,0)),"")</f>
        <v/>
      </c>
      <c r="D26" s="39">
        <f>IFERROR(INDEX($N$8:$N$207,MATCH(LARGE($T$8:$T$207,ROWS($A$8:A26)),$T$8:$T$207,0)),"")</f>
        <v/>
      </c>
      <c r="E26" s="38">
        <f>IFERROR(INDEX($O$8:$O$207,MATCH(LARGE($T$8:$T$207,ROWS($A$8:A26)),$T$8:$T$207,0)),"")</f>
        <v/>
      </c>
      <c r="F26" s="38">
        <f>IFERROR(INDEX($P$8:$P$207,MATCH(LARGE($T$8:$T$207,ROWS($A$8:A26)),$T$8:$T$207,0)),"")</f>
        <v/>
      </c>
      <c r="G26" s="39">
        <f>IFERROR(INDEX($Q$8:$Q$207,MATCH(LARGE($T$8:$T$207,ROWS($A$8:A26)),$T$8:$T$207,0)),"")</f>
        <v/>
      </c>
      <c r="H26" s="39">
        <f>IFERROR(INDEX($R$8:$R$207,MATCH(LARGE($T$8:$T$207,ROWS($A$8:A26)),$T$8:$T$207,0)),"")</f>
        <v/>
      </c>
      <c r="I26" s="39">
        <f>IFERROR(INDEX($S$8:$S$207,MATCH(LARGE($T$8:$T$207,ROWS($A$8:A26)),$T$8:$T$207,0)),"")</f>
        <v/>
      </c>
      <c r="K26">
        <f>IF(Trabajadores!B23="","",Trabajadores!B23)</f>
        <v/>
      </c>
      <c r="L26">
        <f>IF(K26="","",COUNTIFS(Detalle_Pagos!$E$5:$E$2004,K26,Detalle_Pagos!$B$5:$B$2004,"&gt;="&amp;$B$3,Detalle_Pagos!$B$5:$B$2004,"&lt;="&amp;$B$4))</f>
        <v/>
      </c>
      <c r="M26" s="43">
        <f>IF(K26="","",SUMIFS(Detalle_Pagos!$I$5:$I$2004,Detalle_Pagos!$E$5:$E$2004,K26,Detalle_Pagos!$J$5:$J$2004,"Si",Detalle_Pagos!$B$5:$B$2004,"&gt;="&amp;$B$3,Detalle_Pagos!$B$5:$B$2004,"&lt;="&amp;$B$4))</f>
        <v/>
      </c>
      <c r="N26" s="43">
        <f>IF(K26="","",SUMIFS(Detalle_Pagos!$I$5:$I$2004,Detalle_Pagos!$E$5:$E$2004,K26,Detalle_Pagos!$J$5:$J$2004,"No",Detalle_Pagos!$B$5:$B$2004,"&gt;="&amp;$B$3,Detalle_Pagos!$B$5:$B$2004,"&lt;="&amp;$B$4))</f>
        <v/>
      </c>
      <c r="O26">
        <f>IF(K26="","",COUNTIFS(Detalle_Pagos!$E$5:$E$2004,K26,Detalle_Pagos!$J$5:$J$2004,"No",Detalle_Pagos!$B$5:$B$2004,"&gt;="&amp;$B$3,Detalle_Pagos!$B$5:$B$2004,"&lt;="&amp;$B$4))</f>
        <v/>
      </c>
      <c r="P26">
        <f>IF(K26="","",COUNTIFS(Detalle_Pagos!$E$5:$E$2004,K26,Detalle_Pagos!$J$5:$J$2004,"Si",Detalle_Pagos!$B$5:$B$2004,"&gt;="&amp;$B$3,Detalle_Pagos!$B$5:$B$2004,"&lt;="&amp;$B$4))</f>
        <v/>
      </c>
      <c r="Q26" s="43">
        <f>IF(K26="","",O26*IFERROR(INDEX(Trabajadores!$D$5:$D$204,MATCH(K26,Trabajadores!$B$5:$B$204,0)),0))</f>
        <v/>
      </c>
      <c r="R26" s="43">
        <f>IF(K26="","",N26+Q26)</f>
        <v/>
      </c>
      <c r="S26" s="43">
        <f>IF(K26="","",M26+N26)</f>
        <v/>
      </c>
      <c r="T26">
        <f>IF(K26="","",S26+R26/100000+L26/100000000+(100000-ROW())/1000000000)</f>
        <v/>
      </c>
    </row>
    <row r="27">
      <c r="A27" s="36">
        <f>IFERROR(INDEX($K$8:$K$207,MATCH(LARGE($T$8:$T$207,ROWS($A$8:A27)),$T$8:$T$207,0)),"")</f>
        <v/>
      </c>
      <c r="B27" s="36">
        <f>IFERROR(INDEX($L$8:$L$207,MATCH(LARGE($T$8:$T$207,ROWS($A$8:A27)),$T$8:$T$207,0)),"")</f>
        <v/>
      </c>
      <c r="C27" s="37">
        <f>IFERROR(INDEX($M$8:$M$207,MATCH(LARGE($T$8:$T$207,ROWS($A$8:A27)),$T$8:$T$207,0)),"")</f>
        <v/>
      </c>
      <c r="D27" s="37">
        <f>IFERROR(INDEX($N$8:$N$207,MATCH(LARGE($T$8:$T$207,ROWS($A$8:A27)),$T$8:$T$207,0)),"")</f>
        <v/>
      </c>
      <c r="E27" s="36">
        <f>IFERROR(INDEX($O$8:$O$207,MATCH(LARGE($T$8:$T$207,ROWS($A$8:A27)),$T$8:$T$207,0)),"")</f>
        <v/>
      </c>
      <c r="F27" s="36">
        <f>IFERROR(INDEX($P$8:$P$207,MATCH(LARGE($T$8:$T$207,ROWS($A$8:A27)),$T$8:$T$207,0)),"")</f>
        <v/>
      </c>
      <c r="G27" s="37">
        <f>IFERROR(INDEX($Q$8:$Q$207,MATCH(LARGE($T$8:$T$207,ROWS($A$8:A27)),$T$8:$T$207,0)),"")</f>
        <v/>
      </c>
      <c r="H27" s="37">
        <f>IFERROR(INDEX($R$8:$R$207,MATCH(LARGE($T$8:$T$207,ROWS($A$8:A27)),$T$8:$T$207,0)),"")</f>
        <v/>
      </c>
      <c r="I27" s="37">
        <f>IFERROR(INDEX($S$8:$S$207,MATCH(LARGE($T$8:$T$207,ROWS($A$8:A27)),$T$8:$T$207,0)),"")</f>
        <v/>
      </c>
      <c r="K27">
        <f>IF(Trabajadores!B24="","",Trabajadores!B24)</f>
        <v/>
      </c>
      <c r="L27">
        <f>IF(K27="","",COUNTIFS(Detalle_Pagos!$E$5:$E$2004,K27,Detalle_Pagos!$B$5:$B$2004,"&gt;="&amp;$B$3,Detalle_Pagos!$B$5:$B$2004,"&lt;="&amp;$B$4))</f>
        <v/>
      </c>
      <c r="M27" s="43">
        <f>IF(K27="","",SUMIFS(Detalle_Pagos!$I$5:$I$2004,Detalle_Pagos!$E$5:$E$2004,K27,Detalle_Pagos!$J$5:$J$2004,"Si",Detalle_Pagos!$B$5:$B$2004,"&gt;="&amp;$B$3,Detalle_Pagos!$B$5:$B$2004,"&lt;="&amp;$B$4))</f>
        <v/>
      </c>
      <c r="N27" s="43">
        <f>IF(K27="","",SUMIFS(Detalle_Pagos!$I$5:$I$2004,Detalle_Pagos!$E$5:$E$2004,K27,Detalle_Pagos!$J$5:$J$2004,"No",Detalle_Pagos!$B$5:$B$2004,"&gt;="&amp;$B$3,Detalle_Pagos!$B$5:$B$2004,"&lt;="&amp;$B$4))</f>
        <v/>
      </c>
      <c r="O27">
        <f>IF(K27="","",COUNTIFS(Detalle_Pagos!$E$5:$E$2004,K27,Detalle_Pagos!$J$5:$J$2004,"No",Detalle_Pagos!$B$5:$B$2004,"&gt;="&amp;$B$3,Detalle_Pagos!$B$5:$B$2004,"&lt;="&amp;$B$4))</f>
        <v/>
      </c>
      <c r="P27">
        <f>IF(K27="","",COUNTIFS(Detalle_Pagos!$E$5:$E$2004,K27,Detalle_Pagos!$J$5:$J$2004,"Si",Detalle_Pagos!$B$5:$B$2004,"&gt;="&amp;$B$3,Detalle_Pagos!$B$5:$B$2004,"&lt;="&amp;$B$4))</f>
        <v/>
      </c>
      <c r="Q27" s="43">
        <f>IF(K27="","",O27*IFERROR(INDEX(Trabajadores!$D$5:$D$204,MATCH(K27,Trabajadores!$B$5:$B$204,0)),0))</f>
        <v/>
      </c>
      <c r="R27" s="43">
        <f>IF(K27="","",N27+Q27)</f>
        <v/>
      </c>
      <c r="S27" s="43">
        <f>IF(K27="","",M27+N27)</f>
        <v/>
      </c>
      <c r="T27">
        <f>IF(K27="","",S27+R27/100000+L27/100000000+(100000-ROW())/1000000000)</f>
        <v/>
      </c>
    </row>
    <row r="28">
      <c r="A28" s="38">
        <f>IFERROR(INDEX($K$8:$K$207,MATCH(LARGE($T$8:$T$207,ROWS($A$8:A28)),$T$8:$T$207,0)),"")</f>
        <v/>
      </c>
      <c r="B28" s="38">
        <f>IFERROR(INDEX($L$8:$L$207,MATCH(LARGE($T$8:$T$207,ROWS($A$8:A28)),$T$8:$T$207,0)),"")</f>
        <v/>
      </c>
      <c r="C28" s="39">
        <f>IFERROR(INDEX($M$8:$M$207,MATCH(LARGE($T$8:$T$207,ROWS($A$8:A28)),$T$8:$T$207,0)),"")</f>
        <v/>
      </c>
      <c r="D28" s="39">
        <f>IFERROR(INDEX($N$8:$N$207,MATCH(LARGE($T$8:$T$207,ROWS($A$8:A28)),$T$8:$T$207,0)),"")</f>
        <v/>
      </c>
      <c r="E28" s="38">
        <f>IFERROR(INDEX($O$8:$O$207,MATCH(LARGE($T$8:$T$207,ROWS($A$8:A28)),$T$8:$T$207,0)),"")</f>
        <v/>
      </c>
      <c r="F28" s="38">
        <f>IFERROR(INDEX($P$8:$P$207,MATCH(LARGE($T$8:$T$207,ROWS($A$8:A28)),$T$8:$T$207,0)),"")</f>
        <v/>
      </c>
      <c r="G28" s="39">
        <f>IFERROR(INDEX($Q$8:$Q$207,MATCH(LARGE($T$8:$T$207,ROWS($A$8:A28)),$T$8:$T$207,0)),"")</f>
        <v/>
      </c>
      <c r="H28" s="39">
        <f>IFERROR(INDEX($R$8:$R$207,MATCH(LARGE($T$8:$T$207,ROWS($A$8:A28)),$T$8:$T$207,0)),"")</f>
        <v/>
      </c>
      <c r="I28" s="39">
        <f>IFERROR(INDEX($S$8:$S$207,MATCH(LARGE($T$8:$T$207,ROWS($A$8:A28)),$T$8:$T$207,0)),"")</f>
        <v/>
      </c>
      <c r="K28">
        <f>IF(Trabajadores!B25="","",Trabajadores!B25)</f>
        <v/>
      </c>
      <c r="L28">
        <f>IF(K28="","",COUNTIFS(Detalle_Pagos!$E$5:$E$2004,K28,Detalle_Pagos!$B$5:$B$2004,"&gt;="&amp;$B$3,Detalle_Pagos!$B$5:$B$2004,"&lt;="&amp;$B$4))</f>
        <v/>
      </c>
      <c r="M28" s="43">
        <f>IF(K28="","",SUMIFS(Detalle_Pagos!$I$5:$I$2004,Detalle_Pagos!$E$5:$E$2004,K28,Detalle_Pagos!$J$5:$J$2004,"Si",Detalle_Pagos!$B$5:$B$2004,"&gt;="&amp;$B$3,Detalle_Pagos!$B$5:$B$2004,"&lt;="&amp;$B$4))</f>
        <v/>
      </c>
      <c r="N28" s="43">
        <f>IF(K28="","",SUMIFS(Detalle_Pagos!$I$5:$I$2004,Detalle_Pagos!$E$5:$E$2004,K28,Detalle_Pagos!$J$5:$J$2004,"No",Detalle_Pagos!$B$5:$B$2004,"&gt;="&amp;$B$3,Detalle_Pagos!$B$5:$B$2004,"&lt;="&amp;$B$4))</f>
        <v/>
      </c>
      <c r="O28">
        <f>IF(K28="","",COUNTIFS(Detalle_Pagos!$E$5:$E$2004,K28,Detalle_Pagos!$J$5:$J$2004,"No",Detalle_Pagos!$B$5:$B$2004,"&gt;="&amp;$B$3,Detalle_Pagos!$B$5:$B$2004,"&lt;="&amp;$B$4))</f>
        <v/>
      </c>
      <c r="P28">
        <f>IF(K28="","",COUNTIFS(Detalle_Pagos!$E$5:$E$2004,K28,Detalle_Pagos!$J$5:$J$2004,"Si",Detalle_Pagos!$B$5:$B$2004,"&gt;="&amp;$B$3,Detalle_Pagos!$B$5:$B$2004,"&lt;="&amp;$B$4))</f>
        <v/>
      </c>
      <c r="Q28" s="43">
        <f>IF(K28="","",O28*IFERROR(INDEX(Trabajadores!$D$5:$D$204,MATCH(K28,Trabajadores!$B$5:$B$204,0)),0))</f>
        <v/>
      </c>
      <c r="R28" s="43">
        <f>IF(K28="","",N28+Q28)</f>
        <v/>
      </c>
      <c r="S28" s="43">
        <f>IF(K28="","",M28+N28)</f>
        <v/>
      </c>
      <c r="T28">
        <f>IF(K28="","",S28+R28/100000+L28/100000000+(100000-ROW())/1000000000)</f>
        <v/>
      </c>
    </row>
    <row r="29">
      <c r="A29" s="36">
        <f>IFERROR(INDEX($K$8:$K$207,MATCH(LARGE($T$8:$T$207,ROWS($A$8:A29)),$T$8:$T$207,0)),"")</f>
        <v/>
      </c>
      <c r="B29" s="36">
        <f>IFERROR(INDEX($L$8:$L$207,MATCH(LARGE($T$8:$T$207,ROWS($A$8:A29)),$T$8:$T$207,0)),"")</f>
        <v/>
      </c>
      <c r="C29" s="37">
        <f>IFERROR(INDEX($M$8:$M$207,MATCH(LARGE($T$8:$T$207,ROWS($A$8:A29)),$T$8:$T$207,0)),"")</f>
        <v/>
      </c>
      <c r="D29" s="37">
        <f>IFERROR(INDEX($N$8:$N$207,MATCH(LARGE($T$8:$T$207,ROWS($A$8:A29)),$T$8:$T$207,0)),"")</f>
        <v/>
      </c>
      <c r="E29" s="36">
        <f>IFERROR(INDEX($O$8:$O$207,MATCH(LARGE($T$8:$T$207,ROWS($A$8:A29)),$T$8:$T$207,0)),"")</f>
        <v/>
      </c>
      <c r="F29" s="36">
        <f>IFERROR(INDEX($P$8:$P$207,MATCH(LARGE($T$8:$T$207,ROWS($A$8:A29)),$T$8:$T$207,0)),"")</f>
        <v/>
      </c>
      <c r="G29" s="37">
        <f>IFERROR(INDEX($Q$8:$Q$207,MATCH(LARGE($T$8:$T$207,ROWS($A$8:A29)),$T$8:$T$207,0)),"")</f>
        <v/>
      </c>
      <c r="H29" s="37">
        <f>IFERROR(INDEX($R$8:$R$207,MATCH(LARGE($T$8:$T$207,ROWS($A$8:A29)),$T$8:$T$207,0)),"")</f>
        <v/>
      </c>
      <c r="I29" s="37">
        <f>IFERROR(INDEX($S$8:$S$207,MATCH(LARGE($T$8:$T$207,ROWS($A$8:A29)),$T$8:$T$207,0)),"")</f>
        <v/>
      </c>
      <c r="K29">
        <f>IF(Trabajadores!B26="","",Trabajadores!B26)</f>
        <v/>
      </c>
      <c r="L29">
        <f>IF(K29="","",COUNTIFS(Detalle_Pagos!$E$5:$E$2004,K29,Detalle_Pagos!$B$5:$B$2004,"&gt;="&amp;$B$3,Detalle_Pagos!$B$5:$B$2004,"&lt;="&amp;$B$4))</f>
        <v/>
      </c>
      <c r="M29" s="43">
        <f>IF(K29="","",SUMIFS(Detalle_Pagos!$I$5:$I$2004,Detalle_Pagos!$E$5:$E$2004,K29,Detalle_Pagos!$J$5:$J$2004,"Si",Detalle_Pagos!$B$5:$B$2004,"&gt;="&amp;$B$3,Detalle_Pagos!$B$5:$B$2004,"&lt;="&amp;$B$4))</f>
        <v/>
      </c>
      <c r="N29" s="43">
        <f>IF(K29="","",SUMIFS(Detalle_Pagos!$I$5:$I$2004,Detalle_Pagos!$E$5:$E$2004,K29,Detalle_Pagos!$J$5:$J$2004,"No",Detalle_Pagos!$B$5:$B$2004,"&gt;="&amp;$B$3,Detalle_Pagos!$B$5:$B$2004,"&lt;="&amp;$B$4))</f>
        <v/>
      </c>
      <c r="O29">
        <f>IF(K29="","",COUNTIFS(Detalle_Pagos!$E$5:$E$2004,K29,Detalle_Pagos!$J$5:$J$2004,"No",Detalle_Pagos!$B$5:$B$2004,"&gt;="&amp;$B$3,Detalle_Pagos!$B$5:$B$2004,"&lt;="&amp;$B$4))</f>
        <v/>
      </c>
      <c r="P29">
        <f>IF(K29="","",COUNTIFS(Detalle_Pagos!$E$5:$E$2004,K29,Detalle_Pagos!$J$5:$J$2004,"Si",Detalle_Pagos!$B$5:$B$2004,"&gt;="&amp;$B$3,Detalle_Pagos!$B$5:$B$2004,"&lt;="&amp;$B$4))</f>
        <v/>
      </c>
      <c r="Q29" s="43">
        <f>IF(K29="","",O29*IFERROR(INDEX(Trabajadores!$D$5:$D$204,MATCH(K29,Trabajadores!$B$5:$B$204,0)),0))</f>
        <v/>
      </c>
      <c r="R29" s="43">
        <f>IF(K29="","",N29+Q29)</f>
        <v/>
      </c>
      <c r="S29" s="43">
        <f>IF(K29="","",M29+N29)</f>
        <v/>
      </c>
      <c r="T29">
        <f>IF(K29="","",S29+R29/100000+L29/100000000+(100000-ROW())/1000000000)</f>
        <v/>
      </c>
    </row>
    <row r="30">
      <c r="A30" s="38">
        <f>IFERROR(INDEX($K$8:$K$207,MATCH(LARGE($T$8:$T$207,ROWS($A$8:A30)),$T$8:$T$207,0)),"")</f>
        <v/>
      </c>
      <c r="B30" s="38">
        <f>IFERROR(INDEX($L$8:$L$207,MATCH(LARGE($T$8:$T$207,ROWS($A$8:A30)),$T$8:$T$207,0)),"")</f>
        <v/>
      </c>
      <c r="C30" s="39">
        <f>IFERROR(INDEX($M$8:$M$207,MATCH(LARGE($T$8:$T$207,ROWS($A$8:A30)),$T$8:$T$207,0)),"")</f>
        <v/>
      </c>
      <c r="D30" s="39">
        <f>IFERROR(INDEX($N$8:$N$207,MATCH(LARGE($T$8:$T$207,ROWS($A$8:A30)),$T$8:$T$207,0)),"")</f>
        <v/>
      </c>
      <c r="E30" s="38">
        <f>IFERROR(INDEX($O$8:$O$207,MATCH(LARGE($T$8:$T$207,ROWS($A$8:A30)),$T$8:$T$207,0)),"")</f>
        <v/>
      </c>
      <c r="F30" s="38">
        <f>IFERROR(INDEX($P$8:$P$207,MATCH(LARGE($T$8:$T$207,ROWS($A$8:A30)),$T$8:$T$207,0)),"")</f>
        <v/>
      </c>
      <c r="G30" s="39">
        <f>IFERROR(INDEX($Q$8:$Q$207,MATCH(LARGE($T$8:$T$207,ROWS($A$8:A30)),$T$8:$T$207,0)),"")</f>
        <v/>
      </c>
      <c r="H30" s="39">
        <f>IFERROR(INDEX($R$8:$R$207,MATCH(LARGE($T$8:$T$207,ROWS($A$8:A30)),$T$8:$T$207,0)),"")</f>
        <v/>
      </c>
      <c r="I30" s="39">
        <f>IFERROR(INDEX($S$8:$S$207,MATCH(LARGE($T$8:$T$207,ROWS($A$8:A30)),$T$8:$T$207,0)),"")</f>
        <v/>
      </c>
      <c r="K30">
        <f>IF(Trabajadores!B27="","",Trabajadores!B27)</f>
        <v/>
      </c>
      <c r="L30">
        <f>IF(K30="","",COUNTIFS(Detalle_Pagos!$E$5:$E$2004,K30,Detalle_Pagos!$B$5:$B$2004,"&gt;="&amp;$B$3,Detalle_Pagos!$B$5:$B$2004,"&lt;="&amp;$B$4))</f>
        <v/>
      </c>
      <c r="M30" s="43">
        <f>IF(K30="","",SUMIFS(Detalle_Pagos!$I$5:$I$2004,Detalle_Pagos!$E$5:$E$2004,K30,Detalle_Pagos!$J$5:$J$2004,"Si",Detalle_Pagos!$B$5:$B$2004,"&gt;="&amp;$B$3,Detalle_Pagos!$B$5:$B$2004,"&lt;="&amp;$B$4))</f>
        <v/>
      </c>
      <c r="N30" s="43">
        <f>IF(K30="","",SUMIFS(Detalle_Pagos!$I$5:$I$2004,Detalle_Pagos!$E$5:$E$2004,K30,Detalle_Pagos!$J$5:$J$2004,"No",Detalle_Pagos!$B$5:$B$2004,"&gt;="&amp;$B$3,Detalle_Pagos!$B$5:$B$2004,"&lt;="&amp;$B$4))</f>
        <v/>
      </c>
      <c r="O30">
        <f>IF(K30="","",COUNTIFS(Detalle_Pagos!$E$5:$E$2004,K30,Detalle_Pagos!$J$5:$J$2004,"No",Detalle_Pagos!$B$5:$B$2004,"&gt;="&amp;$B$3,Detalle_Pagos!$B$5:$B$2004,"&lt;="&amp;$B$4))</f>
        <v/>
      </c>
      <c r="P30">
        <f>IF(K30="","",COUNTIFS(Detalle_Pagos!$E$5:$E$2004,K30,Detalle_Pagos!$J$5:$J$2004,"Si",Detalle_Pagos!$B$5:$B$2004,"&gt;="&amp;$B$3,Detalle_Pagos!$B$5:$B$2004,"&lt;="&amp;$B$4))</f>
        <v/>
      </c>
      <c r="Q30" s="43">
        <f>IF(K30="","",O30*IFERROR(INDEX(Trabajadores!$D$5:$D$204,MATCH(K30,Trabajadores!$B$5:$B$204,0)),0))</f>
        <v/>
      </c>
      <c r="R30" s="43">
        <f>IF(K30="","",N30+Q30)</f>
        <v/>
      </c>
      <c r="S30" s="43">
        <f>IF(K30="","",M30+N30)</f>
        <v/>
      </c>
      <c r="T30">
        <f>IF(K30="","",S30+R30/100000+L30/100000000+(100000-ROW())/1000000000)</f>
        <v/>
      </c>
    </row>
    <row r="31">
      <c r="A31" s="36">
        <f>IFERROR(INDEX($K$8:$K$207,MATCH(LARGE($T$8:$T$207,ROWS($A$8:A31)),$T$8:$T$207,0)),"")</f>
        <v/>
      </c>
      <c r="B31" s="36">
        <f>IFERROR(INDEX($L$8:$L$207,MATCH(LARGE($T$8:$T$207,ROWS($A$8:A31)),$T$8:$T$207,0)),"")</f>
        <v/>
      </c>
      <c r="C31" s="37">
        <f>IFERROR(INDEX($M$8:$M$207,MATCH(LARGE($T$8:$T$207,ROWS($A$8:A31)),$T$8:$T$207,0)),"")</f>
        <v/>
      </c>
      <c r="D31" s="37">
        <f>IFERROR(INDEX($N$8:$N$207,MATCH(LARGE($T$8:$T$207,ROWS($A$8:A31)),$T$8:$T$207,0)),"")</f>
        <v/>
      </c>
      <c r="E31" s="36">
        <f>IFERROR(INDEX($O$8:$O$207,MATCH(LARGE($T$8:$T$207,ROWS($A$8:A31)),$T$8:$T$207,0)),"")</f>
        <v/>
      </c>
      <c r="F31" s="36">
        <f>IFERROR(INDEX($P$8:$P$207,MATCH(LARGE($T$8:$T$207,ROWS($A$8:A31)),$T$8:$T$207,0)),"")</f>
        <v/>
      </c>
      <c r="G31" s="37">
        <f>IFERROR(INDEX($Q$8:$Q$207,MATCH(LARGE($T$8:$T$207,ROWS($A$8:A31)),$T$8:$T$207,0)),"")</f>
        <v/>
      </c>
      <c r="H31" s="37">
        <f>IFERROR(INDEX($R$8:$R$207,MATCH(LARGE($T$8:$T$207,ROWS($A$8:A31)),$T$8:$T$207,0)),"")</f>
        <v/>
      </c>
      <c r="I31" s="37">
        <f>IFERROR(INDEX($S$8:$S$207,MATCH(LARGE($T$8:$T$207,ROWS($A$8:A31)),$T$8:$T$207,0)),"")</f>
        <v/>
      </c>
      <c r="K31">
        <f>IF(Trabajadores!B28="","",Trabajadores!B28)</f>
        <v/>
      </c>
      <c r="L31">
        <f>IF(K31="","",COUNTIFS(Detalle_Pagos!$E$5:$E$2004,K31,Detalle_Pagos!$B$5:$B$2004,"&gt;="&amp;$B$3,Detalle_Pagos!$B$5:$B$2004,"&lt;="&amp;$B$4))</f>
        <v/>
      </c>
      <c r="M31" s="43">
        <f>IF(K31="","",SUMIFS(Detalle_Pagos!$I$5:$I$2004,Detalle_Pagos!$E$5:$E$2004,K31,Detalle_Pagos!$J$5:$J$2004,"Si",Detalle_Pagos!$B$5:$B$2004,"&gt;="&amp;$B$3,Detalle_Pagos!$B$5:$B$2004,"&lt;="&amp;$B$4))</f>
        <v/>
      </c>
      <c r="N31" s="43">
        <f>IF(K31="","",SUMIFS(Detalle_Pagos!$I$5:$I$2004,Detalle_Pagos!$E$5:$E$2004,K31,Detalle_Pagos!$J$5:$J$2004,"No",Detalle_Pagos!$B$5:$B$2004,"&gt;="&amp;$B$3,Detalle_Pagos!$B$5:$B$2004,"&lt;="&amp;$B$4))</f>
        <v/>
      </c>
      <c r="O31">
        <f>IF(K31="","",COUNTIFS(Detalle_Pagos!$E$5:$E$2004,K31,Detalle_Pagos!$J$5:$J$2004,"No",Detalle_Pagos!$B$5:$B$2004,"&gt;="&amp;$B$3,Detalle_Pagos!$B$5:$B$2004,"&lt;="&amp;$B$4))</f>
        <v/>
      </c>
      <c r="P31">
        <f>IF(K31="","",COUNTIFS(Detalle_Pagos!$E$5:$E$2004,K31,Detalle_Pagos!$J$5:$J$2004,"Si",Detalle_Pagos!$B$5:$B$2004,"&gt;="&amp;$B$3,Detalle_Pagos!$B$5:$B$2004,"&lt;="&amp;$B$4))</f>
        <v/>
      </c>
      <c r="Q31" s="43">
        <f>IF(K31="","",O31*IFERROR(INDEX(Trabajadores!$D$5:$D$204,MATCH(K31,Trabajadores!$B$5:$B$204,0)),0))</f>
        <v/>
      </c>
      <c r="R31" s="43">
        <f>IF(K31="","",N31+Q31)</f>
        <v/>
      </c>
      <c r="S31" s="43">
        <f>IF(K31="","",M31+N31)</f>
        <v/>
      </c>
      <c r="T31">
        <f>IF(K31="","",S31+R31/100000+L31/100000000+(100000-ROW())/1000000000)</f>
        <v/>
      </c>
    </row>
    <row r="32">
      <c r="A32" s="38">
        <f>IFERROR(INDEX($K$8:$K$207,MATCH(LARGE($T$8:$T$207,ROWS($A$8:A32)),$T$8:$T$207,0)),"")</f>
        <v/>
      </c>
      <c r="B32" s="38">
        <f>IFERROR(INDEX($L$8:$L$207,MATCH(LARGE($T$8:$T$207,ROWS($A$8:A32)),$T$8:$T$207,0)),"")</f>
        <v/>
      </c>
      <c r="C32" s="39">
        <f>IFERROR(INDEX($M$8:$M$207,MATCH(LARGE($T$8:$T$207,ROWS($A$8:A32)),$T$8:$T$207,0)),"")</f>
        <v/>
      </c>
      <c r="D32" s="39">
        <f>IFERROR(INDEX($N$8:$N$207,MATCH(LARGE($T$8:$T$207,ROWS($A$8:A32)),$T$8:$T$207,0)),"")</f>
        <v/>
      </c>
      <c r="E32" s="38">
        <f>IFERROR(INDEX($O$8:$O$207,MATCH(LARGE($T$8:$T$207,ROWS($A$8:A32)),$T$8:$T$207,0)),"")</f>
        <v/>
      </c>
      <c r="F32" s="38">
        <f>IFERROR(INDEX($P$8:$P$207,MATCH(LARGE($T$8:$T$207,ROWS($A$8:A32)),$T$8:$T$207,0)),"")</f>
        <v/>
      </c>
      <c r="G32" s="39">
        <f>IFERROR(INDEX($Q$8:$Q$207,MATCH(LARGE($T$8:$T$207,ROWS($A$8:A32)),$T$8:$T$207,0)),"")</f>
        <v/>
      </c>
      <c r="H32" s="39">
        <f>IFERROR(INDEX($R$8:$R$207,MATCH(LARGE($T$8:$T$207,ROWS($A$8:A32)),$T$8:$T$207,0)),"")</f>
        <v/>
      </c>
      <c r="I32" s="39">
        <f>IFERROR(INDEX($S$8:$S$207,MATCH(LARGE($T$8:$T$207,ROWS($A$8:A32)),$T$8:$T$207,0)),"")</f>
        <v/>
      </c>
      <c r="K32">
        <f>IF(Trabajadores!B29="","",Trabajadores!B29)</f>
        <v/>
      </c>
      <c r="L32">
        <f>IF(K32="","",COUNTIFS(Detalle_Pagos!$E$5:$E$2004,K32,Detalle_Pagos!$B$5:$B$2004,"&gt;="&amp;$B$3,Detalle_Pagos!$B$5:$B$2004,"&lt;="&amp;$B$4))</f>
        <v/>
      </c>
      <c r="M32" s="43">
        <f>IF(K32="","",SUMIFS(Detalle_Pagos!$I$5:$I$2004,Detalle_Pagos!$E$5:$E$2004,K32,Detalle_Pagos!$J$5:$J$2004,"Si",Detalle_Pagos!$B$5:$B$2004,"&gt;="&amp;$B$3,Detalle_Pagos!$B$5:$B$2004,"&lt;="&amp;$B$4))</f>
        <v/>
      </c>
      <c r="N32" s="43">
        <f>IF(K32="","",SUMIFS(Detalle_Pagos!$I$5:$I$2004,Detalle_Pagos!$E$5:$E$2004,K32,Detalle_Pagos!$J$5:$J$2004,"No",Detalle_Pagos!$B$5:$B$2004,"&gt;="&amp;$B$3,Detalle_Pagos!$B$5:$B$2004,"&lt;="&amp;$B$4))</f>
        <v/>
      </c>
      <c r="O32">
        <f>IF(K32="","",COUNTIFS(Detalle_Pagos!$E$5:$E$2004,K32,Detalle_Pagos!$J$5:$J$2004,"No",Detalle_Pagos!$B$5:$B$2004,"&gt;="&amp;$B$3,Detalle_Pagos!$B$5:$B$2004,"&lt;="&amp;$B$4))</f>
        <v/>
      </c>
      <c r="P32">
        <f>IF(K32="","",COUNTIFS(Detalle_Pagos!$E$5:$E$2004,K32,Detalle_Pagos!$J$5:$J$2004,"Si",Detalle_Pagos!$B$5:$B$2004,"&gt;="&amp;$B$3,Detalle_Pagos!$B$5:$B$2004,"&lt;="&amp;$B$4))</f>
        <v/>
      </c>
      <c r="Q32" s="43">
        <f>IF(K32="","",O32*IFERROR(INDEX(Trabajadores!$D$5:$D$204,MATCH(K32,Trabajadores!$B$5:$B$204,0)),0))</f>
        <v/>
      </c>
      <c r="R32" s="43">
        <f>IF(K32="","",N32+Q32)</f>
        <v/>
      </c>
      <c r="S32" s="43">
        <f>IF(K32="","",M32+N32)</f>
        <v/>
      </c>
      <c r="T32">
        <f>IF(K32="","",S32+R32/100000+L32/100000000+(100000-ROW())/1000000000)</f>
        <v/>
      </c>
    </row>
    <row r="33">
      <c r="A33" s="36">
        <f>IFERROR(INDEX($K$8:$K$207,MATCH(LARGE($T$8:$T$207,ROWS($A$8:A33)),$T$8:$T$207,0)),"")</f>
        <v/>
      </c>
      <c r="B33" s="36">
        <f>IFERROR(INDEX($L$8:$L$207,MATCH(LARGE($T$8:$T$207,ROWS($A$8:A33)),$T$8:$T$207,0)),"")</f>
        <v/>
      </c>
      <c r="C33" s="37">
        <f>IFERROR(INDEX($M$8:$M$207,MATCH(LARGE($T$8:$T$207,ROWS($A$8:A33)),$T$8:$T$207,0)),"")</f>
        <v/>
      </c>
      <c r="D33" s="37">
        <f>IFERROR(INDEX($N$8:$N$207,MATCH(LARGE($T$8:$T$207,ROWS($A$8:A33)),$T$8:$T$207,0)),"")</f>
        <v/>
      </c>
      <c r="E33" s="36">
        <f>IFERROR(INDEX($O$8:$O$207,MATCH(LARGE($T$8:$T$207,ROWS($A$8:A33)),$T$8:$T$207,0)),"")</f>
        <v/>
      </c>
      <c r="F33" s="36">
        <f>IFERROR(INDEX($P$8:$P$207,MATCH(LARGE($T$8:$T$207,ROWS($A$8:A33)),$T$8:$T$207,0)),"")</f>
        <v/>
      </c>
      <c r="G33" s="37">
        <f>IFERROR(INDEX($Q$8:$Q$207,MATCH(LARGE($T$8:$T$207,ROWS($A$8:A33)),$T$8:$T$207,0)),"")</f>
        <v/>
      </c>
      <c r="H33" s="37">
        <f>IFERROR(INDEX($R$8:$R$207,MATCH(LARGE($T$8:$T$207,ROWS($A$8:A33)),$T$8:$T$207,0)),"")</f>
        <v/>
      </c>
      <c r="I33" s="37">
        <f>IFERROR(INDEX($S$8:$S$207,MATCH(LARGE($T$8:$T$207,ROWS($A$8:A33)),$T$8:$T$207,0)),"")</f>
        <v/>
      </c>
      <c r="K33">
        <f>IF(Trabajadores!B30="","",Trabajadores!B30)</f>
        <v/>
      </c>
      <c r="L33">
        <f>IF(K33="","",COUNTIFS(Detalle_Pagos!$E$5:$E$2004,K33,Detalle_Pagos!$B$5:$B$2004,"&gt;="&amp;$B$3,Detalle_Pagos!$B$5:$B$2004,"&lt;="&amp;$B$4))</f>
        <v/>
      </c>
      <c r="M33" s="43">
        <f>IF(K33="","",SUMIFS(Detalle_Pagos!$I$5:$I$2004,Detalle_Pagos!$E$5:$E$2004,K33,Detalle_Pagos!$J$5:$J$2004,"Si",Detalle_Pagos!$B$5:$B$2004,"&gt;="&amp;$B$3,Detalle_Pagos!$B$5:$B$2004,"&lt;="&amp;$B$4))</f>
        <v/>
      </c>
      <c r="N33" s="43">
        <f>IF(K33="","",SUMIFS(Detalle_Pagos!$I$5:$I$2004,Detalle_Pagos!$E$5:$E$2004,K33,Detalle_Pagos!$J$5:$J$2004,"No",Detalle_Pagos!$B$5:$B$2004,"&gt;="&amp;$B$3,Detalle_Pagos!$B$5:$B$2004,"&lt;="&amp;$B$4))</f>
        <v/>
      </c>
      <c r="O33">
        <f>IF(K33="","",COUNTIFS(Detalle_Pagos!$E$5:$E$2004,K33,Detalle_Pagos!$J$5:$J$2004,"No",Detalle_Pagos!$B$5:$B$2004,"&gt;="&amp;$B$3,Detalle_Pagos!$B$5:$B$2004,"&lt;="&amp;$B$4))</f>
        <v/>
      </c>
      <c r="P33">
        <f>IF(K33="","",COUNTIFS(Detalle_Pagos!$E$5:$E$2004,K33,Detalle_Pagos!$J$5:$J$2004,"Si",Detalle_Pagos!$B$5:$B$2004,"&gt;="&amp;$B$3,Detalle_Pagos!$B$5:$B$2004,"&lt;="&amp;$B$4))</f>
        <v/>
      </c>
      <c r="Q33" s="43">
        <f>IF(K33="","",O33*IFERROR(INDEX(Trabajadores!$D$5:$D$204,MATCH(K33,Trabajadores!$B$5:$B$204,0)),0))</f>
        <v/>
      </c>
      <c r="R33" s="43">
        <f>IF(K33="","",N33+Q33)</f>
        <v/>
      </c>
      <c r="S33" s="43">
        <f>IF(K33="","",M33+N33)</f>
        <v/>
      </c>
      <c r="T33">
        <f>IF(K33="","",S33+R33/100000+L33/100000000+(100000-ROW())/1000000000)</f>
        <v/>
      </c>
    </row>
    <row r="34">
      <c r="A34" s="38">
        <f>IFERROR(INDEX($K$8:$K$207,MATCH(LARGE($T$8:$T$207,ROWS($A$8:A34)),$T$8:$T$207,0)),"")</f>
        <v/>
      </c>
      <c r="B34" s="38">
        <f>IFERROR(INDEX($L$8:$L$207,MATCH(LARGE($T$8:$T$207,ROWS($A$8:A34)),$T$8:$T$207,0)),"")</f>
        <v/>
      </c>
      <c r="C34" s="39">
        <f>IFERROR(INDEX($M$8:$M$207,MATCH(LARGE($T$8:$T$207,ROWS($A$8:A34)),$T$8:$T$207,0)),"")</f>
        <v/>
      </c>
      <c r="D34" s="39">
        <f>IFERROR(INDEX($N$8:$N$207,MATCH(LARGE($T$8:$T$207,ROWS($A$8:A34)),$T$8:$T$207,0)),"")</f>
        <v/>
      </c>
      <c r="E34" s="38">
        <f>IFERROR(INDEX($O$8:$O$207,MATCH(LARGE($T$8:$T$207,ROWS($A$8:A34)),$T$8:$T$207,0)),"")</f>
        <v/>
      </c>
      <c r="F34" s="38">
        <f>IFERROR(INDEX($P$8:$P$207,MATCH(LARGE($T$8:$T$207,ROWS($A$8:A34)),$T$8:$T$207,0)),"")</f>
        <v/>
      </c>
      <c r="G34" s="39">
        <f>IFERROR(INDEX($Q$8:$Q$207,MATCH(LARGE($T$8:$T$207,ROWS($A$8:A34)),$T$8:$T$207,0)),"")</f>
        <v/>
      </c>
      <c r="H34" s="39">
        <f>IFERROR(INDEX($R$8:$R$207,MATCH(LARGE($T$8:$T$207,ROWS($A$8:A34)),$T$8:$T$207,0)),"")</f>
        <v/>
      </c>
      <c r="I34" s="39">
        <f>IFERROR(INDEX($S$8:$S$207,MATCH(LARGE($T$8:$T$207,ROWS($A$8:A34)),$T$8:$T$207,0)),"")</f>
        <v/>
      </c>
      <c r="K34">
        <f>IF(Trabajadores!B31="","",Trabajadores!B31)</f>
        <v/>
      </c>
      <c r="L34">
        <f>IF(K34="","",COUNTIFS(Detalle_Pagos!$E$5:$E$2004,K34,Detalle_Pagos!$B$5:$B$2004,"&gt;="&amp;$B$3,Detalle_Pagos!$B$5:$B$2004,"&lt;="&amp;$B$4))</f>
        <v/>
      </c>
      <c r="M34" s="43">
        <f>IF(K34="","",SUMIFS(Detalle_Pagos!$I$5:$I$2004,Detalle_Pagos!$E$5:$E$2004,K34,Detalle_Pagos!$J$5:$J$2004,"Si",Detalle_Pagos!$B$5:$B$2004,"&gt;="&amp;$B$3,Detalle_Pagos!$B$5:$B$2004,"&lt;="&amp;$B$4))</f>
        <v/>
      </c>
      <c r="N34" s="43">
        <f>IF(K34="","",SUMIFS(Detalle_Pagos!$I$5:$I$2004,Detalle_Pagos!$E$5:$E$2004,K34,Detalle_Pagos!$J$5:$J$2004,"No",Detalle_Pagos!$B$5:$B$2004,"&gt;="&amp;$B$3,Detalle_Pagos!$B$5:$B$2004,"&lt;="&amp;$B$4))</f>
        <v/>
      </c>
      <c r="O34">
        <f>IF(K34="","",COUNTIFS(Detalle_Pagos!$E$5:$E$2004,K34,Detalle_Pagos!$J$5:$J$2004,"No",Detalle_Pagos!$B$5:$B$2004,"&gt;="&amp;$B$3,Detalle_Pagos!$B$5:$B$2004,"&lt;="&amp;$B$4))</f>
        <v/>
      </c>
      <c r="P34">
        <f>IF(K34="","",COUNTIFS(Detalle_Pagos!$E$5:$E$2004,K34,Detalle_Pagos!$J$5:$J$2004,"Si",Detalle_Pagos!$B$5:$B$2004,"&gt;="&amp;$B$3,Detalle_Pagos!$B$5:$B$2004,"&lt;="&amp;$B$4))</f>
        <v/>
      </c>
      <c r="Q34" s="43">
        <f>IF(K34="","",O34*IFERROR(INDEX(Trabajadores!$D$5:$D$204,MATCH(K34,Trabajadores!$B$5:$B$204,0)),0))</f>
        <v/>
      </c>
      <c r="R34" s="43">
        <f>IF(K34="","",N34+Q34)</f>
        <v/>
      </c>
      <c r="S34" s="43">
        <f>IF(K34="","",M34+N34)</f>
        <v/>
      </c>
      <c r="T34">
        <f>IF(K34="","",S34+R34/100000+L34/100000000+(100000-ROW())/1000000000)</f>
        <v/>
      </c>
    </row>
    <row r="35">
      <c r="A35" s="36">
        <f>IFERROR(INDEX($K$8:$K$207,MATCH(LARGE($T$8:$T$207,ROWS($A$8:A35)),$T$8:$T$207,0)),"")</f>
        <v/>
      </c>
      <c r="B35" s="36">
        <f>IFERROR(INDEX($L$8:$L$207,MATCH(LARGE($T$8:$T$207,ROWS($A$8:A35)),$T$8:$T$207,0)),"")</f>
        <v/>
      </c>
      <c r="C35" s="37">
        <f>IFERROR(INDEX($M$8:$M$207,MATCH(LARGE($T$8:$T$207,ROWS($A$8:A35)),$T$8:$T$207,0)),"")</f>
        <v/>
      </c>
      <c r="D35" s="37">
        <f>IFERROR(INDEX($N$8:$N$207,MATCH(LARGE($T$8:$T$207,ROWS($A$8:A35)),$T$8:$T$207,0)),"")</f>
        <v/>
      </c>
      <c r="E35" s="36">
        <f>IFERROR(INDEX($O$8:$O$207,MATCH(LARGE($T$8:$T$207,ROWS($A$8:A35)),$T$8:$T$207,0)),"")</f>
        <v/>
      </c>
      <c r="F35" s="36">
        <f>IFERROR(INDEX($P$8:$P$207,MATCH(LARGE($T$8:$T$207,ROWS($A$8:A35)),$T$8:$T$207,0)),"")</f>
        <v/>
      </c>
      <c r="G35" s="37">
        <f>IFERROR(INDEX($Q$8:$Q$207,MATCH(LARGE($T$8:$T$207,ROWS($A$8:A35)),$T$8:$T$207,0)),"")</f>
        <v/>
      </c>
      <c r="H35" s="37">
        <f>IFERROR(INDEX($R$8:$R$207,MATCH(LARGE($T$8:$T$207,ROWS($A$8:A35)),$T$8:$T$207,0)),"")</f>
        <v/>
      </c>
      <c r="I35" s="37">
        <f>IFERROR(INDEX($S$8:$S$207,MATCH(LARGE($T$8:$T$207,ROWS($A$8:A35)),$T$8:$T$207,0)),"")</f>
        <v/>
      </c>
      <c r="K35">
        <f>IF(Trabajadores!B32="","",Trabajadores!B32)</f>
        <v/>
      </c>
      <c r="L35">
        <f>IF(K35="","",COUNTIFS(Detalle_Pagos!$E$5:$E$2004,K35,Detalle_Pagos!$B$5:$B$2004,"&gt;="&amp;$B$3,Detalle_Pagos!$B$5:$B$2004,"&lt;="&amp;$B$4))</f>
        <v/>
      </c>
      <c r="M35" s="43">
        <f>IF(K35="","",SUMIFS(Detalle_Pagos!$I$5:$I$2004,Detalle_Pagos!$E$5:$E$2004,K35,Detalle_Pagos!$J$5:$J$2004,"Si",Detalle_Pagos!$B$5:$B$2004,"&gt;="&amp;$B$3,Detalle_Pagos!$B$5:$B$2004,"&lt;="&amp;$B$4))</f>
        <v/>
      </c>
      <c r="N35" s="43">
        <f>IF(K35="","",SUMIFS(Detalle_Pagos!$I$5:$I$2004,Detalle_Pagos!$E$5:$E$2004,K35,Detalle_Pagos!$J$5:$J$2004,"No",Detalle_Pagos!$B$5:$B$2004,"&gt;="&amp;$B$3,Detalle_Pagos!$B$5:$B$2004,"&lt;="&amp;$B$4))</f>
        <v/>
      </c>
      <c r="O35">
        <f>IF(K35="","",COUNTIFS(Detalle_Pagos!$E$5:$E$2004,K35,Detalle_Pagos!$J$5:$J$2004,"No",Detalle_Pagos!$B$5:$B$2004,"&gt;="&amp;$B$3,Detalle_Pagos!$B$5:$B$2004,"&lt;="&amp;$B$4))</f>
        <v/>
      </c>
      <c r="P35">
        <f>IF(K35="","",COUNTIFS(Detalle_Pagos!$E$5:$E$2004,K35,Detalle_Pagos!$J$5:$J$2004,"Si",Detalle_Pagos!$B$5:$B$2004,"&gt;="&amp;$B$3,Detalle_Pagos!$B$5:$B$2004,"&lt;="&amp;$B$4))</f>
        <v/>
      </c>
      <c r="Q35" s="43">
        <f>IF(K35="","",O35*IFERROR(INDEX(Trabajadores!$D$5:$D$204,MATCH(K35,Trabajadores!$B$5:$B$204,0)),0))</f>
        <v/>
      </c>
      <c r="R35" s="43">
        <f>IF(K35="","",N35+Q35)</f>
        <v/>
      </c>
      <c r="S35" s="43">
        <f>IF(K35="","",M35+N35)</f>
        <v/>
      </c>
      <c r="T35">
        <f>IF(K35="","",S35+R35/100000+L35/100000000+(100000-ROW())/1000000000)</f>
        <v/>
      </c>
    </row>
    <row r="36">
      <c r="A36" s="38">
        <f>IFERROR(INDEX($K$8:$K$207,MATCH(LARGE($T$8:$T$207,ROWS($A$8:A36)),$T$8:$T$207,0)),"")</f>
        <v/>
      </c>
      <c r="B36" s="38">
        <f>IFERROR(INDEX($L$8:$L$207,MATCH(LARGE($T$8:$T$207,ROWS($A$8:A36)),$T$8:$T$207,0)),"")</f>
        <v/>
      </c>
      <c r="C36" s="39">
        <f>IFERROR(INDEX($M$8:$M$207,MATCH(LARGE($T$8:$T$207,ROWS($A$8:A36)),$T$8:$T$207,0)),"")</f>
        <v/>
      </c>
      <c r="D36" s="39">
        <f>IFERROR(INDEX($N$8:$N$207,MATCH(LARGE($T$8:$T$207,ROWS($A$8:A36)),$T$8:$T$207,0)),"")</f>
        <v/>
      </c>
      <c r="E36" s="38">
        <f>IFERROR(INDEX($O$8:$O$207,MATCH(LARGE($T$8:$T$207,ROWS($A$8:A36)),$T$8:$T$207,0)),"")</f>
        <v/>
      </c>
      <c r="F36" s="38">
        <f>IFERROR(INDEX($P$8:$P$207,MATCH(LARGE($T$8:$T$207,ROWS($A$8:A36)),$T$8:$T$207,0)),"")</f>
        <v/>
      </c>
      <c r="G36" s="39">
        <f>IFERROR(INDEX($Q$8:$Q$207,MATCH(LARGE($T$8:$T$207,ROWS($A$8:A36)),$T$8:$T$207,0)),"")</f>
        <v/>
      </c>
      <c r="H36" s="39">
        <f>IFERROR(INDEX($R$8:$R$207,MATCH(LARGE($T$8:$T$207,ROWS($A$8:A36)),$T$8:$T$207,0)),"")</f>
        <v/>
      </c>
      <c r="I36" s="39">
        <f>IFERROR(INDEX($S$8:$S$207,MATCH(LARGE($T$8:$T$207,ROWS($A$8:A36)),$T$8:$T$207,0)),"")</f>
        <v/>
      </c>
      <c r="K36">
        <f>IF(Trabajadores!B33="","",Trabajadores!B33)</f>
        <v/>
      </c>
      <c r="L36">
        <f>IF(K36="","",COUNTIFS(Detalle_Pagos!$E$5:$E$2004,K36,Detalle_Pagos!$B$5:$B$2004,"&gt;="&amp;$B$3,Detalle_Pagos!$B$5:$B$2004,"&lt;="&amp;$B$4))</f>
        <v/>
      </c>
      <c r="M36" s="43">
        <f>IF(K36="","",SUMIFS(Detalle_Pagos!$I$5:$I$2004,Detalle_Pagos!$E$5:$E$2004,K36,Detalle_Pagos!$J$5:$J$2004,"Si",Detalle_Pagos!$B$5:$B$2004,"&gt;="&amp;$B$3,Detalle_Pagos!$B$5:$B$2004,"&lt;="&amp;$B$4))</f>
        <v/>
      </c>
      <c r="N36" s="43">
        <f>IF(K36="","",SUMIFS(Detalle_Pagos!$I$5:$I$2004,Detalle_Pagos!$E$5:$E$2004,K36,Detalle_Pagos!$J$5:$J$2004,"No",Detalle_Pagos!$B$5:$B$2004,"&gt;="&amp;$B$3,Detalle_Pagos!$B$5:$B$2004,"&lt;="&amp;$B$4))</f>
        <v/>
      </c>
      <c r="O36">
        <f>IF(K36="","",COUNTIFS(Detalle_Pagos!$E$5:$E$2004,K36,Detalle_Pagos!$J$5:$J$2004,"No",Detalle_Pagos!$B$5:$B$2004,"&gt;="&amp;$B$3,Detalle_Pagos!$B$5:$B$2004,"&lt;="&amp;$B$4))</f>
        <v/>
      </c>
      <c r="P36">
        <f>IF(K36="","",COUNTIFS(Detalle_Pagos!$E$5:$E$2004,K36,Detalle_Pagos!$J$5:$J$2004,"Si",Detalle_Pagos!$B$5:$B$2004,"&gt;="&amp;$B$3,Detalle_Pagos!$B$5:$B$2004,"&lt;="&amp;$B$4))</f>
        <v/>
      </c>
      <c r="Q36" s="43">
        <f>IF(K36="","",O36*IFERROR(INDEX(Trabajadores!$D$5:$D$204,MATCH(K36,Trabajadores!$B$5:$B$204,0)),0))</f>
        <v/>
      </c>
      <c r="R36" s="43">
        <f>IF(K36="","",N36+Q36)</f>
        <v/>
      </c>
      <c r="S36" s="43">
        <f>IF(K36="","",M36+N36)</f>
        <v/>
      </c>
      <c r="T36">
        <f>IF(K36="","",S36+R36/100000+L36/100000000+(100000-ROW())/1000000000)</f>
        <v/>
      </c>
    </row>
    <row r="37">
      <c r="A37" s="36">
        <f>IFERROR(INDEX($K$8:$K$207,MATCH(LARGE($T$8:$T$207,ROWS($A$8:A37)),$T$8:$T$207,0)),"")</f>
        <v/>
      </c>
      <c r="B37" s="36">
        <f>IFERROR(INDEX($L$8:$L$207,MATCH(LARGE($T$8:$T$207,ROWS($A$8:A37)),$T$8:$T$207,0)),"")</f>
        <v/>
      </c>
      <c r="C37" s="37">
        <f>IFERROR(INDEX($M$8:$M$207,MATCH(LARGE($T$8:$T$207,ROWS($A$8:A37)),$T$8:$T$207,0)),"")</f>
        <v/>
      </c>
      <c r="D37" s="37">
        <f>IFERROR(INDEX($N$8:$N$207,MATCH(LARGE($T$8:$T$207,ROWS($A$8:A37)),$T$8:$T$207,0)),"")</f>
        <v/>
      </c>
      <c r="E37" s="36">
        <f>IFERROR(INDEX($O$8:$O$207,MATCH(LARGE($T$8:$T$207,ROWS($A$8:A37)),$T$8:$T$207,0)),"")</f>
        <v/>
      </c>
      <c r="F37" s="36">
        <f>IFERROR(INDEX($P$8:$P$207,MATCH(LARGE($T$8:$T$207,ROWS($A$8:A37)),$T$8:$T$207,0)),"")</f>
        <v/>
      </c>
      <c r="G37" s="37">
        <f>IFERROR(INDEX($Q$8:$Q$207,MATCH(LARGE($T$8:$T$207,ROWS($A$8:A37)),$T$8:$T$207,0)),"")</f>
        <v/>
      </c>
      <c r="H37" s="37">
        <f>IFERROR(INDEX($R$8:$R$207,MATCH(LARGE($T$8:$T$207,ROWS($A$8:A37)),$T$8:$T$207,0)),"")</f>
        <v/>
      </c>
      <c r="I37" s="37">
        <f>IFERROR(INDEX($S$8:$S$207,MATCH(LARGE($T$8:$T$207,ROWS($A$8:A37)),$T$8:$T$207,0)),"")</f>
        <v/>
      </c>
      <c r="K37">
        <f>IF(Trabajadores!B34="","",Trabajadores!B34)</f>
        <v/>
      </c>
      <c r="L37">
        <f>IF(K37="","",COUNTIFS(Detalle_Pagos!$E$5:$E$2004,K37,Detalle_Pagos!$B$5:$B$2004,"&gt;="&amp;$B$3,Detalle_Pagos!$B$5:$B$2004,"&lt;="&amp;$B$4))</f>
        <v/>
      </c>
      <c r="M37" s="43">
        <f>IF(K37="","",SUMIFS(Detalle_Pagos!$I$5:$I$2004,Detalle_Pagos!$E$5:$E$2004,K37,Detalle_Pagos!$J$5:$J$2004,"Si",Detalle_Pagos!$B$5:$B$2004,"&gt;="&amp;$B$3,Detalle_Pagos!$B$5:$B$2004,"&lt;="&amp;$B$4))</f>
        <v/>
      </c>
      <c r="N37" s="43">
        <f>IF(K37="","",SUMIFS(Detalle_Pagos!$I$5:$I$2004,Detalle_Pagos!$E$5:$E$2004,K37,Detalle_Pagos!$J$5:$J$2004,"No",Detalle_Pagos!$B$5:$B$2004,"&gt;="&amp;$B$3,Detalle_Pagos!$B$5:$B$2004,"&lt;="&amp;$B$4))</f>
        <v/>
      </c>
      <c r="O37">
        <f>IF(K37="","",COUNTIFS(Detalle_Pagos!$E$5:$E$2004,K37,Detalle_Pagos!$J$5:$J$2004,"No",Detalle_Pagos!$B$5:$B$2004,"&gt;="&amp;$B$3,Detalle_Pagos!$B$5:$B$2004,"&lt;="&amp;$B$4))</f>
        <v/>
      </c>
      <c r="P37">
        <f>IF(K37="","",COUNTIFS(Detalle_Pagos!$E$5:$E$2004,K37,Detalle_Pagos!$J$5:$J$2004,"Si",Detalle_Pagos!$B$5:$B$2004,"&gt;="&amp;$B$3,Detalle_Pagos!$B$5:$B$2004,"&lt;="&amp;$B$4))</f>
        <v/>
      </c>
      <c r="Q37" s="43">
        <f>IF(K37="","",O37*IFERROR(INDEX(Trabajadores!$D$5:$D$204,MATCH(K37,Trabajadores!$B$5:$B$204,0)),0))</f>
        <v/>
      </c>
      <c r="R37" s="43">
        <f>IF(K37="","",N37+Q37)</f>
        <v/>
      </c>
      <c r="S37" s="43">
        <f>IF(K37="","",M37+N37)</f>
        <v/>
      </c>
      <c r="T37">
        <f>IF(K37="","",S37+R37/100000+L37/100000000+(100000-ROW())/1000000000)</f>
        <v/>
      </c>
    </row>
    <row r="38">
      <c r="A38" s="38">
        <f>IFERROR(INDEX($K$8:$K$207,MATCH(LARGE($T$8:$T$207,ROWS($A$8:A38)),$T$8:$T$207,0)),"")</f>
        <v/>
      </c>
      <c r="B38" s="38">
        <f>IFERROR(INDEX($L$8:$L$207,MATCH(LARGE($T$8:$T$207,ROWS($A$8:A38)),$T$8:$T$207,0)),"")</f>
        <v/>
      </c>
      <c r="C38" s="39">
        <f>IFERROR(INDEX($M$8:$M$207,MATCH(LARGE($T$8:$T$207,ROWS($A$8:A38)),$T$8:$T$207,0)),"")</f>
        <v/>
      </c>
      <c r="D38" s="39">
        <f>IFERROR(INDEX($N$8:$N$207,MATCH(LARGE($T$8:$T$207,ROWS($A$8:A38)),$T$8:$T$207,0)),"")</f>
        <v/>
      </c>
      <c r="E38" s="38">
        <f>IFERROR(INDEX($O$8:$O$207,MATCH(LARGE($T$8:$T$207,ROWS($A$8:A38)),$T$8:$T$207,0)),"")</f>
        <v/>
      </c>
      <c r="F38" s="38">
        <f>IFERROR(INDEX($P$8:$P$207,MATCH(LARGE($T$8:$T$207,ROWS($A$8:A38)),$T$8:$T$207,0)),"")</f>
        <v/>
      </c>
      <c r="G38" s="39">
        <f>IFERROR(INDEX($Q$8:$Q$207,MATCH(LARGE($T$8:$T$207,ROWS($A$8:A38)),$T$8:$T$207,0)),"")</f>
        <v/>
      </c>
      <c r="H38" s="39">
        <f>IFERROR(INDEX($R$8:$R$207,MATCH(LARGE($T$8:$T$207,ROWS($A$8:A38)),$T$8:$T$207,0)),"")</f>
        <v/>
      </c>
      <c r="I38" s="39">
        <f>IFERROR(INDEX($S$8:$S$207,MATCH(LARGE($T$8:$T$207,ROWS($A$8:A38)),$T$8:$T$207,0)),"")</f>
        <v/>
      </c>
      <c r="K38">
        <f>IF(Trabajadores!B35="","",Trabajadores!B35)</f>
        <v/>
      </c>
      <c r="L38">
        <f>IF(K38="","",COUNTIFS(Detalle_Pagos!$E$5:$E$2004,K38,Detalle_Pagos!$B$5:$B$2004,"&gt;="&amp;$B$3,Detalle_Pagos!$B$5:$B$2004,"&lt;="&amp;$B$4))</f>
        <v/>
      </c>
      <c r="M38" s="43">
        <f>IF(K38="","",SUMIFS(Detalle_Pagos!$I$5:$I$2004,Detalle_Pagos!$E$5:$E$2004,K38,Detalle_Pagos!$J$5:$J$2004,"Si",Detalle_Pagos!$B$5:$B$2004,"&gt;="&amp;$B$3,Detalle_Pagos!$B$5:$B$2004,"&lt;="&amp;$B$4))</f>
        <v/>
      </c>
      <c r="N38" s="43">
        <f>IF(K38="","",SUMIFS(Detalle_Pagos!$I$5:$I$2004,Detalle_Pagos!$E$5:$E$2004,K38,Detalle_Pagos!$J$5:$J$2004,"No",Detalle_Pagos!$B$5:$B$2004,"&gt;="&amp;$B$3,Detalle_Pagos!$B$5:$B$2004,"&lt;="&amp;$B$4))</f>
        <v/>
      </c>
      <c r="O38">
        <f>IF(K38="","",COUNTIFS(Detalle_Pagos!$E$5:$E$2004,K38,Detalle_Pagos!$J$5:$J$2004,"No",Detalle_Pagos!$B$5:$B$2004,"&gt;="&amp;$B$3,Detalle_Pagos!$B$5:$B$2004,"&lt;="&amp;$B$4))</f>
        <v/>
      </c>
      <c r="P38">
        <f>IF(K38="","",COUNTIFS(Detalle_Pagos!$E$5:$E$2004,K38,Detalle_Pagos!$J$5:$J$2004,"Si",Detalle_Pagos!$B$5:$B$2004,"&gt;="&amp;$B$3,Detalle_Pagos!$B$5:$B$2004,"&lt;="&amp;$B$4))</f>
        <v/>
      </c>
      <c r="Q38" s="43">
        <f>IF(K38="","",O38*IFERROR(INDEX(Trabajadores!$D$5:$D$204,MATCH(K38,Trabajadores!$B$5:$B$204,0)),0))</f>
        <v/>
      </c>
      <c r="R38" s="43">
        <f>IF(K38="","",N38+Q38)</f>
        <v/>
      </c>
      <c r="S38" s="43">
        <f>IF(K38="","",M38+N38)</f>
        <v/>
      </c>
      <c r="T38">
        <f>IF(K38="","",S38+R38/100000+L38/100000000+(100000-ROW())/1000000000)</f>
        <v/>
      </c>
    </row>
    <row r="39">
      <c r="A39" s="36">
        <f>IFERROR(INDEX($K$8:$K$207,MATCH(LARGE($T$8:$T$207,ROWS($A$8:A39)),$T$8:$T$207,0)),"")</f>
        <v/>
      </c>
      <c r="B39" s="36">
        <f>IFERROR(INDEX($L$8:$L$207,MATCH(LARGE($T$8:$T$207,ROWS($A$8:A39)),$T$8:$T$207,0)),"")</f>
        <v/>
      </c>
      <c r="C39" s="37">
        <f>IFERROR(INDEX($M$8:$M$207,MATCH(LARGE($T$8:$T$207,ROWS($A$8:A39)),$T$8:$T$207,0)),"")</f>
        <v/>
      </c>
      <c r="D39" s="37">
        <f>IFERROR(INDEX($N$8:$N$207,MATCH(LARGE($T$8:$T$207,ROWS($A$8:A39)),$T$8:$T$207,0)),"")</f>
        <v/>
      </c>
      <c r="E39" s="36">
        <f>IFERROR(INDEX($O$8:$O$207,MATCH(LARGE($T$8:$T$207,ROWS($A$8:A39)),$T$8:$T$207,0)),"")</f>
        <v/>
      </c>
      <c r="F39" s="36">
        <f>IFERROR(INDEX($P$8:$P$207,MATCH(LARGE($T$8:$T$207,ROWS($A$8:A39)),$T$8:$T$207,0)),"")</f>
        <v/>
      </c>
      <c r="G39" s="37">
        <f>IFERROR(INDEX($Q$8:$Q$207,MATCH(LARGE($T$8:$T$207,ROWS($A$8:A39)),$T$8:$T$207,0)),"")</f>
        <v/>
      </c>
      <c r="H39" s="37">
        <f>IFERROR(INDEX($R$8:$R$207,MATCH(LARGE($T$8:$T$207,ROWS($A$8:A39)),$T$8:$T$207,0)),"")</f>
        <v/>
      </c>
      <c r="I39" s="37">
        <f>IFERROR(INDEX($S$8:$S$207,MATCH(LARGE($T$8:$T$207,ROWS($A$8:A39)),$T$8:$T$207,0)),"")</f>
        <v/>
      </c>
      <c r="K39">
        <f>IF(Trabajadores!B36="","",Trabajadores!B36)</f>
        <v/>
      </c>
      <c r="L39">
        <f>IF(K39="","",COUNTIFS(Detalle_Pagos!$E$5:$E$2004,K39,Detalle_Pagos!$B$5:$B$2004,"&gt;="&amp;$B$3,Detalle_Pagos!$B$5:$B$2004,"&lt;="&amp;$B$4))</f>
        <v/>
      </c>
      <c r="M39" s="43">
        <f>IF(K39="","",SUMIFS(Detalle_Pagos!$I$5:$I$2004,Detalle_Pagos!$E$5:$E$2004,K39,Detalle_Pagos!$J$5:$J$2004,"Si",Detalle_Pagos!$B$5:$B$2004,"&gt;="&amp;$B$3,Detalle_Pagos!$B$5:$B$2004,"&lt;="&amp;$B$4))</f>
        <v/>
      </c>
      <c r="N39" s="43">
        <f>IF(K39="","",SUMIFS(Detalle_Pagos!$I$5:$I$2004,Detalle_Pagos!$E$5:$E$2004,K39,Detalle_Pagos!$J$5:$J$2004,"No",Detalle_Pagos!$B$5:$B$2004,"&gt;="&amp;$B$3,Detalle_Pagos!$B$5:$B$2004,"&lt;="&amp;$B$4))</f>
        <v/>
      </c>
      <c r="O39">
        <f>IF(K39="","",COUNTIFS(Detalle_Pagos!$E$5:$E$2004,K39,Detalle_Pagos!$J$5:$J$2004,"No",Detalle_Pagos!$B$5:$B$2004,"&gt;="&amp;$B$3,Detalle_Pagos!$B$5:$B$2004,"&lt;="&amp;$B$4))</f>
        <v/>
      </c>
      <c r="P39">
        <f>IF(K39="","",COUNTIFS(Detalle_Pagos!$E$5:$E$2004,K39,Detalle_Pagos!$J$5:$J$2004,"Si",Detalle_Pagos!$B$5:$B$2004,"&gt;="&amp;$B$3,Detalle_Pagos!$B$5:$B$2004,"&lt;="&amp;$B$4))</f>
        <v/>
      </c>
      <c r="Q39" s="43">
        <f>IF(K39="","",O39*IFERROR(INDEX(Trabajadores!$D$5:$D$204,MATCH(K39,Trabajadores!$B$5:$B$204,0)),0))</f>
        <v/>
      </c>
      <c r="R39" s="43">
        <f>IF(K39="","",N39+Q39)</f>
        <v/>
      </c>
      <c r="S39" s="43">
        <f>IF(K39="","",M39+N39)</f>
        <v/>
      </c>
      <c r="T39">
        <f>IF(K39="","",S39+R39/100000+L39/100000000+(100000-ROW())/1000000000)</f>
        <v/>
      </c>
    </row>
    <row r="40">
      <c r="A40" s="38">
        <f>IFERROR(INDEX($K$8:$K$207,MATCH(LARGE($T$8:$T$207,ROWS($A$8:A40)),$T$8:$T$207,0)),"")</f>
        <v/>
      </c>
      <c r="B40" s="38">
        <f>IFERROR(INDEX($L$8:$L$207,MATCH(LARGE($T$8:$T$207,ROWS($A$8:A40)),$T$8:$T$207,0)),"")</f>
        <v/>
      </c>
      <c r="C40" s="39">
        <f>IFERROR(INDEX($M$8:$M$207,MATCH(LARGE($T$8:$T$207,ROWS($A$8:A40)),$T$8:$T$207,0)),"")</f>
        <v/>
      </c>
      <c r="D40" s="39">
        <f>IFERROR(INDEX($N$8:$N$207,MATCH(LARGE($T$8:$T$207,ROWS($A$8:A40)),$T$8:$T$207,0)),"")</f>
        <v/>
      </c>
      <c r="E40" s="38">
        <f>IFERROR(INDEX($O$8:$O$207,MATCH(LARGE($T$8:$T$207,ROWS($A$8:A40)),$T$8:$T$207,0)),"")</f>
        <v/>
      </c>
      <c r="F40" s="38">
        <f>IFERROR(INDEX($P$8:$P$207,MATCH(LARGE($T$8:$T$207,ROWS($A$8:A40)),$T$8:$T$207,0)),"")</f>
        <v/>
      </c>
      <c r="G40" s="39">
        <f>IFERROR(INDEX($Q$8:$Q$207,MATCH(LARGE($T$8:$T$207,ROWS($A$8:A40)),$T$8:$T$207,0)),"")</f>
        <v/>
      </c>
      <c r="H40" s="39">
        <f>IFERROR(INDEX($R$8:$R$207,MATCH(LARGE($T$8:$T$207,ROWS($A$8:A40)),$T$8:$T$207,0)),"")</f>
        <v/>
      </c>
      <c r="I40" s="39">
        <f>IFERROR(INDEX($S$8:$S$207,MATCH(LARGE($T$8:$T$207,ROWS($A$8:A40)),$T$8:$T$207,0)),"")</f>
        <v/>
      </c>
      <c r="K40">
        <f>IF(Trabajadores!B37="","",Trabajadores!B37)</f>
        <v/>
      </c>
      <c r="L40">
        <f>IF(K40="","",COUNTIFS(Detalle_Pagos!$E$5:$E$2004,K40,Detalle_Pagos!$B$5:$B$2004,"&gt;="&amp;$B$3,Detalle_Pagos!$B$5:$B$2004,"&lt;="&amp;$B$4))</f>
        <v/>
      </c>
      <c r="M40" s="43">
        <f>IF(K40="","",SUMIFS(Detalle_Pagos!$I$5:$I$2004,Detalle_Pagos!$E$5:$E$2004,K40,Detalle_Pagos!$J$5:$J$2004,"Si",Detalle_Pagos!$B$5:$B$2004,"&gt;="&amp;$B$3,Detalle_Pagos!$B$5:$B$2004,"&lt;="&amp;$B$4))</f>
        <v/>
      </c>
      <c r="N40" s="43">
        <f>IF(K40="","",SUMIFS(Detalle_Pagos!$I$5:$I$2004,Detalle_Pagos!$E$5:$E$2004,K40,Detalle_Pagos!$J$5:$J$2004,"No",Detalle_Pagos!$B$5:$B$2004,"&gt;="&amp;$B$3,Detalle_Pagos!$B$5:$B$2004,"&lt;="&amp;$B$4))</f>
        <v/>
      </c>
      <c r="O40">
        <f>IF(K40="","",COUNTIFS(Detalle_Pagos!$E$5:$E$2004,K40,Detalle_Pagos!$J$5:$J$2004,"No",Detalle_Pagos!$B$5:$B$2004,"&gt;="&amp;$B$3,Detalle_Pagos!$B$5:$B$2004,"&lt;="&amp;$B$4))</f>
        <v/>
      </c>
      <c r="P40">
        <f>IF(K40="","",COUNTIFS(Detalle_Pagos!$E$5:$E$2004,K40,Detalle_Pagos!$J$5:$J$2004,"Si",Detalle_Pagos!$B$5:$B$2004,"&gt;="&amp;$B$3,Detalle_Pagos!$B$5:$B$2004,"&lt;="&amp;$B$4))</f>
        <v/>
      </c>
      <c r="Q40" s="43">
        <f>IF(K40="","",O40*IFERROR(INDEX(Trabajadores!$D$5:$D$204,MATCH(K40,Trabajadores!$B$5:$B$204,0)),0))</f>
        <v/>
      </c>
      <c r="R40" s="43">
        <f>IF(K40="","",N40+Q40)</f>
        <v/>
      </c>
      <c r="S40" s="43">
        <f>IF(K40="","",M40+N40)</f>
        <v/>
      </c>
      <c r="T40">
        <f>IF(K40="","",S40+R40/100000+L40/100000000+(100000-ROW())/1000000000)</f>
        <v/>
      </c>
    </row>
    <row r="41">
      <c r="A41" s="36">
        <f>IFERROR(INDEX($K$8:$K$207,MATCH(LARGE($T$8:$T$207,ROWS($A$8:A41)),$T$8:$T$207,0)),"")</f>
        <v/>
      </c>
      <c r="B41" s="36">
        <f>IFERROR(INDEX($L$8:$L$207,MATCH(LARGE($T$8:$T$207,ROWS($A$8:A41)),$T$8:$T$207,0)),"")</f>
        <v/>
      </c>
      <c r="C41" s="37">
        <f>IFERROR(INDEX($M$8:$M$207,MATCH(LARGE($T$8:$T$207,ROWS($A$8:A41)),$T$8:$T$207,0)),"")</f>
        <v/>
      </c>
      <c r="D41" s="37">
        <f>IFERROR(INDEX($N$8:$N$207,MATCH(LARGE($T$8:$T$207,ROWS($A$8:A41)),$T$8:$T$207,0)),"")</f>
        <v/>
      </c>
      <c r="E41" s="36">
        <f>IFERROR(INDEX($O$8:$O$207,MATCH(LARGE($T$8:$T$207,ROWS($A$8:A41)),$T$8:$T$207,0)),"")</f>
        <v/>
      </c>
      <c r="F41" s="36">
        <f>IFERROR(INDEX($P$8:$P$207,MATCH(LARGE($T$8:$T$207,ROWS($A$8:A41)),$T$8:$T$207,0)),"")</f>
        <v/>
      </c>
      <c r="G41" s="37">
        <f>IFERROR(INDEX($Q$8:$Q$207,MATCH(LARGE($T$8:$T$207,ROWS($A$8:A41)),$T$8:$T$207,0)),"")</f>
        <v/>
      </c>
      <c r="H41" s="37">
        <f>IFERROR(INDEX($R$8:$R$207,MATCH(LARGE($T$8:$T$207,ROWS($A$8:A41)),$T$8:$T$207,0)),"")</f>
        <v/>
      </c>
      <c r="I41" s="37">
        <f>IFERROR(INDEX($S$8:$S$207,MATCH(LARGE($T$8:$T$207,ROWS($A$8:A41)),$T$8:$T$207,0)),"")</f>
        <v/>
      </c>
      <c r="K41">
        <f>IF(Trabajadores!B38="","",Trabajadores!B38)</f>
        <v/>
      </c>
      <c r="L41">
        <f>IF(K41="","",COUNTIFS(Detalle_Pagos!$E$5:$E$2004,K41,Detalle_Pagos!$B$5:$B$2004,"&gt;="&amp;$B$3,Detalle_Pagos!$B$5:$B$2004,"&lt;="&amp;$B$4))</f>
        <v/>
      </c>
      <c r="M41" s="43">
        <f>IF(K41="","",SUMIFS(Detalle_Pagos!$I$5:$I$2004,Detalle_Pagos!$E$5:$E$2004,K41,Detalle_Pagos!$J$5:$J$2004,"Si",Detalle_Pagos!$B$5:$B$2004,"&gt;="&amp;$B$3,Detalle_Pagos!$B$5:$B$2004,"&lt;="&amp;$B$4))</f>
        <v/>
      </c>
      <c r="N41" s="43">
        <f>IF(K41="","",SUMIFS(Detalle_Pagos!$I$5:$I$2004,Detalle_Pagos!$E$5:$E$2004,K41,Detalle_Pagos!$J$5:$J$2004,"No",Detalle_Pagos!$B$5:$B$2004,"&gt;="&amp;$B$3,Detalle_Pagos!$B$5:$B$2004,"&lt;="&amp;$B$4))</f>
        <v/>
      </c>
      <c r="O41">
        <f>IF(K41="","",COUNTIFS(Detalle_Pagos!$E$5:$E$2004,K41,Detalle_Pagos!$J$5:$J$2004,"No",Detalle_Pagos!$B$5:$B$2004,"&gt;="&amp;$B$3,Detalle_Pagos!$B$5:$B$2004,"&lt;="&amp;$B$4))</f>
        <v/>
      </c>
      <c r="P41">
        <f>IF(K41="","",COUNTIFS(Detalle_Pagos!$E$5:$E$2004,K41,Detalle_Pagos!$J$5:$J$2004,"Si",Detalle_Pagos!$B$5:$B$2004,"&gt;="&amp;$B$3,Detalle_Pagos!$B$5:$B$2004,"&lt;="&amp;$B$4))</f>
        <v/>
      </c>
      <c r="Q41" s="43">
        <f>IF(K41="","",O41*IFERROR(INDEX(Trabajadores!$D$5:$D$204,MATCH(K41,Trabajadores!$B$5:$B$204,0)),0))</f>
        <v/>
      </c>
      <c r="R41" s="43">
        <f>IF(K41="","",N41+Q41)</f>
        <v/>
      </c>
      <c r="S41" s="43">
        <f>IF(K41="","",M41+N41)</f>
        <v/>
      </c>
      <c r="T41">
        <f>IF(K41="","",S41+R41/100000+L41/100000000+(100000-ROW())/1000000000)</f>
        <v/>
      </c>
    </row>
    <row r="42">
      <c r="A42" s="38">
        <f>IFERROR(INDEX($K$8:$K$207,MATCH(LARGE($T$8:$T$207,ROWS($A$8:A42)),$T$8:$T$207,0)),"")</f>
        <v/>
      </c>
      <c r="B42" s="38">
        <f>IFERROR(INDEX($L$8:$L$207,MATCH(LARGE($T$8:$T$207,ROWS($A$8:A42)),$T$8:$T$207,0)),"")</f>
        <v/>
      </c>
      <c r="C42" s="39">
        <f>IFERROR(INDEX($M$8:$M$207,MATCH(LARGE($T$8:$T$207,ROWS($A$8:A42)),$T$8:$T$207,0)),"")</f>
        <v/>
      </c>
      <c r="D42" s="39">
        <f>IFERROR(INDEX($N$8:$N$207,MATCH(LARGE($T$8:$T$207,ROWS($A$8:A42)),$T$8:$T$207,0)),"")</f>
        <v/>
      </c>
      <c r="E42" s="38">
        <f>IFERROR(INDEX($O$8:$O$207,MATCH(LARGE($T$8:$T$207,ROWS($A$8:A42)),$T$8:$T$207,0)),"")</f>
        <v/>
      </c>
      <c r="F42" s="38">
        <f>IFERROR(INDEX($P$8:$P$207,MATCH(LARGE($T$8:$T$207,ROWS($A$8:A42)),$T$8:$T$207,0)),"")</f>
        <v/>
      </c>
      <c r="G42" s="39">
        <f>IFERROR(INDEX($Q$8:$Q$207,MATCH(LARGE($T$8:$T$207,ROWS($A$8:A42)),$T$8:$T$207,0)),"")</f>
        <v/>
      </c>
      <c r="H42" s="39">
        <f>IFERROR(INDEX($R$8:$R$207,MATCH(LARGE($T$8:$T$207,ROWS($A$8:A42)),$T$8:$T$207,0)),"")</f>
        <v/>
      </c>
      <c r="I42" s="39">
        <f>IFERROR(INDEX($S$8:$S$207,MATCH(LARGE($T$8:$T$207,ROWS($A$8:A42)),$T$8:$T$207,0)),"")</f>
        <v/>
      </c>
      <c r="K42">
        <f>IF(Trabajadores!B39="","",Trabajadores!B39)</f>
        <v/>
      </c>
      <c r="L42">
        <f>IF(K42="","",COUNTIFS(Detalle_Pagos!$E$5:$E$2004,K42,Detalle_Pagos!$B$5:$B$2004,"&gt;="&amp;$B$3,Detalle_Pagos!$B$5:$B$2004,"&lt;="&amp;$B$4))</f>
        <v/>
      </c>
      <c r="M42" s="43">
        <f>IF(K42="","",SUMIFS(Detalle_Pagos!$I$5:$I$2004,Detalle_Pagos!$E$5:$E$2004,K42,Detalle_Pagos!$J$5:$J$2004,"Si",Detalle_Pagos!$B$5:$B$2004,"&gt;="&amp;$B$3,Detalle_Pagos!$B$5:$B$2004,"&lt;="&amp;$B$4))</f>
        <v/>
      </c>
      <c r="N42" s="43">
        <f>IF(K42="","",SUMIFS(Detalle_Pagos!$I$5:$I$2004,Detalle_Pagos!$E$5:$E$2004,K42,Detalle_Pagos!$J$5:$J$2004,"No",Detalle_Pagos!$B$5:$B$2004,"&gt;="&amp;$B$3,Detalle_Pagos!$B$5:$B$2004,"&lt;="&amp;$B$4))</f>
        <v/>
      </c>
      <c r="O42">
        <f>IF(K42="","",COUNTIFS(Detalle_Pagos!$E$5:$E$2004,K42,Detalle_Pagos!$J$5:$J$2004,"No",Detalle_Pagos!$B$5:$B$2004,"&gt;="&amp;$B$3,Detalle_Pagos!$B$5:$B$2004,"&lt;="&amp;$B$4))</f>
        <v/>
      </c>
      <c r="P42">
        <f>IF(K42="","",COUNTIFS(Detalle_Pagos!$E$5:$E$2004,K42,Detalle_Pagos!$J$5:$J$2004,"Si",Detalle_Pagos!$B$5:$B$2004,"&gt;="&amp;$B$3,Detalle_Pagos!$B$5:$B$2004,"&lt;="&amp;$B$4))</f>
        <v/>
      </c>
      <c r="Q42" s="43">
        <f>IF(K42="","",O42*IFERROR(INDEX(Trabajadores!$D$5:$D$204,MATCH(K42,Trabajadores!$B$5:$B$204,0)),0))</f>
        <v/>
      </c>
      <c r="R42" s="43">
        <f>IF(K42="","",N42+Q42)</f>
        <v/>
      </c>
      <c r="S42" s="43">
        <f>IF(K42="","",M42+N42)</f>
        <v/>
      </c>
      <c r="T42">
        <f>IF(K42="","",S42+R42/100000+L42/100000000+(100000-ROW())/1000000000)</f>
        <v/>
      </c>
    </row>
    <row r="43">
      <c r="A43" s="36">
        <f>IFERROR(INDEX($K$8:$K$207,MATCH(LARGE($T$8:$T$207,ROWS($A$8:A43)),$T$8:$T$207,0)),"")</f>
        <v/>
      </c>
      <c r="B43" s="36">
        <f>IFERROR(INDEX($L$8:$L$207,MATCH(LARGE($T$8:$T$207,ROWS($A$8:A43)),$T$8:$T$207,0)),"")</f>
        <v/>
      </c>
      <c r="C43" s="37">
        <f>IFERROR(INDEX($M$8:$M$207,MATCH(LARGE($T$8:$T$207,ROWS($A$8:A43)),$T$8:$T$207,0)),"")</f>
        <v/>
      </c>
      <c r="D43" s="37">
        <f>IFERROR(INDEX($N$8:$N$207,MATCH(LARGE($T$8:$T$207,ROWS($A$8:A43)),$T$8:$T$207,0)),"")</f>
        <v/>
      </c>
      <c r="E43" s="36">
        <f>IFERROR(INDEX($O$8:$O$207,MATCH(LARGE($T$8:$T$207,ROWS($A$8:A43)),$T$8:$T$207,0)),"")</f>
        <v/>
      </c>
      <c r="F43" s="36">
        <f>IFERROR(INDEX($P$8:$P$207,MATCH(LARGE($T$8:$T$207,ROWS($A$8:A43)),$T$8:$T$207,0)),"")</f>
        <v/>
      </c>
      <c r="G43" s="37">
        <f>IFERROR(INDEX($Q$8:$Q$207,MATCH(LARGE($T$8:$T$207,ROWS($A$8:A43)),$T$8:$T$207,0)),"")</f>
        <v/>
      </c>
      <c r="H43" s="37">
        <f>IFERROR(INDEX($R$8:$R$207,MATCH(LARGE($T$8:$T$207,ROWS($A$8:A43)),$T$8:$T$207,0)),"")</f>
        <v/>
      </c>
      <c r="I43" s="37">
        <f>IFERROR(INDEX($S$8:$S$207,MATCH(LARGE($T$8:$T$207,ROWS($A$8:A43)),$T$8:$T$207,0)),"")</f>
        <v/>
      </c>
      <c r="K43">
        <f>IF(Trabajadores!B40="","",Trabajadores!B40)</f>
        <v/>
      </c>
      <c r="L43">
        <f>IF(K43="","",COUNTIFS(Detalle_Pagos!$E$5:$E$2004,K43,Detalle_Pagos!$B$5:$B$2004,"&gt;="&amp;$B$3,Detalle_Pagos!$B$5:$B$2004,"&lt;="&amp;$B$4))</f>
        <v/>
      </c>
      <c r="M43" s="43">
        <f>IF(K43="","",SUMIFS(Detalle_Pagos!$I$5:$I$2004,Detalle_Pagos!$E$5:$E$2004,K43,Detalle_Pagos!$J$5:$J$2004,"Si",Detalle_Pagos!$B$5:$B$2004,"&gt;="&amp;$B$3,Detalle_Pagos!$B$5:$B$2004,"&lt;="&amp;$B$4))</f>
        <v/>
      </c>
      <c r="N43" s="43">
        <f>IF(K43="","",SUMIFS(Detalle_Pagos!$I$5:$I$2004,Detalle_Pagos!$E$5:$E$2004,K43,Detalle_Pagos!$J$5:$J$2004,"No",Detalle_Pagos!$B$5:$B$2004,"&gt;="&amp;$B$3,Detalle_Pagos!$B$5:$B$2004,"&lt;="&amp;$B$4))</f>
        <v/>
      </c>
      <c r="O43">
        <f>IF(K43="","",COUNTIFS(Detalle_Pagos!$E$5:$E$2004,K43,Detalle_Pagos!$J$5:$J$2004,"No",Detalle_Pagos!$B$5:$B$2004,"&gt;="&amp;$B$3,Detalle_Pagos!$B$5:$B$2004,"&lt;="&amp;$B$4))</f>
        <v/>
      </c>
      <c r="P43">
        <f>IF(K43="","",COUNTIFS(Detalle_Pagos!$E$5:$E$2004,K43,Detalle_Pagos!$J$5:$J$2004,"Si",Detalle_Pagos!$B$5:$B$2004,"&gt;="&amp;$B$3,Detalle_Pagos!$B$5:$B$2004,"&lt;="&amp;$B$4))</f>
        <v/>
      </c>
      <c r="Q43" s="43">
        <f>IF(K43="","",O43*IFERROR(INDEX(Trabajadores!$D$5:$D$204,MATCH(K43,Trabajadores!$B$5:$B$204,0)),0))</f>
        <v/>
      </c>
      <c r="R43" s="43">
        <f>IF(K43="","",N43+Q43)</f>
        <v/>
      </c>
      <c r="S43" s="43">
        <f>IF(K43="","",M43+N43)</f>
        <v/>
      </c>
      <c r="T43">
        <f>IF(K43="","",S43+R43/100000+L43/100000000+(100000-ROW())/1000000000)</f>
        <v/>
      </c>
    </row>
    <row r="44">
      <c r="A44" s="38">
        <f>IFERROR(INDEX($K$8:$K$207,MATCH(LARGE($T$8:$T$207,ROWS($A$8:A44)),$T$8:$T$207,0)),"")</f>
        <v/>
      </c>
      <c r="B44" s="38">
        <f>IFERROR(INDEX($L$8:$L$207,MATCH(LARGE($T$8:$T$207,ROWS($A$8:A44)),$T$8:$T$207,0)),"")</f>
        <v/>
      </c>
      <c r="C44" s="39">
        <f>IFERROR(INDEX($M$8:$M$207,MATCH(LARGE($T$8:$T$207,ROWS($A$8:A44)),$T$8:$T$207,0)),"")</f>
        <v/>
      </c>
      <c r="D44" s="39">
        <f>IFERROR(INDEX($N$8:$N$207,MATCH(LARGE($T$8:$T$207,ROWS($A$8:A44)),$T$8:$T$207,0)),"")</f>
        <v/>
      </c>
      <c r="E44" s="38">
        <f>IFERROR(INDEX($O$8:$O$207,MATCH(LARGE($T$8:$T$207,ROWS($A$8:A44)),$T$8:$T$207,0)),"")</f>
        <v/>
      </c>
      <c r="F44" s="38">
        <f>IFERROR(INDEX($P$8:$P$207,MATCH(LARGE($T$8:$T$207,ROWS($A$8:A44)),$T$8:$T$207,0)),"")</f>
        <v/>
      </c>
      <c r="G44" s="39">
        <f>IFERROR(INDEX($Q$8:$Q$207,MATCH(LARGE($T$8:$T$207,ROWS($A$8:A44)),$T$8:$T$207,0)),"")</f>
        <v/>
      </c>
      <c r="H44" s="39">
        <f>IFERROR(INDEX($R$8:$R$207,MATCH(LARGE($T$8:$T$207,ROWS($A$8:A44)),$T$8:$T$207,0)),"")</f>
        <v/>
      </c>
      <c r="I44" s="39">
        <f>IFERROR(INDEX($S$8:$S$207,MATCH(LARGE($T$8:$T$207,ROWS($A$8:A44)),$T$8:$T$207,0)),"")</f>
        <v/>
      </c>
      <c r="K44">
        <f>IF(Trabajadores!B41="","",Trabajadores!B41)</f>
        <v/>
      </c>
      <c r="L44">
        <f>IF(K44="","",COUNTIFS(Detalle_Pagos!$E$5:$E$2004,K44,Detalle_Pagos!$B$5:$B$2004,"&gt;="&amp;$B$3,Detalle_Pagos!$B$5:$B$2004,"&lt;="&amp;$B$4))</f>
        <v/>
      </c>
      <c r="M44" s="43">
        <f>IF(K44="","",SUMIFS(Detalle_Pagos!$I$5:$I$2004,Detalle_Pagos!$E$5:$E$2004,K44,Detalle_Pagos!$J$5:$J$2004,"Si",Detalle_Pagos!$B$5:$B$2004,"&gt;="&amp;$B$3,Detalle_Pagos!$B$5:$B$2004,"&lt;="&amp;$B$4))</f>
        <v/>
      </c>
      <c r="N44" s="43">
        <f>IF(K44="","",SUMIFS(Detalle_Pagos!$I$5:$I$2004,Detalle_Pagos!$E$5:$E$2004,K44,Detalle_Pagos!$J$5:$J$2004,"No",Detalle_Pagos!$B$5:$B$2004,"&gt;="&amp;$B$3,Detalle_Pagos!$B$5:$B$2004,"&lt;="&amp;$B$4))</f>
        <v/>
      </c>
      <c r="O44">
        <f>IF(K44="","",COUNTIFS(Detalle_Pagos!$E$5:$E$2004,K44,Detalle_Pagos!$J$5:$J$2004,"No",Detalle_Pagos!$B$5:$B$2004,"&gt;="&amp;$B$3,Detalle_Pagos!$B$5:$B$2004,"&lt;="&amp;$B$4))</f>
        <v/>
      </c>
      <c r="P44">
        <f>IF(K44="","",COUNTIFS(Detalle_Pagos!$E$5:$E$2004,K44,Detalle_Pagos!$J$5:$J$2004,"Si",Detalle_Pagos!$B$5:$B$2004,"&gt;="&amp;$B$3,Detalle_Pagos!$B$5:$B$2004,"&lt;="&amp;$B$4))</f>
        <v/>
      </c>
      <c r="Q44" s="43">
        <f>IF(K44="","",O44*IFERROR(INDEX(Trabajadores!$D$5:$D$204,MATCH(K44,Trabajadores!$B$5:$B$204,0)),0))</f>
        <v/>
      </c>
      <c r="R44" s="43">
        <f>IF(K44="","",N44+Q44)</f>
        <v/>
      </c>
      <c r="S44" s="43">
        <f>IF(K44="","",M44+N44)</f>
        <v/>
      </c>
      <c r="T44">
        <f>IF(K44="","",S44+R44/100000+L44/100000000+(100000-ROW())/1000000000)</f>
        <v/>
      </c>
    </row>
    <row r="45">
      <c r="A45" s="36">
        <f>IFERROR(INDEX($K$8:$K$207,MATCH(LARGE($T$8:$T$207,ROWS($A$8:A45)),$T$8:$T$207,0)),"")</f>
        <v/>
      </c>
      <c r="B45" s="36">
        <f>IFERROR(INDEX($L$8:$L$207,MATCH(LARGE($T$8:$T$207,ROWS($A$8:A45)),$T$8:$T$207,0)),"")</f>
        <v/>
      </c>
      <c r="C45" s="37">
        <f>IFERROR(INDEX($M$8:$M$207,MATCH(LARGE($T$8:$T$207,ROWS($A$8:A45)),$T$8:$T$207,0)),"")</f>
        <v/>
      </c>
      <c r="D45" s="37">
        <f>IFERROR(INDEX($N$8:$N$207,MATCH(LARGE($T$8:$T$207,ROWS($A$8:A45)),$T$8:$T$207,0)),"")</f>
        <v/>
      </c>
      <c r="E45" s="36">
        <f>IFERROR(INDEX($O$8:$O$207,MATCH(LARGE($T$8:$T$207,ROWS($A$8:A45)),$T$8:$T$207,0)),"")</f>
        <v/>
      </c>
      <c r="F45" s="36">
        <f>IFERROR(INDEX($P$8:$P$207,MATCH(LARGE($T$8:$T$207,ROWS($A$8:A45)),$T$8:$T$207,0)),"")</f>
        <v/>
      </c>
      <c r="G45" s="37">
        <f>IFERROR(INDEX($Q$8:$Q$207,MATCH(LARGE($T$8:$T$207,ROWS($A$8:A45)),$T$8:$T$207,0)),"")</f>
        <v/>
      </c>
      <c r="H45" s="37">
        <f>IFERROR(INDEX($R$8:$R$207,MATCH(LARGE($T$8:$T$207,ROWS($A$8:A45)),$T$8:$T$207,0)),"")</f>
        <v/>
      </c>
      <c r="I45" s="37">
        <f>IFERROR(INDEX($S$8:$S$207,MATCH(LARGE($T$8:$T$207,ROWS($A$8:A45)),$T$8:$T$207,0)),"")</f>
        <v/>
      </c>
      <c r="K45">
        <f>IF(Trabajadores!B42="","",Trabajadores!B42)</f>
        <v/>
      </c>
      <c r="L45">
        <f>IF(K45="","",COUNTIFS(Detalle_Pagos!$E$5:$E$2004,K45,Detalle_Pagos!$B$5:$B$2004,"&gt;="&amp;$B$3,Detalle_Pagos!$B$5:$B$2004,"&lt;="&amp;$B$4))</f>
        <v/>
      </c>
      <c r="M45" s="43">
        <f>IF(K45="","",SUMIFS(Detalle_Pagos!$I$5:$I$2004,Detalle_Pagos!$E$5:$E$2004,K45,Detalle_Pagos!$J$5:$J$2004,"Si",Detalle_Pagos!$B$5:$B$2004,"&gt;="&amp;$B$3,Detalle_Pagos!$B$5:$B$2004,"&lt;="&amp;$B$4))</f>
        <v/>
      </c>
      <c r="N45" s="43">
        <f>IF(K45="","",SUMIFS(Detalle_Pagos!$I$5:$I$2004,Detalle_Pagos!$E$5:$E$2004,K45,Detalle_Pagos!$J$5:$J$2004,"No",Detalle_Pagos!$B$5:$B$2004,"&gt;="&amp;$B$3,Detalle_Pagos!$B$5:$B$2004,"&lt;="&amp;$B$4))</f>
        <v/>
      </c>
      <c r="O45">
        <f>IF(K45="","",COUNTIFS(Detalle_Pagos!$E$5:$E$2004,K45,Detalle_Pagos!$J$5:$J$2004,"No",Detalle_Pagos!$B$5:$B$2004,"&gt;="&amp;$B$3,Detalle_Pagos!$B$5:$B$2004,"&lt;="&amp;$B$4))</f>
        <v/>
      </c>
      <c r="P45">
        <f>IF(K45="","",COUNTIFS(Detalle_Pagos!$E$5:$E$2004,K45,Detalle_Pagos!$J$5:$J$2004,"Si",Detalle_Pagos!$B$5:$B$2004,"&gt;="&amp;$B$3,Detalle_Pagos!$B$5:$B$2004,"&lt;="&amp;$B$4))</f>
        <v/>
      </c>
      <c r="Q45" s="43">
        <f>IF(K45="","",O45*IFERROR(INDEX(Trabajadores!$D$5:$D$204,MATCH(K45,Trabajadores!$B$5:$B$204,0)),0))</f>
        <v/>
      </c>
      <c r="R45" s="43">
        <f>IF(K45="","",N45+Q45)</f>
        <v/>
      </c>
      <c r="S45" s="43">
        <f>IF(K45="","",M45+N45)</f>
        <v/>
      </c>
      <c r="T45">
        <f>IF(K45="","",S45+R45/100000+L45/100000000+(100000-ROW())/1000000000)</f>
        <v/>
      </c>
    </row>
    <row r="46">
      <c r="A46" s="38">
        <f>IFERROR(INDEX($K$8:$K$207,MATCH(LARGE($T$8:$T$207,ROWS($A$8:A46)),$T$8:$T$207,0)),"")</f>
        <v/>
      </c>
      <c r="B46" s="38">
        <f>IFERROR(INDEX($L$8:$L$207,MATCH(LARGE($T$8:$T$207,ROWS($A$8:A46)),$T$8:$T$207,0)),"")</f>
        <v/>
      </c>
      <c r="C46" s="39">
        <f>IFERROR(INDEX($M$8:$M$207,MATCH(LARGE($T$8:$T$207,ROWS($A$8:A46)),$T$8:$T$207,0)),"")</f>
        <v/>
      </c>
      <c r="D46" s="39">
        <f>IFERROR(INDEX($N$8:$N$207,MATCH(LARGE($T$8:$T$207,ROWS($A$8:A46)),$T$8:$T$207,0)),"")</f>
        <v/>
      </c>
      <c r="E46" s="38">
        <f>IFERROR(INDEX($O$8:$O$207,MATCH(LARGE($T$8:$T$207,ROWS($A$8:A46)),$T$8:$T$207,0)),"")</f>
        <v/>
      </c>
      <c r="F46" s="38">
        <f>IFERROR(INDEX($P$8:$P$207,MATCH(LARGE($T$8:$T$207,ROWS($A$8:A46)),$T$8:$T$207,0)),"")</f>
        <v/>
      </c>
      <c r="G46" s="39">
        <f>IFERROR(INDEX($Q$8:$Q$207,MATCH(LARGE($T$8:$T$207,ROWS($A$8:A46)),$T$8:$T$207,0)),"")</f>
        <v/>
      </c>
      <c r="H46" s="39">
        <f>IFERROR(INDEX($R$8:$R$207,MATCH(LARGE($T$8:$T$207,ROWS($A$8:A46)),$T$8:$T$207,0)),"")</f>
        <v/>
      </c>
      <c r="I46" s="39">
        <f>IFERROR(INDEX($S$8:$S$207,MATCH(LARGE($T$8:$T$207,ROWS($A$8:A46)),$T$8:$T$207,0)),"")</f>
        <v/>
      </c>
      <c r="K46">
        <f>IF(Trabajadores!B43="","",Trabajadores!B43)</f>
        <v/>
      </c>
      <c r="L46">
        <f>IF(K46="","",COUNTIFS(Detalle_Pagos!$E$5:$E$2004,K46,Detalle_Pagos!$B$5:$B$2004,"&gt;="&amp;$B$3,Detalle_Pagos!$B$5:$B$2004,"&lt;="&amp;$B$4))</f>
        <v/>
      </c>
      <c r="M46" s="43">
        <f>IF(K46="","",SUMIFS(Detalle_Pagos!$I$5:$I$2004,Detalle_Pagos!$E$5:$E$2004,K46,Detalle_Pagos!$J$5:$J$2004,"Si",Detalle_Pagos!$B$5:$B$2004,"&gt;="&amp;$B$3,Detalle_Pagos!$B$5:$B$2004,"&lt;="&amp;$B$4))</f>
        <v/>
      </c>
      <c r="N46" s="43">
        <f>IF(K46="","",SUMIFS(Detalle_Pagos!$I$5:$I$2004,Detalle_Pagos!$E$5:$E$2004,K46,Detalle_Pagos!$J$5:$J$2004,"No",Detalle_Pagos!$B$5:$B$2004,"&gt;="&amp;$B$3,Detalle_Pagos!$B$5:$B$2004,"&lt;="&amp;$B$4))</f>
        <v/>
      </c>
      <c r="O46">
        <f>IF(K46="","",COUNTIFS(Detalle_Pagos!$E$5:$E$2004,K46,Detalle_Pagos!$J$5:$J$2004,"No",Detalle_Pagos!$B$5:$B$2004,"&gt;="&amp;$B$3,Detalle_Pagos!$B$5:$B$2004,"&lt;="&amp;$B$4))</f>
        <v/>
      </c>
      <c r="P46">
        <f>IF(K46="","",COUNTIFS(Detalle_Pagos!$E$5:$E$2004,K46,Detalle_Pagos!$J$5:$J$2004,"Si",Detalle_Pagos!$B$5:$B$2004,"&gt;="&amp;$B$3,Detalle_Pagos!$B$5:$B$2004,"&lt;="&amp;$B$4))</f>
        <v/>
      </c>
      <c r="Q46" s="43">
        <f>IF(K46="","",O46*IFERROR(INDEX(Trabajadores!$D$5:$D$204,MATCH(K46,Trabajadores!$B$5:$B$204,0)),0))</f>
        <v/>
      </c>
      <c r="R46" s="43">
        <f>IF(K46="","",N46+Q46)</f>
        <v/>
      </c>
      <c r="S46" s="43">
        <f>IF(K46="","",M46+N46)</f>
        <v/>
      </c>
      <c r="T46">
        <f>IF(K46="","",S46+R46/100000+L46/100000000+(100000-ROW())/1000000000)</f>
        <v/>
      </c>
    </row>
    <row r="47">
      <c r="A47" s="36">
        <f>IFERROR(INDEX($K$8:$K$207,MATCH(LARGE($T$8:$T$207,ROWS($A$8:A47)),$T$8:$T$207,0)),"")</f>
        <v/>
      </c>
      <c r="B47" s="36">
        <f>IFERROR(INDEX($L$8:$L$207,MATCH(LARGE($T$8:$T$207,ROWS($A$8:A47)),$T$8:$T$207,0)),"")</f>
        <v/>
      </c>
      <c r="C47" s="37">
        <f>IFERROR(INDEX($M$8:$M$207,MATCH(LARGE($T$8:$T$207,ROWS($A$8:A47)),$T$8:$T$207,0)),"")</f>
        <v/>
      </c>
      <c r="D47" s="37">
        <f>IFERROR(INDEX($N$8:$N$207,MATCH(LARGE($T$8:$T$207,ROWS($A$8:A47)),$T$8:$T$207,0)),"")</f>
        <v/>
      </c>
      <c r="E47" s="36">
        <f>IFERROR(INDEX($O$8:$O$207,MATCH(LARGE($T$8:$T$207,ROWS($A$8:A47)),$T$8:$T$207,0)),"")</f>
        <v/>
      </c>
      <c r="F47" s="36">
        <f>IFERROR(INDEX($P$8:$P$207,MATCH(LARGE($T$8:$T$207,ROWS($A$8:A47)),$T$8:$T$207,0)),"")</f>
        <v/>
      </c>
      <c r="G47" s="37">
        <f>IFERROR(INDEX($Q$8:$Q$207,MATCH(LARGE($T$8:$T$207,ROWS($A$8:A47)),$T$8:$T$207,0)),"")</f>
        <v/>
      </c>
      <c r="H47" s="37">
        <f>IFERROR(INDEX($R$8:$R$207,MATCH(LARGE($T$8:$T$207,ROWS($A$8:A47)),$T$8:$T$207,0)),"")</f>
        <v/>
      </c>
      <c r="I47" s="37">
        <f>IFERROR(INDEX($S$8:$S$207,MATCH(LARGE($T$8:$T$207,ROWS($A$8:A47)),$T$8:$T$207,0)),"")</f>
        <v/>
      </c>
      <c r="K47">
        <f>IF(Trabajadores!B44="","",Trabajadores!B44)</f>
        <v/>
      </c>
      <c r="L47">
        <f>IF(K47="","",COUNTIFS(Detalle_Pagos!$E$5:$E$2004,K47,Detalle_Pagos!$B$5:$B$2004,"&gt;="&amp;$B$3,Detalle_Pagos!$B$5:$B$2004,"&lt;="&amp;$B$4))</f>
        <v/>
      </c>
      <c r="M47" s="43">
        <f>IF(K47="","",SUMIFS(Detalle_Pagos!$I$5:$I$2004,Detalle_Pagos!$E$5:$E$2004,K47,Detalle_Pagos!$J$5:$J$2004,"Si",Detalle_Pagos!$B$5:$B$2004,"&gt;="&amp;$B$3,Detalle_Pagos!$B$5:$B$2004,"&lt;="&amp;$B$4))</f>
        <v/>
      </c>
      <c r="N47" s="43">
        <f>IF(K47="","",SUMIFS(Detalle_Pagos!$I$5:$I$2004,Detalle_Pagos!$E$5:$E$2004,K47,Detalle_Pagos!$J$5:$J$2004,"No",Detalle_Pagos!$B$5:$B$2004,"&gt;="&amp;$B$3,Detalle_Pagos!$B$5:$B$2004,"&lt;="&amp;$B$4))</f>
        <v/>
      </c>
      <c r="O47">
        <f>IF(K47="","",COUNTIFS(Detalle_Pagos!$E$5:$E$2004,K47,Detalle_Pagos!$J$5:$J$2004,"No",Detalle_Pagos!$B$5:$B$2004,"&gt;="&amp;$B$3,Detalle_Pagos!$B$5:$B$2004,"&lt;="&amp;$B$4))</f>
        <v/>
      </c>
      <c r="P47">
        <f>IF(K47="","",COUNTIFS(Detalle_Pagos!$E$5:$E$2004,K47,Detalle_Pagos!$J$5:$J$2004,"Si",Detalle_Pagos!$B$5:$B$2004,"&gt;="&amp;$B$3,Detalle_Pagos!$B$5:$B$2004,"&lt;="&amp;$B$4))</f>
        <v/>
      </c>
      <c r="Q47" s="43">
        <f>IF(K47="","",O47*IFERROR(INDEX(Trabajadores!$D$5:$D$204,MATCH(K47,Trabajadores!$B$5:$B$204,0)),0))</f>
        <v/>
      </c>
      <c r="R47" s="43">
        <f>IF(K47="","",N47+Q47)</f>
        <v/>
      </c>
      <c r="S47" s="43">
        <f>IF(K47="","",M47+N47)</f>
        <v/>
      </c>
      <c r="T47">
        <f>IF(K47="","",S47+R47/100000+L47/100000000+(100000-ROW())/1000000000)</f>
        <v/>
      </c>
    </row>
    <row r="48">
      <c r="A48" s="38">
        <f>IFERROR(INDEX($K$8:$K$207,MATCH(LARGE($T$8:$T$207,ROWS($A$8:A48)),$T$8:$T$207,0)),"")</f>
        <v/>
      </c>
      <c r="B48" s="38">
        <f>IFERROR(INDEX($L$8:$L$207,MATCH(LARGE($T$8:$T$207,ROWS($A$8:A48)),$T$8:$T$207,0)),"")</f>
        <v/>
      </c>
      <c r="C48" s="39">
        <f>IFERROR(INDEX($M$8:$M$207,MATCH(LARGE($T$8:$T$207,ROWS($A$8:A48)),$T$8:$T$207,0)),"")</f>
        <v/>
      </c>
      <c r="D48" s="39">
        <f>IFERROR(INDEX($N$8:$N$207,MATCH(LARGE($T$8:$T$207,ROWS($A$8:A48)),$T$8:$T$207,0)),"")</f>
        <v/>
      </c>
      <c r="E48" s="38">
        <f>IFERROR(INDEX($O$8:$O$207,MATCH(LARGE($T$8:$T$207,ROWS($A$8:A48)),$T$8:$T$207,0)),"")</f>
        <v/>
      </c>
      <c r="F48" s="38">
        <f>IFERROR(INDEX($P$8:$P$207,MATCH(LARGE($T$8:$T$207,ROWS($A$8:A48)),$T$8:$T$207,0)),"")</f>
        <v/>
      </c>
      <c r="G48" s="39">
        <f>IFERROR(INDEX($Q$8:$Q$207,MATCH(LARGE($T$8:$T$207,ROWS($A$8:A48)),$T$8:$T$207,0)),"")</f>
        <v/>
      </c>
      <c r="H48" s="39">
        <f>IFERROR(INDEX($R$8:$R$207,MATCH(LARGE($T$8:$T$207,ROWS($A$8:A48)),$T$8:$T$207,0)),"")</f>
        <v/>
      </c>
      <c r="I48" s="39">
        <f>IFERROR(INDEX($S$8:$S$207,MATCH(LARGE($T$8:$T$207,ROWS($A$8:A48)),$T$8:$T$207,0)),"")</f>
        <v/>
      </c>
      <c r="K48">
        <f>IF(Trabajadores!B45="","",Trabajadores!B45)</f>
        <v/>
      </c>
      <c r="L48">
        <f>IF(K48="","",COUNTIFS(Detalle_Pagos!$E$5:$E$2004,K48,Detalle_Pagos!$B$5:$B$2004,"&gt;="&amp;$B$3,Detalle_Pagos!$B$5:$B$2004,"&lt;="&amp;$B$4))</f>
        <v/>
      </c>
      <c r="M48" s="43">
        <f>IF(K48="","",SUMIFS(Detalle_Pagos!$I$5:$I$2004,Detalle_Pagos!$E$5:$E$2004,K48,Detalle_Pagos!$J$5:$J$2004,"Si",Detalle_Pagos!$B$5:$B$2004,"&gt;="&amp;$B$3,Detalle_Pagos!$B$5:$B$2004,"&lt;="&amp;$B$4))</f>
        <v/>
      </c>
      <c r="N48" s="43">
        <f>IF(K48="","",SUMIFS(Detalle_Pagos!$I$5:$I$2004,Detalle_Pagos!$E$5:$E$2004,K48,Detalle_Pagos!$J$5:$J$2004,"No",Detalle_Pagos!$B$5:$B$2004,"&gt;="&amp;$B$3,Detalle_Pagos!$B$5:$B$2004,"&lt;="&amp;$B$4))</f>
        <v/>
      </c>
      <c r="O48">
        <f>IF(K48="","",COUNTIFS(Detalle_Pagos!$E$5:$E$2004,K48,Detalle_Pagos!$J$5:$J$2004,"No",Detalle_Pagos!$B$5:$B$2004,"&gt;="&amp;$B$3,Detalle_Pagos!$B$5:$B$2004,"&lt;="&amp;$B$4))</f>
        <v/>
      </c>
      <c r="P48">
        <f>IF(K48="","",COUNTIFS(Detalle_Pagos!$E$5:$E$2004,K48,Detalle_Pagos!$J$5:$J$2004,"Si",Detalle_Pagos!$B$5:$B$2004,"&gt;="&amp;$B$3,Detalle_Pagos!$B$5:$B$2004,"&lt;="&amp;$B$4))</f>
        <v/>
      </c>
      <c r="Q48" s="43">
        <f>IF(K48="","",O48*IFERROR(INDEX(Trabajadores!$D$5:$D$204,MATCH(K48,Trabajadores!$B$5:$B$204,0)),0))</f>
        <v/>
      </c>
      <c r="R48" s="43">
        <f>IF(K48="","",N48+Q48)</f>
        <v/>
      </c>
      <c r="S48" s="43">
        <f>IF(K48="","",M48+N48)</f>
        <v/>
      </c>
      <c r="T48">
        <f>IF(K48="","",S48+R48/100000+L48/100000000+(100000-ROW())/1000000000)</f>
        <v/>
      </c>
    </row>
    <row r="49">
      <c r="A49" s="36">
        <f>IFERROR(INDEX($K$8:$K$207,MATCH(LARGE($T$8:$T$207,ROWS($A$8:A49)),$T$8:$T$207,0)),"")</f>
        <v/>
      </c>
      <c r="B49" s="36">
        <f>IFERROR(INDEX($L$8:$L$207,MATCH(LARGE($T$8:$T$207,ROWS($A$8:A49)),$T$8:$T$207,0)),"")</f>
        <v/>
      </c>
      <c r="C49" s="37">
        <f>IFERROR(INDEX($M$8:$M$207,MATCH(LARGE($T$8:$T$207,ROWS($A$8:A49)),$T$8:$T$207,0)),"")</f>
        <v/>
      </c>
      <c r="D49" s="37">
        <f>IFERROR(INDEX($N$8:$N$207,MATCH(LARGE($T$8:$T$207,ROWS($A$8:A49)),$T$8:$T$207,0)),"")</f>
        <v/>
      </c>
      <c r="E49" s="36">
        <f>IFERROR(INDEX($O$8:$O$207,MATCH(LARGE($T$8:$T$207,ROWS($A$8:A49)),$T$8:$T$207,0)),"")</f>
        <v/>
      </c>
      <c r="F49" s="36">
        <f>IFERROR(INDEX($P$8:$P$207,MATCH(LARGE($T$8:$T$207,ROWS($A$8:A49)),$T$8:$T$207,0)),"")</f>
        <v/>
      </c>
      <c r="G49" s="37">
        <f>IFERROR(INDEX($Q$8:$Q$207,MATCH(LARGE($T$8:$T$207,ROWS($A$8:A49)),$T$8:$T$207,0)),"")</f>
        <v/>
      </c>
      <c r="H49" s="37">
        <f>IFERROR(INDEX($R$8:$R$207,MATCH(LARGE($T$8:$T$207,ROWS($A$8:A49)),$T$8:$T$207,0)),"")</f>
        <v/>
      </c>
      <c r="I49" s="37">
        <f>IFERROR(INDEX($S$8:$S$207,MATCH(LARGE($T$8:$T$207,ROWS($A$8:A49)),$T$8:$T$207,0)),"")</f>
        <v/>
      </c>
      <c r="K49">
        <f>IF(Trabajadores!B46="","",Trabajadores!B46)</f>
        <v/>
      </c>
      <c r="L49">
        <f>IF(K49="","",COUNTIFS(Detalle_Pagos!$E$5:$E$2004,K49,Detalle_Pagos!$B$5:$B$2004,"&gt;="&amp;$B$3,Detalle_Pagos!$B$5:$B$2004,"&lt;="&amp;$B$4))</f>
        <v/>
      </c>
      <c r="M49" s="43">
        <f>IF(K49="","",SUMIFS(Detalle_Pagos!$I$5:$I$2004,Detalle_Pagos!$E$5:$E$2004,K49,Detalle_Pagos!$J$5:$J$2004,"Si",Detalle_Pagos!$B$5:$B$2004,"&gt;="&amp;$B$3,Detalle_Pagos!$B$5:$B$2004,"&lt;="&amp;$B$4))</f>
        <v/>
      </c>
      <c r="N49" s="43">
        <f>IF(K49="","",SUMIFS(Detalle_Pagos!$I$5:$I$2004,Detalle_Pagos!$E$5:$E$2004,K49,Detalle_Pagos!$J$5:$J$2004,"No",Detalle_Pagos!$B$5:$B$2004,"&gt;="&amp;$B$3,Detalle_Pagos!$B$5:$B$2004,"&lt;="&amp;$B$4))</f>
        <v/>
      </c>
      <c r="O49">
        <f>IF(K49="","",COUNTIFS(Detalle_Pagos!$E$5:$E$2004,K49,Detalle_Pagos!$J$5:$J$2004,"No",Detalle_Pagos!$B$5:$B$2004,"&gt;="&amp;$B$3,Detalle_Pagos!$B$5:$B$2004,"&lt;="&amp;$B$4))</f>
        <v/>
      </c>
      <c r="P49">
        <f>IF(K49="","",COUNTIFS(Detalle_Pagos!$E$5:$E$2004,K49,Detalle_Pagos!$J$5:$J$2004,"Si",Detalle_Pagos!$B$5:$B$2004,"&gt;="&amp;$B$3,Detalle_Pagos!$B$5:$B$2004,"&lt;="&amp;$B$4))</f>
        <v/>
      </c>
      <c r="Q49" s="43">
        <f>IF(K49="","",O49*IFERROR(INDEX(Trabajadores!$D$5:$D$204,MATCH(K49,Trabajadores!$B$5:$B$204,0)),0))</f>
        <v/>
      </c>
      <c r="R49" s="43">
        <f>IF(K49="","",N49+Q49)</f>
        <v/>
      </c>
      <c r="S49" s="43">
        <f>IF(K49="","",M49+N49)</f>
        <v/>
      </c>
      <c r="T49">
        <f>IF(K49="","",S49+R49/100000+L49/100000000+(100000-ROW())/1000000000)</f>
        <v/>
      </c>
    </row>
    <row r="50">
      <c r="A50" s="38">
        <f>IFERROR(INDEX($K$8:$K$207,MATCH(LARGE($T$8:$T$207,ROWS($A$8:A50)),$T$8:$T$207,0)),"")</f>
        <v/>
      </c>
      <c r="B50" s="38">
        <f>IFERROR(INDEX($L$8:$L$207,MATCH(LARGE($T$8:$T$207,ROWS($A$8:A50)),$T$8:$T$207,0)),"")</f>
        <v/>
      </c>
      <c r="C50" s="39">
        <f>IFERROR(INDEX($M$8:$M$207,MATCH(LARGE($T$8:$T$207,ROWS($A$8:A50)),$T$8:$T$207,0)),"")</f>
        <v/>
      </c>
      <c r="D50" s="39">
        <f>IFERROR(INDEX($N$8:$N$207,MATCH(LARGE($T$8:$T$207,ROWS($A$8:A50)),$T$8:$T$207,0)),"")</f>
        <v/>
      </c>
      <c r="E50" s="38">
        <f>IFERROR(INDEX($O$8:$O$207,MATCH(LARGE($T$8:$T$207,ROWS($A$8:A50)),$T$8:$T$207,0)),"")</f>
        <v/>
      </c>
      <c r="F50" s="38">
        <f>IFERROR(INDEX($P$8:$P$207,MATCH(LARGE($T$8:$T$207,ROWS($A$8:A50)),$T$8:$T$207,0)),"")</f>
        <v/>
      </c>
      <c r="G50" s="39">
        <f>IFERROR(INDEX($Q$8:$Q$207,MATCH(LARGE($T$8:$T$207,ROWS($A$8:A50)),$T$8:$T$207,0)),"")</f>
        <v/>
      </c>
      <c r="H50" s="39">
        <f>IFERROR(INDEX($R$8:$R$207,MATCH(LARGE($T$8:$T$207,ROWS($A$8:A50)),$T$8:$T$207,0)),"")</f>
        <v/>
      </c>
      <c r="I50" s="39">
        <f>IFERROR(INDEX($S$8:$S$207,MATCH(LARGE($T$8:$T$207,ROWS($A$8:A50)),$T$8:$T$207,0)),"")</f>
        <v/>
      </c>
      <c r="K50">
        <f>IF(Trabajadores!B47="","",Trabajadores!B47)</f>
        <v/>
      </c>
      <c r="L50">
        <f>IF(K50="","",COUNTIFS(Detalle_Pagos!$E$5:$E$2004,K50,Detalle_Pagos!$B$5:$B$2004,"&gt;="&amp;$B$3,Detalle_Pagos!$B$5:$B$2004,"&lt;="&amp;$B$4))</f>
        <v/>
      </c>
      <c r="M50" s="43">
        <f>IF(K50="","",SUMIFS(Detalle_Pagos!$I$5:$I$2004,Detalle_Pagos!$E$5:$E$2004,K50,Detalle_Pagos!$J$5:$J$2004,"Si",Detalle_Pagos!$B$5:$B$2004,"&gt;="&amp;$B$3,Detalle_Pagos!$B$5:$B$2004,"&lt;="&amp;$B$4))</f>
        <v/>
      </c>
      <c r="N50" s="43">
        <f>IF(K50="","",SUMIFS(Detalle_Pagos!$I$5:$I$2004,Detalle_Pagos!$E$5:$E$2004,K50,Detalle_Pagos!$J$5:$J$2004,"No",Detalle_Pagos!$B$5:$B$2004,"&gt;="&amp;$B$3,Detalle_Pagos!$B$5:$B$2004,"&lt;="&amp;$B$4))</f>
        <v/>
      </c>
      <c r="O50">
        <f>IF(K50="","",COUNTIFS(Detalle_Pagos!$E$5:$E$2004,K50,Detalle_Pagos!$J$5:$J$2004,"No",Detalle_Pagos!$B$5:$B$2004,"&gt;="&amp;$B$3,Detalle_Pagos!$B$5:$B$2004,"&lt;="&amp;$B$4))</f>
        <v/>
      </c>
      <c r="P50">
        <f>IF(K50="","",COUNTIFS(Detalle_Pagos!$E$5:$E$2004,K50,Detalle_Pagos!$J$5:$J$2004,"Si",Detalle_Pagos!$B$5:$B$2004,"&gt;="&amp;$B$3,Detalle_Pagos!$B$5:$B$2004,"&lt;="&amp;$B$4))</f>
        <v/>
      </c>
      <c r="Q50" s="43">
        <f>IF(K50="","",O50*IFERROR(INDEX(Trabajadores!$D$5:$D$204,MATCH(K50,Trabajadores!$B$5:$B$204,0)),0))</f>
        <v/>
      </c>
      <c r="R50" s="43">
        <f>IF(K50="","",N50+Q50)</f>
        <v/>
      </c>
      <c r="S50" s="43">
        <f>IF(K50="","",M50+N50)</f>
        <v/>
      </c>
      <c r="T50">
        <f>IF(K50="","",S50+R50/100000+L50/100000000+(100000-ROW())/1000000000)</f>
        <v/>
      </c>
    </row>
    <row r="51">
      <c r="A51" s="36">
        <f>IFERROR(INDEX($K$8:$K$207,MATCH(LARGE($T$8:$T$207,ROWS($A$8:A51)),$T$8:$T$207,0)),"")</f>
        <v/>
      </c>
      <c r="B51" s="36">
        <f>IFERROR(INDEX($L$8:$L$207,MATCH(LARGE($T$8:$T$207,ROWS($A$8:A51)),$T$8:$T$207,0)),"")</f>
        <v/>
      </c>
      <c r="C51" s="37">
        <f>IFERROR(INDEX($M$8:$M$207,MATCH(LARGE($T$8:$T$207,ROWS($A$8:A51)),$T$8:$T$207,0)),"")</f>
        <v/>
      </c>
      <c r="D51" s="37">
        <f>IFERROR(INDEX($N$8:$N$207,MATCH(LARGE($T$8:$T$207,ROWS($A$8:A51)),$T$8:$T$207,0)),"")</f>
        <v/>
      </c>
      <c r="E51" s="36">
        <f>IFERROR(INDEX($O$8:$O$207,MATCH(LARGE($T$8:$T$207,ROWS($A$8:A51)),$T$8:$T$207,0)),"")</f>
        <v/>
      </c>
      <c r="F51" s="36">
        <f>IFERROR(INDEX($P$8:$P$207,MATCH(LARGE($T$8:$T$207,ROWS($A$8:A51)),$T$8:$T$207,0)),"")</f>
        <v/>
      </c>
      <c r="G51" s="37">
        <f>IFERROR(INDEX($Q$8:$Q$207,MATCH(LARGE($T$8:$T$207,ROWS($A$8:A51)),$T$8:$T$207,0)),"")</f>
        <v/>
      </c>
      <c r="H51" s="37">
        <f>IFERROR(INDEX($R$8:$R$207,MATCH(LARGE($T$8:$T$207,ROWS($A$8:A51)),$T$8:$T$207,0)),"")</f>
        <v/>
      </c>
      <c r="I51" s="37">
        <f>IFERROR(INDEX($S$8:$S$207,MATCH(LARGE($T$8:$T$207,ROWS($A$8:A51)),$T$8:$T$207,0)),"")</f>
        <v/>
      </c>
      <c r="K51">
        <f>IF(Trabajadores!B48="","",Trabajadores!B48)</f>
        <v/>
      </c>
      <c r="L51">
        <f>IF(K51="","",COUNTIFS(Detalle_Pagos!$E$5:$E$2004,K51,Detalle_Pagos!$B$5:$B$2004,"&gt;="&amp;$B$3,Detalle_Pagos!$B$5:$B$2004,"&lt;="&amp;$B$4))</f>
        <v/>
      </c>
      <c r="M51" s="43">
        <f>IF(K51="","",SUMIFS(Detalle_Pagos!$I$5:$I$2004,Detalle_Pagos!$E$5:$E$2004,K51,Detalle_Pagos!$J$5:$J$2004,"Si",Detalle_Pagos!$B$5:$B$2004,"&gt;="&amp;$B$3,Detalle_Pagos!$B$5:$B$2004,"&lt;="&amp;$B$4))</f>
        <v/>
      </c>
      <c r="N51" s="43">
        <f>IF(K51="","",SUMIFS(Detalle_Pagos!$I$5:$I$2004,Detalle_Pagos!$E$5:$E$2004,K51,Detalle_Pagos!$J$5:$J$2004,"No",Detalle_Pagos!$B$5:$B$2004,"&gt;="&amp;$B$3,Detalle_Pagos!$B$5:$B$2004,"&lt;="&amp;$B$4))</f>
        <v/>
      </c>
      <c r="O51">
        <f>IF(K51="","",COUNTIFS(Detalle_Pagos!$E$5:$E$2004,K51,Detalle_Pagos!$J$5:$J$2004,"No",Detalle_Pagos!$B$5:$B$2004,"&gt;="&amp;$B$3,Detalle_Pagos!$B$5:$B$2004,"&lt;="&amp;$B$4))</f>
        <v/>
      </c>
      <c r="P51">
        <f>IF(K51="","",COUNTIFS(Detalle_Pagos!$E$5:$E$2004,K51,Detalle_Pagos!$J$5:$J$2004,"Si",Detalle_Pagos!$B$5:$B$2004,"&gt;="&amp;$B$3,Detalle_Pagos!$B$5:$B$2004,"&lt;="&amp;$B$4))</f>
        <v/>
      </c>
      <c r="Q51" s="43">
        <f>IF(K51="","",O51*IFERROR(INDEX(Trabajadores!$D$5:$D$204,MATCH(K51,Trabajadores!$B$5:$B$204,0)),0))</f>
        <v/>
      </c>
      <c r="R51" s="43">
        <f>IF(K51="","",N51+Q51)</f>
        <v/>
      </c>
      <c r="S51" s="43">
        <f>IF(K51="","",M51+N51)</f>
        <v/>
      </c>
      <c r="T51">
        <f>IF(K51="","",S51+R51/100000+L51/100000000+(100000-ROW())/1000000000)</f>
        <v/>
      </c>
    </row>
    <row r="52">
      <c r="A52" s="38">
        <f>IFERROR(INDEX($K$8:$K$207,MATCH(LARGE($T$8:$T$207,ROWS($A$8:A52)),$T$8:$T$207,0)),"")</f>
        <v/>
      </c>
      <c r="B52" s="38">
        <f>IFERROR(INDEX($L$8:$L$207,MATCH(LARGE($T$8:$T$207,ROWS($A$8:A52)),$T$8:$T$207,0)),"")</f>
        <v/>
      </c>
      <c r="C52" s="39">
        <f>IFERROR(INDEX($M$8:$M$207,MATCH(LARGE($T$8:$T$207,ROWS($A$8:A52)),$T$8:$T$207,0)),"")</f>
        <v/>
      </c>
      <c r="D52" s="39">
        <f>IFERROR(INDEX($N$8:$N$207,MATCH(LARGE($T$8:$T$207,ROWS($A$8:A52)),$T$8:$T$207,0)),"")</f>
        <v/>
      </c>
      <c r="E52" s="38">
        <f>IFERROR(INDEX($O$8:$O$207,MATCH(LARGE($T$8:$T$207,ROWS($A$8:A52)),$T$8:$T$207,0)),"")</f>
        <v/>
      </c>
      <c r="F52" s="38">
        <f>IFERROR(INDEX($P$8:$P$207,MATCH(LARGE($T$8:$T$207,ROWS($A$8:A52)),$T$8:$T$207,0)),"")</f>
        <v/>
      </c>
      <c r="G52" s="39">
        <f>IFERROR(INDEX($Q$8:$Q$207,MATCH(LARGE($T$8:$T$207,ROWS($A$8:A52)),$T$8:$T$207,0)),"")</f>
        <v/>
      </c>
      <c r="H52" s="39">
        <f>IFERROR(INDEX($R$8:$R$207,MATCH(LARGE($T$8:$T$207,ROWS($A$8:A52)),$T$8:$T$207,0)),"")</f>
        <v/>
      </c>
      <c r="I52" s="39">
        <f>IFERROR(INDEX($S$8:$S$207,MATCH(LARGE($T$8:$T$207,ROWS($A$8:A52)),$T$8:$T$207,0)),"")</f>
        <v/>
      </c>
      <c r="K52">
        <f>IF(Trabajadores!B49="","",Trabajadores!B49)</f>
        <v/>
      </c>
      <c r="L52">
        <f>IF(K52="","",COUNTIFS(Detalle_Pagos!$E$5:$E$2004,K52,Detalle_Pagos!$B$5:$B$2004,"&gt;="&amp;$B$3,Detalle_Pagos!$B$5:$B$2004,"&lt;="&amp;$B$4))</f>
        <v/>
      </c>
      <c r="M52" s="43">
        <f>IF(K52="","",SUMIFS(Detalle_Pagos!$I$5:$I$2004,Detalle_Pagos!$E$5:$E$2004,K52,Detalle_Pagos!$J$5:$J$2004,"Si",Detalle_Pagos!$B$5:$B$2004,"&gt;="&amp;$B$3,Detalle_Pagos!$B$5:$B$2004,"&lt;="&amp;$B$4))</f>
        <v/>
      </c>
      <c r="N52" s="43">
        <f>IF(K52="","",SUMIFS(Detalle_Pagos!$I$5:$I$2004,Detalle_Pagos!$E$5:$E$2004,K52,Detalle_Pagos!$J$5:$J$2004,"No",Detalle_Pagos!$B$5:$B$2004,"&gt;="&amp;$B$3,Detalle_Pagos!$B$5:$B$2004,"&lt;="&amp;$B$4))</f>
        <v/>
      </c>
      <c r="O52">
        <f>IF(K52="","",COUNTIFS(Detalle_Pagos!$E$5:$E$2004,K52,Detalle_Pagos!$J$5:$J$2004,"No",Detalle_Pagos!$B$5:$B$2004,"&gt;="&amp;$B$3,Detalle_Pagos!$B$5:$B$2004,"&lt;="&amp;$B$4))</f>
        <v/>
      </c>
      <c r="P52">
        <f>IF(K52="","",COUNTIFS(Detalle_Pagos!$E$5:$E$2004,K52,Detalle_Pagos!$J$5:$J$2004,"Si",Detalle_Pagos!$B$5:$B$2004,"&gt;="&amp;$B$3,Detalle_Pagos!$B$5:$B$2004,"&lt;="&amp;$B$4))</f>
        <v/>
      </c>
      <c r="Q52" s="43">
        <f>IF(K52="","",O52*IFERROR(INDEX(Trabajadores!$D$5:$D$204,MATCH(K52,Trabajadores!$B$5:$B$204,0)),0))</f>
        <v/>
      </c>
      <c r="R52" s="43">
        <f>IF(K52="","",N52+Q52)</f>
        <v/>
      </c>
      <c r="S52" s="43">
        <f>IF(K52="","",M52+N52)</f>
        <v/>
      </c>
      <c r="T52">
        <f>IF(K52="","",S52+R52/100000+L52/100000000+(100000-ROW())/1000000000)</f>
        <v/>
      </c>
    </row>
    <row r="53">
      <c r="A53" s="36">
        <f>IFERROR(INDEX($K$8:$K$207,MATCH(LARGE($T$8:$T$207,ROWS($A$8:A53)),$T$8:$T$207,0)),"")</f>
        <v/>
      </c>
      <c r="B53" s="36">
        <f>IFERROR(INDEX($L$8:$L$207,MATCH(LARGE($T$8:$T$207,ROWS($A$8:A53)),$T$8:$T$207,0)),"")</f>
        <v/>
      </c>
      <c r="C53" s="37">
        <f>IFERROR(INDEX($M$8:$M$207,MATCH(LARGE($T$8:$T$207,ROWS($A$8:A53)),$T$8:$T$207,0)),"")</f>
        <v/>
      </c>
      <c r="D53" s="37">
        <f>IFERROR(INDEX($N$8:$N$207,MATCH(LARGE($T$8:$T$207,ROWS($A$8:A53)),$T$8:$T$207,0)),"")</f>
        <v/>
      </c>
      <c r="E53" s="36">
        <f>IFERROR(INDEX($O$8:$O$207,MATCH(LARGE($T$8:$T$207,ROWS($A$8:A53)),$T$8:$T$207,0)),"")</f>
        <v/>
      </c>
      <c r="F53" s="36">
        <f>IFERROR(INDEX($P$8:$P$207,MATCH(LARGE($T$8:$T$207,ROWS($A$8:A53)),$T$8:$T$207,0)),"")</f>
        <v/>
      </c>
      <c r="G53" s="37">
        <f>IFERROR(INDEX($Q$8:$Q$207,MATCH(LARGE($T$8:$T$207,ROWS($A$8:A53)),$T$8:$T$207,0)),"")</f>
        <v/>
      </c>
      <c r="H53" s="37">
        <f>IFERROR(INDEX($R$8:$R$207,MATCH(LARGE($T$8:$T$207,ROWS($A$8:A53)),$T$8:$T$207,0)),"")</f>
        <v/>
      </c>
      <c r="I53" s="37">
        <f>IFERROR(INDEX($S$8:$S$207,MATCH(LARGE($T$8:$T$207,ROWS($A$8:A53)),$T$8:$T$207,0)),"")</f>
        <v/>
      </c>
      <c r="K53">
        <f>IF(Trabajadores!B50="","",Trabajadores!B50)</f>
        <v/>
      </c>
      <c r="L53">
        <f>IF(K53="","",COUNTIFS(Detalle_Pagos!$E$5:$E$2004,K53,Detalle_Pagos!$B$5:$B$2004,"&gt;="&amp;$B$3,Detalle_Pagos!$B$5:$B$2004,"&lt;="&amp;$B$4))</f>
        <v/>
      </c>
      <c r="M53" s="43">
        <f>IF(K53="","",SUMIFS(Detalle_Pagos!$I$5:$I$2004,Detalle_Pagos!$E$5:$E$2004,K53,Detalle_Pagos!$J$5:$J$2004,"Si",Detalle_Pagos!$B$5:$B$2004,"&gt;="&amp;$B$3,Detalle_Pagos!$B$5:$B$2004,"&lt;="&amp;$B$4))</f>
        <v/>
      </c>
      <c r="N53" s="43">
        <f>IF(K53="","",SUMIFS(Detalle_Pagos!$I$5:$I$2004,Detalle_Pagos!$E$5:$E$2004,K53,Detalle_Pagos!$J$5:$J$2004,"No",Detalle_Pagos!$B$5:$B$2004,"&gt;="&amp;$B$3,Detalle_Pagos!$B$5:$B$2004,"&lt;="&amp;$B$4))</f>
        <v/>
      </c>
      <c r="O53">
        <f>IF(K53="","",COUNTIFS(Detalle_Pagos!$E$5:$E$2004,K53,Detalle_Pagos!$J$5:$J$2004,"No",Detalle_Pagos!$B$5:$B$2004,"&gt;="&amp;$B$3,Detalle_Pagos!$B$5:$B$2004,"&lt;="&amp;$B$4))</f>
        <v/>
      </c>
      <c r="P53">
        <f>IF(K53="","",COUNTIFS(Detalle_Pagos!$E$5:$E$2004,K53,Detalle_Pagos!$J$5:$J$2004,"Si",Detalle_Pagos!$B$5:$B$2004,"&gt;="&amp;$B$3,Detalle_Pagos!$B$5:$B$2004,"&lt;="&amp;$B$4))</f>
        <v/>
      </c>
      <c r="Q53" s="43">
        <f>IF(K53="","",O53*IFERROR(INDEX(Trabajadores!$D$5:$D$204,MATCH(K53,Trabajadores!$B$5:$B$204,0)),0))</f>
        <v/>
      </c>
      <c r="R53" s="43">
        <f>IF(K53="","",N53+Q53)</f>
        <v/>
      </c>
      <c r="S53" s="43">
        <f>IF(K53="","",M53+N53)</f>
        <v/>
      </c>
      <c r="T53">
        <f>IF(K53="","",S53+R53/100000+L53/100000000+(100000-ROW())/1000000000)</f>
        <v/>
      </c>
    </row>
    <row r="54">
      <c r="A54" s="38">
        <f>IFERROR(INDEX($K$8:$K$207,MATCH(LARGE($T$8:$T$207,ROWS($A$8:A54)),$T$8:$T$207,0)),"")</f>
        <v/>
      </c>
      <c r="B54" s="38">
        <f>IFERROR(INDEX($L$8:$L$207,MATCH(LARGE($T$8:$T$207,ROWS($A$8:A54)),$T$8:$T$207,0)),"")</f>
        <v/>
      </c>
      <c r="C54" s="39">
        <f>IFERROR(INDEX($M$8:$M$207,MATCH(LARGE($T$8:$T$207,ROWS($A$8:A54)),$T$8:$T$207,0)),"")</f>
        <v/>
      </c>
      <c r="D54" s="39">
        <f>IFERROR(INDEX($N$8:$N$207,MATCH(LARGE($T$8:$T$207,ROWS($A$8:A54)),$T$8:$T$207,0)),"")</f>
        <v/>
      </c>
      <c r="E54" s="38">
        <f>IFERROR(INDEX($O$8:$O$207,MATCH(LARGE($T$8:$T$207,ROWS($A$8:A54)),$T$8:$T$207,0)),"")</f>
        <v/>
      </c>
      <c r="F54" s="38">
        <f>IFERROR(INDEX($P$8:$P$207,MATCH(LARGE($T$8:$T$207,ROWS($A$8:A54)),$T$8:$T$207,0)),"")</f>
        <v/>
      </c>
      <c r="G54" s="39">
        <f>IFERROR(INDEX($Q$8:$Q$207,MATCH(LARGE($T$8:$T$207,ROWS($A$8:A54)),$T$8:$T$207,0)),"")</f>
        <v/>
      </c>
      <c r="H54" s="39">
        <f>IFERROR(INDEX($R$8:$R$207,MATCH(LARGE($T$8:$T$207,ROWS($A$8:A54)),$T$8:$T$207,0)),"")</f>
        <v/>
      </c>
      <c r="I54" s="39">
        <f>IFERROR(INDEX($S$8:$S$207,MATCH(LARGE($T$8:$T$207,ROWS($A$8:A54)),$T$8:$T$207,0)),"")</f>
        <v/>
      </c>
      <c r="K54">
        <f>IF(Trabajadores!B51="","",Trabajadores!B51)</f>
        <v/>
      </c>
      <c r="L54">
        <f>IF(K54="","",COUNTIFS(Detalle_Pagos!$E$5:$E$2004,K54,Detalle_Pagos!$B$5:$B$2004,"&gt;="&amp;$B$3,Detalle_Pagos!$B$5:$B$2004,"&lt;="&amp;$B$4))</f>
        <v/>
      </c>
      <c r="M54" s="43">
        <f>IF(K54="","",SUMIFS(Detalle_Pagos!$I$5:$I$2004,Detalle_Pagos!$E$5:$E$2004,K54,Detalle_Pagos!$J$5:$J$2004,"Si",Detalle_Pagos!$B$5:$B$2004,"&gt;="&amp;$B$3,Detalle_Pagos!$B$5:$B$2004,"&lt;="&amp;$B$4))</f>
        <v/>
      </c>
      <c r="N54" s="43">
        <f>IF(K54="","",SUMIFS(Detalle_Pagos!$I$5:$I$2004,Detalle_Pagos!$E$5:$E$2004,K54,Detalle_Pagos!$J$5:$J$2004,"No",Detalle_Pagos!$B$5:$B$2004,"&gt;="&amp;$B$3,Detalle_Pagos!$B$5:$B$2004,"&lt;="&amp;$B$4))</f>
        <v/>
      </c>
      <c r="O54">
        <f>IF(K54="","",COUNTIFS(Detalle_Pagos!$E$5:$E$2004,K54,Detalle_Pagos!$J$5:$J$2004,"No",Detalle_Pagos!$B$5:$B$2004,"&gt;="&amp;$B$3,Detalle_Pagos!$B$5:$B$2004,"&lt;="&amp;$B$4))</f>
        <v/>
      </c>
      <c r="P54">
        <f>IF(K54="","",COUNTIFS(Detalle_Pagos!$E$5:$E$2004,K54,Detalle_Pagos!$J$5:$J$2004,"Si",Detalle_Pagos!$B$5:$B$2004,"&gt;="&amp;$B$3,Detalle_Pagos!$B$5:$B$2004,"&lt;="&amp;$B$4))</f>
        <v/>
      </c>
      <c r="Q54" s="43">
        <f>IF(K54="","",O54*IFERROR(INDEX(Trabajadores!$D$5:$D$204,MATCH(K54,Trabajadores!$B$5:$B$204,0)),0))</f>
        <v/>
      </c>
      <c r="R54" s="43">
        <f>IF(K54="","",N54+Q54)</f>
        <v/>
      </c>
      <c r="S54" s="43">
        <f>IF(K54="","",M54+N54)</f>
        <v/>
      </c>
      <c r="T54">
        <f>IF(K54="","",S54+R54/100000+L54/100000000+(100000-ROW())/1000000000)</f>
        <v/>
      </c>
    </row>
    <row r="55">
      <c r="A55" s="36">
        <f>IFERROR(INDEX($K$8:$K$207,MATCH(LARGE($T$8:$T$207,ROWS($A$8:A55)),$T$8:$T$207,0)),"")</f>
        <v/>
      </c>
      <c r="B55" s="36">
        <f>IFERROR(INDEX($L$8:$L$207,MATCH(LARGE($T$8:$T$207,ROWS($A$8:A55)),$T$8:$T$207,0)),"")</f>
        <v/>
      </c>
      <c r="C55" s="37">
        <f>IFERROR(INDEX($M$8:$M$207,MATCH(LARGE($T$8:$T$207,ROWS($A$8:A55)),$T$8:$T$207,0)),"")</f>
        <v/>
      </c>
      <c r="D55" s="37">
        <f>IFERROR(INDEX($N$8:$N$207,MATCH(LARGE($T$8:$T$207,ROWS($A$8:A55)),$T$8:$T$207,0)),"")</f>
        <v/>
      </c>
      <c r="E55" s="36">
        <f>IFERROR(INDEX($O$8:$O$207,MATCH(LARGE($T$8:$T$207,ROWS($A$8:A55)),$T$8:$T$207,0)),"")</f>
        <v/>
      </c>
      <c r="F55" s="36">
        <f>IFERROR(INDEX($P$8:$P$207,MATCH(LARGE($T$8:$T$207,ROWS($A$8:A55)),$T$8:$T$207,0)),"")</f>
        <v/>
      </c>
      <c r="G55" s="37">
        <f>IFERROR(INDEX($Q$8:$Q$207,MATCH(LARGE($T$8:$T$207,ROWS($A$8:A55)),$T$8:$T$207,0)),"")</f>
        <v/>
      </c>
      <c r="H55" s="37">
        <f>IFERROR(INDEX($R$8:$R$207,MATCH(LARGE($T$8:$T$207,ROWS($A$8:A55)),$T$8:$T$207,0)),"")</f>
        <v/>
      </c>
      <c r="I55" s="37">
        <f>IFERROR(INDEX($S$8:$S$207,MATCH(LARGE($T$8:$T$207,ROWS($A$8:A55)),$T$8:$T$207,0)),"")</f>
        <v/>
      </c>
      <c r="K55">
        <f>IF(Trabajadores!B52="","",Trabajadores!B52)</f>
        <v/>
      </c>
      <c r="L55">
        <f>IF(K55="","",COUNTIFS(Detalle_Pagos!$E$5:$E$2004,K55,Detalle_Pagos!$B$5:$B$2004,"&gt;="&amp;$B$3,Detalle_Pagos!$B$5:$B$2004,"&lt;="&amp;$B$4))</f>
        <v/>
      </c>
      <c r="M55" s="43">
        <f>IF(K55="","",SUMIFS(Detalle_Pagos!$I$5:$I$2004,Detalle_Pagos!$E$5:$E$2004,K55,Detalle_Pagos!$J$5:$J$2004,"Si",Detalle_Pagos!$B$5:$B$2004,"&gt;="&amp;$B$3,Detalle_Pagos!$B$5:$B$2004,"&lt;="&amp;$B$4))</f>
        <v/>
      </c>
      <c r="N55" s="43">
        <f>IF(K55="","",SUMIFS(Detalle_Pagos!$I$5:$I$2004,Detalle_Pagos!$E$5:$E$2004,K55,Detalle_Pagos!$J$5:$J$2004,"No",Detalle_Pagos!$B$5:$B$2004,"&gt;="&amp;$B$3,Detalle_Pagos!$B$5:$B$2004,"&lt;="&amp;$B$4))</f>
        <v/>
      </c>
      <c r="O55">
        <f>IF(K55="","",COUNTIFS(Detalle_Pagos!$E$5:$E$2004,K55,Detalle_Pagos!$J$5:$J$2004,"No",Detalle_Pagos!$B$5:$B$2004,"&gt;="&amp;$B$3,Detalle_Pagos!$B$5:$B$2004,"&lt;="&amp;$B$4))</f>
        <v/>
      </c>
      <c r="P55">
        <f>IF(K55="","",COUNTIFS(Detalle_Pagos!$E$5:$E$2004,K55,Detalle_Pagos!$J$5:$J$2004,"Si",Detalle_Pagos!$B$5:$B$2004,"&gt;="&amp;$B$3,Detalle_Pagos!$B$5:$B$2004,"&lt;="&amp;$B$4))</f>
        <v/>
      </c>
      <c r="Q55" s="43">
        <f>IF(K55="","",O55*IFERROR(INDEX(Trabajadores!$D$5:$D$204,MATCH(K55,Trabajadores!$B$5:$B$204,0)),0))</f>
        <v/>
      </c>
      <c r="R55" s="43">
        <f>IF(K55="","",N55+Q55)</f>
        <v/>
      </c>
      <c r="S55" s="43">
        <f>IF(K55="","",M55+N55)</f>
        <v/>
      </c>
      <c r="T55">
        <f>IF(K55="","",S55+R55/100000+L55/100000000+(100000-ROW())/1000000000)</f>
        <v/>
      </c>
    </row>
    <row r="56">
      <c r="A56" s="38">
        <f>IFERROR(INDEX($K$8:$K$207,MATCH(LARGE($T$8:$T$207,ROWS($A$8:A56)),$T$8:$T$207,0)),"")</f>
        <v/>
      </c>
      <c r="B56" s="38">
        <f>IFERROR(INDEX($L$8:$L$207,MATCH(LARGE($T$8:$T$207,ROWS($A$8:A56)),$T$8:$T$207,0)),"")</f>
        <v/>
      </c>
      <c r="C56" s="39">
        <f>IFERROR(INDEX($M$8:$M$207,MATCH(LARGE($T$8:$T$207,ROWS($A$8:A56)),$T$8:$T$207,0)),"")</f>
        <v/>
      </c>
      <c r="D56" s="39">
        <f>IFERROR(INDEX($N$8:$N$207,MATCH(LARGE($T$8:$T$207,ROWS($A$8:A56)),$T$8:$T$207,0)),"")</f>
        <v/>
      </c>
      <c r="E56" s="38">
        <f>IFERROR(INDEX($O$8:$O$207,MATCH(LARGE($T$8:$T$207,ROWS($A$8:A56)),$T$8:$T$207,0)),"")</f>
        <v/>
      </c>
      <c r="F56" s="38">
        <f>IFERROR(INDEX($P$8:$P$207,MATCH(LARGE($T$8:$T$207,ROWS($A$8:A56)),$T$8:$T$207,0)),"")</f>
        <v/>
      </c>
      <c r="G56" s="39">
        <f>IFERROR(INDEX($Q$8:$Q$207,MATCH(LARGE($T$8:$T$207,ROWS($A$8:A56)),$T$8:$T$207,0)),"")</f>
        <v/>
      </c>
      <c r="H56" s="39">
        <f>IFERROR(INDEX($R$8:$R$207,MATCH(LARGE($T$8:$T$207,ROWS($A$8:A56)),$T$8:$T$207,0)),"")</f>
        <v/>
      </c>
      <c r="I56" s="39">
        <f>IFERROR(INDEX($S$8:$S$207,MATCH(LARGE($T$8:$T$207,ROWS($A$8:A56)),$T$8:$T$207,0)),"")</f>
        <v/>
      </c>
      <c r="K56">
        <f>IF(Trabajadores!B53="","",Trabajadores!B53)</f>
        <v/>
      </c>
      <c r="L56">
        <f>IF(K56="","",COUNTIFS(Detalle_Pagos!$E$5:$E$2004,K56,Detalle_Pagos!$B$5:$B$2004,"&gt;="&amp;$B$3,Detalle_Pagos!$B$5:$B$2004,"&lt;="&amp;$B$4))</f>
        <v/>
      </c>
      <c r="M56" s="43">
        <f>IF(K56="","",SUMIFS(Detalle_Pagos!$I$5:$I$2004,Detalle_Pagos!$E$5:$E$2004,K56,Detalle_Pagos!$J$5:$J$2004,"Si",Detalle_Pagos!$B$5:$B$2004,"&gt;="&amp;$B$3,Detalle_Pagos!$B$5:$B$2004,"&lt;="&amp;$B$4))</f>
        <v/>
      </c>
      <c r="N56" s="43">
        <f>IF(K56="","",SUMIFS(Detalle_Pagos!$I$5:$I$2004,Detalle_Pagos!$E$5:$E$2004,K56,Detalle_Pagos!$J$5:$J$2004,"No",Detalle_Pagos!$B$5:$B$2004,"&gt;="&amp;$B$3,Detalle_Pagos!$B$5:$B$2004,"&lt;="&amp;$B$4))</f>
        <v/>
      </c>
      <c r="O56">
        <f>IF(K56="","",COUNTIFS(Detalle_Pagos!$E$5:$E$2004,K56,Detalle_Pagos!$J$5:$J$2004,"No",Detalle_Pagos!$B$5:$B$2004,"&gt;="&amp;$B$3,Detalle_Pagos!$B$5:$B$2004,"&lt;="&amp;$B$4))</f>
        <v/>
      </c>
      <c r="P56">
        <f>IF(K56="","",COUNTIFS(Detalle_Pagos!$E$5:$E$2004,K56,Detalle_Pagos!$J$5:$J$2004,"Si",Detalle_Pagos!$B$5:$B$2004,"&gt;="&amp;$B$3,Detalle_Pagos!$B$5:$B$2004,"&lt;="&amp;$B$4))</f>
        <v/>
      </c>
      <c r="Q56" s="43">
        <f>IF(K56="","",O56*IFERROR(INDEX(Trabajadores!$D$5:$D$204,MATCH(K56,Trabajadores!$B$5:$B$204,0)),0))</f>
        <v/>
      </c>
      <c r="R56" s="43">
        <f>IF(K56="","",N56+Q56)</f>
        <v/>
      </c>
      <c r="S56" s="43">
        <f>IF(K56="","",M56+N56)</f>
        <v/>
      </c>
      <c r="T56">
        <f>IF(K56="","",S56+R56/100000+L56/100000000+(100000-ROW())/1000000000)</f>
        <v/>
      </c>
    </row>
    <row r="57">
      <c r="A57" s="36">
        <f>IFERROR(INDEX($K$8:$K$207,MATCH(LARGE($T$8:$T$207,ROWS($A$8:A57)),$T$8:$T$207,0)),"")</f>
        <v/>
      </c>
      <c r="B57" s="36">
        <f>IFERROR(INDEX($L$8:$L$207,MATCH(LARGE($T$8:$T$207,ROWS($A$8:A57)),$T$8:$T$207,0)),"")</f>
        <v/>
      </c>
      <c r="C57" s="37">
        <f>IFERROR(INDEX($M$8:$M$207,MATCH(LARGE($T$8:$T$207,ROWS($A$8:A57)),$T$8:$T$207,0)),"")</f>
        <v/>
      </c>
      <c r="D57" s="37">
        <f>IFERROR(INDEX($N$8:$N$207,MATCH(LARGE($T$8:$T$207,ROWS($A$8:A57)),$T$8:$T$207,0)),"")</f>
        <v/>
      </c>
      <c r="E57" s="36">
        <f>IFERROR(INDEX($O$8:$O$207,MATCH(LARGE($T$8:$T$207,ROWS($A$8:A57)),$T$8:$T$207,0)),"")</f>
        <v/>
      </c>
      <c r="F57" s="36">
        <f>IFERROR(INDEX($P$8:$P$207,MATCH(LARGE($T$8:$T$207,ROWS($A$8:A57)),$T$8:$T$207,0)),"")</f>
        <v/>
      </c>
      <c r="G57" s="37">
        <f>IFERROR(INDEX($Q$8:$Q$207,MATCH(LARGE($T$8:$T$207,ROWS($A$8:A57)),$T$8:$T$207,0)),"")</f>
        <v/>
      </c>
      <c r="H57" s="37">
        <f>IFERROR(INDEX($R$8:$R$207,MATCH(LARGE($T$8:$T$207,ROWS($A$8:A57)),$T$8:$T$207,0)),"")</f>
        <v/>
      </c>
      <c r="I57" s="37">
        <f>IFERROR(INDEX($S$8:$S$207,MATCH(LARGE($T$8:$T$207,ROWS($A$8:A57)),$T$8:$T$207,0)),"")</f>
        <v/>
      </c>
      <c r="K57">
        <f>IF(Trabajadores!B54="","",Trabajadores!B54)</f>
        <v/>
      </c>
      <c r="L57">
        <f>IF(K57="","",COUNTIFS(Detalle_Pagos!$E$5:$E$2004,K57,Detalle_Pagos!$B$5:$B$2004,"&gt;="&amp;$B$3,Detalle_Pagos!$B$5:$B$2004,"&lt;="&amp;$B$4))</f>
        <v/>
      </c>
      <c r="M57" s="43">
        <f>IF(K57="","",SUMIFS(Detalle_Pagos!$I$5:$I$2004,Detalle_Pagos!$E$5:$E$2004,K57,Detalle_Pagos!$J$5:$J$2004,"Si",Detalle_Pagos!$B$5:$B$2004,"&gt;="&amp;$B$3,Detalle_Pagos!$B$5:$B$2004,"&lt;="&amp;$B$4))</f>
        <v/>
      </c>
      <c r="N57" s="43">
        <f>IF(K57="","",SUMIFS(Detalle_Pagos!$I$5:$I$2004,Detalle_Pagos!$E$5:$E$2004,K57,Detalle_Pagos!$J$5:$J$2004,"No",Detalle_Pagos!$B$5:$B$2004,"&gt;="&amp;$B$3,Detalle_Pagos!$B$5:$B$2004,"&lt;="&amp;$B$4))</f>
        <v/>
      </c>
      <c r="O57">
        <f>IF(K57="","",COUNTIFS(Detalle_Pagos!$E$5:$E$2004,K57,Detalle_Pagos!$J$5:$J$2004,"No",Detalle_Pagos!$B$5:$B$2004,"&gt;="&amp;$B$3,Detalle_Pagos!$B$5:$B$2004,"&lt;="&amp;$B$4))</f>
        <v/>
      </c>
      <c r="P57">
        <f>IF(K57="","",COUNTIFS(Detalle_Pagos!$E$5:$E$2004,K57,Detalle_Pagos!$J$5:$J$2004,"Si",Detalle_Pagos!$B$5:$B$2004,"&gt;="&amp;$B$3,Detalle_Pagos!$B$5:$B$2004,"&lt;="&amp;$B$4))</f>
        <v/>
      </c>
      <c r="Q57" s="43">
        <f>IF(K57="","",O57*IFERROR(INDEX(Trabajadores!$D$5:$D$204,MATCH(K57,Trabajadores!$B$5:$B$204,0)),0))</f>
        <v/>
      </c>
      <c r="R57" s="43">
        <f>IF(K57="","",N57+Q57)</f>
        <v/>
      </c>
      <c r="S57" s="43">
        <f>IF(K57="","",M57+N57)</f>
        <v/>
      </c>
      <c r="T57">
        <f>IF(K57="","",S57+R57/100000+L57/100000000+(100000-ROW())/1000000000)</f>
        <v/>
      </c>
    </row>
    <row r="58">
      <c r="A58" s="38">
        <f>IFERROR(INDEX($K$8:$K$207,MATCH(LARGE($T$8:$T$207,ROWS($A$8:A58)),$T$8:$T$207,0)),"")</f>
        <v/>
      </c>
      <c r="B58" s="38">
        <f>IFERROR(INDEX($L$8:$L$207,MATCH(LARGE($T$8:$T$207,ROWS($A$8:A58)),$T$8:$T$207,0)),"")</f>
        <v/>
      </c>
      <c r="C58" s="39">
        <f>IFERROR(INDEX($M$8:$M$207,MATCH(LARGE($T$8:$T$207,ROWS($A$8:A58)),$T$8:$T$207,0)),"")</f>
        <v/>
      </c>
      <c r="D58" s="39">
        <f>IFERROR(INDEX($N$8:$N$207,MATCH(LARGE($T$8:$T$207,ROWS($A$8:A58)),$T$8:$T$207,0)),"")</f>
        <v/>
      </c>
      <c r="E58" s="38">
        <f>IFERROR(INDEX($O$8:$O$207,MATCH(LARGE($T$8:$T$207,ROWS($A$8:A58)),$T$8:$T$207,0)),"")</f>
        <v/>
      </c>
      <c r="F58" s="38">
        <f>IFERROR(INDEX($P$8:$P$207,MATCH(LARGE($T$8:$T$207,ROWS($A$8:A58)),$T$8:$T$207,0)),"")</f>
        <v/>
      </c>
      <c r="G58" s="39">
        <f>IFERROR(INDEX($Q$8:$Q$207,MATCH(LARGE($T$8:$T$207,ROWS($A$8:A58)),$T$8:$T$207,0)),"")</f>
        <v/>
      </c>
      <c r="H58" s="39">
        <f>IFERROR(INDEX($R$8:$R$207,MATCH(LARGE($T$8:$T$207,ROWS($A$8:A58)),$T$8:$T$207,0)),"")</f>
        <v/>
      </c>
      <c r="I58" s="39">
        <f>IFERROR(INDEX($S$8:$S$207,MATCH(LARGE($T$8:$T$207,ROWS($A$8:A58)),$T$8:$T$207,0)),"")</f>
        <v/>
      </c>
      <c r="K58">
        <f>IF(Trabajadores!B55="","",Trabajadores!B55)</f>
        <v/>
      </c>
      <c r="L58">
        <f>IF(K58="","",COUNTIFS(Detalle_Pagos!$E$5:$E$2004,K58,Detalle_Pagos!$B$5:$B$2004,"&gt;="&amp;$B$3,Detalle_Pagos!$B$5:$B$2004,"&lt;="&amp;$B$4))</f>
        <v/>
      </c>
      <c r="M58" s="43">
        <f>IF(K58="","",SUMIFS(Detalle_Pagos!$I$5:$I$2004,Detalle_Pagos!$E$5:$E$2004,K58,Detalle_Pagos!$J$5:$J$2004,"Si",Detalle_Pagos!$B$5:$B$2004,"&gt;="&amp;$B$3,Detalle_Pagos!$B$5:$B$2004,"&lt;="&amp;$B$4))</f>
        <v/>
      </c>
      <c r="N58" s="43">
        <f>IF(K58="","",SUMIFS(Detalle_Pagos!$I$5:$I$2004,Detalle_Pagos!$E$5:$E$2004,K58,Detalle_Pagos!$J$5:$J$2004,"No",Detalle_Pagos!$B$5:$B$2004,"&gt;="&amp;$B$3,Detalle_Pagos!$B$5:$B$2004,"&lt;="&amp;$B$4))</f>
        <v/>
      </c>
      <c r="O58">
        <f>IF(K58="","",COUNTIFS(Detalle_Pagos!$E$5:$E$2004,K58,Detalle_Pagos!$J$5:$J$2004,"No",Detalle_Pagos!$B$5:$B$2004,"&gt;="&amp;$B$3,Detalle_Pagos!$B$5:$B$2004,"&lt;="&amp;$B$4))</f>
        <v/>
      </c>
      <c r="P58">
        <f>IF(K58="","",COUNTIFS(Detalle_Pagos!$E$5:$E$2004,K58,Detalle_Pagos!$J$5:$J$2004,"Si",Detalle_Pagos!$B$5:$B$2004,"&gt;="&amp;$B$3,Detalle_Pagos!$B$5:$B$2004,"&lt;="&amp;$B$4))</f>
        <v/>
      </c>
      <c r="Q58" s="43">
        <f>IF(K58="","",O58*IFERROR(INDEX(Trabajadores!$D$5:$D$204,MATCH(K58,Trabajadores!$B$5:$B$204,0)),0))</f>
        <v/>
      </c>
      <c r="R58" s="43">
        <f>IF(K58="","",N58+Q58)</f>
        <v/>
      </c>
      <c r="S58" s="43">
        <f>IF(K58="","",M58+N58)</f>
        <v/>
      </c>
      <c r="T58">
        <f>IF(K58="","",S58+R58/100000+L58/100000000+(100000-ROW())/1000000000)</f>
        <v/>
      </c>
    </row>
    <row r="59">
      <c r="A59" s="36">
        <f>IFERROR(INDEX($K$8:$K$207,MATCH(LARGE($T$8:$T$207,ROWS($A$8:A59)),$T$8:$T$207,0)),"")</f>
        <v/>
      </c>
      <c r="B59" s="36">
        <f>IFERROR(INDEX($L$8:$L$207,MATCH(LARGE($T$8:$T$207,ROWS($A$8:A59)),$T$8:$T$207,0)),"")</f>
        <v/>
      </c>
      <c r="C59" s="37">
        <f>IFERROR(INDEX($M$8:$M$207,MATCH(LARGE($T$8:$T$207,ROWS($A$8:A59)),$T$8:$T$207,0)),"")</f>
        <v/>
      </c>
      <c r="D59" s="37">
        <f>IFERROR(INDEX($N$8:$N$207,MATCH(LARGE($T$8:$T$207,ROWS($A$8:A59)),$T$8:$T$207,0)),"")</f>
        <v/>
      </c>
      <c r="E59" s="36">
        <f>IFERROR(INDEX($O$8:$O$207,MATCH(LARGE($T$8:$T$207,ROWS($A$8:A59)),$T$8:$T$207,0)),"")</f>
        <v/>
      </c>
      <c r="F59" s="36">
        <f>IFERROR(INDEX($P$8:$P$207,MATCH(LARGE($T$8:$T$207,ROWS($A$8:A59)),$T$8:$T$207,0)),"")</f>
        <v/>
      </c>
      <c r="G59" s="37">
        <f>IFERROR(INDEX($Q$8:$Q$207,MATCH(LARGE($T$8:$T$207,ROWS($A$8:A59)),$T$8:$T$207,0)),"")</f>
        <v/>
      </c>
      <c r="H59" s="37">
        <f>IFERROR(INDEX($R$8:$R$207,MATCH(LARGE($T$8:$T$207,ROWS($A$8:A59)),$T$8:$T$207,0)),"")</f>
        <v/>
      </c>
      <c r="I59" s="37">
        <f>IFERROR(INDEX($S$8:$S$207,MATCH(LARGE($T$8:$T$207,ROWS($A$8:A59)),$T$8:$T$207,0)),"")</f>
        <v/>
      </c>
      <c r="K59">
        <f>IF(Trabajadores!B56="","",Trabajadores!B56)</f>
        <v/>
      </c>
      <c r="L59">
        <f>IF(K59="","",COUNTIFS(Detalle_Pagos!$E$5:$E$2004,K59,Detalle_Pagos!$B$5:$B$2004,"&gt;="&amp;$B$3,Detalle_Pagos!$B$5:$B$2004,"&lt;="&amp;$B$4))</f>
        <v/>
      </c>
      <c r="M59" s="43">
        <f>IF(K59="","",SUMIFS(Detalle_Pagos!$I$5:$I$2004,Detalle_Pagos!$E$5:$E$2004,K59,Detalle_Pagos!$J$5:$J$2004,"Si",Detalle_Pagos!$B$5:$B$2004,"&gt;="&amp;$B$3,Detalle_Pagos!$B$5:$B$2004,"&lt;="&amp;$B$4))</f>
        <v/>
      </c>
      <c r="N59" s="43">
        <f>IF(K59="","",SUMIFS(Detalle_Pagos!$I$5:$I$2004,Detalle_Pagos!$E$5:$E$2004,K59,Detalle_Pagos!$J$5:$J$2004,"No",Detalle_Pagos!$B$5:$B$2004,"&gt;="&amp;$B$3,Detalle_Pagos!$B$5:$B$2004,"&lt;="&amp;$B$4))</f>
        <v/>
      </c>
      <c r="O59">
        <f>IF(K59="","",COUNTIFS(Detalle_Pagos!$E$5:$E$2004,K59,Detalle_Pagos!$J$5:$J$2004,"No",Detalle_Pagos!$B$5:$B$2004,"&gt;="&amp;$B$3,Detalle_Pagos!$B$5:$B$2004,"&lt;="&amp;$B$4))</f>
        <v/>
      </c>
      <c r="P59">
        <f>IF(K59="","",COUNTIFS(Detalle_Pagos!$E$5:$E$2004,K59,Detalle_Pagos!$J$5:$J$2004,"Si",Detalle_Pagos!$B$5:$B$2004,"&gt;="&amp;$B$3,Detalle_Pagos!$B$5:$B$2004,"&lt;="&amp;$B$4))</f>
        <v/>
      </c>
      <c r="Q59" s="43">
        <f>IF(K59="","",O59*IFERROR(INDEX(Trabajadores!$D$5:$D$204,MATCH(K59,Trabajadores!$B$5:$B$204,0)),0))</f>
        <v/>
      </c>
      <c r="R59" s="43">
        <f>IF(K59="","",N59+Q59)</f>
        <v/>
      </c>
      <c r="S59" s="43">
        <f>IF(K59="","",M59+N59)</f>
        <v/>
      </c>
      <c r="T59">
        <f>IF(K59="","",S59+R59/100000+L59/100000000+(100000-ROW())/1000000000)</f>
        <v/>
      </c>
    </row>
    <row r="60">
      <c r="A60" s="38">
        <f>IFERROR(INDEX($K$8:$K$207,MATCH(LARGE($T$8:$T$207,ROWS($A$8:A60)),$T$8:$T$207,0)),"")</f>
        <v/>
      </c>
      <c r="B60" s="38">
        <f>IFERROR(INDEX($L$8:$L$207,MATCH(LARGE($T$8:$T$207,ROWS($A$8:A60)),$T$8:$T$207,0)),"")</f>
        <v/>
      </c>
      <c r="C60" s="39">
        <f>IFERROR(INDEX($M$8:$M$207,MATCH(LARGE($T$8:$T$207,ROWS($A$8:A60)),$T$8:$T$207,0)),"")</f>
        <v/>
      </c>
      <c r="D60" s="39">
        <f>IFERROR(INDEX($N$8:$N$207,MATCH(LARGE($T$8:$T$207,ROWS($A$8:A60)),$T$8:$T$207,0)),"")</f>
        <v/>
      </c>
      <c r="E60" s="38">
        <f>IFERROR(INDEX($O$8:$O$207,MATCH(LARGE($T$8:$T$207,ROWS($A$8:A60)),$T$8:$T$207,0)),"")</f>
        <v/>
      </c>
      <c r="F60" s="38">
        <f>IFERROR(INDEX($P$8:$P$207,MATCH(LARGE($T$8:$T$207,ROWS($A$8:A60)),$T$8:$T$207,0)),"")</f>
        <v/>
      </c>
      <c r="G60" s="39">
        <f>IFERROR(INDEX($Q$8:$Q$207,MATCH(LARGE($T$8:$T$207,ROWS($A$8:A60)),$T$8:$T$207,0)),"")</f>
        <v/>
      </c>
      <c r="H60" s="39">
        <f>IFERROR(INDEX($R$8:$R$207,MATCH(LARGE($T$8:$T$207,ROWS($A$8:A60)),$T$8:$T$207,0)),"")</f>
        <v/>
      </c>
      <c r="I60" s="39">
        <f>IFERROR(INDEX($S$8:$S$207,MATCH(LARGE($T$8:$T$207,ROWS($A$8:A60)),$T$8:$T$207,0)),"")</f>
        <v/>
      </c>
      <c r="K60">
        <f>IF(Trabajadores!B57="","",Trabajadores!B57)</f>
        <v/>
      </c>
      <c r="L60">
        <f>IF(K60="","",COUNTIFS(Detalle_Pagos!$E$5:$E$2004,K60,Detalle_Pagos!$B$5:$B$2004,"&gt;="&amp;$B$3,Detalle_Pagos!$B$5:$B$2004,"&lt;="&amp;$B$4))</f>
        <v/>
      </c>
      <c r="M60" s="43">
        <f>IF(K60="","",SUMIFS(Detalle_Pagos!$I$5:$I$2004,Detalle_Pagos!$E$5:$E$2004,K60,Detalle_Pagos!$J$5:$J$2004,"Si",Detalle_Pagos!$B$5:$B$2004,"&gt;="&amp;$B$3,Detalle_Pagos!$B$5:$B$2004,"&lt;="&amp;$B$4))</f>
        <v/>
      </c>
      <c r="N60" s="43">
        <f>IF(K60="","",SUMIFS(Detalle_Pagos!$I$5:$I$2004,Detalle_Pagos!$E$5:$E$2004,K60,Detalle_Pagos!$J$5:$J$2004,"No",Detalle_Pagos!$B$5:$B$2004,"&gt;="&amp;$B$3,Detalle_Pagos!$B$5:$B$2004,"&lt;="&amp;$B$4))</f>
        <v/>
      </c>
      <c r="O60">
        <f>IF(K60="","",COUNTIFS(Detalle_Pagos!$E$5:$E$2004,K60,Detalle_Pagos!$J$5:$J$2004,"No",Detalle_Pagos!$B$5:$B$2004,"&gt;="&amp;$B$3,Detalle_Pagos!$B$5:$B$2004,"&lt;="&amp;$B$4))</f>
        <v/>
      </c>
      <c r="P60">
        <f>IF(K60="","",COUNTIFS(Detalle_Pagos!$E$5:$E$2004,K60,Detalle_Pagos!$J$5:$J$2004,"Si",Detalle_Pagos!$B$5:$B$2004,"&gt;="&amp;$B$3,Detalle_Pagos!$B$5:$B$2004,"&lt;="&amp;$B$4))</f>
        <v/>
      </c>
      <c r="Q60" s="43">
        <f>IF(K60="","",O60*IFERROR(INDEX(Trabajadores!$D$5:$D$204,MATCH(K60,Trabajadores!$B$5:$B$204,0)),0))</f>
        <v/>
      </c>
      <c r="R60" s="43">
        <f>IF(K60="","",N60+Q60)</f>
        <v/>
      </c>
      <c r="S60" s="43">
        <f>IF(K60="","",M60+N60)</f>
        <v/>
      </c>
      <c r="T60">
        <f>IF(K60="","",S60+R60/100000+L60/100000000+(100000-ROW())/1000000000)</f>
        <v/>
      </c>
    </row>
    <row r="61">
      <c r="A61" s="36">
        <f>IFERROR(INDEX($K$8:$K$207,MATCH(LARGE($T$8:$T$207,ROWS($A$8:A61)),$T$8:$T$207,0)),"")</f>
        <v/>
      </c>
      <c r="B61" s="36">
        <f>IFERROR(INDEX($L$8:$L$207,MATCH(LARGE($T$8:$T$207,ROWS($A$8:A61)),$T$8:$T$207,0)),"")</f>
        <v/>
      </c>
      <c r="C61" s="37">
        <f>IFERROR(INDEX($M$8:$M$207,MATCH(LARGE($T$8:$T$207,ROWS($A$8:A61)),$T$8:$T$207,0)),"")</f>
        <v/>
      </c>
      <c r="D61" s="37">
        <f>IFERROR(INDEX($N$8:$N$207,MATCH(LARGE($T$8:$T$207,ROWS($A$8:A61)),$T$8:$T$207,0)),"")</f>
        <v/>
      </c>
      <c r="E61" s="36">
        <f>IFERROR(INDEX($O$8:$O$207,MATCH(LARGE($T$8:$T$207,ROWS($A$8:A61)),$T$8:$T$207,0)),"")</f>
        <v/>
      </c>
      <c r="F61" s="36">
        <f>IFERROR(INDEX($P$8:$P$207,MATCH(LARGE($T$8:$T$207,ROWS($A$8:A61)),$T$8:$T$207,0)),"")</f>
        <v/>
      </c>
      <c r="G61" s="37">
        <f>IFERROR(INDEX($Q$8:$Q$207,MATCH(LARGE($T$8:$T$207,ROWS($A$8:A61)),$T$8:$T$207,0)),"")</f>
        <v/>
      </c>
      <c r="H61" s="37">
        <f>IFERROR(INDEX($R$8:$R$207,MATCH(LARGE($T$8:$T$207,ROWS($A$8:A61)),$T$8:$T$207,0)),"")</f>
        <v/>
      </c>
      <c r="I61" s="37">
        <f>IFERROR(INDEX($S$8:$S$207,MATCH(LARGE($T$8:$T$207,ROWS($A$8:A61)),$T$8:$T$207,0)),"")</f>
        <v/>
      </c>
      <c r="K61">
        <f>IF(Trabajadores!B58="","",Trabajadores!B58)</f>
        <v/>
      </c>
      <c r="L61">
        <f>IF(K61="","",COUNTIFS(Detalle_Pagos!$E$5:$E$2004,K61,Detalle_Pagos!$B$5:$B$2004,"&gt;="&amp;$B$3,Detalle_Pagos!$B$5:$B$2004,"&lt;="&amp;$B$4))</f>
        <v/>
      </c>
      <c r="M61" s="43">
        <f>IF(K61="","",SUMIFS(Detalle_Pagos!$I$5:$I$2004,Detalle_Pagos!$E$5:$E$2004,K61,Detalle_Pagos!$J$5:$J$2004,"Si",Detalle_Pagos!$B$5:$B$2004,"&gt;="&amp;$B$3,Detalle_Pagos!$B$5:$B$2004,"&lt;="&amp;$B$4))</f>
        <v/>
      </c>
      <c r="N61" s="43">
        <f>IF(K61="","",SUMIFS(Detalle_Pagos!$I$5:$I$2004,Detalle_Pagos!$E$5:$E$2004,K61,Detalle_Pagos!$J$5:$J$2004,"No",Detalle_Pagos!$B$5:$B$2004,"&gt;="&amp;$B$3,Detalle_Pagos!$B$5:$B$2004,"&lt;="&amp;$B$4))</f>
        <v/>
      </c>
      <c r="O61">
        <f>IF(K61="","",COUNTIFS(Detalle_Pagos!$E$5:$E$2004,K61,Detalle_Pagos!$J$5:$J$2004,"No",Detalle_Pagos!$B$5:$B$2004,"&gt;="&amp;$B$3,Detalle_Pagos!$B$5:$B$2004,"&lt;="&amp;$B$4))</f>
        <v/>
      </c>
      <c r="P61">
        <f>IF(K61="","",COUNTIFS(Detalle_Pagos!$E$5:$E$2004,K61,Detalle_Pagos!$J$5:$J$2004,"Si",Detalle_Pagos!$B$5:$B$2004,"&gt;="&amp;$B$3,Detalle_Pagos!$B$5:$B$2004,"&lt;="&amp;$B$4))</f>
        <v/>
      </c>
      <c r="Q61" s="43">
        <f>IF(K61="","",O61*IFERROR(INDEX(Trabajadores!$D$5:$D$204,MATCH(K61,Trabajadores!$B$5:$B$204,0)),0))</f>
        <v/>
      </c>
      <c r="R61" s="43">
        <f>IF(K61="","",N61+Q61)</f>
        <v/>
      </c>
      <c r="S61" s="43">
        <f>IF(K61="","",M61+N61)</f>
        <v/>
      </c>
      <c r="T61">
        <f>IF(K61="","",S61+R61/100000+L61/100000000+(100000-ROW())/1000000000)</f>
        <v/>
      </c>
    </row>
    <row r="62">
      <c r="A62" s="38">
        <f>IFERROR(INDEX($K$8:$K$207,MATCH(LARGE($T$8:$T$207,ROWS($A$8:A62)),$T$8:$T$207,0)),"")</f>
        <v/>
      </c>
      <c r="B62" s="38">
        <f>IFERROR(INDEX($L$8:$L$207,MATCH(LARGE($T$8:$T$207,ROWS($A$8:A62)),$T$8:$T$207,0)),"")</f>
        <v/>
      </c>
      <c r="C62" s="39">
        <f>IFERROR(INDEX($M$8:$M$207,MATCH(LARGE($T$8:$T$207,ROWS($A$8:A62)),$T$8:$T$207,0)),"")</f>
        <v/>
      </c>
      <c r="D62" s="39">
        <f>IFERROR(INDEX($N$8:$N$207,MATCH(LARGE($T$8:$T$207,ROWS($A$8:A62)),$T$8:$T$207,0)),"")</f>
        <v/>
      </c>
      <c r="E62" s="38">
        <f>IFERROR(INDEX($O$8:$O$207,MATCH(LARGE($T$8:$T$207,ROWS($A$8:A62)),$T$8:$T$207,0)),"")</f>
        <v/>
      </c>
      <c r="F62" s="38">
        <f>IFERROR(INDEX($P$8:$P$207,MATCH(LARGE($T$8:$T$207,ROWS($A$8:A62)),$T$8:$T$207,0)),"")</f>
        <v/>
      </c>
      <c r="G62" s="39">
        <f>IFERROR(INDEX($Q$8:$Q$207,MATCH(LARGE($T$8:$T$207,ROWS($A$8:A62)),$T$8:$T$207,0)),"")</f>
        <v/>
      </c>
      <c r="H62" s="39">
        <f>IFERROR(INDEX($R$8:$R$207,MATCH(LARGE($T$8:$T$207,ROWS($A$8:A62)),$T$8:$T$207,0)),"")</f>
        <v/>
      </c>
      <c r="I62" s="39">
        <f>IFERROR(INDEX($S$8:$S$207,MATCH(LARGE($T$8:$T$207,ROWS($A$8:A62)),$T$8:$T$207,0)),"")</f>
        <v/>
      </c>
      <c r="K62">
        <f>IF(Trabajadores!B59="","",Trabajadores!B59)</f>
        <v/>
      </c>
      <c r="L62">
        <f>IF(K62="","",COUNTIFS(Detalle_Pagos!$E$5:$E$2004,K62,Detalle_Pagos!$B$5:$B$2004,"&gt;="&amp;$B$3,Detalle_Pagos!$B$5:$B$2004,"&lt;="&amp;$B$4))</f>
        <v/>
      </c>
      <c r="M62" s="43">
        <f>IF(K62="","",SUMIFS(Detalle_Pagos!$I$5:$I$2004,Detalle_Pagos!$E$5:$E$2004,K62,Detalle_Pagos!$J$5:$J$2004,"Si",Detalle_Pagos!$B$5:$B$2004,"&gt;="&amp;$B$3,Detalle_Pagos!$B$5:$B$2004,"&lt;="&amp;$B$4))</f>
        <v/>
      </c>
      <c r="N62" s="43">
        <f>IF(K62="","",SUMIFS(Detalle_Pagos!$I$5:$I$2004,Detalle_Pagos!$E$5:$E$2004,K62,Detalle_Pagos!$J$5:$J$2004,"No",Detalle_Pagos!$B$5:$B$2004,"&gt;="&amp;$B$3,Detalle_Pagos!$B$5:$B$2004,"&lt;="&amp;$B$4))</f>
        <v/>
      </c>
      <c r="O62">
        <f>IF(K62="","",COUNTIFS(Detalle_Pagos!$E$5:$E$2004,K62,Detalle_Pagos!$J$5:$J$2004,"No",Detalle_Pagos!$B$5:$B$2004,"&gt;="&amp;$B$3,Detalle_Pagos!$B$5:$B$2004,"&lt;="&amp;$B$4))</f>
        <v/>
      </c>
      <c r="P62">
        <f>IF(K62="","",COUNTIFS(Detalle_Pagos!$E$5:$E$2004,K62,Detalle_Pagos!$J$5:$J$2004,"Si",Detalle_Pagos!$B$5:$B$2004,"&gt;="&amp;$B$3,Detalle_Pagos!$B$5:$B$2004,"&lt;="&amp;$B$4))</f>
        <v/>
      </c>
      <c r="Q62" s="43">
        <f>IF(K62="","",O62*IFERROR(INDEX(Trabajadores!$D$5:$D$204,MATCH(K62,Trabajadores!$B$5:$B$204,0)),0))</f>
        <v/>
      </c>
      <c r="R62" s="43">
        <f>IF(K62="","",N62+Q62)</f>
        <v/>
      </c>
      <c r="S62" s="43">
        <f>IF(K62="","",M62+N62)</f>
        <v/>
      </c>
      <c r="T62">
        <f>IF(K62="","",S62+R62/100000+L62/100000000+(100000-ROW())/1000000000)</f>
        <v/>
      </c>
    </row>
    <row r="63">
      <c r="A63" s="36">
        <f>IFERROR(INDEX($K$8:$K$207,MATCH(LARGE($T$8:$T$207,ROWS($A$8:A63)),$T$8:$T$207,0)),"")</f>
        <v/>
      </c>
      <c r="B63" s="36">
        <f>IFERROR(INDEX($L$8:$L$207,MATCH(LARGE($T$8:$T$207,ROWS($A$8:A63)),$T$8:$T$207,0)),"")</f>
        <v/>
      </c>
      <c r="C63" s="37">
        <f>IFERROR(INDEX($M$8:$M$207,MATCH(LARGE($T$8:$T$207,ROWS($A$8:A63)),$T$8:$T$207,0)),"")</f>
        <v/>
      </c>
      <c r="D63" s="37">
        <f>IFERROR(INDEX($N$8:$N$207,MATCH(LARGE($T$8:$T$207,ROWS($A$8:A63)),$T$8:$T$207,0)),"")</f>
        <v/>
      </c>
      <c r="E63" s="36">
        <f>IFERROR(INDEX($O$8:$O$207,MATCH(LARGE($T$8:$T$207,ROWS($A$8:A63)),$T$8:$T$207,0)),"")</f>
        <v/>
      </c>
      <c r="F63" s="36">
        <f>IFERROR(INDEX($P$8:$P$207,MATCH(LARGE($T$8:$T$207,ROWS($A$8:A63)),$T$8:$T$207,0)),"")</f>
        <v/>
      </c>
      <c r="G63" s="37">
        <f>IFERROR(INDEX($Q$8:$Q$207,MATCH(LARGE($T$8:$T$207,ROWS($A$8:A63)),$T$8:$T$207,0)),"")</f>
        <v/>
      </c>
      <c r="H63" s="37">
        <f>IFERROR(INDEX($R$8:$R$207,MATCH(LARGE($T$8:$T$207,ROWS($A$8:A63)),$T$8:$T$207,0)),"")</f>
        <v/>
      </c>
      <c r="I63" s="37">
        <f>IFERROR(INDEX($S$8:$S$207,MATCH(LARGE($T$8:$T$207,ROWS($A$8:A63)),$T$8:$T$207,0)),"")</f>
        <v/>
      </c>
      <c r="K63">
        <f>IF(Trabajadores!B60="","",Trabajadores!B60)</f>
        <v/>
      </c>
      <c r="L63">
        <f>IF(K63="","",COUNTIFS(Detalle_Pagos!$E$5:$E$2004,K63,Detalle_Pagos!$B$5:$B$2004,"&gt;="&amp;$B$3,Detalle_Pagos!$B$5:$B$2004,"&lt;="&amp;$B$4))</f>
        <v/>
      </c>
      <c r="M63" s="43">
        <f>IF(K63="","",SUMIFS(Detalle_Pagos!$I$5:$I$2004,Detalle_Pagos!$E$5:$E$2004,K63,Detalle_Pagos!$J$5:$J$2004,"Si",Detalle_Pagos!$B$5:$B$2004,"&gt;="&amp;$B$3,Detalle_Pagos!$B$5:$B$2004,"&lt;="&amp;$B$4))</f>
        <v/>
      </c>
      <c r="N63" s="43">
        <f>IF(K63="","",SUMIFS(Detalle_Pagos!$I$5:$I$2004,Detalle_Pagos!$E$5:$E$2004,K63,Detalle_Pagos!$J$5:$J$2004,"No",Detalle_Pagos!$B$5:$B$2004,"&gt;="&amp;$B$3,Detalle_Pagos!$B$5:$B$2004,"&lt;="&amp;$B$4))</f>
        <v/>
      </c>
      <c r="O63">
        <f>IF(K63="","",COUNTIFS(Detalle_Pagos!$E$5:$E$2004,K63,Detalle_Pagos!$J$5:$J$2004,"No",Detalle_Pagos!$B$5:$B$2004,"&gt;="&amp;$B$3,Detalle_Pagos!$B$5:$B$2004,"&lt;="&amp;$B$4))</f>
        <v/>
      </c>
      <c r="P63">
        <f>IF(K63="","",COUNTIFS(Detalle_Pagos!$E$5:$E$2004,K63,Detalle_Pagos!$J$5:$J$2004,"Si",Detalle_Pagos!$B$5:$B$2004,"&gt;="&amp;$B$3,Detalle_Pagos!$B$5:$B$2004,"&lt;="&amp;$B$4))</f>
        <v/>
      </c>
      <c r="Q63" s="43">
        <f>IF(K63="","",O63*IFERROR(INDEX(Trabajadores!$D$5:$D$204,MATCH(K63,Trabajadores!$B$5:$B$204,0)),0))</f>
        <v/>
      </c>
      <c r="R63" s="43">
        <f>IF(K63="","",N63+Q63)</f>
        <v/>
      </c>
      <c r="S63" s="43">
        <f>IF(K63="","",M63+N63)</f>
        <v/>
      </c>
      <c r="T63">
        <f>IF(K63="","",S63+R63/100000+L63/100000000+(100000-ROW())/1000000000)</f>
        <v/>
      </c>
    </row>
    <row r="64">
      <c r="A64" s="38">
        <f>IFERROR(INDEX($K$8:$K$207,MATCH(LARGE($T$8:$T$207,ROWS($A$8:A64)),$T$8:$T$207,0)),"")</f>
        <v/>
      </c>
      <c r="B64" s="38">
        <f>IFERROR(INDEX($L$8:$L$207,MATCH(LARGE($T$8:$T$207,ROWS($A$8:A64)),$T$8:$T$207,0)),"")</f>
        <v/>
      </c>
      <c r="C64" s="39">
        <f>IFERROR(INDEX($M$8:$M$207,MATCH(LARGE($T$8:$T$207,ROWS($A$8:A64)),$T$8:$T$207,0)),"")</f>
        <v/>
      </c>
      <c r="D64" s="39">
        <f>IFERROR(INDEX($N$8:$N$207,MATCH(LARGE($T$8:$T$207,ROWS($A$8:A64)),$T$8:$T$207,0)),"")</f>
        <v/>
      </c>
      <c r="E64" s="38">
        <f>IFERROR(INDEX($O$8:$O$207,MATCH(LARGE($T$8:$T$207,ROWS($A$8:A64)),$T$8:$T$207,0)),"")</f>
        <v/>
      </c>
      <c r="F64" s="38">
        <f>IFERROR(INDEX($P$8:$P$207,MATCH(LARGE($T$8:$T$207,ROWS($A$8:A64)),$T$8:$T$207,0)),"")</f>
        <v/>
      </c>
      <c r="G64" s="39">
        <f>IFERROR(INDEX($Q$8:$Q$207,MATCH(LARGE($T$8:$T$207,ROWS($A$8:A64)),$T$8:$T$207,0)),"")</f>
        <v/>
      </c>
      <c r="H64" s="39">
        <f>IFERROR(INDEX($R$8:$R$207,MATCH(LARGE($T$8:$T$207,ROWS($A$8:A64)),$T$8:$T$207,0)),"")</f>
        <v/>
      </c>
      <c r="I64" s="39">
        <f>IFERROR(INDEX($S$8:$S$207,MATCH(LARGE($T$8:$T$207,ROWS($A$8:A64)),$T$8:$T$207,0)),"")</f>
        <v/>
      </c>
      <c r="K64">
        <f>IF(Trabajadores!B61="","",Trabajadores!B61)</f>
        <v/>
      </c>
      <c r="L64">
        <f>IF(K64="","",COUNTIFS(Detalle_Pagos!$E$5:$E$2004,K64,Detalle_Pagos!$B$5:$B$2004,"&gt;="&amp;$B$3,Detalle_Pagos!$B$5:$B$2004,"&lt;="&amp;$B$4))</f>
        <v/>
      </c>
      <c r="M64" s="43">
        <f>IF(K64="","",SUMIFS(Detalle_Pagos!$I$5:$I$2004,Detalle_Pagos!$E$5:$E$2004,K64,Detalle_Pagos!$J$5:$J$2004,"Si",Detalle_Pagos!$B$5:$B$2004,"&gt;="&amp;$B$3,Detalle_Pagos!$B$5:$B$2004,"&lt;="&amp;$B$4))</f>
        <v/>
      </c>
      <c r="N64" s="43">
        <f>IF(K64="","",SUMIFS(Detalle_Pagos!$I$5:$I$2004,Detalle_Pagos!$E$5:$E$2004,K64,Detalle_Pagos!$J$5:$J$2004,"No",Detalle_Pagos!$B$5:$B$2004,"&gt;="&amp;$B$3,Detalle_Pagos!$B$5:$B$2004,"&lt;="&amp;$B$4))</f>
        <v/>
      </c>
      <c r="O64">
        <f>IF(K64="","",COUNTIFS(Detalle_Pagos!$E$5:$E$2004,K64,Detalle_Pagos!$J$5:$J$2004,"No",Detalle_Pagos!$B$5:$B$2004,"&gt;="&amp;$B$3,Detalle_Pagos!$B$5:$B$2004,"&lt;="&amp;$B$4))</f>
        <v/>
      </c>
      <c r="P64">
        <f>IF(K64="","",COUNTIFS(Detalle_Pagos!$E$5:$E$2004,K64,Detalle_Pagos!$J$5:$J$2004,"Si",Detalle_Pagos!$B$5:$B$2004,"&gt;="&amp;$B$3,Detalle_Pagos!$B$5:$B$2004,"&lt;="&amp;$B$4))</f>
        <v/>
      </c>
      <c r="Q64" s="43">
        <f>IF(K64="","",O64*IFERROR(INDEX(Trabajadores!$D$5:$D$204,MATCH(K64,Trabajadores!$B$5:$B$204,0)),0))</f>
        <v/>
      </c>
      <c r="R64" s="43">
        <f>IF(K64="","",N64+Q64)</f>
        <v/>
      </c>
      <c r="S64" s="43">
        <f>IF(K64="","",M64+N64)</f>
        <v/>
      </c>
      <c r="T64">
        <f>IF(K64="","",S64+R64/100000+L64/100000000+(100000-ROW())/1000000000)</f>
        <v/>
      </c>
    </row>
    <row r="65">
      <c r="A65" s="36">
        <f>IFERROR(INDEX($K$8:$K$207,MATCH(LARGE($T$8:$T$207,ROWS($A$8:A65)),$T$8:$T$207,0)),"")</f>
        <v/>
      </c>
      <c r="B65" s="36">
        <f>IFERROR(INDEX($L$8:$L$207,MATCH(LARGE($T$8:$T$207,ROWS($A$8:A65)),$T$8:$T$207,0)),"")</f>
        <v/>
      </c>
      <c r="C65" s="37">
        <f>IFERROR(INDEX($M$8:$M$207,MATCH(LARGE($T$8:$T$207,ROWS($A$8:A65)),$T$8:$T$207,0)),"")</f>
        <v/>
      </c>
      <c r="D65" s="37">
        <f>IFERROR(INDEX($N$8:$N$207,MATCH(LARGE($T$8:$T$207,ROWS($A$8:A65)),$T$8:$T$207,0)),"")</f>
        <v/>
      </c>
      <c r="E65" s="36">
        <f>IFERROR(INDEX($O$8:$O$207,MATCH(LARGE($T$8:$T$207,ROWS($A$8:A65)),$T$8:$T$207,0)),"")</f>
        <v/>
      </c>
      <c r="F65" s="36">
        <f>IFERROR(INDEX($P$8:$P$207,MATCH(LARGE($T$8:$T$207,ROWS($A$8:A65)),$T$8:$T$207,0)),"")</f>
        <v/>
      </c>
      <c r="G65" s="37">
        <f>IFERROR(INDEX($Q$8:$Q$207,MATCH(LARGE($T$8:$T$207,ROWS($A$8:A65)),$T$8:$T$207,0)),"")</f>
        <v/>
      </c>
      <c r="H65" s="37">
        <f>IFERROR(INDEX($R$8:$R$207,MATCH(LARGE($T$8:$T$207,ROWS($A$8:A65)),$T$8:$T$207,0)),"")</f>
        <v/>
      </c>
      <c r="I65" s="37">
        <f>IFERROR(INDEX($S$8:$S$207,MATCH(LARGE($T$8:$T$207,ROWS($A$8:A65)),$T$8:$T$207,0)),"")</f>
        <v/>
      </c>
      <c r="K65">
        <f>IF(Trabajadores!B62="","",Trabajadores!B62)</f>
        <v/>
      </c>
      <c r="L65">
        <f>IF(K65="","",COUNTIFS(Detalle_Pagos!$E$5:$E$2004,K65,Detalle_Pagos!$B$5:$B$2004,"&gt;="&amp;$B$3,Detalle_Pagos!$B$5:$B$2004,"&lt;="&amp;$B$4))</f>
        <v/>
      </c>
      <c r="M65" s="43">
        <f>IF(K65="","",SUMIFS(Detalle_Pagos!$I$5:$I$2004,Detalle_Pagos!$E$5:$E$2004,K65,Detalle_Pagos!$J$5:$J$2004,"Si",Detalle_Pagos!$B$5:$B$2004,"&gt;="&amp;$B$3,Detalle_Pagos!$B$5:$B$2004,"&lt;="&amp;$B$4))</f>
        <v/>
      </c>
      <c r="N65" s="43">
        <f>IF(K65="","",SUMIFS(Detalle_Pagos!$I$5:$I$2004,Detalle_Pagos!$E$5:$E$2004,K65,Detalle_Pagos!$J$5:$J$2004,"No",Detalle_Pagos!$B$5:$B$2004,"&gt;="&amp;$B$3,Detalle_Pagos!$B$5:$B$2004,"&lt;="&amp;$B$4))</f>
        <v/>
      </c>
      <c r="O65">
        <f>IF(K65="","",COUNTIFS(Detalle_Pagos!$E$5:$E$2004,K65,Detalle_Pagos!$J$5:$J$2004,"No",Detalle_Pagos!$B$5:$B$2004,"&gt;="&amp;$B$3,Detalle_Pagos!$B$5:$B$2004,"&lt;="&amp;$B$4))</f>
        <v/>
      </c>
      <c r="P65">
        <f>IF(K65="","",COUNTIFS(Detalle_Pagos!$E$5:$E$2004,K65,Detalle_Pagos!$J$5:$J$2004,"Si",Detalle_Pagos!$B$5:$B$2004,"&gt;="&amp;$B$3,Detalle_Pagos!$B$5:$B$2004,"&lt;="&amp;$B$4))</f>
        <v/>
      </c>
      <c r="Q65" s="43">
        <f>IF(K65="","",O65*IFERROR(INDEX(Trabajadores!$D$5:$D$204,MATCH(K65,Trabajadores!$B$5:$B$204,0)),0))</f>
        <v/>
      </c>
      <c r="R65" s="43">
        <f>IF(K65="","",N65+Q65)</f>
        <v/>
      </c>
      <c r="S65" s="43">
        <f>IF(K65="","",M65+N65)</f>
        <v/>
      </c>
      <c r="T65">
        <f>IF(K65="","",S65+R65/100000+L65/100000000+(100000-ROW())/1000000000)</f>
        <v/>
      </c>
    </row>
    <row r="66">
      <c r="A66" s="38">
        <f>IFERROR(INDEX($K$8:$K$207,MATCH(LARGE($T$8:$T$207,ROWS($A$8:A66)),$T$8:$T$207,0)),"")</f>
        <v/>
      </c>
      <c r="B66" s="38">
        <f>IFERROR(INDEX($L$8:$L$207,MATCH(LARGE($T$8:$T$207,ROWS($A$8:A66)),$T$8:$T$207,0)),"")</f>
        <v/>
      </c>
      <c r="C66" s="39">
        <f>IFERROR(INDEX($M$8:$M$207,MATCH(LARGE($T$8:$T$207,ROWS($A$8:A66)),$T$8:$T$207,0)),"")</f>
        <v/>
      </c>
      <c r="D66" s="39">
        <f>IFERROR(INDEX($N$8:$N$207,MATCH(LARGE($T$8:$T$207,ROWS($A$8:A66)),$T$8:$T$207,0)),"")</f>
        <v/>
      </c>
      <c r="E66" s="38">
        <f>IFERROR(INDEX($O$8:$O$207,MATCH(LARGE($T$8:$T$207,ROWS($A$8:A66)),$T$8:$T$207,0)),"")</f>
        <v/>
      </c>
      <c r="F66" s="38">
        <f>IFERROR(INDEX($P$8:$P$207,MATCH(LARGE($T$8:$T$207,ROWS($A$8:A66)),$T$8:$T$207,0)),"")</f>
        <v/>
      </c>
      <c r="G66" s="39">
        <f>IFERROR(INDEX($Q$8:$Q$207,MATCH(LARGE($T$8:$T$207,ROWS($A$8:A66)),$T$8:$T$207,0)),"")</f>
        <v/>
      </c>
      <c r="H66" s="39">
        <f>IFERROR(INDEX($R$8:$R$207,MATCH(LARGE($T$8:$T$207,ROWS($A$8:A66)),$T$8:$T$207,0)),"")</f>
        <v/>
      </c>
      <c r="I66" s="39">
        <f>IFERROR(INDEX($S$8:$S$207,MATCH(LARGE($T$8:$T$207,ROWS($A$8:A66)),$T$8:$T$207,0)),"")</f>
        <v/>
      </c>
      <c r="K66">
        <f>IF(Trabajadores!B63="","",Trabajadores!B63)</f>
        <v/>
      </c>
      <c r="L66">
        <f>IF(K66="","",COUNTIFS(Detalle_Pagos!$E$5:$E$2004,K66,Detalle_Pagos!$B$5:$B$2004,"&gt;="&amp;$B$3,Detalle_Pagos!$B$5:$B$2004,"&lt;="&amp;$B$4))</f>
        <v/>
      </c>
      <c r="M66" s="43">
        <f>IF(K66="","",SUMIFS(Detalle_Pagos!$I$5:$I$2004,Detalle_Pagos!$E$5:$E$2004,K66,Detalle_Pagos!$J$5:$J$2004,"Si",Detalle_Pagos!$B$5:$B$2004,"&gt;="&amp;$B$3,Detalle_Pagos!$B$5:$B$2004,"&lt;="&amp;$B$4))</f>
        <v/>
      </c>
      <c r="N66" s="43">
        <f>IF(K66="","",SUMIFS(Detalle_Pagos!$I$5:$I$2004,Detalle_Pagos!$E$5:$E$2004,K66,Detalle_Pagos!$J$5:$J$2004,"No",Detalle_Pagos!$B$5:$B$2004,"&gt;="&amp;$B$3,Detalle_Pagos!$B$5:$B$2004,"&lt;="&amp;$B$4))</f>
        <v/>
      </c>
      <c r="O66">
        <f>IF(K66="","",COUNTIFS(Detalle_Pagos!$E$5:$E$2004,K66,Detalle_Pagos!$J$5:$J$2004,"No",Detalle_Pagos!$B$5:$B$2004,"&gt;="&amp;$B$3,Detalle_Pagos!$B$5:$B$2004,"&lt;="&amp;$B$4))</f>
        <v/>
      </c>
      <c r="P66">
        <f>IF(K66="","",COUNTIFS(Detalle_Pagos!$E$5:$E$2004,K66,Detalle_Pagos!$J$5:$J$2004,"Si",Detalle_Pagos!$B$5:$B$2004,"&gt;="&amp;$B$3,Detalle_Pagos!$B$5:$B$2004,"&lt;="&amp;$B$4))</f>
        <v/>
      </c>
      <c r="Q66" s="43">
        <f>IF(K66="","",O66*IFERROR(INDEX(Trabajadores!$D$5:$D$204,MATCH(K66,Trabajadores!$B$5:$B$204,0)),0))</f>
        <v/>
      </c>
      <c r="R66" s="43">
        <f>IF(K66="","",N66+Q66)</f>
        <v/>
      </c>
      <c r="S66" s="43">
        <f>IF(K66="","",M66+N66)</f>
        <v/>
      </c>
      <c r="T66">
        <f>IF(K66="","",S66+R66/100000+L66/100000000+(100000-ROW())/1000000000)</f>
        <v/>
      </c>
    </row>
    <row r="67">
      <c r="A67" s="36">
        <f>IFERROR(INDEX($K$8:$K$207,MATCH(LARGE($T$8:$T$207,ROWS($A$8:A67)),$T$8:$T$207,0)),"")</f>
        <v/>
      </c>
      <c r="B67" s="36">
        <f>IFERROR(INDEX($L$8:$L$207,MATCH(LARGE($T$8:$T$207,ROWS($A$8:A67)),$T$8:$T$207,0)),"")</f>
        <v/>
      </c>
      <c r="C67" s="37">
        <f>IFERROR(INDEX($M$8:$M$207,MATCH(LARGE($T$8:$T$207,ROWS($A$8:A67)),$T$8:$T$207,0)),"")</f>
        <v/>
      </c>
      <c r="D67" s="37">
        <f>IFERROR(INDEX($N$8:$N$207,MATCH(LARGE($T$8:$T$207,ROWS($A$8:A67)),$T$8:$T$207,0)),"")</f>
        <v/>
      </c>
      <c r="E67" s="36">
        <f>IFERROR(INDEX($O$8:$O$207,MATCH(LARGE($T$8:$T$207,ROWS($A$8:A67)),$T$8:$T$207,0)),"")</f>
        <v/>
      </c>
      <c r="F67" s="36">
        <f>IFERROR(INDEX($P$8:$P$207,MATCH(LARGE($T$8:$T$207,ROWS($A$8:A67)),$T$8:$T$207,0)),"")</f>
        <v/>
      </c>
      <c r="G67" s="37">
        <f>IFERROR(INDEX($Q$8:$Q$207,MATCH(LARGE($T$8:$T$207,ROWS($A$8:A67)),$T$8:$T$207,0)),"")</f>
        <v/>
      </c>
      <c r="H67" s="37">
        <f>IFERROR(INDEX($R$8:$R$207,MATCH(LARGE($T$8:$T$207,ROWS($A$8:A67)),$T$8:$T$207,0)),"")</f>
        <v/>
      </c>
      <c r="I67" s="37">
        <f>IFERROR(INDEX($S$8:$S$207,MATCH(LARGE($T$8:$T$207,ROWS($A$8:A67)),$T$8:$T$207,0)),"")</f>
        <v/>
      </c>
      <c r="K67">
        <f>IF(Trabajadores!B64="","",Trabajadores!B64)</f>
        <v/>
      </c>
      <c r="L67">
        <f>IF(K67="","",COUNTIFS(Detalle_Pagos!$E$5:$E$2004,K67,Detalle_Pagos!$B$5:$B$2004,"&gt;="&amp;$B$3,Detalle_Pagos!$B$5:$B$2004,"&lt;="&amp;$B$4))</f>
        <v/>
      </c>
      <c r="M67" s="43">
        <f>IF(K67="","",SUMIFS(Detalle_Pagos!$I$5:$I$2004,Detalle_Pagos!$E$5:$E$2004,K67,Detalle_Pagos!$J$5:$J$2004,"Si",Detalle_Pagos!$B$5:$B$2004,"&gt;="&amp;$B$3,Detalle_Pagos!$B$5:$B$2004,"&lt;="&amp;$B$4))</f>
        <v/>
      </c>
      <c r="N67" s="43">
        <f>IF(K67="","",SUMIFS(Detalle_Pagos!$I$5:$I$2004,Detalle_Pagos!$E$5:$E$2004,K67,Detalle_Pagos!$J$5:$J$2004,"No",Detalle_Pagos!$B$5:$B$2004,"&gt;="&amp;$B$3,Detalle_Pagos!$B$5:$B$2004,"&lt;="&amp;$B$4))</f>
        <v/>
      </c>
      <c r="O67">
        <f>IF(K67="","",COUNTIFS(Detalle_Pagos!$E$5:$E$2004,K67,Detalle_Pagos!$J$5:$J$2004,"No",Detalle_Pagos!$B$5:$B$2004,"&gt;="&amp;$B$3,Detalle_Pagos!$B$5:$B$2004,"&lt;="&amp;$B$4))</f>
        <v/>
      </c>
      <c r="P67">
        <f>IF(K67="","",COUNTIFS(Detalle_Pagos!$E$5:$E$2004,K67,Detalle_Pagos!$J$5:$J$2004,"Si",Detalle_Pagos!$B$5:$B$2004,"&gt;="&amp;$B$3,Detalle_Pagos!$B$5:$B$2004,"&lt;="&amp;$B$4))</f>
        <v/>
      </c>
      <c r="Q67" s="43">
        <f>IF(K67="","",O67*IFERROR(INDEX(Trabajadores!$D$5:$D$204,MATCH(K67,Trabajadores!$B$5:$B$204,0)),0))</f>
        <v/>
      </c>
      <c r="R67" s="43">
        <f>IF(K67="","",N67+Q67)</f>
        <v/>
      </c>
      <c r="S67" s="43">
        <f>IF(K67="","",M67+N67)</f>
        <v/>
      </c>
      <c r="T67">
        <f>IF(K67="","",S67+R67/100000+L67/100000000+(100000-ROW())/1000000000)</f>
        <v/>
      </c>
    </row>
    <row r="68">
      <c r="A68" s="38">
        <f>IFERROR(INDEX($K$8:$K$207,MATCH(LARGE($T$8:$T$207,ROWS($A$8:A68)),$T$8:$T$207,0)),"")</f>
        <v/>
      </c>
      <c r="B68" s="38">
        <f>IFERROR(INDEX($L$8:$L$207,MATCH(LARGE($T$8:$T$207,ROWS($A$8:A68)),$T$8:$T$207,0)),"")</f>
        <v/>
      </c>
      <c r="C68" s="39">
        <f>IFERROR(INDEX($M$8:$M$207,MATCH(LARGE($T$8:$T$207,ROWS($A$8:A68)),$T$8:$T$207,0)),"")</f>
        <v/>
      </c>
      <c r="D68" s="39">
        <f>IFERROR(INDEX($N$8:$N$207,MATCH(LARGE($T$8:$T$207,ROWS($A$8:A68)),$T$8:$T$207,0)),"")</f>
        <v/>
      </c>
      <c r="E68" s="38">
        <f>IFERROR(INDEX($O$8:$O$207,MATCH(LARGE($T$8:$T$207,ROWS($A$8:A68)),$T$8:$T$207,0)),"")</f>
        <v/>
      </c>
      <c r="F68" s="38">
        <f>IFERROR(INDEX($P$8:$P$207,MATCH(LARGE($T$8:$T$207,ROWS($A$8:A68)),$T$8:$T$207,0)),"")</f>
        <v/>
      </c>
      <c r="G68" s="39">
        <f>IFERROR(INDEX($Q$8:$Q$207,MATCH(LARGE($T$8:$T$207,ROWS($A$8:A68)),$T$8:$T$207,0)),"")</f>
        <v/>
      </c>
      <c r="H68" s="39">
        <f>IFERROR(INDEX($R$8:$R$207,MATCH(LARGE($T$8:$T$207,ROWS($A$8:A68)),$T$8:$T$207,0)),"")</f>
        <v/>
      </c>
      <c r="I68" s="39">
        <f>IFERROR(INDEX($S$8:$S$207,MATCH(LARGE($T$8:$T$207,ROWS($A$8:A68)),$T$8:$T$207,0)),"")</f>
        <v/>
      </c>
      <c r="K68">
        <f>IF(Trabajadores!B65="","",Trabajadores!B65)</f>
        <v/>
      </c>
      <c r="L68">
        <f>IF(K68="","",COUNTIFS(Detalle_Pagos!$E$5:$E$2004,K68,Detalle_Pagos!$B$5:$B$2004,"&gt;="&amp;$B$3,Detalle_Pagos!$B$5:$B$2004,"&lt;="&amp;$B$4))</f>
        <v/>
      </c>
      <c r="M68" s="43">
        <f>IF(K68="","",SUMIFS(Detalle_Pagos!$I$5:$I$2004,Detalle_Pagos!$E$5:$E$2004,K68,Detalle_Pagos!$J$5:$J$2004,"Si",Detalle_Pagos!$B$5:$B$2004,"&gt;="&amp;$B$3,Detalle_Pagos!$B$5:$B$2004,"&lt;="&amp;$B$4))</f>
        <v/>
      </c>
      <c r="N68" s="43">
        <f>IF(K68="","",SUMIFS(Detalle_Pagos!$I$5:$I$2004,Detalle_Pagos!$E$5:$E$2004,K68,Detalle_Pagos!$J$5:$J$2004,"No",Detalle_Pagos!$B$5:$B$2004,"&gt;="&amp;$B$3,Detalle_Pagos!$B$5:$B$2004,"&lt;="&amp;$B$4))</f>
        <v/>
      </c>
      <c r="O68">
        <f>IF(K68="","",COUNTIFS(Detalle_Pagos!$E$5:$E$2004,K68,Detalle_Pagos!$J$5:$J$2004,"No",Detalle_Pagos!$B$5:$B$2004,"&gt;="&amp;$B$3,Detalle_Pagos!$B$5:$B$2004,"&lt;="&amp;$B$4))</f>
        <v/>
      </c>
      <c r="P68">
        <f>IF(K68="","",COUNTIFS(Detalle_Pagos!$E$5:$E$2004,K68,Detalle_Pagos!$J$5:$J$2004,"Si",Detalle_Pagos!$B$5:$B$2004,"&gt;="&amp;$B$3,Detalle_Pagos!$B$5:$B$2004,"&lt;="&amp;$B$4))</f>
        <v/>
      </c>
      <c r="Q68" s="43">
        <f>IF(K68="","",O68*IFERROR(INDEX(Trabajadores!$D$5:$D$204,MATCH(K68,Trabajadores!$B$5:$B$204,0)),0))</f>
        <v/>
      </c>
      <c r="R68" s="43">
        <f>IF(K68="","",N68+Q68)</f>
        <v/>
      </c>
      <c r="S68" s="43">
        <f>IF(K68="","",M68+N68)</f>
        <v/>
      </c>
      <c r="T68">
        <f>IF(K68="","",S68+R68/100000+L68/100000000+(100000-ROW())/1000000000)</f>
        <v/>
      </c>
    </row>
    <row r="69">
      <c r="A69" s="36">
        <f>IFERROR(INDEX($K$8:$K$207,MATCH(LARGE($T$8:$T$207,ROWS($A$8:A69)),$T$8:$T$207,0)),"")</f>
        <v/>
      </c>
      <c r="B69" s="36">
        <f>IFERROR(INDEX($L$8:$L$207,MATCH(LARGE($T$8:$T$207,ROWS($A$8:A69)),$T$8:$T$207,0)),"")</f>
        <v/>
      </c>
      <c r="C69" s="37">
        <f>IFERROR(INDEX($M$8:$M$207,MATCH(LARGE($T$8:$T$207,ROWS($A$8:A69)),$T$8:$T$207,0)),"")</f>
        <v/>
      </c>
      <c r="D69" s="37">
        <f>IFERROR(INDEX($N$8:$N$207,MATCH(LARGE($T$8:$T$207,ROWS($A$8:A69)),$T$8:$T$207,0)),"")</f>
        <v/>
      </c>
      <c r="E69" s="36">
        <f>IFERROR(INDEX($O$8:$O$207,MATCH(LARGE($T$8:$T$207,ROWS($A$8:A69)),$T$8:$T$207,0)),"")</f>
        <v/>
      </c>
      <c r="F69" s="36">
        <f>IFERROR(INDEX($P$8:$P$207,MATCH(LARGE($T$8:$T$207,ROWS($A$8:A69)),$T$8:$T$207,0)),"")</f>
        <v/>
      </c>
      <c r="G69" s="37">
        <f>IFERROR(INDEX($Q$8:$Q$207,MATCH(LARGE($T$8:$T$207,ROWS($A$8:A69)),$T$8:$T$207,0)),"")</f>
        <v/>
      </c>
      <c r="H69" s="37">
        <f>IFERROR(INDEX($R$8:$R$207,MATCH(LARGE($T$8:$T$207,ROWS($A$8:A69)),$T$8:$T$207,0)),"")</f>
        <v/>
      </c>
      <c r="I69" s="37">
        <f>IFERROR(INDEX($S$8:$S$207,MATCH(LARGE($T$8:$T$207,ROWS($A$8:A69)),$T$8:$T$207,0)),"")</f>
        <v/>
      </c>
      <c r="K69">
        <f>IF(Trabajadores!B66="","",Trabajadores!B66)</f>
        <v/>
      </c>
      <c r="L69">
        <f>IF(K69="","",COUNTIFS(Detalle_Pagos!$E$5:$E$2004,K69,Detalle_Pagos!$B$5:$B$2004,"&gt;="&amp;$B$3,Detalle_Pagos!$B$5:$B$2004,"&lt;="&amp;$B$4))</f>
        <v/>
      </c>
      <c r="M69" s="43">
        <f>IF(K69="","",SUMIFS(Detalle_Pagos!$I$5:$I$2004,Detalle_Pagos!$E$5:$E$2004,K69,Detalle_Pagos!$J$5:$J$2004,"Si",Detalle_Pagos!$B$5:$B$2004,"&gt;="&amp;$B$3,Detalle_Pagos!$B$5:$B$2004,"&lt;="&amp;$B$4))</f>
        <v/>
      </c>
      <c r="N69" s="43">
        <f>IF(K69="","",SUMIFS(Detalle_Pagos!$I$5:$I$2004,Detalle_Pagos!$E$5:$E$2004,K69,Detalle_Pagos!$J$5:$J$2004,"No",Detalle_Pagos!$B$5:$B$2004,"&gt;="&amp;$B$3,Detalle_Pagos!$B$5:$B$2004,"&lt;="&amp;$B$4))</f>
        <v/>
      </c>
      <c r="O69">
        <f>IF(K69="","",COUNTIFS(Detalle_Pagos!$E$5:$E$2004,K69,Detalle_Pagos!$J$5:$J$2004,"No",Detalle_Pagos!$B$5:$B$2004,"&gt;="&amp;$B$3,Detalle_Pagos!$B$5:$B$2004,"&lt;="&amp;$B$4))</f>
        <v/>
      </c>
      <c r="P69">
        <f>IF(K69="","",COUNTIFS(Detalle_Pagos!$E$5:$E$2004,K69,Detalle_Pagos!$J$5:$J$2004,"Si",Detalle_Pagos!$B$5:$B$2004,"&gt;="&amp;$B$3,Detalle_Pagos!$B$5:$B$2004,"&lt;="&amp;$B$4))</f>
        <v/>
      </c>
      <c r="Q69" s="43">
        <f>IF(K69="","",O69*IFERROR(INDEX(Trabajadores!$D$5:$D$204,MATCH(K69,Trabajadores!$B$5:$B$204,0)),0))</f>
        <v/>
      </c>
      <c r="R69" s="43">
        <f>IF(K69="","",N69+Q69)</f>
        <v/>
      </c>
      <c r="S69" s="43">
        <f>IF(K69="","",M69+N69)</f>
        <v/>
      </c>
      <c r="T69">
        <f>IF(K69="","",S69+R69/100000+L69/100000000+(100000-ROW())/1000000000)</f>
        <v/>
      </c>
    </row>
    <row r="70">
      <c r="A70" s="38">
        <f>IFERROR(INDEX($K$8:$K$207,MATCH(LARGE($T$8:$T$207,ROWS($A$8:A70)),$T$8:$T$207,0)),"")</f>
        <v/>
      </c>
      <c r="B70" s="38">
        <f>IFERROR(INDEX($L$8:$L$207,MATCH(LARGE($T$8:$T$207,ROWS($A$8:A70)),$T$8:$T$207,0)),"")</f>
        <v/>
      </c>
      <c r="C70" s="39">
        <f>IFERROR(INDEX($M$8:$M$207,MATCH(LARGE($T$8:$T$207,ROWS($A$8:A70)),$T$8:$T$207,0)),"")</f>
        <v/>
      </c>
      <c r="D70" s="39">
        <f>IFERROR(INDEX($N$8:$N$207,MATCH(LARGE($T$8:$T$207,ROWS($A$8:A70)),$T$8:$T$207,0)),"")</f>
        <v/>
      </c>
      <c r="E70" s="38">
        <f>IFERROR(INDEX($O$8:$O$207,MATCH(LARGE($T$8:$T$207,ROWS($A$8:A70)),$T$8:$T$207,0)),"")</f>
        <v/>
      </c>
      <c r="F70" s="38">
        <f>IFERROR(INDEX($P$8:$P$207,MATCH(LARGE($T$8:$T$207,ROWS($A$8:A70)),$T$8:$T$207,0)),"")</f>
        <v/>
      </c>
      <c r="G70" s="39">
        <f>IFERROR(INDEX($Q$8:$Q$207,MATCH(LARGE($T$8:$T$207,ROWS($A$8:A70)),$T$8:$T$207,0)),"")</f>
        <v/>
      </c>
      <c r="H70" s="39">
        <f>IFERROR(INDEX($R$8:$R$207,MATCH(LARGE($T$8:$T$207,ROWS($A$8:A70)),$T$8:$T$207,0)),"")</f>
        <v/>
      </c>
      <c r="I70" s="39">
        <f>IFERROR(INDEX($S$8:$S$207,MATCH(LARGE($T$8:$T$207,ROWS($A$8:A70)),$T$8:$T$207,0)),"")</f>
        <v/>
      </c>
      <c r="K70">
        <f>IF(Trabajadores!B67="","",Trabajadores!B67)</f>
        <v/>
      </c>
      <c r="L70">
        <f>IF(K70="","",COUNTIFS(Detalle_Pagos!$E$5:$E$2004,K70,Detalle_Pagos!$B$5:$B$2004,"&gt;="&amp;$B$3,Detalle_Pagos!$B$5:$B$2004,"&lt;="&amp;$B$4))</f>
        <v/>
      </c>
      <c r="M70" s="43">
        <f>IF(K70="","",SUMIFS(Detalle_Pagos!$I$5:$I$2004,Detalle_Pagos!$E$5:$E$2004,K70,Detalle_Pagos!$J$5:$J$2004,"Si",Detalle_Pagos!$B$5:$B$2004,"&gt;="&amp;$B$3,Detalle_Pagos!$B$5:$B$2004,"&lt;="&amp;$B$4))</f>
        <v/>
      </c>
      <c r="N70" s="43">
        <f>IF(K70="","",SUMIFS(Detalle_Pagos!$I$5:$I$2004,Detalle_Pagos!$E$5:$E$2004,K70,Detalle_Pagos!$J$5:$J$2004,"No",Detalle_Pagos!$B$5:$B$2004,"&gt;="&amp;$B$3,Detalle_Pagos!$B$5:$B$2004,"&lt;="&amp;$B$4))</f>
        <v/>
      </c>
      <c r="O70">
        <f>IF(K70="","",COUNTIFS(Detalle_Pagos!$E$5:$E$2004,K70,Detalle_Pagos!$J$5:$J$2004,"No",Detalle_Pagos!$B$5:$B$2004,"&gt;="&amp;$B$3,Detalle_Pagos!$B$5:$B$2004,"&lt;="&amp;$B$4))</f>
        <v/>
      </c>
      <c r="P70">
        <f>IF(K70="","",COUNTIFS(Detalle_Pagos!$E$5:$E$2004,K70,Detalle_Pagos!$J$5:$J$2004,"Si",Detalle_Pagos!$B$5:$B$2004,"&gt;="&amp;$B$3,Detalle_Pagos!$B$5:$B$2004,"&lt;="&amp;$B$4))</f>
        <v/>
      </c>
      <c r="Q70" s="43">
        <f>IF(K70="","",O70*IFERROR(INDEX(Trabajadores!$D$5:$D$204,MATCH(K70,Trabajadores!$B$5:$B$204,0)),0))</f>
        <v/>
      </c>
      <c r="R70" s="43">
        <f>IF(K70="","",N70+Q70)</f>
        <v/>
      </c>
      <c r="S70" s="43">
        <f>IF(K70="","",M70+N70)</f>
        <v/>
      </c>
      <c r="T70">
        <f>IF(K70="","",S70+R70/100000+L70/100000000+(100000-ROW())/1000000000)</f>
        <v/>
      </c>
    </row>
    <row r="71">
      <c r="A71" s="36">
        <f>IFERROR(INDEX($K$8:$K$207,MATCH(LARGE($T$8:$T$207,ROWS($A$8:A71)),$T$8:$T$207,0)),"")</f>
        <v/>
      </c>
      <c r="B71" s="36">
        <f>IFERROR(INDEX($L$8:$L$207,MATCH(LARGE($T$8:$T$207,ROWS($A$8:A71)),$T$8:$T$207,0)),"")</f>
        <v/>
      </c>
      <c r="C71" s="37">
        <f>IFERROR(INDEX($M$8:$M$207,MATCH(LARGE($T$8:$T$207,ROWS($A$8:A71)),$T$8:$T$207,0)),"")</f>
        <v/>
      </c>
      <c r="D71" s="37">
        <f>IFERROR(INDEX($N$8:$N$207,MATCH(LARGE($T$8:$T$207,ROWS($A$8:A71)),$T$8:$T$207,0)),"")</f>
        <v/>
      </c>
      <c r="E71" s="36">
        <f>IFERROR(INDEX($O$8:$O$207,MATCH(LARGE($T$8:$T$207,ROWS($A$8:A71)),$T$8:$T$207,0)),"")</f>
        <v/>
      </c>
      <c r="F71" s="36">
        <f>IFERROR(INDEX($P$8:$P$207,MATCH(LARGE($T$8:$T$207,ROWS($A$8:A71)),$T$8:$T$207,0)),"")</f>
        <v/>
      </c>
      <c r="G71" s="37">
        <f>IFERROR(INDEX($Q$8:$Q$207,MATCH(LARGE($T$8:$T$207,ROWS($A$8:A71)),$T$8:$T$207,0)),"")</f>
        <v/>
      </c>
      <c r="H71" s="37">
        <f>IFERROR(INDEX($R$8:$R$207,MATCH(LARGE($T$8:$T$207,ROWS($A$8:A71)),$T$8:$T$207,0)),"")</f>
        <v/>
      </c>
      <c r="I71" s="37">
        <f>IFERROR(INDEX($S$8:$S$207,MATCH(LARGE($T$8:$T$207,ROWS($A$8:A71)),$T$8:$T$207,0)),"")</f>
        <v/>
      </c>
      <c r="K71">
        <f>IF(Trabajadores!B68="","",Trabajadores!B68)</f>
        <v/>
      </c>
      <c r="L71">
        <f>IF(K71="","",COUNTIFS(Detalle_Pagos!$E$5:$E$2004,K71,Detalle_Pagos!$B$5:$B$2004,"&gt;="&amp;$B$3,Detalle_Pagos!$B$5:$B$2004,"&lt;="&amp;$B$4))</f>
        <v/>
      </c>
      <c r="M71" s="43">
        <f>IF(K71="","",SUMIFS(Detalle_Pagos!$I$5:$I$2004,Detalle_Pagos!$E$5:$E$2004,K71,Detalle_Pagos!$J$5:$J$2004,"Si",Detalle_Pagos!$B$5:$B$2004,"&gt;="&amp;$B$3,Detalle_Pagos!$B$5:$B$2004,"&lt;="&amp;$B$4))</f>
        <v/>
      </c>
      <c r="N71" s="43">
        <f>IF(K71="","",SUMIFS(Detalle_Pagos!$I$5:$I$2004,Detalle_Pagos!$E$5:$E$2004,K71,Detalle_Pagos!$J$5:$J$2004,"No",Detalle_Pagos!$B$5:$B$2004,"&gt;="&amp;$B$3,Detalle_Pagos!$B$5:$B$2004,"&lt;="&amp;$B$4))</f>
        <v/>
      </c>
      <c r="O71">
        <f>IF(K71="","",COUNTIFS(Detalle_Pagos!$E$5:$E$2004,K71,Detalle_Pagos!$J$5:$J$2004,"No",Detalle_Pagos!$B$5:$B$2004,"&gt;="&amp;$B$3,Detalle_Pagos!$B$5:$B$2004,"&lt;="&amp;$B$4))</f>
        <v/>
      </c>
      <c r="P71">
        <f>IF(K71="","",COUNTIFS(Detalle_Pagos!$E$5:$E$2004,K71,Detalle_Pagos!$J$5:$J$2004,"Si",Detalle_Pagos!$B$5:$B$2004,"&gt;="&amp;$B$3,Detalle_Pagos!$B$5:$B$2004,"&lt;="&amp;$B$4))</f>
        <v/>
      </c>
      <c r="Q71" s="43">
        <f>IF(K71="","",O71*IFERROR(INDEX(Trabajadores!$D$5:$D$204,MATCH(K71,Trabajadores!$B$5:$B$204,0)),0))</f>
        <v/>
      </c>
      <c r="R71" s="43">
        <f>IF(K71="","",N71+Q71)</f>
        <v/>
      </c>
      <c r="S71" s="43">
        <f>IF(K71="","",M71+N71)</f>
        <v/>
      </c>
      <c r="T71">
        <f>IF(K71="","",S71+R71/100000+L71/100000000+(100000-ROW())/1000000000)</f>
        <v/>
      </c>
    </row>
    <row r="72">
      <c r="A72" s="38">
        <f>IFERROR(INDEX($K$8:$K$207,MATCH(LARGE($T$8:$T$207,ROWS($A$8:A72)),$T$8:$T$207,0)),"")</f>
        <v/>
      </c>
      <c r="B72" s="38">
        <f>IFERROR(INDEX($L$8:$L$207,MATCH(LARGE($T$8:$T$207,ROWS($A$8:A72)),$T$8:$T$207,0)),"")</f>
        <v/>
      </c>
      <c r="C72" s="39">
        <f>IFERROR(INDEX($M$8:$M$207,MATCH(LARGE($T$8:$T$207,ROWS($A$8:A72)),$T$8:$T$207,0)),"")</f>
        <v/>
      </c>
      <c r="D72" s="39">
        <f>IFERROR(INDEX($N$8:$N$207,MATCH(LARGE($T$8:$T$207,ROWS($A$8:A72)),$T$8:$T$207,0)),"")</f>
        <v/>
      </c>
      <c r="E72" s="38">
        <f>IFERROR(INDEX($O$8:$O$207,MATCH(LARGE($T$8:$T$207,ROWS($A$8:A72)),$T$8:$T$207,0)),"")</f>
        <v/>
      </c>
      <c r="F72" s="38">
        <f>IFERROR(INDEX($P$8:$P$207,MATCH(LARGE($T$8:$T$207,ROWS($A$8:A72)),$T$8:$T$207,0)),"")</f>
        <v/>
      </c>
      <c r="G72" s="39">
        <f>IFERROR(INDEX($Q$8:$Q$207,MATCH(LARGE($T$8:$T$207,ROWS($A$8:A72)),$T$8:$T$207,0)),"")</f>
        <v/>
      </c>
      <c r="H72" s="39">
        <f>IFERROR(INDEX($R$8:$R$207,MATCH(LARGE($T$8:$T$207,ROWS($A$8:A72)),$T$8:$T$207,0)),"")</f>
        <v/>
      </c>
      <c r="I72" s="39">
        <f>IFERROR(INDEX($S$8:$S$207,MATCH(LARGE($T$8:$T$207,ROWS($A$8:A72)),$T$8:$T$207,0)),"")</f>
        <v/>
      </c>
      <c r="K72">
        <f>IF(Trabajadores!B69="","",Trabajadores!B69)</f>
        <v/>
      </c>
      <c r="L72">
        <f>IF(K72="","",COUNTIFS(Detalle_Pagos!$E$5:$E$2004,K72,Detalle_Pagos!$B$5:$B$2004,"&gt;="&amp;$B$3,Detalle_Pagos!$B$5:$B$2004,"&lt;="&amp;$B$4))</f>
        <v/>
      </c>
      <c r="M72" s="43">
        <f>IF(K72="","",SUMIFS(Detalle_Pagos!$I$5:$I$2004,Detalle_Pagos!$E$5:$E$2004,K72,Detalle_Pagos!$J$5:$J$2004,"Si",Detalle_Pagos!$B$5:$B$2004,"&gt;="&amp;$B$3,Detalle_Pagos!$B$5:$B$2004,"&lt;="&amp;$B$4))</f>
        <v/>
      </c>
      <c r="N72" s="43">
        <f>IF(K72="","",SUMIFS(Detalle_Pagos!$I$5:$I$2004,Detalle_Pagos!$E$5:$E$2004,K72,Detalle_Pagos!$J$5:$J$2004,"No",Detalle_Pagos!$B$5:$B$2004,"&gt;="&amp;$B$3,Detalle_Pagos!$B$5:$B$2004,"&lt;="&amp;$B$4))</f>
        <v/>
      </c>
      <c r="O72">
        <f>IF(K72="","",COUNTIFS(Detalle_Pagos!$E$5:$E$2004,K72,Detalle_Pagos!$J$5:$J$2004,"No",Detalle_Pagos!$B$5:$B$2004,"&gt;="&amp;$B$3,Detalle_Pagos!$B$5:$B$2004,"&lt;="&amp;$B$4))</f>
        <v/>
      </c>
      <c r="P72">
        <f>IF(K72="","",COUNTIFS(Detalle_Pagos!$E$5:$E$2004,K72,Detalle_Pagos!$J$5:$J$2004,"Si",Detalle_Pagos!$B$5:$B$2004,"&gt;="&amp;$B$3,Detalle_Pagos!$B$5:$B$2004,"&lt;="&amp;$B$4))</f>
        <v/>
      </c>
      <c r="Q72" s="43">
        <f>IF(K72="","",O72*IFERROR(INDEX(Trabajadores!$D$5:$D$204,MATCH(K72,Trabajadores!$B$5:$B$204,0)),0))</f>
        <v/>
      </c>
      <c r="R72" s="43">
        <f>IF(K72="","",N72+Q72)</f>
        <v/>
      </c>
      <c r="S72" s="43">
        <f>IF(K72="","",M72+N72)</f>
        <v/>
      </c>
      <c r="T72">
        <f>IF(K72="","",S72+R72/100000+L72/100000000+(100000-ROW())/1000000000)</f>
        <v/>
      </c>
    </row>
    <row r="73">
      <c r="A73" s="36">
        <f>IFERROR(INDEX($K$8:$K$207,MATCH(LARGE($T$8:$T$207,ROWS($A$8:A73)),$T$8:$T$207,0)),"")</f>
        <v/>
      </c>
      <c r="B73" s="36">
        <f>IFERROR(INDEX($L$8:$L$207,MATCH(LARGE($T$8:$T$207,ROWS($A$8:A73)),$T$8:$T$207,0)),"")</f>
        <v/>
      </c>
      <c r="C73" s="37">
        <f>IFERROR(INDEX($M$8:$M$207,MATCH(LARGE($T$8:$T$207,ROWS($A$8:A73)),$T$8:$T$207,0)),"")</f>
        <v/>
      </c>
      <c r="D73" s="37">
        <f>IFERROR(INDEX($N$8:$N$207,MATCH(LARGE($T$8:$T$207,ROWS($A$8:A73)),$T$8:$T$207,0)),"")</f>
        <v/>
      </c>
      <c r="E73" s="36">
        <f>IFERROR(INDEX($O$8:$O$207,MATCH(LARGE($T$8:$T$207,ROWS($A$8:A73)),$T$8:$T$207,0)),"")</f>
        <v/>
      </c>
      <c r="F73" s="36">
        <f>IFERROR(INDEX($P$8:$P$207,MATCH(LARGE($T$8:$T$207,ROWS($A$8:A73)),$T$8:$T$207,0)),"")</f>
        <v/>
      </c>
      <c r="G73" s="37">
        <f>IFERROR(INDEX($Q$8:$Q$207,MATCH(LARGE($T$8:$T$207,ROWS($A$8:A73)),$T$8:$T$207,0)),"")</f>
        <v/>
      </c>
      <c r="H73" s="37">
        <f>IFERROR(INDEX($R$8:$R$207,MATCH(LARGE($T$8:$T$207,ROWS($A$8:A73)),$T$8:$T$207,0)),"")</f>
        <v/>
      </c>
      <c r="I73" s="37">
        <f>IFERROR(INDEX($S$8:$S$207,MATCH(LARGE($T$8:$T$207,ROWS($A$8:A73)),$T$8:$T$207,0)),"")</f>
        <v/>
      </c>
      <c r="K73">
        <f>IF(Trabajadores!B70="","",Trabajadores!B70)</f>
        <v/>
      </c>
      <c r="L73">
        <f>IF(K73="","",COUNTIFS(Detalle_Pagos!$E$5:$E$2004,K73,Detalle_Pagos!$B$5:$B$2004,"&gt;="&amp;$B$3,Detalle_Pagos!$B$5:$B$2004,"&lt;="&amp;$B$4))</f>
        <v/>
      </c>
      <c r="M73" s="43">
        <f>IF(K73="","",SUMIFS(Detalle_Pagos!$I$5:$I$2004,Detalle_Pagos!$E$5:$E$2004,K73,Detalle_Pagos!$J$5:$J$2004,"Si",Detalle_Pagos!$B$5:$B$2004,"&gt;="&amp;$B$3,Detalle_Pagos!$B$5:$B$2004,"&lt;="&amp;$B$4))</f>
        <v/>
      </c>
      <c r="N73" s="43">
        <f>IF(K73="","",SUMIFS(Detalle_Pagos!$I$5:$I$2004,Detalle_Pagos!$E$5:$E$2004,K73,Detalle_Pagos!$J$5:$J$2004,"No",Detalle_Pagos!$B$5:$B$2004,"&gt;="&amp;$B$3,Detalle_Pagos!$B$5:$B$2004,"&lt;="&amp;$B$4))</f>
        <v/>
      </c>
      <c r="O73">
        <f>IF(K73="","",COUNTIFS(Detalle_Pagos!$E$5:$E$2004,K73,Detalle_Pagos!$J$5:$J$2004,"No",Detalle_Pagos!$B$5:$B$2004,"&gt;="&amp;$B$3,Detalle_Pagos!$B$5:$B$2004,"&lt;="&amp;$B$4))</f>
        <v/>
      </c>
      <c r="P73">
        <f>IF(K73="","",COUNTIFS(Detalle_Pagos!$E$5:$E$2004,K73,Detalle_Pagos!$J$5:$J$2004,"Si",Detalle_Pagos!$B$5:$B$2004,"&gt;="&amp;$B$3,Detalle_Pagos!$B$5:$B$2004,"&lt;="&amp;$B$4))</f>
        <v/>
      </c>
      <c r="Q73" s="43">
        <f>IF(K73="","",O73*IFERROR(INDEX(Trabajadores!$D$5:$D$204,MATCH(K73,Trabajadores!$B$5:$B$204,0)),0))</f>
        <v/>
      </c>
      <c r="R73" s="43">
        <f>IF(K73="","",N73+Q73)</f>
        <v/>
      </c>
      <c r="S73" s="43">
        <f>IF(K73="","",M73+N73)</f>
        <v/>
      </c>
      <c r="T73">
        <f>IF(K73="","",S73+R73/100000+L73/100000000+(100000-ROW())/1000000000)</f>
        <v/>
      </c>
    </row>
    <row r="74">
      <c r="A74" s="38">
        <f>IFERROR(INDEX($K$8:$K$207,MATCH(LARGE($T$8:$T$207,ROWS($A$8:A74)),$T$8:$T$207,0)),"")</f>
        <v/>
      </c>
      <c r="B74" s="38">
        <f>IFERROR(INDEX($L$8:$L$207,MATCH(LARGE($T$8:$T$207,ROWS($A$8:A74)),$T$8:$T$207,0)),"")</f>
        <v/>
      </c>
      <c r="C74" s="39">
        <f>IFERROR(INDEX($M$8:$M$207,MATCH(LARGE($T$8:$T$207,ROWS($A$8:A74)),$T$8:$T$207,0)),"")</f>
        <v/>
      </c>
      <c r="D74" s="39">
        <f>IFERROR(INDEX($N$8:$N$207,MATCH(LARGE($T$8:$T$207,ROWS($A$8:A74)),$T$8:$T$207,0)),"")</f>
        <v/>
      </c>
      <c r="E74" s="38">
        <f>IFERROR(INDEX($O$8:$O$207,MATCH(LARGE($T$8:$T$207,ROWS($A$8:A74)),$T$8:$T$207,0)),"")</f>
        <v/>
      </c>
      <c r="F74" s="38">
        <f>IFERROR(INDEX($P$8:$P$207,MATCH(LARGE($T$8:$T$207,ROWS($A$8:A74)),$T$8:$T$207,0)),"")</f>
        <v/>
      </c>
      <c r="G74" s="39">
        <f>IFERROR(INDEX($Q$8:$Q$207,MATCH(LARGE($T$8:$T$207,ROWS($A$8:A74)),$T$8:$T$207,0)),"")</f>
        <v/>
      </c>
      <c r="H74" s="39">
        <f>IFERROR(INDEX($R$8:$R$207,MATCH(LARGE($T$8:$T$207,ROWS($A$8:A74)),$T$8:$T$207,0)),"")</f>
        <v/>
      </c>
      <c r="I74" s="39">
        <f>IFERROR(INDEX($S$8:$S$207,MATCH(LARGE($T$8:$T$207,ROWS($A$8:A74)),$T$8:$T$207,0)),"")</f>
        <v/>
      </c>
      <c r="K74">
        <f>IF(Trabajadores!B71="","",Trabajadores!B71)</f>
        <v/>
      </c>
      <c r="L74">
        <f>IF(K74="","",COUNTIFS(Detalle_Pagos!$E$5:$E$2004,K74,Detalle_Pagos!$B$5:$B$2004,"&gt;="&amp;$B$3,Detalle_Pagos!$B$5:$B$2004,"&lt;="&amp;$B$4))</f>
        <v/>
      </c>
      <c r="M74" s="43">
        <f>IF(K74="","",SUMIFS(Detalle_Pagos!$I$5:$I$2004,Detalle_Pagos!$E$5:$E$2004,K74,Detalle_Pagos!$J$5:$J$2004,"Si",Detalle_Pagos!$B$5:$B$2004,"&gt;="&amp;$B$3,Detalle_Pagos!$B$5:$B$2004,"&lt;="&amp;$B$4))</f>
        <v/>
      </c>
      <c r="N74" s="43">
        <f>IF(K74="","",SUMIFS(Detalle_Pagos!$I$5:$I$2004,Detalle_Pagos!$E$5:$E$2004,K74,Detalle_Pagos!$J$5:$J$2004,"No",Detalle_Pagos!$B$5:$B$2004,"&gt;="&amp;$B$3,Detalle_Pagos!$B$5:$B$2004,"&lt;="&amp;$B$4))</f>
        <v/>
      </c>
      <c r="O74">
        <f>IF(K74="","",COUNTIFS(Detalle_Pagos!$E$5:$E$2004,K74,Detalle_Pagos!$J$5:$J$2004,"No",Detalle_Pagos!$B$5:$B$2004,"&gt;="&amp;$B$3,Detalle_Pagos!$B$5:$B$2004,"&lt;="&amp;$B$4))</f>
        <v/>
      </c>
      <c r="P74">
        <f>IF(K74="","",COUNTIFS(Detalle_Pagos!$E$5:$E$2004,K74,Detalle_Pagos!$J$5:$J$2004,"Si",Detalle_Pagos!$B$5:$B$2004,"&gt;="&amp;$B$3,Detalle_Pagos!$B$5:$B$2004,"&lt;="&amp;$B$4))</f>
        <v/>
      </c>
      <c r="Q74" s="43">
        <f>IF(K74="","",O74*IFERROR(INDEX(Trabajadores!$D$5:$D$204,MATCH(K74,Trabajadores!$B$5:$B$204,0)),0))</f>
        <v/>
      </c>
      <c r="R74" s="43">
        <f>IF(K74="","",N74+Q74)</f>
        <v/>
      </c>
      <c r="S74" s="43">
        <f>IF(K74="","",M74+N74)</f>
        <v/>
      </c>
      <c r="T74">
        <f>IF(K74="","",S74+R74/100000+L74/100000000+(100000-ROW())/1000000000)</f>
        <v/>
      </c>
    </row>
    <row r="75">
      <c r="A75" s="36">
        <f>IFERROR(INDEX($K$8:$K$207,MATCH(LARGE($T$8:$T$207,ROWS($A$8:A75)),$T$8:$T$207,0)),"")</f>
        <v/>
      </c>
      <c r="B75" s="36">
        <f>IFERROR(INDEX($L$8:$L$207,MATCH(LARGE($T$8:$T$207,ROWS($A$8:A75)),$T$8:$T$207,0)),"")</f>
        <v/>
      </c>
      <c r="C75" s="37">
        <f>IFERROR(INDEX($M$8:$M$207,MATCH(LARGE($T$8:$T$207,ROWS($A$8:A75)),$T$8:$T$207,0)),"")</f>
        <v/>
      </c>
      <c r="D75" s="37">
        <f>IFERROR(INDEX($N$8:$N$207,MATCH(LARGE($T$8:$T$207,ROWS($A$8:A75)),$T$8:$T$207,0)),"")</f>
        <v/>
      </c>
      <c r="E75" s="36">
        <f>IFERROR(INDEX($O$8:$O$207,MATCH(LARGE($T$8:$T$207,ROWS($A$8:A75)),$T$8:$T$207,0)),"")</f>
        <v/>
      </c>
      <c r="F75" s="36">
        <f>IFERROR(INDEX($P$8:$P$207,MATCH(LARGE($T$8:$T$207,ROWS($A$8:A75)),$T$8:$T$207,0)),"")</f>
        <v/>
      </c>
      <c r="G75" s="37">
        <f>IFERROR(INDEX($Q$8:$Q$207,MATCH(LARGE($T$8:$T$207,ROWS($A$8:A75)),$T$8:$T$207,0)),"")</f>
        <v/>
      </c>
      <c r="H75" s="37">
        <f>IFERROR(INDEX($R$8:$R$207,MATCH(LARGE($T$8:$T$207,ROWS($A$8:A75)),$T$8:$T$207,0)),"")</f>
        <v/>
      </c>
      <c r="I75" s="37">
        <f>IFERROR(INDEX($S$8:$S$207,MATCH(LARGE($T$8:$T$207,ROWS($A$8:A75)),$T$8:$T$207,0)),"")</f>
        <v/>
      </c>
      <c r="K75">
        <f>IF(Trabajadores!B72="","",Trabajadores!B72)</f>
        <v/>
      </c>
      <c r="L75">
        <f>IF(K75="","",COUNTIFS(Detalle_Pagos!$E$5:$E$2004,K75,Detalle_Pagos!$B$5:$B$2004,"&gt;="&amp;$B$3,Detalle_Pagos!$B$5:$B$2004,"&lt;="&amp;$B$4))</f>
        <v/>
      </c>
      <c r="M75" s="43">
        <f>IF(K75="","",SUMIFS(Detalle_Pagos!$I$5:$I$2004,Detalle_Pagos!$E$5:$E$2004,K75,Detalle_Pagos!$J$5:$J$2004,"Si",Detalle_Pagos!$B$5:$B$2004,"&gt;="&amp;$B$3,Detalle_Pagos!$B$5:$B$2004,"&lt;="&amp;$B$4))</f>
        <v/>
      </c>
      <c r="N75" s="43">
        <f>IF(K75="","",SUMIFS(Detalle_Pagos!$I$5:$I$2004,Detalle_Pagos!$E$5:$E$2004,K75,Detalle_Pagos!$J$5:$J$2004,"No",Detalle_Pagos!$B$5:$B$2004,"&gt;="&amp;$B$3,Detalle_Pagos!$B$5:$B$2004,"&lt;="&amp;$B$4))</f>
        <v/>
      </c>
      <c r="O75">
        <f>IF(K75="","",COUNTIFS(Detalle_Pagos!$E$5:$E$2004,K75,Detalle_Pagos!$J$5:$J$2004,"No",Detalle_Pagos!$B$5:$B$2004,"&gt;="&amp;$B$3,Detalle_Pagos!$B$5:$B$2004,"&lt;="&amp;$B$4))</f>
        <v/>
      </c>
      <c r="P75">
        <f>IF(K75="","",COUNTIFS(Detalle_Pagos!$E$5:$E$2004,K75,Detalle_Pagos!$J$5:$J$2004,"Si",Detalle_Pagos!$B$5:$B$2004,"&gt;="&amp;$B$3,Detalle_Pagos!$B$5:$B$2004,"&lt;="&amp;$B$4))</f>
        <v/>
      </c>
      <c r="Q75" s="43">
        <f>IF(K75="","",O75*IFERROR(INDEX(Trabajadores!$D$5:$D$204,MATCH(K75,Trabajadores!$B$5:$B$204,0)),0))</f>
        <v/>
      </c>
      <c r="R75" s="43">
        <f>IF(K75="","",N75+Q75)</f>
        <v/>
      </c>
      <c r="S75" s="43">
        <f>IF(K75="","",M75+N75)</f>
        <v/>
      </c>
      <c r="T75">
        <f>IF(K75="","",S75+R75/100000+L75/100000000+(100000-ROW())/1000000000)</f>
        <v/>
      </c>
    </row>
    <row r="76">
      <c r="A76" s="38">
        <f>IFERROR(INDEX($K$8:$K$207,MATCH(LARGE($T$8:$T$207,ROWS($A$8:A76)),$T$8:$T$207,0)),"")</f>
        <v/>
      </c>
      <c r="B76" s="38">
        <f>IFERROR(INDEX($L$8:$L$207,MATCH(LARGE($T$8:$T$207,ROWS($A$8:A76)),$T$8:$T$207,0)),"")</f>
        <v/>
      </c>
      <c r="C76" s="39">
        <f>IFERROR(INDEX($M$8:$M$207,MATCH(LARGE($T$8:$T$207,ROWS($A$8:A76)),$T$8:$T$207,0)),"")</f>
        <v/>
      </c>
      <c r="D76" s="39">
        <f>IFERROR(INDEX($N$8:$N$207,MATCH(LARGE($T$8:$T$207,ROWS($A$8:A76)),$T$8:$T$207,0)),"")</f>
        <v/>
      </c>
      <c r="E76" s="38">
        <f>IFERROR(INDEX($O$8:$O$207,MATCH(LARGE($T$8:$T$207,ROWS($A$8:A76)),$T$8:$T$207,0)),"")</f>
        <v/>
      </c>
      <c r="F76" s="38">
        <f>IFERROR(INDEX($P$8:$P$207,MATCH(LARGE($T$8:$T$207,ROWS($A$8:A76)),$T$8:$T$207,0)),"")</f>
        <v/>
      </c>
      <c r="G76" s="39">
        <f>IFERROR(INDEX($Q$8:$Q$207,MATCH(LARGE($T$8:$T$207,ROWS($A$8:A76)),$T$8:$T$207,0)),"")</f>
        <v/>
      </c>
      <c r="H76" s="39">
        <f>IFERROR(INDEX($R$8:$R$207,MATCH(LARGE($T$8:$T$207,ROWS($A$8:A76)),$T$8:$T$207,0)),"")</f>
        <v/>
      </c>
      <c r="I76" s="39">
        <f>IFERROR(INDEX($S$8:$S$207,MATCH(LARGE($T$8:$T$207,ROWS($A$8:A76)),$T$8:$T$207,0)),"")</f>
        <v/>
      </c>
      <c r="K76">
        <f>IF(Trabajadores!B73="","",Trabajadores!B73)</f>
        <v/>
      </c>
      <c r="L76">
        <f>IF(K76="","",COUNTIFS(Detalle_Pagos!$E$5:$E$2004,K76,Detalle_Pagos!$B$5:$B$2004,"&gt;="&amp;$B$3,Detalle_Pagos!$B$5:$B$2004,"&lt;="&amp;$B$4))</f>
        <v/>
      </c>
      <c r="M76" s="43">
        <f>IF(K76="","",SUMIFS(Detalle_Pagos!$I$5:$I$2004,Detalle_Pagos!$E$5:$E$2004,K76,Detalle_Pagos!$J$5:$J$2004,"Si",Detalle_Pagos!$B$5:$B$2004,"&gt;="&amp;$B$3,Detalle_Pagos!$B$5:$B$2004,"&lt;="&amp;$B$4))</f>
        <v/>
      </c>
      <c r="N76" s="43">
        <f>IF(K76="","",SUMIFS(Detalle_Pagos!$I$5:$I$2004,Detalle_Pagos!$E$5:$E$2004,K76,Detalle_Pagos!$J$5:$J$2004,"No",Detalle_Pagos!$B$5:$B$2004,"&gt;="&amp;$B$3,Detalle_Pagos!$B$5:$B$2004,"&lt;="&amp;$B$4))</f>
        <v/>
      </c>
      <c r="O76">
        <f>IF(K76="","",COUNTIFS(Detalle_Pagos!$E$5:$E$2004,K76,Detalle_Pagos!$J$5:$J$2004,"No",Detalle_Pagos!$B$5:$B$2004,"&gt;="&amp;$B$3,Detalle_Pagos!$B$5:$B$2004,"&lt;="&amp;$B$4))</f>
        <v/>
      </c>
      <c r="P76">
        <f>IF(K76="","",COUNTIFS(Detalle_Pagos!$E$5:$E$2004,K76,Detalle_Pagos!$J$5:$J$2004,"Si",Detalle_Pagos!$B$5:$B$2004,"&gt;="&amp;$B$3,Detalle_Pagos!$B$5:$B$2004,"&lt;="&amp;$B$4))</f>
        <v/>
      </c>
      <c r="Q76" s="43">
        <f>IF(K76="","",O76*IFERROR(INDEX(Trabajadores!$D$5:$D$204,MATCH(K76,Trabajadores!$B$5:$B$204,0)),0))</f>
        <v/>
      </c>
      <c r="R76" s="43">
        <f>IF(K76="","",N76+Q76)</f>
        <v/>
      </c>
      <c r="S76" s="43">
        <f>IF(K76="","",M76+N76)</f>
        <v/>
      </c>
      <c r="T76">
        <f>IF(K76="","",S76+R76/100000+L76/100000000+(100000-ROW())/1000000000)</f>
        <v/>
      </c>
    </row>
    <row r="77">
      <c r="A77" s="36">
        <f>IFERROR(INDEX($K$8:$K$207,MATCH(LARGE($T$8:$T$207,ROWS($A$8:A77)),$T$8:$T$207,0)),"")</f>
        <v/>
      </c>
      <c r="B77" s="36">
        <f>IFERROR(INDEX($L$8:$L$207,MATCH(LARGE($T$8:$T$207,ROWS($A$8:A77)),$T$8:$T$207,0)),"")</f>
        <v/>
      </c>
      <c r="C77" s="37">
        <f>IFERROR(INDEX($M$8:$M$207,MATCH(LARGE($T$8:$T$207,ROWS($A$8:A77)),$T$8:$T$207,0)),"")</f>
        <v/>
      </c>
      <c r="D77" s="37">
        <f>IFERROR(INDEX($N$8:$N$207,MATCH(LARGE($T$8:$T$207,ROWS($A$8:A77)),$T$8:$T$207,0)),"")</f>
        <v/>
      </c>
      <c r="E77" s="36">
        <f>IFERROR(INDEX($O$8:$O$207,MATCH(LARGE($T$8:$T$207,ROWS($A$8:A77)),$T$8:$T$207,0)),"")</f>
        <v/>
      </c>
      <c r="F77" s="36">
        <f>IFERROR(INDEX($P$8:$P$207,MATCH(LARGE($T$8:$T$207,ROWS($A$8:A77)),$T$8:$T$207,0)),"")</f>
        <v/>
      </c>
      <c r="G77" s="37">
        <f>IFERROR(INDEX($Q$8:$Q$207,MATCH(LARGE($T$8:$T$207,ROWS($A$8:A77)),$T$8:$T$207,0)),"")</f>
        <v/>
      </c>
      <c r="H77" s="37">
        <f>IFERROR(INDEX($R$8:$R$207,MATCH(LARGE($T$8:$T$207,ROWS($A$8:A77)),$T$8:$T$207,0)),"")</f>
        <v/>
      </c>
      <c r="I77" s="37">
        <f>IFERROR(INDEX($S$8:$S$207,MATCH(LARGE($T$8:$T$207,ROWS($A$8:A77)),$T$8:$T$207,0)),"")</f>
        <v/>
      </c>
      <c r="K77">
        <f>IF(Trabajadores!B74="","",Trabajadores!B74)</f>
        <v/>
      </c>
      <c r="L77">
        <f>IF(K77="","",COUNTIFS(Detalle_Pagos!$E$5:$E$2004,K77,Detalle_Pagos!$B$5:$B$2004,"&gt;="&amp;$B$3,Detalle_Pagos!$B$5:$B$2004,"&lt;="&amp;$B$4))</f>
        <v/>
      </c>
      <c r="M77" s="43">
        <f>IF(K77="","",SUMIFS(Detalle_Pagos!$I$5:$I$2004,Detalle_Pagos!$E$5:$E$2004,K77,Detalle_Pagos!$J$5:$J$2004,"Si",Detalle_Pagos!$B$5:$B$2004,"&gt;="&amp;$B$3,Detalle_Pagos!$B$5:$B$2004,"&lt;="&amp;$B$4))</f>
        <v/>
      </c>
      <c r="N77" s="43">
        <f>IF(K77="","",SUMIFS(Detalle_Pagos!$I$5:$I$2004,Detalle_Pagos!$E$5:$E$2004,K77,Detalle_Pagos!$J$5:$J$2004,"No",Detalle_Pagos!$B$5:$B$2004,"&gt;="&amp;$B$3,Detalle_Pagos!$B$5:$B$2004,"&lt;="&amp;$B$4))</f>
        <v/>
      </c>
      <c r="O77">
        <f>IF(K77="","",COUNTIFS(Detalle_Pagos!$E$5:$E$2004,K77,Detalle_Pagos!$J$5:$J$2004,"No",Detalle_Pagos!$B$5:$B$2004,"&gt;="&amp;$B$3,Detalle_Pagos!$B$5:$B$2004,"&lt;="&amp;$B$4))</f>
        <v/>
      </c>
      <c r="P77">
        <f>IF(K77="","",COUNTIFS(Detalle_Pagos!$E$5:$E$2004,K77,Detalle_Pagos!$J$5:$J$2004,"Si",Detalle_Pagos!$B$5:$B$2004,"&gt;="&amp;$B$3,Detalle_Pagos!$B$5:$B$2004,"&lt;="&amp;$B$4))</f>
        <v/>
      </c>
      <c r="Q77" s="43">
        <f>IF(K77="","",O77*IFERROR(INDEX(Trabajadores!$D$5:$D$204,MATCH(K77,Trabajadores!$B$5:$B$204,0)),0))</f>
        <v/>
      </c>
      <c r="R77" s="43">
        <f>IF(K77="","",N77+Q77)</f>
        <v/>
      </c>
      <c r="S77" s="43">
        <f>IF(K77="","",M77+N77)</f>
        <v/>
      </c>
      <c r="T77">
        <f>IF(K77="","",S77+R77/100000+L77/100000000+(100000-ROW())/1000000000)</f>
        <v/>
      </c>
    </row>
    <row r="78">
      <c r="A78" s="38">
        <f>IFERROR(INDEX($K$8:$K$207,MATCH(LARGE($T$8:$T$207,ROWS($A$8:A78)),$T$8:$T$207,0)),"")</f>
        <v/>
      </c>
      <c r="B78" s="38">
        <f>IFERROR(INDEX($L$8:$L$207,MATCH(LARGE($T$8:$T$207,ROWS($A$8:A78)),$T$8:$T$207,0)),"")</f>
        <v/>
      </c>
      <c r="C78" s="39">
        <f>IFERROR(INDEX($M$8:$M$207,MATCH(LARGE($T$8:$T$207,ROWS($A$8:A78)),$T$8:$T$207,0)),"")</f>
        <v/>
      </c>
      <c r="D78" s="39">
        <f>IFERROR(INDEX($N$8:$N$207,MATCH(LARGE($T$8:$T$207,ROWS($A$8:A78)),$T$8:$T$207,0)),"")</f>
        <v/>
      </c>
      <c r="E78" s="38">
        <f>IFERROR(INDEX($O$8:$O$207,MATCH(LARGE($T$8:$T$207,ROWS($A$8:A78)),$T$8:$T$207,0)),"")</f>
        <v/>
      </c>
      <c r="F78" s="38">
        <f>IFERROR(INDEX($P$8:$P$207,MATCH(LARGE($T$8:$T$207,ROWS($A$8:A78)),$T$8:$T$207,0)),"")</f>
        <v/>
      </c>
      <c r="G78" s="39">
        <f>IFERROR(INDEX($Q$8:$Q$207,MATCH(LARGE($T$8:$T$207,ROWS($A$8:A78)),$T$8:$T$207,0)),"")</f>
        <v/>
      </c>
      <c r="H78" s="39">
        <f>IFERROR(INDEX($R$8:$R$207,MATCH(LARGE($T$8:$T$207,ROWS($A$8:A78)),$T$8:$T$207,0)),"")</f>
        <v/>
      </c>
      <c r="I78" s="39">
        <f>IFERROR(INDEX($S$8:$S$207,MATCH(LARGE($T$8:$T$207,ROWS($A$8:A78)),$T$8:$T$207,0)),"")</f>
        <v/>
      </c>
      <c r="K78">
        <f>IF(Trabajadores!B75="","",Trabajadores!B75)</f>
        <v/>
      </c>
      <c r="L78">
        <f>IF(K78="","",COUNTIFS(Detalle_Pagos!$E$5:$E$2004,K78,Detalle_Pagos!$B$5:$B$2004,"&gt;="&amp;$B$3,Detalle_Pagos!$B$5:$B$2004,"&lt;="&amp;$B$4))</f>
        <v/>
      </c>
      <c r="M78" s="43">
        <f>IF(K78="","",SUMIFS(Detalle_Pagos!$I$5:$I$2004,Detalle_Pagos!$E$5:$E$2004,K78,Detalle_Pagos!$J$5:$J$2004,"Si",Detalle_Pagos!$B$5:$B$2004,"&gt;="&amp;$B$3,Detalle_Pagos!$B$5:$B$2004,"&lt;="&amp;$B$4))</f>
        <v/>
      </c>
      <c r="N78" s="43">
        <f>IF(K78="","",SUMIFS(Detalle_Pagos!$I$5:$I$2004,Detalle_Pagos!$E$5:$E$2004,K78,Detalle_Pagos!$J$5:$J$2004,"No",Detalle_Pagos!$B$5:$B$2004,"&gt;="&amp;$B$3,Detalle_Pagos!$B$5:$B$2004,"&lt;="&amp;$B$4))</f>
        <v/>
      </c>
      <c r="O78">
        <f>IF(K78="","",COUNTIFS(Detalle_Pagos!$E$5:$E$2004,K78,Detalle_Pagos!$J$5:$J$2004,"No",Detalle_Pagos!$B$5:$B$2004,"&gt;="&amp;$B$3,Detalle_Pagos!$B$5:$B$2004,"&lt;="&amp;$B$4))</f>
        <v/>
      </c>
      <c r="P78">
        <f>IF(K78="","",COUNTIFS(Detalle_Pagos!$E$5:$E$2004,K78,Detalle_Pagos!$J$5:$J$2004,"Si",Detalle_Pagos!$B$5:$B$2004,"&gt;="&amp;$B$3,Detalle_Pagos!$B$5:$B$2004,"&lt;="&amp;$B$4))</f>
        <v/>
      </c>
      <c r="Q78" s="43">
        <f>IF(K78="","",O78*IFERROR(INDEX(Trabajadores!$D$5:$D$204,MATCH(K78,Trabajadores!$B$5:$B$204,0)),0))</f>
        <v/>
      </c>
      <c r="R78" s="43">
        <f>IF(K78="","",N78+Q78)</f>
        <v/>
      </c>
      <c r="S78" s="43">
        <f>IF(K78="","",M78+N78)</f>
        <v/>
      </c>
      <c r="T78">
        <f>IF(K78="","",S78+R78/100000+L78/100000000+(100000-ROW())/1000000000)</f>
        <v/>
      </c>
    </row>
    <row r="79">
      <c r="A79" s="36">
        <f>IFERROR(INDEX($K$8:$K$207,MATCH(LARGE($T$8:$T$207,ROWS($A$8:A79)),$T$8:$T$207,0)),"")</f>
        <v/>
      </c>
      <c r="B79" s="36">
        <f>IFERROR(INDEX($L$8:$L$207,MATCH(LARGE($T$8:$T$207,ROWS($A$8:A79)),$T$8:$T$207,0)),"")</f>
        <v/>
      </c>
      <c r="C79" s="37">
        <f>IFERROR(INDEX($M$8:$M$207,MATCH(LARGE($T$8:$T$207,ROWS($A$8:A79)),$T$8:$T$207,0)),"")</f>
        <v/>
      </c>
      <c r="D79" s="37">
        <f>IFERROR(INDEX($N$8:$N$207,MATCH(LARGE($T$8:$T$207,ROWS($A$8:A79)),$T$8:$T$207,0)),"")</f>
        <v/>
      </c>
      <c r="E79" s="36">
        <f>IFERROR(INDEX($O$8:$O$207,MATCH(LARGE($T$8:$T$207,ROWS($A$8:A79)),$T$8:$T$207,0)),"")</f>
        <v/>
      </c>
      <c r="F79" s="36">
        <f>IFERROR(INDEX($P$8:$P$207,MATCH(LARGE($T$8:$T$207,ROWS($A$8:A79)),$T$8:$T$207,0)),"")</f>
        <v/>
      </c>
      <c r="G79" s="37">
        <f>IFERROR(INDEX($Q$8:$Q$207,MATCH(LARGE($T$8:$T$207,ROWS($A$8:A79)),$T$8:$T$207,0)),"")</f>
        <v/>
      </c>
      <c r="H79" s="37">
        <f>IFERROR(INDEX($R$8:$R$207,MATCH(LARGE($T$8:$T$207,ROWS($A$8:A79)),$T$8:$T$207,0)),"")</f>
        <v/>
      </c>
      <c r="I79" s="37">
        <f>IFERROR(INDEX($S$8:$S$207,MATCH(LARGE($T$8:$T$207,ROWS($A$8:A79)),$T$8:$T$207,0)),"")</f>
        <v/>
      </c>
      <c r="K79">
        <f>IF(Trabajadores!B76="","",Trabajadores!B76)</f>
        <v/>
      </c>
      <c r="L79">
        <f>IF(K79="","",COUNTIFS(Detalle_Pagos!$E$5:$E$2004,K79,Detalle_Pagos!$B$5:$B$2004,"&gt;="&amp;$B$3,Detalle_Pagos!$B$5:$B$2004,"&lt;="&amp;$B$4))</f>
        <v/>
      </c>
      <c r="M79" s="43">
        <f>IF(K79="","",SUMIFS(Detalle_Pagos!$I$5:$I$2004,Detalle_Pagos!$E$5:$E$2004,K79,Detalle_Pagos!$J$5:$J$2004,"Si",Detalle_Pagos!$B$5:$B$2004,"&gt;="&amp;$B$3,Detalle_Pagos!$B$5:$B$2004,"&lt;="&amp;$B$4))</f>
        <v/>
      </c>
      <c r="N79" s="43">
        <f>IF(K79="","",SUMIFS(Detalle_Pagos!$I$5:$I$2004,Detalle_Pagos!$E$5:$E$2004,K79,Detalle_Pagos!$J$5:$J$2004,"No",Detalle_Pagos!$B$5:$B$2004,"&gt;="&amp;$B$3,Detalle_Pagos!$B$5:$B$2004,"&lt;="&amp;$B$4))</f>
        <v/>
      </c>
      <c r="O79">
        <f>IF(K79="","",COUNTIFS(Detalle_Pagos!$E$5:$E$2004,K79,Detalle_Pagos!$J$5:$J$2004,"No",Detalle_Pagos!$B$5:$B$2004,"&gt;="&amp;$B$3,Detalle_Pagos!$B$5:$B$2004,"&lt;="&amp;$B$4))</f>
        <v/>
      </c>
      <c r="P79">
        <f>IF(K79="","",COUNTIFS(Detalle_Pagos!$E$5:$E$2004,K79,Detalle_Pagos!$J$5:$J$2004,"Si",Detalle_Pagos!$B$5:$B$2004,"&gt;="&amp;$B$3,Detalle_Pagos!$B$5:$B$2004,"&lt;="&amp;$B$4))</f>
        <v/>
      </c>
      <c r="Q79" s="43">
        <f>IF(K79="","",O79*IFERROR(INDEX(Trabajadores!$D$5:$D$204,MATCH(K79,Trabajadores!$B$5:$B$204,0)),0))</f>
        <v/>
      </c>
      <c r="R79" s="43">
        <f>IF(K79="","",N79+Q79)</f>
        <v/>
      </c>
      <c r="S79" s="43">
        <f>IF(K79="","",M79+N79)</f>
        <v/>
      </c>
      <c r="T79">
        <f>IF(K79="","",S79+R79/100000+L79/100000000+(100000-ROW())/1000000000)</f>
        <v/>
      </c>
    </row>
    <row r="80">
      <c r="A80" s="38">
        <f>IFERROR(INDEX($K$8:$K$207,MATCH(LARGE($T$8:$T$207,ROWS($A$8:A80)),$T$8:$T$207,0)),"")</f>
        <v/>
      </c>
      <c r="B80" s="38">
        <f>IFERROR(INDEX($L$8:$L$207,MATCH(LARGE($T$8:$T$207,ROWS($A$8:A80)),$T$8:$T$207,0)),"")</f>
        <v/>
      </c>
      <c r="C80" s="39">
        <f>IFERROR(INDEX($M$8:$M$207,MATCH(LARGE($T$8:$T$207,ROWS($A$8:A80)),$T$8:$T$207,0)),"")</f>
        <v/>
      </c>
      <c r="D80" s="39">
        <f>IFERROR(INDEX($N$8:$N$207,MATCH(LARGE($T$8:$T$207,ROWS($A$8:A80)),$T$8:$T$207,0)),"")</f>
        <v/>
      </c>
      <c r="E80" s="38">
        <f>IFERROR(INDEX($O$8:$O$207,MATCH(LARGE($T$8:$T$207,ROWS($A$8:A80)),$T$8:$T$207,0)),"")</f>
        <v/>
      </c>
      <c r="F80" s="38">
        <f>IFERROR(INDEX($P$8:$P$207,MATCH(LARGE($T$8:$T$207,ROWS($A$8:A80)),$T$8:$T$207,0)),"")</f>
        <v/>
      </c>
      <c r="G80" s="39">
        <f>IFERROR(INDEX($Q$8:$Q$207,MATCH(LARGE($T$8:$T$207,ROWS($A$8:A80)),$T$8:$T$207,0)),"")</f>
        <v/>
      </c>
      <c r="H80" s="39">
        <f>IFERROR(INDEX($R$8:$R$207,MATCH(LARGE($T$8:$T$207,ROWS($A$8:A80)),$T$8:$T$207,0)),"")</f>
        <v/>
      </c>
      <c r="I80" s="39">
        <f>IFERROR(INDEX($S$8:$S$207,MATCH(LARGE($T$8:$T$207,ROWS($A$8:A80)),$T$8:$T$207,0)),"")</f>
        <v/>
      </c>
      <c r="K80">
        <f>IF(Trabajadores!B77="","",Trabajadores!B77)</f>
        <v/>
      </c>
      <c r="L80">
        <f>IF(K80="","",COUNTIFS(Detalle_Pagos!$E$5:$E$2004,K80,Detalle_Pagos!$B$5:$B$2004,"&gt;="&amp;$B$3,Detalle_Pagos!$B$5:$B$2004,"&lt;="&amp;$B$4))</f>
        <v/>
      </c>
      <c r="M80" s="43">
        <f>IF(K80="","",SUMIFS(Detalle_Pagos!$I$5:$I$2004,Detalle_Pagos!$E$5:$E$2004,K80,Detalle_Pagos!$J$5:$J$2004,"Si",Detalle_Pagos!$B$5:$B$2004,"&gt;="&amp;$B$3,Detalle_Pagos!$B$5:$B$2004,"&lt;="&amp;$B$4))</f>
        <v/>
      </c>
      <c r="N80" s="43">
        <f>IF(K80="","",SUMIFS(Detalle_Pagos!$I$5:$I$2004,Detalle_Pagos!$E$5:$E$2004,K80,Detalle_Pagos!$J$5:$J$2004,"No",Detalle_Pagos!$B$5:$B$2004,"&gt;="&amp;$B$3,Detalle_Pagos!$B$5:$B$2004,"&lt;="&amp;$B$4))</f>
        <v/>
      </c>
      <c r="O80">
        <f>IF(K80="","",COUNTIFS(Detalle_Pagos!$E$5:$E$2004,K80,Detalle_Pagos!$J$5:$J$2004,"No",Detalle_Pagos!$B$5:$B$2004,"&gt;="&amp;$B$3,Detalle_Pagos!$B$5:$B$2004,"&lt;="&amp;$B$4))</f>
        <v/>
      </c>
      <c r="P80">
        <f>IF(K80="","",COUNTIFS(Detalle_Pagos!$E$5:$E$2004,K80,Detalle_Pagos!$J$5:$J$2004,"Si",Detalle_Pagos!$B$5:$B$2004,"&gt;="&amp;$B$3,Detalle_Pagos!$B$5:$B$2004,"&lt;="&amp;$B$4))</f>
        <v/>
      </c>
      <c r="Q80" s="43">
        <f>IF(K80="","",O80*IFERROR(INDEX(Trabajadores!$D$5:$D$204,MATCH(K80,Trabajadores!$B$5:$B$204,0)),0))</f>
        <v/>
      </c>
      <c r="R80" s="43">
        <f>IF(K80="","",N80+Q80)</f>
        <v/>
      </c>
      <c r="S80" s="43">
        <f>IF(K80="","",M80+N80)</f>
        <v/>
      </c>
      <c r="T80">
        <f>IF(K80="","",S80+R80/100000+L80/100000000+(100000-ROW())/1000000000)</f>
        <v/>
      </c>
    </row>
    <row r="81">
      <c r="A81" s="36">
        <f>IFERROR(INDEX($K$8:$K$207,MATCH(LARGE($T$8:$T$207,ROWS($A$8:A81)),$T$8:$T$207,0)),"")</f>
        <v/>
      </c>
      <c r="B81" s="36">
        <f>IFERROR(INDEX($L$8:$L$207,MATCH(LARGE($T$8:$T$207,ROWS($A$8:A81)),$T$8:$T$207,0)),"")</f>
        <v/>
      </c>
      <c r="C81" s="37">
        <f>IFERROR(INDEX($M$8:$M$207,MATCH(LARGE($T$8:$T$207,ROWS($A$8:A81)),$T$8:$T$207,0)),"")</f>
        <v/>
      </c>
      <c r="D81" s="37">
        <f>IFERROR(INDEX($N$8:$N$207,MATCH(LARGE($T$8:$T$207,ROWS($A$8:A81)),$T$8:$T$207,0)),"")</f>
        <v/>
      </c>
      <c r="E81" s="36">
        <f>IFERROR(INDEX($O$8:$O$207,MATCH(LARGE($T$8:$T$207,ROWS($A$8:A81)),$T$8:$T$207,0)),"")</f>
        <v/>
      </c>
      <c r="F81" s="36">
        <f>IFERROR(INDEX($P$8:$P$207,MATCH(LARGE($T$8:$T$207,ROWS($A$8:A81)),$T$8:$T$207,0)),"")</f>
        <v/>
      </c>
      <c r="G81" s="37">
        <f>IFERROR(INDEX($Q$8:$Q$207,MATCH(LARGE($T$8:$T$207,ROWS($A$8:A81)),$T$8:$T$207,0)),"")</f>
        <v/>
      </c>
      <c r="H81" s="37">
        <f>IFERROR(INDEX($R$8:$R$207,MATCH(LARGE($T$8:$T$207,ROWS($A$8:A81)),$T$8:$T$207,0)),"")</f>
        <v/>
      </c>
      <c r="I81" s="37">
        <f>IFERROR(INDEX($S$8:$S$207,MATCH(LARGE($T$8:$T$207,ROWS($A$8:A81)),$T$8:$T$207,0)),"")</f>
        <v/>
      </c>
      <c r="K81">
        <f>IF(Trabajadores!B78="","",Trabajadores!B78)</f>
        <v/>
      </c>
      <c r="L81">
        <f>IF(K81="","",COUNTIFS(Detalle_Pagos!$E$5:$E$2004,K81,Detalle_Pagos!$B$5:$B$2004,"&gt;="&amp;$B$3,Detalle_Pagos!$B$5:$B$2004,"&lt;="&amp;$B$4))</f>
        <v/>
      </c>
      <c r="M81" s="43">
        <f>IF(K81="","",SUMIFS(Detalle_Pagos!$I$5:$I$2004,Detalle_Pagos!$E$5:$E$2004,K81,Detalle_Pagos!$J$5:$J$2004,"Si",Detalle_Pagos!$B$5:$B$2004,"&gt;="&amp;$B$3,Detalle_Pagos!$B$5:$B$2004,"&lt;="&amp;$B$4))</f>
        <v/>
      </c>
      <c r="N81" s="43">
        <f>IF(K81="","",SUMIFS(Detalle_Pagos!$I$5:$I$2004,Detalle_Pagos!$E$5:$E$2004,K81,Detalle_Pagos!$J$5:$J$2004,"No",Detalle_Pagos!$B$5:$B$2004,"&gt;="&amp;$B$3,Detalle_Pagos!$B$5:$B$2004,"&lt;="&amp;$B$4))</f>
        <v/>
      </c>
      <c r="O81">
        <f>IF(K81="","",COUNTIFS(Detalle_Pagos!$E$5:$E$2004,K81,Detalle_Pagos!$J$5:$J$2004,"No",Detalle_Pagos!$B$5:$B$2004,"&gt;="&amp;$B$3,Detalle_Pagos!$B$5:$B$2004,"&lt;="&amp;$B$4))</f>
        <v/>
      </c>
      <c r="P81">
        <f>IF(K81="","",COUNTIFS(Detalle_Pagos!$E$5:$E$2004,K81,Detalle_Pagos!$J$5:$J$2004,"Si",Detalle_Pagos!$B$5:$B$2004,"&gt;="&amp;$B$3,Detalle_Pagos!$B$5:$B$2004,"&lt;="&amp;$B$4))</f>
        <v/>
      </c>
      <c r="Q81" s="43">
        <f>IF(K81="","",O81*IFERROR(INDEX(Trabajadores!$D$5:$D$204,MATCH(K81,Trabajadores!$B$5:$B$204,0)),0))</f>
        <v/>
      </c>
      <c r="R81" s="43">
        <f>IF(K81="","",N81+Q81)</f>
        <v/>
      </c>
      <c r="S81" s="43">
        <f>IF(K81="","",M81+N81)</f>
        <v/>
      </c>
      <c r="T81">
        <f>IF(K81="","",S81+R81/100000+L81/100000000+(100000-ROW())/1000000000)</f>
        <v/>
      </c>
    </row>
    <row r="82">
      <c r="A82" s="38">
        <f>IFERROR(INDEX($K$8:$K$207,MATCH(LARGE($T$8:$T$207,ROWS($A$8:A82)),$T$8:$T$207,0)),"")</f>
        <v/>
      </c>
      <c r="B82" s="38">
        <f>IFERROR(INDEX($L$8:$L$207,MATCH(LARGE($T$8:$T$207,ROWS($A$8:A82)),$T$8:$T$207,0)),"")</f>
        <v/>
      </c>
      <c r="C82" s="39">
        <f>IFERROR(INDEX($M$8:$M$207,MATCH(LARGE($T$8:$T$207,ROWS($A$8:A82)),$T$8:$T$207,0)),"")</f>
        <v/>
      </c>
      <c r="D82" s="39">
        <f>IFERROR(INDEX($N$8:$N$207,MATCH(LARGE($T$8:$T$207,ROWS($A$8:A82)),$T$8:$T$207,0)),"")</f>
        <v/>
      </c>
      <c r="E82" s="38">
        <f>IFERROR(INDEX($O$8:$O$207,MATCH(LARGE($T$8:$T$207,ROWS($A$8:A82)),$T$8:$T$207,0)),"")</f>
        <v/>
      </c>
      <c r="F82" s="38">
        <f>IFERROR(INDEX($P$8:$P$207,MATCH(LARGE($T$8:$T$207,ROWS($A$8:A82)),$T$8:$T$207,0)),"")</f>
        <v/>
      </c>
      <c r="G82" s="39">
        <f>IFERROR(INDEX($Q$8:$Q$207,MATCH(LARGE($T$8:$T$207,ROWS($A$8:A82)),$T$8:$T$207,0)),"")</f>
        <v/>
      </c>
      <c r="H82" s="39">
        <f>IFERROR(INDEX($R$8:$R$207,MATCH(LARGE($T$8:$T$207,ROWS($A$8:A82)),$T$8:$T$207,0)),"")</f>
        <v/>
      </c>
      <c r="I82" s="39">
        <f>IFERROR(INDEX($S$8:$S$207,MATCH(LARGE($T$8:$T$207,ROWS($A$8:A82)),$T$8:$T$207,0)),"")</f>
        <v/>
      </c>
      <c r="K82">
        <f>IF(Trabajadores!B79="","",Trabajadores!B79)</f>
        <v/>
      </c>
      <c r="L82">
        <f>IF(K82="","",COUNTIFS(Detalle_Pagos!$E$5:$E$2004,K82,Detalle_Pagos!$B$5:$B$2004,"&gt;="&amp;$B$3,Detalle_Pagos!$B$5:$B$2004,"&lt;="&amp;$B$4))</f>
        <v/>
      </c>
      <c r="M82" s="43">
        <f>IF(K82="","",SUMIFS(Detalle_Pagos!$I$5:$I$2004,Detalle_Pagos!$E$5:$E$2004,K82,Detalle_Pagos!$J$5:$J$2004,"Si",Detalle_Pagos!$B$5:$B$2004,"&gt;="&amp;$B$3,Detalle_Pagos!$B$5:$B$2004,"&lt;="&amp;$B$4))</f>
        <v/>
      </c>
      <c r="N82" s="43">
        <f>IF(K82="","",SUMIFS(Detalle_Pagos!$I$5:$I$2004,Detalle_Pagos!$E$5:$E$2004,K82,Detalle_Pagos!$J$5:$J$2004,"No",Detalle_Pagos!$B$5:$B$2004,"&gt;="&amp;$B$3,Detalle_Pagos!$B$5:$B$2004,"&lt;="&amp;$B$4))</f>
        <v/>
      </c>
      <c r="O82">
        <f>IF(K82="","",COUNTIFS(Detalle_Pagos!$E$5:$E$2004,K82,Detalle_Pagos!$J$5:$J$2004,"No",Detalle_Pagos!$B$5:$B$2004,"&gt;="&amp;$B$3,Detalle_Pagos!$B$5:$B$2004,"&lt;="&amp;$B$4))</f>
        <v/>
      </c>
      <c r="P82">
        <f>IF(K82="","",COUNTIFS(Detalle_Pagos!$E$5:$E$2004,K82,Detalle_Pagos!$J$5:$J$2004,"Si",Detalle_Pagos!$B$5:$B$2004,"&gt;="&amp;$B$3,Detalle_Pagos!$B$5:$B$2004,"&lt;="&amp;$B$4))</f>
        <v/>
      </c>
      <c r="Q82" s="43">
        <f>IF(K82="","",O82*IFERROR(INDEX(Trabajadores!$D$5:$D$204,MATCH(K82,Trabajadores!$B$5:$B$204,0)),0))</f>
        <v/>
      </c>
      <c r="R82" s="43">
        <f>IF(K82="","",N82+Q82)</f>
        <v/>
      </c>
      <c r="S82" s="43">
        <f>IF(K82="","",M82+N82)</f>
        <v/>
      </c>
      <c r="T82">
        <f>IF(K82="","",S82+R82/100000+L82/100000000+(100000-ROW())/1000000000)</f>
        <v/>
      </c>
    </row>
    <row r="83">
      <c r="A83" s="36">
        <f>IFERROR(INDEX($K$8:$K$207,MATCH(LARGE($T$8:$T$207,ROWS($A$8:A83)),$T$8:$T$207,0)),"")</f>
        <v/>
      </c>
      <c r="B83" s="36">
        <f>IFERROR(INDEX($L$8:$L$207,MATCH(LARGE($T$8:$T$207,ROWS($A$8:A83)),$T$8:$T$207,0)),"")</f>
        <v/>
      </c>
      <c r="C83" s="37">
        <f>IFERROR(INDEX($M$8:$M$207,MATCH(LARGE($T$8:$T$207,ROWS($A$8:A83)),$T$8:$T$207,0)),"")</f>
        <v/>
      </c>
      <c r="D83" s="37">
        <f>IFERROR(INDEX($N$8:$N$207,MATCH(LARGE($T$8:$T$207,ROWS($A$8:A83)),$T$8:$T$207,0)),"")</f>
        <v/>
      </c>
      <c r="E83" s="36">
        <f>IFERROR(INDEX($O$8:$O$207,MATCH(LARGE($T$8:$T$207,ROWS($A$8:A83)),$T$8:$T$207,0)),"")</f>
        <v/>
      </c>
      <c r="F83" s="36">
        <f>IFERROR(INDEX($P$8:$P$207,MATCH(LARGE($T$8:$T$207,ROWS($A$8:A83)),$T$8:$T$207,0)),"")</f>
        <v/>
      </c>
      <c r="G83" s="37">
        <f>IFERROR(INDEX($Q$8:$Q$207,MATCH(LARGE($T$8:$T$207,ROWS($A$8:A83)),$T$8:$T$207,0)),"")</f>
        <v/>
      </c>
      <c r="H83" s="37">
        <f>IFERROR(INDEX($R$8:$R$207,MATCH(LARGE($T$8:$T$207,ROWS($A$8:A83)),$T$8:$T$207,0)),"")</f>
        <v/>
      </c>
      <c r="I83" s="37">
        <f>IFERROR(INDEX($S$8:$S$207,MATCH(LARGE($T$8:$T$207,ROWS($A$8:A83)),$T$8:$T$207,0)),"")</f>
        <v/>
      </c>
      <c r="K83">
        <f>IF(Trabajadores!B80="","",Trabajadores!B80)</f>
        <v/>
      </c>
      <c r="L83">
        <f>IF(K83="","",COUNTIFS(Detalle_Pagos!$E$5:$E$2004,K83,Detalle_Pagos!$B$5:$B$2004,"&gt;="&amp;$B$3,Detalle_Pagos!$B$5:$B$2004,"&lt;="&amp;$B$4))</f>
        <v/>
      </c>
      <c r="M83" s="43">
        <f>IF(K83="","",SUMIFS(Detalle_Pagos!$I$5:$I$2004,Detalle_Pagos!$E$5:$E$2004,K83,Detalle_Pagos!$J$5:$J$2004,"Si",Detalle_Pagos!$B$5:$B$2004,"&gt;="&amp;$B$3,Detalle_Pagos!$B$5:$B$2004,"&lt;="&amp;$B$4))</f>
        <v/>
      </c>
      <c r="N83" s="43">
        <f>IF(K83="","",SUMIFS(Detalle_Pagos!$I$5:$I$2004,Detalle_Pagos!$E$5:$E$2004,K83,Detalle_Pagos!$J$5:$J$2004,"No",Detalle_Pagos!$B$5:$B$2004,"&gt;="&amp;$B$3,Detalle_Pagos!$B$5:$B$2004,"&lt;="&amp;$B$4))</f>
        <v/>
      </c>
      <c r="O83">
        <f>IF(K83="","",COUNTIFS(Detalle_Pagos!$E$5:$E$2004,K83,Detalle_Pagos!$J$5:$J$2004,"No",Detalle_Pagos!$B$5:$B$2004,"&gt;="&amp;$B$3,Detalle_Pagos!$B$5:$B$2004,"&lt;="&amp;$B$4))</f>
        <v/>
      </c>
      <c r="P83">
        <f>IF(K83="","",COUNTIFS(Detalle_Pagos!$E$5:$E$2004,K83,Detalle_Pagos!$J$5:$J$2004,"Si",Detalle_Pagos!$B$5:$B$2004,"&gt;="&amp;$B$3,Detalle_Pagos!$B$5:$B$2004,"&lt;="&amp;$B$4))</f>
        <v/>
      </c>
      <c r="Q83" s="43">
        <f>IF(K83="","",O83*IFERROR(INDEX(Trabajadores!$D$5:$D$204,MATCH(K83,Trabajadores!$B$5:$B$204,0)),0))</f>
        <v/>
      </c>
      <c r="R83" s="43">
        <f>IF(K83="","",N83+Q83)</f>
        <v/>
      </c>
      <c r="S83" s="43">
        <f>IF(K83="","",M83+N83)</f>
        <v/>
      </c>
      <c r="T83">
        <f>IF(K83="","",S83+R83/100000+L83/100000000+(100000-ROW())/1000000000)</f>
        <v/>
      </c>
    </row>
    <row r="84">
      <c r="A84" s="38">
        <f>IFERROR(INDEX($K$8:$K$207,MATCH(LARGE($T$8:$T$207,ROWS($A$8:A84)),$T$8:$T$207,0)),"")</f>
        <v/>
      </c>
      <c r="B84" s="38">
        <f>IFERROR(INDEX($L$8:$L$207,MATCH(LARGE($T$8:$T$207,ROWS($A$8:A84)),$T$8:$T$207,0)),"")</f>
        <v/>
      </c>
      <c r="C84" s="39">
        <f>IFERROR(INDEX($M$8:$M$207,MATCH(LARGE($T$8:$T$207,ROWS($A$8:A84)),$T$8:$T$207,0)),"")</f>
        <v/>
      </c>
      <c r="D84" s="39">
        <f>IFERROR(INDEX($N$8:$N$207,MATCH(LARGE($T$8:$T$207,ROWS($A$8:A84)),$T$8:$T$207,0)),"")</f>
        <v/>
      </c>
      <c r="E84" s="38">
        <f>IFERROR(INDEX($O$8:$O$207,MATCH(LARGE($T$8:$T$207,ROWS($A$8:A84)),$T$8:$T$207,0)),"")</f>
        <v/>
      </c>
      <c r="F84" s="38">
        <f>IFERROR(INDEX($P$8:$P$207,MATCH(LARGE($T$8:$T$207,ROWS($A$8:A84)),$T$8:$T$207,0)),"")</f>
        <v/>
      </c>
      <c r="G84" s="39">
        <f>IFERROR(INDEX($Q$8:$Q$207,MATCH(LARGE($T$8:$T$207,ROWS($A$8:A84)),$T$8:$T$207,0)),"")</f>
        <v/>
      </c>
      <c r="H84" s="39">
        <f>IFERROR(INDEX($R$8:$R$207,MATCH(LARGE($T$8:$T$207,ROWS($A$8:A84)),$T$8:$T$207,0)),"")</f>
        <v/>
      </c>
      <c r="I84" s="39">
        <f>IFERROR(INDEX($S$8:$S$207,MATCH(LARGE($T$8:$T$207,ROWS($A$8:A84)),$T$8:$T$207,0)),"")</f>
        <v/>
      </c>
      <c r="K84">
        <f>IF(Trabajadores!B81="","",Trabajadores!B81)</f>
        <v/>
      </c>
      <c r="L84">
        <f>IF(K84="","",COUNTIFS(Detalle_Pagos!$E$5:$E$2004,K84,Detalle_Pagos!$B$5:$B$2004,"&gt;="&amp;$B$3,Detalle_Pagos!$B$5:$B$2004,"&lt;="&amp;$B$4))</f>
        <v/>
      </c>
      <c r="M84" s="43">
        <f>IF(K84="","",SUMIFS(Detalle_Pagos!$I$5:$I$2004,Detalle_Pagos!$E$5:$E$2004,K84,Detalle_Pagos!$J$5:$J$2004,"Si",Detalle_Pagos!$B$5:$B$2004,"&gt;="&amp;$B$3,Detalle_Pagos!$B$5:$B$2004,"&lt;="&amp;$B$4))</f>
        <v/>
      </c>
      <c r="N84" s="43">
        <f>IF(K84="","",SUMIFS(Detalle_Pagos!$I$5:$I$2004,Detalle_Pagos!$E$5:$E$2004,K84,Detalle_Pagos!$J$5:$J$2004,"No",Detalle_Pagos!$B$5:$B$2004,"&gt;="&amp;$B$3,Detalle_Pagos!$B$5:$B$2004,"&lt;="&amp;$B$4))</f>
        <v/>
      </c>
      <c r="O84">
        <f>IF(K84="","",COUNTIFS(Detalle_Pagos!$E$5:$E$2004,K84,Detalle_Pagos!$J$5:$J$2004,"No",Detalle_Pagos!$B$5:$B$2004,"&gt;="&amp;$B$3,Detalle_Pagos!$B$5:$B$2004,"&lt;="&amp;$B$4))</f>
        <v/>
      </c>
      <c r="P84">
        <f>IF(K84="","",COUNTIFS(Detalle_Pagos!$E$5:$E$2004,K84,Detalle_Pagos!$J$5:$J$2004,"Si",Detalle_Pagos!$B$5:$B$2004,"&gt;="&amp;$B$3,Detalle_Pagos!$B$5:$B$2004,"&lt;="&amp;$B$4))</f>
        <v/>
      </c>
      <c r="Q84" s="43">
        <f>IF(K84="","",O84*IFERROR(INDEX(Trabajadores!$D$5:$D$204,MATCH(K84,Trabajadores!$B$5:$B$204,0)),0))</f>
        <v/>
      </c>
      <c r="R84" s="43">
        <f>IF(K84="","",N84+Q84)</f>
        <v/>
      </c>
      <c r="S84" s="43">
        <f>IF(K84="","",M84+N84)</f>
        <v/>
      </c>
      <c r="T84">
        <f>IF(K84="","",S84+R84/100000+L84/100000000+(100000-ROW())/1000000000)</f>
        <v/>
      </c>
    </row>
    <row r="85">
      <c r="A85" s="36">
        <f>IFERROR(INDEX($K$8:$K$207,MATCH(LARGE($T$8:$T$207,ROWS($A$8:A85)),$T$8:$T$207,0)),"")</f>
        <v/>
      </c>
      <c r="B85" s="36">
        <f>IFERROR(INDEX($L$8:$L$207,MATCH(LARGE($T$8:$T$207,ROWS($A$8:A85)),$T$8:$T$207,0)),"")</f>
        <v/>
      </c>
      <c r="C85" s="37">
        <f>IFERROR(INDEX($M$8:$M$207,MATCH(LARGE($T$8:$T$207,ROWS($A$8:A85)),$T$8:$T$207,0)),"")</f>
        <v/>
      </c>
      <c r="D85" s="37">
        <f>IFERROR(INDEX($N$8:$N$207,MATCH(LARGE($T$8:$T$207,ROWS($A$8:A85)),$T$8:$T$207,0)),"")</f>
        <v/>
      </c>
      <c r="E85" s="36">
        <f>IFERROR(INDEX($O$8:$O$207,MATCH(LARGE($T$8:$T$207,ROWS($A$8:A85)),$T$8:$T$207,0)),"")</f>
        <v/>
      </c>
      <c r="F85" s="36">
        <f>IFERROR(INDEX($P$8:$P$207,MATCH(LARGE($T$8:$T$207,ROWS($A$8:A85)),$T$8:$T$207,0)),"")</f>
        <v/>
      </c>
      <c r="G85" s="37">
        <f>IFERROR(INDEX($Q$8:$Q$207,MATCH(LARGE($T$8:$T$207,ROWS($A$8:A85)),$T$8:$T$207,0)),"")</f>
        <v/>
      </c>
      <c r="H85" s="37">
        <f>IFERROR(INDEX($R$8:$R$207,MATCH(LARGE($T$8:$T$207,ROWS($A$8:A85)),$T$8:$T$207,0)),"")</f>
        <v/>
      </c>
      <c r="I85" s="37">
        <f>IFERROR(INDEX($S$8:$S$207,MATCH(LARGE($T$8:$T$207,ROWS($A$8:A85)),$T$8:$T$207,0)),"")</f>
        <v/>
      </c>
      <c r="K85">
        <f>IF(Trabajadores!B82="","",Trabajadores!B82)</f>
        <v/>
      </c>
      <c r="L85">
        <f>IF(K85="","",COUNTIFS(Detalle_Pagos!$E$5:$E$2004,K85,Detalle_Pagos!$B$5:$B$2004,"&gt;="&amp;$B$3,Detalle_Pagos!$B$5:$B$2004,"&lt;="&amp;$B$4))</f>
        <v/>
      </c>
      <c r="M85" s="43">
        <f>IF(K85="","",SUMIFS(Detalle_Pagos!$I$5:$I$2004,Detalle_Pagos!$E$5:$E$2004,K85,Detalle_Pagos!$J$5:$J$2004,"Si",Detalle_Pagos!$B$5:$B$2004,"&gt;="&amp;$B$3,Detalle_Pagos!$B$5:$B$2004,"&lt;="&amp;$B$4))</f>
        <v/>
      </c>
      <c r="N85" s="43">
        <f>IF(K85="","",SUMIFS(Detalle_Pagos!$I$5:$I$2004,Detalle_Pagos!$E$5:$E$2004,K85,Detalle_Pagos!$J$5:$J$2004,"No",Detalle_Pagos!$B$5:$B$2004,"&gt;="&amp;$B$3,Detalle_Pagos!$B$5:$B$2004,"&lt;="&amp;$B$4))</f>
        <v/>
      </c>
      <c r="O85">
        <f>IF(K85="","",COUNTIFS(Detalle_Pagos!$E$5:$E$2004,K85,Detalle_Pagos!$J$5:$J$2004,"No",Detalle_Pagos!$B$5:$B$2004,"&gt;="&amp;$B$3,Detalle_Pagos!$B$5:$B$2004,"&lt;="&amp;$B$4))</f>
        <v/>
      </c>
      <c r="P85">
        <f>IF(K85="","",COUNTIFS(Detalle_Pagos!$E$5:$E$2004,K85,Detalle_Pagos!$J$5:$J$2004,"Si",Detalle_Pagos!$B$5:$B$2004,"&gt;="&amp;$B$3,Detalle_Pagos!$B$5:$B$2004,"&lt;="&amp;$B$4))</f>
        <v/>
      </c>
      <c r="Q85" s="43">
        <f>IF(K85="","",O85*IFERROR(INDEX(Trabajadores!$D$5:$D$204,MATCH(K85,Trabajadores!$B$5:$B$204,0)),0))</f>
        <v/>
      </c>
      <c r="R85" s="43">
        <f>IF(K85="","",N85+Q85)</f>
        <v/>
      </c>
      <c r="S85" s="43">
        <f>IF(K85="","",M85+N85)</f>
        <v/>
      </c>
      <c r="T85">
        <f>IF(K85="","",S85+R85/100000+L85/100000000+(100000-ROW())/1000000000)</f>
        <v/>
      </c>
    </row>
    <row r="86">
      <c r="A86" s="38">
        <f>IFERROR(INDEX($K$8:$K$207,MATCH(LARGE($T$8:$T$207,ROWS($A$8:A86)),$T$8:$T$207,0)),"")</f>
        <v/>
      </c>
      <c r="B86" s="38">
        <f>IFERROR(INDEX($L$8:$L$207,MATCH(LARGE($T$8:$T$207,ROWS($A$8:A86)),$T$8:$T$207,0)),"")</f>
        <v/>
      </c>
      <c r="C86" s="39">
        <f>IFERROR(INDEX($M$8:$M$207,MATCH(LARGE($T$8:$T$207,ROWS($A$8:A86)),$T$8:$T$207,0)),"")</f>
        <v/>
      </c>
      <c r="D86" s="39">
        <f>IFERROR(INDEX($N$8:$N$207,MATCH(LARGE($T$8:$T$207,ROWS($A$8:A86)),$T$8:$T$207,0)),"")</f>
        <v/>
      </c>
      <c r="E86" s="38">
        <f>IFERROR(INDEX($O$8:$O$207,MATCH(LARGE($T$8:$T$207,ROWS($A$8:A86)),$T$8:$T$207,0)),"")</f>
        <v/>
      </c>
      <c r="F86" s="38">
        <f>IFERROR(INDEX($P$8:$P$207,MATCH(LARGE($T$8:$T$207,ROWS($A$8:A86)),$T$8:$T$207,0)),"")</f>
        <v/>
      </c>
      <c r="G86" s="39">
        <f>IFERROR(INDEX($Q$8:$Q$207,MATCH(LARGE($T$8:$T$207,ROWS($A$8:A86)),$T$8:$T$207,0)),"")</f>
        <v/>
      </c>
      <c r="H86" s="39">
        <f>IFERROR(INDEX($R$8:$R$207,MATCH(LARGE($T$8:$T$207,ROWS($A$8:A86)),$T$8:$T$207,0)),"")</f>
        <v/>
      </c>
      <c r="I86" s="39">
        <f>IFERROR(INDEX($S$8:$S$207,MATCH(LARGE($T$8:$T$207,ROWS($A$8:A86)),$T$8:$T$207,0)),"")</f>
        <v/>
      </c>
      <c r="K86">
        <f>IF(Trabajadores!B83="","",Trabajadores!B83)</f>
        <v/>
      </c>
      <c r="L86">
        <f>IF(K86="","",COUNTIFS(Detalle_Pagos!$E$5:$E$2004,K86,Detalle_Pagos!$B$5:$B$2004,"&gt;="&amp;$B$3,Detalle_Pagos!$B$5:$B$2004,"&lt;="&amp;$B$4))</f>
        <v/>
      </c>
      <c r="M86" s="43">
        <f>IF(K86="","",SUMIFS(Detalle_Pagos!$I$5:$I$2004,Detalle_Pagos!$E$5:$E$2004,K86,Detalle_Pagos!$J$5:$J$2004,"Si",Detalle_Pagos!$B$5:$B$2004,"&gt;="&amp;$B$3,Detalle_Pagos!$B$5:$B$2004,"&lt;="&amp;$B$4))</f>
        <v/>
      </c>
      <c r="N86" s="43">
        <f>IF(K86="","",SUMIFS(Detalle_Pagos!$I$5:$I$2004,Detalle_Pagos!$E$5:$E$2004,K86,Detalle_Pagos!$J$5:$J$2004,"No",Detalle_Pagos!$B$5:$B$2004,"&gt;="&amp;$B$3,Detalle_Pagos!$B$5:$B$2004,"&lt;="&amp;$B$4))</f>
        <v/>
      </c>
      <c r="O86">
        <f>IF(K86="","",COUNTIFS(Detalle_Pagos!$E$5:$E$2004,K86,Detalle_Pagos!$J$5:$J$2004,"No",Detalle_Pagos!$B$5:$B$2004,"&gt;="&amp;$B$3,Detalle_Pagos!$B$5:$B$2004,"&lt;="&amp;$B$4))</f>
        <v/>
      </c>
      <c r="P86">
        <f>IF(K86="","",COUNTIFS(Detalle_Pagos!$E$5:$E$2004,K86,Detalle_Pagos!$J$5:$J$2004,"Si",Detalle_Pagos!$B$5:$B$2004,"&gt;="&amp;$B$3,Detalle_Pagos!$B$5:$B$2004,"&lt;="&amp;$B$4))</f>
        <v/>
      </c>
      <c r="Q86" s="43">
        <f>IF(K86="","",O86*IFERROR(INDEX(Trabajadores!$D$5:$D$204,MATCH(K86,Trabajadores!$B$5:$B$204,0)),0))</f>
        <v/>
      </c>
      <c r="R86" s="43">
        <f>IF(K86="","",N86+Q86)</f>
        <v/>
      </c>
      <c r="S86" s="43">
        <f>IF(K86="","",M86+N86)</f>
        <v/>
      </c>
      <c r="T86">
        <f>IF(K86="","",S86+R86/100000+L86/100000000+(100000-ROW())/1000000000)</f>
        <v/>
      </c>
    </row>
    <row r="87">
      <c r="A87" s="36">
        <f>IFERROR(INDEX($K$8:$K$207,MATCH(LARGE($T$8:$T$207,ROWS($A$8:A87)),$T$8:$T$207,0)),"")</f>
        <v/>
      </c>
      <c r="B87" s="36">
        <f>IFERROR(INDEX($L$8:$L$207,MATCH(LARGE($T$8:$T$207,ROWS($A$8:A87)),$T$8:$T$207,0)),"")</f>
        <v/>
      </c>
      <c r="C87" s="37">
        <f>IFERROR(INDEX($M$8:$M$207,MATCH(LARGE($T$8:$T$207,ROWS($A$8:A87)),$T$8:$T$207,0)),"")</f>
        <v/>
      </c>
      <c r="D87" s="37">
        <f>IFERROR(INDEX($N$8:$N$207,MATCH(LARGE($T$8:$T$207,ROWS($A$8:A87)),$T$8:$T$207,0)),"")</f>
        <v/>
      </c>
      <c r="E87" s="36">
        <f>IFERROR(INDEX($O$8:$O$207,MATCH(LARGE($T$8:$T$207,ROWS($A$8:A87)),$T$8:$T$207,0)),"")</f>
        <v/>
      </c>
      <c r="F87" s="36">
        <f>IFERROR(INDEX($P$8:$P$207,MATCH(LARGE($T$8:$T$207,ROWS($A$8:A87)),$T$8:$T$207,0)),"")</f>
        <v/>
      </c>
      <c r="G87" s="37">
        <f>IFERROR(INDEX($Q$8:$Q$207,MATCH(LARGE($T$8:$T$207,ROWS($A$8:A87)),$T$8:$T$207,0)),"")</f>
        <v/>
      </c>
      <c r="H87" s="37">
        <f>IFERROR(INDEX($R$8:$R$207,MATCH(LARGE($T$8:$T$207,ROWS($A$8:A87)),$T$8:$T$207,0)),"")</f>
        <v/>
      </c>
      <c r="I87" s="37">
        <f>IFERROR(INDEX($S$8:$S$207,MATCH(LARGE($T$8:$T$207,ROWS($A$8:A87)),$T$8:$T$207,0)),"")</f>
        <v/>
      </c>
      <c r="K87">
        <f>IF(Trabajadores!B84="","",Trabajadores!B84)</f>
        <v/>
      </c>
      <c r="L87">
        <f>IF(K87="","",COUNTIFS(Detalle_Pagos!$E$5:$E$2004,K87,Detalle_Pagos!$B$5:$B$2004,"&gt;="&amp;$B$3,Detalle_Pagos!$B$5:$B$2004,"&lt;="&amp;$B$4))</f>
        <v/>
      </c>
      <c r="M87" s="43">
        <f>IF(K87="","",SUMIFS(Detalle_Pagos!$I$5:$I$2004,Detalle_Pagos!$E$5:$E$2004,K87,Detalle_Pagos!$J$5:$J$2004,"Si",Detalle_Pagos!$B$5:$B$2004,"&gt;="&amp;$B$3,Detalle_Pagos!$B$5:$B$2004,"&lt;="&amp;$B$4))</f>
        <v/>
      </c>
      <c r="N87" s="43">
        <f>IF(K87="","",SUMIFS(Detalle_Pagos!$I$5:$I$2004,Detalle_Pagos!$E$5:$E$2004,K87,Detalle_Pagos!$J$5:$J$2004,"No",Detalle_Pagos!$B$5:$B$2004,"&gt;="&amp;$B$3,Detalle_Pagos!$B$5:$B$2004,"&lt;="&amp;$B$4))</f>
        <v/>
      </c>
      <c r="O87">
        <f>IF(K87="","",COUNTIFS(Detalle_Pagos!$E$5:$E$2004,K87,Detalle_Pagos!$J$5:$J$2004,"No",Detalle_Pagos!$B$5:$B$2004,"&gt;="&amp;$B$3,Detalle_Pagos!$B$5:$B$2004,"&lt;="&amp;$B$4))</f>
        <v/>
      </c>
      <c r="P87">
        <f>IF(K87="","",COUNTIFS(Detalle_Pagos!$E$5:$E$2004,K87,Detalle_Pagos!$J$5:$J$2004,"Si",Detalle_Pagos!$B$5:$B$2004,"&gt;="&amp;$B$3,Detalle_Pagos!$B$5:$B$2004,"&lt;="&amp;$B$4))</f>
        <v/>
      </c>
      <c r="Q87" s="43">
        <f>IF(K87="","",O87*IFERROR(INDEX(Trabajadores!$D$5:$D$204,MATCH(K87,Trabajadores!$B$5:$B$204,0)),0))</f>
        <v/>
      </c>
      <c r="R87" s="43">
        <f>IF(K87="","",N87+Q87)</f>
        <v/>
      </c>
      <c r="S87" s="43">
        <f>IF(K87="","",M87+N87)</f>
        <v/>
      </c>
      <c r="T87">
        <f>IF(K87="","",S87+R87/100000+L87/100000000+(100000-ROW())/1000000000)</f>
        <v/>
      </c>
    </row>
    <row r="88">
      <c r="A88" s="38">
        <f>IFERROR(INDEX($K$8:$K$207,MATCH(LARGE($T$8:$T$207,ROWS($A$8:A88)),$T$8:$T$207,0)),"")</f>
        <v/>
      </c>
      <c r="B88" s="38">
        <f>IFERROR(INDEX($L$8:$L$207,MATCH(LARGE($T$8:$T$207,ROWS($A$8:A88)),$T$8:$T$207,0)),"")</f>
        <v/>
      </c>
      <c r="C88" s="39">
        <f>IFERROR(INDEX($M$8:$M$207,MATCH(LARGE($T$8:$T$207,ROWS($A$8:A88)),$T$8:$T$207,0)),"")</f>
        <v/>
      </c>
      <c r="D88" s="39">
        <f>IFERROR(INDEX($N$8:$N$207,MATCH(LARGE($T$8:$T$207,ROWS($A$8:A88)),$T$8:$T$207,0)),"")</f>
        <v/>
      </c>
      <c r="E88" s="38">
        <f>IFERROR(INDEX($O$8:$O$207,MATCH(LARGE($T$8:$T$207,ROWS($A$8:A88)),$T$8:$T$207,0)),"")</f>
        <v/>
      </c>
      <c r="F88" s="38">
        <f>IFERROR(INDEX($P$8:$P$207,MATCH(LARGE($T$8:$T$207,ROWS($A$8:A88)),$T$8:$T$207,0)),"")</f>
        <v/>
      </c>
      <c r="G88" s="39">
        <f>IFERROR(INDEX($Q$8:$Q$207,MATCH(LARGE($T$8:$T$207,ROWS($A$8:A88)),$T$8:$T$207,0)),"")</f>
        <v/>
      </c>
      <c r="H88" s="39">
        <f>IFERROR(INDEX($R$8:$R$207,MATCH(LARGE($T$8:$T$207,ROWS($A$8:A88)),$T$8:$T$207,0)),"")</f>
        <v/>
      </c>
      <c r="I88" s="39">
        <f>IFERROR(INDEX($S$8:$S$207,MATCH(LARGE($T$8:$T$207,ROWS($A$8:A88)),$T$8:$T$207,0)),"")</f>
        <v/>
      </c>
      <c r="K88">
        <f>IF(Trabajadores!B85="","",Trabajadores!B85)</f>
        <v/>
      </c>
      <c r="L88">
        <f>IF(K88="","",COUNTIFS(Detalle_Pagos!$E$5:$E$2004,K88,Detalle_Pagos!$B$5:$B$2004,"&gt;="&amp;$B$3,Detalle_Pagos!$B$5:$B$2004,"&lt;="&amp;$B$4))</f>
        <v/>
      </c>
      <c r="M88" s="43">
        <f>IF(K88="","",SUMIFS(Detalle_Pagos!$I$5:$I$2004,Detalle_Pagos!$E$5:$E$2004,K88,Detalle_Pagos!$J$5:$J$2004,"Si",Detalle_Pagos!$B$5:$B$2004,"&gt;="&amp;$B$3,Detalle_Pagos!$B$5:$B$2004,"&lt;="&amp;$B$4))</f>
        <v/>
      </c>
      <c r="N88" s="43">
        <f>IF(K88="","",SUMIFS(Detalle_Pagos!$I$5:$I$2004,Detalle_Pagos!$E$5:$E$2004,K88,Detalle_Pagos!$J$5:$J$2004,"No",Detalle_Pagos!$B$5:$B$2004,"&gt;="&amp;$B$3,Detalle_Pagos!$B$5:$B$2004,"&lt;="&amp;$B$4))</f>
        <v/>
      </c>
      <c r="O88">
        <f>IF(K88="","",COUNTIFS(Detalle_Pagos!$E$5:$E$2004,K88,Detalle_Pagos!$J$5:$J$2004,"No",Detalle_Pagos!$B$5:$B$2004,"&gt;="&amp;$B$3,Detalle_Pagos!$B$5:$B$2004,"&lt;="&amp;$B$4))</f>
        <v/>
      </c>
      <c r="P88">
        <f>IF(K88="","",COUNTIFS(Detalle_Pagos!$E$5:$E$2004,K88,Detalle_Pagos!$J$5:$J$2004,"Si",Detalle_Pagos!$B$5:$B$2004,"&gt;="&amp;$B$3,Detalle_Pagos!$B$5:$B$2004,"&lt;="&amp;$B$4))</f>
        <v/>
      </c>
      <c r="Q88" s="43">
        <f>IF(K88="","",O88*IFERROR(INDEX(Trabajadores!$D$5:$D$204,MATCH(K88,Trabajadores!$B$5:$B$204,0)),0))</f>
        <v/>
      </c>
      <c r="R88" s="43">
        <f>IF(K88="","",N88+Q88)</f>
        <v/>
      </c>
      <c r="S88" s="43">
        <f>IF(K88="","",M88+N88)</f>
        <v/>
      </c>
      <c r="T88">
        <f>IF(K88="","",S88+R88/100000+L88/100000000+(100000-ROW())/1000000000)</f>
        <v/>
      </c>
    </row>
    <row r="89">
      <c r="A89" s="36">
        <f>IFERROR(INDEX($K$8:$K$207,MATCH(LARGE($T$8:$T$207,ROWS($A$8:A89)),$T$8:$T$207,0)),"")</f>
        <v/>
      </c>
      <c r="B89" s="36">
        <f>IFERROR(INDEX($L$8:$L$207,MATCH(LARGE($T$8:$T$207,ROWS($A$8:A89)),$T$8:$T$207,0)),"")</f>
        <v/>
      </c>
      <c r="C89" s="37">
        <f>IFERROR(INDEX($M$8:$M$207,MATCH(LARGE($T$8:$T$207,ROWS($A$8:A89)),$T$8:$T$207,0)),"")</f>
        <v/>
      </c>
      <c r="D89" s="37">
        <f>IFERROR(INDEX($N$8:$N$207,MATCH(LARGE($T$8:$T$207,ROWS($A$8:A89)),$T$8:$T$207,0)),"")</f>
        <v/>
      </c>
      <c r="E89" s="36">
        <f>IFERROR(INDEX($O$8:$O$207,MATCH(LARGE($T$8:$T$207,ROWS($A$8:A89)),$T$8:$T$207,0)),"")</f>
        <v/>
      </c>
      <c r="F89" s="36">
        <f>IFERROR(INDEX($P$8:$P$207,MATCH(LARGE($T$8:$T$207,ROWS($A$8:A89)),$T$8:$T$207,0)),"")</f>
        <v/>
      </c>
      <c r="G89" s="37">
        <f>IFERROR(INDEX($Q$8:$Q$207,MATCH(LARGE($T$8:$T$207,ROWS($A$8:A89)),$T$8:$T$207,0)),"")</f>
        <v/>
      </c>
      <c r="H89" s="37">
        <f>IFERROR(INDEX($R$8:$R$207,MATCH(LARGE($T$8:$T$207,ROWS($A$8:A89)),$T$8:$T$207,0)),"")</f>
        <v/>
      </c>
      <c r="I89" s="37">
        <f>IFERROR(INDEX($S$8:$S$207,MATCH(LARGE($T$8:$T$207,ROWS($A$8:A89)),$T$8:$T$207,0)),"")</f>
        <v/>
      </c>
      <c r="K89">
        <f>IF(Trabajadores!B86="","",Trabajadores!B86)</f>
        <v/>
      </c>
      <c r="L89">
        <f>IF(K89="","",COUNTIFS(Detalle_Pagos!$E$5:$E$2004,K89,Detalle_Pagos!$B$5:$B$2004,"&gt;="&amp;$B$3,Detalle_Pagos!$B$5:$B$2004,"&lt;="&amp;$B$4))</f>
        <v/>
      </c>
      <c r="M89" s="43">
        <f>IF(K89="","",SUMIFS(Detalle_Pagos!$I$5:$I$2004,Detalle_Pagos!$E$5:$E$2004,K89,Detalle_Pagos!$J$5:$J$2004,"Si",Detalle_Pagos!$B$5:$B$2004,"&gt;="&amp;$B$3,Detalle_Pagos!$B$5:$B$2004,"&lt;="&amp;$B$4))</f>
        <v/>
      </c>
      <c r="N89" s="43">
        <f>IF(K89="","",SUMIFS(Detalle_Pagos!$I$5:$I$2004,Detalle_Pagos!$E$5:$E$2004,K89,Detalle_Pagos!$J$5:$J$2004,"No",Detalle_Pagos!$B$5:$B$2004,"&gt;="&amp;$B$3,Detalle_Pagos!$B$5:$B$2004,"&lt;="&amp;$B$4))</f>
        <v/>
      </c>
      <c r="O89">
        <f>IF(K89="","",COUNTIFS(Detalle_Pagos!$E$5:$E$2004,K89,Detalle_Pagos!$J$5:$J$2004,"No",Detalle_Pagos!$B$5:$B$2004,"&gt;="&amp;$B$3,Detalle_Pagos!$B$5:$B$2004,"&lt;="&amp;$B$4))</f>
        <v/>
      </c>
      <c r="P89">
        <f>IF(K89="","",COUNTIFS(Detalle_Pagos!$E$5:$E$2004,K89,Detalle_Pagos!$J$5:$J$2004,"Si",Detalle_Pagos!$B$5:$B$2004,"&gt;="&amp;$B$3,Detalle_Pagos!$B$5:$B$2004,"&lt;="&amp;$B$4))</f>
        <v/>
      </c>
      <c r="Q89" s="43">
        <f>IF(K89="","",O89*IFERROR(INDEX(Trabajadores!$D$5:$D$204,MATCH(K89,Trabajadores!$B$5:$B$204,0)),0))</f>
        <v/>
      </c>
      <c r="R89" s="43">
        <f>IF(K89="","",N89+Q89)</f>
        <v/>
      </c>
      <c r="S89" s="43">
        <f>IF(K89="","",M89+N89)</f>
        <v/>
      </c>
      <c r="T89">
        <f>IF(K89="","",S89+R89/100000+L89/100000000+(100000-ROW())/1000000000)</f>
        <v/>
      </c>
    </row>
    <row r="90">
      <c r="A90" s="38">
        <f>IFERROR(INDEX($K$8:$K$207,MATCH(LARGE($T$8:$T$207,ROWS($A$8:A90)),$T$8:$T$207,0)),"")</f>
        <v/>
      </c>
      <c r="B90" s="38">
        <f>IFERROR(INDEX($L$8:$L$207,MATCH(LARGE($T$8:$T$207,ROWS($A$8:A90)),$T$8:$T$207,0)),"")</f>
        <v/>
      </c>
      <c r="C90" s="39">
        <f>IFERROR(INDEX($M$8:$M$207,MATCH(LARGE($T$8:$T$207,ROWS($A$8:A90)),$T$8:$T$207,0)),"")</f>
        <v/>
      </c>
      <c r="D90" s="39">
        <f>IFERROR(INDEX($N$8:$N$207,MATCH(LARGE($T$8:$T$207,ROWS($A$8:A90)),$T$8:$T$207,0)),"")</f>
        <v/>
      </c>
      <c r="E90" s="38">
        <f>IFERROR(INDEX($O$8:$O$207,MATCH(LARGE($T$8:$T$207,ROWS($A$8:A90)),$T$8:$T$207,0)),"")</f>
        <v/>
      </c>
      <c r="F90" s="38">
        <f>IFERROR(INDEX($P$8:$P$207,MATCH(LARGE($T$8:$T$207,ROWS($A$8:A90)),$T$8:$T$207,0)),"")</f>
        <v/>
      </c>
      <c r="G90" s="39">
        <f>IFERROR(INDEX($Q$8:$Q$207,MATCH(LARGE($T$8:$T$207,ROWS($A$8:A90)),$T$8:$T$207,0)),"")</f>
        <v/>
      </c>
      <c r="H90" s="39">
        <f>IFERROR(INDEX($R$8:$R$207,MATCH(LARGE($T$8:$T$207,ROWS($A$8:A90)),$T$8:$T$207,0)),"")</f>
        <v/>
      </c>
      <c r="I90" s="39">
        <f>IFERROR(INDEX($S$8:$S$207,MATCH(LARGE($T$8:$T$207,ROWS($A$8:A90)),$T$8:$T$207,0)),"")</f>
        <v/>
      </c>
      <c r="K90">
        <f>IF(Trabajadores!B87="","",Trabajadores!B87)</f>
        <v/>
      </c>
      <c r="L90">
        <f>IF(K90="","",COUNTIFS(Detalle_Pagos!$E$5:$E$2004,K90,Detalle_Pagos!$B$5:$B$2004,"&gt;="&amp;$B$3,Detalle_Pagos!$B$5:$B$2004,"&lt;="&amp;$B$4))</f>
        <v/>
      </c>
      <c r="M90" s="43">
        <f>IF(K90="","",SUMIFS(Detalle_Pagos!$I$5:$I$2004,Detalle_Pagos!$E$5:$E$2004,K90,Detalle_Pagos!$J$5:$J$2004,"Si",Detalle_Pagos!$B$5:$B$2004,"&gt;="&amp;$B$3,Detalle_Pagos!$B$5:$B$2004,"&lt;="&amp;$B$4))</f>
        <v/>
      </c>
      <c r="N90" s="43">
        <f>IF(K90="","",SUMIFS(Detalle_Pagos!$I$5:$I$2004,Detalle_Pagos!$E$5:$E$2004,K90,Detalle_Pagos!$J$5:$J$2004,"No",Detalle_Pagos!$B$5:$B$2004,"&gt;="&amp;$B$3,Detalle_Pagos!$B$5:$B$2004,"&lt;="&amp;$B$4))</f>
        <v/>
      </c>
      <c r="O90">
        <f>IF(K90="","",COUNTIFS(Detalle_Pagos!$E$5:$E$2004,K90,Detalle_Pagos!$J$5:$J$2004,"No",Detalle_Pagos!$B$5:$B$2004,"&gt;="&amp;$B$3,Detalle_Pagos!$B$5:$B$2004,"&lt;="&amp;$B$4))</f>
        <v/>
      </c>
      <c r="P90">
        <f>IF(K90="","",COUNTIFS(Detalle_Pagos!$E$5:$E$2004,K90,Detalle_Pagos!$J$5:$J$2004,"Si",Detalle_Pagos!$B$5:$B$2004,"&gt;="&amp;$B$3,Detalle_Pagos!$B$5:$B$2004,"&lt;="&amp;$B$4))</f>
        <v/>
      </c>
      <c r="Q90" s="43">
        <f>IF(K90="","",O90*IFERROR(INDEX(Trabajadores!$D$5:$D$204,MATCH(K90,Trabajadores!$B$5:$B$204,0)),0))</f>
        <v/>
      </c>
      <c r="R90" s="43">
        <f>IF(K90="","",N90+Q90)</f>
        <v/>
      </c>
      <c r="S90" s="43">
        <f>IF(K90="","",M90+N90)</f>
        <v/>
      </c>
      <c r="T90">
        <f>IF(K90="","",S90+R90/100000+L90/100000000+(100000-ROW())/1000000000)</f>
        <v/>
      </c>
    </row>
    <row r="91">
      <c r="A91" s="36">
        <f>IFERROR(INDEX($K$8:$K$207,MATCH(LARGE($T$8:$T$207,ROWS($A$8:A91)),$T$8:$T$207,0)),"")</f>
        <v/>
      </c>
      <c r="B91" s="36">
        <f>IFERROR(INDEX($L$8:$L$207,MATCH(LARGE($T$8:$T$207,ROWS($A$8:A91)),$T$8:$T$207,0)),"")</f>
        <v/>
      </c>
      <c r="C91" s="37">
        <f>IFERROR(INDEX($M$8:$M$207,MATCH(LARGE($T$8:$T$207,ROWS($A$8:A91)),$T$8:$T$207,0)),"")</f>
        <v/>
      </c>
      <c r="D91" s="37">
        <f>IFERROR(INDEX($N$8:$N$207,MATCH(LARGE($T$8:$T$207,ROWS($A$8:A91)),$T$8:$T$207,0)),"")</f>
        <v/>
      </c>
      <c r="E91" s="36">
        <f>IFERROR(INDEX($O$8:$O$207,MATCH(LARGE($T$8:$T$207,ROWS($A$8:A91)),$T$8:$T$207,0)),"")</f>
        <v/>
      </c>
      <c r="F91" s="36">
        <f>IFERROR(INDEX($P$8:$P$207,MATCH(LARGE($T$8:$T$207,ROWS($A$8:A91)),$T$8:$T$207,0)),"")</f>
        <v/>
      </c>
      <c r="G91" s="37">
        <f>IFERROR(INDEX($Q$8:$Q$207,MATCH(LARGE($T$8:$T$207,ROWS($A$8:A91)),$T$8:$T$207,0)),"")</f>
        <v/>
      </c>
      <c r="H91" s="37">
        <f>IFERROR(INDEX($R$8:$R$207,MATCH(LARGE($T$8:$T$207,ROWS($A$8:A91)),$T$8:$T$207,0)),"")</f>
        <v/>
      </c>
      <c r="I91" s="37">
        <f>IFERROR(INDEX($S$8:$S$207,MATCH(LARGE($T$8:$T$207,ROWS($A$8:A91)),$T$8:$T$207,0)),"")</f>
        <v/>
      </c>
      <c r="K91">
        <f>IF(Trabajadores!B88="","",Trabajadores!B88)</f>
        <v/>
      </c>
      <c r="L91">
        <f>IF(K91="","",COUNTIFS(Detalle_Pagos!$E$5:$E$2004,K91,Detalle_Pagos!$B$5:$B$2004,"&gt;="&amp;$B$3,Detalle_Pagos!$B$5:$B$2004,"&lt;="&amp;$B$4))</f>
        <v/>
      </c>
      <c r="M91" s="43">
        <f>IF(K91="","",SUMIFS(Detalle_Pagos!$I$5:$I$2004,Detalle_Pagos!$E$5:$E$2004,K91,Detalle_Pagos!$J$5:$J$2004,"Si",Detalle_Pagos!$B$5:$B$2004,"&gt;="&amp;$B$3,Detalle_Pagos!$B$5:$B$2004,"&lt;="&amp;$B$4))</f>
        <v/>
      </c>
      <c r="N91" s="43">
        <f>IF(K91="","",SUMIFS(Detalle_Pagos!$I$5:$I$2004,Detalle_Pagos!$E$5:$E$2004,K91,Detalle_Pagos!$J$5:$J$2004,"No",Detalle_Pagos!$B$5:$B$2004,"&gt;="&amp;$B$3,Detalle_Pagos!$B$5:$B$2004,"&lt;="&amp;$B$4))</f>
        <v/>
      </c>
      <c r="O91">
        <f>IF(K91="","",COUNTIFS(Detalle_Pagos!$E$5:$E$2004,K91,Detalle_Pagos!$J$5:$J$2004,"No",Detalle_Pagos!$B$5:$B$2004,"&gt;="&amp;$B$3,Detalle_Pagos!$B$5:$B$2004,"&lt;="&amp;$B$4))</f>
        <v/>
      </c>
      <c r="P91">
        <f>IF(K91="","",COUNTIFS(Detalle_Pagos!$E$5:$E$2004,K91,Detalle_Pagos!$J$5:$J$2004,"Si",Detalle_Pagos!$B$5:$B$2004,"&gt;="&amp;$B$3,Detalle_Pagos!$B$5:$B$2004,"&lt;="&amp;$B$4))</f>
        <v/>
      </c>
      <c r="Q91" s="43">
        <f>IF(K91="","",O91*IFERROR(INDEX(Trabajadores!$D$5:$D$204,MATCH(K91,Trabajadores!$B$5:$B$204,0)),0))</f>
        <v/>
      </c>
      <c r="R91" s="43">
        <f>IF(K91="","",N91+Q91)</f>
        <v/>
      </c>
      <c r="S91" s="43">
        <f>IF(K91="","",M91+N91)</f>
        <v/>
      </c>
      <c r="T91">
        <f>IF(K91="","",S91+R91/100000+L91/100000000+(100000-ROW())/1000000000)</f>
        <v/>
      </c>
    </row>
    <row r="92">
      <c r="A92" s="38">
        <f>IFERROR(INDEX($K$8:$K$207,MATCH(LARGE($T$8:$T$207,ROWS($A$8:A92)),$T$8:$T$207,0)),"")</f>
        <v/>
      </c>
      <c r="B92" s="38">
        <f>IFERROR(INDEX($L$8:$L$207,MATCH(LARGE($T$8:$T$207,ROWS($A$8:A92)),$T$8:$T$207,0)),"")</f>
        <v/>
      </c>
      <c r="C92" s="39">
        <f>IFERROR(INDEX($M$8:$M$207,MATCH(LARGE($T$8:$T$207,ROWS($A$8:A92)),$T$8:$T$207,0)),"")</f>
        <v/>
      </c>
      <c r="D92" s="39">
        <f>IFERROR(INDEX($N$8:$N$207,MATCH(LARGE($T$8:$T$207,ROWS($A$8:A92)),$T$8:$T$207,0)),"")</f>
        <v/>
      </c>
      <c r="E92" s="38">
        <f>IFERROR(INDEX($O$8:$O$207,MATCH(LARGE($T$8:$T$207,ROWS($A$8:A92)),$T$8:$T$207,0)),"")</f>
        <v/>
      </c>
      <c r="F92" s="38">
        <f>IFERROR(INDEX($P$8:$P$207,MATCH(LARGE($T$8:$T$207,ROWS($A$8:A92)),$T$8:$T$207,0)),"")</f>
        <v/>
      </c>
      <c r="G92" s="39">
        <f>IFERROR(INDEX($Q$8:$Q$207,MATCH(LARGE($T$8:$T$207,ROWS($A$8:A92)),$T$8:$T$207,0)),"")</f>
        <v/>
      </c>
      <c r="H92" s="39">
        <f>IFERROR(INDEX($R$8:$R$207,MATCH(LARGE($T$8:$T$207,ROWS($A$8:A92)),$T$8:$T$207,0)),"")</f>
        <v/>
      </c>
      <c r="I92" s="39">
        <f>IFERROR(INDEX($S$8:$S$207,MATCH(LARGE($T$8:$T$207,ROWS($A$8:A92)),$T$8:$T$207,0)),"")</f>
        <v/>
      </c>
      <c r="K92">
        <f>IF(Trabajadores!B89="","",Trabajadores!B89)</f>
        <v/>
      </c>
      <c r="L92">
        <f>IF(K92="","",COUNTIFS(Detalle_Pagos!$E$5:$E$2004,K92,Detalle_Pagos!$B$5:$B$2004,"&gt;="&amp;$B$3,Detalle_Pagos!$B$5:$B$2004,"&lt;="&amp;$B$4))</f>
        <v/>
      </c>
      <c r="M92" s="43">
        <f>IF(K92="","",SUMIFS(Detalle_Pagos!$I$5:$I$2004,Detalle_Pagos!$E$5:$E$2004,K92,Detalle_Pagos!$J$5:$J$2004,"Si",Detalle_Pagos!$B$5:$B$2004,"&gt;="&amp;$B$3,Detalle_Pagos!$B$5:$B$2004,"&lt;="&amp;$B$4))</f>
        <v/>
      </c>
      <c r="N92" s="43">
        <f>IF(K92="","",SUMIFS(Detalle_Pagos!$I$5:$I$2004,Detalle_Pagos!$E$5:$E$2004,K92,Detalle_Pagos!$J$5:$J$2004,"No",Detalle_Pagos!$B$5:$B$2004,"&gt;="&amp;$B$3,Detalle_Pagos!$B$5:$B$2004,"&lt;="&amp;$B$4))</f>
        <v/>
      </c>
      <c r="O92">
        <f>IF(K92="","",COUNTIFS(Detalle_Pagos!$E$5:$E$2004,K92,Detalle_Pagos!$J$5:$J$2004,"No",Detalle_Pagos!$B$5:$B$2004,"&gt;="&amp;$B$3,Detalle_Pagos!$B$5:$B$2004,"&lt;="&amp;$B$4))</f>
        <v/>
      </c>
      <c r="P92">
        <f>IF(K92="","",COUNTIFS(Detalle_Pagos!$E$5:$E$2004,K92,Detalle_Pagos!$J$5:$J$2004,"Si",Detalle_Pagos!$B$5:$B$2004,"&gt;="&amp;$B$3,Detalle_Pagos!$B$5:$B$2004,"&lt;="&amp;$B$4))</f>
        <v/>
      </c>
      <c r="Q92" s="43">
        <f>IF(K92="","",O92*IFERROR(INDEX(Trabajadores!$D$5:$D$204,MATCH(K92,Trabajadores!$B$5:$B$204,0)),0))</f>
        <v/>
      </c>
      <c r="R92" s="43">
        <f>IF(K92="","",N92+Q92)</f>
        <v/>
      </c>
      <c r="S92" s="43">
        <f>IF(K92="","",M92+N92)</f>
        <v/>
      </c>
      <c r="T92">
        <f>IF(K92="","",S92+R92/100000+L92/100000000+(100000-ROW())/1000000000)</f>
        <v/>
      </c>
    </row>
    <row r="93">
      <c r="A93" s="36">
        <f>IFERROR(INDEX($K$8:$K$207,MATCH(LARGE($T$8:$T$207,ROWS($A$8:A93)),$T$8:$T$207,0)),"")</f>
        <v/>
      </c>
      <c r="B93" s="36">
        <f>IFERROR(INDEX($L$8:$L$207,MATCH(LARGE($T$8:$T$207,ROWS($A$8:A93)),$T$8:$T$207,0)),"")</f>
        <v/>
      </c>
      <c r="C93" s="37">
        <f>IFERROR(INDEX($M$8:$M$207,MATCH(LARGE($T$8:$T$207,ROWS($A$8:A93)),$T$8:$T$207,0)),"")</f>
        <v/>
      </c>
      <c r="D93" s="37">
        <f>IFERROR(INDEX($N$8:$N$207,MATCH(LARGE($T$8:$T$207,ROWS($A$8:A93)),$T$8:$T$207,0)),"")</f>
        <v/>
      </c>
      <c r="E93" s="36">
        <f>IFERROR(INDEX($O$8:$O$207,MATCH(LARGE($T$8:$T$207,ROWS($A$8:A93)),$T$8:$T$207,0)),"")</f>
        <v/>
      </c>
      <c r="F93" s="36">
        <f>IFERROR(INDEX($P$8:$P$207,MATCH(LARGE($T$8:$T$207,ROWS($A$8:A93)),$T$8:$T$207,0)),"")</f>
        <v/>
      </c>
      <c r="G93" s="37">
        <f>IFERROR(INDEX($Q$8:$Q$207,MATCH(LARGE($T$8:$T$207,ROWS($A$8:A93)),$T$8:$T$207,0)),"")</f>
        <v/>
      </c>
      <c r="H93" s="37">
        <f>IFERROR(INDEX($R$8:$R$207,MATCH(LARGE($T$8:$T$207,ROWS($A$8:A93)),$T$8:$T$207,0)),"")</f>
        <v/>
      </c>
      <c r="I93" s="37">
        <f>IFERROR(INDEX($S$8:$S$207,MATCH(LARGE($T$8:$T$207,ROWS($A$8:A93)),$T$8:$T$207,0)),"")</f>
        <v/>
      </c>
      <c r="K93">
        <f>IF(Trabajadores!B90="","",Trabajadores!B90)</f>
        <v/>
      </c>
      <c r="L93">
        <f>IF(K93="","",COUNTIFS(Detalle_Pagos!$E$5:$E$2004,K93,Detalle_Pagos!$B$5:$B$2004,"&gt;="&amp;$B$3,Detalle_Pagos!$B$5:$B$2004,"&lt;="&amp;$B$4))</f>
        <v/>
      </c>
      <c r="M93" s="43">
        <f>IF(K93="","",SUMIFS(Detalle_Pagos!$I$5:$I$2004,Detalle_Pagos!$E$5:$E$2004,K93,Detalle_Pagos!$J$5:$J$2004,"Si",Detalle_Pagos!$B$5:$B$2004,"&gt;="&amp;$B$3,Detalle_Pagos!$B$5:$B$2004,"&lt;="&amp;$B$4))</f>
        <v/>
      </c>
      <c r="N93" s="43">
        <f>IF(K93="","",SUMIFS(Detalle_Pagos!$I$5:$I$2004,Detalle_Pagos!$E$5:$E$2004,K93,Detalle_Pagos!$J$5:$J$2004,"No",Detalle_Pagos!$B$5:$B$2004,"&gt;="&amp;$B$3,Detalle_Pagos!$B$5:$B$2004,"&lt;="&amp;$B$4))</f>
        <v/>
      </c>
      <c r="O93">
        <f>IF(K93="","",COUNTIFS(Detalle_Pagos!$E$5:$E$2004,K93,Detalle_Pagos!$J$5:$J$2004,"No",Detalle_Pagos!$B$5:$B$2004,"&gt;="&amp;$B$3,Detalle_Pagos!$B$5:$B$2004,"&lt;="&amp;$B$4))</f>
        <v/>
      </c>
      <c r="P93">
        <f>IF(K93="","",COUNTIFS(Detalle_Pagos!$E$5:$E$2004,K93,Detalle_Pagos!$J$5:$J$2004,"Si",Detalle_Pagos!$B$5:$B$2004,"&gt;="&amp;$B$3,Detalle_Pagos!$B$5:$B$2004,"&lt;="&amp;$B$4))</f>
        <v/>
      </c>
      <c r="Q93" s="43">
        <f>IF(K93="","",O93*IFERROR(INDEX(Trabajadores!$D$5:$D$204,MATCH(K93,Trabajadores!$B$5:$B$204,0)),0))</f>
        <v/>
      </c>
      <c r="R93" s="43">
        <f>IF(K93="","",N93+Q93)</f>
        <v/>
      </c>
      <c r="S93" s="43">
        <f>IF(K93="","",M93+N93)</f>
        <v/>
      </c>
      <c r="T93">
        <f>IF(K93="","",S93+R93/100000+L93/100000000+(100000-ROW())/1000000000)</f>
        <v/>
      </c>
    </row>
    <row r="94">
      <c r="A94" s="38">
        <f>IFERROR(INDEX($K$8:$K$207,MATCH(LARGE($T$8:$T$207,ROWS($A$8:A94)),$T$8:$T$207,0)),"")</f>
        <v/>
      </c>
      <c r="B94" s="38">
        <f>IFERROR(INDEX($L$8:$L$207,MATCH(LARGE($T$8:$T$207,ROWS($A$8:A94)),$T$8:$T$207,0)),"")</f>
        <v/>
      </c>
      <c r="C94" s="39">
        <f>IFERROR(INDEX($M$8:$M$207,MATCH(LARGE($T$8:$T$207,ROWS($A$8:A94)),$T$8:$T$207,0)),"")</f>
        <v/>
      </c>
      <c r="D94" s="39">
        <f>IFERROR(INDEX($N$8:$N$207,MATCH(LARGE($T$8:$T$207,ROWS($A$8:A94)),$T$8:$T$207,0)),"")</f>
        <v/>
      </c>
      <c r="E94" s="38">
        <f>IFERROR(INDEX($O$8:$O$207,MATCH(LARGE($T$8:$T$207,ROWS($A$8:A94)),$T$8:$T$207,0)),"")</f>
        <v/>
      </c>
      <c r="F94" s="38">
        <f>IFERROR(INDEX($P$8:$P$207,MATCH(LARGE($T$8:$T$207,ROWS($A$8:A94)),$T$8:$T$207,0)),"")</f>
        <v/>
      </c>
      <c r="G94" s="39">
        <f>IFERROR(INDEX($Q$8:$Q$207,MATCH(LARGE($T$8:$T$207,ROWS($A$8:A94)),$T$8:$T$207,0)),"")</f>
        <v/>
      </c>
      <c r="H94" s="39">
        <f>IFERROR(INDEX($R$8:$R$207,MATCH(LARGE($T$8:$T$207,ROWS($A$8:A94)),$T$8:$T$207,0)),"")</f>
        <v/>
      </c>
      <c r="I94" s="39">
        <f>IFERROR(INDEX($S$8:$S$207,MATCH(LARGE($T$8:$T$207,ROWS($A$8:A94)),$T$8:$T$207,0)),"")</f>
        <v/>
      </c>
      <c r="K94">
        <f>IF(Trabajadores!B91="","",Trabajadores!B91)</f>
        <v/>
      </c>
      <c r="L94">
        <f>IF(K94="","",COUNTIFS(Detalle_Pagos!$E$5:$E$2004,K94,Detalle_Pagos!$B$5:$B$2004,"&gt;="&amp;$B$3,Detalle_Pagos!$B$5:$B$2004,"&lt;="&amp;$B$4))</f>
        <v/>
      </c>
      <c r="M94" s="43">
        <f>IF(K94="","",SUMIFS(Detalle_Pagos!$I$5:$I$2004,Detalle_Pagos!$E$5:$E$2004,K94,Detalle_Pagos!$J$5:$J$2004,"Si",Detalle_Pagos!$B$5:$B$2004,"&gt;="&amp;$B$3,Detalle_Pagos!$B$5:$B$2004,"&lt;="&amp;$B$4))</f>
        <v/>
      </c>
      <c r="N94" s="43">
        <f>IF(K94="","",SUMIFS(Detalle_Pagos!$I$5:$I$2004,Detalle_Pagos!$E$5:$E$2004,K94,Detalle_Pagos!$J$5:$J$2004,"No",Detalle_Pagos!$B$5:$B$2004,"&gt;="&amp;$B$3,Detalle_Pagos!$B$5:$B$2004,"&lt;="&amp;$B$4))</f>
        <v/>
      </c>
      <c r="O94">
        <f>IF(K94="","",COUNTIFS(Detalle_Pagos!$E$5:$E$2004,K94,Detalle_Pagos!$J$5:$J$2004,"No",Detalle_Pagos!$B$5:$B$2004,"&gt;="&amp;$B$3,Detalle_Pagos!$B$5:$B$2004,"&lt;="&amp;$B$4))</f>
        <v/>
      </c>
      <c r="P94">
        <f>IF(K94="","",COUNTIFS(Detalle_Pagos!$E$5:$E$2004,K94,Detalle_Pagos!$J$5:$J$2004,"Si",Detalle_Pagos!$B$5:$B$2004,"&gt;="&amp;$B$3,Detalle_Pagos!$B$5:$B$2004,"&lt;="&amp;$B$4))</f>
        <v/>
      </c>
      <c r="Q94" s="43">
        <f>IF(K94="","",O94*IFERROR(INDEX(Trabajadores!$D$5:$D$204,MATCH(K94,Trabajadores!$B$5:$B$204,0)),0))</f>
        <v/>
      </c>
      <c r="R94" s="43">
        <f>IF(K94="","",N94+Q94)</f>
        <v/>
      </c>
      <c r="S94" s="43">
        <f>IF(K94="","",M94+N94)</f>
        <v/>
      </c>
      <c r="T94">
        <f>IF(K94="","",S94+R94/100000+L94/100000000+(100000-ROW())/1000000000)</f>
        <v/>
      </c>
    </row>
    <row r="95">
      <c r="A95" s="36">
        <f>IFERROR(INDEX($K$8:$K$207,MATCH(LARGE($T$8:$T$207,ROWS($A$8:A95)),$T$8:$T$207,0)),"")</f>
        <v/>
      </c>
      <c r="B95" s="36">
        <f>IFERROR(INDEX($L$8:$L$207,MATCH(LARGE($T$8:$T$207,ROWS($A$8:A95)),$T$8:$T$207,0)),"")</f>
        <v/>
      </c>
      <c r="C95" s="37">
        <f>IFERROR(INDEX($M$8:$M$207,MATCH(LARGE($T$8:$T$207,ROWS($A$8:A95)),$T$8:$T$207,0)),"")</f>
        <v/>
      </c>
      <c r="D95" s="37">
        <f>IFERROR(INDEX($N$8:$N$207,MATCH(LARGE($T$8:$T$207,ROWS($A$8:A95)),$T$8:$T$207,0)),"")</f>
        <v/>
      </c>
      <c r="E95" s="36">
        <f>IFERROR(INDEX($O$8:$O$207,MATCH(LARGE($T$8:$T$207,ROWS($A$8:A95)),$T$8:$T$207,0)),"")</f>
        <v/>
      </c>
      <c r="F95" s="36">
        <f>IFERROR(INDEX($P$8:$P$207,MATCH(LARGE($T$8:$T$207,ROWS($A$8:A95)),$T$8:$T$207,0)),"")</f>
        <v/>
      </c>
      <c r="G95" s="37">
        <f>IFERROR(INDEX($Q$8:$Q$207,MATCH(LARGE($T$8:$T$207,ROWS($A$8:A95)),$T$8:$T$207,0)),"")</f>
        <v/>
      </c>
      <c r="H95" s="37">
        <f>IFERROR(INDEX($R$8:$R$207,MATCH(LARGE($T$8:$T$207,ROWS($A$8:A95)),$T$8:$T$207,0)),"")</f>
        <v/>
      </c>
      <c r="I95" s="37">
        <f>IFERROR(INDEX($S$8:$S$207,MATCH(LARGE($T$8:$T$207,ROWS($A$8:A95)),$T$8:$T$207,0)),"")</f>
        <v/>
      </c>
      <c r="K95">
        <f>IF(Trabajadores!B92="","",Trabajadores!B92)</f>
        <v/>
      </c>
      <c r="L95">
        <f>IF(K95="","",COUNTIFS(Detalle_Pagos!$E$5:$E$2004,K95,Detalle_Pagos!$B$5:$B$2004,"&gt;="&amp;$B$3,Detalle_Pagos!$B$5:$B$2004,"&lt;="&amp;$B$4))</f>
        <v/>
      </c>
      <c r="M95" s="43">
        <f>IF(K95="","",SUMIFS(Detalle_Pagos!$I$5:$I$2004,Detalle_Pagos!$E$5:$E$2004,K95,Detalle_Pagos!$J$5:$J$2004,"Si",Detalle_Pagos!$B$5:$B$2004,"&gt;="&amp;$B$3,Detalle_Pagos!$B$5:$B$2004,"&lt;="&amp;$B$4))</f>
        <v/>
      </c>
      <c r="N95" s="43">
        <f>IF(K95="","",SUMIFS(Detalle_Pagos!$I$5:$I$2004,Detalle_Pagos!$E$5:$E$2004,K95,Detalle_Pagos!$J$5:$J$2004,"No",Detalle_Pagos!$B$5:$B$2004,"&gt;="&amp;$B$3,Detalle_Pagos!$B$5:$B$2004,"&lt;="&amp;$B$4))</f>
        <v/>
      </c>
      <c r="O95">
        <f>IF(K95="","",COUNTIFS(Detalle_Pagos!$E$5:$E$2004,K95,Detalle_Pagos!$J$5:$J$2004,"No",Detalle_Pagos!$B$5:$B$2004,"&gt;="&amp;$B$3,Detalle_Pagos!$B$5:$B$2004,"&lt;="&amp;$B$4))</f>
        <v/>
      </c>
      <c r="P95">
        <f>IF(K95="","",COUNTIFS(Detalle_Pagos!$E$5:$E$2004,K95,Detalle_Pagos!$J$5:$J$2004,"Si",Detalle_Pagos!$B$5:$B$2004,"&gt;="&amp;$B$3,Detalle_Pagos!$B$5:$B$2004,"&lt;="&amp;$B$4))</f>
        <v/>
      </c>
      <c r="Q95" s="43">
        <f>IF(K95="","",O95*IFERROR(INDEX(Trabajadores!$D$5:$D$204,MATCH(K95,Trabajadores!$B$5:$B$204,0)),0))</f>
        <v/>
      </c>
      <c r="R95" s="43">
        <f>IF(K95="","",N95+Q95)</f>
        <v/>
      </c>
      <c r="S95" s="43">
        <f>IF(K95="","",M95+N95)</f>
        <v/>
      </c>
      <c r="T95">
        <f>IF(K95="","",S95+R95/100000+L95/100000000+(100000-ROW())/1000000000)</f>
        <v/>
      </c>
    </row>
    <row r="96">
      <c r="A96" s="38">
        <f>IFERROR(INDEX($K$8:$K$207,MATCH(LARGE($T$8:$T$207,ROWS($A$8:A96)),$T$8:$T$207,0)),"")</f>
        <v/>
      </c>
      <c r="B96" s="38">
        <f>IFERROR(INDEX($L$8:$L$207,MATCH(LARGE($T$8:$T$207,ROWS($A$8:A96)),$T$8:$T$207,0)),"")</f>
        <v/>
      </c>
      <c r="C96" s="39">
        <f>IFERROR(INDEX($M$8:$M$207,MATCH(LARGE($T$8:$T$207,ROWS($A$8:A96)),$T$8:$T$207,0)),"")</f>
        <v/>
      </c>
      <c r="D96" s="39">
        <f>IFERROR(INDEX($N$8:$N$207,MATCH(LARGE($T$8:$T$207,ROWS($A$8:A96)),$T$8:$T$207,0)),"")</f>
        <v/>
      </c>
      <c r="E96" s="38">
        <f>IFERROR(INDEX($O$8:$O$207,MATCH(LARGE($T$8:$T$207,ROWS($A$8:A96)),$T$8:$T$207,0)),"")</f>
        <v/>
      </c>
      <c r="F96" s="38">
        <f>IFERROR(INDEX($P$8:$P$207,MATCH(LARGE($T$8:$T$207,ROWS($A$8:A96)),$T$8:$T$207,0)),"")</f>
        <v/>
      </c>
      <c r="G96" s="39">
        <f>IFERROR(INDEX($Q$8:$Q$207,MATCH(LARGE($T$8:$T$207,ROWS($A$8:A96)),$T$8:$T$207,0)),"")</f>
        <v/>
      </c>
      <c r="H96" s="39">
        <f>IFERROR(INDEX($R$8:$R$207,MATCH(LARGE($T$8:$T$207,ROWS($A$8:A96)),$T$8:$T$207,0)),"")</f>
        <v/>
      </c>
      <c r="I96" s="39">
        <f>IFERROR(INDEX($S$8:$S$207,MATCH(LARGE($T$8:$T$207,ROWS($A$8:A96)),$T$8:$T$207,0)),"")</f>
        <v/>
      </c>
      <c r="K96">
        <f>IF(Trabajadores!B93="","",Trabajadores!B93)</f>
        <v/>
      </c>
      <c r="L96">
        <f>IF(K96="","",COUNTIFS(Detalle_Pagos!$E$5:$E$2004,K96,Detalle_Pagos!$B$5:$B$2004,"&gt;="&amp;$B$3,Detalle_Pagos!$B$5:$B$2004,"&lt;="&amp;$B$4))</f>
        <v/>
      </c>
      <c r="M96" s="43">
        <f>IF(K96="","",SUMIFS(Detalle_Pagos!$I$5:$I$2004,Detalle_Pagos!$E$5:$E$2004,K96,Detalle_Pagos!$J$5:$J$2004,"Si",Detalle_Pagos!$B$5:$B$2004,"&gt;="&amp;$B$3,Detalle_Pagos!$B$5:$B$2004,"&lt;="&amp;$B$4))</f>
        <v/>
      </c>
      <c r="N96" s="43">
        <f>IF(K96="","",SUMIFS(Detalle_Pagos!$I$5:$I$2004,Detalle_Pagos!$E$5:$E$2004,K96,Detalle_Pagos!$J$5:$J$2004,"No",Detalle_Pagos!$B$5:$B$2004,"&gt;="&amp;$B$3,Detalle_Pagos!$B$5:$B$2004,"&lt;="&amp;$B$4))</f>
        <v/>
      </c>
      <c r="O96">
        <f>IF(K96="","",COUNTIFS(Detalle_Pagos!$E$5:$E$2004,K96,Detalle_Pagos!$J$5:$J$2004,"No",Detalle_Pagos!$B$5:$B$2004,"&gt;="&amp;$B$3,Detalle_Pagos!$B$5:$B$2004,"&lt;="&amp;$B$4))</f>
        <v/>
      </c>
      <c r="P96">
        <f>IF(K96="","",COUNTIFS(Detalle_Pagos!$E$5:$E$2004,K96,Detalle_Pagos!$J$5:$J$2004,"Si",Detalle_Pagos!$B$5:$B$2004,"&gt;="&amp;$B$3,Detalle_Pagos!$B$5:$B$2004,"&lt;="&amp;$B$4))</f>
        <v/>
      </c>
      <c r="Q96" s="43">
        <f>IF(K96="","",O96*IFERROR(INDEX(Trabajadores!$D$5:$D$204,MATCH(K96,Trabajadores!$B$5:$B$204,0)),0))</f>
        <v/>
      </c>
      <c r="R96" s="43">
        <f>IF(K96="","",N96+Q96)</f>
        <v/>
      </c>
      <c r="S96" s="43">
        <f>IF(K96="","",M96+N96)</f>
        <v/>
      </c>
      <c r="T96">
        <f>IF(K96="","",S96+R96/100000+L96/100000000+(100000-ROW())/1000000000)</f>
        <v/>
      </c>
    </row>
    <row r="97">
      <c r="A97" s="36">
        <f>IFERROR(INDEX($K$8:$K$207,MATCH(LARGE($T$8:$T$207,ROWS($A$8:A97)),$T$8:$T$207,0)),"")</f>
        <v/>
      </c>
      <c r="B97" s="36">
        <f>IFERROR(INDEX($L$8:$L$207,MATCH(LARGE($T$8:$T$207,ROWS($A$8:A97)),$T$8:$T$207,0)),"")</f>
        <v/>
      </c>
      <c r="C97" s="37">
        <f>IFERROR(INDEX($M$8:$M$207,MATCH(LARGE($T$8:$T$207,ROWS($A$8:A97)),$T$8:$T$207,0)),"")</f>
        <v/>
      </c>
      <c r="D97" s="37">
        <f>IFERROR(INDEX($N$8:$N$207,MATCH(LARGE($T$8:$T$207,ROWS($A$8:A97)),$T$8:$T$207,0)),"")</f>
        <v/>
      </c>
      <c r="E97" s="36">
        <f>IFERROR(INDEX($O$8:$O$207,MATCH(LARGE($T$8:$T$207,ROWS($A$8:A97)),$T$8:$T$207,0)),"")</f>
        <v/>
      </c>
      <c r="F97" s="36">
        <f>IFERROR(INDEX($P$8:$P$207,MATCH(LARGE($T$8:$T$207,ROWS($A$8:A97)),$T$8:$T$207,0)),"")</f>
        <v/>
      </c>
      <c r="G97" s="37">
        <f>IFERROR(INDEX($Q$8:$Q$207,MATCH(LARGE($T$8:$T$207,ROWS($A$8:A97)),$T$8:$T$207,0)),"")</f>
        <v/>
      </c>
      <c r="H97" s="37">
        <f>IFERROR(INDEX($R$8:$R$207,MATCH(LARGE($T$8:$T$207,ROWS($A$8:A97)),$T$8:$T$207,0)),"")</f>
        <v/>
      </c>
      <c r="I97" s="37">
        <f>IFERROR(INDEX($S$8:$S$207,MATCH(LARGE($T$8:$T$207,ROWS($A$8:A97)),$T$8:$T$207,0)),"")</f>
        <v/>
      </c>
      <c r="K97">
        <f>IF(Trabajadores!B94="","",Trabajadores!B94)</f>
        <v/>
      </c>
      <c r="L97">
        <f>IF(K97="","",COUNTIFS(Detalle_Pagos!$E$5:$E$2004,K97,Detalle_Pagos!$B$5:$B$2004,"&gt;="&amp;$B$3,Detalle_Pagos!$B$5:$B$2004,"&lt;="&amp;$B$4))</f>
        <v/>
      </c>
      <c r="M97" s="43">
        <f>IF(K97="","",SUMIFS(Detalle_Pagos!$I$5:$I$2004,Detalle_Pagos!$E$5:$E$2004,K97,Detalle_Pagos!$J$5:$J$2004,"Si",Detalle_Pagos!$B$5:$B$2004,"&gt;="&amp;$B$3,Detalle_Pagos!$B$5:$B$2004,"&lt;="&amp;$B$4))</f>
        <v/>
      </c>
      <c r="N97" s="43">
        <f>IF(K97="","",SUMIFS(Detalle_Pagos!$I$5:$I$2004,Detalle_Pagos!$E$5:$E$2004,K97,Detalle_Pagos!$J$5:$J$2004,"No",Detalle_Pagos!$B$5:$B$2004,"&gt;="&amp;$B$3,Detalle_Pagos!$B$5:$B$2004,"&lt;="&amp;$B$4))</f>
        <v/>
      </c>
      <c r="O97">
        <f>IF(K97="","",COUNTIFS(Detalle_Pagos!$E$5:$E$2004,K97,Detalle_Pagos!$J$5:$J$2004,"No",Detalle_Pagos!$B$5:$B$2004,"&gt;="&amp;$B$3,Detalle_Pagos!$B$5:$B$2004,"&lt;="&amp;$B$4))</f>
        <v/>
      </c>
      <c r="P97">
        <f>IF(K97="","",COUNTIFS(Detalle_Pagos!$E$5:$E$2004,K97,Detalle_Pagos!$J$5:$J$2004,"Si",Detalle_Pagos!$B$5:$B$2004,"&gt;="&amp;$B$3,Detalle_Pagos!$B$5:$B$2004,"&lt;="&amp;$B$4))</f>
        <v/>
      </c>
      <c r="Q97" s="43">
        <f>IF(K97="","",O97*IFERROR(INDEX(Trabajadores!$D$5:$D$204,MATCH(K97,Trabajadores!$B$5:$B$204,0)),0))</f>
        <v/>
      </c>
      <c r="R97" s="43">
        <f>IF(K97="","",N97+Q97)</f>
        <v/>
      </c>
      <c r="S97" s="43">
        <f>IF(K97="","",M97+N97)</f>
        <v/>
      </c>
      <c r="T97">
        <f>IF(K97="","",S97+R97/100000+L97/100000000+(100000-ROW())/1000000000)</f>
        <v/>
      </c>
    </row>
    <row r="98">
      <c r="A98" s="38">
        <f>IFERROR(INDEX($K$8:$K$207,MATCH(LARGE($T$8:$T$207,ROWS($A$8:A98)),$T$8:$T$207,0)),"")</f>
        <v/>
      </c>
      <c r="B98" s="38">
        <f>IFERROR(INDEX($L$8:$L$207,MATCH(LARGE($T$8:$T$207,ROWS($A$8:A98)),$T$8:$T$207,0)),"")</f>
        <v/>
      </c>
      <c r="C98" s="39">
        <f>IFERROR(INDEX($M$8:$M$207,MATCH(LARGE($T$8:$T$207,ROWS($A$8:A98)),$T$8:$T$207,0)),"")</f>
        <v/>
      </c>
      <c r="D98" s="39">
        <f>IFERROR(INDEX($N$8:$N$207,MATCH(LARGE($T$8:$T$207,ROWS($A$8:A98)),$T$8:$T$207,0)),"")</f>
        <v/>
      </c>
      <c r="E98" s="38">
        <f>IFERROR(INDEX($O$8:$O$207,MATCH(LARGE($T$8:$T$207,ROWS($A$8:A98)),$T$8:$T$207,0)),"")</f>
        <v/>
      </c>
      <c r="F98" s="38">
        <f>IFERROR(INDEX($P$8:$P$207,MATCH(LARGE($T$8:$T$207,ROWS($A$8:A98)),$T$8:$T$207,0)),"")</f>
        <v/>
      </c>
      <c r="G98" s="39">
        <f>IFERROR(INDEX($Q$8:$Q$207,MATCH(LARGE($T$8:$T$207,ROWS($A$8:A98)),$T$8:$T$207,0)),"")</f>
        <v/>
      </c>
      <c r="H98" s="39">
        <f>IFERROR(INDEX($R$8:$R$207,MATCH(LARGE($T$8:$T$207,ROWS($A$8:A98)),$T$8:$T$207,0)),"")</f>
        <v/>
      </c>
      <c r="I98" s="39">
        <f>IFERROR(INDEX($S$8:$S$207,MATCH(LARGE($T$8:$T$207,ROWS($A$8:A98)),$T$8:$T$207,0)),"")</f>
        <v/>
      </c>
      <c r="K98">
        <f>IF(Trabajadores!B95="","",Trabajadores!B95)</f>
        <v/>
      </c>
      <c r="L98">
        <f>IF(K98="","",COUNTIFS(Detalle_Pagos!$E$5:$E$2004,K98,Detalle_Pagos!$B$5:$B$2004,"&gt;="&amp;$B$3,Detalle_Pagos!$B$5:$B$2004,"&lt;="&amp;$B$4))</f>
        <v/>
      </c>
      <c r="M98" s="43">
        <f>IF(K98="","",SUMIFS(Detalle_Pagos!$I$5:$I$2004,Detalle_Pagos!$E$5:$E$2004,K98,Detalle_Pagos!$J$5:$J$2004,"Si",Detalle_Pagos!$B$5:$B$2004,"&gt;="&amp;$B$3,Detalle_Pagos!$B$5:$B$2004,"&lt;="&amp;$B$4))</f>
        <v/>
      </c>
      <c r="N98" s="43">
        <f>IF(K98="","",SUMIFS(Detalle_Pagos!$I$5:$I$2004,Detalle_Pagos!$E$5:$E$2004,K98,Detalle_Pagos!$J$5:$J$2004,"No",Detalle_Pagos!$B$5:$B$2004,"&gt;="&amp;$B$3,Detalle_Pagos!$B$5:$B$2004,"&lt;="&amp;$B$4))</f>
        <v/>
      </c>
      <c r="O98">
        <f>IF(K98="","",COUNTIFS(Detalle_Pagos!$E$5:$E$2004,K98,Detalle_Pagos!$J$5:$J$2004,"No",Detalle_Pagos!$B$5:$B$2004,"&gt;="&amp;$B$3,Detalle_Pagos!$B$5:$B$2004,"&lt;="&amp;$B$4))</f>
        <v/>
      </c>
      <c r="P98">
        <f>IF(K98="","",COUNTIFS(Detalle_Pagos!$E$5:$E$2004,K98,Detalle_Pagos!$J$5:$J$2004,"Si",Detalle_Pagos!$B$5:$B$2004,"&gt;="&amp;$B$3,Detalle_Pagos!$B$5:$B$2004,"&lt;="&amp;$B$4))</f>
        <v/>
      </c>
      <c r="Q98" s="43">
        <f>IF(K98="","",O98*IFERROR(INDEX(Trabajadores!$D$5:$D$204,MATCH(K98,Trabajadores!$B$5:$B$204,0)),0))</f>
        <v/>
      </c>
      <c r="R98" s="43">
        <f>IF(K98="","",N98+Q98)</f>
        <v/>
      </c>
      <c r="S98" s="43">
        <f>IF(K98="","",M98+N98)</f>
        <v/>
      </c>
      <c r="T98">
        <f>IF(K98="","",S98+R98/100000+L98/100000000+(100000-ROW())/1000000000)</f>
        <v/>
      </c>
    </row>
    <row r="99">
      <c r="A99" s="36">
        <f>IFERROR(INDEX($K$8:$K$207,MATCH(LARGE($T$8:$T$207,ROWS($A$8:A99)),$T$8:$T$207,0)),"")</f>
        <v/>
      </c>
      <c r="B99" s="36">
        <f>IFERROR(INDEX($L$8:$L$207,MATCH(LARGE($T$8:$T$207,ROWS($A$8:A99)),$T$8:$T$207,0)),"")</f>
        <v/>
      </c>
      <c r="C99" s="37">
        <f>IFERROR(INDEX($M$8:$M$207,MATCH(LARGE($T$8:$T$207,ROWS($A$8:A99)),$T$8:$T$207,0)),"")</f>
        <v/>
      </c>
      <c r="D99" s="37">
        <f>IFERROR(INDEX($N$8:$N$207,MATCH(LARGE($T$8:$T$207,ROWS($A$8:A99)),$T$8:$T$207,0)),"")</f>
        <v/>
      </c>
      <c r="E99" s="36">
        <f>IFERROR(INDEX($O$8:$O$207,MATCH(LARGE($T$8:$T$207,ROWS($A$8:A99)),$T$8:$T$207,0)),"")</f>
        <v/>
      </c>
      <c r="F99" s="36">
        <f>IFERROR(INDEX($P$8:$P$207,MATCH(LARGE($T$8:$T$207,ROWS($A$8:A99)),$T$8:$T$207,0)),"")</f>
        <v/>
      </c>
      <c r="G99" s="37">
        <f>IFERROR(INDEX($Q$8:$Q$207,MATCH(LARGE($T$8:$T$207,ROWS($A$8:A99)),$T$8:$T$207,0)),"")</f>
        <v/>
      </c>
      <c r="H99" s="37">
        <f>IFERROR(INDEX($R$8:$R$207,MATCH(LARGE($T$8:$T$207,ROWS($A$8:A99)),$T$8:$T$207,0)),"")</f>
        <v/>
      </c>
      <c r="I99" s="37">
        <f>IFERROR(INDEX($S$8:$S$207,MATCH(LARGE($T$8:$T$207,ROWS($A$8:A99)),$T$8:$T$207,0)),"")</f>
        <v/>
      </c>
      <c r="K99">
        <f>IF(Trabajadores!B96="","",Trabajadores!B96)</f>
        <v/>
      </c>
      <c r="L99">
        <f>IF(K99="","",COUNTIFS(Detalle_Pagos!$E$5:$E$2004,K99,Detalle_Pagos!$B$5:$B$2004,"&gt;="&amp;$B$3,Detalle_Pagos!$B$5:$B$2004,"&lt;="&amp;$B$4))</f>
        <v/>
      </c>
      <c r="M99" s="43">
        <f>IF(K99="","",SUMIFS(Detalle_Pagos!$I$5:$I$2004,Detalle_Pagos!$E$5:$E$2004,K99,Detalle_Pagos!$J$5:$J$2004,"Si",Detalle_Pagos!$B$5:$B$2004,"&gt;="&amp;$B$3,Detalle_Pagos!$B$5:$B$2004,"&lt;="&amp;$B$4))</f>
        <v/>
      </c>
      <c r="N99" s="43">
        <f>IF(K99="","",SUMIFS(Detalle_Pagos!$I$5:$I$2004,Detalle_Pagos!$E$5:$E$2004,K99,Detalle_Pagos!$J$5:$J$2004,"No",Detalle_Pagos!$B$5:$B$2004,"&gt;="&amp;$B$3,Detalle_Pagos!$B$5:$B$2004,"&lt;="&amp;$B$4))</f>
        <v/>
      </c>
      <c r="O99">
        <f>IF(K99="","",COUNTIFS(Detalle_Pagos!$E$5:$E$2004,K99,Detalle_Pagos!$J$5:$J$2004,"No",Detalle_Pagos!$B$5:$B$2004,"&gt;="&amp;$B$3,Detalle_Pagos!$B$5:$B$2004,"&lt;="&amp;$B$4))</f>
        <v/>
      </c>
      <c r="P99">
        <f>IF(K99="","",COUNTIFS(Detalle_Pagos!$E$5:$E$2004,K99,Detalle_Pagos!$J$5:$J$2004,"Si",Detalle_Pagos!$B$5:$B$2004,"&gt;="&amp;$B$3,Detalle_Pagos!$B$5:$B$2004,"&lt;="&amp;$B$4))</f>
        <v/>
      </c>
      <c r="Q99" s="43">
        <f>IF(K99="","",O99*IFERROR(INDEX(Trabajadores!$D$5:$D$204,MATCH(K99,Trabajadores!$B$5:$B$204,0)),0))</f>
        <v/>
      </c>
      <c r="R99" s="43">
        <f>IF(K99="","",N99+Q99)</f>
        <v/>
      </c>
      <c r="S99" s="43">
        <f>IF(K99="","",M99+N99)</f>
        <v/>
      </c>
      <c r="T99">
        <f>IF(K99="","",S99+R99/100000+L99/100000000+(100000-ROW())/1000000000)</f>
        <v/>
      </c>
    </row>
    <row r="100">
      <c r="A100" s="38">
        <f>IFERROR(INDEX($K$8:$K$207,MATCH(LARGE($T$8:$T$207,ROWS($A$8:A100)),$T$8:$T$207,0)),"")</f>
        <v/>
      </c>
      <c r="B100" s="38">
        <f>IFERROR(INDEX($L$8:$L$207,MATCH(LARGE($T$8:$T$207,ROWS($A$8:A100)),$T$8:$T$207,0)),"")</f>
        <v/>
      </c>
      <c r="C100" s="39">
        <f>IFERROR(INDEX($M$8:$M$207,MATCH(LARGE($T$8:$T$207,ROWS($A$8:A100)),$T$8:$T$207,0)),"")</f>
        <v/>
      </c>
      <c r="D100" s="39">
        <f>IFERROR(INDEX($N$8:$N$207,MATCH(LARGE($T$8:$T$207,ROWS($A$8:A100)),$T$8:$T$207,0)),"")</f>
        <v/>
      </c>
      <c r="E100" s="38">
        <f>IFERROR(INDEX($O$8:$O$207,MATCH(LARGE($T$8:$T$207,ROWS($A$8:A100)),$T$8:$T$207,0)),"")</f>
        <v/>
      </c>
      <c r="F100" s="38">
        <f>IFERROR(INDEX($P$8:$P$207,MATCH(LARGE($T$8:$T$207,ROWS($A$8:A100)),$T$8:$T$207,0)),"")</f>
        <v/>
      </c>
      <c r="G100" s="39">
        <f>IFERROR(INDEX($Q$8:$Q$207,MATCH(LARGE($T$8:$T$207,ROWS($A$8:A100)),$T$8:$T$207,0)),"")</f>
        <v/>
      </c>
      <c r="H100" s="39">
        <f>IFERROR(INDEX($R$8:$R$207,MATCH(LARGE($T$8:$T$207,ROWS($A$8:A100)),$T$8:$T$207,0)),"")</f>
        <v/>
      </c>
      <c r="I100" s="39">
        <f>IFERROR(INDEX($S$8:$S$207,MATCH(LARGE($T$8:$T$207,ROWS($A$8:A100)),$T$8:$T$207,0)),"")</f>
        <v/>
      </c>
      <c r="K100">
        <f>IF(Trabajadores!B97="","",Trabajadores!B97)</f>
        <v/>
      </c>
      <c r="L100">
        <f>IF(K100="","",COUNTIFS(Detalle_Pagos!$E$5:$E$2004,K100,Detalle_Pagos!$B$5:$B$2004,"&gt;="&amp;$B$3,Detalle_Pagos!$B$5:$B$2004,"&lt;="&amp;$B$4))</f>
        <v/>
      </c>
      <c r="M100" s="43">
        <f>IF(K100="","",SUMIFS(Detalle_Pagos!$I$5:$I$2004,Detalle_Pagos!$E$5:$E$2004,K100,Detalle_Pagos!$J$5:$J$2004,"Si",Detalle_Pagos!$B$5:$B$2004,"&gt;="&amp;$B$3,Detalle_Pagos!$B$5:$B$2004,"&lt;="&amp;$B$4))</f>
        <v/>
      </c>
      <c r="N100" s="43">
        <f>IF(K100="","",SUMIFS(Detalle_Pagos!$I$5:$I$2004,Detalle_Pagos!$E$5:$E$2004,K100,Detalle_Pagos!$J$5:$J$2004,"No",Detalle_Pagos!$B$5:$B$2004,"&gt;="&amp;$B$3,Detalle_Pagos!$B$5:$B$2004,"&lt;="&amp;$B$4))</f>
        <v/>
      </c>
      <c r="O100">
        <f>IF(K100="","",COUNTIFS(Detalle_Pagos!$E$5:$E$2004,K100,Detalle_Pagos!$J$5:$J$2004,"No",Detalle_Pagos!$B$5:$B$2004,"&gt;="&amp;$B$3,Detalle_Pagos!$B$5:$B$2004,"&lt;="&amp;$B$4))</f>
        <v/>
      </c>
      <c r="P100">
        <f>IF(K100="","",COUNTIFS(Detalle_Pagos!$E$5:$E$2004,K100,Detalle_Pagos!$J$5:$J$2004,"Si",Detalle_Pagos!$B$5:$B$2004,"&gt;="&amp;$B$3,Detalle_Pagos!$B$5:$B$2004,"&lt;="&amp;$B$4))</f>
        <v/>
      </c>
      <c r="Q100" s="43">
        <f>IF(K100="","",O100*IFERROR(INDEX(Trabajadores!$D$5:$D$204,MATCH(K100,Trabajadores!$B$5:$B$204,0)),0))</f>
        <v/>
      </c>
      <c r="R100" s="43">
        <f>IF(K100="","",N100+Q100)</f>
        <v/>
      </c>
      <c r="S100" s="43">
        <f>IF(K100="","",M100+N100)</f>
        <v/>
      </c>
      <c r="T100">
        <f>IF(K100="","",S100+R100/100000+L100/100000000+(100000-ROW())/1000000000)</f>
        <v/>
      </c>
    </row>
    <row r="101">
      <c r="A101" s="36">
        <f>IFERROR(INDEX($K$8:$K$207,MATCH(LARGE($T$8:$T$207,ROWS($A$8:A101)),$T$8:$T$207,0)),"")</f>
        <v/>
      </c>
      <c r="B101" s="36">
        <f>IFERROR(INDEX($L$8:$L$207,MATCH(LARGE($T$8:$T$207,ROWS($A$8:A101)),$T$8:$T$207,0)),"")</f>
        <v/>
      </c>
      <c r="C101" s="37">
        <f>IFERROR(INDEX($M$8:$M$207,MATCH(LARGE($T$8:$T$207,ROWS($A$8:A101)),$T$8:$T$207,0)),"")</f>
        <v/>
      </c>
      <c r="D101" s="37">
        <f>IFERROR(INDEX($N$8:$N$207,MATCH(LARGE($T$8:$T$207,ROWS($A$8:A101)),$T$8:$T$207,0)),"")</f>
        <v/>
      </c>
      <c r="E101" s="36">
        <f>IFERROR(INDEX($O$8:$O$207,MATCH(LARGE($T$8:$T$207,ROWS($A$8:A101)),$T$8:$T$207,0)),"")</f>
        <v/>
      </c>
      <c r="F101" s="36">
        <f>IFERROR(INDEX($P$8:$P$207,MATCH(LARGE($T$8:$T$207,ROWS($A$8:A101)),$T$8:$T$207,0)),"")</f>
        <v/>
      </c>
      <c r="G101" s="37">
        <f>IFERROR(INDEX($Q$8:$Q$207,MATCH(LARGE($T$8:$T$207,ROWS($A$8:A101)),$T$8:$T$207,0)),"")</f>
        <v/>
      </c>
      <c r="H101" s="37">
        <f>IFERROR(INDEX($R$8:$R$207,MATCH(LARGE($T$8:$T$207,ROWS($A$8:A101)),$T$8:$T$207,0)),"")</f>
        <v/>
      </c>
      <c r="I101" s="37">
        <f>IFERROR(INDEX($S$8:$S$207,MATCH(LARGE($T$8:$T$207,ROWS($A$8:A101)),$T$8:$T$207,0)),"")</f>
        <v/>
      </c>
      <c r="K101">
        <f>IF(Trabajadores!B98="","",Trabajadores!B98)</f>
        <v/>
      </c>
      <c r="L101">
        <f>IF(K101="","",COUNTIFS(Detalle_Pagos!$E$5:$E$2004,K101,Detalle_Pagos!$B$5:$B$2004,"&gt;="&amp;$B$3,Detalle_Pagos!$B$5:$B$2004,"&lt;="&amp;$B$4))</f>
        <v/>
      </c>
      <c r="M101" s="43">
        <f>IF(K101="","",SUMIFS(Detalle_Pagos!$I$5:$I$2004,Detalle_Pagos!$E$5:$E$2004,K101,Detalle_Pagos!$J$5:$J$2004,"Si",Detalle_Pagos!$B$5:$B$2004,"&gt;="&amp;$B$3,Detalle_Pagos!$B$5:$B$2004,"&lt;="&amp;$B$4))</f>
        <v/>
      </c>
      <c r="N101" s="43">
        <f>IF(K101="","",SUMIFS(Detalle_Pagos!$I$5:$I$2004,Detalle_Pagos!$E$5:$E$2004,K101,Detalle_Pagos!$J$5:$J$2004,"No",Detalle_Pagos!$B$5:$B$2004,"&gt;="&amp;$B$3,Detalle_Pagos!$B$5:$B$2004,"&lt;="&amp;$B$4))</f>
        <v/>
      </c>
      <c r="O101">
        <f>IF(K101="","",COUNTIFS(Detalle_Pagos!$E$5:$E$2004,K101,Detalle_Pagos!$J$5:$J$2004,"No",Detalle_Pagos!$B$5:$B$2004,"&gt;="&amp;$B$3,Detalle_Pagos!$B$5:$B$2004,"&lt;="&amp;$B$4))</f>
        <v/>
      </c>
      <c r="P101">
        <f>IF(K101="","",COUNTIFS(Detalle_Pagos!$E$5:$E$2004,K101,Detalle_Pagos!$J$5:$J$2004,"Si",Detalle_Pagos!$B$5:$B$2004,"&gt;="&amp;$B$3,Detalle_Pagos!$B$5:$B$2004,"&lt;="&amp;$B$4))</f>
        <v/>
      </c>
      <c r="Q101" s="43">
        <f>IF(K101="","",O101*IFERROR(INDEX(Trabajadores!$D$5:$D$204,MATCH(K101,Trabajadores!$B$5:$B$204,0)),0))</f>
        <v/>
      </c>
      <c r="R101" s="43">
        <f>IF(K101="","",N101+Q101)</f>
        <v/>
      </c>
      <c r="S101" s="43">
        <f>IF(K101="","",M101+N101)</f>
        <v/>
      </c>
      <c r="T101">
        <f>IF(K101="","",S101+R101/100000+L101/100000000+(100000-ROW())/1000000000)</f>
        <v/>
      </c>
    </row>
    <row r="102">
      <c r="A102" s="38">
        <f>IFERROR(INDEX($K$8:$K$207,MATCH(LARGE($T$8:$T$207,ROWS($A$8:A102)),$T$8:$T$207,0)),"")</f>
        <v/>
      </c>
      <c r="B102" s="38">
        <f>IFERROR(INDEX($L$8:$L$207,MATCH(LARGE($T$8:$T$207,ROWS($A$8:A102)),$T$8:$T$207,0)),"")</f>
        <v/>
      </c>
      <c r="C102" s="39">
        <f>IFERROR(INDEX($M$8:$M$207,MATCH(LARGE($T$8:$T$207,ROWS($A$8:A102)),$T$8:$T$207,0)),"")</f>
        <v/>
      </c>
      <c r="D102" s="39">
        <f>IFERROR(INDEX($N$8:$N$207,MATCH(LARGE($T$8:$T$207,ROWS($A$8:A102)),$T$8:$T$207,0)),"")</f>
        <v/>
      </c>
      <c r="E102" s="38">
        <f>IFERROR(INDEX($O$8:$O$207,MATCH(LARGE($T$8:$T$207,ROWS($A$8:A102)),$T$8:$T$207,0)),"")</f>
        <v/>
      </c>
      <c r="F102" s="38">
        <f>IFERROR(INDEX($P$8:$P$207,MATCH(LARGE($T$8:$T$207,ROWS($A$8:A102)),$T$8:$T$207,0)),"")</f>
        <v/>
      </c>
      <c r="G102" s="39">
        <f>IFERROR(INDEX($Q$8:$Q$207,MATCH(LARGE($T$8:$T$207,ROWS($A$8:A102)),$T$8:$T$207,0)),"")</f>
        <v/>
      </c>
      <c r="H102" s="39">
        <f>IFERROR(INDEX($R$8:$R$207,MATCH(LARGE($T$8:$T$207,ROWS($A$8:A102)),$T$8:$T$207,0)),"")</f>
        <v/>
      </c>
      <c r="I102" s="39">
        <f>IFERROR(INDEX($S$8:$S$207,MATCH(LARGE($T$8:$T$207,ROWS($A$8:A102)),$T$8:$T$207,0)),"")</f>
        <v/>
      </c>
      <c r="K102">
        <f>IF(Trabajadores!B99="","",Trabajadores!B99)</f>
        <v/>
      </c>
      <c r="L102">
        <f>IF(K102="","",COUNTIFS(Detalle_Pagos!$E$5:$E$2004,K102,Detalle_Pagos!$B$5:$B$2004,"&gt;="&amp;$B$3,Detalle_Pagos!$B$5:$B$2004,"&lt;="&amp;$B$4))</f>
        <v/>
      </c>
      <c r="M102" s="43">
        <f>IF(K102="","",SUMIFS(Detalle_Pagos!$I$5:$I$2004,Detalle_Pagos!$E$5:$E$2004,K102,Detalle_Pagos!$J$5:$J$2004,"Si",Detalle_Pagos!$B$5:$B$2004,"&gt;="&amp;$B$3,Detalle_Pagos!$B$5:$B$2004,"&lt;="&amp;$B$4))</f>
        <v/>
      </c>
      <c r="N102" s="43">
        <f>IF(K102="","",SUMIFS(Detalle_Pagos!$I$5:$I$2004,Detalle_Pagos!$E$5:$E$2004,K102,Detalle_Pagos!$J$5:$J$2004,"No",Detalle_Pagos!$B$5:$B$2004,"&gt;="&amp;$B$3,Detalle_Pagos!$B$5:$B$2004,"&lt;="&amp;$B$4))</f>
        <v/>
      </c>
      <c r="O102">
        <f>IF(K102="","",COUNTIFS(Detalle_Pagos!$E$5:$E$2004,K102,Detalle_Pagos!$J$5:$J$2004,"No",Detalle_Pagos!$B$5:$B$2004,"&gt;="&amp;$B$3,Detalle_Pagos!$B$5:$B$2004,"&lt;="&amp;$B$4))</f>
        <v/>
      </c>
      <c r="P102">
        <f>IF(K102="","",COUNTIFS(Detalle_Pagos!$E$5:$E$2004,K102,Detalle_Pagos!$J$5:$J$2004,"Si",Detalle_Pagos!$B$5:$B$2004,"&gt;="&amp;$B$3,Detalle_Pagos!$B$5:$B$2004,"&lt;="&amp;$B$4))</f>
        <v/>
      </c>
      <c r="Q102" s="43">
        <f>IF(K102="","",O102*IFERROR(INDEX(Trabajadores!$D$5:$D$204,MATCH(K102,Trabajadores!$B$5:$B$204,0)),0))</f>
        <v/>
      </c>
      <c r="R102" s="43">
        <f>IF(K102="","",N102+Q102)</f>
        <v/>
      </c>
      <c r="S102" s="43">
        <f>IF(K102="","",M102+N102)</f>
        <v/>
      </c>
      <c r="T102">
        <f>IF(K102="","",S102+R102/100000+L102/100000000+(100000-ROW())/1000000000)</f>
        <v/>
      </c>
    </row>
    <row r="103">
      <c r="A103" s="36">
        <f>IFERROR(INDEX($K$8:$K$207,MATCH(LARGE($T$8:$T$207,ROWS($A$8:A103)),$T$8:$T$207,0)),"")</f>
        <v/>
      </c>
      <c r="B103" s="36">
        <f>IFERROR(INDEX($L$8:$L$207,MATCH(LARGE($T$8:$T$207,ROWS($A$8:A103)),$T$8:$T$207,0)),"")</f>
        <v/>
      </c>
      <c r="C103" s="37">
        <f>IFERROR(INDEX($M$8:$M$207,MATCH(LARGE($T$8:$T$207,ROWS($A$8:A103)),$T$8:$T$207,0)),"")</f>
        <v/>
      </c>
      <c r="D103" s="37">
        <f>IFERROR(INDEX($N$8:$N$207,MATCH(LARGE($T$8:$T$207,ROWS($A$8:A103)),$T$8:$T$207,0)),"")</f>
        <v/>
      </c>
      <c r="E103" s="36">
        <f>IFERROR(INDEX($O$8:$O$207,MATCH(LARGE($T$8:$T$207,ROWS($A$8:A103)),$T$8:$T$207,0)),"")</f>
        <v/>
      </c>
      <c r="F103" s="36">
        <f>IFERROR(INDEX($P$8:$P$207,MATCH(LARGE($T$8:$T$207,ROWS($A$8:A103)),$T$8:$T$207,0)),"")</f>
        <v/>
      </c>
      <c r="G103" s="37">
        <f>IFERROR(INDEX($Q$8:$Q$207,MATCH(LARGE($T$8:$T$207,ROWS($A$8:A103)),$T$8:$T$207,0)),"")</f>
        <v/>
      </c>
      <c r="H103" s="37">
        <f>IFERROR(INDEX($R$8:$R$207,MATCH(LARGE($T$8:$T$207,ROWS($A$8:A103)),$T$8:$T$207,0)),"")</f>
        <v/>
      </c>
      <c r="I103" s="37">
        <f>IFERROR(INDEX($S$8:$S$207,MATCH(LARGE($T$8:$T$207,ROWS($A$8:A103)),$T$8:$T$207,0)),"")</f>
        <v/>
      </c>
      <c r="K103">
        <f>IF(Trabajadores!B100="","",Trabajadores!B100)</f>
        <v/>
      </c>
      <c r="L103">
        <f>IF(K103="","",COUNTIFS(Detalle_Pagos!$E$5:$E$2004,K103,Detalle_Pagos!$B$5:$B$2004,"&gt;="&amp;$B$3,Detalle_Pagos!$B$5:$B$2004,"&lt;="&amp;$B$4))</f>
        <v/>
      </c>
      <c r="M103" s="43">
        <f>IF(K103="","",SUMIFS(Detalle_Pagos!$I$5:$I$2004,Detalle_Pagos!$E$5:$E$2004,K103,Detalle_Pagos!$J$5:$J$2004,"Si",Detalle_Pagos!$B$5:$B$2004,"&gt;="&amp;$B$3,Detalle_Pagos!$B$5:$B$2004,"&lt;="&amp;$B$4))</f>
        <v/>
      </c>
      <c r="N103" s="43">
        <f>IF(K103="","",SUMIFS(Detalle_Pagos!$I$5:$I$2004,Detalle_Pagos!$E$5:$E$2004,K103,Detalle_Pagos!$J$5:$J$2004,"No",Detalle_Pagos!$B$5:$B$2004,"&gt;="&amp;$B$3,Detalle_Pagos!$B$5:$B$2004,"&lt;="&amp;$B$4))</f>
        <v/>
      </c>
      <c r="O103">
        <f>IF(K103="","",COUNTIFS(Detalle_Pagos!$E$5:$E$2004,K103,Detalle_Pagos!$J$5:$J$2004,"No",Detalle_Pagos!$B$5:$B$2004,"&gt;="&amp;$B$3,Detalle_Pagos!$B$5:$B$2004,"&lt;="&amp;$B$4))</f>
        <v/>
      </c>
      <c r="P103">
        <f>IF(K103="","",COUNTIFS(Detalle_Pagos!$E$5:$E$2004,K103,Detalle_Pagos!$J$5:$J$2004,"Si",Detalle_Pagos!$B$5:$B$2004,"&gt;="&amp;$B$3,Detalle_Pagos!$B$5:$B$2004,"&lt;="&amp;$B$4))</f>
        <v/>
      </c>
      <c r="Q103" s="43">
        <f>IF(K103="","",O103*IFERROR(INDEX(Trabajadores!$D$5:$D$204,MATCH(K103,Trabajadores!$B$5:$B$204,0)),0))</f>
        <v/>
      </c>
      <c r="R103" s="43">
        <f>IF(K103="","",N103+Q103)</f>
        <v/>
      </c>
      <c r="S103" s="43">
        <f>IF(K103="","",M103+N103)</f>
        <v/>
      </c>
      <c r="T103">
        <f>IF(K103="","",S103+R103/100000+L103/100000000+(100000-ROW())/1000000000)</f>
        <v/>
      </c>
    </row>
    <row r="104">
      <c r="A104" s="38">
        <f>IFERROR(INDEX($K$8:$K$207,MATCH(LARGE($T$8:$T$207,ROWS($A$8:A104)),$T$8:$T$207,0)),"")</f>
        <v/>
      </c>
      <c r="B104" s="38">
        <f>IFERROR(INDEX($L$8:$L$207,MATCH(LARGE($T$8:$T$207,ROWS($A$8:A104)),$T$8:$T$207,0)),"")</f>
        <v/>
      </c>
      <c r="C104" s="39">
        <f>IFERROR(INDEX($M$8:$M$207,MATCH(LARGE($T$8:$T$207,ROWS($A$8:A104)),$T$8:$T$207,0)),"")</f>
        <v/>
      </c>
      <c r="D104" s="39">
        <f>IFERROR(INDEX($N$8:$N$207,MATCH(LARGE($T$8:$T$207,ROWS($A$8:A104)),$T$8:$T$207,0)),"")</f>
        <v/>
      </c>
      <c r="E104" s="38">
        <f>IFERROR(INDEX($O$8:$O$207,MATCH(LARGE($T$8:$T$207,ROWS($A$8:A104)),$T$8:$T$207,0)),"")</f>
        <v/>
      </c>
      <c r="F104" s="38">
        <f>IFERROR(INDEX($P$8:$P$207,MATCH(LARGE($T$8:$T$207,ROWS($A$8:A104)),$T$8:$T$207,0)),"")</f>
        <v/>
      </c>
      <c r="G104" s="39">
        <f>IFERROR(INDEX($Q$8:$Q$207,MATCH(LARGE($T$8:$T$207,ROWS($A$8:A104)),$T$8:$T$207,0)),"")</f>
        <v/>
      </c>
      <c r="H104" s="39">
        <f>IFERROR(INDEX($R$8:$R$207,MATCH(LARGE($T$8:$T$207,ROWS($A$8:A104)),$T$8:$T$207,0)),"")</f>
        <v/>
      </c>
      <c r="I104" s="39">
        <f>IFERROR(INDEX($S$8:$S$207,MATCH(LARGE($T$8:$T$207,ROWS($A$8:A104)),$T$8:$T$207,0)),"")</f>
        <v/>
      </c>
      <c r="K104">
        <f>IF(Trabajadores!B101="","",Trabajadores!B101)</f>
        <v/>
      </c>
      <c r="L104">
        <f>IF(K104="","",COUNTIFS(Detalle_Pagos!$E$5:$E$2004,K104,Detalle_Pagos!$B$5:$B$2004,"&gt;="&amp;$B$3,Detalle_Pagos!$B$5:$B$2004,"&lt;="&amp;$B$4))</f>
        <v/>
      </c>
      <c r="M104" s="43">
        <f>IF(K104="","",SUMIFS(Detalle_Pagos!$I$5:$I$2004,Detalle_Pagos!$E$5:$E$2004,K104,Detalle_Pagos!$J$5:$J$2004,"Si",Detalle_Pagos!$B$5:$B$2004,"&gt;="&amp;$B$3,Detalle_Pagos!$B$5:$B$2004,"&lt;="&amp;$B$4))</f>
        <v/>
      </c>
      <c r="N104" s="43">
        <f>IF(K104="","",SUMIFS(Detalle_Pagos!$I$5:$I$2004,Detalle_Pagos!$E$5:$E$2004,K104,Detalle_Pagos!$J$5:$J$2004,"No",Detalle_Pagos!$B$5:$B$2004,"&gt;="&amp;$B$3,Detalle_Pagos!$B$5:$B$2004,"&lt;="&amp;$B$4))</f>
        <v/>
      </c>
      <c r="O104">
        <f>IF(K104="","",COUNTIFS(Detalle_Pagos!$E$5:$E$2004,K104,Detalle_Pagos!$J$5:$J$2004,"No",Detalle_Pagos!$B$5:$B$2004,"&gt;="&amp;$B$3,Detalle_Pagos!$B$5:$B$2004,"&lt;="&amp;$B$4))</f>
        <v/>
      </c>
      <c r="P104">
        <f>IF(K104="","",COUNTIFS(Detalle_Pagos!$E$5:$E$2004,K104,Detalle_Pagos!$J$5:$J$2004,"Si",Detalle_Pagos!$B$5:$B$2004,"&gt;="&amp;$B$3,Detalle_Pagos!$B$5:$B$2004,"&lt;="&amp;$B$4))</f>
        <v/>
      </c>
      <c r="Q104" s="43">
        <f>IF(K104="","",O104*IFERROR(INDEX(Trabajadores!$D$5:$D$204,MATCH(K104,Trabajadores!$B$5:$B$204,0)),0))</f>
        <v/>
      </c>
      <c r="R104" s="43">
        <f>IF(K104="","",N104+Q104)</f>
        <v/>
      </c>
      <c r="S104" s="43">
        <f>IF(K104="","",M104+N104)</f>
        <v/>
      </c>
      <c r="T104">
        <f>IF(K104="","",S104+R104/100000+L104/100000000+(100000-ROW())/1000000000)</f>
        <v/>
      </c>
    </row>
    <row r="105">
      <c r="A105" s="36">
        <f>IFERROR(INDEX($K$8:$K$207,MATCH(LARGE($T$8:$T$207,ROWS($A$8:A105)),$T$8:$T$207,0)),"")</f>
        <v/>
      </c>
      <c r="B105" s="36">
        <f>IFERROR(INDEX($L$8:$L$207,MATCH(LARGE($T$8:$T$207,ROWS($A$8:A105)),$T$8:$T$207,0)),"")</f>
        <v/>
      </c>
      <c r="C105" s="37">
        <f>IFERROR(INDEX($M$8:$M$207,MATCH(LARGE($T$8:$T$207,ROWS($A$8:A105)),$T$8:$T$207,0)),"")</f>
        <v/>
      </c>
      <c r="D105" s="37">
        <f>IFERROR(INDEX($N$8:$N$207,MATCH(LARGE($T$8:$T$207,ROWS($A$8:A105)),$T$8:$T$207,0)),"")</f>
        <v/>
      </c>
      <c r="E105" s="36">
        <f>IFERROR(INDEX($O$8:$O$207,MATCH(LARGE($T$8:$T$207,ROWS($A$8:A105)),$T$8:$T$207,0)),"")</f>
        <v/>
      </c>
      <c r="F105" s="36">
        <f>IFERROR(INDEX($P$8:$P$207,MATCH(LARGE($T$8:$T$207,ROWS($A$8:A105)),$T$8:$T$207,0)),"")</f>
        <v/>
      </c>
      <c r="G105" s="37">
        <f>IFERROR(INDEX($Q$8:$Q$207,MATCH(LARGE($T$8:$T$207,ROWS($A$8:A105)),$T$8:$T$207,0)),"")</f>
        <v/>
      </c>
      <c r="H105" s="37">
        <f>IFERROR(INDEX($R$8:$R$207,MATCH(LARGE($T$8:$T$207,ROWS($A$8:A105)),$T$8:$T$207,0)),"")</f>
        <v/>
      </c>
      <c r="I105" s="37">
        <f>IFERROR(INDEX($S$8:$S$207,MATCH(LARGE($T$8:$T$207,ROWS($A$8:A105)),$T$8:$T$207,0)),"")</f>
        <v/>
      </c>
      <c r="K105">
        <f>IF(Trabajadores!B102="","",Trabajadores!B102)</f>
        <v/>
      </c>
      <c r="L105">
        <f>IF(K105="","",COUNTIFS(Detalle_Pagos!$E$5:$E$2004,K105,Detalle_Pagos!$B$5:$B$2004,"&gt;="&amp;$B$3,Detalle_Pagos!$B$5:$B$2004,"&lt;="&amp;$B$4))</f>
        <v/>
      </c>
      <c r="M105" s="43">
        <f>IF(K105="","",SUMIFS(Detalle_Pagos!$I$5:$I$2004,Detalle_Pagos!$E$5:$E$2004,K105,Detalle_Pagos!$J$5:$J$2004,"Si",Detalle_Pagos!$B$5:$B$2004,"&gt;="&amp;$B$3,Detalle_Pagos!$B$5:$B$2004,"&lt;="&amp;$B$4))</f>
        <v/>
      </c>
      <c r="N105" s="43">
        <f>IF(K105="","",SUMIFS(Detalle_Pagos!$I$5:$I$2004,Detalle_Pagos!$E$5:$E$2004,K105,Detalle_Pagos!$J$5:$J$2004,"No",Detalle_Pagos!$B$5:$B$2004,"&gt;="&amp;$B$3,Detalle_Pagos!$B$5:$B$2004,"&lt;="&amp;$B$4))</f>
        <v/>
      </c>
      <c r="O105">
        <f>IF(K105="","",COUNTIFS(Detalle_Pagos!$E$5:$E$2004,K105,Detalle_Pagos!$J$5:$J$2004,"No",Detalle_Pagos!$B$5:$B$2004,"&gt;="&amp;$B$3,Detalle_Pagos!$B$5:$B$2004,"&lt;="&amp;$B$4))</f>
        <v/>
      </c>
      <c r="P105">
        <f>IF(K105="","",COUNTIFS(Detalle_Pagos!$E$5:$E$2004,K105,Detalle_Pagos!$J$5:$J$2004,"Si",Detalle_Pagos!$B$5:$B$2004,"&gt;="&amp;$B$3,Detalle_Pagos!$B$5:$B$2004,"&lt;="&amp;$B$4))</f>
        <v/>
      </c>
      <c r="Q105" s="43">
        <f>IF(K105="","",O105*IFERROR(INDEX(Trabajadores!$D$5:$D$204,MATCH(K105,Trabajadores!$B$5:$B$204,0)),0))</f>
        <v/>
      </c>
      <c r="R105" s="43">
        <f>IF(K105="","",N105+Q105)</f>
        <v/>
      </c>
      <c r="S105" s="43">
        <f>IF(K105="","",M105+N105)</f>
        <v/>
      </c>
      <c r="T105">
        <f>IF(K105="","",S105+R105/100000+L105/100000000+(100000-ROW())/1000000000)</f>
        <v/>
      </c>
    </row>
    <row r="106">
      <c r="A106" s="38">
        <f>IFERROR(INDEX($K$8:$K$207,MATCH(LARGE($T$8:$T$207,ROWS($A$8:A106)),$T$8:$T$207,0)),"")</f>
        <v/>
      </c>
      <c r="B106" s="38">
        <f>IFERROR(INDEX($L$8:$L$207,MATCH(LARGE($T$8:$T$207,ROWS($A$8:A106)),$T$8:$T$207,0)),"")</f>
        <v/>
      </c>
      <c r="C106" s="39">
        <f>IFERROR(INDEX($M$8:$M$207,MATCH(LARGE($T$8:$T$207,ROWS($A$8:A106)),$T$8:$T$207,0)),"")</f>
        <v/>
      </c>
      <c r="D106" s="39">
        <f>IFERROR(INDEX($N$8:$N$207,MATCH(LARGE($T$8:$T$207,ROWS($A$8:A106)),$T$8:$T$207,0)),"")</f>
        <v/>
      </c>
      <c r="E106" s="38">
        <f>IFERROR(INDEX($O$8:$O$207,MATCH(LARGE($T$8:$T$207,ROWS($A$8:A106)),$T$8:$T$207,0)),"")</f>
        <v/>
      </c>
      <c r="F106" s="38">
        <f>IFERROR(INDEX($P$8:$P$207,MATCH(LARGE($T$8:$T$207,ROWS($A$8:A106)),$T$8:$T$207,0)),"")</f>
        <v/>
      </c>
      <c r="G106" s="39">
        <f>IFERROR(INDEX($Q$8:$Q$207,MATCH(LARGE($T$8:$T$207,ROWS($A$8:A106)),$T$8:$T$207,0)),"")</f>
        <v/>
      </c>
      <c r="H106" s="39">
        <f>IFERROR(INDEX($R$8:$R$207,MATCH(LARGE($T$8:$T$207,ROWS($A$8:A106)),$T$8:$T$207,0)),"")</f>
        <v/>
      </c>
      <c r="I106" s="39">
        <f>IFERROR(INDEX($S$8:$S$207,MATCH(LARGE($T$8:$T$207,ROWS($A$8:A106)),$T$8:$T$207,0)),"")</f>
        <v/>
      </c>
      <c r="K106">
        <f>IF(Trabajadores!B103="","",Trabajadores!B103)</f>
        <v/>
      </c>
      <c r="L106">
        <f>IF(K106="","",COUNTIFS(Detalle_Pagos!$E$5:$E$2004,K106,Detalle_Pagos!$B$5:$B$2004,"&gt;="&amp;$B$3,Detalle_Pagos!$B$5:$B$2004,"&lt;="&amp;$B$4))</f>
        <v/>
      </c>
      <c r="M106" s="43">
        <f>IF(K106="","",SUMIFS(Detalle_Pagos!$I$5:$I$2004,Detalle_Pagos!$E$5:$E$2004,K106,Detalle_Pagos!$J$5:$J$2004,"Si",Detalle_Pagos!$B$5:$B$2004,"&gt;="&amp;$B$3,Detalle_Pagos!$B$5:$B$2004,"&lt;="&amp;$B$4))</f>
        <v/>
      </c>
      <c r="N106" s="43">
        <f>IF(K106="","",SUMIFS(Detalle_Pagos!$I$5:$I$2004,Detalle_Pagos!$E$5:$E$2004,K106,Detalle_Pagos!$J$5:$J$2004,"No",Detalle_Pagos!$B$5:$B$2004,"&gt;="&amp;$B$3,Detalle_Pagos!$B$5:$B$2004,"&lt;="&amp;$B$4))</f>
        <v/>
      </c>
      <c r="O106">
        <f>IF(K106="","",COUNTIFS(Detalle_Pagos!$E$5:$E$2004,K106,Detalle_Pagos!$J$5:$J$2004,"No",Detalle_Pagos!$B$5:$B$2004,"&gt;="&amp;$B$3,Detalle_Pagos!$B$5:$B$2004,"&lt;="&amp;$B$4))</f>
        <v/>
      </c>
      <c r="P106">
        <f>IF(K106="","",COUNTIFS(Detalle_Pagos!$E$5:$E$2004,K106,Detalle_Pagos!$J$5:$J$2004,"Si",Detalle_Pagos!$B$5:$B$2004,"&gt;="&amp;$B$3,Detalle_Pagos!$B$5:$B$2004,"&lt;="&amp;$B$4))</f>
        <v/>
      </c>
      <c r="Q106" s="43">
        <f>IF(K106="","",O106*IFERROR(INDEX(Trabajadores!$D$5:$D$204,MATCH(K106,Trabajadores!$B$5:$B$204,0)),0))</f>
        <v/>
      </c>
      <c r="R106" s="43">
        <f>IF(K106="","",N106+Q106)</f>
        <v/>
      </c>
      <c r="S106" s="43">
        <f>IF(K106="","",M106+N106)</f>
        <v/>
      </c>
      <c r="T106">
        <f>IF(K106="","",S106+R106/100000+L106/100000000+(100000-ROW())/1000000000)</f>
        <v/>
      </c>
    </row>
    <row r="107">
      <c r="A107" s="36">
        <f>IFERROR(INDEX($K$8:$K$207,MATCH(LARGE($T$8:$T$207,ROWS($A$8:A107)),$T$8:$T$207,0)),"")</f>
        <v/>
      </c>
      <c r="B107" s="36">
        <f>IFERROR(INDEX($L$8:$L$207,MATCH(LARGE($T$8:$T$207,ROWS($A$8:A107)),$T$8:$T$207,0)),"")</f>
        <v/>
      </c>
      <c r="C107" s="37">
        <f>IFERROR(INDEX($M$8:$M$207,MATCH(LARGE($T$8:$T$207,ROWS($A$8:A107)),$T$8:$T$207,0)),"")</f>
        <v/>
      </c>
      <c r="D107" s="37">
        <f>IFERROR(INDEX($N$8:$N$207,MATCH(LARGE($T$8:$T$207,ROWS($A$8:A107)),$T$8:$T$207,0)),"")</f>
        <v/>
      </c>
      <c r="E107" s="36">
        <f>IFERROR(INDEX($O$8:$O$207,MATCH(LARGE($T$8:$T$207,ROWS($A$8:A107)),$T$8:$T$207,0)),"")</f>
        <v/>
      </c>
      <c r="F107" s="36">
        <f>IFERROR(INDEX($P$8:$P$207,MATCH(LARGE($T$8:$T$207,ROWS($A$8:A107)),$T$8:$T$207,0)),"")</f>
        <v/>
      </c>
      <c r="G107" s="37">
        <f>IFERROR(INDEX($Q$8:$Q$207,MATCH(LARGE($T$8:$T$207,ROWS($A$8:A107)),$T$8:$T$207,0)),"")</f>
        <v/>
      </c>
      <c r="H107" s="37">
        <f>IFERROR(INDEX($R$8:$R$207,MATCH(LARGE($T$8:$T$207,ROWS($A$8:A107)),$T$8:$T$207,0)),"")</f>
        <v/>
      </c>
      <c r="I107" s="37">
        <f>IFERROR(INDEX($S$8:$S$207,MATCH(LARGE($T$8:$T$207,ROWS($A$8:A107)),$T$8:$T$207,0)),"")</f>
        <v/>
      </c>
      <c r="K107">
        <f>IF(Trabajadores!B104="","",Trabajadores!B104)</f>
        <v/>
      </c>
      <c r="L107">
        <f>IF(K107="","",COUNTIFS(Detalle_Pagos!$E$5:$E$2004,K107,Detalle_Pagos!$B$5:$B$2004,"&gt;="&amp;$B$3,Detalle_Pagos!$B$5:$B$2004,"&lt;="&amp;$B$4))</f>
        <v/>
      </c>
      <c r="M107" s="43">
        <f>IF(K107="","",SUMIFS(Detalle_Pagos!$I$5:$I$2004,Detalle_Pagos!$E$5:$E$2004,K107,Detalle_Pagos!$J$5:$J$2004,"Si",Detalle_Pagos!$B$5:$B$2004,"&gt;="&amp;$B$3,Detalle_Pagos!$B$5:$B$2004,"&lt;="&amp;$B$4))</f>
        <v/>
      </c>
      <c r="N107" s="43">
        <f>IF(K107="","",SUMIFS(Detalle_Pagos!$I$5:$I$2004,Detalle_Pagos!$E$5:$E$2004,K107,Detalle_Pagos!$J$5:$J$2004,"No",Detalle_Pagos!$B$5:$B$2004,"&gt;="&amp;$B$3,Detalle_Pagos!$B$5:$B$2004,"&lt;="&amp;$B$4))</f>
        <v/>
      </c>
      <c r="O107">
        <f>IF(K107="","",COUNTIFS(Detalle_Pagos!$E$5:$E$2004,K107,Detalle_Pagos!$J$5:$J$2004,"No",Detalle_Pagos!$B$5:$B$2004,"&gt;="&amp;$B$3,Detalle_Pagos!$B$5:$B$2004,"&lt;="&amp;$B$4))</f>
        <v/>
      </c>
      <c r="P107">
        <f>IF(K107="","",COUNTIFS(Detalle_Pagos!$E$5:$E$2004,K107,Detalle_Pagos!$J$5:$J$2004,"Si",Detalle_Pagos!$B$5:$B$2004,"&gt;="&amp;$B$3,Detalle_Pagos!$B$5:$B$2004,"&lt;="&amp;$B$4))</f>
        <v/>
      </c>
      <c r="Q107" s="43">
        <f>IF(K107="","",O107*IFERROR(INDEX(Trabajadores!$D$5:$D$204,MATCH(K107,Trabajadores!$B$5:$B$204,0)),0))</f>
        <v/>
      </c>
      <c r="R107" s="43">
        <f>IF(K107="","",N107+Q107)</f>
        <v/>
      </c>
      <c r="S107" s="43">
        <f>IF(K107="","",M107+N107)</f>
        <v/>
      </c>
      <c r="T107">
        <f>IF(K107="","",S107+R107/100000+L107/100000000+(100000-ROW())/1000000000)</f>
        <v/>
      </c>
    </row>
    <row r="108">
      <c r="A108" s="38">
        <f>IFERROR(INDEX($K$8:$K$207,MATCH(LARGE($T$8:$T$207,ROWS($A$8:A108)),$T$8:$T$207,0)),"")</f>
        <v/>
      </c>
      <c r="B108" s="38">
        <f>IFERROR(INDEX($L$8:$L$207,MATCH(LARGE($T$8:$T$207,ROWS($A$8:A108)),$T$8:$T$207,0)),"")</f>
        <v/>
      </c>
      <c r="C108" s="39">
        <f>IFERROR(INDEX($M$8:$M$207,MATCH(LARGE($T$8:$T$207,ROWS($A$8:A108)),$T$8:$T$207,0)),"")</f>
        <v/>
      </c>
      <c r="D108" s="39">
        <f>IFERROR(INDEX($N$8:$N$207,MATCH(LARGE($T$8:$T$207,ROWS($A$8:A108)),$T$8:$T$207,0)),"")</f>
        <v/>
      </c>
      <c r="E108" s="38">
        <f>IFERROR(INDEX($O$8:$O$207,MATCH(LARGE($T$8:$T$207,ROWS($A$8:A108)),$T$8:$T$207,0)),"")</f>
        <v/>
      </c>
      <c r="F108" s="38">
        <f>IFERROR(INDEX($P$8:$P$207,MATCH(LARGE($T$8:$T$207,ROWS($A$8:A108)),$T$8:$T$207,0)),"")</f>
        <v/>
      </c>
      <c r="G108" s="39">
        <f>IFERROR(INDEX($Q$8:$Q$207,MATCH(LARGE($T$8:$T$207,ROWS($A$8:A108)),$T$8:$T$207,0)),"")</f>
        <v/>
      </c>
      <c r="H108" s="39">
        <f>IFERROR(INDEX($R$8:$R$207,MATCH(LARGE($T$8:$T$207,ROWS($A$8:A108)),$T$8:$T$207,0)),"")</f>
        <v/>
      </c>
      <c r="I108" s="39">
        <f>IFERROR(INDEX($S$8:$S$207,MATCH(LARGE($T$8:$T$207,ROWS($A$8:A108)),$T$8:$T$207,0)),"")</f>
        <v/>
      </c>
      <c r="K108">
        <f>IF(Trabajadores!B105="","",Trabajadores!B105)</f>
        <v/>
      </c>
      <c r="L108">
        <f>IF(K108="","",COUNTIFS(Detalle_Pagos!$E$5:$E$2004,K108,Detalle_Pagos!$B$5:$B$2004,"&gt;="&amp;$B$3,Detalle_Pagos!$B$5:$B$2004,"&lt;="&amp;$B$4))</f>
        <v/>
      </c>
      <c r="M108" s="43">
        <f>IF(K108="","",SUMIFS(Detalle_Pagos!$I$5:$I$2004,Detalle_Pagos!$E$5:$E$2004,K108,Detalle_Pagos!$J$5:$J$2004,"Si",Detalle_Pagos!$B$5:$B$2004,"&gt;="&amp;$B$3,Detalle_Pagos!$B$5:$B$2004,"&lt;="&amp;$B$4))</f>
        <v/>
      </c>
      <c r="N108" s="43">
        <f>IF(K108="","",SUMIFS(Detalle_Pagos!$I$5:$I$2004,Detalle_Pagos!$E$5:$E$2004,K108,Detalle_Pagos!$J$5:$J$2004,"No",Detalle_Pagos!$B$5:$B$2004,"&gt;="&amp;$B$3,Detalle_Pagos!$B$5:$B$2004,"&lt;="&amp;$B$4))</f>
        <v/>
      </c>
      <c r="O108">
        <f>IF(K108="","",COUNTIFS(Detalle_Pagos!$E$5:$E$2004,K108,Detalle_Pagos!$J$5:$J$2004,"No",Detalle_Pagos!$B$5:$B$2004,"&gt;="&amp;$B$3,Detalle_Pagos!$B$5:$B$2004,"&lt;="&amp;$B$4))</f>
        <v/>
      </c>
      <c r="P108">
        <f>IF(K108="","",COUNTIFS(Detalle_Pagos!$E$5:$E$2004,K108,Detalle_Pagos!$J$5:$J$2004,"Si",Detalle_Pagos!$B$5:$B$2004,"&gt;="&amp;$B$3,Detalle_Pagos!$B$5:$B$2004,"&lt;="&amp;$B$4))</f>
        <v/>
      </c>
      <c r="Q108" s="43">
        <f>IF(K108="","",O108*IFERROR(INDEX(Trabajadores!$D$5:$D$204,MATCH(K108,Trabajadores!$B$5:$B$204,0)),0))</f>
        <v/>
      </c>
      <c r="R108" s="43">
        <f>IF(K108="","",N108+Q108)</f>
        <v/>
      </c>
      <c r="S108" s="43">
        <f>IF(K108="","",M108+N108)</f>
        <v/>
      </c>
      <c r="T108">
        <f>IF(K108="","",S108+R108/100000+L108/100000000+(100000-ROW())/1000000000)</f>
        <v/>
      </c>
    </row>
    <row r="109">
      <c r="A109" s="36">
        <f>IFERROR(INDEX($K$8:$K$207,MATCH(LARGE($T$8:$T$207,ROWS($A$8:A109)),$T$8:$T$207,0)),"")</f>
        <v/>
      </c>
      <c r="B109" s="36">
        <f>IFERROR(INDEX($L$8:$L$207,MATCH(LARGE($T$8:$T$207,ROWS($A$8:A109)),$T$8:$T$207,0)),"")</f>
        <v/>
      </c>
      <c r="C109" s="37">
        <f>IFERROR(INDEX($M$8:$M$207,MATCH(LARGE($T$8:$T$207,ROWS($A$8:A109)),$T$8:$T$207,0)),"")</f>
        <v/>
      </c>
      <c r="D109" s="37">
        <f>IFERROR(INDEX($N$8:$N$207,MATCH(LARGE($T$8:$T$207,ROWS($A$8:A109)),$T$8:$T$207,0)),"")</f>
        <v/>
      </c>
      <c r="E109" s="36">
        <f>IFERROR(INDEX($O$8:$O$207,MATCH(LARGE($T$8:$T$207,ROWS($A$8:A109)),$T$8:$T$207,0)),"")</f>
        <v/>
      </c>
      <c r="F109" s="36">
        <f>IFERROR(INDEX($P$8:$P$207,MATCH(LARGE($T$8:$T$207,ROWS($A$8:A109)),$T$8:$T$207,0)),"")</f>
        <v/>
      </c>
      <c r="G109" s="37">
        <f>IFERROR(INDEX($Q$8:$Q$207,MATCH(LARGE($T$8:$T$207,ROWS($A$8:A109)),$T$8:$T$207,0)),"")</f>
        <v/>
      </c>
      <c r="H109" s="37">
        <f>IFERROR(INDEX($R$8:$R$207,MATCH(LARGE($T$8:$T$207,ROWS($A$8:A109)),$T$8:$T$207,0)),"")</f>
        <v/>
      </c>
      <c r="I109" s="37">
        <f>IFERROR(INDEX($S$8:$S$207,MATCH(LARGE($T$8:$T$207,ROWS($A$8:A109)),$T$8:$T$207,0)),"")</f>
        <v/>
      </c>
      <c r="K109">
        <f>IF(Trabajadores!B106="","",Trabajadores!B106)</f>
        <v/>
      </c>
      <c r="L109">
        <f>IF(K109="","",COUNTIFS(Detalle_Pagos!$E$5:$E$2004,K109,Detalle_Pagos!$B$5:$B$2004,"&gt;="&amp;$B$3,Detalle_Pagos!$B$5:$B$2004,"&lt;="&amp;$B$4))</f>
        <v/>
      </c>
      <c r="M109" s="43">
        <f>IF(K109="","",SUMIFS(Detalle_Pagos!$I$5:$I$2004,Detalle_Pagos!$E$5:$E$2004,K109,Detalle_Pagos!$J$5:$J$2004,"Si",Detalle_Pagos!$B$5:$B$2004,"&gt;="&amp;$B$3,Detalle_Pagos!$B$5:$B$2004,"&lt;="&amp;$B$4))</f>
        <v/>
      </c>
      <c r="N109" s="43">
        <f>IF(K109="","",SUMIFS(Detalle_Pagos!$I$5:$I$2004,Detalle_Pagos!$E$5:$E$2004,K109,Detalle_Pagos!$J$5:$J$2004,"No",Detalle_Pagos!$B$5:$B$2004,"&gt;="&amp;$B$3,Detalle_Pagos!$B$5:$B$2004,"&lt;="&amp;$B$4))</f>
        <v/>
      </c>
      <c r="O109">
        <f>IF(K109="","",COUNTIFS(Detalle_Pagos!$E$5:$E$2004,K109,Detalle_Pagos!$J$5:$J$2004,"No",Detalle_Pagos!$B$5:$B$2004,"&gt;="&amp;$B$3,Detalle_Pagos!$B$5:$B$2004,"&lt;="&amp;$B$4))</f>
        <v/>
      </c>
      <c r="P109">
        <f>IF(K109="","",COUNTIFS(Detalle_Pagos!$E$5:$E$2004,K109,Detalle_Pagos!$J$5:$J$2004,"Si",Detalle_Pagos!$B$5:$B$2004,"&gt;="&amp;$B$3,Detalle_Pagos!$B$5:$B$2004,"&lt;="&amp;$B$4))</f>
        <v/>
      </c>
      <c r="Q109" s="43">
        <f>IF(K109="","",O109*IFERROR(INDEX(Trabajadores!$D$5:$D$204,MATCH(K109,Trabajadores!$B$5:$B$204,0)),0))</f>
        <v/>
      </c>
      <c r="R109" s="43">
        <f>IF(K109="","",N109+Q109)</f>
        <v/>
      </c>
      <c r="S109" s="43">
        <f>IF(K109="","",M109+N109)</f>
        <v/>
      </c>
      <c r="T109">
        <f>IF(K109="","",S109+R109/100000+L109/100000000+(100000-ROW())/1000000000)</f>
        <v/>
      </c>
    </row>
    <row r="110">
      <c r="A110" s="38">
        <f>IFERROR(INDEX($K$8:$K$207,MATCH(LARGE($T$8:$T$207,ROWS($A$8:A110)),$T$8:$T$207,0)),"")</f>
        <v/>
      </c>
      <c r="B110" s="38">
        <f>IFERROR(INDEX($L$8:$L$207,MATCH(LARGE($T$8:$T$207,ROWS($A$8:A110)),$T$8:$T$207,0)),"")</f>
        <v/>
      </c>
      <c r="C110" s="39">
        <f>IFERROR(INDEX($M$8:$M$207,MATCH(LARGE($T$8:$T$207,ROWS($A$8:A110)),$T$8:$T$207,0)),"")</f>
        <v/>
      </c>
      <c r="D110" s="39">
        <f>IFERROR(INDEX($N$8:$N$207,MATCH(LARGE($T$8:$T$207,ROWS($A$8:A110)),$T$8:$T$207,0)),"")</f>
        <v/>
      </c>
      <c r="E110" s="38">
        <f>IFERROR(INDEX($O$8:$O$207,MATCH(LARGE($T$8:$T$207,ROWS($A$8:A110)),$T$8:$T$207,0)),"")</f>
        <v/>
      </c>
      <c r="F110" s="38">
        <f>IFERROR(INDEX($P$8:$P$207,MATCH(LARGE($T$8:$T$207,ROWS($A$8:A110)),$T$8:$T$207,0)),"")</f>
        <v/>
      </c>
      <c r="G110" s="39">
        <f>IFERROR(INDEX($Q$8:$Q$207,MATCH(LARGE($T$8:$T$207,ROWS($A$8:A110)),$T$8:$T$207,0)),"")</f>
        <v/>
      </c>
      <c r="H110" s="39">
        <f>IFERROR(INDEX($R$8:$R$207,MATCH(LARGE($T$8:$T$207,ROWS($A$8:A110)),$T$8:$T$207,0)),"")</f>
        <v/>
      </c>
      <c r="I110" s="39">
        <f>IFERROR(INDEX($S$8:$S$207,MATCH(LARGE($T$8:$T$207,ROWS($A$8:A110)),$T$8:$T$207,0)),"")</f>
        <v/>
      </c>
      <c r="K110">
        <f>IF(Trabajadores!B107="","",Trabajadores!B107)</f>
        <v/>
      </c>
      <c r="L110">
        <f>IF(K110="","",COUNTIFS(Detalle_Pagos!$E$5:$E$2004,K110,Detalle_Pagos!$B$5:$B$2004,"&gt;="&amp;$B$3,Detalle_Pagos!$B$5:$B$2004,"&lt;="&amp;$B$4))</f>
        <v/>
      </c>
      <c r="M110" s="43">
        <f>IF(K110="","",SUMIFS(Detalle_Pagos!$I$5:$I$2004,Detalle_Pagos!$E$5:$E$2004,K110,Detalle_Pagos!$J$5:$J$2004,"Si",Detalle_Pagos!$B$5:$B$2004,"&gt;="&amp;$B$3,Detalle_Pagos!$B$5:$B$2004,"&lt;="&amp;$B$4))</f>
        <v/>
      </c>
      <c r="N110" s="43">
        <f>IF(K110="","",SUMIFS(Detalle_Pagos!$I$5:$I$2004,Detalle_Pagos!$E$5:$E$2004,K110,Detalle_Pagos!$J$5:$J$2004,"No",Detalle_Pagos!$B$5:$B$2004,"&gt;="&amp;$B$3,Detalle_Pagos!$B$5:$B$2004,"&lt;="&amp;$B$4))</f>
        <v/>
      </c>
      <c r="O110">
        <f>IF(K110="","",COUNTIFS(Detalle_Pagos!$E$5:$E$2004,K110,Detalle_Pagos!$J$5:$J$2004,"No",Detalle_Pagos!$B$5:$B$2004,"&gt;="&amp;$B$3,Detalle_Pagos!$B$5:$B$2004,"&lt;="&amp;$B$4))</f>
        <v/>
      </c>
      <c r="P110">
        <f>IF(K110="","",COUNTIFS(Detalle_Pagos!$E$5:$E$2004,K110,Detalle_Pagos!$J$5:$J$2004,"Si",Detalle_Pagos!$B$5:$B$2004,"&gt;="&amp;$B$3,Detalle_Pagos!$B$5:$B$2004,"&lt;="&amp;$B$4))</f>
        <v/>
      </c>
      <c r="Q110" s="43">
        <f>IF(K110="","",O110*IFERROR(INDEX(Trabajadores!$D$5:$D$204,MATCH(K110,Trabajadores!$B$5:$B$204,0)),0))</f>
        <v/>
      </c>
      <c r="R110" s="43">
        <f>IF(K110="","",N110+Q110)</f>
        <v/>
      </c>
      <c r="S110" s="43">
        <f>IF(K110="","",M110+N110)</f>
        <v/>
      </c>
      <c r="T110">
        <f>IF(K110="","",S110+R110/100000+L110/100000000+(100000-ROW())/1000000000)</f>
        <v/>
      </c>
    </row>
    <row r="111">
      <c r="A111" s="36">
        <f>IFERROR(INDEX($K$8:$K$207,MATCH(LARGE($T$8:$T$207,ROWS($A$8:A111)),$T$8:$T$207,0)),"")</f>
        <v/>
      </c>
      <c r="B111" s="36">
        <f>IFERROR(INDEX($L$8:$L$207,MATCH(LARGE($T$8:$T$207,ROWS($A$8:A111)),$T$8:$T$207,0)),"")</f>
        <v/>
      </c>
      <c r="C111" s="37">
        <f>IFERROR(INDEX($M$8:$M$207,MATCH(LARGE($T$8:$T$207,ROWS($A$8:A111)),$T$8:$T$207,0)),"")</f>
        <v/>
      </c>
      <c r="D111" s="37">
        <f>IFERROR(INDEX($N$8:$N$207,MATCH(LARGE($T$8:$T$207,ROWS($A$8:A111)),$T$8:$T$207,0)),"")</f>
        <v/>
      </c>
      <c r="E111" s="36">
        <f>IFERROR(INDEX($O$8:$O$207,MATCH(LARGE($T$8:$T$207,ROWS($A$8:A111)),$T$8:$T$207,0)),"")</f>
        <v/>
      </c>
      <c r="F111" s="36">
        <f>IFERROR(INDEX($P$8:$P$207,MATCH(LARGE($T$8:$T$207,ROWS($A$8:A111)),$T$8:$T$207,0)),"")</f>
        <v/>
      </c>
      <c r="G111" s="37">
        <f>IFERROR(INDEX($Q$8:$Q$207,MATCH(LARGE($T$8:$T$207,ROWS($A$8:A111)),$T$8:$T$207,0)),"")</f>
        <v/>
      </c>
      <c r="H111" s="37">
        <f>IFERROR(INDEX($R$8:$R$207,MATCH(LARGE($T$8:$T$207,ROWS($A$8:A111)),$T$8:$T$207,0)),"")</f>
        <v/>
      </c>
      <c r="I111" s="37">
        <f>IFERROR(INDEX($S$8:$S$207,MATCH(LARGE($T$8:$T$207,ROWS($A$8:A111)),$T$8:$T$207,0)),"")</f>
        <v/>
      </c>
      <c r="K111">
        <f>IF(Trabajadores!B108="","",Trabajadores!B108)</f>
        <v/>
      </c>
      <c r="L111">
        <f>IF(K111="","",COUNTIFS(Detalle_Pagos!$E$5:$E$2004,K111,Detalle_Pagos!$B$5:$B$2004,"&gt;="&amp;$B$3,Detalle_Pagos!$B$5:$B$2004,"&lt;="&amp;$B$4))</f>
        <v/>
      </c>
      <c r="M111" s="43">
        <f>IF(K111="","",SUMIFS(Detalle_Pagos!$I$5:$I$2004,Detalle_Pagos!$E$5:$E$2004,K111,Detalle_Pagos!$J$5:$J$2004,"Si",Detalle_Pagos!$B$5:$B$2004,"&gt;="&amp;$B$3,Detalle_Pagos!$B$5:$B$2004,"&lt;="&amp;$B$4))</f>
        <v/>
      </c>
      <c r="N111" s="43">
        <f>IF(K111="","",SUMIFS(Detalle_Pagos!$I$5:$I$2004,Detalle_Pagos!$E$5:$E$2004,K111,Detalle_Pagos!$J$5:$J$2004,"No",Detalle_Pagos!$B$5:$B$2004,"&gt;="&amp;$B$3,Detalle_Pagos!$B$5:$B$2004,"&lt;="&amp;$B$4))</f>
        <v/>
      </c>
      <c r="O111">
        <f>IF(K111="","",COUNTIFS(Detalle_Pagos!$E$5:$E$2004,K111,Detalle_Pagos!$J$5:$J$2004,"No",Detalle_Pagos!$B$5:$B$2004,"&gt;="&amp;$B$3,Detalle_Pagos!$B$5:$B$2004,"&lt;="&amp;$B$4))</f>
        <v/>
      </c>
      <c r="P111">
        <f>IF(K111="","",COUNTIFS(Detalle_Pagos!$E$5:$E$2004,K111,Detalle_Pagos!$J$5:$J$2004,"Si",Detalle_Pagos!$B$5:$B$2004,"&gt;="&amp;$B$3,Detalle_Pagos!$B$5:$B$2004,"&lt;="&amp;$B$4))</f>
        <v/>
      </c>
      <c r="Q111" s="43">
        <f>IF(K111="","",O111*IFERROR(INDEX(Trabajadores!$D$5:$D$204,MATCH(K111,Trabajadores!$B$5:$B$204,0)),0))</f>
        <v/>
      </c>
      <c r="R111" s="43">
        <f>IF(K111="","",N111+Q111)</f>
        <v/>
      </c>
      <c r="S111" s="43">
        <f>IF(K111="","",M111+N111)</f>
        <v/>
      </c>
      <c r="T111">
        <f>IF(K111="","",S111+R111/100000+L111/100000000+(100000-ROW())/1000000000)</f>
        <v/>
      </c>
    </row>
    <row r="112">
      <c r="A112" s="38">
        <f>IFERROR(INDEX($K$8:$K$207,MATCH(LARGE($T$8:$T$207,ROWS($A$8:A112)),$T$8:$T$207,0)),"")</f>
        <v/>
      </c>
      <c r="B112" s="38">
        <f>IFERROR(INDEX($L$8:$L$207,MATCH(LARGE($T$8:$T$207,ROWS($A$8:A112)),$T$8:$T$207,0)),"")</f>
        <v/>
      </c>
      <c r="C112" s="39">
        <f>IFERROR(INDEX($M$8:$M$207,MATCH(LARGE($T$8:$T$207,ROWS($A$8:A112)),$T$8:$T$207,0)),"")</f>
        <v/>
      </c>
      <c r="D112" s="39">
        <f>IFERROR(INDEX($N$8:$N$207,MATCH(LARGE($T$8:$T$207,ROWS($A$8:A112)),$T$8:$T$207,0)),"")</f>
        <v/>
      </c>
      <c r="E112" s="38">
        <f>IFERROR(INDEX($O$8:$O$207,MATCH(LARGE($T$8:$T$207,ROWS($A$8:A112)),$T$8:$T$207,0)),"")</f>
        <v/>
      </c>
      <c r="F112" s="38">
        <f>IFERROR(INDEX($P$8:$P$207,MATCH(LARGE($T$8:$T$207,ROWS($A$8:A112)),$T$8:$T$207,0)),"")</f>
        <v/>
      </c>
      <c r="G112" s="39">
        <f>IFERROR(INDEX($Q$8:$Q$207,MATCH(LARGE($T$8:$T$207,ROWS($A$8:A112)),$T$8:$T$207,0)),"")</f>
        <v/>
      </c>
      <c r="H112" s="39">
        <f>IFERROR(INDEX($R$8:$R$207,MATCH(LARGE($T$8:$T$207,ROWS($A$8:A112)),$T$8:$T$207,0)),"")</f>
        <v/>
      </c>
      <c r="I112" s="39">
        <f>IFERROR(INDEX($S$8:$S$207,MATCH(LARGE($T$8:$T$207,ROWS($A$8:A112)),$T$8:$T$207,0)),"")</f>
        <v/>
      </c>
      <c r="K112">
        <f>IF(Trabajadores!B109="","",Trabajadores!B109)</f>
        <v/>
      </c>
      <c r="L112">
        <f>IF(K112="","",COUNTIFS(Detalle_Pagos!$E$5:$E$2004,K112,Detalle_Pagos!$B$5:$B$2004,"&gt;="&amp;$B$3,Detalle_Pagos!$B$5:$B$2004,"&lt;="&amp;$B$4))</f>
        <v/>
      </c>
      <c r="M112" s="43">
        <f>IF(K112="","",SUMIFS(Detalle_Pagos!$I$5:$I$2004,Detalle_Pagos!$E$5:$E$2004,K112,Detalle_Pagos!$J$5:$J$2004,"Si",Detalle_Pagos!$B$5:$B$2004,"&gt;="&amp;$B$3,Detalle_Pagos!$B$5:$B$2004,"&lt;="&amp;$B$4))</f>
        <v/>
      </c>
      <c r="N112" s="43">
        <f>IF(K112="","",SUMIFS(Detalle_Pagos!$I$5:$I$2004,Detalle_Pagos!$E$5:$E$2004,K112,Detalle_Pagos!$J$5:$J$2004,"No",Detalle_Pagos!$B$5:$B$2004,"&gt;="&amp;$B$3,Detalle_Pagos!$B$5:$B$2004,"&lt;="&amp;$B$4))</f>
        <v/>
      </c>
      <c r="O112">
        <f>IF(K112="","",COUNTIFS(Detalle_Pagos!$E$5:$E$2004,K112,Detalle_Pagos!$J$5:$J$2004,"No",Detalle_Pagos!$B$5:$B$2004,"&gt;="&amp;$B$3,Detalle_Pagos!$B$5:$B$2004,"&lt;="&amp;$B$4))</f>
        <v/>
      </c>
      <c r="P112">
        <f>IF(K112="","",COUNTIFS(Detalle_Pagos!$E$5:$E$2004,K112,Detalle_Pagos!$J$5:$J$2004,"Si",Detalle_Pagos!$B$5:$B$2004,"&gt;="&amp;$B$3,Detalle_Pagos!$B$5:$B$2004,"&lt;="&amp;$B$4))</f>
        <v/>
      </c>
      <c r="Q112" s="43">
        <f>IF(K112="","",O112*IFERROR(INDEX(Trabajadores!$D$5:$D$204,MATCH(K112,Trabajadores!$B$5:$B$204,0)),0))</f>
        <v/>
      </c>
      <c r="R112" s="43">
        <f>IF(K112="","",N112+Q112)</f>
        <v/>
      </c>
      <c r="S112" s="43">
        <f>IF(K112="","",M112+N112)</f>
        <v/>
      </c>
      <c r="T112">
        <f>IF(K112="","",S112+R112/100000+L112/100000000+(100000-ROW())/1000000000)</f>
        <v/>
      </c>
    </row>
    <row r="113">
      <c r="A113" s="36">
        <f>IFERROR(INDEX($K$8:$K$207,MATCH(LARGE($T$8:$T$207,ROWS($A$8:A113)),$T$8:$T$207,0)),"")</f>
        <v/>
      </c>
      <c r="B113" s="36">
        <f>IFERROR(INDEX($L$8:$L$207,MATCH(LARGE($T$8:$T$207,ROWS($A$8:A113)),$T$8:$T$207,0)),"")</f>
        <v/>
      </c>
      <c r="C113" s="37">
        <f>IFERROR(INDEX($M$8:$M$207,MATCH(LARGE($T$8:$T$207,ROWS($A$8:A113)),$T$8:$T$207,0)),"")</f>
        <v/>
      </c>
      <c r="D113" s="37">
        <f>IFERROR(INDEX($N$8:$N$207,MATCH(LARGE($T$8:$T$207,ROWS($A$8:A113)),$T$8:$T$207,0)),"")</f>
        <v/>
      </c>
      <c r="E113" s="36">
        <f>IFERROR(INDEX($O$8:$O$207,MATCH(LARGE($T$8:$T$207,ROWS($A$8:A113)),$T$8:$T$207,0)),"")</f>
        <v/>
      </c>
      <c r="F113" s="36">
        <f>IFERROR(INDEX($P$8:$P$207,MATCH(LARGE($T$8:$T$207,ROWS($A$8:A113)),$T$8:$T$207,0)),"")</f>
        <v/>
      </c>
      <c r="G113" s="37">
        <f>IFERROR(INDEX($Q$8:$Q$207,MATCH(LARGE($T$8:$T$207,ROWS($A$8:A113)),$T$8:$T$207,0)),"")</f>
        <v/>
      </c>
      <c r="H113" s="37">
        <f>IFERROR(INDEX($R$8:$R$207,MATCH(LARGE($T$8:$T$207,ROWS($A$8:A113)),$T$8:$T$207,0)),"")</f>
        <v/>
      </c>
      <c r="I113" s="37">
        <f>IFERROR(INDEX($S$8:$S$207,MATCH(LARGE($T$8:$T$207,ROWS($A$8:A113)),$T$8:$T$207,0)),"")</f>
        <v/>
      </c>
      <c r="K113">
        <f>IF(Trabajadores!B110="","",Trabajadores!B110)</f>
        <v/>
      </c>
      <c r="L113">
        <f>IF(K113="","",COUNTIFS(Detalle_Pagos!$E$5:$E$2004,K113,Detalle_Pagos!$B$5:$B$2004,"&gt;="&amp;$B$3,Detalle_Pagos!$B$5:$B$2004,"&lt;="&amp;$B$4))</f>
        <v/>
      </c>
      <c r="M113" s="43">
        <f>IF(K113="","",SUMIFS(Detalle_Pagos!$I$5:$I$2004,Detalle_Pagos!$E$5:$E$2004,K113,Detalle_Pagos!$J$5:$J$2004,"Si",Detalle_Pagos!$B$5:$B$2004,"&gt;="&amp;$B$3,Detalle_Pagos!$B$5:$B$2004,"&lt;="&amp;$B$4))</f>
        <v/>
      </c>
      <c r="N113" s="43">
        <f>IF(K113="","",SUMIFS(Detalle_Pagos!$I$5:$I$2004,Detalle_Pagos!$E$5:$E$2004,K113,Detalle_Pagos!$J$5:$J$2004,"No",Detalle_Pagos!$B$5:$B$2004,"&gt;="&amp;$B$3,Detalle_Pagos!$B$5:$B$2004,"&lt;="&amp;$B$4))</f>
        <v/>
      </c>
      <c r="O113">
        <f>IF(K113="","",COUNTIFS(Detalle_Pagos!$E$5:$E$2004,K113,Detalle_Pagos!$J$5:$J$2004,"No",Detalle_Pagos!$B$5:$B$2004,"&gt;="&amp;$B$3,Detalle_Pagos!$B$5:$B$2004,"&lt;="&amp;$B$4))</f>
        <v/>
      </c>
      <c r="P113">
        <f>IF(K113="","",COUNTIFS(Detalle_Pagos!$E$5:$E$2004,K113,Detalle_Pagos!$J$5:$J$2004,"Si",Detalle_Pagos!$B$5:$B$2004,"&gt;="&amp;$B$3,Detalle_Pagos!$B$5:$B$2004,"&lt;="&amp;$B$4))</f>
        <v/>
      </c>
      <c r="Q113" s="43">
        <f>IF(K113="","",O113*IFERROR(INDEX(Trabajadores!$D$5:$D$204,MATCH(K113,Trabajadores!$B$5:$B$204,0)),0))</f>
        <v/>
      </c>
      <c r="R113" s="43">
        <f>IF(K113="","",N113+Q113)</f>
        <v/>
      </c>
      <c r="S113" s="43">
        <f>IF(K113="","",M113+N113)</f>
        <v/>
      </c>
      <c r="T113">
        <f>IF(K113="","",S113+R113/100000+L113/100000000+(100000-ROW())/1000000000)</f>
        <v/>
      </c>
    </row>
    <row r="114">
      <c r="A114" s="38">
        <f>IFERROR(INDEX($K$8:$K$207,MATCH(LARGE($T$8:$T$207,ROWS($A$8:A114)),$T$8:$T$207,0)),"")</f>
        <v/>
      </c>
      <c r="B114" s="38">
        <f>IFERROR(INDEX($L$8:$L$207,MATCH(LARGE($T$8:$T$207,ROWS($A$8:A114)),$T$8:$T$207,0)),"")</f>
        <v/>
      </c>
      <c r="C114" s="39">
        <f>IFERROR(INDEX($M$8:$M$207,MATCH(LARGE($T$8:$T$207,ROWS($A$8:A114)),$T$8:$T$207,0)),"")</f>
        <v/>
      </c>
      <c r="D114" s="39">
        <f>IFERROR(INDEX($N$8:$N$207,MATCH(LARGE($T$8:$T$207,ROWS($A$8:A114)),$T$8:$T$207,0)),"")</f>
        <v/>
      </c>
      <c r="E114" s="38">
        <f>IFERROR(INDEX($O$8:$O$207,MATCH(LARGE($T$8:$T$207,ROWS($A$8:A114)),$T$8:$T$207,0)),"")</f>
        <v/>
      </c>
      <c r="F114" s="38">
        <f>IFERROR(INDEX($P$8:$P$207,MATCH(LARGE($T$8:$T$207,ROWS($A$8:A114)),$T$8:$T$207,0)),"")</f>
        <v/>
      </c>
      <c r="G114" s="39">
        <f>IFERROR(INDEX($Q$8:$Q$207,MATCH(LARGE($T$8:$T$207,ROWS($A$8:A114)),$T$8:$T$207,0)),"")</f>
        <v/>
      </c>
      <c r="H114" s="39">
        <f>IFERROR(INDEX($R$8:$R$207,MATCH(LARGE($T$8:$T$207,ROWS($A$8:A114)),$T$8:$T$207,0)),"")</f>
        <v/>
      </c>
      <c r="I114" s="39">
        <f>IFERROR(INDEX($S$8:$S$207,MATCH(LARGE($T$8:$T$207,ROWS($A$8:A114)),$T$8:$T$207,0)),"")</f>
        <v/>
      </c>
      <c r="K114">
        <f>IF(Trabajadores!B111="","",Trabajadores!B111)</f>
        <v/>
      </c>
      <c r="L114">
        <f>IF(K114="","",COUNTIFS(Detalle_Pagos!$E$5:$E$2004,K114,Detalle_Pagos!$B$5:$B$2004,"&gt;="&amp;$B$3,Detalle_Pagos!$B$5:$B$2004,"&lt;="&amp;$B$4))</f>
        <v/>
      </c>
      <c r="M114" s="43">
        <f>IF(K114="","",SUMIFS(Detalle_Pagos!$I$5:$I$2004,Detalle_Pagos!$E$5:$E$2004,K114,Detalle_Pagos!$J$5:$J$2004,"Si",Detalle_Pagos!$B$5:$B$2004,"&gt;="&amp;$B$3,Detalle_Pagos!$B$5:$B$2004,"&lt;="&amp;$B$4))</f>
        <v/>
      </c>
      <c r="N114" s="43">
        <f>IF(K114="","",SUMIFS(Detalle_Pagos!$I$5:$I$2004,Detalle_Pagos!$E$5:$E$2004,K114,Detalle_Pagos!$J$5:$J$2004,"No",Detalle_Pagos!$B$5:$B$2004,"&gt;="&amp;$B$3,Detalle_Pagos!$B$5:$B$2004,"&lt;="&amp;$B$4))</f>
        <v/>
      </c>
      <c r="O114">
        <f>IF(K114="","",COUNTIFS(Detalle_Pagos!$E$5:$E$2004,K114,Detalle_Pagos!$J$5:$J$2004,"No",Detalle_Pagos!$B$5:$B$2004,"&gt;="&amp;$B$3,Detalle_Pagos!$B$5:$B$2004,"&lt;="&amp;$B$4))</f>
        <v/>
      </c>
      <c r="P114">
        <f>IF(K114="","",COUNTIFS(Detalle_Pagos!$E$5:$E$2004,K114,Detalle_Pagos!$J$5:$J$2004,"Si",Detalle_Pagos!$B$5:$B$2004,"&gt;="&amp;$B$3,Detalle_Pagos!$B$5:$B$2004,"&lt;="&amp;$B$4))</f>
        <v/>
      </c>
      <c r="Q114" s="43">
        <f>IF(K114="","",O114*IFERROR(INDEX(Trabajadores!$D$5:$D$204,MATCH(K114,Trabajadores!$B$5:$B$204,0)),0))</f>
        <v/>
      </c>
      <c r="R114" s="43">
        <f>IF(K114="","",N114+Q114)</f>
        <v/>
      </c>
      <c r="S114" s="43">
        <f>IF(K114="","",M114+N114)</f>
        <v/>
      </c>
      <c r="T114">
        <f>IF(K114="","",S114+R114/100000+L114/100000000+(100000-ROW())/1000000000)</f>
        <v/>
      </c>
    </row>
    <row r="115">
      <c r="A115" s="36">
        <f>IFERROR(INDEX($K$8:$K$207,MATCH(LARGE($T$8:$T$207,ROWS($A$8:A115)),$T$8:$T$207,0)),"")</f>
        <v/>
      </c>
      <c r="B115" s="36">
        <f>IFERROR(INDEX($L$8:$L$207,MATCH(LARGE($T$8:$T$207,ROWS($A$8:A115)),$T$8:$T$207,0)),"")</f>
        <v/>
      </c>
      <c r="C115" s="37">
        <f>IFERROR(INDEX($M$8:$M$207,MATCH(LARGE($T$8:$T$207,ROWS($A$8:A115)),$T$8:$T$207,0)),"")</f>
        <v/>
      </c>
      <c r="D115" s="37">
        <f>IFERROR(INDEX($N$8:$N$207,MATCH(LARGE($T$8:$T$207,ROWS($A$8:A115)),$T$8:$T$207,0)),"")</f>
        <v/>
      </c>
      <c r="E115" s="36">
        <f>IFERROR(INDEX($O$8:$O$207,MATCH(LARGE($T$8:$T$207,ROWS($A$8:A115)),$T$8:$T$207,0)),"")</f>
        <v/>
      </c>
      <c r="F115" s="36">
        <f>IFERROR(INDEX($P$8:$P$207,MATCH(LARGE($T$8:$T$207,ROWS($A$8:A115)),$T$8:$T$207,0)),"")</f>
        <v/>
      </c>
      <c r="G115" s="37">
        <f>IFERROR(INDEX($Q$8:$Q$207,MATCH(LARGE($T$8:$T$207,ROWS($A$8:A115)),$T$8:$T$207,0)),"")</f>
        <v/>
      </c>
      <c r="H115" s="37">
        <f>IFERROR(INDEX($R$8:$R$207,MATCH(LARGE($T$8:$T$207,ROWS($A$8:A115)),$T$8:$T$207,0)),"")</f>
        <v/>
      </c>
      <c r="I115" s="37">
        <f>IFERROR(INDEX($S$8:$S$207,MATCH(LARGE($T$8:$T$207,ROWS($A$8:A115)),$T$8:$T$207,0)),"")</f>
        <v/>
      </c>
      <c r="K115">
        <f>IF(Trabajadores!B112="","",Trabajadores!B112)</f>
        <v/>
      </c>
      <c r="L115">
        <f>IF(K115="","",COUNTIFS(Detalle_Pagos!$E$5:$E$2004,K115,Detalle_Pagos!$B$5:$B$2004,"&gt;="&amp;$B$3,Detalle_Pagos!$B$5:$B$2004,"&lt;="&amp;$B$4))</f>
        <v/>
      </c>
      <c r="M115" s="43">
        <f>IF(K115="","",SUMIFS(Detalle_Pagos!$I$5:$I$2004,Detalle_Pagos!$E$5:$E$2004,K115,Detalle_Pagos!$J$5:$J$2004,"Si",Detalle_Pagos!$B$5:$B$2004,"&gt;="&amp;$B$3,Detalle_Pagos!$B$5:$B$2004,"&lt;="&amp;$B$4))</f>
        <v/>
      </c>
      <c r="N115" s="43">
        <f>IF(K115="","",SUMIFS(Detalle_Pagos!$I$5:$I$2004,Detalle_Pagos!$E$5:$E$2004,K115,Detalle_Pagos!$J$5:$J$2004,"No",Detalle_Pagos!$B$5:$B$2004,"&gt;="&amp;$B$3,Detalle_Pagos!$B$5:$B$2004,"&lt;="&amp;$B$4))</f>
        <v/>
      </c>
      <c r="O115">
        <f>IF(K115="","",COUNTIFS(Detalle_Pagos!$E$5:$E$2004,K115,Detalle_Pagos!$J$5:$J$2004,"No",Detalle_Pagos!$B$5:$B$2004,"&gt;="&amp;$B$3,Detalle_Pagos!$B$5:$B$2004,"&lt;="&amp;$B$4))</f>
        <v/>
      </c>
      <c r="P115">
        <f>IF(K115="","",COUNTIFS(Detalle_Pagos!$E$5:$E$2004,K115,Detalle_Pagos!$J$5:$J$2004,"Si",Detalle_Pagos!$B$5:$B$2004,"&gt;="&amp;$B$3,Detalle_Pagos!$B$5:$B$2004,"&lt;="&amp;$B$4))</f>
        <v/>
      </c>
      <c r="Q115" s="43">
        <f>IF(K115="","",O115*IFERROR(INDEX(Trabajadores!$D$5:$D$204,MATCH(K115,Trabajadores!$B$5:$B$204,0)),0))</f>
        <v/>
      </c>
      <c r="R115" s="43">
        <f>IF(K115="","",N115+Q115)</f>
        <v/>
      </c>
      <c r="S115" s="43">
        <f>IF(K115="","",M115+N115)</f>
        <v/>
      </c>
      <c r="T115">
        <f>IF(K115="","",S115+R115/100000+L115/100000000+(100000-ROW())/1000000000)</f>
        <v/>
      </c>
    </row>
    <row r="116">
      <c r="A116" s="38">
        <f>IFERROR(INDEX($K$8:$K$207,MATCH(LARGE($T$8:$T$207,ROWS($A$8:A116)),$T$8:$T$207,0)),"")</f>
        <v/>
      </c>
      <c r="B116" s="38">
        <f>IFERROR(INDEX($L$8:$L$207,MATCH(LARGE($T$8:$T$207,ROWS($A$8:A116)),$T$8:$T$207,0)),"")</f>
        <v/>
      </c>
      <c r="C116" s="39">
        <f>IFERROR(INDEX($M$8:$M$207,MATCH(LARGE($T$8:$T$207,ROWS($A$8:A116)),$T$8:$T$207,0)),"")</f>
        <v/>
      </c>
      <c r="D116" s="39">
        <f>IFERROR(INDEX($N$8:$N$207,MATCH(LARGE($T$8:$T$207,ROWS($A$8:A116)),$T$8:$T$207,0)),"")</f>
        <v/>
      </c>
      <c r="E116" s="38">
        <f>IFERROR(INDEX($O$8:$O$207,MATCH(LARGE($T$8:$T$207,ROWS($A$8:A116)),$T$8:$T$207,0)),"")</f>
        <v/>
      </c>
      <c r="F116" s="38">
        <f>IFERROR(INDEX($P$8:$P$207,MATCH(LARGE($T$8:$T$207,ROWS($A$8:A116)),$T$8:$T$207,0)),"")</f>
        <v/>
      </c>
      <c r="G116" s="39">
        <f>IFERROR(INDEX($Q$8:$Q$207,MATCH(LARGE($T$8:$T$207,ROWS($A$8:A116)),$T$8:$T$207,0)),"")</f>
        <v/>
      </c>
      <c r="H116" s="39">
        <f>IFERROR(INDEX($R$8:$R$207,MATCH(LARGE($T$8:$T$207,ROWS($A$8:A116)),$T$8:$T$207,0)),"")</f>
        <v/>
      </c>
      <c r="I116" s="39">
        <f>IFERROR(INDEX($S$8:$S$207,MATCH(LARGE($T$8:$T$207,ROWS($A$8:A116)),$T$8:$T$207,0)),"")</f>
        <v/>
      </c>
      <c r="K116">
        <f>IF(Trabajadores!B113="","",Trabajadores!B113)</f>
        <v/>
      </c>
      <c r="L116">
        <f>IF(K116="","",COUNTIFS(Detalle_Pagos!$E$5:$E$2004,K116,Detalle_Pagos!$B$5:$B$2004,"&gt;="&amp;$B$3,Detalle_Pagos!$B$5:$B$2004,"&lt;="&amp;$B$4))</f>
        <v/>
      </c>
      <c r="M116" s="43">
        <f>IF(K116="","",SUMIFS(Detalle_Pagos!$I$5:$I$2004,Detalle_Pagos!$E$5:$E$2004,K116,Detalle_Pagos!$J$5:$J$2004,"Si",Detalle_Pagos!$B$5:$B$2004,"&gt;="&amp;$B$3,Detalle_Pagos!$B$5:$B$2004,"&lt;="&amp;$B$4))</f>
        <v/>
      </c>
      <c r="N116" s="43">
        <f>IF(K116="","",SUMIFS(Detalle_Pagos!$I$5:$I$2004,Detalle_Pagos!$E$5:$E$2004,K116,Detalle_Pagos!$J$5:$J$2004,"No",Detalle_Pagos!$B$5:$B$2004,"&gt;="&amp;$B$3,Detalle_Pagos!$B$5:$B$2004,"&lt;="&amp;$B$4))</f>
        <v/>
      </c>
      <c r="O116">
        <f>IF(K116="","",COUNTIFS(Detalle_Pagos!$E$5:$E$2004,K116,Detalle_Pagos!$J$5:$J$2004,"No",Detalle_Pagos!$B$5:$B$2004,"&gt;="&amp;$B$3,Detalle_Pagos!$B$5:$B$2004,"&lt;="&amp;$B$4))</f>
        <v/>
      </c>
      <c r="P116">
        <f>IF(K116="","",COUNTIFS(Detalle_Pagos!$E$5:$E$2004,K116,Detalle_Pagos!$J$5:$J$2004,"Si",Detalle_Pagos!$B$5:$B$2004,"&gt;="&amp;$B$3,Detalle_Pagos!$B$5:$B$2004,"&lt;="&amp;$B$4))</f>
        <v/>
      </c>
      <c r="Q116" s="43">
        <f>IF(K116="","",O116*IFERROR(INDEX(Trabajadores!$D$5:$D$204,MATCH(K116,Trabajadores!$B$5:$B$204,0)),0))</f>
        <v/>
      </c>
      <c r="R116" s="43">
        <f>IF(K116="","",N116+Q116)</f>
        <v/>
      </c>
      <c r="S116" s="43">
        <f>IF(K116="","",M116+N116)</f>
        <v/>
      </c>
      <c r="T116">
        <f>IF(K116="","",S116+R116/100000+L116/100000000+(100000-ROW())/1000000000)</f>
        <v/>
      </c>
    </row>
    <row r="117">
      <c r="A117" s="36">
        <f>IFERROR(INDEX($K$8:$K$207,MATCH(LARGE($T$8:$T$207,ROWS($A$8:A117)),$T$8:$T$207,0)),"")</f>
        <v/>
      </c>
      <c r="B117" s="36">
        <f>IFERROR(INDEX($L$8:$L$207,MATCH(LARGE($T$8:$T$207,ROWS($A$8:A117)),$T$8:$T$207,0)),"")</f>
        <v/>
      </c>
      <c r="C117" s="37">
        <f>IFERROR(INDEX($M$8:$M$207,MATCH(LARGE($T$8:$T$207,ROWS($A$8:A117)),$T$8:$T$207,0)),"")</f>
        <v/>
      </c>
      <c r="D117" s="37">
        <f>IFERROR(INDEX($N$8:$N$207,MATCH(LARGE($T$8:$T$207,ROWS($A$8:A117)),$T$8:$T$207,0)),"")</f>
        <v/>
      </c>
      <c r="E117" s="36">
        <f>IFERROR(INDEX($O$8:$O$207,MATCH(LARGE($T$8:$T$207,ROWS($A$8:A117)),$T$8:$T$207,0)),"")</f>
        <v/>
      </c>
      <c r="F117" s="36">
        <f>IFERROR(INDEX($P$8:$P$207,MATCH(LARGE($T$8:$T$207,ROWS($A$8:A117)),$T$8:$T$207,0)),"")</f>
        <v/>
      </c>
      <c r="G117" s="37">
        <f>IFERROR(INDEX($Q$8:$Q$207,MATCH(LARGE($T$8:$T$207,ROWS($A$8:A117)),$T$8:$T$207,0)),"")</f>
        <v/>
      </c>
      <c r="H117" s="37">
        <f>IFERROR(INDEX($R$8:$R$207,MATCH(LARGE($T$8:$T$207,ROWS($A$8:A117)),$T$8:$T$207,0)),"")</f>
        <v/>
      </c>
      <c r="I117" s="37">
        <f>IFERROR(INDEX($S$8:$S$207,MATCH(LARGE($T$8:$T$207,ROWS($A$8:A117)),$T$8:$T$207,0)),"")</f>
        <v/>
      </c>
      <c r="K117">
        <f>IF(Trabajadores!B114="","",Trabajadores!B114)</f>
        <v/>
      </c>
      <c r="L117">
        <f>IF(K117="","",COUNTIFS(Detalle_Pagos!$E$5:$E$2004,K117,Detalle_Pagos!$B$5:$B$2004,"&gt;="&amp;$B$3,Detalle_Pagos!$B$5:$B$2004,"&lt;="&amp;$B$4))</f>
        <v/>
      </c>
      <c r="M117" s="43">
        <f>IF(K117="","",SUMIFS(Detalle_Pagos!$I$5:$I$2004,Detalle_Pagos!$E$5:$E$2004,K117,Detalle_Pagos!$J$5:$J$2004,"Si",Detalle_Pagos!$B$5:$B$2004,"&gt;="&amp;$B$3,Detalle_Pagos!$B$5:$B$2004,"&lt;="&amp;$B$4))</f>
        <v/>
      </c>
      <c r="N117" s="43">
        <f>IF(K117="","",SUMIFS(Detalle_Pagos!$I$5:$I$2004,Detalle_Pagos!$E$5:$E$2004,K117,Detalle_Pagos!$J$5:$J$2004,"No",Detalle_Pagos!$B$5:$B$2004,"&gt;="&amp;$B$3,Detalle_Pagos!$B$5:$B$2004,"&lt;="&amp;$B$4))</f>
        <v/>
      </c>
      <c r="O117">
        <f>IF(K117="","",COUNTIFS(Detalle_Pagos!$E$5:$E$2004,K117,Detalle_Pagos!$J$5:$J$2004,"No",Detalle_Pagos!$B$5:$B$2004,"&gt;="&amp;$B$3,Detalle_Pagos!$B$5:$B$2004,"&lt;="&amp;$B$4))</f>
        <v/>
      </c>
      <c r="P117">
        <f>IF(K117="","",COUNTIFS(Detalle_Pagos!$E$5:$E$2004,K117,Detalle_Pagos!$J$5:$J$2004,"Si",Detalle_Pagos!$B$5:$B$2004,"&gt;="&amp;$B$3,Detalle_Pagos!$B$5:$B$2004,"&lt;="&amp;$B$4))</f>
        <v/>
      </c>
      <c r="Q117" s="43">
        <f>IF(K117="","",O117*IFERROR(INDEX(Trabajadores!$D$5:$D$204,MATCH(K117,Trabajadores!$B$5:$B$204,0)),0))</f>
        <v/>
      </c>
      <c r="R117" s="43">
        <f>IF(K117="","",N117+Q117)</f>
        <v/>
      </c>
      <c r="S117" s="43">
        <f>IF(K117="","",M117+N117)</f>
        <v/>
      </c>
      <c r="T117">
        <f>IF(K117="","",S117+R117/100000+L117/100000000+(100000-ROW())/1000000000)</f>
        <v/>
      </c>
    </row>
    <row r="118">
      <c r="A118" s="38">
        <f>IFERROR(INDEX($K$8:$K$207,MATCH(LARGE($T$8:$T$207,ROWS($A$8:A118)),$T$8:$T$207,0)),"")</f>
        <v/>
      </c>
      <c r="B118" s="38">
        <f>IFERROR(INDEX($L$8:$L$207,MATCH(LARGE($T$8:$T$207,ROWS($A$8:A118)),$T$8:$T$207,0)),"")</f>
        <v/>
      </c>
      <c r="C118" s="39">
        <f>IFERROR(INDEX($M$8:$M$207,MATCH(LARGE($T$8:$T$207,ROWS($A$8:A118)),$T$8:$T$207,0)),"")</f>
        <v/>
      </c>
      <c r="D118" s="39">
        <f>IFERROR(INDEX($N$8:$N$207,MATCH(LARGE($T$8:$T$207,ROWS($A$8:A118)),$T$8:$T$207,0)),"")</f>
        <v/>
      </c>
      <c r="E118" s="38">
        <f>IFERROR(INDEX($O$8:$O$207,MATCH(LARGE($T$8:$T$207,ROWS($A$8:A118)),$T$8:$T$207,0)),"")</f>
        <v/>
      </c>
      <c r="F118" s="38">
        <f>IFERROR(INDEX($P$8:$P$207,MATCH(LARGE($T$8:$T$207,ROWS($A$8:A118)),$T$8:$T$207,0)),"")</f>
        <v/>
      </c>
      <c r="G118" s="39">
        <f>IFERROR(INDEX($Q$8:$Q$207,MATCH(LARGE($T$8:$T$207,ROWS($A$8:A118)),$T$8:$T$207,0)),"")</f>
        <v/>
      </c>
      <c r="H118" s="39">
        <f>IFERROR(INDEX($R$8:$R$207,MATCH(LARGE($T$8:$T$207,ROWS($A$8:A118)),$T$8:$T$207,0)),"")</f>
        <v/>
      </c>
      <c r="I118" s="39">
        <f>IFERROR(INDEX($S$8:$S$207,MATCH(LARGE($T$8:$T$207,ROWS($A$8:A118)),$T$8:$T$207,0)),"")</f>
        <v/>
      </c>
      <c r="K118">
        <f>IF(Trabajadores!B115="","",Trabajadores!B115)</f>
        <v/>
      </c>
      <c r="L118">
        <f>IF(K118="","",COUNTIFS(Detalle_Pagos!$E$5:$E$2004,K118,Detalle_Pagos!$B$5:$B$2004,"&gt;="&amp;$B$3,Detalle_Pagos!$B$5:$B$2004,"&lt;="&amp;$B$4))</f>
        <v/>
      </c>
      <c r="M118" s="43">
        <f>IF(K118="","",SUMIFS(Detalle_Pagos!$I$5:$I$2004,Detalle_Pagos!$E$5:$E$2004,K118,Detalle_Pagos!$J$5:$J$2004,"Si",Detalle_Pagos!$B$5:$B$2004,"&gt;="&amp;$B$3,Detalle_Pagos!$B$5:$B$2004,"&lt;="&amp;$B$4))</f>
        <v/>
      </c>
      <c r="N118" s="43">
        <f>IF(K118="","",SUMIFS(Detalle_Pagos!$I$5:$I$2004,Detalle_Pagos!$E$5:$E$2004,K118,Detalle_Pagos!$J$5:$J$2004,"No",Detalle_Pagos!$B$5:$B$2004,"&gt;="&amp;$B$3,Detalle_Pagos!$B$5:$B$2004,"&lt;="&amp;$B$4))</f>
        <v/>
      </c>
      <c r="O118">
        <f>IF(K118="","",COUNTIFS(Detalle_Pagos!$E$5:$E$2004,K118,Detalle_Pagos!$J$5:$J$2004,"No",Detalle_Pagos!$B$5:$B$2004,"&gt;="&amp;$B$3,Detalle_Pagos!$B$5:$B$2004,"&lt;="&amp;$B$4))</f>
        <v/>
      </c>
      <c r="P118">
        <f>IF(K118="","",COUNTIFS(Detalle_Pagos!$E$5:$E$2004,K118,Detalle_Pagos!$J$5:$J$2004,"Si",Detalle_Pagos!$B$5:$B$2004,"&gt;="&amp;$B$3,Detalle_Pagos!$B$5:$B$2004,"&lt;="&amp;$B$4))</f>
        <v/>
      </c>
      <c r="Q118" s="43">
        <f>IF(K118="","",O118*IFERROR(INDEX(Trabajadores!$D$5:$D$204,MATCH(K118,Trabajadores!$B$5:$B$204,0)),0))</f>
        <v/>
      </c>
      <c r="R118" s="43">
        <f>IF(K118="","",N118+Q118)</f>
        <v/>
      </c>
      <c r="S118" s="43">
        <f>IF(K118="","",M118+N118)</f>
        <v/>
      </c>
      <c r="T118">
        <f>IF(K118="","",S118+R118/100000+L118/100000000+(100000-ROW())/1000000000)</f>
        <v/>
      </c>
    </row>
    <row r="119">
      <c r="A119" s="36">
        <f>IFERROR(INDEX($K$8:$K$207,MATCH(LARGE($T$8:$T$207,ROWS($A$8:A119)),$T$8:$T$207,0)),"")</f>
        <v/>
      </c>
      <c r="B119" s="36">
        <f>IFERROR(INDEX($L$8:$L$207,MATCH(LARGE($T$8:$T$207,ROWS($A$8:A119)),$T$8:$T$207,0)),"")</f>
        <v/>
      </c>
      <c r="C119" s="37">
        <f>IFERROR(INDEX($M$8:$M$207,MATCH(LARGE($T$8:$T$207,ROWS($A$8:A119)),$T$8:$T$207,0)),"")</f>
        <v/>
      </c>
      <c r="D119" s="37">
        <f>IFERROR(INDEX($N$8:$N$207,MATCH(LARGE($T$8:$T$207,ROWS($A$8:A119)),$T$8:$T$207,0)),"")</f>
        <v/>
      </c>
      <c r="E119" s="36">
        <f>IFERROR(INDEX($O$8:$O$207,MATCH(LARGE($T$8:$T$207,ROWS($A$8:A119)),$T$8:$T$207,0)),"")</f>
        <v/>
      </c>
      <c r="F119" s="36">
        <f>IFERROR(INDEX($P$8:$P$207,MATCH(LARGE($T$8:$T$207,ROWS($A$8:A119)),$T$8:$T$207,0)),"")</f>
        <v/>
      </c>
      <c r="G119" s="37">
        <f>IFERROR(INDEX($Q$8:$Q$207,MATCH(LARGE($T$8:$T$207,ROWS($A$8:A119)),$T$8:$T$207,0)),"")</f>
        <v/>
      </c>
      <c r="H119" s="37">
        <f>IFERROR(INDEX($R$8:$R$207,MATCH(LARGE($T$8:$T$207,ROWS($A$8:A119)),$T$8:$T$207,0)),"")</f>
        <v/>
      </c>
      <c r="I119" s="37">
        <f>IFERROR(INDEX($S$8:$S$207,MATCH(LARGE($T$8:$T$207,ROWS($A$8:A119)),$T$8:$T$207,0)),"")</f>
        <v/>
      </c>
      <c r="K119">
        <f>IF(Trabajadores!B116="","",Trabajadores!B116)</f>
        <v/>
      </c>
      <c r="L119">
        <f>IF(K119="","",COUNTIFS(Detalle_Pagos!$E$5:$E$2004,K119,Detalle_Pagos!$B$5:$B$2004,"&gt;="&amp;$B$3,Detalle_Pagos!$B$5:$B$2004,"&lt;="&amp;$B$4))</f>
        <v/>
      </c>
      <c r="M119" s="43">
        <f>IF(K119="","",SUMIFS(Detalle_Pagos!$I$5:$I$2004,Detalle_Pagos!$E$5:$E$2004,K119,Detalle_Pagos!$J$5:$J$2004,"Si",Detalle_Pagos!$B$5:$B$2004,"&gt;="&amp;$B$3,Detalle_Pagos!$B$5:$B$2004,"&lt;="&amp;$B$4))</f>
        <v/>
      </c>
      <c r="N119" s="43">
        <f>IF(K119="","",SUMIFS(Detalle_Pagos!$I$5:$I$2004,Detalle_Pagos!$E$5:$E$2004,K119,Detalle_Pagos!$J$5:$J$2004,"No",Detalle_Pagos!$B$5:$B$2004,"&gt;="&amp;$B$3,Detalle_Pagos!$B$5:$B$2004,"&lt;="&amp;$B$4))</f>
        <v/>
      </c>
      <c r="O119">
        <f>IF(K119="","",COUNTIFS(Detalle_Pagos!$E$5:$E$2004,K119,Detalle_Pagos!$J$5:$J$2004,"No",Detalle_Pagos!$B$5:$B$2004,"&gt;="&amp;$B$3,Detalle_Pagos!$B$5:$B$2004,"&lt;="&amp;$B$4))</f>
        <v/>
      </c>
      <c r="P119">
        <f>IF(K119="","",COUNTIFS(Detalle_Pagos!$E$5:$E$2004,K119,Detalle_Pagos!$J$5:$J$2004,"Si",Detalle_Pagos!$B$5:$B$2004,"&gt;="&amp;$B$3,Detalle_Pagos!$B$5:$B$2004,"&lt;="&amp;$B$4))</f>
        <v/>
      </c>
      <c r="Q119" s="43">
        <f>IF(K119="","",O119*IFERROR(INDEX(Trabajadores!$D$5:$D$204,MATCH(K119,Trabajadores!$B$5:$B$204,0)),0))</f>
        <v/>
      </c>
      <c r="R119" s="43">
        <f>IF(K119="","",N119+Q119)</f>
        <v/>
      </c>
      <c r="S119" s="43">
        <f>IF(K119="","",M119+N119)</f>
        <v/>
      </c>
      <c r="T119">
        <f>IF(K119="","",S119+R119/100000+L119/100000000+(100000-ROW())/1000000000)</f>
        <v/>
      </c>
    </row>
    <row r="120">
      <c r="A120" s="38">
        <f>IFERROR(INDEX($K$8:$K$207,MATCH(LARGE($T$8:$T$207,ROWS($A$8:A120)),$T$8:$T$207,0)),"")</f>
        <v/>
      </c>
      <c r="B120" s="38">
        <f>IFERROR(INDEX($L$8:$L$207,MATCH(LARGE($T$8:$T$207,ROWS($A$8:A120)),$T$8:$T$207,0)),"")</f>
        <v/>
      </c>
      <c r="C120" s="39">
        <f>IFERROR(INDEX($M$8:$M$207,MATCH(LARGE($T$8:$T$207,ROWS($A$8:A120)),$T$8:$T$207,0)),"")</f>
        <v/>
      </c>
      <c r="D120" s="39">
        <f>IFERROR(INDEX($N$8:$N$207,MATCH(LARGE($T$8:$T$207,ROWS($A$8:A120)),$T$8:$T$207,0)),"")</f>
        <v/>
      </c>
      <c r="E120" s="38">
        <f>IFERROR(INDEX($O$8:$O$207,MATCH(LARGE($T$8:$T$207,ROWS($A$8:A120)),$T$8:$T$207,0)),"")</f>
        <v/>
      </c>
      <c r="F120" s="38">
        <f>IFERROR(INDEX($P$8:$P$207,MATCH(LARGE($T$8:$T$207,ROWS($A$8:A120)),$T$8:$T$207,0)),"")</f>
        <v/>
      </c>
      <c r="G120" s="39">
        <f>IFERROR(INDEX($Q$8:$Q$207,MATCH(LARGE($T$8:$T$207,ROWS($A$8:A120)),$T$8:$T$207,0)),"")</f>
        <v/>
      </c>
      <c r="H120" s="39">
        <f>IFERROR(INDEX($R$8:$R$207,MATCH(LARGE($T$8:$T$207,ROWS($A$8:A120)),$T$8:$T$207,0)),"")</f>
        <v/>
      </c>
      <c r="I120" s="39">
        <f>IFERROR(INDEX($S$8:$S$207,MATCH(LARGE($T$8:$T$207,ROWS($A$8:A120)),$T$8:$T$207,0)),"")</f>
        <v/>
      </c>
      <c r="K120">
        <f>IF(Trabajadores!B117="","",Trabajadores!B117)</f>
        <v/>
      </c>
      <c r="L120">
        <f>IF(K120="","",COUNTIFS(Detalle_Pagos!$E$5:$E$2004,K120,Detalle_Pagos!$B$5:$B$2004,"&gt;="&amp;$B$3,Detalle_Pagos!$B$5:$B$2004,"&lt;="&amp;$B$4))</f>
        <v/>
      </c>
      <c r="M120" s="43">
        <f>IF(K120="","",SUMIFS(Detalle_Pagos!$I$5:$I$2004,Detalle_Pagos!$E$5:$E$2004,K120,Detalle_Pagos!$J$5:$J$2004,"Si",Detalle_Pagos!$B$5:$B$2004,"&gt;="&amp;$B$3,Detalle_Pagos!$B$5:$B$2004,"&lt;="&amp;$B$4))</f>
        <v/>
      </c>
      <c r="N120" s="43">
        <f>IF(K120="","",SUMIFS(Detalle_Pagos!$I$5:$I$2004,Detalle_Pagos!$E$5:$E$2004,K120,Detalle_Pagos!$J$5:$J$2004,"No",Detalle_Pagos!$B$5:$B$2004,"&gt;="&amp;$B$3,Detalle_Pagos!$B$5:$B$2004,"&lt;="&amp;$B$4))</f>
        <v/>
      </c>
      <c r="O120">
        <f>IF(K120="","",COUNTIFS(Detalle_Pagos!$E$5:$E$2004,K120,Detalle_Pagos!$J$5:$J$2004,"No",Detalle_Pagos!$B$5:$B$2004,"&gt;="&amp;$B$3,Detalle_Pagos!$B$5:$B$2004,"&lt;="&amp;$B$4))</f>
        <v/>
      </c>
      <c r="P120">
        <f>IF(K120="","",COUNTIFS(Detalle_Pagos!$E$5:$E$2004,K120,Detalle_Pagos!$J$5:$J$2004,"Si",Detalle_Pagos!$B$5:$B$2004,"&gt;="&amp;$B$3,Detalle_Pagos!$B$5:$B$2004,"&lt;="&amp;$B$4))</f>
        <v/>
      </c>
      <c r="Q120" s="43">
        <f>IF(K120="","",O120*IFERROR(INDEX(Trabajadores!$D$5:$D$204,MATCH(K120,Trabajadores!$B$5:$B$204,0)),0))</f>
        <v/>
      </c>
      <c r="R120" s="43">
        <f>IF(K120="","",N120+Q120)</f>
        <v/>
      </c>
      <c r="S120" s="43">
        <f>IF(K120="","",M120+N120)</f>
        <v/>
      </c>
      <c r="T120">
        <f>IF(K120="","",S120+R120/100000+L120/100000000+(100000-ROW())/1000000000)</f>
        <v/>
      </c>
    </row>
    <row r="121">
      <c r="A121" s="36">
        <f>IFERROR(INDEX($K$8:$K$207,MATCH(LARGE($T$8:$T$207,ROWS($A$8:A121)),$T$8:$T$207,0)),"")</f>
        <v/>
      </c>
      <c r="B121" s="36">
        <f>IFERROR(INDEX($L$8:$L$207,MATCH(LARGE($T$8:$T$207,ROWS($A$8:A121)),$T$8:$T$207,0)),"")</f>
        <v/>
      </c>
      <c r="C121" s="37">
        <f>IFERROR(INDEX($M$8:$M$207,MATCH(LARGE($T$8:$T$207,ROWS($A$8:A121)),$T$8:$T$207,0)),"")</f>
        <v/>
      </c>
      <c r="D121" s="37">
        <f>IFERROR(INDEX($N$8:$N$207,MATCH(LARGE($T$8:$T$207,ROWS($A$8:A121)),$T$8:$T$207,0)),"")</f>
        <v/>
      </c>
      <c r="E121" s="36">
        <f>IFERROR(INDEX($O$8:$O$207,MATCH(LARGE($T$8:$T$207,ROWS($A$8:A121)),$T$8:$T$207,0)),"")</f>
        <v/>
      </c>
      <c r="F121" s="36">
        <f>IFERROR(INDEX($P$8:$P$207,MATCH(LARGE($T$8:$T$207,ROWS($A$8:A121)),$T$8:$T$207,0)),"")</f>
        <v/>
      </c>
      <c r="G121" s="37">
        <f>IFERROR(INDEX($Q$8:$Q$207,MATCH(LARGE($T$8:$T$207,ROWS($A$8:A121)),$T$8:$T$207,0)),"")</f>
        <v/>
      </c>
      <c r="H121" s="37">
        <f>IFERROR(INDEX($R$8:$R$207,MATCH(LARGE($T$8:$T$207,ROWS($A$8:A121)),$T$8:$T$207,0)),"")</f>
        <v/>
      </c>
      <c r="I121" s="37">
        <f>IFERROR(INDEX($S$8:$S$207,MATCH(LARGE($T$8:$T$207,ROWS($A$8:A121)),$T$8:$T$207,0)),"")</f>
        <v/>
      </c>
      <c r="K121">
        <f>IF(Trabajadores!B118="","",Trabajadores!B118)</f>
        <v/>
      </c>
      <c r="L121">
        <f>IF(K121="","",COUNTIFS(Detalle_Pagos!$E$5:$E$2004,K121,Detalle_Pagos!$B$5:$B$2004,"&gt;="&amp;$B$3,Detalle_Pagos!$B$5:$B$2004,"&lt;="&amp;$B$4))</f>
        <v/>
      </c>
      <c r="M121" s="43">
        <f>IF(K121="","",SUMIFS(Detalle_Pagos!$I$5:$I$2004,Detalle_Pagos!$E$5:$E$2004,K121,Detalle_Pagos!$J$5:$J$2004,"Si",Detalle_Pagos!$B$5:$B$2004,"&gt;="&amp;$B$3,Detalle_Pagos!$B$5:$B$2004,"&lt;="&amp;$B$4))</f>
        <v/>
      </c>
      <c r="N121" s="43">
        <f>IF(K121="","",SUMIFS(Detalle_Pagos!$I$5:$I$2004,Detalle_Pagos!$E$5:$E$2004,K121,Detalle_Pagos!$J$5:$J$2004,"No",Detalle_Pagos!$B$5:$B$2004,"&gt;="&amp;$B$3,Detalle_Pagos!$B$5:$B$2004,"&lt;="&amp;$B$4))</f>
        <v/>
      </c>
      <c r="O121">
        <f>IF(K121="","",COUNTIFS(Detalle_Pagos!$E$5:$E$2004,K121,Detalle_Pagos!$J$5:$J$2004,"No",Detalle_Pagos!$B$5:$B$2004,"&gt;="&amp;$B$3,Detalle_Pagos!$B$5:$B$2004,"&lt;="&amp;$B$4))</f>
        <v/>
      </c>
      <c r="P121">
        <f>IF(K121="","",COUNTIFS(Detalle_Pagos!$E$5:$E$2004,K121,Detalle_Pagos!$J$5:$J$2004,"Si",Detalle_Pagos!$B$5:$B$2004,"&gt;="&amp;$B$3,Detalle_Pagos!$B$5:$B$2004,"&lt;="&amp;$B$4))</f>
        <v/>
      </c>
      <c r="Q121" s="43">
        <f>IF(K121="","",O121*IFERROR(INDEX(Trabajadores!$D$5:$D$204,MATCH(K121,Trabajadores!$B$5:$B$204,0)),0))</f>
        <v/>
      </c>
      <c r="R121" s="43">
        <f>IF(K121="","",N121+Q121)</f>
        <v/>
      </c>
      <c r="S121" s="43">
        <f>IF(K121="","",M121+N121)</f>
        <v/>
      </c>
      <c r="T121">
        <f>IF(K121="","",S121+R121/100000+L121/100000000+(100000-ROW())/1000000000)</f>
        <v/>
      </c>
    </row>
    <row r="122">
      <c r="A122" s="38">
        <f>IFERROR(INDEX($K$8:$K$207,MATCH(LARGE($T$8:$T$207,ROWS($A$8:A122)),$T$8:$T$207,0)),"")</f>
        <v/>
      </c>
      <c r="B122" s="38">
        <f>IFERROR(INDEX($L$8:$L$207,MATCH(LARGE($T$8:$T$207,ROWS($A$8:A122)),$T$8:$T$207,0)),"")</f>
        <v/>
      </c>
      <c r="C122" s="39">
        <f>IFERROR(INDEX($M$8:$M$207,MATCH(LARGE($T$8:$T$207,ROWS($A$8:A122)),$T$8:$T$207,0)),"")</f>
        <v/>
      </c>
      <c r="D122" s="39">
        <f>IFERROR(INDEX($N$8:$N$207,MATCH(LARGE($T$8:$T$207,ROWS($A$8:A122)),$T$8:$T$207,0)),"")</f>
        <v/>
      </c>
      <c r="E122" s="38">
        <f>IFERROR(INDEX($O$8:$O$207,MATCH(LARGE($T$8:$T$207,ROWS($A$8:A122)),$T$8:$T$207,0)),"")</f>
        <v/>
      </c>
      <c r="F122" s="38">
        <f>IFERROR(INDEX($P$8:$P$207,MATCH(LARGE($T$8:$T$207,ROWS($A$8:A122)),$T$8:$T$207,0)),"")</f>
        <v/>
      </c>
      <c r="G122" s="39">
        <f>IFERROR(INDEX($Q$8:$Q$207,MATCH(LARGE($T$8:$T$207,ROWS($A$8:A122)),$T$8:$T$207,0)),"")</f>
        <v/>
      </c>
      <c r="H122" s="39">
        <f>IFERROR(INDEX($R$8:$R$207,MATCH(LARGE($T$8:$T$207,ROWS($A$8:A122)),$T$8:$T$207,0)),"")</f>
        <v/>
      </c>
      <c r="I122" s="39">
        <f>IFERROR(INDEX($S$8:$S$207,MATCH(LARGE($T$8:$T$207,ROWS($A$8:A122)),$T$8:$T$207,0)),"")</f>
        <v/>
      </c>
      <c r="K122">
        <f>IF(Trabajadores!B119="","",Trabajadores!B119)</f>
        <v/>
      </c>
      <c r="L122">
        <f>IF(K122="","",COUNTIFS(Detalle_Pagos!$E$5:$E$2004,K122,Detalle_Pagos!$B$5:$B$2004,"&gt;="&amp;$B$3,Detalle_Pagos!$B$5:$B$2004,"&lt;="&amp;$B$4))</f>
        <v/>
      </c>
      <c r="M122" s="43">
        <f>IF(K122="","",SUMIFS(Detalle_Pagos!$I$5:$I$2004,Detalle_Pagos!$E$5:$E$2004,K122,Detalle_Pagos!$J$5:$J$2004,"Si",Detalle_Pagos!$B$5:$B$2004,"&gt;="&amp;$B$3,Detalle_Pagos!$B$5:$B$2004,"&lt;="&amp;$B$4))</f>
        <v/>
      </c>
      <c r="N122" s="43">
        <f>IF(K122="","",SUMIFS(Detalle_Pagos!$I$5:$I$2004,Detalle_Pagos!$E$5:$E$2004,K122,Detalle_Pagos!$J$5:$J$2004,"No",Detalle_Pagos!$B$5:$B$2004,"&gt;="&amp;$B$3,Detalle_Pagos!$B$5:$B$2004,"&lt;="&amp;$B$4))</f>
        <v/>
      </c>
      <c r="O122">
        <f>IF(K122="","",COUNTIFS(Detalle_Pagos!$E$5:$E$2004,K122,Detalle_Pagos!$J$5:$J$2004,"No",Detalle_Pagos!$B$5:$B$2004,"&gt;="&amp;$B$3,Detalle_Pagos!$B$5:$B$2004,"&lt;="&amp;$B$4))</f>
        <v/>
      </c>
      <c r="P122">
        <f>IF(K122="","",COUNTIFS(Detalle_Pagos!$E$5:$E$2004,K122,Detalle_Pagos!$J$5:$J$2004,"Si",Detalle_Pagos!$B$5:$B$2004,"&gt;="&amp;$B$3,Detalle_Pagos!$B$5:$B$2004,"&lt;="&amp;$B$4))</f>
        <v/>
      </c>
      <c r="Q122" s="43">
        <f>IF(K122="","",O122*IFERROR(INDEX(Trabajadores!$D$5:$D$204,MATCH(K122,Trabajadores!$B$5:$B$204,0)),0))</f>
        <v/>
      </c>
      <c r="R122" s="43">
        <f>IF(K122="","",N122+Q122)</f>
        <v/>
      </c>
      <c r="S122" s="43">
        <f>IF(K122="","",M122+N122)</f>
        <v/>
      </c>
      <c r="T122">
        <f>IF(K122="","",S122+R122/100000+L122/100000000+(100000-ROW())/1000000000)</f>
        <v/>
      </c>
    </row>
    <row r="123">
      <c r="A123" s="36">
        <f>IFERROR(INDEX($K$8:$K$207,MATCH(LARGE($T$8:$T$207,ROWS($A$8:A123)),$T$8:$T$207,0)),"")</f>
        <v/>
      </c>
      <c r="B123" s="36">
        <f>IFERROR(INDEX($L$8:$L$207,MATCH(LARGE($T$8:$T$207,ROWS($A$8:A123)),$T$8:$T$207,0)),"")</f>
        <v/>
      </c>
      <c r="C123" s="37">
        <f>IFERROR(INDEX($M$8:$M$207,MATCH(LARGE($T$8:$T$207,ROWS($A$8:A123)),$T$8:$T$207,0)),"")</f>
        <v/>
      </c>
      <c r="D123" s="37">
        <f>IFERROR(INDEX($N$8:$N$207,MATCH(LARGE($T$8:$T$207,ROWS($A$8:A123)),$T$8:$T$207,0)),"")</f>
        <v/>
      </c>
      <c r="E123" s="36">
        <f>IFERROR(INDEX($O$8:$O$207,MATCH(LARGE($T$8:$T$207,ROWS($A$8:A123)),$T$8:$T$207,0)),"")</f>
        <v/>
      </c>
      <c r="F123" s="36">
        <f>IFERROR(INDEX($P$8:$P$207,MATCH(LARGE($T$8:$T$207,ROWS($A$8:A123)),$T$8:$T$207,0)),"")</f>
        <v/>
      </c>
      <c r="G123" s="37">
        <f>IFERROR(INDEX($Q$8:$Q$207,MATCH(LARGE($T$8:$T$207,ROWS($A$8:A123)),$T$8:$T$207,0)),"")</f>
        <v/>
      </c>
      <c r="H123" s="37">
        <f>IFERROR(INDEX($R$8:$R$207,MATCH(LARGE($T$8:$T$207,ROWS($A$8:A123)),$T$8:$T$207,0)),"")</f>
        <v/>
      </c>
      <c r="I123" s="37">
        <f>IFERROR(INDEX($S$8:$S$207,MATCH(LARGE($T$8:$T$207,ROWS($A$8:A123)),$T$8:$T$207,0)),"")</f>
        <v/>
      </c>
      <c r="K123">
        <f>IF(Trabajadores!B120="","",Trabajadores!B120)</f>
        <v/>
      </c>
      <c r="L123">
        <f>IF(K123="","",COUNTIFS(Detalle_Pagos!$E$5:$E$2004,K123,Detalle_Pagos!$B$5:$B$2004,"&gt;="&amp;$B$3,Detalle_Pagos!$B$5:$B$2004,"&lt;="&amp;$B$4))</f>
        <v/>
      </c>
      <c r="M123" s="43">
        <f>IF(K123="","",SUMIFS(Detalle_Pagos!$I$5:$I$2004,Detalle_Pagos!$E$5:$E$2004,K123,Detalle_Pagos!$J$5:$J$2004,"Si",Detalle_Pagos!$B$5:$B$2004,"&gt;="&amp;$B$3,Detalle_Pagos!$B$5:$B$2004,"&lt;="&amp;$B$4))</f>
        <v/>
      </c>
      <c r="N123" s="43">
        <f>IF(K123="","",SUMIFS(Detalle_Pagos!$I$5:$I$2004,Detalle_Pagos!$E$5:$E$2004,K123,Detalle_Pagos!$J$5:$J$2004,"No",Detalle_Pagos!$B$5:$B$2004,"&gt;="&amp;$B$3,Detalle_Pagos!$B$5:$B$2004,"&lt;="&amp;$B$4))</f>
        <v/>
      </c>
      <c r="O123">
        <f>IF(K123="","",COUNTIFS(Detalle_Pagos!$E$5:$E$2004,K123,Detalle_Pagos!$J$5:$J$2004,"No",Detalle_Pagos!$B$5:$B$2004,"&gt;="&amp;$B$3,Detalle_Pagos!$B$5:$B$2004,"&lt;="&amp;$B$4))</f>
        <v/>
      </c>
      <c r="P123">
        <f>IF(K123="","",COUNTIFS(Detalle_Pagos!$E$5:$E$2004,K123,Detalle_Pagos!$J$5:$J$2004,"Si",Detalle_Pagos!$B$5:$B$2004,"&gt;="&amp;$B$3,Detalle_Pagos!$B$5:$B$2004,"&lt;="&amp;$B$4))</f>
        <v/>
      </c>
      <c r="Q123" s="43">
        <f>IF(K123="","",O123*IFERROR(INDEX(Trabajadores!$D$5:$D$204,MATCH(K123,Trabajadores!$B$5:$B$204,0)),0))</f>
        <v/>
      </c>
      <c r="R123" s="43">
        <f>IF(K123="","",N123+Q123)</f>
        <v/>
      </c>
      <c r="S123" s="43">
        <f>IF(K123="","",M123+N123)</f>
        <v/>
      </c>
      <c r="T123">
        <f>IF(K123="","",S123+R123/100000+L123/100000000+(100000-ROW())/1000000000)</f>
        <v/>
      </c>
    </row>
    <row r="124">
      <c r="A124" s="38">
        <f>IFERROR(INDEX($K$8:$K$207,MATCH(LARGE($T$8:$T$207,ROWS($A$8:A124)),$T$8:$T$207,0)),"")</f>
        <v/>
      </c>
      <c r="B124" s="38">
        <f>IFERROR(INDEX($L$8:$L$207,MATCH(LARGE($T$8:$T$207,ROWS($A$8:A124)),$T$8:$T$207,0)),"")</f>
        <v/>
      </c>
      <c r="C124" s="39">
        <f>IFERROR(INDEX($M$8:$M$207,MATCH(LARGE($T$8:$T$207,ROWS($A$8:A124)),$T$8:$T$207,0)),"")</f>
        <v/>
      </c>
      <c r="D124" s="39">
        <f>IFERROR(INDEX($N$8:$N$207,MATCH(LARGE($T$8:$T$207,ROWS($A$8:A124)),$T$8:$T$207,0)),"")</f>
        <v/>
      </c>
      <c r="E124" s="38">
        <f>IFERROR(INDEX($O$8:$O$207,MATCH(LARGE($T$8:$T$207,ROWS($A$8:A124)),$T$8:$T$207,0)),"")</f>
        <v/>
      </c>
      <c r="F124" s="38">
        <f>IFERROR(INDEX($P$8:$P$207,MATCH(LARGE($T$8:$T$207,ROWS($A$8:A124)),$T$8:$T$207,0)),"")</f>
        <v/>
      </c>
      <c r="G124" s="39">
        <f>IFERROR(INDEX($Q$8:$Q$207,MATCH(LARGE($T$8:$T$207,ROWS($A$8:A124)),$T$8:$T$207,0)),"")</f>
        <v/>
      </c>
      <c r="H124" s="39">
        <f>IFERROR(INDEX($R$8:$R$207,MATCH(LARGE($T$8:$T$207,ROWS($A$8:A124)),$T$8:$T$207,0)),"")</f>
        <v/>
      </c>
      <c r="I124" s="39">
        <f>IFERROR(INDEX($S$8:$S$207,MATCH(LARGE($T$8:$T$207,ROWS($A$8:A124)),$T$8:$T$207,0)),"")</f>
        <v/>
      </c>
      <c r="K124">
        <f>IF(Trabajadores!B121="","",Trabajadores!B121)</f>
        <v/>
      </c>
      <c r="L124">
        <f>IF(K124="","",COUNTIFS(Detalle_Pagos!$E$5:$E$2004,K124,Detalle_Pagos!$B$5:$B$2004,"&gt;="&amp;$B$3,Detalle_Pagos!$B$5:$B$2004,"&lt;="&amp;$B$4))</f>
        <v/>
      </c>
      <c r="M124" s="43">
        <f>IF(K124="","",SUMIFS(Detalle_Pagos!$I$5:$I$2004,Detalle_Pagos!$E$5:$E$2004,K124,Detalle_Pagos!$J$5:$J$2004,"Si",Detalle_Pagos!$B$5:$B$2004,"&gt;="&amp;$B$3,Detalle_Pagos!$B$5:$B$2004,"&lt;="&amp;$B$4))</f>
        <v/>
      </c>
      <c r="N124" s="43">
        <f>IF(K124="","",SUMIFS(Detalle_Pagos!$I$5:$I$2004,Detalle_Pagos!$E$5:$E$2004,K124,Detalle_Pagos!$J$5:$J$2004,"No",Detalle_Pagos!$B$5:$B$2004,"&gt;="&amp;$B$3,Detalle_Pagos!$B$5:$B$2004,"&lt;="&amp;$B$4))</f>
        <v/>
      </c>
      <c r="O124">
        <f>IF(K124="","",COUNTIFS(Detalle_Pagos!$E$5:$E$2004,K124,Detalle_Pagos!$J$5:$J$2004,"No",Detalle_Pagos!$B$5:$B$2004,"&gt;="&amp;$B$3,Detalle_Pagos!$B$5:$B$2004,"&lt;="&amp;$B$4))</f>
        <v/>
      </c>
      <c r="P124">
        <f>IF(K124="","",COUNTIFS(Detalle_Pagos!$E$5:$E$2004,K124,Detalle_Pagos!$J$5:$J$2004,"Si",Detalle_Pagos!$B$5:$B$2004,"&gt;="&amp;$B$3,Detalle_Pagos!$B$5:$B$2004,"&lt;="&amp;$B$4))</f>
        <v/>
      </c>
      <c r="Q124" s="43">
        <f>IF(K124="","",O124*IFERROR(INDEX(Trabajadores!$D$5:$D$204,MATCH(K124,Trabajadores!$B$5:$B$204,0)),0))</f>
        <v/>
      </c>
      <c r="R124" s="43">
        <f>IF(K124="","",N124+Q124)</f>
        <v/>
      </c>
      <c r="S124" s="43">
        <f>IF(K124="","",M124+N124)</f>
        <v/>
      </c>
      <c r="T124">
        <f>IF(K124="","",S124+R124/100000+L124/100000000+(100000-ROW())/1000000000)</f>
        <v/>
      </c>
    </row>
    <row r="125">
      <c r="A125" s="36">
        <f>IFERROR(INDEX($K$8:$K$207,MATCH(LARGE($T$8:$T$207,ROWS($A$8:A125)),$T$8:$T$207,0)),"")</f>
        <v/>
      </c>
      <c r="B125" s="36">
        <f>IFERROR(INDEX($L$8:$L$207,MATCH(LARGE($T$8:$T$207,ROWS($A$8:A125)),$T$8:$T$207,0)),"")</f>
        <v/>
      </c>
      <c r="C125" s="37">
        <f>IFERROR(INDEX($M$8:$M$207,MATCH(LARGE($T$8:$T$207,ROWS($A$8:A125)),$T$8:$T$207,0)),"")</f>
        <v/>
      </c>
      <c r="D125" s="37">
        <f>IFERROR(INDEX($N$8:$N$207,MATCH(LARGE($T$8:$T$207,ROWS($A$8:A125)),$T$8:$T$207,0)),"")</f>
        <v/>
      </c>
      <c r="E125" s="36">
        <f>IFERROR(INDEX($O$8:$O$207,MATCH(LARGE($T$8:$T$207,ROWS($A$8:A125)),$T$8:$T$207,0)),"")</f>
        <v/>
      </c>
      <c r="F125" s="36">
        <f>IFERROR(INDEX($P$8:$P$207,MATCH(LARGE($T$8:$T$207,ROWS($A$8:A125)),$T$8:$T$207,0)),"")</f>
        <v/>
      </c>
      <c r="G125" s="37">
        <f>IFERROR(INDEX($Q$8:$Q$207,MATCH(LARGE($T$8:$T$207,ROWS($A$8:A125)),$T$8:$T$207,0)),"")</f>
        <v/>
      </c>
      <c r="H125" s="37">
        <f>IFERROR(INDEX($R$8:$R$207,MATCH(LARGE($T$8:$T$207,ROWS($A$8:A125)),$T$8:$T$207,0)),"")</f>
        <v/>
      </c>
      <c r="I125" s="37">
        <f>IFERROR(INDEX($S$8:$S$207,MATCH(LARGE($T$8:$T$207,ROWS($A$8:A125)),$T$8:$T$207,0)),"")</f>
        <v/>
      </c>
      <c r="K125">
        <f>IF(Trabajadores!B122="","",Trabajadores!B122)</f>
        <v/>
      </c>
      <c r="L125">
        <f>IF(K125="","",COUNTIFS(Detalle_Pagos!$E$5:$E$2004,K125,Detalle_Pagos!$B$5:$B$2004,"&gt;="&amp;$B$3,Detalle_Pagos!$B$5:$B$2004,"&lt;="&amp;$B$4))</f>
        <v/>
      </c>
      <c r="M125" s="43">
        <f>IF(K125="","",SUMIFS(Detalle_Pagos!$I$5:$I$2004,Detalle_Pagos!$E$5:$E$2004,K125,Detalle_Pagos!$J$5:$J$2004,"Si",Detalle_Pagos!$B$5:$B$2004,"&gt;="&amp;$B$3,Detalle_Pagos!$B$5:$B$2004,"&lt;="&amp;$B$4))</f>
        <v/>
      </c>
      <c r="N125" s="43">
        <f>IF(K125="","",SUMIFS(Detalle_Pagos!$I$5:$I$2004,Detalle_Pagos!$E$5:$E$2004,K125,Detalle_Pagos!$J$5:$J$2004,"No",Detalle_Pagos!$B$5:$B$2004,"&gt;="&amp;$B$3,Detalle_Pagos!$B$5:$B$2004,"&lt;="&amp;$B$4))</f>
        <v/>
      </c>
      <c r="O125">
        <f>IF(K125="","",COUNTIFS(Detalle_Pagos!$E$5:$E$2004,K125,Detalle_Pagos!$J$5:$J$2004,"No",Detalle_Pagos!$B$5:$B$2004,"&gt;="&amp;$B$3,Detalle_Pagos!$B$5:$B$2004,"&lt;="&amp;$B$4))</f>
        <v/>
      </c>
      <c r="P125">
        <f>IF(K125="","",COUNTIFS(Detalle_Pagos!$E$5:$E$2004,K125,Detalle_Pagos!$J$5:$J$2004,"Si",Detalle_Pagos!$B$5:$B$2004,"&gt;="&amp;$B$3,Detalle_Pagos!$B$5:$B$2004,"&lt;="&amp;$B$4))</f>
        <v/>
      </c>
      <c r="Q125" s="43">
        <f>IF(K125="","",O125*IFERROR(INDEX(Trabajadores!$D$5:$D$204,MATCH(K125,Trabajadores!$B$5:$B$204,0)),0))</f>
        <v/>
      </c>
      <c r="R125" s="43">
        <f>IF(K125="","",N125+Q125)</f>
        <v/>
      </c>
      <c r="S125" s="43">
        <f>IF(K125="","",M125+N125)</f>
        <v/>
      </c>
      <c r="T125">
        <f>IF(K125="","",S125+R125/100000+L125/100000000+(100000-ROW())/1000000000)</f>
        <v/>
      </c>
    </row>
    <row r="126">
      <c r="A126" s="38">
        <f>IFERROR(INDEX($K$8:$K$207,MATCH(LARGE($T$8:$T$207,ROWS($A$8:A126)),$T$8:$T$207,0)),"")</f>
        <v/>
      </c>
      <c r="B126" s="38">
        <f>IFERROR(INDEX($L$8:$L$207,MATCH(LARGE($T$8:$T$207,ROWS($A$8:A126)),$T$8:$T$207,0)),"")</f>
        <v/>
      </c>
      <c r="C126" s="39">
        <f>IFERROR(INDEX($M$8:$M$207,MATCH(LARGE($T$8:$T$207,ROWS($A$8:A126)),$T$8:$T$207,0)),"")</f>
        <v/>
      </c>
      <c r="D126" s="39">
        <f>IFERROR(INDEX($N$8:$N$207,MATCH(LARGE($T$8:$T$207,ROWS($A$8:A126)),$T$8:$T$207,0)),"")</f>
        <v/>
      </c>
      <c r="E126" s="38">
        <f>IFERROR(INDEX($O$8:$O$207,MATCH(LARGE($T$8:$T$207,ROWS($A$8:A126)),$T$8:$T$207,0)),"")</f>
        <v/>
      </c>
      <c r="F126" s="38">
        <f>IFERROR(INDEX($P$8:$P$207,MATCH(LARGE($T$8:$T$207,ROWS($A$8:A126)),$T$8:$T$207,0)),"")</f>
        <v/>
      </c>
      <c r="G126" s="39">
        <f>IFERROR(INDEX($Q$8:$Q$207,MATCH(LARGE($T$8:$T$207,ROWS($A$8:A126)),$T$8:$T$207,0)),"")</f>
        <v/>
      </c>
      <c r="H126" s="39">
        <f>IFERROR(INDEX($R$8:$R$207,MATCH(LARGE($T$8:$T$207,ROWS($A$8:A126)),$T$8:$T$207,0)),"")</f>
        <v/>
      </c>
      <c r="I126" s="39">
        <f>IFERROR(INDEX($S$8:$S$207,MATCH(LARGE($T$8:$T$207,ROWS($A$8:A126)),$T$8:$T$207,0)),"")</f>
        <v/>
      </c>
      <c r="K126">
        <f>IF(Trabajadores!B123="","",Trabajadores!B123)</f>
        <v/>
      </c>
      <c r="L126">
        <f>IF(K126="","",COUNTIFS(Detalle_Pagos!$E$5:$E$2004,K126,Detalle_Pagos!$B$5:$B$2004,"&gt;="&amp;$B$3,Detalle_Pagos!$B$5:$B$2004,"&lt;="&amp;$B$4))</f>
        <v/>
      </c>
      <c r="M126" s="43">
        <f>IF(K126="","",SUMIFS(Detalle_Pagos!$I$5:$I$2004,Detalle_Pagos!$E$5:$E$2004,K126,Detalle_Pagos!$J$5:$J$2004,"Si",Detalle_Pagos!$B$5:$B$2004,"&gt;="&amp;$B$3,Detalle_Pagos!$B$5:$B$2004,"&lt;="&amp;$B$4))</f>
        <v/>
      </c>
      <c r="N126" s="43">
        <f>IF(K126="","",SUMIFS(Detalle_Pagos!$I$5:$I$2004,Detalle_Pagos!$E$5:$E$2004,K126,Detalle_Pagos!$J$5:$J$2004,"No",Detalle_Pagos!$B$5:$B$2004,"&gt;="&amp;$B$3,Detalle_Pagos!$B$5:$B$2004,"&lt;="&amp;$B$4))</f>
        <v/>
      </c>
      <c r="O126">
        <f>IF(K126="","",COUNTIFS(Detalle_Pagos!$E$5:$E$2004,K126,Detalle_Pagos!$J$5:$J$2004,"No",Detalle_Pagos!$B$5:$B$2004,"&gt;="&amp;$B$3,Detalle_Pagos!$B$5:$B$2004,"&lt;="&amp;$B$4))</f>
        <v/>
      </c>
      <c r="P126">
        <f>IF(K126="","",COUNTIFS(Detalle_Pagos!$E$5:$E$2004,K126,Detalle_Pagos!$J$5:$J$2004,"Si",Detalle_Pagos!$B$5:$B$2004,"&gt;="&amp;$B$3,Detalle_Pagos!$B$5:$B$2004,"&lt;="&amp;$B$4))</f>
        <v/>
      </c>
      <c r="Q126" s="43">
        <f>IF(K126="","",O126*IFERROR(INDEX(Trabajadores!$D$5:$D$204,MATCH(K126,Trabajadores!$B$5:$B$204,0)),0))</f>
        <v/>
      </c>
      <c r="R126" s="43">
        <f>IF(K126="","",N126+Q126)</f>
        <v/>
      </c>
      <c r="S126" s="43">
        <f>IF(K126="","",M126+N126)</f>
        <v/>
      </c>
      <c r="T126">
        <f>IF(K126="","",S126+R126/100000+L126/100000000+(100000-ROW())/1000000000)</f>
        <v/>
      </c>
    </row>
    <row r="127">
      <c r="A127" s="36">
        <f>IFERROR(INDEX($K$8:$K$207,MATCH(LARGE($T$8:$T$207,ROWS($A$8:A127)),$T$8:$T$207,0)),"")</f>
        <v/>
      </c>
      <c r="B127" s="36">
        <f>IFERROR(INDEX($L$8:$L$207,MATCH(LARGE($T$8:$T$207,ROWS($A$8:A127)),$T$8:$T$207,0)),"")</f>
        <v/>
      </c>
      <c r="C127" s="37">
        <f>IFERROR(INDEX($M$8:$M$207,MATCH(LARGE($T$8:$T$207,ROWS($A$8:A127)),$T$8:$T$207,0)),"")</f>
        <v/>
      </c>
      <c r="D127" s="37">
        <f>IFERROR(INDEX($N$8:$N$207,MATCH(LARGE($T$8:$T$207,ROWS($A$8:A127)),$T$8:$T$207,0)),"")</f>
        <v/>
      </c>
      <c r="E127" s="36">
        <f>IFERROR(INDEX($O$8:$O$207,MATCH(LARGE($T$8:$T$207,ROWS($A$8:A127)),$T$8:$T$207,0)),"")</f>
        <v/>
      </c>
      <c r="F127" s="36">
        <f>IFERROR(INDEX($P$8:$P$207,MATCH(LARGE($T$8:$T$207,ROWS($A$8:A127)),$T$8:$T$207,0)),"")</f>
        <v/>
      </c>
      <c r="G127" s="37">
        <f>IFERROR(INDEX($Q$8:$Q$207,MATCH(LARGE($T$8:$T$207,ROWS($A$8:A127)),$T$8:$T$207,0)),"")</f>
        <v/>
      </c>
      <c r="H127" s="37">
        <f>IFERROR(INDEX($R$8:$R$207,MATCH(LARGE($T$8:$T$207,ROWS($A$8:A127)),$T$8:$T$207,0)),"")</f>
        <v/>
      </c>
      <c r="I127" s="37">
        <f>IFERROR(INDEX($S$8:$S$207,MATCH(LARGE($T$8:$T$207,ROWS($A$8:A127)),$T$8:$T$207,0)),"")</f>
        <v/>
      </c>
      <c r="K127">
        <f>IF(Trabajadores!B124="","",Trabajadores!B124)</f>
        <v/>
      </c>
      <c r="L127">
        <f>IF(K127="","",COUNTIFS(Detalle_Pagos!$E$5:$E$2004,K127,Detalle_Pagos!$B$5:$B$2004,"&gt;="&amp;$B$3,Detalle_Pagos!$B$5:$B$2004,"&lt;="&amp;$B$4))</f>
        <v/>
      </c>
      <c r="M127" s="43">
        <f>IF(K127="","",SUMIFS(Detalle_Pagos!$I$5:$I$2004,Detalle_Pagos!$E$5:$E$2004,K127,Detalle_Pagos!$J$5:$J$2004,"Si",Detalle_Pagos!$B$5:$B$2004,"&gt;="&amp;$B$3,Detalle_Pagos!$B$5:$B$2004,"&lt;="&amp;$B$4))</f>
        <v/>
      </c>
      <c r="N127" s="43">
        <f>IF(K127="","",SUMIFS(Detalle_Pagos!$I$5:$I$2004,Detalle_Pagos!$E$5:$E$2004,K127,Detalle_Pagos!$J$5:$J$2004,"No",Detalle_Pagos!$B$5:$B$2004,"&gt;="&amp;$B$3,Detalle_Pagos!$B$5:$B$2004,"&lt;="&amp;$B$4))</f>
        <v/>
      </c>
      <c r="O127">
        <f>IF(K127="","",COUNTIFS(Detalle_Pagos!$E$5:$E$2004,K127,Detalle_Pagos!$J$5:$J$2004,"No",Detalle_Pagos!$B$5:$B$2004,"&gt;="&amp;$B$3,Detalle_Pagos!$B$5:$B$2004,"&lt;="&amp;$B$4))</f>
        <v/>
      </c>
      <c r="P127">
        <f>IF(K127="","",COUNTIFS(Detalle_Pagos!$E$5:$E$2004,K127,Detalle_Pagos!$J$5:$J$2004,"Si",Detalle_Pagos!$B$5:$B$2004,"&gt;="&amp;$B$3,Detalle_Pagos!$B$5:$B$2004,"&lt;="&amp;$B$4))</f>
        <v/>
      </c>
      <c r="Q127" s="43">
        <f>IF(K127="","",O127*IFERROR(INDEX(Trabajadores!$D$5:$D$204,MATCH(K127,Trabajadores!$B$5:$B$204,0)),0))</f>
        <v/>
      </c>
      <c r="R127" s="43">
        <f>IF(K127="","",N127+Q127)</f>
        <v/>
      </c>
      <c r="S127" s="43">
        <f>IF(K127="","",M127+N127)</f>
        <v/>
      </c>
      <c r="T127">
        <f>IF(K127="","",S127+R127/100000+L127/100000000+(100000-ROW())/1000000000)</f>
        <v/>
      </c>
    </row>
    <row r="128">
      <c r="A128" s="38">
        <f>IFERROR(INDEX($K$8:$K$207,MATCH(LARGE($T$8:$T$207,ROWS($A$8:A128)),$T$8:$T$207,0)),"")</f>
        <v/>
      </c>
      <c r="B128" s="38">
        <f>IFERROR(INDEX($L$8:$L$207,MATCH(LARGE($T$8:$T$207,ROWS($A$8:A128)),$T$8:$T$207,0)),"")</f>
        <v/>
      </c>
      <c r="C128" s="39">
        <f>IFERROR(INDEX($M$8:$M$207,MATCH(LARGE($T$8:$T$207,ROWS($A$8:A128)),$T$8:$T$207,0)),"")</f>
        <v/>
      </c>
      <c r="D128" s="39">
        <f>IFERROR(INDEX($N$8:$N$207,MATCH(LARGE($T$8:$T$207,ROWS($A$8:A128)),$T$8:$T$207,0)),"")</f>
        <v/>
      </c>
      <c r="E128" s="38">
        <f>IFERROR(INDEX($O$8:$O$207,MATCH(LARGE($T$8:$T$207,ROWS($A$8:A128)),$T$8:$T$207,0)),"")</f>
        <v/>
      </c>
      <c r="F128" s="38">
        <f>IFERROR(INDEX($P$8:$P$207,MATCH(LARGE($T$8:$T$207,ROWS($A$8:A128)),$T$8:$T$207,0)),"")</f>
        <v/>
      </c>
      <c r="G128" s="39">
        <f>IFERROR(INDEX($Q$8:$Q$207,MATCH(LARGE($T$8:$T$207,ROWS($A$8:A128)),$T$8:$T$207,0)),"")</f>
        <v/>
      </c>
      <c r="H128" s="39">
        <f>IFERROR(INDEX($R$8:$R$207,MATCH(LARGE($T$8:$T$207,ROWS($A$8:A128)),$T$8:$T$207,0)),"")</f>
        <v/>
      </c>
      <c r="I128" s="39">
        <f>IFERROR(INDEX($S$8:$S$207,MATCH(LARGE($T$8:$T$207,ROWS($A$8:A128)),$T$8:$T$207,0)),"")</f>
        <v/>
      </c>
      <c r="K128">
        <f>IF(Trabajadores!B125="","",Trabajadores!B125)</f>
        <v/>
      </c>
      <c r="L128">
        <f>IF(K128="","",COUNTIFS(Detalle_Pagos!$E$5:$E$2004,K128,Detalle_Pagos!$B$5:$B$2004,"&gt;="&amp;$B$3,Detalle_Pagos!$B$5:$B$2004,"&lt;="&amp;$B$4))</f>
        <v/>
      </c>
      <c r="M128" s="43">
        <f>IF(K128="","",SUMIFS(Detalle_Pagos!$I$5:$I$2004,Detalle_Pagos!$E$5:$E$2004,K128,Detalle_Pagos!$J$5:$J$2004,"Si",Detalle_Pagos!$B$5:$B$2004,"&gt;="&amp;$B$3,Detalle_Pagos!$B$5:$B$2004,"&lt;="&amp;$B$4))</f>
        <v/>
      </c>
      <c r="N128" s="43">
        <f>IF(K128="","",SUMIFS(Detalle_Pagos!$I$5:$I$2004,Detalle_Pagos!$E$5:$E$2004,K128,Detalle_Pagos!$J$5:$J$2004,"No",Detalle_Pagos!$B$5:$B$2004,"&gt;="&amp;$B$3,Detalle_Pagos!$B$5:$B$2004,"&lt;="&amp;$B$4))</f>
        <v/>
      </c>
      <c r="O128">
        <f>IF(K128="","",COUNTIFS(Detalle_Pagos!$E$5:$E$2004,K128,Detalle_Pagos!$J$5:$J$2004,"No",Detalle_Pagos!$B$5:$B$2004,"&gt;="&amp;$B$3,Detalle_Pagos!$B$5:$B$2004,"&lt;="&amp;$B$4))</f>
        <v/>
      </c>
      <c r="P128">
        <f>IF(K128="","",COUNTIFS(Detalle_Pagos!$E$5:$E$2004,K128,Detalle_Pagos!$J$5:$J$2004,"Si",Detalle_Pagos!$B$5:$B$2004,"&gt;="&amp;$B$3,Detalle_Pagos!$B$5:$B$2004,"&lt;="&amp;$B$4))</f>
        <v/>
      </c>
      <c r="Q128" s="43">
        <f>IF(K128="","",O128*IFERROR(INDEX(Trabajadores!$D$5:$D$204,MATCH(K128,Trabajadores!$B$5:$B$204,0)),0))</f>
        <v/>
      </c>
      <c r="R128" s="43">
        <f>IF(K128="","",N128+Q128)</f>
        <v/>
      </c>
      <c r="S128" s="43">
        <f>IF(K128="","",M128+N128)</f>
        <v/>
      </c>
      <c r="T128">
        <f>IF(K128="","",S128+R128/100000+L128/100000000+(100000-ROW())/1000000000)</f>
        <v/>
      </c>
    </row>
    <row r="129">
      <c r="A129" s="36">
        <f>IFERROR(INDEX($K$8:$K$207,MATCH(LARGE($T$8:$T$207,ROWS($A$8:A129)),$T$8:$T$207,0)),"")</f>
        <v/>
      </c>
      <c r="B129" s="36">
        <f>IFERROR(INDEX($L$8:$L$207,MATCH(LARGE($T$8:$T$207,ROWS($A$8:A129)),$T$8:$T$207,0)),"")</f>
        <v/>
      </c>
      <c r="C129" s="37">
        <f>IFERROR(INDEX($M$8:$M$207,MATCH(LARGE($T$8:$T$207,ROWS($A$8:A129)),$T$8:$T$207,0)),"")</f>
        <v/>
      </c>
      <c r="D129" s="37">
        <f>IFERROR(INDEX($N$8:$N$207,MATCH(LARGE($T$8:$T$207,ROWS($A$8:A129)),$T$8:$T$207,0)),"")</f>
        <v/>
      </c>
      <c r="E129" s="36">
        <f>IFERROR(INDEX($O$8:$O$207,MATCH(LARGE($T$8:$T$207,ROWS($A$8:A129)),$T$8:$T$207,0)),"")</f>
        <v/>
      </c>
      <c r="F129" s="36">
        <f>IFERROR(INDEX($P$8:$P$207,MATCH(LARGE($T$8:$T$207,ROWS($A$8:A129)),$T$8:$T$207,0)),"")</f>
        <v/>
      </c>
      <c r="G129" s="37">
        <f>IFERROR(INDEX($Q$8:$Q$207,MATCH(LARGE($T$8:$T$207,ROWS($A$8:A129)),$T$8:$T$207,0)),"")</f>
        <v/>
      </c>
      <c r="H129" s="37">
        <f>IFERROR(INDEX($R$8:$R$207,MATCH(LARGE($T$8:$T$207,ROWS($A$8:A129)),$T$8:$T$207,0)),"")</f>
        <v/>
      </c>
      <c r="I129" s="37">
        <f>IFERROR(INDEX($S$8:$S$207,MATCH(LARGE($T$8:$T$207,ROWS($A$8:A129)),$T$8:$T$207,0)),"")</f>
        <v/>
      </c>
      <c r="K129">
        <f>IF(Trabajadores!B126="","",Trabajadores!B126)</f>
        <v/>
      </c>
      <c r="L129">
        <f>IF(K129="","",COUNTIFS(Detalle_Pagos!$E$5:$E$2004,K129,Detalle_Pagos!$B$5:$B$2004,"&gt;="&amp;$B$3,Detalle_Pagos!$B$5:$B$2004,"&lt;="&amp;$B$4))</f>
        <v/>
      </c>
      <c r="M129" s="43">
        <f>IF(K129="","",SUMIFS(Detalle_Pagos!$I$5:$I$2004,Detalle_Pagos!$E$5:$E$2004,K129,Detalle_Pagos!$J$5:$J$2004,"Si",Detalle_Pagos!$B$5:$B$2004,"&gt;="&amp;$B$3,Detalle_Pagos!$B$5:$B$2004,"&lt;="&amp;$B$4))</f>
        <v/>
      </c>
      <c r="N129" s="43">
        <f>IF(K129="","",SUMIFS(Detalle_Pagos!$I$5:$I$2004,Detalle_Pagos!$E$5:$E$2004,K129,Detalle_Pagos!$J$5:$J$2004,"No",Detalle_Pagos!$B$5:$B$2004,"&gt;="&amp;$B$3,Detalle_Pagos!$B$5:$B$2004,"&lt;="&amp;$B$4))</f>
        <v/>
      </c>
      <c r="O129">
        <f>IF(K129="","",COUNTIFS(Detalle_Pagos!$E$5:$E$2004,K129,Detalle_Pagos!$J$5:$J$2004,"No",Detalle_Pagos!$B$5:$B$2004,"&gt;="&amp;$B$3,Detalle_Pagos!$B$5:$B$2004,"&lt;="&amp;$B$4))</f>
        <v/>
      </c>
      <c r="P129">
        <f>IF(K129="","",COUNTIFS(Detalle_Pagos!$E$5:$E$2004,K129,Detalle_Pagos!$J$5:$J$2004,"Si",Detalle_Pagos!$B$5:$B$2004,"&gt;="&amp;$B$3,Detalle_Pagos!$B$5:$B$2004,"&lt;="&amp;$B$4))</f>
        <v/>
      </c>
      <c r="Q129" s="43">
        <f>IF(K129="","",O129*IFERROR(INDEX(Trabajadores!$D$5:$D$204,MATCH(K129,Trabajadores!$B$5:$B$204,0)),0))</f>
        <v/>
      </c>
      <c r="R129" s="43">
        <f>IF(K129="","",N129+Q129)</f>
        <v/>
      </c>
      <c r="S129" s="43">
        <f>IF(K129="","",M129+N129)</f>
        <v/>
      </c>
      <c r="T129">
        <f>IF(K129="","",S129+R129/100000+L129/100000000+(100000-ROW())/1000000000)</f>
        <v/>
      </c>
    </row>
    <row r="130">
      <c r="A130" s="38">
        <f>IFERROR(INDEX($K$8:$K$207,MATCH(LARGE($T$8:$T$207,ROWS($A$8:A130)),$T$8:$T$207,0)),"")</f>
        <v/>
      </c>
      <c r="B130" s="38">
        <f>IFERROR(INDEX($L$8:$L$207,MATCH(LARGE($T$8:$T$207,ROWS($A$8:A130)),$T$8:$T$207,0)),"")</f>
        <v/>
      </c>
      <c r="C130" s="39">
        <f>IFERROR(INDEX($M$8:$M$207,MATCH(LARGE($T$8:$T$207,ROWS($A$8:A130)),$T$8:$T$207,0)),"")</f>
        <v/>
      </c>
      <c r="D130" s="39">
        <f>IFERROR(INDEX($N$8:$N$207,MATCH(LARGE($T$8:$T$207,ROWS($A$8:A130)),$T$8:$T$207,0)),"")</f>
        <v/>
      </c>
      <c r="E130" s="38">
        <f>IFERROR(INDEX($O$8:$O$207,MATCH(LARGE($T$8:$T$207,ROWS($A$8:A130)),$T$8:$T$207,0)),"")</f>
        <v/>
      </c>
      <c r="F130" s="38">
        <f>IFERROR(INDEX($P$8:$P$207,MATCH(LARGE($T$8:$T$207,ROWS($A$8:A130)),$T$8:$T$207,0)),"")</f>
        <v/>
      </c>
      <c r="G130" s="39">
        <f>IFERROR(INDEX($Q$8:$Q$207,MATCH(LARGE($T$8:$T$207,ROWS($A$8:A130)),$T$8:$T$207,0)),"")</f>
        <v/>
      </c>
      <c r="H130" s="39">
        <f>IFERROR(INDEX($R$8:$R$207,MATCH(LARGE($T$8:$T$207,ROWS($A$8:A130)),$T$8:$T$207,0)),"")</f>
        <v/>
      </c>
      <c r="I130" s="39">
        <f>IFERROR(INDEX($S$8:$S$207,MATCH(LARGE($T$8:$T$207,ROWS($A$8:A130)),$T$8:$T$207,0)),"")</f>
        <v/>
      </c>
      <c r="K130">
        <f>IF(Trabajadores!B127="","",Trabajadores!B127)</f>
        <v/>
      </c>
      <c r="L130">
        <f>IF(K130="","",COUNTIFS(Detalle_Pagos!$E$5:$E$2004,K130,Detalle_Pagos!$B$5:$B$2004,"&gt;="&amp;$B$3,Detalle_Pagos!$B$5:$B$2004,"&lt;="&amp;$B$4))</f>
        <v/>
      </c>
      <c r="M130" s="43">
        <f>IF(K130="","",SUMIFS(Detalle_Pagos!$I$5:$I$2004,Detalle_Pagos!$E$5:$E$2004,K130,Detalle_Pagos!$J$5:$J$2004,"Si",Detalle_Pagos!$B$5:$B$2004,"&gt;="&amp;$B$3,Detalle_Pagos!$B$5:$B$2004,"&lt;="&amp;$B$4))</f>
        <v/>
      </c>
      <c r="N130" s="43">
        <f>IF(K130="","",SUMIFS(Detalle_Pagos!$I$5:$I$2004,Detalle_Pagos!$E$5:$E$2004,K130,Detalle_Pagos!$J$5:$J$2004,"No",Detalle_Pagos!$B$5:$B$2004,"&gt;="&amp;$B$3,Detalle_Pagos!$B$5:$B$2004,"&lt;="&amp;$B$4))</f>
        <v/>
      </c>
      <c r="O130">
        <f>IF(K130="","",COUNTIFS(Detalle_Pagos!$E$5:$E$2004,K130,Detalle_Pagos!$J$5:$J$2004,"No",Detalle_Pagos!$B$5:$B$2004,"&gt;="&amp;$B$3,Detalle_Pagos!$B$5:$B$2004,"&lt;="&amp;$B$4))</f>
        <v/>
      </c>
      <c r="P130">
        <f>IF(K130="","",COUNTIFS(Detalle_Pagos!$E$5:$E$2004,K130,Detalle_Pagos!$J$5:$J$2004,"Si",Detalle_Pagos!$B$5:$B$2004,"&gt;="&amp;$B$3,Detalle_Pagos!$B$5:$B$2004,"&lt;="&amp;$B$4))</f>
        <v/>
      </c>
      <c r="Q130" s="43">
        <f>IF(K130="","",O130*IFERROR(INDEX(Trabajadores!$D$5:$D$204,MATCH(K130,Trabajadores!$B$5:$B$204,0)),0))</f>
        <v/>
      </c>
      <c r="R130" s="43">
        <f>IF(K130="","",N130+Q130)</f>
        <v/>
      </c>
      <c r="S130" s="43">
        <f>IF(K130="","",M130+N130)</f>
        <v/>
      </c>
      <c r="T130">
        <f>IF(K130="","",S130+R130/100000+L130/100000000+(100000-ROW())/1000000000)</f>
        <v/>
      </c>
    </row>
    <row r="131">
      <c r="A131" s="36">
        <f>IFERROR(INDEX($K$8:$K$207,MATCH(LARGE($T$8:$T$207,ROWS($A$8:A131)),$T$8:$T$207,0)),"")</f>
        <v/>
      </c>
      <c r="B131" s="36">
        <f>IFERROR(INDEX($L$8:$L$207,MATCH(LARGE($T$8:$T$207,ROWS($A$8:A131)),$T$8:$T$207,0)),"")</f>
        <v/>
      </c>
      <c r="C131" s="37">
        <f>IFERROR(INDEX($M$8:$M$207,MATCH(LARGE($T$8:$T$207,ROWS($A$8:A131)),$T$8:$T$207,0)),"")</f>
        <v/>
      </c>
      <c r="D131" s="37">
        <f>IFERROR(INDEX($N$8:$N$207,MATCH(LARGE($T$8:$T$207,ROWS($A$8:A131)),$T$8:$T$207,0)),"")</f>
        <v/>
      </c>
      <c r="E131" s="36">
        <f>IFERROR(INDEX($O$8:$O$207,MATCH(LARGE($T$8:$T$207,ROWS($A$8:A131)),$T$8:$T$207,0)),"")</f>
        <v/>
      </c>
      <c r="F131" s="36">
        <f>IFERROR(INDEX($P$8:$P$207,MATCH(LARGE($T$8:$T$207,ROWS($A$8:A131)),$T$8:$T$207,0)),"")</f>
        <v/>
      </c>
      <c r="G131" s="37">
        <f>IFERROR(INDEX($Q$8:$Q$207,MATCH(LARGE($T$8:$T$207,ROWS($A$8:A131)),$T$8:$T$207,0)),"")</f>
        <v/>
      </c>
      <c r="H131" s="37">
        <f>IFERROR(INDEX($R$8:$R$207,MATCH(LARGE($T$8:$T$207,ROWS($A$8:A131)),$T$8:$T$207,0)),"")</f>
        <v/>
      </c>
      <c r="I131" s="37">
        <f>IFERROR(INDEX($S$8:$S$207,MATCH(LARGE($T$8:$T$207,ROWS($A$8:A131)),$T$8:$T$207,0)),"")</f>
        <v/>
      </c>
      <c r="K131">
        <f>IF(Trabajadores!B128="","",Trabajadores!B128)</f>
        <v/>
      </c>
      <c r="L131">
        <f>IF(K131="","",COUNTIFS(Detalle_Pagos!$E$5:$E$2004,K131,Detalle_Pagos!$B$5:$B$2004,"&gt;="&amp;$B$3,Detalle_Pagos!$B$5:$B$2004,"&lt;="&amp;$B$4))</f>
        <v/>
      </c>
      <c r="M131" s="43">
        <f>IF(K131="","",SUMIFS(Detalle_Pagos!$I$5:$I$2004,Detalle_Pagos!$E$5:$E$2004,K131,Detalle_Pagos!$J$5:$J$2004,"Si",Detalle_Pagos!$B$5:$B$2004,"&gt;="&amp;$B$3,Detalle_Pagos!$B$5:$B$2004,"&lt;="&amp;$B$4))</f>
        <v/>
      </c>
      <c r="N131" s="43">
        <f>IF(K131="","",SUMIFS(Detalle_Pagos!$I$5:$I$2004,Detalle_Pagos!$E$5:$E$2004,K131,Detalle_Pagos!$J$5:$J$2004,"No",Detalle_Pagos!$B$5:$B$2004,"&gt;="&amp;$B$3,Detalle_Pagos!$B$5:$B$2004,"&lt;="&amp;$B$4))</f>
        <v/>
      </c>
      <c r="O131">
        <f>IF(K131="","",COUNTIFS(Detalle_Pagos!$E$5:$E$2004,K131,Detalle_Pagos!$J$5:$J$2004,"No",Detalle_Pagos!$B$5:$B$2004,"&gt;="&amp;$B$3,Detalle_Pagos!$B$5:$B$2004,"&lt;="&amp;$B$4))</f>
        <v/>
      </c>
      <c r="P131">
        <f>IF(K131="","",COUNTIFS(Detalle_Pagos!$E$5:$E$2004,K131,Detalle_Pagos!$J$5:$J$2004,"Si",Detalle_Pagos!$B$5:$B$2004,"&gt;="&amp;$B$3,Detalle_Pagos!$B$5:$B$2004,"&lt;="&amp;$B$4))</f>
        <v/>
      </c>
      <c r="Q131" s="43">
        <f>IF(K131="","",O131*IFERROR(INDEX(Trabajadores!$D$5:$D$204,MATCH(K131,Trabajadores!$B$5:$B$204,0)),0))</f>
        <v/>
      </c>
      <c r="R131" s="43">
        <f>IF(K131="","",N131+Q131)</f>
        <v/>
      </c>
      <c r="S131" s="43">
        <f>IF(K131="","",M131+N131)</f>
        <v/>
      </c>
      <c r="T131">
        <f>IF(K131="","",S131+R131/100000+L131/100000000+(100000-ROW())/1000000000)</f>
        <v/>
      </c>
    </row>
    <row r="132">
      <c r="A132" s="38">
        <f>IFERROR(INDEX($K$8:$K$207,MATCH(LARGE($T$8:$T$207,ROWS($A$8:A132)),$T$8:$T$207,0)),"")</f>
        <v/>
      </c>
      <c r="B132" s="38">
        <f>IFERROR(INDEX($L$8:$L$207,MATCH(LARGE($T$8:$T$207,ROWS($A$8:A132)),$T$8:$T$207,0)),"")</f>
        <v/>
      </c>
      <c r="C132" s="39">
        <f>IFERROR(INDEX($M$8:$M$207,MATCH(LARGE($T$8:$T$207,ROWS($A$8:A132)),$T$8:$T$207,0)),"")</f>
        <v/>
      </c>
      <c r="D132" s="39">
        <f>IFERROR(INDEX($N$8:$N$207,MATCH(LARGE($T$8:$T$207,ROWS($A$8:A132)),$T$8:$T$207,0)),"")</f>
        <v/>
      </c>
      <c r="E132" s="38">
        <f>IFERROR(INDEX($O$8:$O$207,MATCH(LARGE($T$8:$T$207,ROWS($A$8:A132)),$T$8:$T$207,0)),"")</f>
        <v/>
      </c>
      <c r="F132" s="38">
        <f>IFERROR(INDEX($P$8:$P$207,MATCH(LARGE($T$8:$T$207,ROWS($A$8:A132)),$T$8:$T$207,0)),"")</f>
        <v/>
      </c>
      <c r="G132" s="39">
        <f>IFERROR(INDEX($Q$8:$Q$207,MATCH(LARGE($T$8:$T$207,ROWS($A$8:A132)),$T$8:$T$207,0)),"")</f>
        <v/>
      </c>
      <c r="H132" s="39">
        <f>IFERROR(INDEX($R$8:$R$207,MATCH(LARGE($T$8:$T$207,ROWS($A$8:A132)),$T$8:$T$207,0)),"")</f>
        <v/>
      </c>
      <c r="I132" s="39">
        <f>IFERROR(INDEX($S$8:$S$207,MATCH(LARGE($T$8:$T$207,ROWS($A$8:A132)),$T$8:$T$207,0)),"")</f>
        <v/>
      </c>
      <c r="K132">
        <f>IF(Trabajadores!B129="","",Trabajadores!B129)</f>
        <v/>
      </c>
      <c r="L132">
        <f>IF(K132="","",COUNTIFS(Detalle_Pagos!$E$5:$E$2004,K132,Detalle_Pagos!$B$5:$B$2004,"&gt;="&amp;$B$3,Detalle_Pagos!$B$5:$B$2004,"&lt;="&amp;$B$4))</f>
        <v/>
      </c>
      <c r="M132" s="43">
        <f>IF(K132="","",SUMIFS(Detalle_Pagos!$I$5:$I$2004,Detalle_Pagos!$E$5:$E$2004,K132,Detalle_Pagos!$J$5:$J$2004,"Si",Detalle_Pagos!$B$5:$B$2004,"&gt;="&amp;$B$3,Detalle_Pagos!$B$5:$B$2004,"&lt;="&amp;$B$4))</f>
        <v/>
      </c>
      <c r="N132" s="43">
        <f>IF(K132="","",SUMIFS(Detalle_Pagos!$I$5:$I$2004,Detalle_Pagos!$E$5:$E$2004,K132,Detalle_Pagos!$J$5:$J$2004,"No",Detalle_Pagos!$B$5:$B$2004,"&gt;="&amp;$B$3,Detalle_Pagos!$B$5:$B$2004,"&lt;="&amp;$B$4))</f>
        <v/>
      </c>
      <c r="O132">
        <f>IF(K132="","",COUNTIFS(Detalle_Pagos!$E$5:$E$2004,K132,Detalle_Pagos!$J$5:$J$2004,"No",Detalle_Pagos!$B$5:$B$2004,"&gt;="&amp;$B$3,Detalle_Pagos!$B$5:$B$2004,"&lt;="&amp;$B$4))</f>
        <v/>
      </c>
      <c r="P132">
        <f>IF(K132="","",COUNTIFS(Detalle_Pagos!$E$5:$E$2004,K132,Detalle_Pagos!$J$5:$J$2004,"Si",Detalle_Pagos!$B$5:$B$2004,"&gt;="&amp;$B$3,Detalle_Pagos!$B$5:$B$2004,"&lt;="&amp;$B$4))</f>
        <v/>
      </c>
      <c r="Q132" s="43">
        <f>IF(K132="","",O132*IFERROR(INDEX(Trabajadores!$D$5:$D$204,MATCH(K132,Trabajadores!$B$5:$B$204,0)),0))</f>
        <v/>
      </c>
      <c r="R132" s="43">
        <f>IF(K132="","",N132+Q132)</f>
        <v/>
      </c>
      <c r="S132" s="43">
        <f>IF(K132="","",M132+N132)</f>
        <v/>
      </c>
      <c r="T132">
        <f>IF(K132="","",S132+R132/100000+L132/100000000+(100000-ROW())/1000000000)</f>
        <v/>
      </c>
    </row>
    <row r="133">
      <c r="A133" s="36">
        <f>IFERROR(INDEX($K$8:$K$207,MATCH(LARGE($T$8:$T$207,ROWS($A$8:A133)),$T$8:$T$207,0)),"")</f>
        <v/>
      </c>
      <c r="B133" s="36">
        <f>IFERROR(INDEX($L$8:$L$207,MATCH(LARGE($T$8:$T$207,ROWS($A$8:A133)),$T$8:$T$207,0)),"")</f>
        <v/>
      </c>
      <c r="C133" s="37">
        <f>IFERROR(INDEX($M$8:$M$207,MATCH(LARGE($T$8:$T$207,ROWS($A$8:A133)),$T$8:$T$207,0)),"")</f>
        <v/>
      </c>
      <c r="D133" s="37">
        <f>IFERROR(INDEX($N$8:$N$207,MATCH(LARGE($T$8:$T$207,ROWS($A$8:A133)),$T$8:$T$207,0)),"")</f>
        <v/>
      </c>
      <c r="E133" s="36">
        <f>IFERROR(INDEX($O$8:$O$207,MATCH(LARGE($T$8:$T$207,ROWS($A$8:A133)),$T$8:$T$207,0)),"")</f>
        <v/>
      </c>
      <c r="F133" s="36">
        <f>IFERROR(INDEX($P$8:$P$207,MATCH(LARGE($T$8:$T$207,ROWS($A$8:A133)),$T$8:$T$207,0)),"")</f>
        <v/>
      </c>
      <c r="G133" s="37">
        <f>IFERROR(INDEX($Q$8:$Q$207,MATCH(LARGE($T$8:$T$207,ROWS($A$8:A133)),$T$8:$T$207,0)),"")</f>
        <v/>
      </c>
      <c r="H133" s="37">
        <f>IFERROR(INDEX($R$8:$R$207,MATCH(LARGE($T$8:$T$207,ROWS($A$8:A133)),$T$8:$T$207,0)),"")</f>
        <v/>
      </c>
      <c r="I133" s="37">
        <f>IFERROR(INDEX($S$8:$S$207,MATCH(LARGE($T$8:$T$207,ROWS($A$8:A133)),$T$8:$T$207,0)),"")</f>
        <v/>
      </c>
      <c r="K133">
        <f>IF(Trabajadores!B130="","",Trabajadores!B130)</f>
        <v/>
      </c>
      <c r="L133">
        <f>IF(K133="","",COUNTIFS(Detalle_Pagos!$E$5:$E$2004,K133,Detalle_Pagos!$B$5:$B$2004,"&gt;="&amp;$B$3,Detalle_Pagos!$B$5:$B$2004,"&lt;="&amp;$B$4))</f>
        <v/>
      </c>
      <c r="M133" s="43">
        <f>IF(K133="","",SUMIFS(Detalle_Pagos!$I$5:$I$2004,Detalle_Pagos!$E$5:$E$2004,K133,Detalle_Pagos!$J$5:$J$2004,"Si",Detalle_Pagos!$B$5:$B$2004,"&gt;="&amp;$B$3,Detalle_Pagos!$B$5:$B$2004,"&lt;="&amp;$B$4))</f>
        <v/>
      </c>
      <c r="N133" s="43">
        <f>IF(K133="","",SUMIFS(Detalle_Pagos!$I$5:$I$2004,Detalle_Pagos!$E$5:$E$2004,K133,Detalle_Pagos!$J$5:$J$2004,"No",Detalle_Pagos!$B$5:$B$2004,"&gt;="&amp;$B$3,Detalle_Pagos!$B$5:$B$2004,"&lt;="&amp;$B$4))</f>
        <v/>
      </c>
      <c r="O133">
        <f>IF(K133="","",COUNTIFS(Detalle_Pagos!$E$5:$E$2004,K133,Detalle_Pagos!$J$5:$J$2004,"No",Detalle_Pagos!$B$5:$B$2004,"&gt;="&amp;$B$3,Detalle_Pagos!$B$5:$B$2004,"&lt;="&amp;$B$4))</f>
        <v/>
      </c>
      <c r="P133">
        <f>IF(K133="","",COUNTIFS(Detalle_Pagos!$E$5:$E$2004,K133,Detalle_Pagos!$J$5:$J$2004,"Si",Detalle_Pagos!$B$5:$B$2004,"&gt;="&amp;$B$3,Detalle_Pagos!$B$5:$B$2004,"&lt;="&amp;$B$4))</f>
        <v/>
      </c>
      <c r="Q133" s="43">
        <f>IF(K133="","",O133*IFERROR(INDEX(Trabajadores!$D$5:$D$204,MATCH(K133,Trabajadores!$B$5:$B$204,0)),0))</f>
        <v/>
      </c>
      <c r="R133" s="43">
        <f>IF(K133="","",N133+Q133)</f>
        <v/>
      </c>
      <c r="S133" s="43">
        <f>IF(K133="","",M133+N133)</f>
        <v/>
      </c>
      <c r="T133">
        <f>IF(K133="","",S133+R133/100000+L133/100000000+(100000-ROW())/1000000000)</f>
        <v/>
      </c>
    </row>
    <row r="134">
      <c r="A134" s="38">
        <f>IFERROR(INDEX($K$8:$K$207,MATCH(LARGE($T$8:$T$207,ROWS($A$8:A134)),$T$8:$T$207,0)),"")</f>
        <v/>
      </c>
      <c r="B134" s="38">
        <f>IFERROR(INDEX($L$8:$L$207,MATCH(LARGE($T$8:$T$207,ROWS($A$8:A134)),$T$8:$T$207,0)),"")</f>
        <v/>
      </c>
      <c r="C134" s="39">
        <f>IFERROR(INDEX($M$8:$M$207,MATCH(LARGE($T$8:$T$207,ROWS($A$8:A134)),$T$8:$T$207,0)),"")</f>
        <v/>
      </c>
      <c r="D134" s="39">
        <f>IFERROR(INDEX($N$8:$N$207,MATCH(LARGE($T$8:$T$207,ROWS($A$8:A134)),$T$8:$T$207,0)),"")</f>
        <v/>
      </c>
      <c r="E134" s="38">
        <f>IFERROR(INDEX($O$8:$O$207,MATCH(LARGE($T$8:$T$207,ROWS($A$8:A134)),$T$8:$T$207,0)),"")</f>
        <v/>
      </c>
      <c r="F134" s="38">
        <f>IFERROR(INDEX($P$8:$P$207,MATCH(LARGE($T$8:$T$207,ROWS($A$8:A134)),$T$8:$T$207,0)),"")</f>
        <v/>
      </c>
      <c r="G134" s="39">
        <f>IFERROR(INDEX($Q$8:$Q$207,MATCH(LARGE($T$8:$T$207,ROWS($A$8:A134)),$T$8:$T$207,0)),"")</f>
        <v/>
      </c>
      <c r="H134" s="39">
        <f>IFERROR(INDEX($R$8:$R$207,MATCH(LARGE($T$8:$T$207,ROWS($A$8:A134)),$T$8:$T$207,0)),"")</f>
        <v/>
      </c>
      <c r="I134" s="39">
        <f>IFERROR(INDEX($S$8:$S$207,MATCH(LARGE($T$8:$T$207,ROWS($A$8:A134)),$T$8:$T$207,0)),"")</f>
        <v/>
      </c>
      <c r="K134">
        <f>IF(Trabajadores!B131="","",Trabajadores!B131)</f>
        <v/>
      </c>
      <c r="L134">
        <f>IF(K134="","",COUNTIFS(Detalle_Pagos!$E$5:$E$2004,K134,Detalle_Pagos!$B$5:$B$2004,"&gt;="&amp;$B$3,Detalle_Pagos!$B$5:$B$2004,"&lt;="&amp;$B$4))</f>
        <v/>
      </c>
      <c r="M134" s="43">
        <f>IF(K134="","",SUMIFS(Detalle_Pagos!$I$5:$I$2004,Detalle_Pagos!$E$5:$E$2004,K134,Detalle_Pagos!$J$5:$J$2004,"Si",Detalle_Pagos!$B$5:$B$2004,"&gt;="&amp;$B$3,Detalle_Pagos!$B$5:$B$2004,"&lt;="&amp;$B$4))</f>
        <v/>
      </c>
      <c r="N134" s="43">
        <f>IF(K134="","",SUMIFS(Detalle_Pagos!$I$5:$I$2004,Detalle_Pagos!$E$5:$E$2004,K134,Detalle_Pagos!$J$5:$J$2004,"No",Detalle_Pagos!$B$5:$B$2004,"&gt;="&amp;$B$3,Detalle_Pagos!$B$5:$B$2004,"&lt;="&amp;$B$4))</f>
        <v/>
      </c>
      <c r="O134">
        <f>IF(K134="","",COUNTIFS(Detalle_Pagos!$E$5:$E$2004,K134,Detalle_Pagos!$J$5:$J$2004,"No",Detalle_Pagos!$B$5:$B$2004,"&gt;="&amp;$B$3,Detalle_Pagos!$B$5:$B$2004,"&lt;="&amp;$B$4))</f>
        <v/>
      </c>
      <c r="P134">
        <f>IF(K134="","",COUNTIFS(Detalle_Pagos!$E$5:$E$2004,K134,Detalle_Pagos!$J$5:$J$2004,"Si",Detalle_Pagos!$B$5:$B$2004,"&gt;="&amp;$B$3,Detalle_Pagos!$B$5:$B$2004,"&lt;="&amp;$B$4))</f>
        <v/>
      </c>
      <c r="Q134" s="43">
        <f>IF(K134="","",O134*IFERROR(INDEX(Trabajadores!$D$5:$D$204,MATCH(K134,Trabajadores!$B$5:$B$204,0)),0))</f>
        <v/>
      </c>
      <c r="R134" s="43">
        <f>IF(K134="","",N134+Q134)</f>
        <v/>
      </c>
      <c r="S134" s="43">
        <f>IF(K134="","",M134+N134)</f>
        <v/>
      </c>
      <c r="T134">
        <f>IF(K134="","",S134+R134/100000+L134/100000000+(100000-ROW())/1000000000)</f>
        <v/>
      </c>
    </row>
    <row r="135">
      <c r="A135" s="36">
        <f>IFERROR(INDEX($K$8:$K$207,MATCH(LARGE($T$8:$T$207,ROWS($A$8:A135)),$T$8:$T$207,0)),"")</f>
        <v/>
      </c>
      <c r="B135" s="36">
        <f>IFERROR(INDEX($L$8:$L$207,MATCH(LARGE($T$8:$T$207,ROWS($A$8:A135)),$T$8:$T$207,0)),"")</f>
        <v/>
      </c>
      <c r="C135" s="37">
        <f>IFERROR(INDEX($M$8:$M$207,MATCH(LARGE($T$8:$T$207,ROWS($A$8:A135)),$T$8:$T$207,0)),"")</f>
        <v/>
      </c>
      <c r="D135" s="37">
        <f>IFERROR(INDEX($N$8:$N$207,MATCH(LARGE($T$8:$T$207,ROWS($A$8:A135)),$T$8:$T$207,0)),"")</f>
        <v/>
      </c>
      <c r="E135" s="36">
        <f>IFERROR(INDEX($O$8:$O$207,MATCH(LARGE($T$8:$T$207,ROWS($A$8:A135)),$T$8:$T$207,0)),"")</f>
        <v/>
      </c>
      <c r="F135" s="36">
        <f>IFERROR(INDEX($P$8:$P$207,MATCH(LARGE($T$8:$T$207,ROWS($A$8:A135)),$T$8:$T$207,0)),"")</f>
        <v/>
      </c>
      <c r="G135" s="37">
        <f>IFERROR(INDEX($Q$8:$Q$207,MATCH(LARGE($T$8:$T$207,ROWS($A$8:A135)),$T$8:$T$207,0)),"")</f>
        <v/>
      </c>
      <c r="H135" s="37">
        <f>IFERROR(INDEX($R$8:$R$207,MATCH(LARGE($T$8:$T$207,ROWS($A$8:A135)),$T$8:$T$207,0)),"")</f>
        <v/>
      </c>
      <c r="I135" s="37">
        <f>IFERROR(INDEX($S$8:$S$207,MATCH(LARGE($T$8:$T$207,ROWS($A$8:A135)),$T$8:$T$207,0)),"")</f>
        <v/>
      </c>
      <c r="K135">
        <f>IF(Trabajadores!B132="","",Trabajadores!B132)</f>
        <v/>
      </c>
      <c r="L135">
        <f>IF(K135="","",COUNTIFS(Detalle_Pagos!$E$5:$E$2004,K135,Detalle_Pagos!$B$5:$B$2004,"&gt;="&amp;$B$3,Detalle_Pagos!$B$5:$B$2004,"&lt;="&amp;$B$4))</f>
        <v/>
      </c>
      <c r="M135" s="43">
        <f>IF(K135="","",SUMIFS(Detalle_Pagos!$I$5:$I$2004,Detalle_Pagos!$E$5:$E$2004,K135,Detalle_Pagos!$J$5:$J$2004,"Si",Detalle_Pagos!$B$5:$B$2004,"&gt;="&amp;$B$3,Detalle_Pagos!$B$5:$B$2004,"&lt;="&amp;$B$4))</f>
        <v/>
      </c>
      <c r="N135" s="43">
        <f>IF(K135="","",SUMIFS(Detalle_Pagos!$I$5:$I$2004,Detalle_Pagos!$E$5:$E$2004,K135,Detalle_Pagos!$J$5:$J$2004,"No",Detalle_Pagos!$B$5:$B$2004,"&gt;="&amp;$B$3,Detalle_Pagos!$B$5:$B$2004,"&lt;="&amp;$B$4))</f>
        <v/>
      </c>
      <c r="O135">
        <f>IF(K135="","",COUNTIFS(Detalle_Pagos!$E$5:$E$2004,K135,Detalle_Pagos!$J$5:$J$2004,"No",Detalle_Pagos!$B$5:$B$2004,"&gt;="&amp;$B$3,Detalle_Pagos!$B$5:$B$2004,"&lt;="&amp;$B$4))</f>
        <v/>
      </c>
      <c r="P135">
        <f>IF(K135="","",COUNTIFS(Detalle_Pagos!$E$5:$E$2004,K135,Detalle_Pagos!$J$5:$J$2004,"Si",Detalle_Pagos!$B$5:$B$2004,"&gt;="&amp;$B$3,Detalle_Pagos!$B$5:$B$2004,"&lt;="&amp;$B$4))</f>
        <v/>
      </c>
      <c r="Q135" s="43">
        <f>IF(K135="","",O135*IFERROR(INDEX(Trabajadores!$D$5:$D$204,MATCH(K135,Trabajadores!$B$5:$B$204,0)),0))</f>
        <v/>
      </c>
      <c r="R135" s="43">
        <f>IF(K135="","",N135+Q135)</f>
        <v/>
      </c>
      <c r="S135" s="43">
        <f>IF(K135="","",M135+N135)</f>
        <v/>
      </c>
      <c r="T135">
        <f>IF(K135="","",S135+R135/100000+L135/100000000+(100000-ROW())/1000000000)</f>
        <v/>
      </c>
    </row>
    <row r="136">
      <c r="A136" s="38">
        <f>IFERROR(INDEX($K$8:$K$207,MATCH(LARGE($T$8:$T$207,ROWS($A$8:A136)),$T$8:$T$207,0)),"")</f>
        <v/>
      </c>
      <c r="B136" s="38">
        <f>IFERROR(INDEX($L$8:$L$207,MATCH(LARGE($T$8:$T$207,ROWS($A$8:A136)),$T$8:$T$207,0)),"")</f>
        <v/>
      </c>
      <c r="C136" s="39">
        <f>IFERROR(INDEX($M$8:$M$207,MATCH(LARGE($T$8:$T$207,ROWS($A$8:A136)),$T$8:$T$207,0)),"")</f>
        <v/>
      </c>
      <c r="D136" s="39">
        <f>IFERROR(INDEX($N$8:$N$207,MATCH(LARGE($T$8:$T$207,ROWS($A$8:A136)),$T$8:$T$207,0)),"")</f>
        <v/>
      </c>
      <c r="E136" s="38">
        <f>IFERROR(INDEX($O$8:$O$207,MATCH(LARGE($T$8:$T$207,ROWS($A$8:A136)),$T$8:$T$207,0)),"")</f>
        <v/>
      </c>
      <c r="F136" s="38">
        <f>IFERROR(INDEX($P$8:$P$207,MATCH(LARGE($T$8:$T$207,ROWS($A$8:A136)),$T$8:$T$207,0)),"")</f>
        <v/>
      </c>
      <c r="G136" s="39">
        <f>IFERROR(INDEX($Q$8:$Q$207,MATCH(LARGE($T$8:$T$207,ROWS($A$8:A136)),$T$8:$T$207,0)),"")</f>
        <v/>
      </c>
      <c r="H136" s="39">
        <f>IFERROR(INDEX($R$8:$R$207,MATCH(LARGE($T$8:$T$207,ROWS($A$8:A136)),$T$8:$T$207,0)),"")</f>
        <v/>
      </c>
      <c r="I136" s="39">
        <f>IFERROR(INDEX($S$8:$S$207,MATCH(LARGE($T$8:$T$207,ROWS($A$8:A136)),$T$8:$T$207,0)),"")</f>
        <v/>
      </c>
      <c r="K136">
        <f>IF(Trabajadores!B133="","",Trabajadores!B133)</f>
        <v/>
      </c>
      <c r="L136">
        <f>IF(K136="","",COUNTIFS(Detalle_Pagos!$E$5:$E$2004,K136,Detalle_Pagos!$B$5:$B$2004,"&gt;="&amp;$B$3,Detalle_Pagos!$B$5:$B$2004,"&lt;="&amp;$B$4))</f>
        <v/>
      </c>
      <c r="M136" s="43">
        <f>IF(K136="","",SUMIFS(Detalle_Pagos!$I$5:$I$2004,Detalle_Pagos!$E$5:$E$2004,K136,Detalle_Pagos!$J$5:$J$2004,"Si",Detalle_Pagos!$B$5:$B$2004,"&gt;="&amp;$B$3,Detalle_Pagos!$B$5:$B$2004,"&lt;="&amp;$B$4))</f>
        <v/>
      </c>
      <c r="N136" s="43">
        <f>IF(K136="","",SUMIFS(Detalle_Pagos!$I$5:$I$2004,Detalle_Pagos!$E$5:$E$2004,K136,Detalle_Pagos!$J$5:$J$2004,"No",Detalle_Pagos!$B$5:$B$2004,"&gt;="&amp;$B$3,Detalle_Pagos!$B$5:$B$2004,"&lt;="&amp;$B$4))</f>
        <v/>
      </c>
      <c r="O136">
        <f>IF(K136="","",COUNTIFS(Detalle_Pagos!$E$5:$E$2004,K136,Detalle_Pagos!$J$5:$J$2004,"No",Detalle_Pagos!$B$5:$B$2004,"&gt;="&amp;$B$3,Detalle_Pagos!$B$5:$B$2004,"&lt;="&amp;$B$4))</f>
        <v/>
      </c>
      <c r="P136">
        <f>IF(K136="","",COUNTIFS(Detalle_Pagos!$E$5:$E$2004,K136,Detalle_Pagos!$J$5:$J$2004,"Si",Detalle_Pagos!$B$5:$B$2004,"&gt;="&amp;$B$3,Detalle_Pagos!$B$5:$B$2004,"&lt;="&amp;$B$4))</f>
        <v/>
      </c>
      <c r="Q136" s="43">
        <f>IF(K136="","",O136*IFERROR(INDEX(Trabajadores!$D$5:$D$204,MATCH(K136,Trabajadores!$B$5:$B$204,0)),0))</f>
        <v/>
      </c>
      <c r="R136" s="43">
        <f>IF(K136="","",N136+Q136)</f>
        <v/>
      </c>
      <c r="S136" s="43">
        <f>IF(K136="","",M136+N136)</f>
        <v/>
      </c>
      <c r="T136">
        <f>IF(K136="","",S136+R136/100000+L136/100000000+(100000-ROW())/1000000000)</f>
        <v/>
      </c>
    </row>
    <row r="137">
      <c r="A137" s="36">
        <f>IFERROR(INDEX($K$8:$K$207,MATCH(LARGE($T$8:$T$207,ROWS($A$8:A137)),$T$8:$T$207,0)),"")</f>
        <v/>
      </c>
      <c r="B137" s="36">
        <f>IFERROR(INDEX($L$8:$L$207,MATCH(LARGE($T$8:$T$207,ROWS($A$8:A137)),$T$8:$T$207,0)),"")</f>
        <v/>
      </c>
      <c r="C137" s="37">
        <f>IFERROR(INDEX($M$8:$M$207,MATCH(LARGE($T$8:$T$207,ROWS($A$8:A137)),$T$8:$T$207,0)),"")</f>
        <v/>
      </c>
      <c r="D137" s="37">
        <f>IFERROR(INDEX($N$8:$N$207,MATCH(LARGE($T$8:$T$207,ROWS($A$8:A137)),$T$8:$T$207,0)),"")</f>
        <v/>
      </c>
      <c r="E137" s="36">
        <f>IFERROR(INDEX($O$8:$O$207,MATCH(LARGE($T$8:$T$207,ROWS($A$8:A137)),$T$8:$T$207,0)),"")</f>
        <v/>
      </c>
      <c r="F137" s="36">
        <f>IFERROR(INDEX($P$8:$P$207,MATCH(LARGE($T$8:$T$207,ROWS($A$8:A137)),$T$8:$T$207,0)),"")</f>
        <v/>
      </c>
      <c r="G137" s="37">
        <f>IFERROR(INDEX($Q$8:$Q$207,MATCH(LARGE($T$8:$T$207,ROWS($A$8:A137)),$T$8:$T$207,0)),"")</f>
        <v/>
      </c>
      <c r="H137" s="37">
        <f>IFERROR(INDEX($R$8:$R$207,MATCH(LARGE($T$8:$T$207,ROWS($A$8:A137)),$T$8:$T$207,0)),"")</f>
        <v/>
      </c>
      <c r="I137" s="37">
        <f>IFERROR(INDEX($S$8:$S$207,MATCH(LARGE($T$8:$T$207,ROWS($A$8:A137)),$T$8:$T$207,0)),"")</f>
        <v/>
      </c>
      <c r="K137">
        <f>IF(Trabajadores!B134="","",Trabajadores!B134)</f>
        <v/>
      </c>
      <c r="L137">
        <f>IF(K137="","",COUNTIFS(Detalle_Pagos!$E$5:$E$2004,K137,Detalle_Pagos!$B$5:$B$2004,"&gt;="&amp;$B$3,Detalle_Pagos!$B$5:$B$2004,"&lt;="&amp;$B$4))</f>
        <v/>
      </c>
      <c r="M137" s="43">
        <f>IF(K137="","",SUMIFS(Detalle_Pagos!$I$5:$I$2004,Detalle_Pagos!$E$5:$E$2004,K137,Detalle_Pagos!$J$5:$J$2004,"Si",Detalle_Pagos!$B$5:$B$2004,"&gt;="&amp;$B$3,Detalle_Pagos!$B$5:$B$2004,"&lt;="&amp;$B$4))</f>
        <v/>
      </c>
      <c r="N137" s="43">
        <f>IF(K137="","",SUMIFS(Detalle_Pagos!$I$5:$I$2004,Detalle_Pagos!$E$5:$E$2004,K137,Detalle_Pagos!$J$5:$J$2004,"No",Detalle_Pagos!$B$5:$B$2004,"&gt;="&amp;$B$3,Detalle_Pagos!$B$5:$B$2004,"&lt;="&amp;$B$4))</f>
        <v/>
      </c>
      <c r="O137">
        <f>IF(K137="","",COUNTIFS(Detalle_Pagos!$E$5:$E$2004,K137,Detalle_Pagos!$J$5:$J$2004,"No",Detalle_Pagos!$B$5:$B$2004,"&gt;="&amp;$B$3,Detalle_Pagos!$B$5:$B$2004,"&lt;="&amp;$B$4))</f>
        <v/>
      </c>
      <c r="P137">
        <f>IF(K137="","",COUNTIFS(Detalle_Pagos!$E$5:$E$2004,K137,Detalle_Pagos!$J$5:$J$2004,"Si",Detalle_Pagos!$B$5:$B$2004,"&gt;="&amp;$B$3,Detalle_Pagos!$B$5:$B$2004,"&lt;="&amp;$B$4))</f>
        <v/>
      </c>
      <c r="Q137" s="43">
        <f>IF(K137="","",O137*IFERROR(INDEX(Trabajadores!$D$5:$D$204,MATCH(K137,Trabajadores!$B$5:$B$204,0)),0))</f>
        <v/>
      </c>
      <c r="R137" s="43">
        <f>IF(K137="","",N137+Q137)</f>
        <v/>
      </c>
      <c r="S137" s="43">
        <f>IF(K137="","",M137+N137)</f>
        <v/>
      </c>
      <c r="T137">
        <f>IF(K137="","",S137+R137/100000+L137/100000000+(100000-ROW())/1000000000)</f>
        <v/>
      </c>
    </row>
    <row r="138">
      <c r="A138" s="38">
        <f>IFERROR(INDEX($K$8:$K$207,MATCH(LARGE($T$8:$T$207,ROWS($A$8:A138)),$T$8:$T$207,0)),"")</f>
        <v/>
      </c>
      <c r="B138" s="38">
        <f>IFERROR(INDEX($L$8:$L$207,MATCH(LARGE($T$8:$T$207,ROWS($A$8:A138)),$T$8:$T$207,0)),"")</f>
        <v/>
      </c>
      <c r="C138" s="39">
        <f>IFERROR(INDEX($M$8:$M$207,MATCH(LARGE($T$8:$T$207,ROWS($A$8:A138)),$T$8:$T$207,0)),"")</f>
        <v/>
      </c>
      <c r="D138" s="39">
        <f>IFERROR(INDEX($N$8:$N$207,MATCH(LARGE($T$8:$T$207,ROWS($A$8:A138)),$T$8:$T$207,0)),"")</f>
        <v/>
      </c>
      <c r="E138" s="38">
        <f>IFERROR(INDEX($O$8:$O$207,MATCH(LARGE($T$8:$T$207,ROWS($A$8:A138)),$T$8:$T$207,0)),"")</f>
        <v/>
      </c>
      <c r="F138" s="38">
        <f>IFERROR(INDEX($P$8:$P$207,MATCH(LARGE($T$8:$T$207,ROWS($A$8:A138)),$T$8:$T$207,0)),"")</f>
        <v/>
      </c>
      <c r="G138" s="39">
        <f>IFERROR(INDEX($Q$8:$Q$207,MATCH(LARGE($T$8:$T$207,ROWS($A$8:A138)),$T$8:$T$207,0)),"")</f>
        <v/>
      </c>
      <c r="H138" s="39">
        <f>IFERROR(INDEX($R$8:$R$207,MATCH(LARGE($T$8:$T$207,ROWS($A$8:A138)),$T$8:$T$207,0)),"")</f>
        <v/>
      </c>
      <c r="I138" s="39">
        <f>IFERROR(INDEX($S$8:$S$207,MATCH(LARGE($T$8:$T$207,ROWS($A$8:A138)),$T$8:$T$207,0)),"")</f>
        <v/>
      </c>
      <c r="K138">
        <f>IF(Trabajadores!B135="","",Trabajadores!B135)</f>
        <v/>
      </c>
      <c r="L138">
        <f>IF(K138="","",COUNTIFS(Detalle_Pagos!$E$5:$E$2004,K138,Detalle_Pagos!$B$5:$B$2004,"&gt;="&amp;$B$3,Detalle_Pagos!$B$5:$B$2004,"&lt;="&amp;$B$4))</f>
        <v/>
      </c>
      <c r="M138" s="43">
        <f>IF(K138="","",SUMIFS(Detalle_Pagos!$I$5:$I$2004,Detalle_Pagos!$E$5:$E$2004,K138,Detalle_Pagos!$J$5:$J$2004,"Si",Detalle_Pagos!$B$5:$B$2004,"&gt;="&amp;$B$3,Detalle_Pagos!$B$5:$B$2004,"&lt;="&amp;$B$4))</f>
        <v/>
      </c>
      <c r="N138" s="43">
        <f>IF(K138="","",SUMIFS(Detalle_Pagos!$I$5:$I$2004,Detalle_Pagos!$E$5:$E$2004,K138,Detalle_Pagos!$J$5:$J$2004,"No",Detalle_Pagos!$B$5:$B$2004,"&gt;="&amp;$B$3,Detalle_Pagos!$B$5:$B$2004,"&lt;="&amp;$B$4))</f>
        <v/>
      </c>
      <c r="O138">
        <f>IF(K138="","",COUNTIFS(Detalle_Pagos!$E$5:$E$2004,K138,Detalle_Pagos!$J$5:$J$2004,"No",Detalle_Pagos!$B$5:$B$2004,"&gt;="&amp;$B$3,Detalle_Pagos!$B$5:$B$2004,"&lt;="&amp;$B$4))</f>
        <v/>
      </c>
      <c r="P138">
        <f>IF(K138="","",COUNTIFS(Detalle_Pagos!$E$5:$E$2004,K138,Detalle_Pagos!$J$5:$J$2004,"Si",Detalle_Pagos!$B$5:$B$2004,"&gt;="&amp;$B$3,Detalle_Pagos!$B$5:$B$2004,"&lt;="&amp;$B$4))</f>
        <v/>
      </c>
      <c r="Q138" s="43">
        <f>IF(K138="","",O138*IFERROR(INDEX(Trabajadores!$D$5:$D$204,MATCH(K138,Trabajadores!$B$5:$B$204,0)),0))</f>
        <v/>
      </c>
      <c r="R138" s="43">
        <f>IF(K138="","",N138+Q138)</f>
        <v/>
      </c>
      <c r="S138" s="43">
        <f>IF(K138="","",M138+N138)</f>
        <v/>
      </c>
      <c r="T138">
        <f>IF(K138="","",S138+R138/100000+L138/100000000+(100000-ROW())/1000000000)</f>
        <v/>
      </c>
    </row>
    <row r="139">
      <c r="A139" s="36">
        <f>IFERROR(INDEX($K$8:$K$207,MATCH(LARGE($T$8:$T$207,ROWS($A$8:A139)),$T$8:$T$207,0)),"")</f>
        <v/>
      </c>
      <c r="B139" s="36">
        <f>IFERROR(INDEX($L$8:$L$207,MATCH(LARGE($T$8:$T$207,ROWS($A$8:A139)),$T$8:$T$207,0)),"")</f>
        <v/>
      </c>
      <c r="C139" s="37">
        <f>IFERROR(INDEX($M$8:$M$207,MATCH(LARGE($T$8:$T$207,ROWS($A$8:A139)),$T$8:$T$207,0)),"")</f>
        <v/>
      </c>
      <c r="D139" s="37">
        <f>IFERROR(INDEX($N$8:$N$207,MATCH(LARGE($T$8:$T$207,ROWS($A$8:A139)),$T$8:$T$207,0)),"")</f>
        <v/>
      </c>
      <c r="E139" s="36">
        <f>IFERROR(INDEX($O$8:$O$207,MATCH(LARGE($T$8:$T$207,ROWS($A$8:A139)),$T$8:$T$207,0)),"")</f>
        <v/>
      </c>
      <c r="F139" s="36">
        <f>IFERROR(INDEX($P$8:$P$207,MATCH(LARGE($T$8:$T$207,ROWS($A$8:A139)),$T$8:$T$207,0)),"")</f>
        <v/>
      </c>
      <c r="G139" s="37">
        <f>IFERROR(INDEX($Q$8:$Q$207,MATCH(LARGE($T$8:$T$207,ROWS($A$8:A139)),$T$8:$T$207,0)),"")</f>
        <v/>
      </c>
      <c r="H139" s="37">
        <f>IFERROR(INDEX($R$8:$R$207,MATCH(LARGE($T$8:$T$207,ROWS($A$8:A139)),$T$8:$T$207,0)),"")</f>
        <v/>
      </c>
      <c r="I139" s="37">
        <f>IFERROR(INDEX($S$8:$S$207,MATCH(LARGE($T$8:$T$207,ROWS($A$8:A139)),$T$8:$T$207,0)),"")</f>
        <v/>
      </c>
      <c r="K139">
        <f>IF(Trabajadores!B136="","",Trabajadores!B136)</f>
        <v/>
      </c>
      <c r="L139">
        <f>IF(K139="","",COUNTIFS(Detalle_Pagos!$E$5:$E$2004,K139,Detalle_Pagos!$B$5:$B$2004,"&gt;="&amp;$B$3,Detalle_Pagos!$B$5:$B$2004,"&lt;="&amp;$B$4))</f>
        <v/>
      </c>
      <c r="M139" s="43">
        <f>IF(K139="","",SUMIFS(Detalle_Pagos!$I$5:$I$2004,Detalle_Pagos!$E$5:$E$2004,K139,Detalle_Pagos!$J$5:$J$2004,"Si",Detalle_Pagos!$B$5:$B$2004,"&gt;="&amp;$B$3,Detalle_Pagos!$B$5:$B$2004,"&lt;="&amp;$B$4))</f>
        <v/>
      </c>
      <c r="N139" s="43">
        <f>IF(K139="","",SUMIFS(Detalle_Pagos!$I$5:$I$2004,Detalle_Pagos!$E$5:$E$2004,K139,Detalle_Pagos!$J$5:$J$2004,"No",Detalle_Pagos!$B$5:$B$2004,"&gt;="&amp;$B$3,Detalle_Pagos!$B$5:$B$2004,"&lt;="&amp;$B$4))</f>
        <v/>
      </c>
      <c r="O139">
        <f>IF(K139="","",COUNTIFS(Detalle_Pagos!$E$5:$E$2004,K139,Detalle_Pagos!$J$5:$J$2004,"No",Detalle_Pagos!$B$5:$B$2004,"&gt;="&amp;$B$3,Detalle_Pagos!$B$5:$B$2004,"&lt;="&amp;$B$4))</f>
        <v/>
      </c>
      <c r="P139">
        <f>IF(K139="","",COUNTIFS(Detalle_Pagos!$E$5:$E$2004,K139,Detalle_Pagos!$J$5:$J$2004,"Si",Detalle_Pagos!$B$5:$B$2004,"&gt;="&amp;$B$3,Detalle_Pagos!$B$5:$B$2004,"&lt;="&amp;$B$4))</f>
        <v/>
      </c>
      <c r="Q139" s="43">
        <f>IF(K139="","",O139*IFERROR(INDEX(Trabajadores!$D$5:$D$204,MATCH(K139,Trabajadores!$B$5:$B$204,0)),0))</f>
        <v/>
      </c>
      <c r="R139" s="43">
        <f>IF(K139="","",N139+Q139)</f>
        <v/>
      </c>
      <c r="S139" s="43">
        <f>IF(K139="","",M139+N139)</f>
        <v/>
      </c>
      <c r="T139">
        <f>IF(K139="","",S139+R139/100000+L139/100000000+(100000-ROW())/1000000000)</f>
        <v/>
      </c>
    </row>
    <row r="140">
      <c r="A140" s="38">
        <f>IFERROR(INDEX($K$8:$K$207,MATCH(LARGE($T$8:$T$207,ROWS($A$8:A140)),$T$8:$T$207,0)),"")</f>
        <v/>
      </c>
      <c r="B140" s="38">
        <f>IFERROR(INDEX($L$8:$L$207,MATCH(LARGE($T$8:$T$207,ROWS($A$8:A140)),$T$8:$T$207,0)),"")</f>
        <v/>
      </c>
      <c r="C140" s="39">
        <f>IFERROR(INDEX($M$8:$M$207,MATCH(LARGE($T$8:$T$207,ROWS($A$8:A140)),$T$8:$T$207,0)),"")</f>
        <v/>
      </c>
      <c r="D140" s="39">
        <f>IFERROR(INDEX($N$8:$N$207,MATCH(LARGE($T$8:$T$207,ROWS($A$8:A140)),$T$8:$T$207,0)),"")</f>
        <v/>
      </c>
      <c r="E140" s="38">
        <f>IFERROR(INDEX($O$8:$O$207,MATCH(LARGE($T$8:$T$207,ROWS($A$8:A140)),$T$8:$T$207,0)),"")</f>
        <v/>
      </c>
      <c r="F140" s="38">
        <f>IFERROR(INDEX($P$8:$P$207,MATCH(LARGE($T$8:$T$207,ROWS($A$8:A140)),$T$8:$T$207,0)),"")</f>
        <v/>
      </c>
      <c r="G140" s="39">
        <f>IFERROR(INDEX($Q$8:$Q$207,MATCH(LARGE($T$8:$T$207,ROWS($A$8:A140)),$T$8:$T$207,0)),"")</f>
        <v/>
      </c>
      <c r="H140" s="39">
        <f>IFERROR(INDEX($R$8:$R$207,MATCH(LARGE($T$8:$T$207,ROWS($A$8:A140)),$T$8:$T$207,0)),"")</f>
        <v/>
      </c>
      <c r="I140" s="39">
        <f>IFERROR(INDEX($S$8:$S$207,MATCH(LARGE($T$8:$T$207,ROWS($A$8:A140)),$T$8:$T$207,0)),"")</f>
        <v/>
      </c>
      <c r="K140">
        <f>IF(Trabajadores!B137="","",Trabajadores!B137)</f>
        <v/>
      </c>
      <c r="L140">
        <f>IF(K140="","",COUNTIFS(Detalle_Pagos!$E$5:$E$2004,K140,Detalle_Pagos!$B$5:$B$2004,"&gt;="&amp;$B$3,Detalle_Pagos!$B$5:$B$2004,"&lt;="&amp;$B$4))</f>
        <v/>
      </c>
      <c r="M140" s="43">
        <f>IF(K140="","",SUMIFS(Detalle_Pagos!$I$5:$I$2004,Detalle_Pagos!$E$5:$E$2004,K140,Detalle_Pagos!$J$5:$J$2004,"Si",Detalle_Pagos!$B$5:$B$2004,"&gt;="&amp;$B$3,Detalle_Pagos!$B$5:$B$2004,"&lt;="&amp;$B$4))</f>
        <v/>
      </c>
      <c r="N140" s="43">
        <f>IF(K140="","",SUMIFS(Detalle_Pagos!$I$5:$I$2004,Detalle_Pagos!$E$5:$E$2004,K140,Detalle_Pagos!$J$5:$J$2004,"No",Detalle_Pagos!$B$5:$B$2004,"&gt;="&amp;$B$3,Detalle_Pagos!$B$5:$B$2004,"&lt;="&amp;$B$4))</f>
        <v/>
      </c>
      <c r="O140">
        <f>IF(K140="","",COUNTIFS(Detalle_Pagos!$E$5:$E$2004,K140,Detalle_Pagos!$J$5:$J$2004,"No",Detalle_Pagos!$B$5:$B$2004,"&gt;="&amp;$B$3,Detalle_Pagos!$B$5:$B$2004,"&lt;="&amp;$B$4))</f>
        <v/>
      </c>
      <c r="P140">
        <f>IF(K140="","",COUNTIFS(Detalle_Pagos!$E$5:$E$2004,K140,Detalle_Pagos!$J$5:$J$2004,"Si",Detalle_Pagos!$B$5:$B$2004,"&gt;="&amp;$B$3,Detalle_Pagos!$B$5:$B$2004,"&lt;="&amp;$B$4))</f>
        <v/>
      </c>
      <c r="Q140" s="43">
        <f>IF(K140="","",O140*IFERROR(INDEX(Trabajadores!$D$5:$D$204,MATCH(K140,Trabajadores!$B$5:$B$204,0)),0))</f>
        <v/>
      </c>
      <c r="R140" s="43">
        <f>IF(K140="","",N140+Q140)</f>
        <v/>
      </c>
      <c r="S140" s="43">
        <f>IF(K140="","",M140+N140)</f>
        <v/>
      </c>
      <c r="T140">
        <f>IF(K140="","",S140+R140/100000+L140/100000000+(100000-ROW())/1000000000)</f>
        <v/>
      </c>
    </row>
    <row r="141">
      <c r="A141" s="36">
        <f>IFERROR(INDEX($K$8:$K$207,MATCH(LARGE($T$8:$T$207,ROWS($A$8:A141)),$T$8:$T$207,0)),"")</f>
        <v/>
      </c>
      <c r="B141" s="36">
        <f>IFERROR(INDEX($L$8:$L$207,MATCH(LARGE($T$8:$T$207,ROWS($A$8:A141)),$T$8:$T$207,0)),"")</f>
        <v/>
      </c>
      <c r="C141" s="37">
        <f>IFERROR(INDEX($M$8:$M$207,MATCH(LARGE($T$8:$T$207,ROWS($A$8:A141)),$T$8:$T$207,0)),"")</f>
        <v/>
      </c>
      <c r="D141" s="37">
        <f>IFERROR(INDEX($N$8:$N$207,MATCH(LARGE($T$8:$T$207,ROWS($A$8:A141)),$T$8:$T$207,0)),"")</f>
        <v/>
      </c>
      <c r="E141" s="36">
        <f>IFERROR(INDEX($O$8:$O$207,MATCH(LARGE($T$8:$T$207,ROWS($A$8:A141)),$T$8:$T$207,0)),"")</f>
        <v/>
      </c>
      <c r="F141" s="36">
        <f>IFERROR(INDEX($P$8:$P$207,MATCH(LARGE($T$8:$T$207,ROWS($A$8:A141)),$T$8:$T$207,0)),"")</f>
        <v/>
      </c>
      <c r="G141" s="37">
        <f>IFERROR(INDEX($Q$8:$Q$207,MATCH(LARGE($T$8:$T$207,ROWS($A$8:A141)),$T$8:$T$207,0)),"")</f>
        <v/>
      </c>
      <c r="H141" s="37">
        <f>IFERROR(INDEX($R$8:$R$207,MATCH(LARGE($T$8:$T$207,ROWS($A$8:A141)),$T$8:$T$207,0)),"")</f>
        <v/>
      </c>
      <c r="I141" s="37">
        <f>IFERROR(INDEX($S$8:$S$207,MATCH(LARGE($T$8:$T$207,ROWS($A$8:A141)),$T$8:$T$207,0)),"")</f>
        <v/>
      </c>
      <c r="K141">
        <f>IF(Trabajadores!B138="","",Trabajadores!B138)</f>
        <v/>
      </c>
      <c r="L141">
        <f>IF(K141="","",COUNTIFS(Detalle_Pagos!$E$5:$E$2004,K141,Detalle_Pagos!$B$5:$B$2004,"&gt;="&amp;$B$3,Detalle_Pagos!$B$5:$B$2004,"&lt;="&amp;$B$4))</f>
        <v/>
      </c>
      <c r="M141" s="43">
        <f>IF(K141="","",SUMIFS(Detalle_Pagos!$I$5:$I$2004,Detalle_Pagos!$E$5:$E$2004,K141,Detalle_Pagos!$J$5:$J$2004,"Si",Detalle_Pagos!$B$5:$B$2004,"&gt;="&amp;$B$3,Detalle_Pagos!$B$5:$B$2004,"&lt;="&amp;$B$4))</f>
        <v/>
      </c>
      <c r="N141" s="43">
        <f>IF(K141="","",SUMIFS(Detalle_Pagos!$I$5:$I$2004,Detalle_Pagos!$E$5:$E$2004,K141,Detalle_Pagos!$J$5:$J$2004,"No",Detalle_Pagos!$B$5:$B$2004,"&gt;="&amp;$B$3,Detalle_Pagos!$B$5:$B$2004,"&lt;="&amp;$B$4))</f>
        <v/>
      </c>
      <c r="O141">
        <f>IF(K141="","",COUNTIFS(Detalle_Pagos!$E$5:$E$2004,K141,Detalle_Pagos!$J$5:$J$2004,"No",Detalle_Pagos!$B$5:$B$2004,"&gt;="&amp;$B$3,Detalle_Pagos!$B$5:$B$2004,"&lt;="&amp;$B$4))</f>
        <v/>
      </c>
      <c r="P141">
        <f>IF(K141="","",COUNTIFS(Detalle_Pagos!$E$5:$E$2004,K141,Detalle_Pagos!$J$5:$J$2004,"Si",Detalle_Pagos!$B$5:$B$2004,"&gt;="&amp;$B$3,Detalle_Pagos!$B$5:$B$2004,"&lt;="&amp;$B$4))</f>
        <v/>
      </c>
      <c r="Q141" s="43">
        <f>IF(K141="","",O141*IFERROR(INDEX(Trabajadores!$D$5:$D$204,MATCH(K141,Trabajadores!$B$5:$B$204,0)),0))</f>
        <v/>
      </c>
      <c r="R141" s="43">
        <f>IF(K141="","",N141+Q141)</f>
        <v/>
      </c>
      <c r="S141" s="43">
        <f>IF(K141="","",M141+N141)</f>
        <v/>
      </c>
      <c r="T141">
        <f>IF(K141="","",S141+R141/100000+L141/100000000+(100000-ROW())/1000000000)</f>
        <v/>
      </c>
    </row>
    <row r="142">
      <c r="A142" s="38">
        <f>IFERROR(INDEX($K$8:$K$207,MATCH(LARGE($T$8:$T$207,ROWS($A$8:A142)),$T$8:$T$207,0)),"")</f>
        <v/>
      </c>
      <c r="B142" s="38">
        <f>IFERROR(INDEX($L$8:$L$207,MATCH(LARGE($T$8:$T$207,ROWS($A$8:A142)),$T$8:$T$207,0)),"")</f>
        <v/>
      </c>
      <c r="C142" s="39">
        <f>IFERROR(INDEX($M$8:$M$207,MATCH(LARGE($T$8:$T$207,ROWS($A$8:A142)),$T$8:$T$207,0)),"")</f>
        <v/>
      </c>
      <c r="D142" s="39">
        <f>IFERROR(INDEX($N$8:$N$207,MATCH(LARGE($T$8:$T$207,ROWS($A$8:A142)),$T$8:$T$207,0)),"")</f>
        <v/>
      </c>
      <c r="E142" s="38">
        <f>IFERROR(INDEX($O$8:$O$207,MATCH(LARGE($T$8:$T$207,ROWS($A$8:A142)),$T$8:$T$207,0)),"")</f>
        <v/>
      </c>
      <c r="F142" s="38">
        <f>IFERROR(INDEX($P$8:$P$207,MATCH(LARGE($T$8:$T$207,ROWS($A$8:A142)),$T$8:$T$207,0)),"")</f>
        <v/>
      </c>
      <c r="G142" s="39">
        <f>IFERROR(INDEX($Q$8:$Q$207,MATCH(LARGE($T$8:$T$207,ROWS($A$8:A142)),$T$8:$T$207,0)),"")</f>
        <v/>
      </c>
      <c r="H142" s="39">
        <f>IFERROR(INDEX($R$8:$R$207,MATCH(LARGE($T$8:$T$207,ROWS($A$8:A142)),$T$8:$T$207,0)),"")</f>
        <v/>
      </c>
      <c r="I142" s="39">
        <f>IFERROR(INDEX($S$8:$S$207,MATCH(LARGE($T$8:$T$207,ROWS($A$8:A142)),$T$8:$T$207,0)),"")</f>
        <v/>
      </c>
      <c r="K142">
        <f>IF(Trabajadores!B139="","",Trabajadores!B139)</f>
        <v/>
      </c>
      <c r="L142">
        <f>IF(K142="","",COUNTIFS(Detalle_Pagos!$E$5:$E$2004,K142,Detalle_Pagos!$B$5:$B$2004,"&gt;="&amp;$B$3,Detalle_Pagos!$B$5:$B$2004,"&lt;="&amp;$B$4))</f>
        <v/>
      </c>
      <c r="M142" s="43">
        <f>IF(K142="","",SUMIFS(Detalle_Pagos!$I$5:$I$2004,Detalle_Pagos!$E$5:$E$2004,K142,Detalle_Pagos!$J$5:$J$2004,"Si",Detalle_Pagos!$B$5:$B$2004,"&gt;="&amp;$B$3,Detalle_Pagos!$B$5:$B$2004,"&lt;="&amp;$B$4))</f>
        <v/>
      </c>
      <c r="N142" s="43">
        <f>IF(K142="","",SUMIFS(Detalle_Pagos!$I$5:$I$2004,Detalle_Pagos!$E$5:$E$2004,K142,Detalle_Pagos!$J$5:$J$2004,"No",Detalle_Pagos!$B$5:$B$2004,"&gt;="&amp;$B$3,Detalle_Pagos!$B$5:$B$2004,"&lt;="&amp;$B$4))</f>
        <v/>
      </c>
      <c r="O142">
        <f>IF(K142="","",COUNTIFS(Detalle_Pagos!$E$5:$E$2004,K142,Detalle_Pagos!$J$5:$J$2004,"No",Detalle_Pagos!$B$5:$B$2004,"&gt;="&amp;$B$3,Detalle_Pagos!$B$5:$B$2004,"&lt;="&amp;$B$4))</f>
        <v/>
      </c>
      <c r="P142">
        <f>IF(K142="","",COUNTIFS(Detalle_Pagos!$E$5:$E$2004,K142,Detalle_Pagos!$J$5:$J$2004,"Si",Detalle_Pagos!$B$5:$B$2004,"&gt;="&amp;$B$3,Detalle_Pagos!$B$5:$B$2004,"&lt;="&amp;$B$4))</f>
        <v/>
      </c>
      <c r="Q142" s="43">
        <f>IF(K142="","",O142*IFERROR(INDEX(Trabajadores!$D$5:$D$204,MATCH(K142,Trabajadores!$B$5:$B$204,0)),0))</f>
        <v/>
      </c>
      <c r="R142" s="43">
        <f>IF(K142="","",N142+Q142)</f>
        <v/>
      </c>
      <c r="S142" s="43">
        <f>IF(K142="","",M142+N142)</f>
        <v/>
      </c>
      <c r="T142">
        <f>IF(K142="","",S142+R142/100000+L142/100000000+(100000-ROW())/1000000000)</f>
        <v/>
      </c>
    </row>
    <row r="143">
      <c r="A143" s="36">
        <f>IFERROR(INDEX($K$8:$K$207,MATCH(LARGE($T$8:$T$207,ROWS($A$8:A143)),$T$8:$T$207,0)),"")</f>
        <v/>
      </c>
      <c r="B143" s="36">
        <f>IFERROR(INDEX($L$8:$L$207,MATCH(LARGE($T$8:$T$207,ROWS($A$8:A143)),$T$8:$T$207,0)),"")</f>
        <v/>
      </c>
      <c r="C143" s="37">
        <f>IFERROR(INDEX($M$8:$M$207,MATCH(LARGE($T$8:$T$207,ROWS($A$8:A143)),$T$8:$T$207,0)),"")</f>
        <v/>
      </c>
      <c r="D143" s="37">
        <f>IFERROR(INDEX($N$8:$N$207,MATCH(LARGE($T$8:$T$207,ROWS($A$8:A143)),$T$8:$T$207,0)),"")</f>
        <v/>
      </c>
      <c r="E143" s="36">
        <f>IFERROR(INDEX($O$8:$O$207,MATCH(LARGE($T$8:$T$207,ROWS($A$8:A143)),$T$8:$T$207,0)),"")</f>
        <v/>
      </c>
      <c r="F143" s="36">
        <f>IFERROR(INDEX($P$8:$P$207,MATCH(LARGE($T$8:$T$207,ROWS($A$8:A143)),$T$8:$T$207,0)),"")</f>
        <v/>
      </c>
      <c r="G143" s="37">
        <f>IFERROR(INDEX($Q$8:$Q$207,MATCH(LARGE($T$8:$T$207,ROWS($A$8:A143)),$T$8:$T$207,0)),"")</f>
        <v/>
      </c>
      <c r="H143" s="37">
        <f>IFERROR(INDEX($R$8:$R$207,MATCH(LARGE($T$8:$T$207,ROWS($A$8:A143)),$T$8:$T$207,0)),"")</f>
        <v/>
      </c>
      <c r="I143" s="37">
        <f>IFERROR(INDEX($S$8:$S$207,MATCH(LARGE($T$8:$T$207,ROWS($A$8:A143)),$T$8:$T$207,0)),"")</f>
        <v/>
      </c>
      <c r="K143">
        <f>IF(Trabajadores!B140="","",Trabajadores!B140)</f>
        <v/>
      </c>
      <c r="L143">
        <f>IF(K143="","",COUNTIFS(Detalle_Pagos!$E$5:$E$2004,K143,Detalle_Pagos!$B$5:$B$2004,"&gt;="&amp;$B$3,Detalle_Pagos!$B$5:$B$2004,"&lt;="&amp;$B$4))</f>
        <v/>
      </c>
      <c r="M143" s="43">
        <f>IF(K143="","",SUMIFS(Detalle_Pagos!$I$5:$I$2004,Detalle_Pagos!$E$5:$E$2004,K143,Detalle_Pagos!$J$5:$J$2004,"Si",Detalle_Pagos!$B$5:$B$2004,"&gt;="&amp;$B$3,Detalle_Pagos!$B$5:$B$2004,"&lt;="&amp;$B$4))</f>
        <v/>
      </c>
      <c r="N143" s="43">
        <f>IF(K143="","",SUMIFS(Detalle_Pagos!$I$5:$I$2004,Detalle_Pagos!$E$5:$E$2004,K143,Detalle_Pagos!$J$5:$J$2004,"No",Detalle_Pagos!$B$5:$B$2004,"&gt;="&amp;$B$3,Detalle_Pagos!$B$5:$B$2004,"&lt;="&amp;$B$4))</f>
        <v/>
      </c>
      <c r="O143">
        <f>IF(K143="","",COUNTIFS(Detalle_Pagos!$E$5:$E$2004,K143,Detalle_Pagos!$J$5:$J$2004,"No",Detalle_Pagos!$B$5:$B$2004,"&gt;="&amp;$B$3,Detalle_Pagos!$B$5:$B$2004,"&lt;="&amp;$B$4))</f>
        <v/>
      </c>
      <c r="P143">
        <f>IF(K143="","",COUNTIFS(Detalle_Pagos!$E$5:$E$2004,K143,Detalle_Pagos!$J$5:$J$2004,"Si",Detalle_Pagos!$B$5:$B$2004,"&gt;="&amp;$B$3,Detalle_Pagos!$B$5:$B$2004,"&lt;="&amp;$B$4))</f>
        <v/>
      </c>
      <c r="Q143" s="43">
        <f>IF(K143="","",O143*IFERROR(INDEX(Trabajadores!$D$5:$D$204,MATCH(K143,Trabajadores!$B$5:$B$204,0)),0))</f>
        <v/>
      </c>
      <c r="R143" s="43">
        <f>IF(K143="","",N143+Q143)</f>
        <v/>
      </c>
      <c r="S143" s="43">
        <f>IF(K143="","",M143+N143)</f>
        <v/>
      </c>
      <c r="T143">
        <f>IF(K143="","",S143+R143/100000+L143/100000000+(100000-ROW())/1000000000)</f>
        <v/>
      </c>
    </row>
    <row r="144">
      <c r="A144" s="38">
        <f>IFERROR(INDEX($K$8:$K$207,MATCH(LARGE($T$8:$T$207,ROWS($A$8:A144)),$T$8:$T$207,0)),"")</f>
        <v/>
      </c>
      <c r="B144" s="38">
        <f>IFERROR(INDEX($L$8:$L$207,MATCH(LARGE($T$8:$T$207,ROWS($A$8:A144)),$T$8:$T$207,0)),"")</f>
        <v/>
      </c>
      <c r="C144" s="39">
        <f>IFERROR(INDEX($M$8:$M$207,MATCH(LARGE($T$8:$T$207,ROWS($A$8:A144)),$T$8:$T$207,0)),"")</f>
        <v/>
      </c>
      <c r="D144" s="39">
        <f>IFERROR(INDEX($N$8:$N$207,MATCH(LARGE($T$8:$T$207,ROWS($A$8:A144)),$T$8:$T$207,0)),"")</f>
        <v/>
      </c>
      <c r="E144" s="38">
        <f>IFERROR(INDEX($O$8:$O$207,MATCH(LARGE($T$8:$T$207,ROWS($A$8:A144)),$T$8:$T$207,0)),"")</f>
        <v/>
      </c>
      <c r="F144" s="38">
        <f>IFERROR(INDEX($P$8:$P$207,MATCH(LARGE($T$8:$T$207,ROWS($A$8:A144)),$T$8:$T$207,0)),"")</f>
        <v/>
      </c>
      <c r="G144" s="39">
        <f>IFERROR(INDEX($Q$8:$Q$207,MATCH(LARGE($T$8:$T$207,ROWS($A$8:A144)),$T$8:$T$207,0)),"")</f>
        <v/>
      </c>
      <c r="H144" s="39">
        <f>IFERROR(INDEX($R$8:$R$207,MATCH(LARGE($T$8:$T$207,ROWS($A$8:A144)),$T$8:$T$207,0)),"")</f>
        <v/>
      </c>
      <c r="I144" s="39">
        <f>IFERROR(INDEX($S$8:$S$207,MATCH(LARGE($T$8:$T$207,ROWS($A$8:A144)),$T$8:$T$207,0)),"")</f>
        <v/>
      </c>
      <c r="K144">
        <f>IF(Trabajadores!B141="","",Trabajadores!B141)</f>
        <v/>
      </c>
      <c r="L144">
        <f>IF(K144="","",COUNTIFS(Detalle_Pagos!$E$5:$E$2004,K144,Detalle_Pagos!$B$5:$B$2004,"&gt;="&amp;$B$3,Detalle_Pagos!$B$5:$B$2004,"&lt;="&amp;$B$4))</f>
        <v/>
      </c>
      <c r="M144" s="43">
        <f>IF(K144="","",SUMIFS(Detalle_Pagos!$I$5:$I$2004,Detalle_Pagos!$E$5:$E$2004,K144,Detalle_Pagos!$J$5:$J$2004,"Si",Detalle_Pagos!$B$5:$B$2004,"&gt;="&amp;$B$3,Detalle_Pagos!$B$5:$B$2004,"&lt;="&amp;$B$4))</f>
        <v/>
      </c>
      <c r="N144" s="43">
        <f>IF(K144="","",SUMIFS(Detalle_Pagos!$I$5:$I$2004,Detalle_Pagos!$E$5:$E$2004,K144,Detalle_Pagos!$J$5:$J$2004,"No",Detalle_Pagos!$B$5:$B$2004,"&gt;="&amp;$B$3,Detalle_Pagos!$B$5:$B$2004,"&lt;="&amp;$B$4))</f>
        <v/>
      </c>
      <c r="O144">
        <f>IF(K144="","",COUNTIFS(Detalle_Pagos!$E$5:$E$2004,K144,Detalle_Pagos!$J$5:$J$2004,"No",Detalle_Pagos!$B$5:$B$2004,"&gt;="&amp;$B$3,Detalle_Pagos!$B$5:$B$2004,"&lt;="&amp;$B$4))</f>
        <v/>
      </c>
      <c r="P144">
        <f>IF(K144="","",COUNTIFS(Detalle_Pagos!$E$5:$E$2004,K144,Detalle_Pagos!$J$5:$J$2004,"Si",Detalle_Pagos!$B$5:$B$2004,"&gt;="&amp;$B$3,Detalle_Pagos!$B$5:$B$2004,"&lt;="&amp;$B$4))</f>
        <v/>
      </c>
      <c r="Q144" s="43">
        <f>IF(K144="","",O144*IFERROR(INDEX(Trabajadores!$D$5:$D$204,MATCH(K144,Trabajadores!$B$5:$B$204,0)),0))</f>
        <v/>
      </c>
      <c r="R144" s="43">
        <f>IF(K144="","",N144+Q144)</f>
        <v/>
      </c>
      <c r="S144" s="43">
        <f>IF(K144="","",M144+N144)</f>
        <v/>
      </c>
      <c r="T144">
        <f>IF(K144="","",S144+R144/100000+L144/100000000+(100000-ROW())/1000000000)</f>
        <v/>
      </c>
    </row>
    <row r="145">
      <c r="A145" s="36">
        <f>IFERROR(INDEX($K$8:$K$207,MATCH(LARGE($T$8:$T$207,ROWS($A$8:A145)),$T$8:$T$207,0)),"")</f>
        <v/>
      </c>
      <c r="B145" s="36">
        <f>IFERROR(INDEX($L$8:$L$207,MATCH(LARGE($T$8:$T$207,ROWS($A$8:A145)),$T$8:$T$207,0)),"")</f>
        <v/>
      </c>
      <c r="C145" s="37">
        <f>IFERROR(INDEX($M$8:$M$207,MATCH(LARGE($T$8:$T$207,ROWS($A$8:A145)),$T$8:$T$207,0)),"")</f>
        <v/>
      </c>
      <c r="D145" s="37">
        <f>IFERROR(INDEX($N$8:$N$207,MATCH(LARGE($T$8:$T$207,ROWS($A$8:A145)),$T$8:$T$207,0)),"")</f>
        <v/>
      </c>
      <c r="E145" s="36">
        <f>IFERROR(INDEX($O$8:$O$207,MATCH(LARGE($T$8:$T$207,ROWS($A$8:A145)),$T$8:$T$207,0)),"")</f>
        <v/>
      </c>
      <c r="F145" s="36">
        <f>IFERROR(INDEX($P$8:$P$207,MATCH(LARGE($T$8:$T$207,ROWS($A$8:A145)),$T$8:$T$207,0)),"")</f>
        <v/>
      </c>
      <c r="G145" s="37">
        <f>IFERROR(INDEX($Q$8:$Q$207,MATCH(LARGE($T$8:$T$207,ROWS($A$8:A145)),$T$8:$T$207,0)),"")</f>
        <v/>
      </c>
      <c r="H145" s="37">
        <f>IFERROR(INDEX($R$8:$R$207,MATCH(LARGE($T$8:$T$207,ROWS($A$8:A145)),$T$8:$T$207,0)),"")</f>
        <v/>
      </c>
      <c r="I145" s="37">
        <f>IFERROR(INDEX($S$8:$S$207,MATCH(LARGE($T$8:$T$207,ROWS($A$8:A145)),$T$8:$T$207,0)),"")</f>
        <v/>
      </c>
      <c r="K145">
        <f>IF(Trabajadores!B142="","",Trabajadores!B142)</f>
        <v/>
      </c>
      <c r="L145">
        <f>IF(K145="","",COUNTIFS(Detalle_Pagos!$E$5:$E$2004,K145,Detalle_Pagos!$B$5:$B$2004,"&gt;="&amp;$B$3,Detalle_Pagos!$B$5:$B$2004,"&lt;="&amp;$B$4))</f>
        <v/>
      </c>
      <c r="M145" s="43">
        <f>IF(K145="","",SUMIFS(Detalle_Pagos!$I$5:$I$2004,Detalle_Pagos!$E$5:$E$2004,K145,Detalle_Pagos!$J$5:$J$2004,"Si",Detalle_Pagos!$B$5:$B$2004,"&gt;="&amp;$B$3,Detalle_Pagos!$B$5:$B$2004,"&lt;="&amp;$B$4))</f>
        <v/>
      </c>
      <c r="N145" s="43">
        <f>IF(K145="","",SUMIFS(Detalle_Pagos!$I$5:$I$2004,Detalle_Pagos!$E$5:$E$2004,K145,Detalle_Pagos!$J$5:$J$2004,"No",Detalle_Pagos!$B$5:$B$2004,"&gt;="&amp;$B$3,Detalle_Pagos!$B$5:$B$2004,"&lt;="&amp;$B$4))</f>
        <v/>
      </c>
      <c r="O145">
        <f>IF(K145="","",COUNTIFS(Detalle_Pagos!$E$5:$E$2004,K145,Detalle_Pagos!$J$5:$J$2004,"No",Detalle_Pagos!$B$5:$B$2004,"&gt;="&amp;$B$3,Detalle_Pagos!$B$5:$B$2004,"&lt;="&amp;$B$4))</f>
        <v/>
      </c>
      <c r="P145">
        <f>IF(K145="","",COUNTIFS(Detalle_Pagos!$E$5:$E$2004,K145,Detalle_Pagos!$J$5:$J$2004,"Si",Detalle_Pagos!$B$5:$B$2004,"&gt;="&amp;$B$3,Detalle_Pagos!$B$5:$B$2004,"&lt;="&amp;$B$4))</f>
        <v/>
      </c>
      <c r="Q145" s="43">
        <f>IF(K145="","",O145*IFERROR(INDEX(Trabajadores!$D$5:$D$204,MATCH(K145,Trabajadores!$B$5:$B$204,0)),0))</f>
        <v/>
      </c>
      <c r="R145" s="43">
        <f>IF(K145="","",N145+Q145)</f>
        <v/>
      </c>
      <c r="S145" s="43">
        <f>IF(K145="","",M145+N145)</f>
        <v/>
      </c>
      <c r="T145">
        <f>IF(K145="","",S145+R145/100000+L145/100000000+(100000-ROW())/1000000000)</f>
        <v/>
      </c>
    </row>
    <row r="146">
      <c r="A146" s="38">
        <f>IFERROR(INDEX($K$8:$K$207,MATCH(LARGE($T$8:$T$207,ROWS($A$8:A146)),$T$8:$T$207,0)),"")</f>
        <v/>
      </c>
      <c r="B146" s="38">
        <f>IFERROR(INDEX($L$8:$L$207,MATCH(LARGE($T$8:$T$207,ROWS($A$8:A146)),$T$8:$T$207,0)),"")</f>
        <v/>
      </c>
      <c r="C146" s="39">
        <f>IFERROR(INDEX($M$8:$M$207,MATCH(LARGE($T$8:$T$207,ROWS($A$8:A146)),$T$8:$T$207,0)),"")</f>
        <v/>
      </c>
      <c r="D146" s="39">
        <f>IFERROR(INDEX($N$8:$N$207,MATCH(LARGE($T$8:$T$207,ROWS($A$8:A146)),$T$8:$T$207,0)),"")</f>
        <v/>
      </c>
      <c r="E146" s="38">
        <f>IFERROR(INDEX($O$8:$O$207,MATCH(LARGE($T$8:$T$207,ROWS($A$8:A146)),$T$8:$T$207,0)),"")</f>
        <v/>
      </c>
      <c r="F146" s="38">
        <f>IFERROR(INDEX($P$8:$P$207,MATCH(LARGE($T$8:$T$207,ROWS($A$8:A146)),$T$8:$T$207,0)),"")</f>
        <v/>
      </c>
      <c r="G146" s="39">
        <f>IFERROR(INDEX($Q$8:$Q$207,MATCH(LARGE($T$8:$T$207,ROWS($A$8:A146)),$T$8:$T$207,0)),"")</f>
        <v/>
      </c>
      <c r="H146" s="39">
        <f>IFERROR(INDEX($R$8:$R$207,MATCH(LARGE($T$8:$T$207,ROWS($A$8:A146)),$T$8:$T$207,0)),"")</f>
        <v/>
      </c>
      <c r="I146" s="39">
        <f>IFERROR(INDEX($S$8:$S$207,MATCH(LARGE($T$8:$T$207,ROWS($A$8:A146)),$T$8:$T$207,0)),"")</f>
        <v/>
      </c>
      <c r="K146">
        <f>IF(Trabajadores!B143="","",Trabajadores!B143)</f>
        <v/>
      </c>
      <c r="L146">
        <f>IF(K146="","",COUNTIFS(Detalle_Pagos!$E$5:$E$2004,K146,Detalle_Pagos!$B$5:$B$2004,"&gt;="&amp;$B$3,Detalle_Pagos!$B$5:$B$2004,"&lt;="&amp;$B$4))</f>
        <v/>
      </c>
      <c r="M146" s="43">
        <f>IF(K146="","",SUMIFS(Detalle_Pagos!$I$5:$I$2004,Detalle_Pagos!$E$5:$E$2004,K146,Detalle_Pagos!$J$5:$J$2004,"Si",Detalle_Pagos!$B$5:$B$2004,"&gt;="&amp;$B$3,Detalle_Pagos!$B$5:$B$2004,"&lt;="&amp;$B$4))</f>
        <v/>
      </c>
      <c r="N146" s="43">
        <f>IF(K146="","",SUMIFS(Detalle_Pagos!$I$5:$I$2004,Detalle_Pagos!$E$5:$E$2004,K146,Detalle_Pagos!$J$5:$J$2004,"No",Detalle_Pagos!$B$5:$B$2004,"&gt;="&amp;$B$3,Detalle_Pagos!$B$5:$B$2004,"&lt;="&amp;$B$4))</f>
        <v/>
      </c>
      <c r="O146">
        <f>IF(K146="","",COUNTIFS(Detalle_Pagos!$E$5:$E$2004,K146,Detalle_Pagos!$J$5:$J$2004,"No",Detalle_Pagos!$B$5:$B$2004,"&gt;="&amp;$B$3,Detalle_Pagos!$B$5:$B$2004,"&lt;="&amp;$B$4))</f>
        <v/>
      </c>
      <c r="P146">
        <f>IF(K146="","",COUNTIFS(Detalle_Pagos!$E$5:$E$2004,K146,Detalle_Pagos!$J$5:$J$2004,"Si",Detalle_Pagos!$B$5:$B$2004,"&gt;="&amp;$B$3,Detalle_Pagos!$B$5:$B$2004,"&lt;="&amp;$B$4))</f>
        <v/>
      </c>
      <c r="Q146" s="43">
        <f>IF(K146="","",O146*IFERROR(INDEX(Trabajadores!$D$5:$D$204,MATCH(K146,Trabajadores!$B$5:$B$204,0)),0))</f>
        <v/>
      </c>
      <c r="R146" s="43">
        <f>IF(K146="","",N146+Q146)</f>
        <v/>
      </c>
      <c r="S146" s="43">
        <f>IF(K146="","",M146+N146)</f>
        <v/>
      </c>
      <c r="T146">
        <f>IF(K146="","",S146+R146/100000+L146/100000000+(100000-ROW())/1000000000)</f>
        <v/>
      </c>
    </row>
    <row r="147">
      <c r="A147" s="36">
        <f>IFERROR(INDEX($K$8:$K$207,MATCH(LARGE($T$8:$T$207,ROWS($A$8:A147)),$T$8:$T$207,0)),"")</f>
        <v/>
      </c>
      <c r="B147" s="36">
        <f>IFERROR(INDEX($L$8:$L$207,MATCH(LARGE($T$8:$T$207,ROWS($A$8:A147)),$T$8:$T$207,0)),"")</f>
        <v/>
      </c>
      <c r="C147" s="37">
        <f>IFERROR(INDEX($M$8:$M$207,MATCH(LARGE($T$8:$T$207,ROWS($A$8:A147)),$T$8:$T$207,0)),"")</f>
        <v/>
      </c>
      <c r="D147" s="37">
        <f>IFERROR(INDEX($N$8:$N$207,MATCH(LARGE($T$8:$T$207,ROWS($A$8:A147)),$T$8:$T$207,0)),"")</f>
        <v/>
      </c>
      <c r="E147" s="36">
        <f>IFERROR(INDEX($O$8:$O$207,MATCH(LARGE($T$8:$T$207,ROWS($A$8:A147)),$T$8:$T$207,0)),"")</f>
        <v/>
      </c>
      <c r="F147" s="36">
        <f>IFERROR(INDEX($P$8:$P$207,MATCH(LARGE($T$8:$T$207,ROWS($A$8:A147)),$T$8:$T$207,0)),"")</f>
        <v/>
      </c>
      <c r="G147" s="37">
        <f>IFERROR(INDEX($Q$8:$Q$207,MATCH(LARGE($T$8:$T$207,ROWS($A$8:A147)),$T$8:$T$207,0)),"")</f>
        <v/>
      </c>
      <c r="H147" s="37">
        <f>IFERROR(INDEX($R$8:$R$207,MATCH(LARGE($T$8:$T$207,ROWS($A$8:A147)),$T$8:$T$207,0)),"")</f>
        <v/>
      </c>
      <c r="I147" s="37">
        <f>IFERROR(INDEX($S$8:$S$207,MATCH(LARGE($T$8:$T$207,ROWS($A$8:A147)),$T$8:$T$207,0)),"")</f>
        <v/>
      </c>
      <c r="K147">
        <f>IF(Trabajadores!B144="","",Trabajadores!B144)</f>
        <v/>
      </c>
      <c r="L147">
        <f>IF(K147="","",COUNTIFS(Detalle_Pagos!$E$5:$E$2004,K147,Detalle_Pagos!$B$5:$B$2004,"&gt;="&amp;$B$3,Detalle_Pagos!$B$5:$B$2004,"&lt;="&amp;$B$4))</f>
        <v/>
      </c>
      <c r="M147" s="43">
        <f>IF(K147="","",SUMIFS(Detalle_Pagos!$I$5:$I$2004,Detalle_Pagos!$E$5:$E$2004,K147,Detalle_Pagos!$J$5:$J$2004,"Si",Detalle_Pagos!$B$5:$B$2004,"&gt;="&amp;$B$3,Detalle_Pagos!$B$5:$B$2004,"&lt;="&amp;$B$4))</f>
        <v/>
      </c>
      <c r="N147" s="43">
        <f>IF(K147="","",SUMIFS(Detalle_Pagos!$I$5:$I$2004,Detalle_Pagos!$E$5:$E$2004,K147,Detalle_Pagos!$J$5:$J$2004,"No",Detalle_Pagos!$B$5:$B$2004,"&gt;="&amp;$B$3,Detalle_Pagos!$B$5:$B$2004,"&lt;="&amp;$B$4))</f>
        <v/>
      </c>
      <c r="O147">
        <f>IF(K147="","",COUNTIFS(Detalle_Pagos!$E$5:$E$2004,K147,Detalle_Pagos!$J$5:$J$2004,"No",Detalle_Pagos!$B$5:$B$2004,"&gt;="&amp;$B$3,Detalle_Pagos!$B$5:$B$2004,"&lt;="&amp;$B$4))</f>
        <v/>
      </c>
      <c r="P147">
        <f>IF(K147="","",COUNTIFS(Detalle_Pagos!$E$5:$E$2004,K147,Detalle_Pagos!$J$5:$J$2004,"Si",Detalle_Pagos!$B$5:$B$2004,"&gt;="&amp;$B$3,Detalle_Pagos!$B$5:$B$2004,"&lt;="&amp;$B$4))</f>
        <v/>
      </c>
      <c r="Q147" s="43">
        <f>IF(K147="","",O147*IFERROR(INDEX(Trabajadores!$D$5:$D$204,MATCH(K147,Trabajadores!$B$5:$B$204,0)),0))</f>
        <v/>
      </c>
      <c r="R147" s="43">
        <f>IF(K147="","",N147+Q147)</f>
        <v/>
      </c>
      <c r="S147" s="43">
        <f>IF(K147="","",M147+N147)</f>
        <v/>
      </c>
      <c r="T147">
        <f>IF(K147="","",S147+R147/100000+L147/100000000+(100000-ROW())/1000000000)</f>
        <v/>
      </c>
    </row>
    <row r="148">
      <c r="A148" s="38">
        <f>IFERROR(INDEX($K$8:$K$207,MATCH(LARGE($T$8:$T$207,ROWS($A$8:A148)),$T$8:$T$207,0)),"")</f>
        <v/>
      </c>
      <c r="B148" s="38">
        <f>IFERROR(INDEX($L$8:$L$207,MATCH(LARGE($T$8:$T$207,ROWS($A$8:A148)),$T$8:$T$207,0)),"")</f>
        <v/>
      </c>
      <c r="C148" s="39">
        <f>IFERROR(INDEX($M$8:$M$207,MATCH(LARGE($T$8:$T$207,ROWS($A$8:A148)),$T$8:$T$207,0)),"")</f>
        <v/>
      </c>
      <c r="D148" s="39">
        <f>IFERROR(INDEX($N$8:$N$207,MATCH(LARGE($T$8:$T$207,ROWS($A$8:A148)),$T$8:$T$207,0)),"")</f>
        <v/>
      </c>
      <c r="E148" s="38">
        <f>IFERROR(INDEX($O$8:$O$207,MATCH(LARGE($T$8:$T$207,ROWS($A$8:A148)),$T$8:$T$207,0)),"")</f>
        <v/>
      </c>
      <c r="F148" s="38">
        <f>IFERROR(INDEX($P$8:$P$207,MATCH(LARGE($T$8:$T$207,ROWS($A$8:A148)),$T$8:$T$207,0)),"")</f>
        <v/>
      </c>
      <c r="G148" s="39">
        <f>IFERROR(INDEX($Q$8:$Q$207,MATCH(LARGE($T$8:$T$207,ROWS($A$8:A148)),$T$8:$T$207,0)),"")</f>
        <v/>
      </c>
      <c r="H148" s="39">
        <f>IFERROR(INDEX($R$8:$R$207,MATCH(LARGE($T$8:$T$207,ROWS($A$8:A148)),$T$8:$T$207,0)),"")</f>
        <v/>
      </c>
      <c r="I148" s="39">
        <f>IFERROR(INDEX($S$8:$S$207,MATCH(LARGE($T$8:$T$207,ROWS($A$8:A148)),$T$8:$T$207,0)),"")</f>
        <v/>
      </c>
      <c r="K148">
        <f>IF(Trabajadores!B145="","",Trabajadores!B145)</f>
        <v/>
      </c>
      <c r="L148">
        <f>IF(K148="","",COUNTIFS(Detalle_Pagos!$E$5:$E$2004,K148,Detalle_Pagos!$B$5:$B$2004,"&gt;="&amp;$B$3,Detalle_Pagos!$B$5:$B$2004,"&lt;="&amp;$B$4))</f>
        <v/>
      </c>
      <c r="M148" s="43">
        <f>IF(K148="","",SUMIFS(Detalle_Pagos!$I$5:$I$2004,Detalle_Pagos!$E$5:$E$2004,K148,Detalle_Pagos!$J$5:$J$2004,"Si",Detalle_Pagos!$B$5:$B$2004,"&gt;="&amp;$B$3,Detalle_Pagos!$B$5:$B$2004,"&lt;="&amp;$B$4))</f>
        <v/>
      </c>
      <c r="N148" s="43">
        <f>IF(K148="","",SUMIFS(Detalle_Pagos!$I$5:$I$2004,Detalle_Pagos!$E$5:$E$2004,K148,Detalle_Pagos!$J$5:$J$2004,"No",Detalle_Pagos!$B$5:$B$2004,"&gt;="&amp;$B$3,Detalle_Pagos!$B$5:$B$2004,"&lt;="&amp;$B$4))</f>
        <v/>
      </c>
      <c r="O148">
        <f>IF(K148="","",COUNTIFS(Detalle_Pagos!$E$5:$E$2004,K148,Detalle_Pagos!$J$5:$J$2004,"No",Detalle_Pagos!$B$5:$B$2004,"&gt;="&amp;$B$3,Detalle_Pagos!$B$5:$B$2004,"&lt;="&amp;$B$4))</f>
        <v/>
      </c>
      <c r="P148">
        <f>IF(K148="","",COUNTIFS(Detalle_Pagos!$E$5:$E$2004,K148,Detalle_Pagos!$J$5:$J$2004,"Si",Detalle_Pagos!$B$5:$B$2004,"&gt;="&amp;$B$3,Detalle_Pagos!$B$5:$B$2004,"&lt;="&amp;$B$4))</f>
        <v/>
      </c>
      <c r="Q148" s="43">
        <f>IF(K148="","",O148*IFERROR(INDEX(Trabajadores!$D$5:$D$204,MATCH(K148,Trabajadores!$B$5:$B$204,0)),0))</f>
        <v/>
      </c>
      <c r="R148" s="43">
        <f>IF(K148="","",N148+Q148)</f>
        <v/>
      </c>
      <c r="S148" s="43">
        <f>IF(K148="","",M148+N148)</f>
        <v/>
      </c>
      <c r="T148">
        <f>IF(K148="","",S148+R148/100000+L148/100000000+(100000-ROW())/1000000000)</f>
        <v/>
      </c>
    </row>
    <row r="149">
      <c r="A149" s="36">
        <f>IFERROR(INDEX($K$8:$K$207,MATCH(LARGE($T$8:$T$207,ROWS($A$8:A149)),$T$8:$T$207,0)),"")</f>
        <v/>
      </c>
      <c r="B149" s="36">
        <f>IFERROR(INDEX($L$8:$L$207,MATCH(LARGE($T$8:$T$207,ROWS($A$8:A149)),$T$8:$T$207,0)),"")</f>
        <v/>
      </c>
      <c r="C149" s="37">
        <f>IFERROR(INDEX($M$8:$M$207,MATCH(LARGE($T$8:$T$207,ROWS($A$8:A149)),$T$8:$T$207,0)),"")</f>
        <v/>
      </c>
      <c r="D149" s="37">
        <f>IFERROR(INDEX($N$8:$N$207,MATCH(LARGE($T$8:$T$207,ROWS($A$8:A149)),$T$8:$T$207,0)),"")</f>
        <v/>
      </c>
      <c r="E149" s="36">
        <f>IFERROR(INDEX($O$8:$O$207,MATCH(LARGE($T$8:$T$207,ROWS($A$8:A149)),$T$8:$T$207,0)),"")</f>
        <v/>
      </c>
      <c r="F149" s="36">
        <f>IFERROR(INDEX($P$8:$P$207,MATCH(LARGE($T$8:$T$207,ROWS($A$8:A149)),$T$8:$T$207,0)),"")</f>
        <v/>
      </c>
      <c r="G149" s="37">
        <f>IFERROR(INDEX($Q$8:$Q$207,MATCH(LARGE($T$8:$T$207,ROWS($A$8:A149)),$T$8:$T$207,0)),"")</f>
        <v/>
      </c>
      <c r="H149" s="37">
        <f>IFERROR(INDEX($R$8:$R$207,MATCH(LARGE($T$8:$T$207,ROWS($A$8:A149)),$T$8:$T$207,0)),"")</f>
        <v/>
      </c>
      <c r="I149" s="37">
        <f>IFERROR(INDEX($S$8:$S$207,MATCH(LARGE($T$8:$T$207,ROWS($A$8:A149)),$T$8:$T$207,0)),"")</f>
        <v/>
      </c>
      <c r="K149">
        <f>IF(Trabajadores!B146="","",Trabajadores!B146)</f>
        <v/>
      </c>
      <c r="L149">
        <f>IF(K149="","",COUNTIFS(Detalle_Pagos!$E$5:$E$2004,K149,Detalle_Pagos!$B$5:$B$2004,"&gt;="&amp;$B$3,Detalle_Pagos!$B$5:$B$2004,"&lt;="&amp;$B$4))</f>
        <v/>
      </c>
      <c r="M149" s="43">
        <f>IF(K149="","",SUMIFS(Detalle_Pagos!$I$5:$I$2004,Detalle_Pagos!$E$5:$E$2004,K149,Detalle_Pagos!$J$5:$J$2004,"Si",Detalle_Pagos!$B$5:$B$2004,"&gt;="&amp;$B$3,Detalle_Pagos!$B$5:$B$2004,"&lt;="&amp;$B$4))</f>
        <v/>
      </c>
      <c r="N149" s="43">
        <f>IF(K149="","",SUMIFS(Detalle_Pagos!$I$5:$I$2004,Detalle_Pagos!$E$5:$E$2004,K149,Detalle_Pagos!$J$5:$J$2004,"No",Detalle_Pagos!$B$5:$B$2004,"&gt;="&amp;$B$3,Detalle_Pagos!$B$5:$B$2004,"&lt;="&amp;$B$4))</f>
        <v/>
      </c>
      <c r="O149">
        <f>IF(K149="","",COUNTIFS(Detalle_Pagos!$E$5:$E$2004,K149,Detalle_Pagos!$J$5:$J$2004,"No",Detalle_Pagos!$B$5:$B$2004,"&gt;="&amp;$B$3,Detalle_Pagos!$B$5:$B$2004,"&lt;="&amp;$B$4))</f>
        <v/>
      </c>
      <c r="P149">
        <f>IF(K149="","",COUNTIFS(Detalle_Pagos!$E$5:$E$2004,K149,Detalle_Pagos!$J$5:$J$2004,"Si",Detalle_Pagos!$B$5:$B$2004,"&gt;="&amp;$B$3,Detalle_Pagos!$B$5:$B$2004,"&lt;="&amp;$B$4))</f>
        <v/>
      </c>
      <c r="Q149" s="43">
        <f>IF(K149="","",O149*IFERROR(INDEX(Trabajadores!$D$5:$D$204,MATCH(K149,Trabajadores!$B$5:$B$204,0)),0))</f>
        <v/>
      </c>
      <c r="R149" s="43">
        <f>IF(K149="","",N149+Q149)</f>
        <v/>
      </c>
      <c r="S149" s="43">
        <f>IF(K149="","",M149+N149)</f>
        <v/>
      </c>
      <c r="T149">
        <f>IF(K149="","",S149+R149/100000+L149/100000000+(100000-ROW())/1000000000)</f>
        <v/>
      </c>
    </row>
    <row r="150">
      <c r="A150" s="38">
        <f>IFERROR(INDEX($K$8:$K$207,MATCH(LARGE($T$8:$T$207,ROWS($A$8:A150)),$T$8:$T$207,0)),"")</f>
        <v/>
      </c>
      <c r="B150" s="38">
        <f>IFERROR(INDEX($L$8:$L$207,MATCH(LARGE($T$8:$T$207,ROWS($A$8:A150)),$T$8:$T$207,0)),"")</f>
        <v/>
      </c>
      <c r="C150" s="39">
        <f>IFERROR(INDEX($M$8:$M$207,MATCH(LARGE($T$8:$T$207,ROWS($A$8:A150)),$T$8:$T$207,0)),"")</f>
        <v/>
      </c>
      <c r="D150" s="39">
        <f>IFERROR(INDEX($N$8:$N$207,MATCH(LARGE($T$8:$T$207,ROWS($A$8:A150)),$T$8:$T$207,0)),"")</f>
        <v/>
      </c>
      <c r="E150" s="38">
        <f>IFERROR(INDEX($O$8:$O$207,MATCH(LARGE($T$8:$T$207,ROWS($A$8:A150)),$T$8:$T$207,0)),"")</f>
        <v/>
      </c>
      <c r="F150" s="38">
        <f>IFERROR(INDEX($P$8:$P$207,MATCH(LARGE($T$8:$T$207,ROWS($A$8:A150)),$T$8:$T$207,0)),"")</f>
        <v/>
      </c>
      <c r="G150" s="39">
        <f>IFERROR(INDEX($Q$8:$Q$207,MATCH(LARGE($T$8:$T$207,ROWS($A$8:A150)),$T$8:$T$207,0)),"")</f>
        <v/>
      </c>
      <c r="H150" s="39">
        <f>IFERROR(INDEX($R$8:$R$207,MATCH(LARGE($T$8:$T$207,ROWS($A$8:A150)),$T$8:$T$207,0)),"")</f>
        <v/>
      </c>
      <c r="I150" s="39">
        <f>IFERROR(INDEX($S$8:$S$207,MATCH(LARGE($T$8:$T$207,ROWS($A$8:A150)),$T$8:$T$207,0)),"")</f>
        <v/>
      </c>
      <c r="K150">
        <f>IF(Trabajadores!B147="","",Trabajadores!B147)</f>
        <v/>
      </c>
      <c r="L150">
        <f>IF(K150="","",COUNTIFS(Detalle_Pagos!$E$5:$E$2004,K150,Detalle_Pagos!$B$5:$B$2004,"&gt;="&amp;$B$3,Detalle_Pagos!$B$5:$B$2004,"&lt;="&amp;$B$4))</f>
        <v/>
      </c>
      <c r="M150" s="43">
        <f>IF(K150="","",SUMIFS(Detalle_Pagos!$I$5:$I$2004,Detalle_Pagos!$E$5:$E$2004,K150,Detalle_Pagos!$J$5:$J$2004,"Si",Detalle_Pagos!$B$5:$B$2004,"&gt;="&amp;$B$3,Detalle_Pagos!$B$5:$B$2004,"&lt;="&amp;$B$4))</f>
        <v/>
      </c>
      <c r="N150" s="43">
        <f>IF(K150="","",SUMIFS(Detalle_Pagos!$I$5:$I$2004,Detalle_Pagos!$E$5:$E$2004,K150,Detalle_Pagos!$J$5:$J$2004,"No",Detalle_Pagos!$B$5:$B$2004,"&gt;="&amp;$B$3,Detalle_Pagos!$B$5:$B$2004,"&lt;="&amp;$B$4))</f>
        <v/>
      </c>
      <c r="O150">
        <f>IF(K150="","",COUNTIFS(Detalle_Pagos!$E$5:$E$2004,K150,Detalle_Pagos!$J$5:$J$2004,"No",Detalle_Pagos!$B$5:$B$2004,"&gt;="&amp;$B$3,Detalle_Pagos!$B$5:$B$2004,"&lt;="&amp;$B$4))</f>
        <v/>
      </c>
      <c r="P150">
        <f>IF(K150="","",COUNTIFS(Detalle_Pagos!$E$5:$E$2004,K150,Detalle_Pagos!$J$5:$J$2004,"Si",Detalle_Pagos!$B$5:$B$2004,"&gt;="&amp;$B$3,Detalle_Pagos!$B$5:$B$2004,"&lt;="&amp;$B$4))</f>
        <v/>
      </c>
      <c r="Q150" s="43">
        <f>IF(K150="","",O150*IFERROR(INDEX(Trabajadores!$D$5:$D$204,MATCH(K150,Trabajadores!$B$5:$B$204,0)),0))</f>
        <v/>
      </c>
      <c r="R150" s="43">
        <f>IF(K150="","",N150+Q150)</f>
        <v/>
      </c>
      <c r="S150" s="43">
        <f>IF(K150="","",M150+N150)</f>
        <v/>
      </c>
      <c r="T150">
        <f>IF(K150="","",S150+R150/100000+L150/100000000+(100000-ROW())/1000000000)</f>
        <v/>
      </c>
    </row>
    <row r="151">
      <c r="A151" s="36">
        <f>IFERROR(INDEX($K$8:$K$207,MATCH(LARGE($T$8:$T$207,ROWS($A$8:A151)),$T$8:$T$207,0)),"")</f>
        <v/>
      </c>
      <c r="B151" s="36">
        <f>IFERROR(INDEX($L$8:$L$207,MATCH(LARGE($T$8:$T$207,ROWS($A$8:A151)),$T$8:$T$207,0)),"")</f>
        <v/>
      </c>
      <c r="C151" s="37">
        <f>IFERROR(INDEX($M$8:$M$207,MATCH(LARGE($T$8:$T$207,ROWS($A$8:A151)),$T$8:$T$207,0)),"")</f>
        <v/>
      </c>
      <c r="D151" s="37">
        <f>IFERROR(INDEX($N$8:$N$207,MATCH(LARGE($T$8:$T$207,ROWS($A$8:A151)),$T$8:$T$207,0)),"")</f>
        <v/>
      </c>
      <c r="E151" s="36">
        <f>IFERROR(INDEX($O$8:$O$207,MATCH(LARGE($T$8:$T$207,ROWS($A$8:A151)),$T$8:$T$207,0)),"")</f>
        <v/>
      </c>
      <c r="F151" s="36">
        <f>IFERROR(INDEX($P$8:$P$207,MATCH(LARGE($T$8:$T$207,ROWS($A$8:A151)),$T$8:$T$207,0)),"")</f>
        <v/>
      </c>
      <c r="G151" s="37">
        <f>IFERROR(INDEX($Q$8:$Q$207,MATCH(LARGE($T$8:$T$207,ROWS($A$8:A151)),$T$8:$T$207,0)),"")</f>
        <v/>
      </c>
      <c r="H151" s="37">
        <f>IFERROR(INDEX($R$8:$R$207,MATCH(LARGE($T$8:$T$207,ROWS($A$8:A151)),$T$8:$T$207,0)),"")</f>
        <v/>
      </c>
      <c r="I151" s="37">
        <f>IFERROR(INDEX($S$8:$S$207,MATCH(LARGE($T$8:$T$207,ROWS($A$8:A151)),$T$8:$T$207,0)),"")</f>
        <v/>
      </c>
      <c r="K151">
        <f>IF(Trabajadores!B148="","",Trabajadores!B148)</f>
        <v/>
      </c>
      <c r="L151">
        <f>IF(K151="","",COUNTIFS(Detalle_Pagos!$E$5:$E$2004,K151,Detalle_Pagos!$B$5:$B$2004,"&gt;="&amp;$B$3,Detalle_Pagos!$B$5:$B$2004,"&lt;="&amp;$B$4))</f>
        <v/>
      </c>
      <c r="M151" s="43">
        <f>IF(K151="","",SUMIFS(Detalle_Pagos!$I$5:$I$2004,Detalle_Pagos!$E$5:$E$2004,K151,Detalle_Pagos!$J$5:$J$2004,"Si",Detalle_Pagos!$B$5:$B$2004,"&gt;="&amp;$B$3,Detalle_Pagos!$B$5:$B$2004,"&lt;="&amp;$B$4))</f>
        <v/>
      </c>
      <c r="N151" s="43">
        <f>IF(K151="","",SUMIFS(Detalle_Pagos!$I$5:$I$2004,Detalle_Pagos!$E$5:$E$2004,K151,Detalle_Pagos!$J$5:$J$2004,"No",Detalle_Pagos!$B$5:$B$2004,"&gt;="&amp;$B$3,Detalle_Pagos!$B$5:$B$2004,"&lt;="&amp;$B$4))</f>
        <v/>
      </c>
      <c r="O151">
        <f>IF(K151="","",COUNTIFS(Detalle_Pagos!$E$5:$E$2004,K151,Detalle_Pagos!$J$5:$J$2004,"No",Detalle_Pagos!$B$5:$B$2004,"&gt;="&amp;$B$3,Detalle_Pagos!$B$5:$B$2004,"&lt;="&amp;$B$4))</f>
        <v/>
      </c>
      <c r="P151">
        <f>IF(K151="","",COUNTIFS(Detalle_Pagos!$E$5:$E$2004,K151,Detalle_Pagos!$J$5:$J$2004,"Si",Detalle_Pagos!$B$5:$B$2004,"&gt;="&amp;$B$3,Detalle_Pagos!$B$5:$B$2004,"&lt;="&amp;$B$4))</f>
        <v/>
      </c>
      <c r="Q151" s="43">
        <f>IF(K151="","",O151*IFERROR(INDEX(Trabajadores!$D$5:$D$204,MATCH(K151,Trabajadores!$B$5:$B$204,0)),0))</f>
        <v/>
      </c>
      <c r="R151" s="43">
        <f>IF(K151="","",N151+Q151)</f>
        <v/>
      </c>
      <c r="S151" s="43">
        <f>IF(K151="","",M151+N151)</f>
        <v/>
      </c>
      <c r="T151">
        <f>IF(K151="","",S151+R151/100000+L151/100000000+(100000-ROW())/1000000000)</f>
        <v/>
      </c>
    </row>
    <row r="152">
      <c r="A152" s="38">
        <f>IFERROR(INDEX($K$8:$K$207,MATCH(LARGE($T$8:$T$207,ROWS($A$8:A152)),$T$8:$T$207,0)),"")</f>
        <v/>
      </c>
      <c r="B152" s="38">
        <f>IFERROR(INDEX($L$8:$L$207,MATCH(LARGE($T$8:$T$207,ROWS($A$8:A152)),$T$8:$T$207,0)),"")</f>
        <v/>
      </c>
      <c r="C152" s="39">
        <f>IFERROR(INDEX($M$8:$M$207,MATCH(LARGE($T$8:$T$207,ROWS($A$8:A152)),$T$8:$T$207,0)),"")</f>
        <v/>
      </c>
      <c r="D152" s="39">
        <f>IFERROR(INDEX($N$8:$N$207,MATCH(LARGE($T$8:$T$207,ROWS($A$8:A152)),$T$8:$T$207,0)),"")</f>
        <v/>
      </c>
      <c r="E152" s="38">
        <f>IFERROR(INDEX($O$8:$O$207,MATCH(LARGE($T$8:$T$207,ROWS($A$8:A152)),$T$8:$T$207,0)),"")</f>
        <v/>
      </c>
      <c r="F152" s="38">
        <f>IFERROR(INDEX($P$8:$P$207,MATCH(LARGE($T$8:$T$207,ROWS($A$8:A152)),$T$8:$T$207,0)),"")</f>
        <v/>
      </c>
      <c r="G152" s="39">
        <f>IFERROR(INDEX($Q$8:$Q$207,MATCH(LARGE($T$8:$T$207,ROWS($A$8:A152)),$T$8:$T$207,0)),"")</f>
        <v/>
      </c>
      <c r="H152" s="39">
        <f>IFERROR(INDEX($R$8:$R$207,MATCH(LARGE($T$8:$T$207,ROWS($A$8:A152)),$T$8:$T$207,0)),"")</f>
        <v/>
      </c>
      <c r="I152" s="39">
        <f>IFERROR(INDEX($S$8:$S$207,MATCH(LARGE($T$8:$T$207,ROWS($A$8:A152)),$T$8:$T$207,0)),"")</f>
        <v/>
      </c>
      <c r="K152">
        <f>IF(Trabajadores!B149="","",Trabajadores!B149)</f>
        <v/>
      </c>
      <c r="L152">
        <f>IF(K152="","",COUNTIFS(Detalle_Pagos!$E$5:$E$2004,K152,Detalle_Pagos!$B$5:$B$2004,"&gt;="&amp;$B$3,Detalle_Pagos!$B$5:$B$2004,"&lt;="&amp;$B$4))</f>
        <v/>
      </c>
      <c r="M152" s="43">
        <f>IF(K152="","",SUMIFS(Detalle_Pagos!$I$5:$I$2004,Detalle_Pagos!$E$5:$E$2004,K152,Detalle_Pagos!$J$5:$J$2004,"Si",Detalle_Pagos!$B$5:$B$2004,"&gt;="&amp;$B$3,Detalle_Pagos!$B$5:$B$2004,"&lt;="&amp;$B$4))</f>
        <v/>
      </c>
      <c r="N152" s="43">
        <f>IF(K152="","",SUMIFS(Detalle_Pagos!$I$5:$I$2004,Detalle_Pagos!$E$5:$E$2004,K152,Detalle_Pagos!$J$5:$J$2004,"No",Detalle_Pagos!$B$5:$B$2004,"&gt;="&amp;$B$3,Detalle_Pagos!$B$5:$B$2004,"&lt;="&amp;$B$4))</f>
        <v/>
      </c>
      <c r="O152">
        <f>IF(K152="","",COUNTIFS(Detalle_Pagos!$E$5:$E$2004,K152,Detalle_Pagos!$J$5:$J$2004,"No",Detalle_Pagos!$B$5:$B$2004,"&gt;="&amp;$B$3,Detalle_Pagos!$B$5:$B$2004,"&lt;="&amp;$B$4))</f>
        <v/>
      </c>
      <c r="P152">
        <f>IF(K152="","",COUNTIFS(Detalle_Pagos!$E$5:$E$2004,K152,Detalle_Pagos!$J$5:$J$2004,"Si",Detalle_Pagos!$B$5:$B$2004,"&gt;="&amp;$B$3,Detalle_Pagos!$B$5:$B$2004,"&lt;="&amp;$B$4))</f>
        <v/>
      </c>
      <c r="Q152" s="43">
        <f>IF(K152="","",O152*IFERROR(INDEX(Trabajadores!$D$5:$D$204,MATCH(K152,Trabajadores!$B$5:$B$204,0)),0))</f>
        <v/>
      </c>
      <c r="R152" s="43">
        <f>IF(K152="","",N152+Q152)</f>
        <v/>
      </c>
      <c r="S152" s="43">
        <f>IF(K152="","",M152+N152)</f>
        <v/>
      </c>
      <c r="T152">
        <f>IF(K152="","",S152+R152/100000+L152/100000000+(100000-ROW())/1000000000)</f>
        <v/>
      </c>
    </row>
    <row r="153">
      <c r="A153" s="36">
        <f>IFERROR(INDEX($K$8:$K$207,MATCH(LARGE($T$8:$T$207,ROWS($A$8:A153)),$T$8:$T$207,0)),"")</f>
        <v/>
      </c>
      <c r="B153" s="36">
        <f>IFERROR(INDEX($L$8:$L$207,MATCH(LARGE($T$8:$T$207,ROWS($A$8:A153)),$T$8:$T$207,0)),"")</f>
        <v/>
      </c>
      <c r="C153" s="37">
        <f>IFERROR(INDEX($M$8:$M$207,MATCH(LARGE($T$8:$T$207,ROWS($A$8:A153)),$T$8:$T$207,0)),"")</f>
        <v/>
      </c>
      <c r="D153" s="37">
        <f>IFERROR(INDEX($N$8:$N$207,MATCH(LARGE($T$8:$T$207,ROWS($A$8:A153)),$T$8:$T$207,0)),"")</f>
        <v/>
      </c>
      <c r="E153" s="36">
        <f>IFERROR(INDEX($O$8:$O$207,MATCH(LARGE($T$8:$T$207,ROWS($A$8:A153)),$T$8:$T$207,0)),"")</f>
        <v/>
      </c>
      <c r="F153" s="36">
        <f>IFERROR(INDEX($P$8:$P$207,MATCH(LARGE($T$8:$T$207,ROWS($A$8:A153)),$T$8:$T$207,0)),"")</f>
        <v/>
      </c>
      <c r="G153" s="37">
        <f>IFERROR(INDEX($Q$8:$Q$207,MATCH(LARGE($T$8:$T$207,ROWS($A$8:A153)),$T$8:$T$207,0)),"")</f>
        <v/>
      </c>
      <c r="H153" s="37">
        <f>IFERROR(INDEX($R$8:$R$207,MATCH(LARGE($T$8:$T$207,ROWS($A$8:A153)),$T$8:$T$207,0)),"")</f>
        <v/>
      </c>
      <c r="I153" s="37">
        <f>IFERROR(INDEX($S$8:$S$207,MATCH(LARGE($T$8:$T$207,ROWS($A$8:A153)),$T$8:$T$207,0)),"")</f>
        <v/>
      </c>
      <c r="K153">
        <f>IF(Trabajadores!B150="","",Trabajadores!B150)</f>
        <v/>
      </c>
      <c r="L153">
        <f>IF(K153="","",COUNTIFS(Detalle_Pagos!$E$5:$E$2004,K153,Detalle_Pagos!$B$5:$B$2004,"&gt;="&amp;$B$3,Detalle_Pagos!$B$5:$B$2004,"&lt;="&amp;$B$4))</f>
        <v/>
      </c>
      <c r="M153" s="43">
        <f>IF(K153="","",SUMIFS(Detalle_Pagos!$I$5:$I$2004,Detalle_Pagos!$E$5:$E$2004,K153,Detalle_Pagos!$J$5:$J$2004,"Si",Detalle_Pagos!$B$5:$B$2004,"&gt;="&amp;$B$3,Detalle_Pagos!$B$5:$B$2004,"&lt;="&amp;$B$4))</f>
        <v/>
      </c>
      <c r="N153" s="43">
        <f>IF(K153="","",SUMIFS(Detalle_Pagos!$I$5:$I$2004,Detalle_Pagos!$E$5:$E$2004,K153,Detalle_Pagos!$J$5:$J$2004,"No",Detalle_Pagos!$B$5:$B$2004,"&gt;="&amp;$B$3,Detalle_Pagos!$B$5:$B$2004,"&lt;="&amp;$B$4))</f>
        <v/>
      </c>
      <c r="O153">
        <f>IF(K153="","",COUNTIFS(Detalle_Pagos!$E$5:$E$2004,K153,Detalle_Pagos!$J$5:$J$2004,"No",Detalle_Pagos!$B$5:$B$2004,"&gt;="&amp;$B$3,Detalle_Pagos!$B$5:$B$2004,"&lt;="&amp;$B$4))</f>
        <v/>
      </c>
      <c r="P153">
        <f>IF(K153="","",COUNTIFS(Detalle_Pagos!$E$5:$E$2004,K153,Detalle_Pagos!$J$5:$J$2004,"Si",Detalle_Pagos!$B$5:$B$2004,"&gt;="&amp;$B$3,Detalle_Pagos!$B$5:$B$2004,"&lt;="&amp;$B$4))</f>
        <v/>
      </c>
      <c r="Q153" s="43">
        <f>IF(K153="","",O153*IFERROR(INDEX(Trabajadores!$D$5:$D$204,MATCH(K153,Trabajadores!$B$5:$B$204,0)),0))</f>
        <v/>
      </c>
      <c r="R153" s="43">
        <f>IF(K153="","",N153+Q153)</f>
        <v/>
      </c>
      <c r="S153" s="43">
        <f>IF(K153="","",M153+N153)</f>
        <v/>
      </c>
      <c r="T153">
        <f>IF(K153="","",S153+R153/100000+L153/100000000+(100000-ROW())/1000000000)</f>
        <v/>
      </c>
    </row>
    <row r="154">
      <c r="A154" s="38">
        <f>IFERROR(INDEX($K$8:$K$207,MATCH(LARGE($T$8:$T$207,ROWS($A$8:A154)),$T$8:$T$207,0)),"")</f>
        <v/>
      </c>
      <c r="B154" s="38">
        <f>IFERROR(INDEX($L$8:$L$207,MATCH(LARGE($T$8:$T$207,ROWS($A$8:A154)),$T$8:$T$207,0)),"")</f>
        <v/>
      </c>
      <c r="C154" s="39">
        <f>IFERROR(INDEX($M$8:$M$207,MATCH(LARGE($T$8:$T$207,ROWS($A$8:A154)),$T$8:$T$207,0)),"")</f>
        <v/>
      </c>
      <c r="D154" s="39">
        <f>IFERROR(INDEX($N$8:$N$207,MATCH(LARGE($T$8:$T$207,ROWS($A$8:A154)),$T$8:$T$207,0)),"")</f>
        <v/>
      </c>
      <c r="E154" s="38">
        <f>IFERROR(INDEX($O$8:$O$207,MATCH(LARGE($T$8:$T$207,ROWS($A$8:A154)),$T$8:$T$207,0)),"")</f>
        <v/>
      </c>
      <c r="F154" s="38">
        <f>IFERROR(INDEX($P$8:$P$207,MATCH(LARGE($T$8:$T$207,ROWS($A$8:A154)),$T$8:$T$207,0)),"")</f>
        <v/>
      </c>
      <c r="G154" s="39">
        <f>IFERROR(INDEX($Q$8:$Q$207,MATCH(LARGE($T$8:$T$207,ROWS($A$8:A154)),$T$8:$T$207,0)),"")</f>
        <v/>
      </c>
      <c r="H154" s="39">
        <f>IFERROR(INDEX($R$8:$R$207,MATCH(LARGE($T$8:$T$207,ROWS($A$8:A154)),$T$8:$T$207,0)),"")</f>
        <v/>
      </c>
      <c r="I154" s="39">
        <f>IFERROR(INDEX($S$8:$S$207,MATCH(LARGE($T$8:$T$207,ROWS($A$8:A154)),$T$8:$T$207,0)),"")</f>
        <v/>
      </c>
      <c r="K154">
        <f>IF(Trabajadores!B151="","",Trabajadores!B151)</f>
        <v/>
      </c>
      <c r="L154">
        <f>IF(K154="","",COUNTIFS(Detalle_Pagos!$E$5:$E$2004,K154,Detalle_Pagos!$B$5:$B$2004,"&gt;="&amp;$B$3,Detalle_Pagos!$B$5:$B$2004,"&lt;="&amp;$B$4))</f>
        <v/>
      </c>
      <c r="M154" s="43">
        <f>IF(K154="","",SUMIFS(Detalle_Pagos!$I$5:$I$2004,Detalle_Pagos!$E$5:$E$2004,K154,Detalle_Pagos!$J$5:$J$2004,"Si",Detalle_Pagos!$B$5:$B$2004,"&gt;="&amp;$B$3,Detalle_Pagos!$B$5:$B$2004,"&lt;="&amp;$B$4))</f>
        <v/>
      </c>
      <c r="N154" s="43">
        <f>IF(K154="","",SUMIFS(Detalle_Pagos!$I$5:$I$2004,Detalle_Pagos!$E$5:$E$2004,K154,Detalle_Pagos!$J$5:$J$2004,"No",Detalle_Pagos!$B$5:$B$2004,"&gt;="&amp;$B$3,Detalle_Pagos!$B$5:$B$2004,"&lt;="&amp;$B$4))</f>
        <v/>
      </c>
      <c r="O154">
        <f>IF(K154="","",COUNTIFS(Detalle_Pagos!$E$5:$E$2004,K154,Detalle_Pagos!$J$5:$J$2004,"No",Detalle_Pagos!$B$5:$B$2004,"&gt;="&amp;$B$3,Detalle_Pagos!$B$5:$B$2004,"&lt;="&amp;$B$4))</f>
        <v/>
      </c>
      <c r="P154">
        <f>IF(K154="","",COUNTIFS(Detalle_Pagos!$E$5:$E$2004,K154,Detalle_Pagos!$J$5:$J$2004,"Si",Detalle_Pagos!$B$5:$B$2004,"&gt;="&amp;$B$3,Detalle_Pagos!$B$5:$B$2004,"&lt;="&amp;$B$4))</f>
        <v/>
      </c>
      <c r="Q154" s="43">
        <f>IF(K154="","",O154*IFERROR(INDEX(Trabajadores!$D$5:$D$204,MATCH(K154,Trabajadores!$B$5:$B$204,0)),0))</f>
        <v/>
      </c>
      <c r="R154" s="43">
        <f>IF(K154="","",N154+Q154)</f>
        <v/>
      </c>
      <c r="S154" s="43">
        <f>IF(K154="","",M154+N154)</f>
        <v/>
      </c>
      <c r="T154">
        <f>IF(K154="","",S154+R154/100000+L154/100000000+(100000-ROW())/1000000000)</f>
        <v/>
      </c>
    </row>
    <row r="155">
      <c r="A155" s="36">
        <f>IFERROR(INDEX($K$8:$K$207,MATCH(LARGE($T$8:$T$207,ROWS($A$8:A155)),$T$8:$T$207,0)),"")</f>
        <v/>
      </c>
      <c r="B155" s="36">
        <f>IFERROR(INDEX($L$8:$L$207,MATCH(LARGE($T$8:$T$207,ROWS($A$8:A155)),$T$8:$T$207,0)),"")</f>
        <v/>
      </c>
      <c r="C155" s="37">
        <f>IFERROR(INDEX($M$8:$M$207,MATCH(LARGE($T$8:$T$207,ROWS($A$8:A155)),$T$8:$T$207,0)),"")</f>
        <v/>
      </c>
      <c r="D155" s="37">
        <f>IFERROR(INDEX($N$8:$N$207,MATCH(LARGE($T$8:$T$207,ROWS($A$8:A155)),$T$8:$T$207,0)),"")</f>
        <v/>
      </c>
      <c r="E155" s="36">
        <f>IFERROR(INDEX($O$8:$O$207,MATCH(LARGE($T$8:$T$207,ROWS($A$8:A155)),$T$8:$T$207,0)),"")</f>
        <v/>
      </c>
      <c r="F155" s="36">
        <f>IFERROR(INDEX($P$8:$P$207,MATCH(LARGE($T$8:$T$207,ROWS($A$8:A155)),$T$8:$T$207,0)),"")</f>
        <v/>
      </c>
      <c r="G155" s="37">
        <f>IFERROR(INDEX($Q$8:$Q$207,MATCH(LARGE($T$8:$T$207,ROWS($A$8:A155)),$T$8:$T$207,0)),"")</f>
        <v/>
      </c>
      <c r="H155" s="37">
        <f>IFERROR(INDEX($R$8:$R$207,MATCH(LARGE($T$8:$T$207,ROWS($A$8:A155)),$T$8:$T$207,0)),"")</f>
        <v/>
      </c>
      <c r="I155" s="37">
        <f>IFERROR(INDEX($S$8:$S$207,MATCH(LARGE($T$8:$T$207,ROWS($A$8:A155)),$T$8:$T$207,0)),"")</f>
        <v/>
      </c>
      <c r="K155">
        <f>IF(Trabajadores!B152="","",Trabajadores!B152)</f>
        <v/>
      </c>
      <c r="L155">
        <f>IF(K155="","",COUNTIFS(Detalle_Pagos!$E$5:$E$2004,K155,Detalle_Pagos!$B$5:$B$2004,"&gt;="&amp;$B$3,Detalle_Pagos!$B$5:$B$2004,"&lt;="&amp;$B$4))</f>
        <v/>
      </c>
      <c r="M155" s="43">
        <f>IF(K155="","",SUMIFS(Detalle_Pagos!$I$5:$I$2004,Detalle_Pagos!$E$5:$E$2004,K155,Detalle_Pagos!$J$5:$J$2004,"Si",Detalle_Pagos!$B$5:$B$2004,"&gt;="&amp;$B$3,Detalle_Pagos!$B$5:$B$2004,"&lt;="&amp;$B$4))</f>
        <v/>
      </c>
      <c r="N155" s="43">
        <f>IF(K155="","",SUMIFS(Detalle_Pagos!$I$5:$I$2004,Detalle_Pagos!$E$5:$E$2004,K155,Detalle_Pagos!$J$5:$J$2004,"No",Detalle_Pagos!$B$5:$B$2004,"&gt;="&amp;$B$3,Detalle_Pagos!$B$5:$B$2004,"&lt;="&amp;$B$4))</f>
        <v/>
      </c>
      <c r="O155">
        <f>IF(K155="","",COUNTIFS(Detalle_Pagos!$E$5:$E$2004,K155,Detalle_Pagos!$J$5:$J$2004,"No",Detalle_Pagos!$B$5:$B$2004,"&gt;="&amp;$B$3,Detalle_Pagos!$B$5:$B$2004,"&lt;="&amp;$B$4))</f>
        <v/>
      </c>
      <c r="P155">
        <f>IF(K155="","",COUNTIFS(Detalle_Pagos!$E$5:$E$2004,K155,Detalle_Pagos!$J$5:$J$2004,"Si",Detalle_Pagos!$B$5:$B$2004,"&gt;="&amp;$B$3,Detalle_Pagos!$B$5:$B$2004,"&lt;="&amp;$B$4))</f>
        <v/>
      </c>
      <c r="Q155" s="43">
        <f>IF(K155="","",O155*IFERROR(INDEX(Trabajadores!$D$5:$D$204,MATCH(K155,Trabajadores!$B$5:$B$204,0)),0))</f>
        <v/>
      </c>
      <c r="R155" s="43">
        <f>IF(K155="","",N155+Q155)</f>
        <v/>
      </c>
      <c r="S155" s="43">
        <f>IF(K155="","",M155+N155)</f>
        <v/>
      </c>
      <c r="T155">
        <f>IF(K155="","",S155+R155/100000+L155/100000000+(100000-ROW())/1000000000)</f>
        <v/>
      </c>
    </row>
    <row r="156">
      <c r="A156" s="38">
        <f>IFERROR(INDEX($K$8:$K$207,MATCH(LARGE($T$8:$T$207,ROWS($A$8:A156)),$T$8:$T$207,0)),"")</f>
        <v/>
      </c>
      <c r="B156" s="38">
        <f>IFERROR(INDEX($L$8:$L$207,MATCH(LARGE($T$8:$T$207,ROWS($A$8:A156)),$T$8:$T$207,0)),"")</f>
        <v/>
      </c>
      <c r="C156" s="39">
        <f>IFERROR(INDEX($M$8:$M$207,MATCH(LARGE($T$8:$T$207,ROWS($A$8:A156)),$T$8:$T$207,0)),"")</f>
        <v/>
      </c>
      <c r="D156" s="39">
        <f>IFERROR(INDEX($N$8:$N$207,MATCH(LARGE($T$8:$T$207,ROWS($A$8:A156)),$T$8:$T$207,0)),"")</f>
        <v/>
      </c>
      <c r="E156" s="38">
        <f>IFERROR(INDEX($O$8:$O$207,MATCH(LARGE($T$8:$T$207,ROWS($A$8:A156)),$T$8:$T$207,0)),"")</f>
        <v/>
      </c>
      <c r="F156" s="38">
        <f>IFERROR(INDEX($P$8:$P$207,MATCH(LARGE($T$8:$T$207,ROWS($A$8:A156)),$T$8:$T$207,0)),"")</f>
        <v/>
      </c>
      <c r="G156" s="39">
        <f>IFERROR(INDEX($Q$8:$Q$207,MATCH(LARGE($T$8:$T$207,ROWS($A$8:A156)),$T$8:$T$207,0)),"")</f>
        <v/>
      </c>
      <c r="H156" s="39">
        <f>IFERROR(INDEX($R$8:$R$207,MATCH(LARGE($T$8:$T$207,ROWS($A$8:A156)),$T$8:$T$207,0)),"")</f>
        <v/>
      </c>
      <c r="I156" s="39">
        <f>IFERROR(INDEX($S$8:$S$207,MATCH(LARGE($T$8:$T$207,ROWS($A$8:A156)),$T$8:$T$207,0)),"")</f>
        <v/>
      </c>
      <c r="K156">
        <f>IF(Trabajadores!B153="","",Trabajadores!B153)</f>
        <v/>
      </c>
      <c r="L156">
        <f>IF(K156="","",COUNTIFS(Detalle_Pagos!$E$5:$E$2004,K156,Detalle_Pagos!$B$5:$B$2004,"&gt;="&amp;$B$3,Detalle_Pagos!$B$5:$B$2004,"&lt;="&amp;$B$4))</f>
        <v/>
      </c>
      <c r="M156" s="43">
        <f>IF(K156="","",SUMIFS(Detalle_Pagos!$I$5:$I$2004,Detalle_Pagos!$E$5:$E$2004,K156,Detalle_Pagos!$J$5:$J$2004,"Si",Detalle_Pagos!$B$5:$B$2004,"&gt;="&amp;$B$3,Detalle_Pagos!$B$5:$B$2004,"&lt;="&amp;$B$4))</f>
        <v/>
      </c>
      <c r="N156" s="43">
        <f>IF(K156="","",SUMIFS(Detalle_Pagos!$I$5:$I$2004,Detalle_Pagos!$E$5:$E$2004,K156,Detalle_Pagos!$J$5:$J$2004,"No",Detalle_Pagos!$B$5:$B$2004,"&gt;="&amp;$B$3,Detalle_Pagos!$B$5:$B$2004,"&lt;="&amp;$B$4))</f>
        <v/>
      </c>
      <c r="O156">
        <f>IF(K156="","",COUNTIFS(Detalle_Pagos!$E$5:$E$2004,K156,Detalle_Pagos!$J$5:$J$2004,"No",Detalle_Pagos!$B$5:$B$2004,"&gt;="&amp;$B$3,Detalle_Pagos!$B$5:$B$2004,"&lt;="&amp;$B$4))</f>
        <v/>
      </c>
      <c r="P156">
        <f>IF(K156="","",COUNTIFS(Detalle_Pagos!$E$5:$E$2004,K156,Detalle_Pagos!$J$5:$J$2004,"Si",Detalle_Pagos!$B$5:$B$2004,"&gt;="&amp;$B$3,Detalle_Pagos!$B$5:$B$2004,"&lt;="&amp;$B$4))</f>
        <v/>
      </c>
      <c r="Q156" s="43">
        <f>IF(K156="","",O156*IFERROR(INDEX(Trabajadores!$D$5:$D$204,MATCH(K156,Trabajadores!$B$5:$B$204,0)),0))</f>
        <v/>
      </c>
      <c r="R156" s="43">
        <f>IF(K156="","",N156+Q156)</f>
        <v/>
      </c>
      <c r="S156" s="43">
        <f>IF(K156="","",M156+N156)</f>
        <v/>
      </c>
      <c r="T156">
        <f>IF(K156="","",S156+R156/100000+L156/100000000+(100000-ROW())/1000000000)</f>
        <v/>
      </c>
    </row>
    <row r="157">
      <c r="A157" s="36">
        <f>IFERROR(INDEX($K$8:$K$207,MATCH(LARGE($T$8:$T$207,ROWS($A$8:A157)),$T$8:$T$207,0)),"")</f>
        <v/>
      </c>
      <c r="B157" s="36">
        <f>IFERROR(INDEX($L$8:$L$207,MATCH(LARGE($T$8:$T$207,ROWS($A$8:A157)),$T$8:$T$207,0)),"")</f>
        <v/>
      </c>
      <c r="C157" s="37">
        <f>IFERROR(INDEX($M$8:$M$207,MATCH(LARGE($T$8:$T$207,ROWS($A$8:A157)),$T$8:$T$207,0)),"")</f>
        <v/>
      </c>
      <c r="D157" s="37">
        <f>IFERROR(INDEX($N$8:$N$207,MATCH(LARGE($T$8:$T$207,ROWS($A$8:A157)),$T$8:$T$207,0)),"")</f>
        <v/>
      </c>
      <c r="E157" s="36">
        <f>IFERROR(INDEX($O$8:$O$207,MATCH(LARGE($T$8:$T$207,ROWS($A$8:A157)),$T$8:$T$207,0)),"")</f>
        <v/>
      </c>
      <c r="F157" s="36">
        <f>IFERROR(INDEX($P$8:$P$207,MATCH(LARGE($T$8:$T$207,ROWS($A$8:A157)),$T$8:$T$207,0)),"")</f>
        <v/>
      </c>
      <c r="G157" s="37">
        <f>IFERROR(INDEX($Q$8:$Q$207,MATCH(LARGE($T$8:$T$207,ROWS($A$8:A157)),$T$8:$T$207,0)),"")</f>
        <v/>
      </c>
      <c r="H157" s="37">
        <f>IFERROR(INDEX($R$8:$R$207,MATCH(LARGE($T$8:$T$207,ROWS($A$8:A157)),$T$8:$T$207,0)),"")</f>
        <v/>
      </c>
      <c r="I157" s="37">
        <f>IFERROR(INDEX($S$8:$S$207,MATCH(LARGE($T$8:$T$207,ROWS($A$8:A157)),$T$8:$T$207,0)),"")</f>
        <v/>
      </c>
      <c r="K157">
        <f>IF(Trabajadores!B154="","",Trabajadores!B154)</f>
        <v/>
      </c>
      <c r="L157">
        <f>IF(K157="","",COUNTIFS(Detalle_Pagos!$E$5:$E$2004,K157,Detalle_Pagos!$B$5:$B$2004,"&gt;="&amp;$B$3,Detalle_Pagos!$B$5:$B$2004,"&lt;="&amp;$B$4))</f>
        <v/>
      </c>
      <c r="M157" s="43">
        <f>IF(K157="","",SUMIFS(Detalle_Pagos!$I$5:$I$2004,Detalle_Pagos!$E$5:$E$2004,K157,Detalle_Pagos!$J$5:$J$2004,"Si",Detalle_Pagos!$B$5:$B$2004,"&gt;="&amp;$B$3,Detalle_Pagos!$B$5:$B$2004,"&lt;="&amp;$B$4))</f>
        <v/>
      </c>
      <c r="N157" s="43">
        <f>IF(K157="","",SUMIFS(Detalle_Pagos!$I$5:$I$2004,Detalle_Pagos!$E$5:$E$2004,K157,Detalle_Pagos!$J$5:$J$2004,"No",Detalle_Pagos!$B$5:$B$2004,"&gt;="&amp;$B$3,Detalle_Pagos!$B$5:$B$2004,"&lt;="&amp;$B$4))</f>
        <v/>
      </c>
      <c r="O157">
        <f>IF(K157="","",COUNTIFS(Detalle_Pagos!$E$5:$E$2004,K157,Detalle_Pagos!$J$5:$J$2004,"No",Detalle_Pagos!$B$5:$B$2004,"&gt;="&amp;$B$3,Detalle_Pagos!$B$5:$B$2004,"&lt;="&amp;$B$4))</f>
        <v/>
      </c>
      <c r="P157">
        <f>IF(K157="","",COUNTIFS(Detalle_Pagos!$E$5:$E$2004,K157,Detalle_Pagos!$J$5:$J$2004,"Si",Detalle_Pagos!$B$5:$B$2004,"&gt;="&amp;$B$3,Detalle_Pagos!$B$5:$B$2004,"&lt;="&amp;$B$4))</f>
        <v/>
      </c>
      <c r="Q157" s="43">
        <f>IF(K157="","",O157*IFERROR(INDEX(Trabajadores!$D$5:$D$204,MATCH(K157,Trabajadores!$B$5:$B$204,0)),0))</f>
        <v/>
      </c>
      <c r="R157" s="43">
        <f>IF(K157="","",N157+Q157)</f>
        <v/>
      </c>
      <c r="S157" s="43">
        <f>IF(K157="","",M157+N157)</f>
        <v/>
      </c>
      <c r="T157">
        <f>IF(K157="","",S157+R157/100000+L157/100000000+(100000-ROW())/1000000000)</f>
        <v/>
      </c>
    </row>
    <row r="158">
      <c r="A158" s="38">
        <f>IFERROR(INDEX($K$8:$K$207,MATCH(LARGE($T$8:$T$207,ROWS($A$8:A158)),$T$8:$T$207,0)),"")</f>
        <v/>
      </c>
      <c r="B158" s="38">
        <f>IFERROR(INDEX($L$8:$L$207,MATCH(LARGE($T$8:$T$207,ROWS($A$8:A158)),$T$8:$T$207,0)),"")</f>
        <v/>
      </c>
      <c r="C158" s="39">
        <f>IFERROR(INDEX($M$8:$M$207,MATCH(LARGE($T$8:$T$207,ROWS($A$8:A158)),$T$8:$T$207,0)),"")</f>
        <v/>
      </c>
      <c r="D158" s="39">
        <f>IFERROR(INDEX($N$8:$N$207,MATCH(LARGE($T$8:$T$207,ROWS($A$8:A158)),$T$8:$T$207,0)),"")</f>
        <v/>
      </c>
      <c r="E158" s="38">
        <f>IFERROR(INDEX($O$8:$O$207,MATCH(LARGE($T$8:$T$207,ROWS($A$8:A158)),$T$8:$T$207,0)),"")</f>
        <v/>
      </c>
      <c r="F158" s="38">
        <f>IFERROR(INDEX($P$8:$P$207,MATCH(LARGE($T$8:$T$207,ROWS($A$8:A158)),$T$8:$T$207,0)),"")</f>
        <v/>
      </c>
      <c r="G158" s="39">
        <f>IFERROR(INDEX($Q$8:$Q$207,MATCH(LARGE($T$8:$T$207,ROWS($A$8:A158)),$T$8:$T$207,0)),"")</f>
        <v/>
      </c>
      <c r="H158" s="39">
        <f>IFERROR(INDEX($R$8:$R$207,MATCH(LARGE($T$8:$T$207,ROWS($A$8:A158)),$T$8:$T$207,0)),"")</f>
        <v/>
      </c>
      <c r="I158" s="39">
        <f>IFERROR(INDEX($S$8:$S$207,MATCH(LARGE($T$8:$T$207,ROWS($A$8:A158)),$T$8:$T$207,0)),"")</f>
        <v/>
      </c>
      <c r="K158">
        <f>IF(Trabajadores!B155="","",Trabajadores!B155)</f>
        <v/>
      </c>
      <c r="L158">
        <f>IF(K158="","",COUNTIFS(Detalle_Pagos!$E$5:$E$2004,K158,Detalle_Pagos!$B$5:$B$2004,"&gt;="&amp;$B$3,Detalle_Pagos!$B$5:$B$2004,"&lt;="&amp;$B$4))</f>
        <v/>
      </c>
      <c r="M158" s="43">
        <f>IF(K158="","",SUMIFS(Detalle_Pagos!$I$5:$I$2004,Detalle_Pagos!$E$5:$E$2004,K158,Detalle_Pagos!$J$5:$J$2004,"Si",Detalle_Pagos!$B$5:$B$2004,"&gt;="&amp;$B$3,Detalle_Pagos!$B$5:$B$2004,"&lt;="&amp;$B$4))</f>
        <v/>
      </c>
      <c r="N158" s="43">
        <f>IF(K158="","",SUMIFS(Detalle_Pagos!$I$5:$I$2004,Detalle_Pagos!$E$5:$E$2004,K158,Detalle_Pagos!$J$5:$J$2004,"No",Detalle_Pagos!$B$5:$B$2004,"&gt;="&amp;$B$3,Detalle_Pagos!$B$5:$B$2004,"&lt;="&amp;$B$4))</f>
        <v/>
      </c>
      <c r="O158">
        <f>IF(K158="","",COUNTIFS(Detalle_Pagos!$E$5:$E$2004,K158,Detalle_Pagos!$J$5:$J$2004,"No",Detalle_Pagos!$B$5:$B$2004,"&gt;="&amp;$B$3,Detalle_Pagos!$B$5:$B$2004,"&lt;="&amp;$B$4))</f>
        <v/>
      </c>
      <c r="P158">
        <f>IF(K158="","",COUNTIFS(Detalle_Pagos!$E$5:$E$2004,K158,Detalle_Pagos!$J$5:$J$2004,"Si",Detalle_Pagos!$B$5:$B$2004,"&gt;="&amp;$B$3,Detalle_Pagos!$B$5:$B$2004,"&lt;="&amp;$B$4))</f>
        <v/>
      </c>
      <c r="Q158" s="43">
        <f>IF(K158="","",O158*IFERROR(INDEX(Trabajadores!$D$5:$D$204,MATCH(K158,Trabajadores!$B$5:$B$204,0)),0))</f>
        <v/>
      </c>
      <c r="R158" s="43">
        <f>IF(K158="","",N158+Q158)</f>
        <v/>
      </c>
      <c r="S158" s="43">
        <f>IF(K158="","",M158+N158)</f>
        <v/>
      </c>
      <c r="T158">
        <f>IF(K158="","",S158+R158/100000+L158/100000000+(100000-ROW())/1000000000)</f>
        <v/>
      </c>
    </row>
    <row r="159">
      <c r="A159" s="36">
        <f>IFERROR(INDEX($K$8:$K$207,MATCH(LARGE($T$8:$T$207,ROWS($A$8:A159)),$T$8:$T$207,0)),"")</f>
        <v/>
      </c>
      <c r="B159" s="36">
        <f>IFERROR(INDEX($L$8:$L$207,MATCH(LARGE($T$8:$T$207,ROWS($A$8:A159)),$T$8:$T$207,0)),"")</f>
        <v/>
      </c>
      <c r="C159" s="37">
        <f>IFERROR(INDEX($M$8:$M$207,MATCH(LARGE($T$8:$T$207,ROWS($A$8:A159)),$T$8:$T$207,0)),"")</f>
        <v/>
      </c>
      <c r="D159" s="37">
        <f>IFERROR(INDEX($N$8:$N$207,MATCH(LARGE($T$8:$T$207,ROWS($A$8:A159)),$T$8:$T$207,0)),"")</f>
        <v/>
      </c>
      <c r="E159" s="36">
        <f>IFERROR(INDEX($O$8:$O$207,MATCH(LARGE($T$8:$T$207,ROWS($A$8:A159)),$T$8:$T$207,0)),"")</f>
        <v/>
      </c>
      <c r="F159" s="36">
        <f>IFERROR(INDEX($P$8:$P$207,MATCH(LARGE($T$8:$T$207,ROWS($A$8:A159)),$T$8:$T$207,0)),"")</f>
        <v/>
      </c>
      <c r="G159" s="37">
        <f>IFERROR(INDEX($Q$8:$Q$207,MATCH(LARGE($T$8:$T$207,ROWS($A$8:A159)),$T$8:$T$207,0)),"")</f>
        <v/>
      </c>
      <c r="H159" s="37">
        <f>IFERROR(INDEX($R$8:$R$207,MATCH(LARGE($T$8:$T$207,ROWS($A$8:A159)),$T$8:$T$207,0)),"")</f>
        <v/>
      </c>
      <c r="I159" s="37">
        <f>IFERROR(INDEX($S$8:$S$207,MATCH(LARGE($T$8:$T$207,ROWS($A$8:A159)),$T$8:$T$207,0)),"")</f>
        <v/>
      </c>
      <c r="K159">
        <f>IF(Trabajadores!B156="","",Trabajadores!B156)</f>
        <v/>
      </c>
      <c r="L159">
        <f>IF(K159="","",COUNTIFS(Detalle_Pagos!$E$5:$E$2004,K159,Detalle_Pagos!$B$5:$B$2004,"&gt;="&amp;$B$3,Detalle_Pagos!$B$5:$B$2004,"&lt;="&amp;$B$4))</f>
        <v/>
      </c>
      <c r="M159" s="43">
        <f>IF(K159="","",SUMIFS(Detalle_Pagos!$I$5:$I$2004,Detalle_Pagos!$E$5:$E$2004,K159,Detalle_Pagos!$J$5:$J$2004,"Si",Detalle_Pagos!$B$5:$B$2004,"&gt;="&amp;$B$3,Detalle_Pagos!$B$5:$B$2004,"&lt;="&amp;$B$4))</f>
        <v/>
      </c>
      <c r="N159" s="43">
        <f>IF(K159="","",SUMIFS(Detalle_Pagos!$I$5:$I$2004,Detalle_Pagos!$E$5:$E$2004,K159,Detalle_Pagos!$J$5:$J$2004,"No",Detalle_Pagos!$B$5:$B$2004,"&gt;="&amp;$B$3,Detalle_Pagos!$B$5:$B$2004,"&lt;="&amp;$B$4))</f>
        <v/>
      </c>
      <c r="O159">
        <f>IF(K159="","",COUNTIFS(Detalle_Pagos!$E$5:$E$2004,K159,Detalle_Pagos!$J$5:$J$2004,"No",Detalle_Pagos!$B$5:$B$2004,"&gt;="&amp;$B$3,Detalle_Pagos!$B$5:$B$2004,"&lt;="&amp;$B$4))</f>
        <v/>
      </c>
      <c r="P159">
        <f>IF(K159="","",COUNTIFS(Detalle_Pagos!$E$5:$E$2004,K159,Detalle_Pagos!$J$5:$J$2004,"Si",Detalle_Pagos!$B$5:$B$2004,"&gt;="&amp;$B$3,Detalle_Pagos!$B$5:$B$2004,"&lt;="&amp;$B$4))</f>
        <v/>
      </c>
      <c r="Q159" s="43">
        <f>IF(K159="","",O159*IFERROR(INDEX(Trabajadores!$D$5:$D$204,MATCH(K159,Trabajadores!$B$5:$B$204,0)),0))</f>
        <v/>
      </c>
      <c r="R159" s="43">
        <f>IF(K159="","",N159+Q159)</f>
        <v/>
      </c>
      <c r="S159" s="43">
        <f>IF(K159="","",M159+N159)</f>
        <v/>
      </c>
      <c r="T159">
        <f>IF(K159="","",S159+R159/100000+L159/100000000+(100000-ROW())/1000000000)</f>
        <v/>
      </c>
    </row>
    <row r="160">
      <c r="A160" s="38">
        <f>IFERROR(INDEX($K$8:$K$207,MATCH(LARGE($T$8:$T$207,ROWS($A$8:A160)),$T$8:$T$207,0)),"")</f>
        <v/>
      </c>
      <c r="B160" s="38">
        <f>IFERROR(INDEX($L$8:$L$207,MATCH(LARGE($T$8:$T$207,ROWS($A$8:A160)),$T$8:$T$207,0)),"")</f>
        <v/>
      </c>
      <c r="C160" s="39">
        <f>IFERROR(INDEX($M$8:$M$207,MATCH(LARGE($T$8:$T$207,ROWS($A$8:A160)),$T$8:$T$207,0)),"")</f>
        <v/>
      </c>
      <c r="D160" s="39">
        <f>IFERROR(INDEX($N$8:$N$207,MATCH(LARGE($T$8:$T$207,ROWS($A$8:A160)),$T$8:$T$207,0)),"")</f>
        <v/>
      </c>
      <c r="E160" s="38">
        <f>IFERROR(INDEX($O$8:$O$207,MATCH(LARGE($T$8:$T$207,ROWS($A$8:A160)),$T$8:$T$207,0)),"")</f>
        <v/>
      </c>
      <c r="F160" s="38">
        <f>IFERROR(INDEX($P$8:$P$207,MATCH(LARGE($T$8:$T$207,ROWS($A$8:A160)),$T$8:$T$207,0)),"")</f>
        <v/>
      </c>
      <c r="G160" s="39">
        <f>IFERROR(INDEX($Q$8:$Q$207,MATCH(LARGE($T$8:$T$207,ROWS($A$8:A160)),$T$8:$T$207,0)),"")</f>
        <v/>
      </c>
      <c r="H160" s="39">
        <f>IFERROR(INDEX($R$8:$R$207,MATCH(LARGE($T$8:$T$207,ROWS($A$8:A160)),$T$8:$T$207,0)),"")</f>
        <v/>
      </c>
      <c r="I160" s="39">
        <f>IFERROR(INDEX($S$8:$S$207,MATCH(LARGE($T$8:$T$207,ROWS($A$8:A160)),$T$8:$T$207,0)),"")</f>
        <v/>
      </c>
      <c r="K160">
        <f>IF(Trabajadores!B157="","",Trabajadores!B157)</f>
        <v/>
      </c>
      <c r="L160">
        <f>IF(K160="","",COUNTIFS(Detalle_Pagos!$E$5:$E$2004,K160,Detalle_Pagos!$B$5:$B$2004,"&gt;="&amp;$B$3,Detalle_Pagos!$B$5:$B$2004,"&lt;="&amp;$B$4))</f>
        <v/>
      </c>
      <c r="M160" s="43">
        <f>IF(K160="","",SUMIFS(Detalle_Pagos!$I$5:$I$2004,Detalle_Pagos!$E$5:$E$2004,K160,Detalle_Pagos!$J$5:$J$2004,"Si",Detalle_Pagos!$B$5:$B$2004,"&gt;="&amp;$B$3,Detalle_Pagos!$B$5:$B$2004,"&lt;="&amp;$B$4))</f>
        <v/>
      </c>
      <c r="N160" s="43">
        <f>IF(K160="","",SUMIFS(Detalle_Pagos!$I$5:$I$2004,Detalle_Pagos!$E$5:$E$2004,K160,Detalle_Pagos!$J$5:$J$2004,"No",Detalle_Pagos!$B$5:$B$2004,"&gt;="&amp;$B$3,Detalle_Pagos!$B$5:$B$2004,"&lt;="&amp;$B$4))</f>
        <v/>
      </c>
      <c r="O160">
        <f>IF(K160="","",COUNTIFS(Detalle_Pagos!$E$5:$E$2004,K160,Detalle_Pagos!$J$5:$J$2004,"No",Detalle_Pagos!$B$5:$B$2004,"&gt;="&amp;$B$3,Detalle_Pagos!$B$5:$B$2004,"&lt;="&amp;$B$4))</f>
        <v/>
      </c>
      <c r="P160">
        <f>IF(K160="","",COUNTIFS(Detalle_Pagos!$E$5:$E$2004,K160,Detalle_Pagos!$J$5:$J$2004,"Si",Detalle_Pagos!$B$5:$B$2004,"&gt;="&amp;$B$3,Detalle_Pagos!$B$5:$B$2004,"&lt;="&amp;$B$4))</f>
        <v/>
      </c>
      <c r="Q160" s="43">
        <f>IF(K160="","",O160*IFERROR(INDEX(Trabajadores!$D$5:$D$204,MATCH(K160,Trabajadores!$B$5:$B$204,0)),0))</f>
        <v/>
      </c>
      <c r="R160" s="43">
        <f>IF(K160="","",N160+Q160)</f>
        <v/>
      </c>
      <c r="S160" s="43">
        <f>IF(K160="","",M160+N160)</f>
        <v/>
      </c>
      <c r="T160">
        <f>IF(K160="","",S160+R160/100000+L160/100000000+(100000-ROW())/1000000000)</f>
        <v/>
      </c>
    </row>
    <row r="161">
      <c r="A161" s="36">
        <f>IFERROR(INDEX($K$8:$K$207,MATCH(LARGE($T$8:$T$207,ROWS($A$8:A161)),$T$8:$T$207,0)),"")</f>
        <v/>
      </c>
      <c r="B161" s="36">
        <f>IFERROR(INDEX($L$8:$L$207,MATCH(LARGE($T$8:$T$207,ROWS($A$8:A161)),$T$8:$T$207,0)),"")</f>
        <v/>
      </c>
      <c r="C161" s="37">
        <f>IFERROR(INDEX($M$8:$M$207,MATCH(LARGE($T$8:$T$207,ROWS($A$8:A161)),$T$8:$T$207,0)),"")</f>
        <v/>
      </c>
      <c r="D161" s="37">
        <f>IFERROR(INDEX($N$8:$N$207,MATCH(LARGE($T$8:$T$207,ROWS($A$8:A161)),$T$8:$T$207,0)),"")</f>
        <v/>
      </c>
      <c r="E161" s="36">
        <f>IFERROR(INDEX($O$8:$O$207,MATCH(LARGE($T$8:$T$207,ROWS($A$8:A161)),$T$8:$T$207,0)),"")</f>
        <v/>
      </c>
      <c r="F161" s="36">
        <f>IFERROR(INDEX($P$8:$P$207,MATCH(LARGE($T$8:$T$207,ROWS($A$8:A161)),$T$8:$T$207,0)),"")</f>
        <v/>
      </c>
      <c r="G161" s="37">
        <f>IFERROR(INDEX($Q$8:$Q$207,MATCH(LARGE($T$8:$T$207,ROWS($A$8:A161)),$T$8:$T$207,0)),"")</f>
        <v/>
      </c>
      <c r="H161" s="37">
        <f>IFERROR(INDEX($R$8:$R$207,MATCH(LARGE($T$8:$T$207,ROWS($A$8:A161)),$T$8:$T$207,0)),"")</f>
        <v/>
      </c>
      <c r="I161" s="37">
        <f>IFERROR(INDEX($S$8:$S$207,MATCH(LARGE($T$8:$T$207,ROWS($A$8:A161)),$T$8:$T$207,0)),"")</f>
        <v/>
      </c>
      <c r="K161">
        <f>IF(Trabajadores!B158="","",Trabajadores!B158)</f>
        <v/>
      </c>
      <c r="L161">
        <f>IF(K161="","",COUNTIFS(Detalle_Pagos!$E$5:$E$2004,K161,Detalle_Pagos!$B$5:$B$2004,"&gt;="&amp;$B$3,Detalle_Pagos!$B$5:$B$2004,"&lt;="&amp;$B$4))</f>
        <v/>
      </c>
      <c r="M161" s="43">
        <f>IF(K161="","",SUMIFS(Detalle_Pagos!$I$5:$I$2004,Detalle_Pagos!$E$5:$E$2004,K161,Detalle_Pagos!$J$5:$J$2004,"Si",Detalle_Pagos!$B$5:$B$2004,"&gt;="&amp;$B$3,Detalle_Pagos!$B$5:$B$2004,"&lt;="&amp;$B$4))</f>
        <v/>
      </c>
      <c r="N161" s="43">
        <f>IF(K161="","",SUMIFS(Detalle_Pagos!$I$5:$I$2004,Detalle_Pagos!$E$5:$E$2004,K161,Detalle_Pagos!$J$5:$J$2004,"No",Detalle_Pagos!$B$5:$B$2004,"&gt;="&amp;$B$3,Detalle_Pagos!$B$5:$B$2004,"&lt;="&amp;$B$4))</f>
        <v/>
      </c>
      <c r="O161">
        <f>IF(K161="","",COUNTIFS(Detalle_Pagos!$E$5:$E$2004,K161,Detalle_Pagos!$J$5:$J$2004,"No",Detalle_Pagos!$B$5:$B$2004,"&gt;="&amp;$B$3,Detalle_Pagos!$B$5:$B$2004,"&lt;="&amp;$B$4))</f>
        <v/>
      </c>
      <c r="P161">
        <f>IF(K161="","",COUNTIFS(Detalle_Pagos!$E$5:$E$2004,K161,Detalle_Pagos!$J$5:$J$2004,"Si",Detalle_Pagos!$B$5:$B$2004,"&gt;="&amp;$B$3,Detalle_Pagos!$B$5:$B$2004,"&lt;="&amp;$B$4))</f>
        <v/>
      </c>
      <c r="Q161" s="43">
        <f>IF(K161="","",O161*IFERROR(INDEX(Trabajadores!$D$5:$D$204,MATCH(K161,Trabajadores!$B$5:$B$204,0)),0))</f>
        <v/>
      </c>
      <c r="R161" s="43">
        <f>IF(K161="","",N161+Q161)</f>
        <v/>
      </c>
      <c r="S161" s="43">
        <f>IF(K161="","",M161+N161)</f>
        <v/>
      </c>
      <c r="T161">
        <f>IF(K161="","",S161+R161/100000+L161/100000000+(100000-ROW())/1000000000)</f>
        <v/>
      </c>
    </row>
    <row r="162">
      <c r="A162" s="38">
        <f>IFERROR(INDEX($K$8:$K$207,MATCH(LARGE($T$8:$T$207,ROWS($A$8:A162)),$T$8:$T$207,0)),"")</f>
        <v/>
      </c>
      <c r="B162" s="38">
        <f>IFERROR(INDEX($L$8:$L$207,MATCH(LARGE($T$8:$T$207,ROWS($A$8:A162)),$T$8:$T$207,0)),"")</f>
        <v/>
      </c>
      <c r="C162" s="39">
        <f>IFERROR(INDEX($M$8:$M$207,MATCH(LARGE($T$8:$T$207,ROWS($A$8:A162)),$T$8:$T$207,0)),"")</f>
        <v/>
      </c>
      <c r="D162" s="39">
        <f>IFERROR(INDEX($N$8:$N$207,MATCH(LARGE($T$8:$T$207,ROWS($A$8:A162)),$T$8:$T$207,0)),"")</f>
        <v/>
      </c>
      <c r="E162" s="38">
        <f>IFERROR(INDEX($O$8:$O$207,MATCH(LARGE($T$8:$T$207,ROWS($A$8:A162)),$T$8:$T$207,0)),"")</f>
        <v/>
      </c>
      <c r="F162" s="38">
        <f>IFERROR(INDEX($P$8:$P$207,MATCH(LARGE($T$8:$T$207,ROWS($A$8:A162)),$T$8:$T$207,0)),"")</f>
        <v/>
      </c>
      <c r="G162" s="39">
        <f>IFERROR(INDEX($Q$8:$Q$207,MATCH(LARGE($T$8:$T$207,ROWS($A$8:A162)),$T$8:$T$207,0)),"")</f>
        <v/>
      </c>
      <c r="H162" s="39">
        <f>IFERROR(INDEX($R$8:$R$207,MATCH(LARGE($T$8:$T$207,ROWS($A$8:A162)),$T$8:$T$207,0)),"")</f>
        <v/>
      </c>
      <c r="I162" s="39">
        <f>IFERROR(INDEX($S$8:$S$207,MATCH(LARGE($T$8:$T$207,ROWS($A$8:A162)),$T$8:$T$207,0)),"")</f>
        <v/>
      </c>
      <c r="K162">
        <f>IF(Trabajadores!B159="","",Trabajadores!B159)</f>
        <v/>
      </c>
      <c r="L162">
        <f>IF(K162="","",COUNTIFS(Detalle_Pagos!$E$5:$E$2004,K162,Detalle_Pagos!$B$5:$B$2004,"&gt;="&amp;$B$3,Detalle_Pagos!$B$5:$B$2004,"&lt;="&amp;$B$4))</f>
        <v/>
      </c>
      <c r="M162" s="43">
        <f>IF(K162="","",SUMIFS(Detalle_Pagos!$I$5:$I$2004,Detalle_Pagos!$E$5:$E$2004,K162,Detalle_Pagos!$J$5:$J$2004,"Si",Detalle_Pagos!$B$5:$B$2004,"&gt;="&amp;$B$3,Detalle_Pagos!$B$5:$B$2004,"&lt;="&amp;$B$4))</f>
        <v/>
      </c>
      <c r="N162" s="43">
        <f>IF(K162="","",SUMIFS(Detalle_Pagos!$I$5:$I$2004,Detalle_Pagos!$E$5:$E$2004,K162,Detalle_Pagos!$J$5:$J$2004,"No",Detalle_Pagos!$B$5:$B$2004,"&gt;="&amp;$B$3,Detalle_Pagos!$B$5:$B$2004,"&lt;="&amp;$B$4))</f>
        <v/>
      </c>
      <c r="O162">
        <f>IF(K162="","",COUNTIFS(Detalle_Pagos!$E$5:$E$2004,K162,Detalle_Pagos!$J$5:$J$2004,"No",Detalle_Pagos!$B$5:$B$2004,"&gt;="&amp;$B$3,Detalle_Pagos!$B$5:$B$2004,"&lt;="&amp;$B$4))</f>
        <v/>
      </c>
      <c r="P162">
        <f>IF(K162="","",COUNTIFS(Detalle_Pagos!$E$5:$E$2004,K162,Detalle_Pagos!$J$5:$J$2004,"Si",Detalle_Pagos!$B$5:$B$2004,"&gt;="&amp;$B$3,Detalle_Pagos!$B$5:$B$2004,"&lt;="&amp;$B$4))</f>
        <v/>
      </c>
      <c r="Q162" s="43">
        <f>IF(K162="","",O162*IFERROR(INDEX(Trabajadores!$D$5:$D$204,MATCH(K162,Trabajadores!$B$5:$B$204,0)),0))</f>
        <v/>
      </c>
      <c r="R162" s="43">
        <f>IF(K162="","",N162+Q162)</f>
        <v/>
      </c>
      <c r="S162" s="43">
        <f>IF(K162="","",M162+N162)</f>
        <v/>
      </c>
      <c r="T162">
        <f>IF(K162="","",S162+R162/100000+L162/100000000+(100000-ROW())/1000000000)</f>
        <v/>
      </c>
    </row>
    <row r="163">
      <c r="A163" s="36">
        <f>IFERROR(INDEX($K$8:$K$207,MATCH(LARGE($T$8:$T$207,ROWS($A$8:A163)),$T$8:$T$207,0)),"")</f>
        <v/>
      </c>
      <c r="B163" s="36">
        <f>IFERROR(INDEX($L$8:$L$207,MATCH(LARGE($T$8:$T$207,ROWS($A$8:A163)),$T$8:$T$207,0)),"")</f>
        <v/>
      </c>
      <c r="C163" s="37">
        <f>IFERROR(INDEX($M$8:$M$207,MATCH(LARGE($T$8:$T$207,ROWS($A$8:A163)),$T$8:$T$207,0)),"")</f>
        <v/>
      </c>
      <c r="D163" s="37">
        <f>IFERROR(INDEX($N$8:$N$207,MATCH(LARGE($T$8:$T$207,ROWS($A$8:A163)),$T$8:$T$207,0)),"")</f>
        <v/>
      </c>
      <c r="E163" s="36">
        <f>IFERROR(INDEX($O$8:$O$207,MATCH(LARGE($T$8:$T$207,ROWS($A$8:A163)),$T$8:$T$207,0)),"")</f>
        <v/>
      </c>
      <c r="F163" s="36">
        <f>IFERROR(INDEX($P$8:$P$207,MATCH(LARGE($T$8:$T$207,ROWS($A$8:A163)),$T$8:$T$207,0)),"")</f>
        <v/>
      </c>
      <c r="G163" s="37">
        <f>IFERROR(INDEX($Q$8:$Q$207,MATCH(LARGE($T$8:$T$207,ROWS($A$8:A163)),$T$8:$T$207,0)),"")</f>
        <v/>
      </c>
      <c r="H163" s="37">
        <f>IFERROR(INDEX($R$8:$R$207,MATCH(LARGE($T$8:$T$207,ROWS($A$8:A163)),$T$8:$T$207,0)),"")</f>
        <v/>
      </c>
      <c r="I163" s="37">
        <f>IFERROR(INDEX($S$8:$S$207,MATCH(LARGE($T$8:$T$207,ROWS($A$8:A163)),$T$8:$T$207,0)),"")</f>
        <v/>
      </c>
      <c r="K163">
        <f>IF(Trabajadores!B160="","",Trabajadores!B160)</f>
        <v/>
      </c>
      <c r="L163">
        <f>IF(K163="","",COUNTIFS(Detalle_Pagos!$E$5:$E$2004,K163,Detalle_Pagos!$B$5:$B$2004,"&gt;="&amp;$B$3,Detalle_Pagos!$B$5:$B$2004,"&lt;="&amp;$B$4))</f>
        <v/>
      </c>
      <c r="M163" s="43">
        <f>IF(K163="","",SUMIFS(Detalle_Pagos!$I$5:$I$2004,Detalle_Pagos!$E$5:$E$2004,K163,Detalle_Pagos!$J$5:$J$2004,"Si",Detalle_Pagos!$B$5:$B$2004,"&gt;="&amp;$B$3,Detalle_Pagos!$B$5:$B$2004,"&lt;="&amp;$B$4))</f>
        <v/>
      </c>
      <c r="N163" s="43">
        <f>IF(K163="","",SUMIFS(Detalle_Pagos!$I$5:$I$2004,Detalle_Pagos!$E$5:$E$2004,K163,Detalle_Pagos!$J$5:$J$2004,"No",Detalle_Pagos!$B$5:$B$2004,"&gt;="&amp;$B$3,Detalle_Pagos!$B$5:$B$2004,"&lt;="&amp;$B$4))</f>
        <v/>
      </c>
      <c r="O163">
        <f>IF(K163="","",COUNTIFS(Detalle_Pagos!$E$5:$E$2004,K163,Detalle_Pagos!$J$5:$J$2004,"No",Detalle_Pagos!$B$5:$B$2004,"&gt;="&amp;$B$3,Detalle_Pagos!$B$5:$B$2004,"&lt;="&amp;$B$4))</f>
        <v/>
      </c>
      <c r="P163">
        <f>IF(K163="","",COUNTIFS(Detalle_Pagos!$E$5:$E$2004,K163,Detalle_Pagos!$J$5:$J$2004,"Si",Detalle_Pagos!$B$5:$B$2004,"&gt;="&amp;$B$3,Detalle_Pagos!$B$5:$B$2004,"&lt;="&amp;$B$4))</f>
        <v/>
      </c>
      <c r="Q163" s="43">
        <f>IF(K163="","",O163*IFERROR(INDEX(Trabajadores!$D$5:$D$204,MATCH(K163,Trabajadores!$B$5:$B$204,0)),0))</f>
        <v/>
      </c>
      <c r="R163" s="43">
        <f>IF(K163="","",N163+Q163)</f>
        <v/>
      </c>
      <c r="S163" s="43">
        <f>IF(K163="","",M163+N163)</f>
        <v/>
      </c>
      <c r="T163">
        <f>IF(K163="","",S163+R163/100000+L163/100000000+(100000-ROW())/1000000000)</f>
        <v/>
      </c>
    </row>
    <row r="164">
      <c r="A164" s="38">
        <f>IFERROR(INDEX($K$8:$K$207,MATCH(LARGE($T$8:$T$207,ROWS($A$8:A164)),$T$8:$T$207,0)),"")</f>
        <v/>
      </c>
      <c r="B164" s="38">
        <f>IFERROR(INDEX($L$8:$L$207,MATCH(LARGE($T$8:$T$207,ROWS($A$8:A164)),$T$8:$T$207,0)),"")</f>
        <v/>
      </c>
      <c r="C164" s="39">
        <f>IFERROR(INDEX($M$8:$M$207,MATCH(LARGE($T$8:$T$207,ROWS($A$8:A164)),$T$8:$T$207,0)),"")</f>
        <v/>
      </c>
      <c r="D164" s="39">
        <f>IFERROR(INDEX($N$8:$N$207,MATCH(LARGE($T$8:$T$207,ROWS($A$8:A164)),$T$8:$T$207,0)),"")</f>
        <v/>
      </c>
      <c r="E164" s="38">
        <f>IFERROR(INDEX($O$8:$O$207,MATCH(LARGE($T$8:$T$207,ROWS($A$8:A164)),$T$8:$T$207,0)),"")</f>
        <v/>
      </c>
      <c r="F164" s="38">
        <f>IFERROR(INDEX($P$8:$P$207,MATCH(LARGE($T$8:$T$207,ROWS($A$8:A164)),$T$8:$T$207,0)),"")</f>
        <v/>
      </c>
      <c r="G164" s="39">
        <f>IFERROR(INDEX($Q$8:$Q$207,MATCH(LARGE($T$8:$T$207,ROWS($A$8:A164)),$T$8:$T$207,0)),"")</f>
        <v/>
      </c>
      <c r="H164" s="39">
        <f>IFERROR(INDEX($R$8:$R$207,MATCH(LARGE($T$8:$T$207,ROWS($A$8:A164)),$T$8:$T$207,0)),"")</f>
        <v/>
      </c>
      <c r="I164" s="39">
        <f>IFERROR(INDEX($S$8:$S$207,MATCH(LARGE($T$8:$T$207,ROWS($A$8:A164)),$T$8:$T$207,0)),"")</f>
        <v/>
      </c>
      <c r="K164">
        <f>IF(Trabajadores!B161="","",Trabajadores!B161)</f>
        <v/>
      </c>
      <c r="L164">
        <f>IF(K164="","",COUNTIFS(Detalle_Pagos!$E$5:$E$2004,K164,Detalle_Pagos!$B$5:$B$2004,"&gt;="&amp;$B$3,Detalle_Pagos!$B$5:$B$2004,"&lt;="&amp;$B$4))</f>
        <v/>
      </c>
      <c r="M164" s="43">
        <f>IF(K164="","",SUMIFS(Detalle_Pagos!$I$5:$I$2004,Detalle_Pagos!$E$5:$E$2004,K164,Detalle_Pagos!$J$5:$J$2004,"Si",Detalle_Pagos!$B$5:$B$2004,"&gt;="&amp;$B$3,Detalle_Pagos!$B$5:$B$2004,"&lt;="&amp;$B$4))</f>
        <v/>
      </c>
      <c r="N164" s="43">
        <f>IF(K164="","",SUMIFS(Detalle_Pagos!$I$5:$I$2004,Detalle_Pagos!$E$5:$E$2004,K164,Detalle_Pagos!$J$5:$J$2004,"No",Detalle_Pagos!$B$5:$B$2004,"&gt;="&amp;$B$3,Detalle_Pagos!$B$5:$B$2004,"&lt;="&amp;$B$4))</f>
        <v/>
      </c>
      <c r="O164">
        <f>IF(K164="","",COUNTIFS(Detalle_Pagos!$E$5:$E$2004,K164,Detalle_Pagos!$J$5:$J$2004,"No",Detalle_Pagos!$B$5:$B$2004,"&gt;="&amp;$B$3,Detalle_Pagos!$B$5:$B$2004,"&lt;="&amp;$B$4))</f>
        <v/>
      </c>
      <c r="P164">
        <f>IF(K164="","",COUNTIFS(Detalle_Pagos!$E$5:$E$2004,K164,Detalle_Pagos!$J$5:$J$2004,"Si",Detalle_Pagos!$B$5:$B$2004,"&gt;="&amp;$B$3,Detalle_Pagos!$B$5:$B$2004,"&lt;="&amp;$B$4))</f>
        <v/>
      </c>
      <c r="Q164" s="43">
        <f>IF(K164="","",O164*IFERROR(INDEX(Trabajadores!$D$5:$D$204,MATCH(K164,Trabajadores!$B$5:$B$204,0)),0))</f>
        <v/>
      </c>
      <c r="R164" s="43">
        <f>IF(K164="","",N164+Q164)</f>
        <v/>
      </c>
      <c r="S164" s="43">
        <f>IF(K164="","",M164+N164)</f>
        <v/>
      </c>
      <c r="T164">
        <f>IF(K164="","",S164+R164/100000+L164/100000000+(100000-ROW())/1000000000)</f>
        <v/>
      </c>
    </row>
    <row r="165">
      <c r="A165" s="36">
        <f>IFERROR(INDEX($K$8:$K$207,MATCH(LARGE($T$8:$T$207,ROWS($A$8:A165)),$T$8:$T$207,0)),"")</f>
        <v/>
      </c>
      <c r="B165" s="36">
        <f>IFERROR(INDEX($L$8:$L$207,MATCH(LARGE($T$8:$T$207,ROWS($A$8:A165)),$T$8:$T$207,0)),"")</f>
        <v/>
      </c>
      <c r="C165" s="37">
        <f>IFERROR(INDEX($M$8:$M$207,MATCH(LARGE($T$8:$T$207,ROWS($A$8:A165)),$T$8:$T$207,0)),"")</f>
        <v/>
      </c>
      <c r="D165" s="37">
        <f>IFERROR(INDEX($N$8:$N$207,MATCH(LARGE($T$8:$T$207,ROWS($A$8:A165)),$T$8:$T$207,0)),"")</f>
        <v/>
      </c>
      <c r="E165" s="36">
        <f>IFERROR(INDEX($O$8:$O$207,MATCH(LARGE($T$8:$T$207,ROWS($A$8:A165)),$T$8:$T$207,0)),"")</f>
        <v/>
      </c>
      <c r="F165" s="36">
        <f>IFERROR(INDEX($P$8:$P$207,MATCH(LARGE($T$8:$T$207,ROWS($A$8:A165)),$T$8:$T$207,0)),"")</f>
        <v/>
      </c>
      <c r="G165" s="37">
        <f>IFERROR(INDEX($Q$8:$Q$207,MATCH(LARGE($T$8:$T$207,ROWS($A$8:A165)),$T$8:$T$207,0)),"")</f>
        <v/>
      </c>
      <c r="H165" s="37">
        <f>IFERROR(INDEX($R$8:$R$207,MATCH(LARGE($T$8:$T$207,ROWS($A$8:A165)),$T$8:$T$207,0)),"")</f>
        <v/>
      </c>
      <c r="I165" s="37">
        <f>IFERROR(INDEX($S$8:$S$207,MATCH(LARGE($T$8:$T$207,ROWS($A$8:A165)),$T$8:$T$207,0)),"")</f>
        <v/>
      </c>
      <c r="K165">
        <f>IF(Trabajadores!B162="","",Trabajadores!B162)</f>
        <v/>
      </c>
      <c r="L165">
        <f>IF(K165="","",COUNTIFS(Detalle_Pagos!$E$5:$E$2004,K165,Detalle_Pagos!$B$5:$B$2004,"&gt;="&amp;$B$3,Detalle_Pagos!$B$5:$B$2004,"&lt;="&amp;$B$4))</f>
        <v/>
      </c>
      <c r="M165" s="43">
        <f>IF(K165="","",SUMIFS(Detalle_Pagos!$I$5:$I$2004,Detalle_Pagos!$E$5:$E$2004,K165,Detalle_Pagos!$J$5:$J$2004,"Si",Detalle_Pagos!$B$5:$B$2004,"&gt;="&amp;$B$3,Detalle_Pagos!$B$5:$B$2004,"&lt;="&amp;$B$4))</f>
        <v/>
      </c>
      <c r="N165" s="43">
        <f>IF(K165="","",SUMIFS(Detalle_Pagos!$I$5:$I$2004,Detalle_Pagos!$E$5:$E$2004,K165,Detalle_Pagos!$J$5:$J$2004,"No",Detalle_Pagos!$B$5:$B$2004,"&gt;="&amp;$B$3,Detalle_Pagos!$B$5:$B$2004,"&lt;="&amp;$B$4))</f>
        <v/>
      </c>
      <c r="O165">
        <f>IF(K165="","",COUNTIFS(Detalle_Pagos!$E$5:$E$2004,K165,Detalle_Pagos!$J$5:$J$2004,"No",Detalle_Pagos!$B$5:$B$2004,"&gt;="&amp;$B$3,Detalle_Pagos!$B$5:$B$2004,"&lt;="&amp;$B$4))</f>
        <v/>
      </c>
      <c r="P165">
        <f>IF(K165="","",COUNTIFS(Detalle_Pagos!$E$5:$E$2004,K165,Detalle_Pagos!$J$5:$J$2004,"Si",Detalle_Pagos!$B$5:$B$2004,"&gt;="&amp;$B$3,Detalle_Pagos!$B$5:$B$2004,"&lt;="&amp;$B$4))</f>
        <v/>
      </c>
      <c r="Q165" s="43">
        <f>IF(K165="","",O165*IFERROR(INDEX(Trabajadores!$D$5:$D$204,MATCH(K165,Trabajadores!$B$5:$B$204,0)),0))</f>
        <v/>
      </c>
      <c r="R165" s="43">
        <f>IF(K165="","",N165+Q165)</f>
        <v/>
      </c>
      <c r="S165" s="43">
        <f>IF(K165="","",M165+N165)</f>
        <v/>
      </c>
      <c r="T165">
        <f>IF(K165="","",S165+R165/100000+L165/100000000+(100000-ROW())/1000000000)</f>
        <v/>
      </c>
    </row>
    <row r="166">
      <c r="A166" s="38">
        <f>IFERROR(INDEX($K$8:$K$207,MATCH(LARGE($T$8:$T$207,ROWS($A$8:A166)),$T$8:$T$207,0)),"")</f>
        <v/>
      </c>
      <c r="B166" s="38">
        <f>IFERROR(INDEX($L$8:$L$207,MATCH(LARGE($T$8:$T$207,ROWS($A$8:A166)),$T$8:$T$207,0)),"")</f>
        <v/>
      </c>
      <c r="C166" s="39">
        <f>IFERROR(INDEX($M$8:$M$207,MATCH(LARGE($T$8:$T$207,ROWS($A$8:A166)),$T$8:$T$207,0)),"")</f>
        <v/>
      </c>
      <c r="D166" s="39">
        <f>IFERROR(INDEX($N$8:$N$207,MATCH(LARGE($T$8:$T$207,ROWS($A$8:A166)),$T$8:$T$207,0)),"")</f>
        <v/>
      </c>
      <c r="E166" s="38">
        <f>IFERROR(INDEX($O$8:$O$207,MATCH(LARGE($T$8:$T$207,ROWS($A$8:A166)),$T$8:$T$207,0)),"")</f>
        <v/>
      </c>
      <c r="F166" s="38">
        <f>IFERROR(INDEX($P$8:$P$207,MATCH(LARGE($T$8:$T$207,ROWS($A$8:A166)),$T$8:$T$207,0)),"")</f>
        <v/>
      </c>
      <c r="G166" s="39">
        <f>IFERROR(INDEX($Q$8:$Q$207,MATCH(LARGE($T$8:$T$207,ROWS($A$8:A166)),$T$8:$T$207,0)),"")</f>
        <v/>
      </c>
      <c r="H166" s="39">
        <f>IFERROR(INDEX($R$8:$R$207,MATCH(LARGE($T$8:$T$207,ROWS($A$8:A166)),$T$8:$T$207,0)),"")</f>
        <v/>
      </c>
      <c r="I166" s="39">
        <f>IFERROR(INDEX($S$8:$S$207,MATCH(LARGE($T$8:$T$207,ROWS($A$8:A166)),$T$8:$T$207,0)),"")</f>
        <v/>
      </c>
      <c r="K166">
        <f>IF(Trabajadores!B163="","",Trabajadores!B163)</f>
        <v/>
      </c>
      <c r="L166">
        <f>IF(K166="","",COUNTIFS(Detalle_Pagos!$E$5:$E$2004,K166,Detalle_Pagos!$B$5:$B$2004,"&gt;="&amp;$B$3,Detalle_Pagos!$B$5:$B$2004,"&lt;="&amp;$B$4))</f>
        <v/>
      </c>
      <c r="M166" s="43">
        <f>IF(K166="","",SUMIFS(Detalle_Pagos!$I$5:$I$2004,Detalle_Pagos!$E$5:$E$2004,K166,Detalle_Pagos!$J$5:$J$2004,"Si",Detalle_Pagos!$B$5:$B$2004,"&gt;="&amp;$B$3,Detalle_Pagos!$B$5:$B$2004,"&lt;="&amp;$B$4))</f>
        <v/>
      </c>
      <c r="N166" s="43">
        <f>IF(K166="","",SUMIFS(Detalle_Pagos!$I$5:$I$2004,Detalle_Pagos!$E$5:$E$2004,K166,Detalle_Pagos!$J$5:$J$2004,"No",Detalle_Pagos!$B$5:$B$2004,"&gt;="&amp;$B$3,Detalle_Pagos!$B$5:$B$2004,"&lt;="&amp;$B$4))</f>
        <v/>
      </c>
      <c r="O166">
        <f>IF(K166="","",COUNTIFS(Detalle_Pagos!$E$5:$E$2004,K166,Detalle_Pagos!$J$5:$J$2004,"No",Detalle_Pagos!$B$5:$B$2004,"&gt;="&amp;$B$3,Detalle_Pagos!$B$5:$B$2004,"&lt;="&amp;$B$4))</f>
        <v/>
      </c>
      <c r="P166">
        <f>IF(K166="","",COUNTIFS(Detalle_Pagos!$E$5:$E$2004,K166,Detalle_Pagos!$J$5:$J$2004,"Si",Detalle_Pagos!$B$5:$B$2004,"&gt;="&amp;$B$3,Detalle_Pagos!$B$5:$B$2004,"&lt;="&amp;$B$4))</f>
        <v/>
      </c>
      <c r="Q166" s="43">
        <f>IF(K166="","",O166*IFERROR(INDEX(Trabajadores!$D$5:$D$204,MATCH(K166,Trabajadores!$B$5:$B$204,0)),0))</f>
        <v/>
      </c>
      <c r="R166" s="43">
        <f>IF(K166="","",N166+Q166)</f>
        <v/>
      </c>
      <c r="S166" s="43">
        <f>IF(K166="","",M166+N166)</f>
        <v/>
      </c>
      <c r="T166">
        <f>IF(K166="","",S166+R166/100000+L166/100000000+(100000-ROW())/1000000000)</f>
        <v/>
      </c>
    </row>
    <row r="167">
      <c r="A167" s="36">
        <f>IFERROR(INDEX($K$8:$K$207,MATCH(LARGE($T$8:$T$207,ROWS($A$8:A167)),$T$8:$T$207,0)),"")</f>
        <v/>
      </c>
      <c r="B167" s="36">
        <f>IFERROR(INDEX($L$8:$L$207,MATCH(LARGE($T$8:$T$207,ROWS($A$8:A167)),$T$8:$T$207,0)),"")</f>
        <v/>
      </c>
      <c r="C167" s="37">
        <f>IFERROR(INDEX($M$8:$M$207,MATCH(LARGE($T$8:$T$207,ROWS($A$8:A167)),$T$8:$T$207,0)),"")</f>
        <v/>
      </c>
      <c r="D167" s="37">
        <f>IFERROR(INDEX($N$8:$N$207,MATCH(LARGE($T$8:$T$207,ROWS($A$8:A167)),$T$8:$T$207,0)),"")</f>
        <v/>
      </c>
      <c r="E167" s="36">
        <f>IFERROR(INDEX($O$8:$O$207,MATCH(LARGE($T$8:$T$207,ROWS($A$8:A167)),$T$8:$T$207,0)),"")</f>
        <v/>
      </c>
      <c r="F167" s="36">
        <f>IFERROR(INDEX($P$8:$P$207,MATCH(LARGE($T$8:$T$207,ROWS($A$8:A167)),$T$8:$T$207,0)),"")</f>
        <v/>
      </c>
      <c r="G167" s="37">
        <f>IFERROR(INDEX($Q$8:$Q$207,MATCH(LARGE($T$8:$T$207,ROWS($A$8:A167)),$T$8:$T$207,0)),"")</f>
        <v/>
      </c>
      <c r="H167" s="37">
        <f>IFERROR(INDEX($R$8:$R$207,MATCH(LARGE($T$8:$T$207,ROWS($A$8:A167)),$T$8:$T$207,0)),"")</f>
        <v/>
      </c>
      <c r="I167" s="37">
        <f>IFERROR(INDEX($S$8:$S$207,MATCH(LARGE($T$8:$T$207,ROWS($A$8:A167)),$T$8:$T$207,0)),"")</f>
        <v/>
      </c>
      <c r="K167">
        <f>IF(Trabajadores!B164="","",Trabajadores!B164)</f>
        <v/>
      </c>
      <c r="L167">
        <f>IF(K167="","",COUNTIFS(Detalle_Pagos!$E$5:$E$2004,K167,Detalle_Pagos!$B$5:$B$2004,"&gt;="&amp;$B$3,Detalle_Pagos!$B$5:$B$2004,"&lt;="&amp;$B$4))</f>
        <v/>
      </c>
      <c r="M167" s="43">
        <f>IF(K167="","",SUMIFS(Detalle_Pagos!$I$5:$I$2004,Detalle_Pagos!$E$5:$E$2004,K167,Detalle_Pagos!$J$5:$J$2004,"Si",Detalle_Pagos!$B$5:$B$2004,"&gt;="&amp;$B$3,Detalle_Pagos!$B$5:$B$2004,"&lt;="&amp;$B$4))</f>
        <v/>
      </c>
      <c r="N167" s="43">
        <f>IF(K167="","",SUMIFS(Detalle_Pagos!$I$5:$I$2004,Detalle_Pagos!$E$5:$E$2004,K167,Detalle_Pagos!$J$5:$J$2004,"No",Detalle_Pagos!$B$5:$B$2004,"&gt;="&amp;$B$3,Detalle_Pagos!$B$5:$B$2004,"&lt;="&amp;$B$4))</f>
        <v/>
      </c>
      <c r="O167">
        <f>IF(K167="","",COUNTIFS(Detalle_Pagos!$E$5:$E$2004,K167,Detalle_Pagos!$J$5:$J$2004,"No",Detalle_Pagos!$B$5:$B$2004,"&gt;="&amp;$B$3,Detalle_Pagos!$B$5:$B$2004,"&lt;="&amp;$B$4))</f>
        <v/>
      </c>
      <c r="P167">
        <f>IF(K167="","",COUNTIFS(Detalle_Pagos!$E$5:$E$2004,K167,Detalle_Pagos!$J$5:$J$2004,"Si",Detalle_Pagos!$B$5:$B$2004,"&gt;="&amp;$B$3,Detalle_Pagos!$B$5:$B$2004,"&lt;="&amp;$B$4))</f>
        <v/>
      </c>
      <c r="Q167" s="43">
        <f>IF(K167="","",O167*IFERROR(INDEX(Trabajadores!$D$5:$D$204,MATCH(K167,Trabajadores!$B$5:$B$204,0)),0))</f>
        <v/>
      </c>
      <c r="R167" s="43">
        <f>IF(K167="","",N167+Q167)</f>
        <v/>
      </c>
      <c r="S167" s="43">
        <f>IF(K167="","",M167+N167)</f>
        <v/>
      </c>
      <c r="T167">
        <f>IF(K167="","",S167+R167/100000+L167/100000000+(100000-ROW())/1000000000)</f>
        <v/>
      </c>
    </row>
    <row r="168">
      <c r="A168" s="38">
        <f>IFERROR(INDEX($K$8:$K$207,MATCH(LARGE($T$8:$T$207,ROWS($A$8:A168)),$T$8:$T$207,0)),"")</f>
        <v/>
      </c>
      <c r="B168" s="38">
        <f>IFERROR(INDEX($L$8:$L$207,MATCH(LARGE($T$8:$T$207,ROWS($A$8:A168)),$T$8:$T$207,0)),"")</f>
        <v/>
      </c>
      <c r="C168" s="39">
        <f>IFERROR(INDEX($M$8:$M$207,MATCH(LARGE($T$8:$T$207,ROWS($A$8:A168)),$T$8:$T$207,0)),"")</f>
        <v/>
      </c>
      <c r="D168" s="39">
        <f>IFERROR(INDEX($N$8:$N$207,MATCH(LARGE($T$8:$T$207,ROWS($A$8:A168)),$T$8:$T$207,0)),"")</f>
        <v/>
      </c>
      <c r="E168" s="38">
        <f>IFERROR(INDEX($O$8:$O$207,MATCH(LARGE($T$8:$T$207,ROWS($A$8:A168)),$T$8:$T$207,0)),"")</f>
        <v/>
      </c>
      <c r="F168" s="38">
        <f>IFERROR(INDEX($P$8:$P$207,MATCH(LARGE($T$8:$T$207,ROWS($A$8:A168)),$T$8:$T$207,0)),"")</f>
        <v/>
      </c>
      <c r="G168" s="39">
        <f>IFERROR(INDEX($Q$8:$Q$207,MATCH(LARGE($T$8:$T$207,ROWS($A$8:A168)),$T$8:$T$207,0)),"")</f>
        <v/>
      </c>
      <c r="H168" s="39">
        <f>IFERROR(INDEX($R$8:$R$207,MATCH(LARGE($T$8:$T$207,ROWS($A$8:A168)),$T$8:$T$207,0)),"")</f>
        <v/>
      </c>
      <c r="I168" s="39">
        <f>IFERROR(INDEX($S$8:$S$207,MATCH(LARGE($T$8:$T$207,ROWS($A$8:A168)),$T$8:$T$207,0)),"")</f>
        <v/>
      </c>
      <c r="K168">
        <f>IF(Trabajadores!B165="","",Trabajadores!B165)</f>
        <v/>
      </c>
      <c r="L168">
        <f>IF(K168="","",COUNTIFS(Detalle_Pagos!$E$5:$E$2004,K168,Detalle_Pagos!$B$5:$B$2004,"&gt;="&amp;$B$3,Detalle_Pagos!$B$5:$B$2004,"&lt;="&amp;$B$4))</f>
        <v/>
      </c>
      <c r="M168" s="43">
        <f>IF(K168="","",SUMIFS(Detalle_Pagos!$I$5:$I$2004,Detalle_Pagos!$E$5:$E$2004,K168,Detalle_Pagos!$J$5:$J$2004,"Si",Detalle_Pagos!$B$5:$B$2004,"&gt;="&amp;$B$3,Detalle_Pagos!$B$5:$B$2004,"&lt;="&amp;$B$4))</f>
        <v/>
      </c>
      <c r="N168" s="43">
        <f>IF(K168="","",SUMIFS(Detalle_Pagos!$I$5:$I$2004,Detalle_Pagos!$E$5:$E$2004,K168,Detalle_Pagos!$J$5:$J$2004,"No",Detalle_Pagos!$B$5:$B$2004,"&gt;="&amp;$B$3,Detalle_Pagos!$B$5:$B$2004,"&lt;="&amp;$B$4))</f>
        <v/>
      </c>
      <c r="O168">
        <f>IF(K168="","",COUNTIFS(Detalle_Pagos!$E$5:$E$2004,K168,Detalle_Pagos!$J$5:$J$2004,"No",Detalle_Pagos!$B$5:$B$2004,"&gt;="&amp;$B$3,Detalle_Pagos!$B$5:$B$2004,"&lt;="&amp;$B$4))</f>
        <v/>
      </c>
      <c r="P168">
        <f>IF(K168="","",COUNTIFS(Detalle_Pagos!$E$5:$E$2004,K168,Detalle_Pagos!$J$5:$J$2004,"Si",Detalle_Pagos!$B$5:$B$2004,"&gt;="&amp;$B$3,Detalle_Pagos!$B$5:$B$2004,"&lt;="&amp;$B$4))</f>
        <v/>
      </c>
      <c r="Q168" s="43">
        <f>IF(K168="","",O168*IFERROR(INDEX(Trabajadores!$D$5:$D$204,MATCH(K168,Trabajadores!$B$5:$B$204,0)),0))</f>
        <v/>
      </c>
      <c r="R168" s="43">
        <f>IF(K168="","",N168+Q168)</f>
        <v/>
      </c>
      <c r="S168" s="43">
        <f>IF(K168="","",M168+N168)</f>
        <v/>
      </c>
      <c r="T168">
        <f>IF(K168="","",S168+R168/100000+L168/100000000+(100000-ROW())/1000000000)</f>
        <v/>
      </c>
    </row>
    <row r="169">
      <c r="A169" s="36">
        <f>IFERROR(INDEX($K$8:$K$207,MATCH(LARGE($T$8:$T$207,ROWS($A$8:A169)),$T$8:$T$207,0)),"")</f>
        <v/>
      </c>
      <c r="B169" s="36">
        <f>IFERROR(INDEX($L$8:$L$207,MATCH(LARGE($T$8:$T$207,ROWS($A$8:A169)),$T$8:$T$207,0)),"")</f>
        <v/>
      </c>
      <c r="C169" s="37">
        <f>IFERROR(INDEX($M$8:$M$207,MATCH(LARGE($T$8:$T$207,ROWS($A$8:A169)),$T$8:$T$207,0)),"")</f>
        <v/>
      </c>
      <c r="D169" s="37">
        <f>IFERROR(INDEX($N$8:$N$207,MATCH(LARGE($T$8:$T$207,ROWS($A$8:A169)),$T$8:$T$207,0)),"")</f>
        <v/>
      </c>
      <c r="E169" s="36">
        <f>IFERROR(INDEX($O$8:$O$207,MATCH(LARGE($T$8:$T$207,ROWS($A$8:A169)),$T$8:$T$207,0)),"")</f>
        <v/>
      </c>
      <c r="F169" s="36">
        <f>IFERROR(INDEX($P$8:$P$207,MATCH(LARGE($T$8:$T$207,ROWS($A$8:A169)),$T$8:$T$207,0)),"")</f>
        <v/>
      </c>
      <c r="G169" s="37">
        <f>IFERROR(INDEX($Q$8:$Q$207,MATCH(LARGE($T$8:$T$207,ROWS($A$8:A169)),$T$8:$T$207,0)),"")</f>
        <v/>
      </c>
      <c r="H169" s="37">
        <f>IFERROR(INDEX($R$8:$R$207,MATCH(LARGE($T$8:$T$207,ROWS($A$8:A169)),$T$8:$T$207,0)),"")</f>
        <v/>
      </c>
      <c r="I169" s="37">
        <f>IFERROR(INDEX($S$8:$S$207,MATCH(LARGE($T$8:$T$207,ROWS($A$8:A169)),$T$8:$T$207,0)),"")</f>
        <v/>
      </c>
      <c r="K169">
        <f>IF(Trabajadores!B166="","",Trabajadores!B166)</f>
        <v/>
      </c>
      <c r="L169">
        <f>IF(K169="","",COUNTIFS(Detalle_Pagos!$E$5:$E$2004,K169,Detalle_Pagos!$B$5:$B$2004,"&gt;="&amp;$B$3,Detalle_Pagos!$B$5:$B$2004,"&lt;="&amp;$B$4))</f>
        <v/>
      </c>
      <c r="M169" s="43">
        <f>IF(K169="","",SUMIFS(Detalle_Pagos!$I$5:$I$2004,Detalle_Pagos!$E$5:$E$2004,K169,Detalle_Pagos!$J$5:$J$2004,"Si",Detalle_Pagos!$B$5:$B$2004,"&gt;="&amp;$B$3,Detalle_Pagos!$B$5:$B$2004,"&lt;="&amp;$B$4))</f>
        <v/>
      </c>
      <c r="N169" s="43">
        <f>IF(K169="","",SUMIFS(Detalle_Pagos!$I$5:$I$2004,Detalle_Pagos!$E$5:$E$2004,K169,Detalle_Pagos!$J$5:$J$2004,"No",Detalle_Pagos!$B$5:$B$2004,"&gt;="&amp;$B$3,Detalle_Pagos!$B$5:$B$2004,"&lt;="&amp;$B$4))</f>
        <v/>
      </c>
      <c r="O169">
        <f>IF(K169="","",COUNTIFS(Detalle_Pagos!$E$5:$E$2004,K169,Detalle_Pagos!$J$5:$J$2004,"No",Detalle_Pagos!$B$5:$B$2004,"&gt;="&amp;$B$3,Detalle_Pagos!$B$5:$B$2004,"&lt;="&amp;$B$4))</f>
        <v/>
      </c>
      <c r="P169">
        <f>IF(K169="","",COUNTIFS(Detalle_Pagos!$E$5:$E$2004,K169,Detalle_Pagos!$J$5:$J$2004,"Si",Detalle_Pagos!$B$5:$B$2004,"&gt;="&amp;$B$3,Detalle_Pagos!$B$5:$B$2004,"&lt;="&amp;$B$4))</f>
        <v/>
      </c>
      <c r="Q169" s="43">
        <f>IF(K169="","",O169*IFERROR(INDEX(Trabajadores!$D$5:$D$204,MATCH(K169,Trabajadores!$B$5:$B$204,0)),0))</f>
        <v/>
      </c>
      <c r="R169" s="43">
        <f>IF(K169="","",N169+Q169)</f>
        <v/>
      </c>
      <c r="S169" s="43">
        <f>IF(K169="","",M169+N169)</f>
        <v/>
      </c>
      <c r="T169">
        <f>IF(K169="","",S169+R169/100000+L169/100000000+(100000-ROW())/1000000000)</f>
        <v/>
      </c>
    </row>
    <row r="170">
      <c r="A170" s="38">
        <f>IFERROR(INDEX($K$8:$K$207,MATCH(LARGE($T$8:$T$207,ROWS($A$8:A170)),$T$8:$T$207,0)),"")</f>
        <v/>
      </c>
      <c r="B170" s="38">
        <f>IFERROR(INDEX($L$8:$L$207,MATCH(LARGE($T$8:$T$207,ROWS($A$8:A170)),$T$8:$T$207,0)),"")</f>
        <v/>
      </c>
      <c r="C170" s="39">
        <f>IFERROR(INDEX($M$8:$M$207,MATCH(LARGE($T$8:$T$207,ROWS($A$8:A170)),$T$8:$T$207,0)),"")</f>
        <v/>
      </c>
      <c r="D170" s="39">
        <f>IFERROR(INDEX($N$8:$N$207,MATCH(LARGE($T$8:$T$207,ROWS($A$8:A170)),$T$8:$T$207,0)),"")</f>
        <v/>
      </c>
      <c r="E170" s="38">
        <f>IFERROR(INDEX($O$8:$O$207,MATCH(LARGE($T$8:$T$207,ROWS($A$8:A170)),$T$8:$T$207,0)),"")</f>
        <v/>
      </c>
      <c r="F170" s="38">
        <f>IFERROR(INDEX($P$8:$P$207,MATCH(LARGE($T$8:$T$207,ROWS($A$8:A170)),$T$8:$T$207,0)),"")</f>
        <v/>
      </c>
      <c r="G170" s="39">
        <f>IFERROR(INDEX($Q$8:$Q$207,MATCH(LARGE($T$8:$T$207,ROWS($A$8:A170)),$T$8:$T$207,0)),"")</f>
        <v/>
      </c>
      <c r="H170" s="39">
        <f>IFERROR(INDEX($R$8:$R$207,MATCH(LARGE($T$8:$T$207,ROWS($A$8:A170)),$T$8:$T$207,0)),"")</f>
        <v/>
      </c>
      <c r="I170" s="39">
        <f>IFERROR(INDEX($S$8:$S$207,MATCH(LARGE($T$8:$T$207,ROWS($A$8:A170)),$T$8:$T$207,0)),"")</f>
        <v/>
      </c>
      <c r="K170">
        <f>IF(Trabajadores!B167="","",Trabajadores!B167)</f>
        <v/>
      </c>
      <c r="L170">
        <f>IF(K170="","",COUNTIFS(Detalle_Pagos!$E$5:$E$2004,K170,Detalle_Pagos!$B$5:$B$2004,"&gt;="&amp;$B$3,Detalle_Pagos!$B$5:$B$2004,"&lt;="&amp;$B$4))</f>
        <v/>
      </c>
      <c r="M170" s="43">
        <f>IF(K170="","",SUMIFS(Detalle_Pagos!$I$5:$I$2004,Detalle_Pagos!$E$5:$E$2004,K170,Detalle_Pagos!$J$5:$J$2004,"Si",Detalle_Pagos!$B$5:$B$2004,"&gt;="&amp;$B$3,Detalle_Pagos!$B$5:$B$2004,"&lt;="&amp;$B$4))</f>
        <v/>
      </c>
      <c r="N170" s="43">
        <f>IF(K170="","",SUMIFS(Detalle_Pagos!$I$5:$I$2004,Detalle_Pagos!$E$5:$E$2004,K170,Detalle_Pagos!$J$5:$J$2004,"No",Detalle_Pagos!$B$5:$B$2004,"&gt;="&amp;$B$3,Detalle_Pagos!$B$5:$B$2004,"&lt;="&amp;$B$4))</f>
        <v/>
      </c>
      <c r="O170">
        <f>IF(K170="","",COUNTIFS(Detalle_Pagos!$E$5:$E$2004,K170,Detalle_Pagos!$J$5:$J$2004,"No",Detalle_Pagos!$B$5:$B$2004,"&gt;="&amp;$B$3,Detalle_Pagos!$B$5:$B$2004,"&lt;="&amp;$B$4))</f>
        <v/>
      </c>
      <c r="P170">
        <f>IF(K170="","",COUNTIFS(Detalle_Pagos!$E$5:$E$2004,K170,Detalle_Pagos!$J$5:$J$2004,"Si",Detalle_Pagos!$B$5:$B$2004,"&gt;="&amp;$B$3,Detalle_Pagos!$B$5:$B$2004,"&lt;="&amp;$B$4))</f>
        <v/>
      </c>
      <c r="Q170" s="43">
        <f>IF(K170="","",O170*IFERROR(INDEX(Trabajadores!$D$5:$D$204,MATCH(K170,Trabajadores!$B$5:$B$204,0)),0))</f>
        <v/>
      </c>
      <c r="R170" s="43">
        <f>IF(K170="","",N170+Q170)</f>
        <v/>
      </c>
      <c r="S170" s="43">
        <f>IF(K170="","",M170+N170)</f>
        <v/>
      </c>
      <c r="T170">
        <f>IF(K170="","",S170+R170/100000+L170/100000000+(100000-ROW())/1000000000)</f>
        <v/>
      </c>
    </row>
    <row r="171">
      <c r="A171" s="36">
        <f>IFERROR(INDEX($K$8:$K$207,MATCH(LARGE($T$8:$T$207,ROWS($A$8:A171)),$T$8:$T$207,0)),"")</f>
        <v/>
      </c>
      <c r="B171" s="36">
        <f>IFERROR(INDEX($L$8:$L$207,MATCH(LARGE($T$8:$T$207,ROWS($A$8:A171)),$T$8:$T$207,0)),"")</f>
        <v/>
      </c>
      <c r="C171" s="37">
        <f>IFERROR(INDEX($M$8:$M$207,MATCH(LARGE($T$8:$T$207,ROWS($A$8:A171)),$T$8:$T$207,0)),"")</f>
        <v/>
      </c>
      <c r="D171" s="37">
        <f>IFERROR(INDEX($N$8:$N$207,MATCH(LARGE($T$8:$T$207,ROWS($A$8:A171)),$T$8:$T$207,0)),"")</f>
        <v/>
      </c>
      <c r="E171" s="36">
        <f>IFERROR(INDEX($O$8:$O$207,MATCH(LARGE($T$8:$T$207,ROWS($A$8:A171)),$T$8:$T$207,0)),"")</f>
        <v/>
      </c>
      <c r="F171" s="36">
        <f>IFERROR(INDEX($P$8:$P$207,MATCH(LARGE($T$8:$T$207,ROWS($A$8:A171)),$T$8:$T$207,0)),"")</f>
        <v/>
      </c>
      <c r="G171" s="37">
        <f>IFERROR(INDEX($Q$8:$Q$207,MATCH(LARGE($T$8:$T$207,ROWS($A$8:A171)),$T$8:$T$207,0)),"")</f>
        <v/>
      </c>
      <c r="H171" s="37">
        <f>IFERROR(INDEX($R$8:$R$207,MATCH(LARGE($T$8:$T$207,ROWS($A$8:A171)),$T$8:$T$207,0)),"")</f>
        <v/>
      </c>
      <c r="I171" s="37">
        <f>IFERROR(INDEX($S$8:$S$207,MATCH(LARGE($T$8:$T$207,ROWS($A$8:A171)),$T$8:$T$207,0)),"")</f>
        <v/>
      </c>
      <c r="K171">
        <f>IF(Trabajadores!B168="","",Trabajadores!B168)</f>
        <v/>
      </c>
      <c r="L171">
        <f>IF(K171="","",COUNTIFS(Detalle_Pagos!$E$5:$E$2004,K171,Detalle_Pagos!$B$5:$B$2004,"&gt;="&amp;$B$3,Detalle_Pagos!$B$5:$B$2004,"&lt;="&amp;$B$4))</f>
        <v/>
      </c>
      <c r="M171" s="43">
        <f>IF(K171="","",SUMIFS(Detalle_Pagos!$I$5:$I$2004,Detalle_Pagos!$E$5:$E$2004,K171,Detalle_Pagos!$J$5:$J$2004,"Si",Detalle_Pagos!$B$5:$B$2004,"&gt;="&amp;$B$3,Detalle_Pagos!$B$5:$B$2004,"&lt;="&amp;$B$4))</f>
        <v/>
      </c>
      <c r="N171" s="43">
        <f>IF(K171="","",SUMIFS(Detalle_Pagos!$I$5:$I$2004,Detalle_Pagos!$E$5:$E$2004,K171,Detalle_Pagos!$J$5:$J$2004,"No",Detalle_Pagos!$B$5:$B$2004,"&gt;="&amp;$B$3,Detalle_Pagos!$B$5:$B$2004,"&lt;="&amp;$B$4))</f>
        <v/>
      </c>
      <c r="O171">
        <f>IF(K171="","",COUNTIFS(Detalle_Pagos!$E$5:$E$2004,K171,Detalle_Pagos!$J$5:$J$2004,"No",Detalle_Pagos!$B$5:$B$2004,"&gt;="&amp;$B$3,Detalle_Pagos!$B$5:$B$2004,"&lt;="&amp;$B$4))</f>
        <v/>
      </c>
      <c r="P171">
        <f>IF(K171="","",COUNTIFS(Detalle_Pagos!$E$5:$E$2004,K171,Detalle_Pagos!$J$5:$J$2004,"Si",Detalle_Pagos!$B$5:$B$2004,"&gt;="&amp;$B$3,Detalle_Pagos!$B$5:$B$2004,"&lt;="&amp;$B$4))</f>
        <v/>
      </c>
      <c r="Q171" s="43">
        <f>IF(K171="","",O171*IFERROR(INDEX(Trabajadores!$D$5:$D$204,MATCH(K171,Trabajadores!$B$5:$B$204,0)),0))</f>
        <v/>
      </c>
      <c r="R171" s="43">
        <f>IF(K171="","",N171+Q171)</f>
        <v/>
      </c>
      <c r="S171" s="43">
        <f>IF(K171="","",M171+N171)</f>
        <v/>
      </c>
      <c r="T171">
        <f>IF(K171="","",S171+R171/100000+L171/100000000+(100000-ROW())/1000000000)</f>
        <v/>
      </c>
    </row>
    <row r="172">
      <c r="A172" s="38">
        <f>IFERROR(INDEX($K$8:$K$207,MATCH(LARGE($T$8:$T$207,ROWS($A$8:A172)),$T$8:$T$207,0)),"")</f>
        <v/>
      </c>
      <c r="B172" s="38">
        <f>IFERROR(INDEX($L$8:$L$207,MATCH(LARGE($T$8:$T$207,ROWS($A$8:A172)),$T$8:$T$207,0)),"")</f>
        <v/>
      </c>
      <c r="C172" s="39">
        <f>IFERROR(INDEX($M$8:$M$207,MATCH(LARGE($T$8:$T$207,ROWS($A$8:A172)),$T$8:$T$207,0)),"")</f>
        <v/>
      </c>
      <c r="D172" s="39">
        <f>IFERROR(INDEX($N$8:$N$207,MATCH(LARGE($T$8:$T$207,ROWS($A$8:A172)),$T$8:$T$207,0)),"")</f>
        <v/>
      </c>
      <c r="E172" s="38">
        <f>IFERROR(INDEX($O$8:$O$207,MATCH(LARGE($T$8:$T$207,ROWS($A$8:A172)),$T$8:$T$207,0)),"")</f>
        <v/>
      </c>
      <c r="F172" s="38">
        <f>IFERROR(INDEX($P$8:$P$207,MATCH(LARGE($T$8:$T$207,ROWS($A$8:A172)),$T$8:$T$207,0)),"")</f>
        <v/>
      </c>
      <c r="G172" s="39">
        <f>IFERROR(INDEX($Q$8:$Q$207,MATCH(LARGE($T$8:$T$207,ROWS($A$8:A172)),$T$8:$T$207,0)),"")</f>
        <v/>
      </c>
      <c r="H172" s="39">
        <f>IFERROR(INDEX($R$8:$R$207,MATCH(LARGE($T$8:$T$207,ROWS($A$8:A172)),$T$8:$T$207,0)),"")</f>
        <v/>
      </c>
      <c r="I172" s="39">
        <f>IFERROR(INDEX($S$8:$S$207,MATCH(LARGE($T$8:$T$207,ROWS($A$8:A172)),$T$8:$T$207,0)),"")</f>
        <v/>
      </c>
      <c r="K172">
        <f>IF(Trabajadores!B169="","",Trabajadores!B169)</f>
        <v/>
      </c>
      <c r="L172">
        <f>IF(K172="","",COUNTIFS(Detalle_Pagos!$E$5:$E$2004,K172,Detalle_Pagos!$B$5:$B$2004,"&gt;="&amp;$B$3,Detalle_Pagos!$B$5:$B$2004,"&lt;="&amp;$B$4))</f>
        <v/>
      </c>
      <c r="M172" s="43">
        <f>IF(K172="","",SUMIFS(Detalle_Pagos!$I$5:$I$2004,Detalle_Pagos!$E$5:$E$2004,K172,Detalle_Pagos!$J$5:$J$2004,"Si",Detalle_Pagos!$B$5:$B$2004,"&gt;="&amp;$B$3,Detalle_Pagos!$B$5:$B$2004,"&lt;="&amp;$B$4))</f>
        <v/>
      </c>
      <c r="N172" s="43">
        <f>IF(K172="","",SUMIFS(Detalle_Pagos!$I$5:$I$2004,Detalle_Pagos!$E$5:$E$2004,K172,Detalle_Pagos!$J$5:$J$2004,"No",Detalle_Pagos!$B$5:$B$2004,"&gt;="&amp;$B$3,Detalle_Pagos!$B$5:$B$2004,"&lt;="&amp;$B$4))</f>
        <v/>
      </c>
      <c r="O172">
        <f>IF(K172="","",COUNTIFS(Detalle_Pagos!$E$5:$E$2004,K172,Detalle_Pagos!$J$5:$J$2004,"No",Detalle_Pagos!$B$5:$B$2004,"&gt;="&amp;$B$3,Detalle_Pagos!$B$5:$B$2004,"&lt;="&amp;$B$4))</f>
        <v/>
      </c>
      <c r="P172">
        <f>IF(K172="","",COUNTIFS(Detalle_Pagos!$E$5:$E$2004,K172,Detalle_Pagos!$J$5:$J$2004,"Si",Detalle_Pagos!$B$5:$B$2004,"&gt;="&amp;$B$3,Detalle_Pagos!$B$5:$B$2004,"&lt;="&amp;$B$4))</f>
        <v/>
      </c>
      <c r="Q172" s="43">
        <f>IF(K172="","",O172*IFERROR(INDEX(Trabajadores!$D$5:$D$204,MATCH(K172,Trabajadores!$B$5:$B$204,0)),0))</f>
        <v/>
      </c>
      <c r="R172" s="43">
        <f>IF(K172="","",N172+Q172)</f>
        <v/>
      </c>
      <c r="S172" s="43">
        <f>IF(K172="","",M172+N172)</f>
        <v/>
      </c>
      <c r="T172">
        <f>IF(K172="","",S172+R172/100000+L172/100000000+(100000-ROW())/1000000000)</f>
        <v/>
      </c>
    </row>
    <row r="173">
      <c r="A173" s="36">
        <f>IFERROR(INDEX($K$8:$K$207,MATCH(LARGE($T$8:$T$207,ROWS($A$8:A173)),$T$8:$T$207,0)),"")</f>
        <v/>
      </c>
      <c r="B173" s="36">
        <f>IFERROR(INDEX($L$8:$L$207,MATCH(LARGE($T$8:$T$207,ROWS($A$8:A173)),$T$8:$T$207,0)),"")</f>
        <v/>
      </c>
      <c r="C173" s="37">
        <f>IFERROR(INDEX($M$8:$M$207,MATCH(LARGE($T$8:$T$207,ROWS($A$8:A173)),$T$8:$T$207,0)),"")</f>
        <v/>
      </c>
      <c r="D173" s="37">
        <f>IFERROR(INDEX($N$8:$N$207,MATCH(LARGE($T$8:$T$207,ROWS($A$8:A173)),$T$8:$T$207,0)),"")</f>
        <v/>
      </c>
      <c r="E173" s="36">
        <f>IFERROR(INDEX($O$8:$O$207,MATCH(LARGE($T$8:$T$207,ROWS($A$8:A173)),$T$8:$T$207,0)),"")</f>
        <v/>
      </c>
      <c r="F173" s="36">
        <f>IFERROR(INDEX($P$8:$P$207,MATCH(LARGE($T$8:$T$207,ROWS($A$8:A173)),$T$8:$T$207,0)),"")</f>
        <v/>
      </c>
      <c r="G173" s="37">
        <f>IFERROR(INDEX($Q$8:$Q$207,MATCH(LARGE($T$8:$T$207,ROWS($A$8:A173)),$T$8:$T$207,0)),"")</f>
        <v/>
      </c>
      <c r="H173" s="37">
        <f>IFERROR(INDEX($R$8:$R$207,MATCH(LARGE($T$8:$T$207,ROWS($A$8:A173)),$T$8:$T$207,0)),"")</f>
        <v/>
      </c>
      <c r="I173" s="37">
        <f>IFERROR(INDEX($S$8:$S$207,MATCH(LARGE($T$8:$T$207,ROWS($A$8:A173)),$T$8:$T$207,0)),"")</f>
        <v/>
      </c>
      <c r="K173">
        <f>IF(Trabajadores!B170="","",Trabajadores!B170)</f>
        <v/>
      </c>
      <c r="L173">
        <f>IF(K173="","",COUNTIFS(Detalle_Pagos!$E$5:$E$2004,K173,Detalle_Pagos!$B$5:$B$2004,"&gt;="&amp;$B$3,Detalle_Pagos!$B$5:$B$2004,"&lt;="&amp;$B$4))</f>
        <v/>
      </c>
      <c r="M173" s="43">
        <f>IF(K173="","",SUMIFS(Detalle_Pagos!$I$5:$I$2004,Detalle_Pagos!$E$5:$E$2004,K173,Detalle_Pagos!$J$5:$J$2004,"Si",Detalle_Pagos!$B$5:$B$2004,"&gt;="&amp;$B$3,Detalle_Pagos!$B$5:$B$2004,"&lt;="&amp;$B$4))</f>
        <v/>
      </c>
      <c r="N173" s="43">
        <f>IF(K173="","",SUMIFS(Detalle_Pagos!$I$5:$I$2004,Detalle_Pagos!$E$5:$E$2004,K173,Detalle_Pagos!$J$5:$J$2004,"No",Detalle_Pagos!$B$5:$B$2004,"&gt;="&amp;$B$3,Detalle_Pagos!$B$5:$B$2004,"&lt;="&amp;$B$4))</f>
        <v/>
      </c>
      <c r="O173">
        <f>IF(K173="","",COUNTIFS(Detalle_Pagos!$E$5:$E$2004,K173,Detalle_Pagos!$J$5:$J$2004,"No",Detalle_Pagos!$B$5:$B$2004,"&gt;="&amp;$B$3,Detalle_Pagos!$B$5:$B$2004,"&lt;="&amp;$B$4))</f>
        <v/>
      </c>
      <c r="P173">
        <f>IF(K173="","",COUNTIFS(Detalle_Pagos!$E$5:$E$2004,K173,Detalle_Pagos!$J$5:$J$2004,"Si",Detalle_Pagos!$B$5:$B$2004,"&gt;="&amp;$B$3,Detalle_Pagos!$B$5:$B$2004,"&lt;="&amp;$B$4))</f>
        <v/>
      </c>
      <c r="Q173" s="43">
        <f>IF(K173="","",O173*IFERROR(INDEX(Trabajadores!$D$5:$D$204,MATCH(K173,Trabajadores!$B$5:$B$204,0)),0))</f>
        <v/>
      </c>
      <c r="R173" s="43">
        <f>IF(K173="","",N173+Q173)</f>
        <v/>
      </c>
      <c r="S173" s="43">
        <f>IF(K173="","",M173+N173)</f>
        <v/>
      </c>
      <c r="T173">
        <f>IF(K173="","",S173+R173/100000+L173/100000000+(100000-ROW())/1000000000)</f>
        <v/>
      </c>
    </row>
    <row r="174">
      <c r="A174" s="38">
        <f>IFERROR(INDEX($K$8:$K$207,MATCH(LARGE($T$8:$T$207,ROWS($A$8:A174)),$T$8:$T$207,0)),"")</f>
        <v/>
      </c>
      <c r="B174" s="38">
        <f>IFERROR(INDEX($L$8:$L$207,MATCH(LARGE($T$8:$T$207,ROWS($A$8:A174)),$T$8:$T$207,0)),"")</f>
        <v/>
      </c>
      <c r="C174" s="39">
        <f>IFERROR(INDEX($M$8:$M$207,MATCH(LARGE($T$8:$T$207,ROWS($A$8:A174)),$T$8:$T$207,0)),"")</f>
        <v/>
      </c>
      <c r="D174" s="39">
        <f>IFERROR(INDEX($N$8:$N$207,MATCH(LARGE($T$8:$T$207,ROWS($A$8:A174)),$T$8:$T$207,0)),"")</f>
        <v/>
      </c>
      <c r="E174" s="38">
        <f>IFERROR(INDEX($O$8:$O$207,MATCH(LARGE($T$8:$T$207,ROWS($A$8:A174)),$T$8:$T$207,0)),"")</f>
        <v/>
      </c>
      <c r="F174" s="38">
        <f>IFERROR(INDEX($P$8:$P$207,MATCH(LARGE($T$8:$T$207,ROWS($A$8:A174)),$T$8:$T$207,0)),"")</f>
        <v/>
      </c>
      <c r="G174" s="39">
        <f>IFERROR(INDEX($Q$8:$Q$207,MATCH(LARGE($T$8:$T$207,ROWS($A$8:A174)),$T$8:$T$207,0)),"")</f>
        <v/>
      </c>
      <c r="H174" s="39">
        <f>IFERROR(INDEX($R$8:$R$207,MATCH(LARGE($T$8:$T$207,ROWS($A$8:A174)),$T$8:$T$207,0)),"")</f>
        <v/>
      </c>
      <c r="I174" s="39">
        <f>IFERROR(INDEX($S$8:$S$207,MATCH(LARGE($T$8:$T$207,ROWS($A$8:A174)),$T$8:$T$207,0)),"")</f>
        <v/>
      </c>
      <c r="K174">
        <f>IF(Trabajadores!B171="","",Trabajadores!B171)</f>
        <v/>
      </c>
      <c r="L174">
        <f>IF(K174="","",COUNTIFS(Detalle_Pagos!$E$5:$E$2004,K174,Detalle_Pagos!$B$5:$B$2004,"&gt;="&amp;$B$3,Detalle_Pagos!$B$5:$B$2004,"&lt;="&amp;$B$4))</f>
        <v/>
      </c>
      <c r="M174" s="43">
        <f>IF(K174="","",SUMIFS(Detalle_Pagos!$I$5:$I$2004,Detalle_Pagos!$E$5:$E$2004,K174,Detalle_Pagos!$J$5:$J$2004,"Si",Detalle_Pagos!$B$5:$B$2004,"&gt;="&amp;$B$3,Detalle_Pagos!$B$5:$B$2004,"&lt;="&amp;$B$4))</f>
        <v/>
      </c>
      <c r="N174" s="43">
        <f>IF(K174="","",SUMIFS(Detalle_Pagos!$I$5:$I$2004,Detalle_Pagos!$E$5:$E$2004,K174,Detalle_Pagos!$J$5:$J$2004,"No",Detalle_Pagos!$B$5:$B$2004,"&gt;="&amp;$B$3,Detalle_Pagos!$B$5:$B$2004,"&lt;="&amp;$B$4))</f>
        <v/>
      </c>
      <c r="O174">
        <f>IF(K174="","",COUNTIFS(Detalle_Pagos!$E$5:$E$2004,K174,Detalle_Pagos!$J$5:$J$2004,"No",Detalle_Pagos!$B$5:$B$2004,"&gt;="&amp;$B$3,Detalle_Pagos!$B$5:$B$2004,"&lt;="&amp;$B$4))</f>
        <v/>
      </c>
      <c r="P174">
        <f>IF(K174="","",COUNTIFS(Detalle_Pagos!$E$5:$E$2004,K174,Detalle_Pagos!$J$5:$J$2004,"Si",Detalle_Pagos!$B$5:$B$2004,"&gt;="&amp;$B$3,Detalle_Pagos!$B$5:$B$2004,"&lt;="&amp;$B$4))</f>
        <v/>
      </c>
      <c r="Q174" s="43">
        <f>IF(K174="","",O174*IFERROR(INDEX(Trabajadores!$D$5:$D$204,MATCH(K174,Trabajadores!$B$5:$B$204,0)),0))</f>
        <v/>
      </c>
      <c r="R174" s="43">
        <f>IF(K174="","",N174+Q174)</f>
        <v/>
      </c>
      <c r="S174" s="43">
        <f>IF(K174="","",M174+N174)</f>
        <v/>
      </c>
      <c r="T174">
        <f>IF(K174="","",S174+R174/100000+L174/100000000+(100000-ROW())/1000000000)</f>
        <v/>
      </c>
    </row>
    <row r="175">
      <c r="A175" s="36">
        <f>IFERROR(INDEX($K$8:$K$207,MATCH(LARGE($T$8:$T$207,ROWS($A$8:A175)),$T$8:$T$207,0)),"")</f>
        <v/>
      </c>
      <c r="B175" s="36">
        <f>IFERROR(INDEX($L$8:$L$207,MATCH(LARGE($T$8:$T$207,ROWS($A$8:A175)),$T$8:$T$207,0)),"")</f>
        <v/>
      </c>
      <c r="C175" s="37">
        <f>IFERROR(INDEX($M$8:$M$207,MATCH(LARGE($T$8:$T$207,ROWS($A$8:A175)),$T$8:$T$207,0)),"")</f>
        <v/>
      </c>
      <c r="D175" s="37">
        <f>IFERROR(INDEX($N$8:$N$207,MATCH(LARGE($T$8:$T$207,ROWS($A$8:A175)),$T$8:$T$207,0)),"")</f>
        <v/>
      </c>
      <c r="E175" s="36">
        <f>IFERROR(INDEX($O$8:$O$207,MATCH(LARGE($T$8:$T$207,ROWS($A$8:A175)),$T$8:$T$207,0)),"")</f>
        <v/>
      </c>
      <c r="F175" s="36">
        <f>IFERROR(INDEX($P$8:$P$207,MATCH(LARGE($T$8:$T$207,ROWS($A$8:A175)),$T$8:$T$207,0)),"")</f>
        <v/>
      </c>
      <c r="G175" s="37">
        <f>IFERROR(INDEX($Q$8:$Q$207,MATCH(LARGE($T$8:$T$207,ROWS($A$8:A175)),$T$8:$T$207,0)),"")</f>
        <v/>
      </c>
      <c r="H175" s="37">
        <f>IFERROR(INDEX($R$8:$R$207,MATCH(LARGE($T$8:$T$207,ROWS($A$8:A175)),$T$8:$T$207,0)),"")</f>
        <v/>
      </c>
      <c r="I175" s="37">
        <f>IFERROR(INDEX($S$8:$S$207,MATCH(LARGE($T$8:$T$207,ROWS($A$8:A175)),$T$8:$T$207,0)),"")</f>
        <v/>
      </c>
      <c r="K175">
        <f>IF(Trabajadores!B172="","",Trabajadores!B172)</f>
        <v/>
      </c>
      <c r="L175">
        <f>IF(K175="","",COUNTIFS(Detalle_Pagos!$E$5:$E$2004,K175,Detalle_Pagos!$B$5:$B$2004,"&gt;="&amp;$B$3,Detalle_Pagos!$B$5:$B$2004,"&lt;="&amp;$B$4))</f>
        <v/>
      </c>
      <c r="M175" s="43">
        <f>IF(K175="","",SUMIFS(Detalle_Pagos!$I$5:$I$2004,Detalle_Pagos!$E$5:$E$2004,K175,Detalle_Pagos!$J$5:$J$2004,"Si",Detalle_Pagos!$B$5:$B$2004,"&gt;="&amp;$B$3,Detalle_Pagos!$B$5:$B$2004,"&lt;="&amp;$B$4))</f>
        <v/>
      </c>
      <c r="N175" s="43">
        <f>IF(K175="","",SUMIFS(Detalle_Pagos!$I$5:$I$2004,Detalle_Pagos!$E$5:$E$2004,K175,Detalle_Pagos!$J$5:$J$2004,"No",Detalle_Pagos!$B$5:$B$2004,"&gt;="&amp;$B$3,Detalle_Pagos!$B$5:$B$2004,"&lt;="&amp;$B$4))</f>
        <v/>
      </c>
      <c r="O175">
        <f>IF(K175="","",COUNTIFS(Detalle_Pagos!$E$5:$E$2004,K175,Detalle_Pagos!$J$5:$J$2004,"No",Detalle_Pagos!$B$5:$B$2004,"&gt;="&amp;$B$3,Detalle_Pagos!$B$5:$B$2004,"&lt;="&amp;$B$4))</f>
        <v/>
      </c>
      <c r="P175">
        <f>IF(K175="","",COUNTIFS(Detalle_Pagos!$E$5:$E$2004,K175,Detalle_Pagos!$J$5:$J$2004,"Si",Detalle_Pagos!$B$5:$B$2004,"&gt;="&amp;$B$3,Detalle_Pagos!$B$5:$B$2004,"&lt;="&amp;$B$4))</f>
        <v/>
      </c>
      <c r="Q175" s="43">
        <f>IF(K175="","",O175*IFERROR(INDEX(Trabajadores!$D$5:$D$204,MATCH(K175,Trabajadores!$B$5:$B$204,0)),0))</f>
        <v/>
      </c>
      <c r="R175" s="43">
        <f>IF(K175="","",N175+Q175)</f>
        <v/>
      </c>
      <c r="S175" s="43">
        <f>IF(K175="","",M175+N175)</f>
        <v/>
      </c>
      <c r="T175">
        <f>IF(K175="","",S175+R175/100000+L175/100000000+(100000-ROW())/1000000000)</f>
        <v/>
      </c>
    </row>
    <row r="176">
      <c r="A176" s="38">
        <f>IFERROR(INDEX($K$8:$K$207,MATCH(LARGE($T$8:$T$207,ROWS($A$8:A176)),$T$8:$T$207,0)),"")</f>
        <v/>
      </c>
      <c r="B176" s="38">
        <f>IFERROR(INDEX($L$8:$L$207,MATCH(LARGE($T$8:$T$207,ROWS($A$8:A176)),$T$8:$T$207,0)),"")</f>
        <v/>
      </c>
      <c r="C176" s="39">
        <f>IFERROR(INDEX($M$8:$M$207,MATCH(LARGE($T$8:$T$207,ROWS($A$8:A176)),$T$8:$T$207,0)),"")</f>
        <v/>
      </c>
      <c r="D176" s="39">
        <f>IFERROR(INDEX($N$8:$N$207,MATCH(LARGE($T$8:$T$207,ROWS($A$8:A176)),$T$8:$T$207,0)),"")</f>
        <v/>
      </c>
      <c r="E176" s="38">
        <f>IFERROR(INDEX($O$8:$O$207,MATCH(LARGE($T$8:$T$207,ROWS($A$8:A176)),$T$8:$T$207,0)),"")</f>
        <v/>
      </c>
      <c r="F176" s="38">
        <f>IFERROR(INDEX($P$8:$P$207,MATCH(LARGE($T$8:$T$207,ROWS($A$8:A176)),$T$8:$T$207,0)),"")</f>
        <v/>
      </c>
      <c r="G176" s="39">
        <f>IFERROR(INDEX($Q$8:$Q$207,MATCH(LARGE($T$8:$T$207,ROWS($A$8:A176)),$T$8:$T$207,0)),"")</f>
        <v/>
      </c>
      <c r="H176" s="39">
        <f>IFERROR(INDEX($R$8:$R$207,MATCH(LARGE($T$8:$T$207,ROWS($A$8:A176)),$T$8:$T$207,0)),"")</f>
        <v/>
      </c>
      <c r="I176" s="39">
        <f>IFERROR(INDEX($S$8:$S$207,MATCH(LARGE($T$8:$T$207,ROWS($A$8:A176)),$T$8:$T$207,0)),"")</f>
        <v/>
      </c>
      <c r="K176">
        <f>IF(Trabajadores!B173="","",Trabajadores!B173)</f>
        <v/>
      </c>
      <c r="L176">
        <f>IF(K176="","",COUNTIFS(Detalle_Pagos!$E$5:$E$2004,K176,Detalle_Pagos!$B$5:$B$2004,"&gt;="&amp;$B$3,Detalle_Pagos!$B$5:$B$2004,"&lt;="&amp;$B$4))</f>
        <v/>
      </c>
      <c r="M176" s="43">
        <f>IF(K176="","",SUMIFS(Detalle_Pagos!$I$5:$I$2004,Detalle_Pagos!$E$5:$E$2004,K176,Detalle_Pagos!$J$5:$J$2004,"Si",Detalle_Pagos!$B$5:$B$2004,"&gt;="&amp;$B$3,Detalle_Pagos!$B$5:$B$2004,"&lt;="&amp;$B$4))</f>
        <v/>
      </c>
      <c r="N176" s="43">
        <f>IF(K176="","",SUMIFS(Detalle_Pagos!$I$5:$I$2004,Detalle_Pagos!$E$5:$E$2004,K176,Detalle_Pagos!$J$5:$J$2004,"No",Detalle_Pagos!$B$5:$B$2004,"&gt;="&amp;$B$3,Detalle_Pagos!$B$5:$B$2004,"&lt;="&amp;$B$4))</f>
        <v/>
      </c>
      <c r="O176">
        <f>IF(K176="","",COUNTIFS(Detalle_Pagos!$E$5:$E$2004,K176,Detalle_Pagos!$J$5:$J$2004,"No",Detalle_Pagos!$B$5:$B$2004,"&gt;="&amp;$B$3,Detalle_Pagos!$B$5:$B$2004,"&lt;="&amp;$B$4))</f>
        <v/>
      </c>
      <c r="P176">
        <f>IF(K176="","",COUNTIFS(Detalle_Pagos!$E$5:$E$2004,K176,Detalle_Pagos!$J$5:$J$2004,"Si",Detalle_Pagos!$B$5:$B$2004,"&gt;="&amp;$B$3,Detalle_Pagos!$B$5:$B$2004,"&lt;="&amp;$B$4))</f>
        <v/>
      </c>
      <c r="Q176" s="43">
        <f>IF(K176="","",O176*IFERROR(INDEX(Trabajadores!$D$5:$D$204,MATCH(K176,Trabajadores!$B$5:$B$204,0)),0))</f>
        <v/>
      </c>
      <c r="R176" s="43">
        <f>IF(K176="","",N176+Q176)</f>
        <v/>
      </c>
      <c r="S176" s="43">
        <f>IF(K176="","",M176+N176)</f>
        <v/>
      </c>
      <c r="T176">
        <f>IF(K176="","",S176+R176/100000+L176/100000000+(100000-ROW())/1000000000)</f>
        <v/>
      </c>
    </row>
    <row r="177">
      <c r="A177" s="36">
        <f>IFERROR(INDEX($K$8:$K$207,MATCH(LARGE($T$8:$T$207,ROWS($A$8:A177)),$T$8:$T$207,0)),"")</f>
        <v/>
      </c>
      <c r="B177" s="36">
        <f>IFERROR(INDEX($L$8:$L$207,MATCH(LARGE($T$8:$T$207,ROWS($A$8:A177)),$T$8:$T$207,0)),"")</f>
        <v/>
      </c>
      <c r="C177" s="37">
        <f>IFERROR(INDEX($M$8:$M$207,MATCH(LARGE($T$8:$T$207,ROWS($A$8:A177)),$T$8:$T$207,0)),"")</f>
        <v/>
      </c>
      <c r="D177" s="37">
        <f>IFERROR(INDEX($N$8:$N$207,MATCH(LARGE($T$8:$T$207,ROWS($A$8:A177)),$T$8:$T$207,0)),"")</f>
        <v/>
      </c>
      <c r="E177" s="36">
        <f>IFERROR(INDEX($O$8:$O$207,MATCH(LARGE($T$8:$T$207,ROWS($A$8:A177)),$T$8:$T$207,0)),"")</f>
        <v/>
      </c>
      <c r="F177" s="36">
        <f>IFERROR(INDEX($P$8:$P$207,MATCH(LARGE($T$8:$T$207,ROWS($A$8:A177)),$T$8:$T$207,0)),"")</f>
        <v/>
      </c>
      <c r="G177" s="37">
        <f>IFERROR(INDEX($Q$8:$Q$207,MATCH(LARGE($T$8:$T$207,ROWS($A$8:A177)),$T$8:$T$207,0)),"")</f>
        <v/>
      </c>
      <c r="H177" s="37">
        <f>IFERROR(INDEX($R$8:$R$207,MATCH(LARGE($T$8:$T$207,ROWS($A$8:A177)),$T$8:$T$207,0)),"")</f>
        <v/>
      </c>
      <c r="I177" s="37">
        <f>IFERROR(INDEX($S$8:$S$207,MATCH(LARGE($T$8:$T$207,ROWS($A$8:A177)),$T$8:$T$207,0)),"")</f>
        <v/>
      </c>
      <c r="K177">
        <f>IF(Trabajadores!B174="","",Trabajadores!B174)</f>
        <v/>
      </c>
      <c r="L177">
        <f>IF(K177="","",COUNTIFS(Detalle_Pagos!$E$5:$E$2004,K177,Detalle_Pagos!$B$5:$B$2004,"&gt;="&amp;$B$3,Detalle_Pagos!$B$5:$B$2004,"&lt;="&amp;$B$4))</f>
        <v/>
      </c>
      <c r="M177" s="43">
        <f>IF(K177="","",SUMIFS(Detalle_Pagos!$I$5:$I$2004,Detalle_Pagos!$E$5:$E$2004,K177,Detalle_Pagos!$J$5:$J$2004,"Si",Detalle_Pagos!$B$5:$B$2004,"&gt;="&amp;$B$3,Detalle_Pagos!$B$5:$B$2004,"&lt;="&amp;$B$4))</f>
        <v/>
      </c>
      <c r="N177" s="43">
        <f>IF(K177="","",SUMIFS(Detalle_Pagos!$I$5:$I$2004,Detalle_Pagos!$E$5:$E$2004,K177,Detalle_Pagos!$J$5:$J$2004,"No",Detalle_Pagos!$B$5:$B$2004,"&gt;="&amp;$B$3,Detalle_Pagos!$B$5:$B$2004,"&lt;="&amp;$B$4))</f>
        <v/>
      </c>
      <c r="O177">
        <f>IF(K177="","",COUNTIFS(Detalle_Pagos!$E$5:$E$2004,K177,Detalle_Pagos!$J$5:$J$2004,"No",Detalle_Pagos!$B$5:$B$2004,"&gt;="&amp;$B$3,Detalle_Pagos!$B$5:$B$2004,"&lt;="&amp;$B$4))</f>
        <v/>
      </c>
      <c r="P177">
        <f>IF(K177="","",COUNTIFS(Detalle_Pagos!$E$5:$E$2004,K177,Detalle_Pagos!$J$5:$J$2004,"Si",Detalle_Pagos!$B$5:$B$2004,"&gt;="&amp;$B$3,Detalle_Pagos!$B$5:$B$2004,"&lt;="&amp;$B$4))</f>
        <v/>
      </c>
      <c r="Q177" s="43">
        <f>IF(K177="","",O177*IFERROR(INDEX(Trabajadores!$D$5:$D$204,MATCH(K177,Trabajadores!$B$5:$B$204,0)),0))</f>
        <v/>
      </c>
      <c r="R177" s="43">
        <f>IF(K177="","",N177+Q177)</f>
        <v/>
      </c>
      <c r="S177" s="43">
        <f>IF(K177="","",M177+N177)</f>
        <v/>
      </c>
      <c r="T177">
        <f>IF(K177="","",S177+R177/100000+L177/100000000+(100000-ROW())/1000000000)</f>
        <v/>
      </c>
    </row>
    <row r="178">
      <c r="A178" s="38">
        <f>IFERROR(INDEX($K$8:$K$207,MATCH(LARGE($T$8:$T$207,ROWS($A$8:A178)),$T$8:$T$207,0)),"")</f>
        <v/>
      </c>
      <c r="B178" s="38">
        <f>IFERROR(INDEX($L$8:$L$207,MATCH(LARGE($T$8:$T$207,ROWS($A$8:A178)),$T$8:$T$207,0)),"")</f>
        <v/>
      </c>
      <c r="C178" s="39">
        <f>IFERROR(INDEX($M$8:$M$207,MATCH(LARGE($T$8:$T$207,ROWS($A$8:A178)),$T$8:$T$207,0)),"")</f>
        <v/>
      </c>
      <c r="D178" s="39">
        <f>IFERROR(INDEX($N$8:$N$207,MATCH(LARGE($T$8:$T$207,ROWS($A$8:A178)),$T$8:$T$207,0)),"")</f>
        <v/>
      </c>
      <c r="E178" s="38">
        <f>IFERROR(INDEX($O$8:$O$207,MATCH(LARGE($T$8:$T$207,ROWS($A$8:A178)),$T$8:$T$207,0)),"")</f>
        <v/>
      </c>
      <c r="F178" s="38">
        <f>IFERROR(INDEX($P$8:$P$207,MATCH(LARGE($T$8:$T$207,ROWS($A$8:A178)),$T$8:$T$207,0)),"")</f>
        <v/>
      </c>
      <c r="G178" s="39">
        <f>IFERROR(INDEX($Q$8:$Q$207,MATCH(LARGE($T$8:$T$207,ROWS($A$8:A178)),$T$8:$T$207,0)),"")</f>
        <v/>
      </c>
      <c r="H178" s="39">
        <f>IFERROR(INDEX($R$8:$R$207,MATCH(LARGE($T$8:$T$207,ROWS($A$8:A178)),$T$8:$T$207,0)),"")</f>
        <v/>
      </c>
      <c r="I178" s="39">
        <f>IFERROR(INDEX($S$8:$S$207,MATCH(LARGE($T$8:$T$207,ROWS($A$8:A178)),$T$8:$T$207,0)),"")</f>
        <v/>
      </c>
      <c r="K178">
        <f>IF(Trabajadores!B175="","",Trabajadores!B175)</f>
        <v/>
      </c>
      <c r="L178">
        <f>IF(K178="","",COUNTIFS(Detalle_Pagos!$E$5:$E$2004,K178,Detalle_Pagos!$B$5:$B$2004,"&gt;="&amp;$B$3,Detalle_Pagos!$B$5:$B$2004,"&lt;="&amp;$B$4))</f>
        <v/>
      </c>
      <c r="M178" s="43">
        <f>IF(K178="","",SUMIFS(Detalle_Pagos!$I$5:$I$2004,Detalle_Pagos!$E$5:$E$2004,K178,Detalle_Pagos!$J$5:$J$2004,"Si",Detalle_Pagos!$B$5:$B$2004,"&gt;="&amp;$B$3,Detalle_Pagos!$B$5:$B$2004,"&lt;="&amp;$B$4))</f>
        <v/>
      </c>
      <c r="N178" s="43">
        <f>IF(K178="","",SUMIFS(Detalle_Pagos!$I$5:$I$2004,Detalle_Pagos!$E$5:$E$2004,K178,Detalle_Pagos!$J$5:$J$2004,"No",Detalle_Pagos!$B$5:$B$2004,"&gt;="&amp;$B$3,Detalle_Pagos!$B$5:$B$2004,"&lt;="&amp;$B$4))</f>
        <v/>
      </c>
      <c r="O178">
        <f>IF(K178="","",COUNTIFS(Detalle_Pagos!$E$5:$E$2004,K178,Detalle_Pagos!$J$5:$J$2004,"No",Detalle_Pagos!$B$5:$B$2004,"&gt;="&amp;$B$3,Detalle_Pagos!$B$5:$B$2004,"&lt;="&amp;$B$4))</f>
        <v/>
      </c>
      <c r="P178">
        <f>IF(K178="","",COUNTIFS(Detalle_Pagos!$E$5:$E$2004,K178,Detalle_Pagos!$J$5:$J$2004,"Si",Detalle_Pagos!$B$5:$B$2004,"&gt;="&amp;$B$3,Detalle_Pagos!$B$5:$B$2004,"&lt;="&amp;$B$4))</f>
        <v/>
      </c>
      <c r="Q178" s="43">
        <f>IF(K178="","",O178*IFERROR(INDEX(Trabajadores!$D$5:$D$204,MATCH(K178,Trabajadores!$B$5:$B$204,0)),0))</f>
        <v/>
      </c>
      <c r="R178" s="43">
        <f>IF(K178="","",N178+Q178)</f>
        <v/>
      </c>
      <c r="S178" s="43">
        <f>IF(K178="","",M178+N178)</f>
        <v/>
      </c>
      <c r="T178">
        <f>IF(K178="","",S178+R178/100000+L178/100000000+(100000-ROW())/1000000000)</f>
        <v/>
      </c>
    </row>
    <row r="179">
      <c r="A179" s="36">
        <f>IFERROR(INDEX($K$8:$K$207,MATCH(LARGE($T$8:$T$207,ROWS($A$8:A179)),$T$8:$T$207,0)),"")</f>
        <v/>
      </c>
      <c r="B179" s="36">
        <f>IFERROR(INDEX($L$8:$L$207,MATCH(LARGE($T$8:$T$207,ROWS($A$8:A179)),$T$8:$T$207,0)),"")</f>
        <v/>
      </c>
      <c r="C179" s="37">
        <f>IFERROR(INDEX($M$8:$M$207,MATCH(LARGE($T$8:$T$207,ROWS($A$8:A179)),$T$8:$T$207,0)),"")</f>
        <v/>
      </c>
      <c r="D179" s="37">
        <f>IFERROR(INDEX($N$8:$N$207,MATCH(LARGE($T$8:$T$207,ROWS($A$8:A179)),$T$8:$T$207,0)),"")</f>
        <v/>
      </c>
      <c r="E179" s="36">
        <f>IFERROR(INDEX($O$8:$O$207,MATCH(LARGE($T$8:$T$207,ROWS($A$8:A179)),$T$8:$T$207,0)),"")</f>
        <v/>
      </c>
      <c r="F179" s="36">
        <f>IFERROR(INDEX($P$8:$P$207,MATCH(LARGE($T$8:$T$207,ROWS($A$8:A179)),$T$8:$T$207,0)),"")</f>
        <v/>
      </c>
      <c r="G179" s="37">
        <f>IFERROR(INDEX($Q$8:$Q$207,MATCH(LARGE($T$8:$T$207,ROWS($A$8:A179)),$T$8:$T$207,0)),"")</f>
        <v/>
      </c>
      <c r="H179" s="37">
        <f>IFERROR(INDEX($R$8:$R$207,MATCH(LARGE($T$8:$T$207,ROWS($A$8:A179)),$T$8:$T$207,0)),"")</f>
        <v/>
      </c>
      <c r="I179" s="37">
        <f>IFERROR(INDEX($S$8:$S$207,MATCH(LARGE($T$8:$T$207,ROWS($A$8:A179)),$T$8:$T$207,0)),"")</f>
        <v/>
      </c>
      <c r="K179">
        <f>IF(Trabajadores!B176="","",Trabajadores!B176)</f>
        <v/>
      </c>
      <c r="L179">
        <f>IF(K179="","",COUNTIFS(Detalle_Pagos!$E$5:$E$2004,K179,Detalle_Pagos!$B$5:$B$2004,"&gt;="&amp;$B$3,Detalle_Pagos!$B$5:$B$2004,"&lt;="&amp;$B$4))</f>
        <v/>
      </c>
      <c r="M179" s="43">
        <f>IF(K179="","",SUMIFS(Detalle_Pagos!$I$5:$I$2004,Detalle_Pagos!$E$5:$E$2004,K179,Detalle_Pagos!$J$5:$J$2004,"Si",Detalle_Pagos!$B$5:$B$2004,"&gt;="&amp;$B$3,Detalle_Pagos!$B$5:$B$2004,"&lt;="&amp;$B$4))</f>
        <v/>
      </c>
      <c r="N179" s="43">
        <f>IF(K179="","",SUMIFS(Detalle_Pagos!$I$5:$I$2004,Detalle_Pagos!$E$5:$E$2004,K179,Detalle_Pagos!$J$5:$J$2004,"No",Detalle_Pagos!$B$5:$B$2004,"&gt;="&amp;$B$3,Detalle_Pagos!$B$5:$B$2004,"&lt;="&amp;$B$4))</f>
        <v/>
      </c>
      <c r="O179">
        <f>IF(K179="","",COUNTIFS(Detalle_Pagos!$E$5:$E$2004,K179,Detalle_Pagos!$J$5:$J$2004,"No",Detalle_Pagos!$B$5:$B$2004,"&gt;="&amp;$B$3,Detalle_Pagos!$B$5:$B$2004,"&lt;="&amp;$B$4))</f>
        <v/>
      </c>
      <c r="P179">
        <f>IF(K179="","",COUNTIFS(Detalle_Pagos!$E$5:$E$2004,K179,Detalle_Pagos!$J$5:$J$2004,"Si",Detalle_Pagos!$B$5:$B$2004,"&gt;="&amp;$B$3,Detalle_Pagos!$B$5:$B$2004,"&lt;="&amp;$B$4))</f>
        <v/>
      </c>
      <c r="Q179" s="43">
        <f>IF(K179="","",O179*IFERROR(INDEX(Trabajadores!$D$5:$D$204,MATCH(K179,Trabajadores!$B$5:$B$204,0)),0))</f>
        <v/>
      </c>
      <c r="R179" s="43">
        <f>IF(K179="","",N179+Q179)</f>
        <v/>
      </c>
      <c r="S179" s="43">
        <f>IF(K179="","",M179+N179)</f>
        <v/>
      </c>
      <c r="T179">
        <f>IF(K179="","",S179+R179/100000+L179/100000000+(100000-ROW())/1000000000)</f>
        <v/>
      </c>
    </row>
    <row r="180">
      <c r="A180" s="38">
        <f>IFERROR(INDEX($K$8:$K$207,MATCH(LARGE($T$8:$T$207,ROWS($A$8:A180)),$T$8:$T$207,0)),"")</f>
        <v/>
      </c>
      <c r="B180" s="38">
        <f>IFERROR(INDEX($L$8:$L$207,MATCH(LARGE($T$8:$T$207,ROWS($A$8:A180)),$T$8:$T$207,0)),"")</f>
        <v/>
      </c>
      <c r="C180" s="39">
        <f>IFERROR(INDEX($M$8:$M$207,MATCH(LARGE($T$8:$T$207,ROWS($A$8:A180)),$T$8:$T$207,0)),"")</f>
        <v/>
      </c>
      <c r="D180" s="39">
        <f>IFERROR(INDEX($N$8:$N$207,MATCH(LARGE($T$8:$T$207,ROWS($A$8:A180)),$T$8:$T$207,0)),"")</f>
        <v/>
      </c>
      <c r="E180" s="38">
        <f>IFERROR(INDEX($O$8:$O$207,MATCH(LARGE($T$8:$T$207,ROWS($A$8:A180)),$T$8:$T$207,0)),"")</f>
        <v/>
      </c>
      <c r="F180" s="38">
        <f>IFERROR(INDEX($P$8:$P$207,MATCH(LARGE($T$8:$T$207,ROWS($A$8:A180)),$T$8:$T$207,0)),"")</f>
        <v/>
      </c>
      <c r="G180" s="39">
        <f>IFERROR(INDEX($Q$8:$Q$207,MATCH(LARGE($T$8:$T$207,ROWS($A$8:A180)),$T$8:$T$207,0)),"")</f>
        <v/>
      </c>
      <c r="H180" s="39">
        <f>IFERROR(INDEX($R$8:$R$207,MATCH(LARGE($T$8:$T$207,ROWS($A$8:A180)),$T$8:$T$207,0)),"")</f>
        <v/>
      </c>
      <c r="I180" s="39">
        <f>IFERROR(INDEX($S$8:$S$207,MATCH(LARGE($T$8:$T$207,ROWS($A$8:A180)),$T$8:$T$207,0)),"")</f>
        <v/>
      </c>
      <c r="K180">
        <f>IF(Trabajadores!B177="","",Trabajadores!B177)</f>
        <v/>
      </c>
      <c r="L180">
        <f>IF(K180="","",COUNTIFS(Detalle_Pagos!$E$5:$E$2004,K180,Detalle_Pagos!$B$5:$B$2004,"&gt;="&amp;$B$3,Detalle_Pagos!$B$5:$B$2004,"&lt;="&amp;$B$4))</f>
        <v/>
      </c>
      <c r="M180" s="43">
        <f>IF(K180="","",SUMIFS(Detalle_Pagos!$I$5:$I$2004,Detalle_Pagos!$E$5:$E$2004,K180,Detalle_Pagos!$J$5:$J$2004,"Si",Detalle_Pagos!$B$5:$B$2004,"&gt;="&amp;$B$3,Detalle_Pagos!$B$5:$B$2004,"&lt;="&amp;$B$4))</f>
        <v/>
      </c>
      <c r="N180" s="43">
        <f>IF(K180="","",SUMIFS(Detalle_Pagos!$I$5:$I$2004,Detalle_Pagos!$E$5:$E$2004,K180,Detalle_Pagos!$J$5:$J$2004,"No",Detalle_Pagos!$B$5:$B$2004,"&gt;="&amp;$B$3,Detalle_Pagos!$B$5:$B$2004,"&lt;="&amp;$B$4))</f>
        <v/>
      </c>
      <c r="O180">
        <f>IF(K180="","",COUNTIFS(Detalle_Pagos!$E$5:$E$2004,K180,Detalle_Pagos!$J$5:$J$2004,"No",Detalle_Pagos!$B$5:$B$2004,"&gt;="&amp;$B$3,Detalle_Pagos!$B$5:$B$2004,"&lt;="&amp;$B$4))</f>
        <v/>
      </c>
      <c r="P180">
        <f>IF(K180="","",COUNTIFS(Detalle_Pagos!$E$5:$E$2004,K180,Detalle_Pagos!$J$5:$J$2004,"Si",Detalle_Pagos!$B$5:$B$2004,"&gt;="&amp;$B$3,Detalle_Pagos!$B$5:$B$2004,"&lt;="&amp;$B$4))</f>
        <v/>
      </c>
      <c r="Q180" s="43">
        <f>IF(K180="","",O180*IFERROR(INDEX(Trabajadores!$D$5:$D$204,MATCH(K180,Trabajadores!$B$5:$B$204,0)),0))</f>
        <v/>
      </c>
      <c r="R180" s="43">
        <f>IF(K180="","",N180+Q180)</f>
        <v/>
      </c>
      <c r="S180" s="43">
        <f>IF(K180="","",M180+N180)</f>
        <v/>
      </c>
      <c r="T180">
        <f>IF(K180="","",S180+R180/100000+L180/100000000+(100000-ROW())/1000000000)</f>
        <v/>
      </c>
    </row>
    <row r="181">
      <c r="A181" s="36">
        <f>IFERROR(INDEX($K$8:$K$207,MATCH(LARGE($T$8:$T$207,ROWS($A$8:A181)),$T$8:$T$207,0)),"")</f>
        <v/>
      </c>
      <c r="B181" s="36">
        <f>IFERROR(INDEX($L$8:$L$207,MATCH(LARGE($T$8:$T$207,ROWS($A$8:A181)),$T$8:$T$207,0)),"")</f>
        <v/>
      </c>
      <c r="C181" s="37">
        <f>IFERROR(INDEX($M$8:$M$207,MATCH(LARGE($T$8:$T$207,ROWS($A$8:A181)),$T$8:$T$207,0)),"")</f>
        <v/>
      </c>
      <c r="D181" s="37">
        <f>IFERROR(INDEX($N$8:$N$207,MATCH(LARGE($T$8:$T$207,ROWS($A$8:A181)),$T$8:$T$207,0)),"")</f>
        <v/>
      </c>
      <c r="E181" s="36">
        <f>IFERROR(INDEX($O$8:$O$207,MATCH(LARGE($T$8:$T$207,ROWS($A$8:A181)),$T$8:$T$207,0)),"")</f>
        <v/>
      </c>
      <c r="F181" s="36">
        <f>IFERROR(INDEX($P$8:$P$207,MATCH(LARGE($T$8:$T$207,ROWS($A$8:A181)),$T$8:$T$207,0)),"")</f>
        <v/>
      </c>
      <c r="G181" s="37">
        <f>IFERROR(INDEX($Q$8:$Q$207,MATCH(LARGE($T$8:$T$207,ROWS($A$8:A181)),$T$8:$T$207,0)),"")</f>
        <v/>
      </c>
      <c r="H181" s="37">
        <f>IFERROR(INDEX($R$8:$R$207,MATCH(LARGE($T$8:$T$207,ROWS($A$8:A181)),$T$8:$T$207,0)),"")</f>
        <v/>
      </c>
      <c r="I181" s="37">
        <f>IFERROR(INDEX($S$8:$S$207,MATCH(LARGE($T$8:$T$207,ROWS($A$8:A181)),$T$8:$T$207,0)),"")</f>
        <v/>
      </c>
      <c r="K181">
        <f>IF(Trabajadores!B178="","",Trabajadores!B178)</f>
        <v/>
      </c>
      <c r="L181">
        <f>IF(K181="","",COUNTIFS(Detalle_Pagos!$E$5:$E$2004,K181,Detalle_Pagos!$B$5:$B$2004,"&gt;="&amp;$B$3,Detalle_Pagos!$B$5:$B$2004,"&lt;="&amp;$B$4))</f>
        <v/>
      </c>
      <c r="M181" s="43">
        <f>IF(K181="","",SUMIFS(Detalle_Pagos!$I$5:$I$2004,Detalle_Pagos!$E$5:$E$2004,K181,Detalle_Pagos!$J$5:$J$2004,"Si",Detalle_Pagos!$B$5:$B$2004,"&gt;="&amp;$B$3,Detalle_Pagos!$B$5:$B$2004,"&lt;="&amp;$B$4))</f>
        <v/>
      </c>
      <c r="N181" s="43">
        <f>IF(K181="","",SUMIFS(Detalle_Pagos!$I$5:$I$2004,Detalle_Pagos!$E$5:$E$2004,K181,Detalle_Pagos!$J$5:$J$2004,"No",Detalle_Pagos!$B$5:$B$2004,"&gt;="&amp;$B$3,Detalle_Pagos!$B$5:$B$2004,"&lt;="&amp;$B$4))</f>
        <v/>
      </c>
      <c r="O181">
        <f>IF(K181="","",COUNTIFS(Detalle_Pagos!$E$5:$E$2004,K181,Detalle_Pagos!$J$5:$J$2004,"No",Detalle_Pagos!$B$5:$B$2004,"&gt;="&amp;$B$3,Detalle_Pagos!$B$5:$B$2004,"&lt;="&amp;$B$4))</f>
        <v/>
      </c>
      <c r="P181">
        <f>IF(K181="","",COUNTIFS(Detalle_Pagos!$E$5:$E$2004,K181,Detalle_Pagos!$J$5:$J$2004,"Si",Detalle_Pagos!$B$5:$B$2004,"&gt;="&amp;$B$3,Detalle_Pagos!$B$5:$B$2004,"&lt;="&amp;$B$4))</f>
        <v/>
      </c>
      <c r="Q181" s="43">
        <f>IF(K181="","",O181*IFERROR(INDEX(Trabajadores!$D$5:$D$204,MATCH(K181,Trabajadores!$B$5:$B$204,0)),0))</f>
        <v/>
      </c>
      <c r="R181" s="43">
        <f>IF(K181="","",N181+Q181)</f>
        <v/>
      </c>
      <c r="S181" s="43">
        <f>IF(K181="","",M181+N181)</f>
        <v/>
      </c>
      <c r="T181">
        <f>IF(K181="","",S181+R181/100000+L181/100000000+(100000-ROW())/1000000000)</f>
        <v/>
      </c>
    </row>
    <row r="182">
      <c r="A182" s="38">
        <f>IFERROR(INDEX($K$8:$K$207,MATCH(LARGE($T$8:$T$207,ROWS($A$8:A182)),$T$8:$T$207,0)),"")</f>
        <v/>
      </c>
      <c r="B182" s="38">
        <f>IFERROR(INDEX($L$8:$L$207,MATCH(LARGE($T$8:$T$207,ROWS($A$8:A182)),$T$8:$T$207,0)),"")</f>
        <v/>
      </c>
      <c r="C182" s="39">
        <f>IFERROR(INDEX($M$8:$M$207,MATCH(LARGE($T$8:$T$207,ROWS($A$8:A182)),$T$8:$T$207,0)),"")</f>
        <v/>
      </c>
      <c r="D182" s="39">
        <f>IFERROR(INDEX($N$8:$N$207,MATCH(LARGE($T$8:$T$207,ROWS($A$8:A182)),$T$8:$T$207,0)),"")</f>
        <v/>
      </c>
      <c r="E182" s="38">
        <f>IFERROR(INDEX($O$8:$O$207,MATCH(LARGE($T$8:$T$207,ROWS($A$8:A182)),$T$8:$T$207,0)),"")</f>
        <v/>
      </c>
      <c r="F182" s="38">
        <f>IFERROR(INDEX($P$8:$P$207,MATCH(LARGE($T$8:$T$207,ROWS($A$8:A182)),$T$8:$T$207,0)),"")</f>
        <v/>
      </c>
      <c r="G182" s="39">
        <f>IFERROR(INDEX($Q$8:$Q$207,MATCH(LARGE($T$8:$T$207,ROWS($A$8:A182)),$T$8:$T$207,0)),"")</f>
        <v/>
      </c>
      <c r="H182" s="39">
        <f>IFERROR(INDEX($R$8:$R$207,MATCH(LARGE($T$8:$T$207,ROWS($A$8:A182)),$T$8:$T$207,0)),"")</f>
        <v/>
      </c>
      <c r="I182" s="39">
        <f>IFERROR(INDEX($S$8:$S$207,MATCH(LARGE($T$8:$T$207,ROWS($A$8:A182)),$T$8:$T$207,0)),"")</f>
        <v/>
      </c>
      <c r="K182">
        <f>IF(Trabajadores!B179="","",Trabajadores!B179)</f>
        <v/>
      </c>
      <c r="L182">
        <f>IF(K182="","",COUNTIFS(Detalle_Pagos!$E$5:$E$2004,K182,Detalle_Pagos!$B$5:$B$2004,"&gt;="&amp;$B$3,Detalle_Pagos!$B$5:$B$2004,"&lt;="&amp;$B$4))</f>
        <v/>
      </c>
      <c r="M182" s="43">
        <f>IF(K182="","",SUMIFS(Detalle_Pagos!$I$5:$I$2004,Detalle_Pagos!$E$5:$E$2004,K182,Detalle_Pagos!$J$5:$J$2004,"Si",Detalle_Pagos!$B$5:$B$2004,"&gt;="&amp;$B$3,Detalle_Pagos!$B$5:$B$2004,"&lt;="&amp;$B$4))</f>
        <v/>
      </c>
      <c r="N182" s="43">
        <f>IF(K182="","",SUMIFS(Detalle_Pagos!$I$5:$I$2004,Detalle_Pagos!$E$5:$E$2004,K182,Detalle_Pagos!$J$5:$J$2004,"No",Detalle_Pagos!$B$5:$B$2004,"&gt;="&amp;$B$3,Detalle_Pagos!$B$5:$B$2004,"&lt;="&amp;$B$4))</f>
        <v/>
      </c>
      <c r="O182">
        <f>IF(K182="","",COUNTIFS(Detalle_Pagos!$E$5:$E$2004,K182,Detalle_Pagos!$J$5:$J$2004,"No",Detalle_Pagos!$B$5:$B$2004,"&gt;="&amp;$B$3,Detalle_Pagos!$B$5:$B$2004,"&lt;="&amp;$B$4))</f>
        <v/>
      </c>
      <c r="P182">
        <f>IF(K182="","",COUNTIFS(Detalle_Pagos!$E$5:$E$2004,K182,Detalle_Pagos!$J$5:$J$2004,"Si",Detalle_Pagos!$B$5:$B$2004,"&gt;="&amp;$B$3,Detalle_Pagos!$B$5:$B$2004,"&lt;="&amp;$B$4))</f>
        <v/>
      </c>
      <c r="Q182" s="43">
        <f>IF(K182="","",O182*IFERROR(INDEX(Trabajadores!$D$5:$D$204,MATCH(K182,Trabajadores!$B$5:$B$204,0)),0))</f>
        <v/>
      </c>
      <c r="R182" s="43">
        <f>IF(K182="","",N182+Q182)</f>
        <v/>
      </c>
      <c r="S182" s="43">
        <f>IF(K182="","",M182+N182)</f>
        <v/>
      </c>
      <c r="T182">
        <f>IF(K182="","",S182+R182/100000+L182/100000000+(100000-ROW())/1000000000)</f>
        <v/>
      </c>
    </row>
    <row r="183">
      <c r="A183" s="36">
        <f>IFERROR(INDEX($K$8:$K$207,MATCH(LARGE($T$8:$T$207,ROWS($A$8:A183)),$T$8:$T$207,0)),"")</f>
        <v/>
      </c>
      <c r="B183" s="36">
        <f>IFERROR(INDEX($L$8:$L$207,MATCH(LARGE($T$8:$T$207,ROWS($A$8:A183)),$T$8:$T$207,0)),"")</f>
        <v/>
      </c>
      <c r="C183" s="37">
        <f>IFERROR(INDEX($M$8:$M$207,MATCH(LARGE($T$8:$T$207,ROWS($A$8:A183)),$T$8:$T$207,0)),"")</f>
        <v/>
      </c>
      <c r="D183" s="37">
        <f>IFERROR(INDEX($N$8:$N$207,MATCH(LARGE($T$8:$T$207,ROWS($A$8:A183)),$T$8:$T$207,0)),"")</f>
        <v/>
      </c>
      <c r="E183" s="36">
        <f>IFERROR(INDEX($O$8:$O$207,MATCH(LARGE($T$8:$T$207,ROWS($A$8:A183)),$T$8:$T$207,0)),"")</f>
        <v/>
      </c>
      <c r="F183" s="36">
        <f>IFERROR(INDEX($P$8:$P$207,MATCH(LARGE($T$8:$T$207,ROWS($A$8:A183)),$T$8:$T$207,0)),"")</f>
        <v/>
      </c>
      <c r="G183" s="37">
        <f>IFERROR(INDEX($Q$8:$Q$207,MATCH(LARGE($T$8:$T$207,ROWS($A$8:A183)),$T$8:$T$207,0)),"")</f>
        <v/>
      </c>
      <c r="H183" s="37">
        <f>IFERROR(INDEX($R$8:$R$207,MATCH(LARGE($T$8:$T$207,ROWS($A$8:A183)),$T$8:$T$207,0)),"")</f>
        <v/>
      </c>
      <c r="I183" s="37">
        <f>IFERROR(INDEX($S$8:$S$207,MATCH(LARGE($T$8:$T$207,ROWS($A$8:A183)),$T$8:$T$207,0)),"")</f>
        <v/>
      </c>
      <c r="K183">
        <f>IF(Trabajadores!B180="","",Trabajadores!B180)</f>
        <v/>
      </c>
      <c r="L183">
        <f>IF(K183="","",COUNTIFS(Detalle_Pagos!$E$5:$E$2004,K183,Detalle_Pagos!$B$5:$B$2004,"&gt;="&amp;$B$3,Detalle_Pagos!$B$5:$B$2004,"&lt;="&amp;$B$4))</f>
        <v/>
      </c>
      <c r="M183" s="43">
        <f>IF(K183="","",SUMIFS(Detalle_Pagos!$I$5:$I$2004,Detalle_Pagos!$E$5:$E$2004,K183,Detalle_Pagos!$J$5:$J$2004,"Si",Detalle_Pagos!$B$5:$B$2004,"&gt;="&amp;$B$3,Detalle_Pagos!$B$5:$B$2004,"&lt;="&amp;$B$4))</f>
        <v/>
      </c>
      <c r="N183" s="43">
        <f>IF(K183="","",SUMIFS(Detalle_Pagos!$I$5:$I$2004,Detalle_Pagos!$E$5:$E$2004,K183,Detalle_Pagos!$J$5:$J$2004,"No",Detalle_Pagos!$B$5:$B$2004,"&gt;="&amp;$B$3,Detalle_Pagos!$B$5:$B$2004,"&lt;="&amp;$B$4))</f>
        <v/>
      </c>
      <c r="O183">
        <f>IF(K183="","",COUNTIFS(Detalle_Pagos!$E$5:$E$2004,K183,Detalle_Pagos!$J$5:$J$2004,"No",Detalle_Pagos!$B$5:$B$2004,"&gt;="&amp;$B$3,Detalle_Pagos!$B$5:$B$2004,"&lt;="&amp;$B$4))</f>
        <v/>
      </c>
      <c r="P183">
        <f>IF(K183="","",COUNTIFS(Detalle_Pagos!$E$5:$E$2004,K183,Detalle_Pagos!$J$5:$J$2004,"Si",Detalle_Pagos!$B$5:$B$2004,"&gt;="&amp;$B$3,Detalle_Pagos!$B$5:$B$2004,"&lt;="&amp;$B$4))</f>
        <v/>
      </c>
      <c r="Q183" s="43">
        <f>IF(K183="","",O183*IFERROR(INDEX(Trabajadores!$D$5:$D$204,MATCH(K183,Trabajadores!$B$5:$B$204,0)),0))</f>
        <v/>
      </c>
      <c r="R183" s="43">
        <f>IF(K183="","",N183+Q183)</f>
        <v/>
      </c>
      <c r="S183" s="43">
        <f>IF(K183="","",M183+N183)</f>
        <v/>
      </c>
      <c r="T183">
        <f>IF(K183="","",S183+R183/100000+L183/100000000+(100000-ROW())/1000000000)</f>
        <v/>
      </c>
    </row>
    <row r="184">
      <c r="A184" s="38">
        <f>IFERROR(INDEX($K$8:$K$207,MATCH(LARGE($T$8:$T$207,ROWS($A$8:A184)),$T$8:$T$207,0)),"")</f>
        <v/>
      </c>
      <c r="B184" s="38">
        <f>IFERROR(INDEX($L$8:$L$207,MATCH(LARGE($T$8:$T$207,ROWS($A$8:A184)),$T$8:$T$207,0)),"")</f>
        <v/>
      </c>
      <c r="C184" s="39">
        <f>IFERROR(INDEX($M$8:$M$207,MATCH(LARGE($T$8:$T$207,ROWS($A$8:A184)),$T$8:$T$207,0)),"")</f>
        <v/>
      </c>
      <c r="D184" s="39">
        <f>IFERROR(INDEX($N$8:$N$207,MATCH(LARGE($T$8:$T$207,ROWS($A$8:A184)),$T$8:$T$207,0)),"")</f>
        <v/>
      </c>
      <c r="E184" s="38">
        <f>IFERROR(INDEX($O$8:$O$207,MATCH(LARGE($T$8:$T$207,ROWS($A$8:A184)),$T$8:$T$207,0)),"")</f>
        <v/>
      </c>
      <c r="F184" s="38">
        <f>IFERROR(INDEX($P$8:$P$207,MATCH(LARGE($T$8:$T$207,ROWS($A$8:A184)),$T$8:$T$207,0)),"")</f>
        <v/>
      </c>
      <c r="G184" s="39">
        <f>IFERROR(INDEX($Q$8:$Q$207,MATCH(LARGE($T$8:$T$207,ROWS($A$8:A184)),$T$8:$T$207,0)),"")</f>
        <v/>
      </c>
      <c r="H184" s="39">
        <f>IFERROR(INDEX($R$8:$R$207,MATCH(LARGE($T$8:$T$207,ROWS($A$8:A184)),$T$8:$T$207,0)),"")</f>
        <v/>
      </c>
      <c r="I184" s="39">
        <f>IFERROR(INDEX($S$8:$S$207,MATCH(LARGE($T$8:$T$207,ROWS($A$8:A184)),$T$8:$T$207,0)),"")</f>
        <v/>
      </c>
      <c r="K184">
        <f>IF(Trabajadores!B181="","",Trabajadores!B181)</f>
        <v/>
      </c>
      <c r="L184">
        <f>IF(K184="","",COUNTIFS(Detalle_Pagos!$E$5:$E$2004,K184,Detalle_Pagos!$B$5:$B$2004,"&gt;="&amp;$B$3,Detalle_Pagos!$B$5:$B$2004,"&lt;="&amp;$B$4))</f>
        <v/>
      </c>
      <c r="M184" s="43">
        <f>IF(K184="","",SUMIFS(Detalle_Pagos!$I$5:$I$2004,Detalle_Pagos!$E$5:$E$2004,K184,Detalle_Pagos!$J$5:$J$2004,"Si",Detalle_Pagos!$B$5:$B$2004,"&gt;="&amp;$B$3,Detalle_Pagos!$B$5:$B$2004,"&lt;="&amp;$B$4))</f>
        <v/>
      </c>
      <c r="N184" s="43">
        <f>IF(K184="","",SUMIFS(Detalle_Pagos!$I$5:$I$2004,Detalle_Pagos!$E$5:$E$2004,K184,Detalle_Pagos!$J$5:$J$2004,"No",Detalle_Pagos!$B$5:$B$2004,"&gt;="&amp;$B$3,Detalle_Pagos!$B$5:$B$2004,"&lt;="&amp;$B$4))</f>
        <v/>
      </c>
      <c r="O184">
        <f>IF(K184="","",COUNTIFS(Detalle_Pagos!$E$5:$E$2004,K184,Detalle_Pagos!$J$5:$J$2004,"No",Detalle_Pagos!$B$5:$B$2004,"&gt;="&amp;$B$3,Detalle_Pagos!$B$5:$B$2004,"&lt;="&amp;$B$4))</f>
        <v/>
      </c>
      <c r="P184">
        <f>IF(K184="","",COUNTIFS(Detalle_Pagos!$E$5:$E$2004,K184,Detalle_Pagos!$J$5:$J$2004,"Si",Detalle_Pagos!$B$5:$B$2004,"&gt;="&amp;$B$3,Detalle_Pagos!$B$5:$B$2004,"&lt;="&amp;$B$4))</f>
        <v/>
      </c>
      <c r="Q184" s="43">
        <f>IF(K184="","",O184*IFERROR(INDEX(Trabajadores!$D$5:$D$204,MATCH(K184,Trabajadores!$B$5:$B$204,0)),0))</f>
        <v/>
      </c>
      <c r="R184" s="43">
        <f>IF(K184="","",N184+Q184)</f>
        <v/>
      </c>
      <c r="S184" s="43">
        <f>IF(K184="","",M184+N184)</f>
        <v/>
      </c>
      <c r="T184">
        <f>IF(K184="","",S184+R184/100000+L184/100000000+(100000-ROW())/1000000000)</f>
        <v/>
      </c>
    </row>
    <row r="185">
      <c r="A185" s="36">
        <f>IFERROR(INDEX($K$8:$K$207,MATCH(LARGE($T$8:$T$207,ROWS($A$8:A185)),$T$8:$T$207,0)),"")</f>
        <v/>
      </c>
      <c r="B185" s="36">
        <f>IFERROR(INDEX($L$8:$L$207,MATCH(LARGE($T$8:$T$207,ROWS($A$8:A185)),$T$8:$T$207,0)),"")</f>
        <v/>
      </c>
      <c r="C185" s="37">
        <f>IFERROR(INDEX($M$8:$M$207,MATCH(LARGE($T$8:$T$207,ROWS($A$8:A185)),$T$8:$T$207,0)),"")</f>
        <v/>
      </c>
      <c r="D185" s="37">
        <f>IFERROR(INDEX($N$8:$N$207,MATCH(LARGE($T$8:$T$207,ROWS($A$8:A185)),$T$8:$T$207,0)),"")</f>
        <v/>
      </c>
      <c r="E185" s="36">
        <f>IFERROR(INDEX($O$8:$O$207,MATCH(LARGE($T$8:$T$207,ROWS($A$8:A185)),$T$8:$T$207,0)),"")</f>
        <v/>
      </c>
      <c r="F185" s="36">
        <f>IFERROR(INDEX($P$8:$P$207,MATCH(LARGE($T$8:$T$207,ROWS($A$8:A185)),$T$8:$T$207,0)),"")</f>
        <v/>
      </c>
      <c r="G185" s="37">
        <f>IFERROR(INDEX($Q$8:$Q$207,MATCH(LARGE($T$8:$T$207,ROWS($A$8:A185)),$T$8:$T$207,0)),"")</f>
        <v/>
      </c>
      <c r="H185" s="37">
        <f>IFERROR(INDEX($R$8:$R$207,MATCH(LARGE($T$8:$T$207,ROWS($A$8:A185)),$T$8:$T$207,0)),"")</f>
        <v/>
      </c>
      <c r="I185" s="37">
        <f>IFERROR(INDEX($S$8:$S$207,MATCH(LARGE($T$8:$T$207,ROWS($A$8:A185)),$T$8:$T$207,0)),"")</f>
        <v/>
      </c>
      <c r="K185">
        <f>IF(Trabajadores!B182="","",Trabajadores!B182)</f>
        <v/>
      </c>
      <c r="L185">
        <f>IF(K185="","",COUNTIFS(Detalle_Pagos!$E$5:$E$2004,K185,Detalle_Pagos!$B$5:$B$2004,"&gt;="&amp;$B$3,Detalle_Pagos!$B$5:$B$2004,"&lt;="&amp;$B$4))</f>
        <v/>
      </c>
      <c r="M185" s="43">
        <f>IF(K185="","",SUMIFS(Detalle_Pagos!$I$5:$I$2004,Detalle_Pagos!$E$5:$E$2004,K185,Detalle_Pagos!$J$5:$J$2004,"Si",Detalle_Pagos!$B$5:$B$2004,"&gt;="&amp;$B$3,Detalle_Pagos!$B$5:$B$2004,"&lt;="&amp;$B$4))</f>
        <v/>
      </c>
      <c r="N185" s="43">
        <f>IF(K185="","",SUMIFS(Detalle_Pagos!$I$5:$I$2004,Detalle_Pagos!$E$5:$E$2004,K185,Detalle_Pagos!$J$5:$J$2004,"No",Detalle_Pagos!$B$5:$B$2004,"&gt;="&amp;$B$3,Detalle_Pagos!$B$5:$B$2004,"&lt;="&amp;$B$4))</f>
        <v/>
      </c>
      <c r="O185">
        <f>IF(K185="","",COUNTIFS(Detalle_Pagos!$E$5:$E$2004,K185,Detalle_Pagos!$J$5:$J$2004,"No",Detalle_Pagos!$B$5:$B$2004,"&gt;="&amp;$B$3,Detalle_Pagos!$B$5:$B$2004,"&lt;="&amp;$B$4))</f>
        <v/>
      </c>
      <c r="P185">
        <f>IF(K185="","",COUNTIFS(Detalle_Pagos!$E$5:$E$2004,K185,Detalle_Pagos!$J$5:$J$2004,"Si",Detalle_Pagos!$B$5:$B$2004,"&gt;="&amp;$B$3,Detalle_Pagos!$B$5:$B$2004,"&lt;="&amp;$B$4))</f>
        <v/>
      </c>
      <c r="Q185" s="43">
        <f>IF(K185="","",O185*IFERROR(INDEX(Trabajadores!$D$5:$D$204,MATCH(K185,Trabajadores!$B$5:$B$204,0)),0))</f>
        <v/>
      </c>
      <c r="R185" s="43">
        <f>IF(K185="","",N185+Q185)</f>
        <v/>
      </c>
      <c r="S185" s="43">
        <f>IF(K185="","",M185+N185)</f>
        <v/>
      </c>
      <c r="T185">
        <f>IF(K185="","",S185+R185/100000+L185/100000000+(100000-ROW())/1000000000)</f>
        <v/>
      </c>
    </row>
    <row r="186">
      <c r="A186" s="38">
        <f>IFERROR(INDEX($K$8:$K$207,MATCH(LARGE($T$8:$T$207,ROWS($A$8:A186)),$T$8:$T$207,0)),"")</f>
        <v/>
      </c>
      <c r="B186" s="38">
        <f>IFERROR(INDEX($L$8:$L$207,MATCH(LARGE($T$8:$T$207,ROWS($A$8:A186)),$T$8:$T$207,0)),"")</f>
        <v/>
      </c>
      <c r="C186" s="39">
        <f>IFERROR(INDEX($M$8:$M$207,MATCH(LARGE($T$8:$T$207,ROWS($A$8:A186)),$T$8:$T$207,0)),"")</f>
        <v/>
      </c>
      <c r="D186" s="39">
        <f>IFERROR(INDEX($N$8:$N$207,MATCH(LARGE($T$8:$T$207,ROWS($A$8:A186)),$T$8:$T$207,0)),"")</f>
        <v/>
      </c>
      <c r="E186" s="38">
        <f>IFERROR(INDEX($O$8:$O$207,MATCH(LARGE($T$8:$T$207,ROWS($A$8:A186)),$T$8:$T$207,0)),"")</f>
        <v/>
      </c>
      <c r="F186" s="38">
        <f>IFERROR(INDEX($P$8:$P$207,MATCH(LARGE($T$8:$T$207,ROWS($A$8:A186)),$T$8:$T$207,0)),"")</f>
        <v/>
      </c>
      <c r="G186" s="39">
        <f>IFERROR(INDEX($Q$8:$Q$207,MATCH(LARGE($T$8:$T$207,ROWS($A$8:A186)),$T$8:$T$207,0)),"")</f>
        <v/>
      </c>
      <c r="H186" s="39">
        <f>IFERROR(INDEX($R$8:$R$207,MATCH(LARGE($T$8:$T$207,ROWS($A$8:A186)),$T$8:$T$207,0)),"")</f>
        <v/>
      </c>
      <c r="I186" s="39">
        <f>IFERROR(INDEX($S$8:$S$207,MATCH(LARGE($T$8:$T$207,ROWS($A$8:A186)),$T$8:$T$207,0)),"")</f>
        <v/>
      </c>
      <c r="K186">
        <f>IF(Trabajadores!B183="","",Trabajadores!B183)</f>
        <v/>
      </c>
      <c r="L186">
        <f>IF(K186="","",COUNTIFS(Detalle_Pagos!$E$5:$E$2004,K186,Detalle_Pagos!$B$5:$B$2004,"&gt;="&amp;$B$3,Detalle_Pagos!$B$5:$B$2004,"&lt;="&amp;$B$4))</f>
        <v/>
      </c>
      <c r="M186" s="43">
        <f>IF(K186="","",SUMIFS(Detalle_Pagos!$I$5:$I$2004,Detalle_Pagos!$E$5:$E$2004,K186,Detalle_Pagos!$J$5:$J$2004,"Si",Detalle_Pagos!$B$5:$B$2004,"&gt;="&amp;$B$3,Detalle_Pagos!$B$5:$B$2004,"&lt;="&amp;$B$4))</f>
        <v/>
      </c>
      <c r="N186" s="43">
        <f>IF(K186="","",SUMIFS(Detalle_Pagos!$I$5:$I$2004,Detalle_Pagos!$E$5:$E$2004,K186,Detalle_Pagos!$J$5:$J$2004,"No",Detalle_Pagos!$B$5:$B$2004,"&gt;="&amp;$B$3,Detalle_Pagos!$B$5:$B$2004,"&lt;="&amp;$B$4))</f>
        <v/>
      </c>
      <c r="O186">
        <f>IF(K186="","",COUNTIFS(Detalle_Pagos!$E$5:$E$2004,K186,Detalle_Pagos!$J$5:$J$2004,"No",Detalle_Pagos!$B$5:$B$2004,"&gt;="&amp;$B$3,Detalle_Pagos!$B$5:$B$2004,"&lt;="&amp;$B$4))</f>
        <v/>
      </c>
      <c r="P186">
        <f>IF(K186="","",COUNTIFS(Detalle_Pagos!$E$5:$E$2004,K186,Detalle_Pagos!$J$5:$J$2004,"Si",Detalle_Pagos!$B$5:$B$2004,"&gt;="&amp;$B$3,Detalle_Pagos!$B$5:$B$2004,"&lt;="&amp;$B$4))</f>
        <v/>
      </c>
      <c r="Q186" s="43">
        <f>IF(K186="","",O186*IFERROR(INDEX(Trabajadores!$D$5:$D$204,MATCH(K186,Trabajadores!$B$5:$B$204,0)),0))</f>
        <v/>
      </c>
      <c r="R186" s="43">
        <f>IF(K186="","",N186+Q186)</f>
        <v/>
      </c>
      <c r="S186" s="43">
        <f>IF(K186="","",M186+N186)</f>
        <v/>
      </c>
      <c r="T186">
        <f>IF(K186="","",S186+R186/100000+L186/100000000+(100000-ROW())/1000000000)</f>
        <v/>
      </c>
    </row>
    <row r="187">
      <c r="A187" s="36">
        <f>IFERROR(INDEX($K$8:$K$207,MATCH(LARGE($T$8:$T$207,ROWS($A$8:A187)),$T$8:$T$207,0)),"")</f>
        <v/>
      </c>
      <c r="B187" s="36">
        <f>IFERROR(INDEX($L$8:$L$207,MATCH(LARGE($T$8:$T$207,ROWS($A$8:A187)),$T$8:$T$207,0)),"")</f>
        <v/>
      </c>
      <c r="C187" s="37">
        <f>IFERROR(INDEX($M$8:$M$207,MATCH(LARGE($T$8:$T$207,ROWS($A$8:A187)),$T$8:$T$207,0)),"")</f>
        <v/>
      </c>
      <c r="D187" s="37">
        <f>IFERROR(INDEX($N$8:$N$207,MATCH(LARGE($T$8:$T$207,ROWS($A$8:A187)),$T$8:$T$207,0)),"")</f>
        <v/>
      </c>
      <c r="E187" s="36">
        <f>IFERROR(INDEX($O$8:$O$207,MATCH(LARGE($T$8:$T$207,ROWS($A$8:A187)),$T$8:$T$207,0)),"")</f>
        <v/>
      </c>
      <c r="F187" s="36">
        <f>IFERROR(INDEX($P$8:$P$207,MATCH(LARGE($T$8:$T$207,ROWS($A$8:A187)),$T$8:$T$207,0)),"")</f>
        <v/>
      </c>
      <c r="G187" s="37">
        <f>IFERROR(INDEX($Q$8:$Q$207,MATCH(LARGE($T$8:$T$207,ROWS($A$8:A187)),$T$8:$T$207,0)),"")</f>
        <v/>
      </c>
      <c r="H187" s="37">
        <f>IFERROR(INDEX($R$8:$R$207,MATCH(LARGE($T$8:$T$207,ROWS($A$8:A187)),$T$8:$T$207,0)),"")</f>
        <v/>
      </c>
      <c r="I187" s="37">
        <f>IFERROR(INDEX($S$8:$S$207,MATCH(LARGE($T$8:$T$207,ROWS($A$8:A187)),$T$8:$T$207,0)),"")</f>
        <v/>
      </c>
      <c r="K187">
        <f>IF(Trabajadores!B184="","",Trabajadores!B184)</f>
        <v/>
      </c>
      <c r="L187">
        <f>IF(K187="","",COUNTIFS(Detalle_Pagos!$E$5:$E$2004,K187,Detalle_Pagos!$B$5:$B$2004,"&gt;="&amp;$B$3,Detalle_Pagos!$B$5:$B$2004,"&lt;="&amp;$B$4))</f>
        <v/>
      </c>
      <c r="M187" s="43">
        <f>IF(K187="","",SUMIFS(Detalle_Pagos!$I$5:$I$2004,Detalle_Pagos!$E$5:$E$2004,K187,Detalle_Pagos!$J$5:$J$2004,"Si",Detalle_Pagos!$B$5:$B$2004,"&gt;="&amp;$B$3,Detalle_Pagos!$B$5:$B$2004,"&lt;="&amp;$B$4))</f>
        <v/>
      </c>
      <c r="N187" s="43">
        <f>IF(K187="","",SUMIFS(Detalle_Pagos!$I$5:$I$2004,Detalle_Pagos!$E$5:$E$2004,K187,Detalle_Pagos!$J$5:$J$2004,"No",Detalle_Pagos!$B$5:$B$2004,"&gt;="&amp;$B$3,Detalle_Pagos!$B$5:$B$2004,"&lt;="&amp;$B$4))</f>
        <v/>
      </c>
      <c r="O187">
        <f>IF(K187="","",COUNTIFS(Detalle_Pagos!$E$5:$E$2004,K187,Detalle_Pagos!$J$5:$J$2004,"No",Detalle_Pagos!$B$5:$B$2004,"&gt;="&amp;$B$3,Detalle_Pagos!$B$5:$B$2004,"&lt;="&amp;$B$4))</f>
        <v/>
      </c>
      <c r="P187">
        <f>IF(K187="","",COUNTIFS(Detalle_Pagos!$E$5:$E$2004,K187,Detalle_Pagos!$J$5:$J$2004,"Si",Detalle_Pagos!$B$5:$B$2004,"&gt;="&amp;$B$3,Detalle_Pagos!$B$5:$B$2004,"&lt;="&amp;$B$4))</f>
        <v/>
      </c>
      <c r="Q187" s="43">
        <f>IF(K187="","",O187*IFERROR(INDEX(Trabajadores!$D$5:$D$204,MATCH(K187,Trabajadores!$B$5:$B$204,0)),0))</f>
        <v/>
      </c>
      <c r="R187" s="43">
        <f>IF(K187="","",N187+Q187)</f>
        <v/>
      </c>
      <c r="S187" s="43">
        <f>IF(K187="","",M187+N187)</f>
        <v/>
      </c>
      <c r="T187">
        <f>IF(K187="","",S187+R187/100000+L187/100000000+(100000-ROW())/1000000000)</f>
        <v/>
      </c>
    </row>
    <row r="188">
      <c r="A188" s="38">
        <f>IFERROR(INDEX($K$8:$K$207,MATCH(LARGE($T$8:$T$207,ROWS($A$8:A188)),$T$8:$T$207,0)),"")</f>
        <v/>
      </c>
      <c r="B188" s="38">
        <f>IFERROR(INDEX($L$8:$L$207,MATCH(LARGE($T$8:$T$207,ROWS($A$8:A188)),$T$8:$T$207,0)),"")</f>
        <v/>
      </c>
      <c r="C188" s="39">
        <f>IFERROR(INDEX($M$8:$M$207,MATCH(LARGE($T$8:$T$207,ROWS($A$8:A188)),$T$8:$T$207,0)),"")</f>
        <v/>
      </c>
      <c r="D188" s="39">
        <f>IFERROR(INDEX($N$8:$N$207,MATCH(LARGE($T$8:$T$207,ROWS($A$8:A188)),$T$8:$T$207,0)),"")</f>
        <v/>
      </c>
      <c r="E188" s="38">
        <f>IFERROR(INDEX($O$8:$O$207,MATCH(LARGE($T$8:$T$207,ROWS($A$8:A188)),$T$8:$T$207,0)),"")</f>
        <v/>
      </c>
      <c r="F188" s="38">
        <f>IFERROR(INDEX($P$8:$P$207,MATCH(LARGE($T$8:$T$207,ROWS($A$8:A188)),$T$8:$T$207,0)),"")</f>
        <v/>
      </c>
      <c r="G188" s="39">
        <f>IFERROR(INDEX($Q$8:$Q$207,MATCH(LARGE($T$8:$T$207,ROWS($A$8:A188)),$T$8:$T$207,0)),"")</f>
        <v/>
      </c>
      <c r="H188" s="39">
        <f>IFERROR(INDEX($R$8:$R$207,MATCH(LARGE($T$8:$T$207,ROWS($A$8:A188)),$T$8:$T$207,0)),"")</f>
        <v/>
      </c>
      <c r="I188" s="39">
        <f>IFERROR(INDEX($S$8:$S$207,MATCH(LARGE($T$8:$T$207,ROWS($A$8:A188)),$T$8:$T$207,0)),"")</f>
        <v/>
      </c>
      <c r="K188">
        <f>IF(Trabajadores!B185="","",Trabajadores!B185)</f>
        <v/>
      </c>
      <c r="L188">
        <f>IF(K188="","",COUNTIFS(Detalle_Pagos!$E$5:$E$2004,K188,Detalle_Pagos!$B$5:$B$2004,"&gt;="&amp;$B$3,Detalle_Pagos!$B$5:$B$2004,"&lt;="&amp;$B$4))</f>
        <v/>
      </c>
      <c r="M188" s="43">
        <f>IF(K188="","",SUMIFS(Detalle_Pagos!$I$5:$I$2004,Detalle_Pagos!$E$5:$E$2004,K188,Detalle_Pagos!$J$5:$J$2004,"Si",Detalle_Pagos!$B$5:$B$2004,"&gt;="&amp;$B$3,Detalle_Pagos!$B$5:$B$2004,"&lt;="&amp;$B$4))</f>
        <v/>
      </c>
      <c r="N188" s="43">
        <f>IF(K188="","",SUMIFS(Detalle_Pagos!$I$5:$I$2004,Detalle_Pagos!$E$5:$E$2004,K188,Detalle_Pagos!$J$5:$J$2004,"No",Detalle_Pagos!$B$5:$B$2004,"&gt;="&amp;$B$3,Detalle_Pagos!$B$5:$B$2004,"&lt;="&amp;$B$4))</f>
        <v/>
      </c>
      <c r="O188">
        <f>IF(K188="","",COUNTIFS(Detalle_Pagos!$E$5:$E$2004,K188,Detalle_Pagos!$J$5:$J$2004,"No",Detalle_Pagos!$B$5:$B$2004,"&gt;="&amp;$B$3,Detalle_Pagos!$B$5:$B$2004,"&lt;="&amp;$B$4))</f>
        <v/>
      </c>
      <c r="P188">
        <f>IF(K188="","",COUNTIFS(Detalle_Pagos!$E$5:$E$2004,K188,Detalle_Pagos!$J$5:$J$2004,"Si",Detalle_Pagos!$B$5:$B$2004,"&gt;="&amp;$B$3,Detalle_Pagos!$B$5:$B$2004,"&lt;="&amp;$B$4))</f>
        <v/>
      </c>
      <c r="Q188" s="43">
        <f>IF(K188="","",O188*IFERROR(INDEX(Trabajadores!$D$5:$D$204,MATCH(K188,Trabajadores!$B$5:$B$204,0)),0))</f>
        <v/>
      </c>
      <c r="R188" s="43">
        <f>IF(K188="","",N188+Q188)</f>
        <v/>
      </c>
      <c r="S188" s="43">
        <f>IF(K188="","",M188+N188)</f>
        <v/>
      </c>
      <c r="T188">
        <f>IF(K188="","",S188+R188/100000+L188/100000000+(100000-ROW())/1000000000)</f>
        <v/>
      </c>
    </row>
    <row r="189">
      <c r="A189" s="36">
        <f>IFERROR(INDEX($K$8:$K$207,MATCH(LARGE($T$8:$T$207,ROWS($A$8:A189)),$T$8:$T$207,0)),"")</f>
        <v/>
      </c>
      <c r="B189" s="36">
        <f>IFERROR(INDEX($L$8:$L$207,MATCH(LARGE($T$8:$T$207,ROWS($A$8:A189)),$T$8:$T$207,0)),"")</f>
        <v/>
      </c>
      <c r="C189" s="37">
        <f>IFERROR(INDEX($M$8:$M$207,MATCH(LARGE($T$8:$T$207,ROWS($A$8:A189)),$T$8:$T$207,0)),"")</f>
        <v/>
      </c>
      <c r="D189" s="37">
        <f>IFERROR(INDEX($N$8:$N$207,MATCH(LARGE($T$8:$T$207,ROWS($A$8:A189)),$T$8:$T$207,0)),"")</f>
        <v/>
      </c>
      <c r="E189" s="36">
        <f>IFERROR(INDEX($O$8:$O$207,MATCH(LARGE($T$8:$T$207,ROWS($A$8:A189)),$T$8:$T$207,0)),"")</f>
        <v/>
      </c>
      <c r="F189" s="36">
        <f>IFERROR(INDEX($P$8:$P$207,MATCH(LARGE($T$8:$T$207,ROWS($A$8:A189)),$T$8:$T$207,0)),"")</f>
        <v/>
      </c>
      <c r="G189" s="37">
        <f>IFERROR(INDEX($Q$8:$Q$207,MATCH(LARGE($T$8:$T$207,ROWS($A$8:A189)),$T$8:$T$207,0)),"")</f>
        <v/>
      </c>
      <c r="H189" s="37">
        <f>IFERROR(INDEX($R$8:$R$207,MATCH(LARGE($T$8:$T$207,ROWS($A$8:A189)),$T$8:$T$207,0)),"")</f>
        <v/>
      </c>
      <c r="I189" s="37">
        <f>IFERROR(INDEX($S$8:$S$207,MATCH(LARGE($T$8:$T$207,ROWS($A$8:A189)),$T$8:$T$207,0)),"")</f>
        <v/>
      </c>
      <c r="K189">
        <f>IF(Trabajadores!B186="","",Trabajadores!B186)</f>
        <v/>
      </c>
      <c r="L189">
        <f>IF(K189="","",COUNTIFS(Detalle_Pagos!$E$5:$E$2004,K189,Detalle_Pagos!$B$5:$B$2004,"&gt;="&amp;$B$3,Detalle_Pagos!$B$5:$B$2004,"&lt;="&amp;$B$4))</f>
        <v/>
      </c>
      <c r="M189" s="43">
        <f>IF(K189="","",SUMIFS(Detalle_Pagos!$I$5:$I$2004,Detalle_Pagos!$E$5:$E$2004,K189,Detalle_Pagos!$J$5:$J$2004,"Si",Detalle_Pagos!$B$5:$B$2004,"&gt;="&amp;$B$3,Detalle_Pagos!$B$5:$B$2004,"&lt;="&amp;$B$4))</f>
        <v/>
      </c>
      <c r="N189" s="43">
        <f>IF(K189="","",SUMIFS(Detalle_Pagos!$I$5:$I$2004,Detalle_Pagos!$E$5:$E$2004,K189,Detalle_Pagos!$J$5:$J$2004,"No",Detalle_Pagos!$B$5:$B$2004,"&gt;="&amp;$B$3,Detalle_Pagos!$B$5:$B$2004,"&lt;="&amp;$B$4))</f>
        <v/>
      </c>
      <c r="O189">
        <f>IF(K189="","",COUNTIFS(Detalle_Pagos!$E$5:$E$2004,K189,Detalle_Pagos!$J$5:$J$2004,"No",Detalle_Pagos!$B$5:$B$2004,"&gt;="&amp;$B$3,Detalle_Pagos!$B$5:$B$2004,"&lt;="&amp;$B$4))</f>
        <v/>
      </c>
      <c r="P189">
        <f>IF(K189="","",COUNTIFS(Detalle_Pagos!$E$5:$E$2004,K189,Detalle_Pagos!$J$5:$J$2004,"Si",Detalle_Pagos!$B$5:$B$2004,"&gt;="&amp;$B$3,Detalle_Pagos!$B$5:$B$2004,"&lt;="&amp;$B$4))</f>
        <v/>
      </c>
      <c r="Q189" s="43">
        <f>IF(K189="","",O189*IFERROR(INDEX(Trabajadores!$D$5:$D$204,MATCH(K189,Trabajadores!$B$5:$B$204,0)),0))</f>
        <v/>
      </c>
      <c r="R189" s="43">
        <f>IF(K189="","",N189+Q189)</f>
        <v/>
      </c>
      <c r="S189" s="43">
        <f>IF(K189="","",M189+N189)</f>
        <v/>
      </c>
      <c r="T189">
        <f>IF(K189="","",S189+R189/100000+L189/100000000+(100000-ROW())/1000000000)</f>
        <v/>
      </c>
    </row>
    <row r="190">
      <c r="A190" s="38">
        <f>IFERROR(INDEX($K$8:$K$207,MATCH(LARGE($T$8:$T$207,ROWS($A$8:A190)),$T$8:$T$207,0)),"")</f>
        <v/>
      </c>
      <c r="B190" s="38">
        <f>IFERROR(INDEX($L$8:$L$207,MATCH(LARGE($T$8:$T$207,ROWS($A$8:A190)),$T$8:$T$207,0)),"")</f>
        <v/>
      </c>
      <c r="C190" s="39">
        <f>IFERROR(INDEX($M$8:$M$207,MATCH(LARGE($T$8:$T$207,ROWS($A$8:A190)),$T$8:$T$207,0)),"")</f>
        <v/>
      </c>
      <c r="D190" s="39">
        <f>IFERROR(INDEX($N$8:$N$207,MATCH(LARGE($T$8:$T$207,ROWS($A$8:A190)),$T$8:$T$207,0)),"")</f>
        <v/>
      </c>
      <c r="E190" s="38">
        <f>IFERROR(INDEX($O$8:$O$207,MATCH(LARGE($T$8:$T$207,ROWS($A$8:A190)),$T$8:$T$207,0)),"")</f>
        <v/>
      </c>
      <c r="F190" s="38">
        <f>IFERROR(INDEX($P$8:$P$207,MATCH(LARGE($T$8:$T$207,ROWS($A$8:A190)),$T$8:$T$207,0)),"")</f>
        <v/>
      </c>
      <c r="G190" s="39">
        <f>IFERROR(INDEX($Q$8:$Q$207,MATCH(LARGE($T$8:$T$207,ROWS($A$8:A190)),$T$8:$T$207,0)),"")</f>
        <v/>
      </c>
      <c r="H190" s="39">
        <f>IFERROR(INDEX($R$8:$R$207,MATCH(LARGE($T$8:$T$207,ROWS($A$8:A190)),$T$8:$T$207,0)),"")</f>
        <v/>
      </c>
      <c r="I190" s="39">
        <f>IFERROR(INDEX($S$8:$S$207,MATCH(LARGE($T$8:$T$207,ROWS($A$8:A190)),$T$8:$T$207,0)),"")</f>
        <v/>
      </c>
      <c r="K190">
        <f>IF(Trabajadores!B187="","",Trabajadores!B187)</f>
        <v/>
      </c>
      <c r="L190">
        <f>IF(K190="","",COUNTIFS(Detalle_Pagos!$E$5:$E$2004,K190,Detalle_Pagos!$B$5:$B$2004,"&gt;="&amp;$B$3,Detalle_Pagos!$B$5:$B$2004,"&lt;="&amp;$B$4))</f>
        <v/>
      </c>
      <c r="M190" s="43">
        <f>IF(K190="","",SUMIFS(Detalle_Pagos!$I$5:$I$2004,Detalle_Pagos!$E$5:$E$2004,K190,Detalle_Pagos!$J$5:$J$2004,"Si",Detalle_Pagos!$B$5:$B$2004,"&gt;="&amp;$B$3,Detalle_Pagos!$B$5:$B$2004,"&lt;="&amp;$B$4))</f>
        <v/>
      </c>
      <c r="N190" s="43">
        <f>IF(K190="","",SUMIFS(Detalle_Pagos!$I$5:$I$2004,Detalle_Pagos!$E$5:$E$2004,K190,Detalle_Pagos!$J$5:$J$2004,"No",Detalle_Pagos!$B$5:$B$2004,"&gt;="&amp;$B$3,Detalle_Pagos!$B$5:$B$2004,"&lt;="&amp;$B$4))</f>
        <v/>
      </c>
      <c r="O190">
        <f>IF(K190="","",COUNTIFS(Detalle_Pagos!$E$5:$E$2004,K190,Detalle_Pagos!$J$5:$J$2004,"No",Detalle_Pagos!$B$5:$B$2004,"&gt;="&amp;$B$3,Detalle_Pagos!$B$5:$B$2004,"&lt;="&amp;$B$4))</f>
        <v/>
      </c>
      <c r="P190">
        <f>IF(K190="","",COUNTIFS(Detalle_Pagos!$E$5:$E$2004,K190,Detalle_Pagos!$J$5:$J$2004,"Si",Detalle_Pagos!$B$5:$B$2004,"&gt;="&amp;$B$3,Detalle_Pagos!$B$5:$B$2004,"&lt;="&amp;$B$4))</f>
        <v/>
      </c>
      <c r="Q190" s="43">
        <f>IF(K190="","",O190*IFERROR(INDEX(Trabajadores!$D$5:$D$204,MATCH(K190,Trabajadores!$B$5:$B$204,0)),0))</f>
        <v/>
      </c>
      <c r="R190" s="43">
        <f>IF(K190="","",N190+Q190)</f>
        <v/>
      </c>
      <c r="S190" s="43">
        <f>IF(K190="","",M190+N190)</f>
        <v/>
      </c>
      <c r="T190">
        <f>IF(K190="","",S190+R190/100000+L190/100000000+(100000-ROW())/1000000000)</f>
        <v/>
      </c>
    </row>
    <row r="191">
      <c r="A191" s="36">
        <f>IFERROR(INDEX($K$8:$K$207,MATCH(LARGE($T$8:$T$207,ROWS($A$8:A191)),$T$8:$T$207,0)),"")</f>
        <v/>
      </c>
      <c r="B191" s="36">
        <f>IFERROR(INDEX($L$8:$L$207,MATCH(LARGE($T$8:$T$207,ROWS($A$8:A191)),$T$8:$T$207,0)),"")</f>
        <v/>
      </c>
      <c r="C191" s="37">
        <f>IFERROR(INDEX($M$8:$M$207,MATCH(LARGE($T$8:$T$207,ROWS($A$8:A191)),$T$8:$T$207,0)),"")</f>
        <v/>
      </c>
      <c r="D191" s="37">
        <f>IFERROR(INDEX($N$8:$N$207,MATCH(LARGE($T$8:$T$207,ROWS($A$8:A191)),$T$8:$T$207,0)),"")</f>
        <v/>
      </c>
      <c r="E191" s="36">
        <f>IFERROR(INDEX($O$8:$O$207,MATCH(LARGE($T$8:$T$207,ROWS($A$8:A191)),$T$8:$T$207,0)),"")</f>
        <v/>
      </c>
      <c r="F191" s="36">
        <f>IFERROR(INDEX($P$8:$P$207,MATCH(LARGE($T$8:$T$207,ROWS($A$8:A191)),$T$8:$T$207,0)),"")</f>
        <v/>
      </c>
      <c r="G191" s="37">
        <f>IFERROR(INDEX($Q$8:$Q$207,MATCH(LARGE($T$8:$T$207,ROWS($A$8:A191)),$T$8:$T$207,0)),"")</f>
        <v/>
      </c>
      <c r="H191" s="37">
        <f>IFERROR(INDEX($R$8:$R$207,MATCH(LARGE($T$8:$T$207,ROWS($A$8:A191)),$T$8:$T$207,0)),"")</f>
        <v/>
      </c>
      <c r="I191" s="37">
        <f>IFERROR(INDEX($S$8:$S$207,MATCH(LARGE($T$8:$T$207,ROWS($A$8:A191)),$T$8:$T$207,0)),"")</f>
        <v/>
      </c>
      <c r="K191">
        <f>IF(Trabajadores!B188="","",Trabajadores!B188)</f>
        <v/>
      </c>
      <c r="L191">
        <f>IF(K191="","",COUNTIFS(Detalle_Pagos!$E$5:$E$2004,K191,Detalle_Pagos!$B$5:$B$2004,"&gt;="&amp;$B$3,Detalle_Pagos!$B$5:$B$2004,"&lt;="&amp;$B$4))</f>
        <v/>
      </c>
      <c r="M191" s="43">
        <f>IF(K191="","",SUMIFS(Detalle_Pagos!$I$5:$I$2004,Detalle_Pagos!$E$5:$E$2004,K191,Detalle_Pagos!$J$5:$J$2004,"Si",Detalle_Pagos!$B$5:$B$2004,"&gt;="&amp;$B$3,Detalle_Pagos!$B$5:$B$2004,"&lt;="&amp;$B$4))</f>
        <v/>
      </c>
      <c r="N191" s="43">
        <f>IF(K191="","",SUMIFS(Detalle_Pagos!$I$5:$I$2004,Detalle_Pagos!$E$5:$E$2004,K191,Detalle_Pagos!$J$5:$J$2004,"No",Detalle_Pagos!$B$5:$B$2004,"&gt;="&amp;$B$3,Detalle_Pagos!$B$5:$B$2004,"&lt;="&amp;$B$4))</f>
        <v/>
      </c>
      <c r="O191">
        <f>IF(K191="","",COUNTIFS(Detalle_Pagos!$E$5:$E$2004,K191,Detalle_Pagos!$J$5:$J$2004,"No",Detalle_Pagos!$B$5:$B$2004,"&gt;="&amp;$B$3,Detalle_Pagos!$B$5:$B$2004,"&lt;="&amp;$B$4))</f>
        <v/>
      </c>
      <c r="P191">
        <f>IF(K191="","",COUNTIFS(Detalle_Pagos!$E$5:$E$2004,K191,Detalle_Pagos!$J$5:$J$2004,"Si",Detalle_Pagos!$B$5:$B$2004,"&gt;="&amp;$B$3,Detalle_Pagos!$B$5:$B$2004,"&lt;="&amp;$B$4))</f>
        <v/>
      </c>
      <c r="Q191" s="43">
        <f>IF(K191="","",O191*IFERROR(INDEX(Trabajadores!$D$5:$D$204,MATCH(K191,Trabajadores!$B$5:$B$204,0)),0))</f>
        <v/>
      </c>
      <c r="R191" s="43">
        <f>IF(K191="","",N191+Q191)</f>
        <v/>
      </c>
      <c r="S191" s="43">
        <f>IF(K191="","",M191+N191)</f>
        <v/>
      </c>
      <c r="T191">
        <f>IF(K191="","",S191+R191/100000+L191/100000000+(100000-ROW())/1000000000)</f>
        <v/>
      </c>
    </row>
    <row r="192">
      <c r="A192" s="38">
        <f>IFERROR(INDEX($K$8:$K$207,MATCH(LARGE($T$8:$T$207,ROWS($A$8:A192)),$T$8:$T$207,0)),"")</f>
        <v/>
      </c>
      <c r="B192" s="38">
        <f>IFERROR(INDEX($L$8:$L$207,MATCH(LARGE($T$8:$T$207,ROWS($A$8:A192)),$T$8:$T$207,0)),"")</f>
        <v/>
      </c>
      <c r="C192" s="39">
        <f>IFERROR(INDEX($M$8:$M$207,MATCH(LARGE($T$8:$T$207,ROWS($A$8:A192)),$T$8:$T$207,0)),"")</f>
        <v/>
      </c>
      <c r="D192" s="39">
        <f>IFERROR(INDEX($N$8:$N$207,MATCH(LARGE($T$8:$T$207,ROWS($A$8:A192)),$T$8:$T$207,0)),"")</f>
        <v/>
      </c>
      <c r="E192" s="38">
        <f>IFERROR(INDEX($O$8:$O$207,MATCH(LARGE($T$8:$T$207,ROWS($A$8:A192)),$T$8:$T$207,0)),"")</f>
        <v/>
      </c>
      <c r="F192" s="38">
        <f>IFERROR(INDEX($P$8:$P$207,MATCH(LARGE($T$8:$T$207,ROWS($A$8:A192)),$T$8:$T$207,0)),"")</f>
        <v/>
      </c>
      <c r="G192" s="39">
        <f>IFERROR(INDEX($Q$8:$Q$207,MATCH(LARGE($T$8:$T$207,ROWS($A$8:A192)),$T$8:$T$207,0)),"")</f>
        <v/>
      </c>
      <c r="H192" s="39">
        <f>IFERROR(INDEX($R$8:$R$207,MATCH(LARGE($T$8:$T$207,ROWS($A$8:A192)),$T$8:$T$207,0)),"")</f>
        <v/>
      </c>
      <c r="I192" s="39">
        <f>IFERROR(INDEX($S$8:$S$207,MATCH(LARGE($T$8:$T$207,ROWS($A$8:A192)),$T$8:$T$207,0)),"")</f>
        <v/>
      </c>
      <c r="K192">
        <f>IF(Trabajadores!B189="","",Trabajadores!B189)</f>
        <v/>
      </c>
      <c r="L192">
        <f>IF(K192="","",COUNTIFS(Detalle_Pagos!$E$5:$E$2004,K192,Detalle_Pagos!$B$5:$B$2004,"&gt;="&amp;$B$3,Detalle_Pagos!$B$5:$B$2004,"&lt;="&amp;$B$4))</f>
        <v/>
      </c>
      <c r="M192" s="43">
        <f>IF(K192="","",SUMIFS(Detalle_Pagos!$I$5:$I$2004,Detalle_Pagos!$E$5:$E$2004,K192,Detalle_Pagos!$J$5:$J$2004,"Si",Detalle_Pagos!$B$5:$B$2004,"&gt;="&amp;$B$3,Detalle_Pagos!$B$5:$B$2004,"&lt;="&amp;$B$4))</f>
        <v/>
      </c>
      <c r="N192" s="43">
        <f>IF(K192="","",SUMIFS(Detalle_Pagos!$I$5:$I$2004,Detalle_Pagos!$E$5:$E$2004,K192,Detalle_Pagos!$J$5:$J$2004,"No",Detalle_Pagos!$B$5:$B$2004,"&gt;="&amp;$B$3,Detalle_Pagos!$B$5:$B$2004,"&lt;="&amp;$B$4))</f>
        <v/>
      </c>
      <c r="O192">
        <f>IF(K192="","",COUNTIFS(Detalle_Pagos!$E$5:$E$2004,K192,Detalle_Pagos!$J$5:$J$2004,"No",Detalle_Pagos!$B$5:$B$2004,"&gt;="&amp;$B$3,Detalle_Pagos!$B$5:$B$2004,"&lt;="&amp;$B$4))</f>
        <v/>
      </c>
      <c r="P192">
        <f>IF(K192="","",COUNTIFS(Detalle_Pagos!$E$5:$E$2004,K192,Detalle_Pagos!$J$5:$J$2004,"Si",Detalle_Pagos!$B$5:$B$2004,"&gt;="&amp;$B$3,Detalle_Pagos!$B$5:$B$2004,"&lt;="&amp;$B$4))</f>
        <v/>
      </c>
      <c r="Q192" s="43">
        <f>IF(K192="","",O192*IFERROR(INDEX(Trabajadores!$D$5:$D$204,MATCH(K192,Trabajadores!$B$5:$B$204,0)),0))</f>
        <v/>
      </c>
      <c r="R192" s="43">
        <f>IF(K192="","",N192+Q192)</f>
        <v/>
      </c>
      <c r="S192" s="43">
        <f>IF(K192="","",M192+N192)</f>
        <v/>
      </c>
      <c r="T192">
        <f>IF(K192="","",S192+R192/100000+L192/100000000+(100000-ROW())/1000000000)</f>
        <v/>
      </c>
    </row>
    <row r="193">
      <c r="A193" s="36">
        <f>IFERROR(INDEX($K$8:$K$207,MATCH(LARGE($T$8:$T$207,ROWS($A$8:A193)),$T$8:$T$207,0)),"")</f>
        <v/>
      </c>
      <c r="B193" s="36">
        <f>IFERROR(INDEX($L$8:$L$207,MATCH(LARGE($T$8:$T$207,ROWS($A$8:A193)),$T$8:$T$207,0)),"")</f>
        <v/>
      </c>
      <c r="C193" s="37">
        <f>IFERROR(INDEX($M$8:$M$207,MATCH(LARGE($T$8:$T$207,ROWS($A$8:A193)),$T$8:$T$207,0)),"")</f>
        <v/>
      </c>
      <c r="D193" s="37">
        <f>IFERROR(INDEX($N$8:$N$207,MATCH(LARGE($T$8:$T$207,ROWS($A$8:A193)),$T$8:$T$207,0)),"")</f>
        <v/>
      </c>
      <c r="E193" s="36">
        <f>IFERROR(INDEX($O$8:$O$207,MATCH(LARGE($T$8:$T$207,ROWS($A$8:A193)),$T$8:$T$207,0)),"")</f>
        <v/>
      </c>
      <c r="F193" s="36">
        <f>IFERROR(INDEX($P$8:$P$207,MATCH(LARGE($T$8:$T$207,ROWS($A$8:A193)),$T$8:$T$207,0)),"")</f>
        <v/>
      </c>
      <c r="G193" s="37">
        <f>IFERROR(INDEX($Q$8:$Q$207,MATCH(LARGE($T$8:$T$207,ROWS($A$8:A193)),$T$8:$T$207,0)),"")</f>
        <v/>
      </c>
      <c r="H193" s="37">
        <f>IFERROR(INDEX($R$8:$R$207,MATCH(LARGE($T$8:$T$207,ROWS($A$8:A193)),$T$8:$T$207,0)),"")</f>
        <v/>
      </c>
      <c r="I193" s="37">
        <f>IFERROR(INDEX($S$8:$S$207,MATCH(LARGE($T$8:$T$207,ROWS($A$8:A193)),$T$8:$T$207,0)),"")</f>
        <v/>
      </c>
      <c r="K193">
        <f>IF(Trabajadores!B190="","",Trabajadores!B190)</f>
        <v/>
      </c>
      <c r="L193">
        <f>IF(K193="","",COUNTIFS(Detalle_Pagos!$E$5:$E$2004,K193,Detalle_Pagos!$B$5:$B$2004,"&gt;="&amp;$B$3,Detalle_Pagos!$B$5:$B$2004,"&lt;="&amp;$B$4))</f>
        <v/>
      </c>
      <c r="M193" s="43">
        <f>IF(K193="","",SUMIFS(Detalle_Pagos!$I$5:$I$2004,Detalle_Pagos!$E$5:$E$2004,K193,Detalle_Pagos!$J$5:$J$2004,"Si",Detalle_Pagos!$B$5:$B$2004,"&gt;="&amp;$B$3,Detalle_Pagos!$B$5:$B$2004,"&lt;="&amp;$B$4))</f>
        <v/>
      </c>
      <c r="N193" s="43">
        <f>IF(K193="","",SUMIFS(Detalle_Pagos!$I$5:$I$2004,Detalle_Pagos!$E$5:$E$2004,K193,Detalle_Pagos!$J$5:$J$2004,"No",Detalle_Pagos!$B$5:$B$2004,"&gt;="&amp;$B$3,Detalle_Pagos!$B$5:$B$2004,"&lt;="&amp;$B$4))</f>
        <v/>
      </c>
      <c r="O193">
        <f>IF(K193="","",COUNTIFS(Detalle_Pagos!$E$5:$E$2004,K193,Detalle_Pagos!$J$5:$J$2004,"No",Detalle_Pagos!$B$5:$B$2004,"&gt;="&amp;$B$3,Detalle_Pagos!$B$5:$B$2004,"&lt;="&amp;$B$4))</f>
        <v/>
      </c>
      <c r="P193">
        <f>IF(K193="","",COUNTIFS(Detalle_Pagos!$E$5:$E$2004,K193,Detalle_Pagos!$J$5:$J$2004,"Si",Detalle_Pagos!$B$5:$B$2004,"&gt;="&amp;$B$3,Detalle_Pagos!$B$5:$B$2004,"&lt;="&amp;$B$4))</f>
        <v/>
      </c>
      <c r="Q193" s="43">
        <f>IF(K193="","",O193*IFERROR(INDEX(Trabajadores!$D$5:$D$204,MATCH(K193,Trabajadores!$B$5:$B$204,0)),0))</f>
        <v/>
      </c>
      <c r="R193" s="43">
        <f>IF(K193="","",N193+Q193)</f>
        <v/>
      </c>
      <c r="S193" s="43">
        <f>IF(K193="","",M193+N193)</f>
        <v/>
      </c>
      <c r="T193">
        <f>IF(K193="","",S193+R193/100000+L193/100000000+(100000-ROW())/1000000000)</f>
        <v/>
      </c>
    </row>
    <row r="194">
      <c r="A194" s="38">
        <f>IFERROR(INDEX($K$8:$K$207,MATCH(LARGE($T$8:$T$207,ROWS($A$8:A194)),$T$8:$T$207,0)),"")</f>
        <v/>
      </c>
      <c r="B194" s="38">
        <f>IFERROR(INDEX($L$8:$L$207,MATCH(LARGE($T$8:$T$207,ROWS($A$8:A194)),$T$8:$T$207,0)),"")</f>
        <v/>
      </c>
      <c r="C194" s="39">
        <f>IFERROR(INDEX($M$8:$M$207,MATCH(LARGE($T$8:$T$207,ROWS($A$8:A194)),$T$8:$T$207,0)),"")</f>
        <v/>
      </c>
      <c r="D194" s="39">
        <f>IFERROR(INDEX($N$8:$N$207,MATCH(LARGE($T$8:$T$207,ROWS($A$8:A194)),$T$8:$T$207,0)),"")</f>
        <v/>
      </c>
      <c r="E194" s="38">
        <f>IFERROR(INDEX($O$8:$O$207,MATCH(LARGE($T$8:$T$207,ROWS($A$8:A194)),$T$8:$T$207,0)),"")</f>
        <v/>
      </c>
      <c r="F194" s="38">
        <f>IFERROR(INDEX($P$8:$P$207,MATCH(LARGE($T$8:$T$207,ROWS($A$8:A194)),$T$8:$T$207,0)),"")</f>
        <v/>
      </c>
      <c r="G194" s="39">
        <f>IFERROR(INDEX($Q$8:$Q$207,MATCH(LARGE($T$8:$T$207,ROWS($A$8:A194)),$T$8:$T$207,0)),"")</f>
        <v/>
      </c>
      <c r="H194" s="39">
        <f>IFERROR(INDEX($R$8:$R$207,MATCH(LARGE($T$8:$T$207,ROWS($A$8:A194)),$T$8:$T$207,0)),"")</f>
        <v/>
      </c>
      <c r="I194" s="39">
        <f>IFERROR(INDEX($S$8:$S$207,MATCH(LARGE($T$8:$T$207,ROWS($A$8:A194)),$T$8:$T$207,0)),"")</f>
        <v/>
      </c>
      <c r="K194">
        <f>IF(Trabajadores!B191="","",Trabajadores!B191)</f>
        <v/>
      </c>
      <c r="L194">
        <f>IF(K194="","",COUNTIFS(Detalle_Pagos!$E$5:$E$2004,K194,Detalle_Pagos!$B$5:$B$2004,"&gt;="&amp;$B$3,Detalle_Pagos!$B$5:$B$2004,"&lt;="&amp;$B$4))</f>
        <v/>
      </c>
      <c r="M194" s="43">
        <f>IF(K194="","",SUMIFS(Detalle_Pagos!$I$5:$I$2004,Detalle_Pagos!$E$5:$E$2004,K194,Detalle_Pagos!$J$5:$J$2004,"Si",Detalle_Pagos!$B$5:$B$2004,"&gt;="&amp;$B$3,Detalle_Pagos!$B$5:$B$2004,"&lt;="&amp;$B$4))</f>
        <v/>
      </c>
      <c r="N194" s="43">
        <f>IF(K194="","",SUMIFS(Detalle_Pagos!$I$5:$I$2004,Detalle_Pagos!$E$5:$E$2004,K194,Detalle_Pagos!$J$5:$J$2004,"No",Detalle_Pagos!$B$5:$B$2004,"&gt;="&amp;$B$3,Detalle_Pagos!$B$5:$B$2004,"&lt;="&amp;$B$4))</f>
        <v/>
      </c>
      <c r="O194">
        <f>IF(K194="","",COUNTIFS(Detalle_Pagos!$E$5:$E$2004,K194,Detalle_Pagos!$J$5:$J$2004,"No",Detalle_Pagos!$B$5:$B$2004,"&gt;="&amp;$B$3,Detalle_Pagos!$B$5:$B$2004,"&lt;="&amp;$B$4))</f>
        <v/>
      </c>
      <c r="P194">
        <f>IF(K194="","",COUNTIFS(Detalle_Pagos!$E$5:$E$2004,K194,Detalle_Pagos!$J$5:$J$2004,"Si",Detalle_Pagos!$B$5:$B$2004,"&gt;="&amp;$B$3,Detalle_Pagos!$B$5:$B$2004,"&lt;="&amp;$B$4))</f>
        <v/>
      </c>
      <c r="Q194" s="43">
        <f>IF(K194="","",O194*IFERROR(INDEX(Trabajadores!$D$5:$D$204,MATCH(K194,Trabajadores!$B$5:$B$204,0)),0))</f>
        <v/>
      </c>
      <c r="R194" s="43">
        <f>IF(K194="","",N194+Q194)</f>
        <v/>
      </c>
      <c r="S194" s="43">
        <f>IF(K194="","",M194+N194)</f>
        <v/>
      </c>
      <c r="T194">
        <f>IF(K194="","",S194+R194/100000+L194/100000000+(100000-ROW())/1000000000)</f>
        <v/>
      </c>
    </row>
    <row r="195">
      <c r="A195" s="36">
        <f>IFERROR(INDEX($K$8:$K$207,MATCH(LARGE($T$8:$T$207,ROWS($A$8:A195)),$T$8:$T$207,0)),"")</f>
        <v/>
      </c>
      <c r="B195" s="36">
        <f>IFERROR(INDEX($L$8:$L$207,MATCH(LARGE($T$8:$T$207,ROWS($A$8:A195)),$T$8:$T$207,0)),"")</f>
        <v/>
      </c>
      <c r="C195" s="37">
        <f>IFERROR(INDEX($M$8:$M$207,MATCH(LARGE($T$8:$T$207,ROWS($A$8:A195)),$T$8:$T$207,0)),"")</f>
        <v/>
      </c>
      <c r="D195" s="37">
        <f>IFERROR(INDEX($N$8:$N$207,MATCH(LARGE($T$8:$T$207,ROWS($A$8:A195)),$T$8:$T$207,0)),"")</f>
        <v/>
      </c>
      <c r="E195" s="36">
        <f>IFERROR(INDEX($O$8:$O$207,MATCH(LARGE($T$8:$T$207,ROWS($A$8:A195)),$T$8:$T$207,0)),"")</f>
        <v/>
      </c>
      <c r="F195" s="36">
        <f>IFERROR(INDEX($P$8:$P$207,MATCH(LARGE($T$8:$T$207,ROWS($A$8:A195)),$T$8:$T$207,0)),"")</f>
        <v/>
      </c>
      <c r="G195" s="37">
        <f>IFERROR(INDEX($Q$8:$Q$207,MATCH(LARGE($T$8:$T$207,ROWS($A$8:A195)),$T$8:$T$207,0)),"")</f>
        <v/>
      </c>
      <c r="H195" s="37">
        <f>IFERROR(INDEX($R$8:$R$207,MATCH(LARGE($T$8:$T$207,ROWS($A$8:A195)),$T$8:$T$207,0)),"")</f>
        <v/>
      </c>
      <c r="I195" s="37">
        <f>IFERROR(INDEX($S$8:$S$207,MATCH(LARGE($T$8:$T$207,ROWS($A$8:A195)),$T$8:$T$207,0)),"")</f>
        <v/>
      </c>
      <c r="K195">
        <f>IF(Trabajadores!B192="","",Trabajadores!B192)</f>
        <v/>
      </c>
      <c r="L195">
        <f>IF(K195="","",COUNTIFS(Detalle_Pagos!$E$5:$E$2004,K195,Detalle_Pagos!$B$5:$B$2004,"&gt;="&amp;$B$3,Detalle_Pagos!$B$5:$B$2004,"&lt;="&amp;$B$4))</f>
        <v/>
      </c>
      <c r="M195" s="43">
        <f>IF(K195="","",SUMIFS(Detalle_Pagos!$I$5:$I$2004,Detalle_Pagos!$E$5:$E$2004,K195,Detalle_Pagos!$J$5:$J$2004,"Si",Detalle_Pagos!$B$5:$B$2004,"&gt;="&amp;$B$3,Detalle_Pagos!$B$5:$B$2004,"&lt;="&amp;$B$4))</f>
        <v/>
      </c>
      <c r="N195" s="43">
        <f>IF(K195="","",SUMIFS(Detalle_Pagos!$I$5:$I$2004,Detalle_Pagos!$E$5:$E$2004,K195,Detalle_Pagos!$J$5:$J$2004,"No",Detalle_Pagos!$B$5:$B$2004,"&gt;="&amp;$B$3,Detalle_Pagos!$B$5:$B$2004,"&lt;="&amp;$B$4))</f>
        <v/>
      </c>
      <c r="O195">
        <f>IF(K195="","",COUNTIFS(Detalle_Pagos!$E$5:$E$2004,K195,Detalle_Pagos!$J$5:$J$2004,"No",Detalle_Pagos!$B$5:$B$2004,"&gt;="&amp;$B$3,Detalle_Pagos!$B$5:$B$2004,"&lt;="&amp;$B$4))</f>
        <v/>
      </c>
      <c r="P195">
        <f>IF(K195="","",COUNTIFS(Detalle_Pagos!$E$5:$E$2004,K195,Detalle_Pagos!$J$5:$J$2004,"Si",Detalle_Pagos!$B$5:$B$2004,"&gt;="&amp;$B$3,Detalle_Pagos!$B$5:$B$2004,"&lt;="&amp;$B$4))</f>
        <v/>
      </c>
      <c r="Q195" s="43">
        <f>IF(K195="","",O195*IFERROR(INDEX(Trabajadores!$D$5:$D$204,MATCH(K195,Trabajadores!$B$5:$B$204,0)),0))</f>
        <v/>
      </c>
      <c r="R195" s="43">
        <f>IF(K195="","",N195+Q195)</f>
        <v/>
      </c>
      <c r="S195" s="43">
        <f>IF(K195="","",M195+N195)</f>
        <v/>
      </c>
      <c r="T195">
        <f>IF(K195="","",S195+R195/100000+L195/100000000+(100000-ROW())/1000000000)</f>
        <v/>
      </c>
    </row>
    <row r="196">
      <c r="A196" s="38">
        <f>IFERROR(INDEX($K$8:$K$207,MATCH(LARGE($T$8:$T$207,ROWS($A$8:A196)),$T$8:$T$207,0)),"")</f>
        <v/>
      </c>
      <c r="B196" s="38">
        <f>IFERROR(INDEX($L$8:$L$207,MATCH(LARGE($T$8:$T$207,ROWS($A$8:A196)),$T$8:$T$207,0)),"")</f>
        <v/>
      </c>
      <c r="C196" s="39">
        <f>IFERROR(INDEX($M$8:$M$207,MATCH(LARGE($T$8:$T$207,ROWS($A$8:A196)),$T$8:$T$207,0)),"")</f>
        <v/>
      </c>
      <c r="D196" s="39">
        <f>IFERROR(INDEX($N$8:$N$207,MATCH(LARGE($T$8:$T$207,ROWS($A$8:A196)),$T$8:$T$207,0)),"")</f>
        <v/>
      </c>
      <c r="E196" s="38">
        <f>IFERROR(INDEX($O$8:$O$207,MATCH(LARGE($T$8:$T$207,ROWS($A$8:A196)),$T$8:$T$207,0)),"")</f>
        <v/>
      </c>
      <c r="F196" s="38">
        <f>IFERROR(INDEX($P$8:$P$207,MATCH(LARGE($T$8:$T$207,ROWS($A$8:A196)),$T$8:$T$207,0)),"")</f>
        <v/>
      </c>
      <c r="G196" s="39">
        <f>IFERROR(INDEX($Q$8:$Q$207,MATCH(LARGE($T$8:$T$207,ROWS($A$8:A196)),$T$8:$T$207,0)),"")</f>
        <v/>
      </c>
      <c r="H196" s="39">
        <f>IFERROR(INDEX($R$8:$R$207,MATCH(LARGE($T$8:$T$207,ROWS($A$8:A196)),$T$8:$T$207,0)),"")</f>
        <v/>
      </c>
      <c r="I196" s="39">
        <f>IFERROR(INDEX($S$8:$S$207,MATCH(LARGE($T$8:$T$207,ROWS($A$8:A196)),$T$8:$T$207,0)),"")</f>
        <v/>
      </c>
      <c r="K196">
        <f>IF(Trabajadores!B193="","",Trabajadores!B193)</f>
        <v/>
      </c>
      <c r="L196">
        <f>IF(K196="","",COUNTIFS(Detalle_Pagos!$E$5:$E$2004,K196,Detalle_Pagos!$B$5:$B$2004,"&gt;="&amp;$B$3,Detalle_Pagos!$B$5:$B$2004,"&lt;="&amp;$B$4))</f>
        <v/>
      </c>
      <c r="M196" s="43">
        <f>IF(K196="","",SUMIFS(Detalle_Pagos!$I$5:$I$2004,Detalle_Pagos!$E$5:$E$2004,K196,Detalle_Pagos!$J$5:$J$2004,"Si",Detalle_Pagos!$B$5:$B$2004,"&gt;="&amp;$B$3,Detalle_Pagos!$B$5:$B$2004,"&lt;="&amp;$B$4))</f>
        <v/>
      </c>
      <c r="N196" s="43">
        <f>IF(K196="","",SUMIFS(Detalle_Pagos!$I$5:$I$2004,Detalle_Pagos!$E$5:$E$2004,K196,Detalle_Pagos!$J$5:$J$2004,"No",Detalle_Pagos!$B$5:$B$2004,"&gt;="&amp;$B$3,Detalle_Pagos!$B$5:$B$2004,"&lt;="&amp;$B$4))</f>
        <v/>
      </c>
      <c r="O196">
        <f>IF(K196="","",COUNTIFS(Detalle_Pagos!$E$5:$E$2004,K196,Detalle_Pagos!$J$5:$J$2004,"No",Detalle_Pagos!$B$5:$B$2004,"&gt;="&amp;$B$3,Detalle_Pagos!$B$5:$B$2004,"&lt;="&amp;$B$4))</f>
        <v/>
      </c>
      <c r="P196">
        <f>IF(K196="","",COUNTIFS(Detalle_Pagos!$E$5:$E$2004,K196,Detalle_Pagos!$J$5:$J$2004,"Si",Detalle_Pagos!$B$5:$B$2004,"&gt;="&amp;$B$3,Detalle_Pagos!$B$5:$B$2004,"&lt;="&amp;$B$4))</f>
        <v/>
      </c>
      <c r="Q196" s="43">
        <f>IF(K196="","",O196*IFERROR(INDEX(Trabajadores!$D$5:$D$204,MATCH(K196,Trabajadores!$B$5:$B$204,0)),0))</f>
        <v/>
      </c>
      <c r="R196" s="43">
        <f>IF(K196="","",N196+Q196)</f>
        <v/>
      </c>
      <c r="S196" s="43">
        <f>IF(K196="","",M196+N196)</f>
        <v/>
      </c>
      <c r="T196">
        <f>IF(K196="","",S196+R196/100000+L196/100000000+(100000-ROW())/1000000000)</f>
        <v/>
      </c>
    </row>
    <row r="197">
      <c r="A197" s="36">
        <f>IFERROR(INDEX($K$8:$K$207,MATCH(LARGE($T$8:$T$207,ROWS($A$8:A197)),$T$8:$T$207,0)),"")</f>
        <v/>
      </c>
      <c r="B197" s="36">
        <f>IFERROR(INDEX($L$8:$L$207,MATCH(LARGE($T$8:$T$207,ROWS($A$8:A197)),$T$8:$T$207,0)),"")</f>
        <v/>
      </c>
      <c r="C197" s="37">
        <f>IFERROR(INDEX($M$8:$M$207,MATCH(LARGE($T$8:$T$207,ROWS($A$8:A197)),$T$8:$T$207,0)),"")</f>
        <v/>
      </c>
      <c r="D197" s="37">
        <f>IFERROR(INDEX($N$8:$N$207,MATCH(LARGE($T$8:$T$207,ROWS($A$8:A197)),$T$8:$T$207,0)),"")</f>
        <v/>
      </c>
      <c r="E197" s="36">
        <f>IFERROR(INDEX($O$8:$O$207,MATCH(LARGE($T$8:$T$207,ROWS($A$8:A197)),$T$8:$T$207,0)),"")</f>
        <v/>
      </c>
      <c r="F197" s="36">
        <f>IFERROR(INDEX($P$8:$P$207,MATCH(LARGE($T$8:$T$207,ROWS($A$8:A197)),$T$8:$T$207,0)),"")</f>
        <v/>
      </c>
      <c r="G197" s="37">
        <f>IFERROR(INDEX($Q$8:$Q$207,MATCH(LARGE($T$8:$T$207,ROWS($A$8:A197)),$T$8:$T$207,0)),"")</f>
        <v/>
      </c>
      <c r="H197" s="37">
        <f>IFERROR(INDEX($R$8:$R$207,MATCH(LARGE($T$8:$T$207,ROWS($A$8:A197)),$T$8:$T$207,0)),"")</f>
        <v/>
      </c>
      <c r="I197" s="37">
        <f>IFERROR(INDEX($S$8:$S$207,MATCH(LARGE($T$8:$T$207,ROWS($A$8:A197)),$T$8:$T$207,0)),"")</f>
        <v/>
      </c>
      <c r="K197">
        <f>IF(Trabajadores!B194="","",Trabajadores!B194)</f>
        <v/>
      </c>
      <c r="L197">
        <f>IF(K197="","",COUNTIFS(Detalle_Pagos!$E$5:$E$2004,K197,Detalle_Pagos!$B$5:$B$2004,"&gt;="&amp;$B$3,Detalle_Pagos!$B$5:$B$2004,"&lt;="&amp;$B$4))</f>
        <v/>
      </c>
      <c r="M197" s="43">
        <f>IF(K197="","",SUMIFS(Detalle_Pagos!$I$5:$I$2004,Detalle_Pagos!$E$5:$E$2004,K197,Detalle_Pagos!$J$5:$J$2004,"Si",Detalle_Pagos!$B$5:$B$2004,"&gt;="&amp;$B$3,Detalle_Pagos!$B$5:$B$2004,"&lt;="&amp;$B$4))</f>
        <v/>
      </c>
      <c r="N197" s="43">
        <f>IF(K197="","",SUMIFS(Detalle_Pagos!$I$5:$I$2004,Detalle_Pagos!$E$5:$E$2004,K197,Detalle_Pagos!$J$5:$J$2004,"No",Detalle_Pagos!$B$5:$B$2004,"&gt;="&amp;$B$3,Detalle_Pagos!$B$5:$B$2004,"&lt;="&amp;$B$4))</f>
        <v/>
      </c>
      <c r="O197">
        <f>IF(K197="","",COUNTIFS(Detalle_Pagos!$E$5:$E$2004,K197,Detalle_Pagos!$J$5:$J$2004,"No",Detalle_Pagos!$B$5:$B$2004,"&gt;="&amp;$B$3,Detalle_Pagos!$B$5:$B$2004,"&lt;="&amp;$B$4))</f>
        <v/>
      </c>
      <c r="P197">
        <f>IF(K197="","",COUNTIFS(Detalle_Pagos!$E$5:$E$2004,K197,Detalle_Pagos!$J$5:$J$2004,"Si",Detalle_Pagos!$B$5:$B$2004,"&gt;="&amp;$B$3,Detalle_Pagos!$B$5:$B$2004,"&lt;="&amp;$B$4))</f>
        <v/>
      </c>
      <c r="Q197" s="43">
        <f>IF(K197="","",O197*IFERROR(INDEX(Trabajadores!$D$5:$D$204,MATCH(K197,Trabajadores!$B$5:$B$204,0)),0))</f>
        <v/>
      </c>
      <c r="R197" s="43">
        <f>IF(K197="","",N197+Q197)</f>
        <v/>
      </c>
      <c r="S197" s="43">
        <f>IF(K197="","",M197+N197)</f>
        <v/>
      </c>
      <c r="T197">
        <f>IF(K197="","",S197+R197/100000+L197/100000000+(100000-ROW())/1000000000)</f>
        <v/>
      </c>
    </row>
    <row r="198">
      <c r="A198" s="38">
        <f>IFERROR(INDEX($K$8:$K$207,MATCH(LARGE($T$8:$T$207,ROWS($A$8:A198)),$T$8:$T$207,0)),"")</f>
        <v/>
      </c>
      <c r="B198" s="38">
        <f>IFERROR(INDEX($L$8:$L$207,MATCH(LARGE($T$8:$T$207,ROWS($A$8:A198)),$T$8:$T$207,0)),"")</f>
        <v/>
      </c>
      <c r="C198" s="39">
        <f>IFERROR(INDEX($M$8:$M$207,MATCH(LARGE($T$8:$T$207,ROWS($A$8:A198)),$T$8:$T$207,0)),"")</f>
        <v/>
      </c>
      <c r="D198" s="39">
        <f>IFERROR(INDEX($N$8:$N$207,MATCH(LARGE($T$8:$T$207,ROWS($A$8:A198)),$T$8:$T$207,0)),"")</f>
        <v/>
      </c>
      <c r="E198" s="38">
        <f>IFERROR(INDEX($O$8:$O$207,MATCH(LARGE($T$8:$T$207,ROWS($A$8:A198)),$T$8:$T$207,0)),"")</f>
        <v/>
      </c>
      <c r="F198" s="38">
        <f>IFERROR(INDEX($P$8:$P$207,MATCH(LARGE($T$8:$T$207,ROWS($A$8:A198)),$T$8:$T$207,0)),"")</f>
        <v/>
      </c>
      <c r="G198" s="39">
        <f>IFERROR(INDEX($Q$8:$Q$207,MATCH(LARGE($T$8:$T$207,ROWS($A$8:A198)),$T$8:$T$207,0)),"")</f>
        <v/>
      </c>
      <c r="H198" s="39">
        <f>IFERROR(INDEX($R$8:$R$207,MATCH(LARGE($T$8:$T$207,ROWS($A$8:A198)),$T$8:$T$207,0)),"")</f>
        <v/>
      </c>
      <c r="I198" s="39">
        <f>IFERROR(INDEX($S$8:$S$207,MATCH(LARGE($T$8:$T$207,ROWS($A$8:A198)),$T$8:$T$207,0)),"")</f>
        <v/>
      </c>
      <c r="K198">
        <f>IF(Trabajadores!B195="","",Trabajadores!B195)</f>
        <v/>
      </c>
      <c r="L198">
        <f>IF(K198="","",COUNTIFS(Detalle_Pagos!$E$5:$E$2004,K198,Detalle_Pagos!$B$5:$B$2004,"&gt;="&amp;$B$3,Detalle_Pagos!$B$5:$B$2004,"&lt;="&amp;$B$4))</f>
        <v/>
      </c>
      <c r="M198" s="43">
        <f>IF(K198="","",SUMIFS(Detalle_Pagos!$I$5:$I$2004,Detalle_Pagos!$E$5:$E$2004,K198,Detalle_Pagos!$J$5:$J$2004,"Si",Detalle_Pagos!$B$5:$B$2004,"&gt;="&amp;$B$3,Detalle_Pagos!$B$5:$B$2004,"&lt;="&amp;$B$4))</f>
        <v/>
      </c>
      <c r="N198" s="43">
        <f>IF(K198="","",SUMIFS(Detalle_Pagos!$I$5:$I$2004,Detalle_Pagos!$E$5:$E$2004,K198,Detalle_Pagos!$J$5:$J$2004,"No",Detalle_Pagos!$B$5:$B$2004,"&gt;="&amp;$B$3,Detalle_Pagos!$B$5:$B$2004,"&lt;="&amp;$B$4))</f>
        <v/>
      </c>
      <c r="O198">
        <f>IF(K198="","",COUNTIFS(Detalle_Pagos!$E$5:$E$2004,K198,Detalle_Pagos!$J$5:$J$2004,"No",Detalle_Pagos!$B$5:$B$2004,"&gt;="&amp;$B$3,Detalle_Pagos!$B$5:$B$2004,"&lt;="&amp;$B$4))</f>
        <v/>
      </c>
      <c r="P198">
        <f>IF(K198="","",COUNTIFS(Detalle_Pagos!$E$5:$E$2004,K198,Detalle_Pagos!$J$5:$J$2004,"Si",Detalle_Pagos!$B$5:$B$2004,"&gt;="&amp;$B$3,Detalle_Pagos!$B$5:$B$2004,"&lt;="&amp;$B$4))</f>
        <v/>
      </c>
      <c r="Q198" s="43">
        <f>IF(K198="","",O198*IFERROR(INDEX(Trabajadores!$D$5:$D$204,MATCH(K198,Trabajadores!$B$5:$B$204,0)),0))</f>
        <v/>
      </c>
      <c r="R198" s="43">
        <f>IF(K198="","",N198+Q198)</f>
        <v/>
      </c>
      <c r="S198" s="43">
        <f>IF(K198="","",M198+N198)</f>
        <v/>
      </c>
      <c r="T198">
        <f>IF(K198="","",S198+R198/100000+L198/100000000+(100000-ROW())/1000000000)</f>
        <v/>
      </c>
    </row>
    <row r="199">
      <c r="A199" s="36">
        <f>IFERROR(INDEX($K$8:$K$207,MATCH(LARGE($T$8:$T$207,ROWS($A$8:A199)),$T$8:$T$207,0)),"")</f>
        <v/>
      </c>
      <c r="B199" s="36">
        <f>IFERROR(INDEX($L$8:$L$207,MATCH(LARGE($T$8:$T$207,ROWS($A$8:A199)),$T$8:$T$207,0)),"")</f>
        <v/>
      </c>
      <c r="C199" s="37">
        <f>IFERROR(INDEX($M$8:$M$207,MATCH(LARGE($T$8:$T$207,ROWS($A$8:A199)),$T$8:$T$207,0)),"")</f>
        <v/>
      </c>
      <c r="D199" s="37">
        <f>IFERROR(INDEX($N$8:$N$207,MATCH(LARGE($T$8:$T$207,ROWS($A$8:A199)),$T$8:$T$207,0)),"")</f>
        <v/>
      </c>
      <c r="E199" s="36">
        <f>IFERROR(INDEX($O$8:$O$207,MATCH(LARGE($T$8:$T$207,ROWS($A$8:A199)),$T$8:$T$207,0)),"")</f>
        <v/>
      </c>
      <c r="F199" s="36">
        <f>IFERROR(INDEX($P$8:$P$207,MATCH(LARGE($T$8:$T$207,ROWS($A$8:A199)),$T$8:$T$207,0)),"")</f>
        <v/>
      </c>
      <c r="G199" s="37">
        <f>IFERROR(INDEX($Q$8:$Q$207,MATCH(LARGE($T$8:$T$207,ROWS($A$8:A199)),$T$8:$T$207,0)),"")</f>
        <v/>
      </c>
      <c r="H199" s="37">
        <f>IFERROR(INDEX($R$8:$R$207,MATCH(LARGE($T$8:$T$207,ROWS($A$8:A199)),$T$8:$T$207,0)),"")</f>
        <v/>
      </c>
      <c r="I199" s="37">
        <f>IFERROR(INDEX($S$8:$S$207,MATCH(LARGE($T$8:$T$207,ROWS($A$8:A199)),$T$8:$T$207,0)),"")</f>
        <v/>
      </c>
      <c r="K199">
        <f>IF(Trabajadores!B196="","",Trabajadores!B196)</f>
        <v/>
      </c>
      <c r="L199">
        <f>IF(K199="","",COUNTIFS(Detalle_Pagos!$E$5:$E$2004,K199,Detalle_Pagos!$B$5:$B$2004,"&gt;="&amp;$B$3,Detalle_Pagos!$B$5:$B$2004,"&lt;="&amp;$B$4))</f>
        <v/>
      </c>
      <c r="M199" s="43">
        <f>IF(K199="","",SUMIFS(Detalle_Pagos!$I$5:$I$2004,Detalle_Pagos!$E$5:$E$2004,K199,Detalle_Pagos!$J$5:$J$2004,"Si",Detalle_Pagos!$B$5:$B$2004,"&gt;="&amp;$B$3,Detalle_Pagos!$B$5:$B$2004,"&lt;="&amp;$B$4))</f>
        <v/>
      </c>
      <c r="N199" s="43">
        <f>IF(K199="","",SUMIFS(Detalle_Pagos!$I$5:$I$2004,Detalle_Pagos!$E$5:$E$2004,K199,Detalle_Pagos!$J$5:$J$2004,"No",Detalle_Pagos!$B$5:$B$2004,"&gt;="&amp;$B$3,Detalle_Pagos!$B$5:$B$2004,"&lt;="&amp;$B$4))</f>
        <v/>
      </c>
      <c r="O199">
        <f>IF(K199="","",COUNTIFS(Detalle_Pagos!$E$5:$E$2004,K199,Detalle_Pagos!$J$5:$J$2004,"No",Detalle_Pagos!$B$5:$B$2004,"&gt;="&amp;$B$3,Detalle_Pagos!$B$5:$B$2004,"&lt;="&amp;$B$4))</f>
        <v/>
      </c>
      <c r="P199">
        <f>IF(K199="","",COUNTIFS(Detalle_Pagos!$E$5:$E$2004,K199,Detalle_Pagos!$J$5:$J$2004,"Si",Detalle_Pagos!$B$5:$B$2004,"&gt;="&amp;$B$3,Detalle_Pagos!$B$5:$B$2004,"&lt;="&amp;$B$4))</f>
        <v/>
      </c>
      <c r="Q199" s="43">
        <f>IF(K199="","",O199*IFERROR(INDEX(Trabajadores!$D$5:$D$204,MATCH(K199,Trabajadores!$B$5:$B$204,0)),0))</f>
        <v/>
      </c>
      <c r="R199" s="43">
        <f>IF(K199="","",N199+Q199)</f>
        <v/>
      </c>
      <c r="S199" s="43">
        <f>IF(K199="","",M199+N199)</f>
        <v/>
      </c>
      <c r="T199">
        <f>IF(K199="","",S199+R199/100000+L199/100000000+(100000-ROW())/1000000000)</f>
        <v/>
      </c>
    </row>
    <row r="200">
      <c r="A200" s="38">
        <f>IFERROR(INDEX($K$8:$K$207,MATCH(LARGE($T$8:$T$207,ROWS($A$8:A200)),$T$8:$T$207,0)),"")</f>
        <v/>
      </c>
      <c r="B200" s="38">
        <f>IFERROR(INDEX($L$8:$L$207,MATCH(LARGE($T$8:$T$207,ROWS($A$8:A200)),$T$8:$T$207,0)),"")</f>
        <v/>
      </c>
      <c r="C200" s="39">
        <f>IFERROR(INDEX($M$8:$M$207,MATCH(LARGE($T$8:$T$207,ROWS($A$8:A200)),$T$8:$T$207,0)),"")</f>
        <v/>
      </c>
      <c r="D200" s="39">
        <f>IFERROR(INDEX($N$8:$N$207,MATCH(LARGE($T$8:$T$207,ROWS($A$8:A200)),$T$8:$T$207,0)),"")</f>
        <v/>
      </c>
      <c r="E200" s="38">
        <f>IFERROR(INDEX($O$8:$O$207,MATCH(LARGE($T$8:$T$207,ROWS($A$8:A200)),$T$8:$T$207,0)),"")</f>
        <v/>
      </c>
      <c r="F200" s="38">
        <f>IFERROR(INDEX($P$8:$P$207,MATCH(LARGE($T$8:$T$207,ROWS($A$8:A200)),$T$8:$T$207,0)),"")</f>
        <v/>
      </c>
      <c r="G200" s="39">
        <f>IFERROR(INDEX($Q$8:$Q$207,MATCH(LARGE($T$8:$T$207,ROWS($A$8:A200)),$T$8:$T$207,0)),"")</f>
        <v/>
      </c>
      <c r="H200" s="39">
        <f>IFERROR(INDEX($R$8:$R$207,MATCH(LARGE($T$8:$T$207,ROWS($A$8:A200)),$T$8:$T$207,0)),"")</f>
        <v/>
      </c>
      <c r="I200" s="39">
        <f>IFERROR(INDEX($S$8:$S$207,MATCH(LARGE($T$8:$T$207,ROWS($A$8:A200)),$T$8:$T$207,0)),"")</f>
        <v/>
      </c>
      <c r="K200">
        <f>IF(Trabajadores!B197="","",Trabajadores!B197)</f>
        <v/>
      </c>
      <c r="L200">
        <f>IF(K200="","",COUNTIFS(Detalle_Pagos!$E$5:$E$2004,K200,Detalle_Pagos!$B$5:$B$2004,"&gt;="&amp;$B$3,Detalle_Pagos!$B$5:$B$2004,"&lt;="&amp;$B$4))</f>
        <v/>
      </c>
      <c r="M200" s="43">
        <f>IF(K200="","",SUMIFS(Detalle_Pagos!$I$5:$I$2004,Detalle_Pagos!$E$5:$E$2004,K200,Detalle_Pagos!$J$5:$J$2004,"Si",Detalle_Pagos!$B$5:$B$2004,"&gt;="&amp;$B$3,Detalle_Pagos!$B$5:$B$2004,"&lt;="&amp;$B$4))</f>
        <v/>
      </c>
      <c r="N200" s="43">
        <f>IF(K200="","",SUMIFS(Detalle_Pagos!$I$5:$I$2004,Detalle_Pagos!$E$5:$E$2004,K200,Detalle_Pagos!$J$5:$J$2004,"No",Detalle_Pagos!$B$5:$B$2004,"&gt;="&amp;$B$3,Detalle_Pagos!$B$5:$B$2004,"&lt;="&amp;$B$4))</f>
        <v/>
      </c>
      <c r="O200">
        <f>IF(K200="","",COUNTIFS(Detalle_Pagos!$E$5:$E$2004,K200,Detalle_Pagos!$J$5:$J$2004,"No",Detalle_Pagos!$B$5:$B$2004,"&gt;="&amp;$B$3,Detalle_Pagos!$B$5:$B$2004,"&lt;="&amp;$B$4))</f>
        <v/>
      </c>
      <c r="P200">
        <f>IF(K200="","",COUNTIFS(Detalle_Pagos!$E$5:$E$2004,K200,Detalle_Pagos!$J$5:$J$2004,"Si",Detalle_Pagos!$B$5:$B$2004,"&gt;="&amp;$B$3,Detalle_Pagos!$B$5:$B$2004,"&lt;="&amp;$B$4))</f>
        <v/>
      </c>
      <c r="Q200" s="43">
        <f>IF(K200="","",O200*IFERROR(INDEX(Trabajadores!$D$5:$D$204,MATCH(K200,Trabajadores!$B$5:$B$204,0)),0))</f>
        <v/>
      </c>
      <c r="R200" s="43">
        <f>IF(K200="","",N200+Q200)</f>
        <v/>
      </c>
      <c r="S200" s="43">
        <f>IF(K200="","",M200+N200)</f>
        <v/>
      </c>
      <c r="T200">
        <f>IF(K200="","",S200+R200/100000+L200/100000000+(100000-ROW())/1000000000)</f>
        <v/>
      </c>
    </row>
    <row r="201">
      <c r="A201" s="36">
        <f>IFERROR(INDEX($K$8:$K$207,MATCH(LARGE($T$8:$T$207,ROWS($A$8:A201)),$T$8:$T$207,0)),"")</f>
        <v/>
      </c>
      <c r="B201" s="36">
        <f>IFERROR(INDEX($L$8:$L$207,MATCH(LARGE($T$8:$T$207,ROWS($A$8:A201)),$T$8:$T$207,0)),"")</f>
        <v/>
      </c>
      <c r="C201" s="37">
        <f>IFERROR(INDEX($M$8:$M$207,MATCH(LARGE($T$8:$T$207,ROWS($A$8:A201)),$T$8:$T$207,0)),"")</f>
        <v/>
      </c>
      <c r="D201" s="37">
        <f>IFERROR(INDEX($N$8:$N$207,MATCH(LARGE($T$8:$T$207,ROWS($A$8:A201)),$T$8:$T$207,0)),"")</f>
        <v/>
      </c>
      <c r="E201" s="36">
        <f>IFERROR(INDEX($O$8:$O$207,MATCH(LARGE($T$8:$T$207,ROWS($A$8:A201)),$T$8:$T$207,0)),"")</f>
        <v/>
      </c>
      <c r="F201" s="36">
        <f>IFERROR(INDEX($P$8:$P$207,MATCH(LARGE($T$8:$T$207,ROWS($A$8:A201)),$T$8:$T$207,0)),"")</f>
        <v/>
      </c>
      <c r="G201" s="37">
        <f>IFERROR(INDEX($Q$8:$Q$207,MATCH(LARGE($T$8:$T$207,ROWS($A$8:A201)),$T$8:$T$207,0)),"")</f>
        <v/>
      </c>
      <c r="H201" s="37">
        <f>IFERROR(INDEX($R$8:$R$207,MATCH(LARGE($T$8:$T$207,ROWS($A$8:A201)),$T$8:$T$207,0)),"")</f>
        <v/>
      </c>
      <c r="I201" s="37">
        <f>IFERROR(INDEX($S$8:$S$207,MATCH(LARGE($T$8:$T$207,ROWS($A$8:A201)),$T$8:$T$207,0)),"")</f>
        <v/>
      </c>
      <c r="K201">
        <f>IF(Trabajadores!B198="","",Trabajadores!B198)</f>
        <v/>
      </c>
      <c r="L201">
        <f>IF(K201="","",COUNTIFS(Detalle_Pagos!$E$5:$E$2004,K201,Detalle_Pagos!$B$5:$B$2004,"&gt;="&amp;$B$3,Detalle_Pagos!$B$5:$B$2004,"&lt;="&amp;$B$4))</f>
        <v/>
      </c>
      <c r="M201" s="43">
        <f>IF(K201="","",SUMIFS(Detalle_Pagos!$I$5:$I$2004,Detalle_Pagos!$E$5:$E$2004,K201,Detalle_Pagos!$J$5:$J$2004,"Si",Detalle_Pagos!$B$5:$B$2004,"&gt;="&amp;$B$3,Detalle_Pagos!$B$5:$B$2004,"&lt;="&amp;$B$4))</f>
        <v/>
      </c>
      <c r="N201" s="43">
        <f>IF(K201="","",SUMIFS(Detalle_Pagos!$I$5:$I$2004,Detalle_Pagos!$E$5:$E$2004,K201,Detalle_Pagos!$J$5:$J$2004,"No",Detalle_Pagos!$B$5:$B$2004,"&gt;="&amp;$B$3,Detalle_Pagos!$B$5:$B$2004,"&lt;="&amp;$B$4))</f>
        <v/>
      </c>
      <c r="O201">
        <f>IF(K201="","",COUNTIFS(Detalle_Pagos!$E$5:$E$2004,K201,Detalle_Pagos!$J$5:$J$2004,"No",Detalle_Pagos!$B$5:$B$2004,"&gt;="&amp;$B$3,Detalle_Pagos!$B$5:$B$2004,"&lt;="&amp;$B$4))</f>
        <v/>
      </c>
      <c r="P201">
        <f>IF(K201="","",COUNTIFS(Detalle_Pagos!$E$5:$E$2004,K201,Detalle_Pagos!$J$5:$J$2004,"Si",Detalle_Pagos!$B$5:$B$2004,"&gt;="&amp;$B$3,Detalle_Pagos!$B$5:$B$2004,"&lt;="&amp;$B$4))</f>
        <v/>
      </c>
      <c r="Q201" s="43">
        <f>IF(K201="","",O201*IFERROR(INDEX(Trabajadores!$D$5:$D$204,MATCH(K201,Trabajadores!$B$5:$B$204,0)),0))</f>
        <v/>
      </c>
      <c r="R201" s="43">
        <f>IF(K201="","",N201+Q201)</f>
        <v/>
      </c>
      <c r="S201" s="43">
        <f>IF(K201="","",M201+N201)</f>
        <v/>
      </c>
      <c r="T201">
        <f>IF(K201="","",S201+R201/100000+L201/100000000+(100000-ROW())/1000000000)</f>
        <v/>
      </c>
    </row>
    <row r="202">
      <c r="A202" s="38">
        <f>IFERROR(INDEX($K$8:$K$207,MATCH(LARGE($T$8:$T$207,ROWS($A$8:A202)),$T$8:$T$207,0)),"")</f>
        <v/>
      </c>
      <c r="B202" s="38">
        <f>IFERROR(INDEX($L$8:$L$207,MATCH(LARGE($T$8:$T$207,ROWS($A$8:A202)),$T$8:$T$207,0)),"")</f>
        <v/>
      </c>
      <c r="C202" s="39">
        <f>IFERROR(INDEX($M$8:$M$207,MATCH(LARGE($T$8:$T$207,ROWS($A$8:A202)),$T$8:$T$207,0)),"")</f>
        <v/>
      </c>
      <c r="D202" s="39">
        <f>IFERROR(INDEX($N$8:$N$207,MATCH(LARGE($T$8:$T$207,ROWS($A$8:A202)),$T$8:$T$207,0)),"")</f>
        <v/>
      </c>
      <c r="E202" s="38">
        <f>IFERROR(INDEX($O$8:$O$207,MATCH(LARGE($T$8:$T$207,ROWS($A$8:A202)),$T$8:$T$207,0)),"")</f>
        <v/>
      </c>
      <c r="F202" s="38">
        <f>IFERROR(INDEX($P$8:$P$207,MATCH(LARGE($T$8:$T$207,ROWS($A$8:A202)),$T$8:$T$207,0)),"")</f>
        <v/>
      </c>
      <c r="G202" s="39">
        <f>IFERROR(INDEX($Q$8:$Q$207,MATCH(LARGE($T$8:$T$207,ROWS($A$8:A202)),$T$8:$T$207,0)),"")</f>
        <v/>
      </c>
      <c r="H202" s="39">
        <f>IFERROR(INDEX($R$8:$R$207,MATCH(LARGE($T$8:$T$207,ROWS($A$8:A202)),$T$8:$T$207,0)),"")</f>
        <v/>
      </c>
      <c r="I202" s="39">
        <f>IFERROR(INDEX($S$8:$S$207,MATCH(LARGE($T$8:$T$207,ROWS($A$8:A202)),$T$8:$T$207,0)),"")</f>
        <v/>
      </c>
      <c r="K202">
        <f>IF(Trabajadores!B199="","",Trabajadores!B199)</f>
        <v/>
      </c>
      <c r="L202">
        <f>IF(K202="","",COUNTIFS(Detalle_Pagos!$E$5:$E$2004,K202,Detalle_Pagos!$B$5:$B$2004,"&gt;="&amp;$B$3,Detalle_Pagos!$B$5:$B$2004,"&lt;="&amp;$B$4))</f>
        <v/>
      </c>
      <c r="M202" s="43">
        <f>IF(K202="","",SUMIFS(Detalle_Pagos!$I$5:$I$2004,Detalle_Pagos!$E$5:$E$2004,K202,Detalle_Pagos!$J$5:$J$2004,"Si",Detalle_Pagos!$B$5:$B$2004,"&gt;="&amp;$B$3,Detalle_Pagos!$B$5:$B$2004,"&lt;="&amp;$B$4))</f>
        <v/>
      </c>
      <c r="N202" s="43">
        <f>IF(K202="","",SUMIFS(Detalle_Pagos!$I$5:$I$2004,Detalle_Pagos!$E$5:$E$2004,K202,Detalle_Pagos!$J$5:$J$2004,"No",Detalle_Pagos!$B$5:$B$2004,"&gt;="&amp;$B$3,Detalle_Pagos!$B$5:$B$2004,"&lt;="&amp;$B$4))</f>
        <v/>
      </c>
      <c r="O202">
        <f>IF(K202="","",COUNTIFS(Detalle_Pagos!$E$5:$E$2004,K202,Detalle_Pagos!$J$5:$J$2004,"No",Detalle_Pagos!$B$5:$B$2004,"&gt;="&amp;$B$3,Detalle_Pagos!$B$5:$B$2004,"&lt;="&amp;$B$4))</f>
        <v/>
      </c>
      <c r="P202">
        <f>IF(K202="","",COUNTIFS(Detalle_Pagos!$E$5:$E$2004,K202,Detalle_Pagos!$J$5:$J$2004,"Si",Detalle_Pagos!$B$5:$B$2004,"&gt;="&amp;$B$3,Detalle_Pagos!$B$5:$B$2004,"&lt;="&amp;$B$4))</f>
        <v/>
      </c>
      <c r="Q202" s="43">
        <f>IF(K202="","",O202*IFERROR(INDEX(Trabajadores!$D$5:$D$204,MATCH(K202,Trabajadores!$B$5:$B$204,0)),0))</f>
        <v/>
      </c>
      <c r="R202" s="43">
        <f>IF(K202="","",N202+Q202)</f>
        <v/>
      </c>
      <c r="S202" s="43">
        <f>IF(K202="","",M202+N202)</f>
        <v/>
      </c>
      <c r="T202">
        <f>IF(K202="","",S202+R202/100000+L202/100000000+(100000-ROW())/1000000000)</f>
        <v/>
      </c>
    </row>
    <row r="203">
      <c r="A203" s="36">
        <f>IFERROR(INDEX($K$8:$K$207,MATCH(LARGE($T$8:$T$207,ROWS($A$8:A203)),$T$8:$T$207,0)),"")</f>
        <v/>
      </c>
      <c r="B203" s="36">
        <f>IFERROR(INDEX($L$8:$L$207,MATCH(LARGE($T$8:$T$207,ROWS($A$8:A203)),$T$8:$T$207,0)),"")</f>
        <v/>
      </c>
      <c r="C203" s="37">
        <f>IFERROR(INDEX($M$8:$M$207,MATCH(LARGE($T$8:$T$207,ROWS($A$8:A203)),$T$8:$T$207,0)),"")</f>
        <v/>
      </c>
      <c r="D203" s="37">
        <f>IFERROR(INDEX($N$8:$N$207,MATCH(LARGE($T$8:$T$207,ROWS($A$8:A203)),$T$8:$T$207,0)),"")</f>
        <v/>
      </c>
      <c r="E203" s="36">
        <f>IFERROR(INDEX($O$8:$O$207,MATCH(LARGE($T$8:$T$207,ROWS($A$8:A203)),$T$8:$T$207,0)),"")</f>
        <v/>
      </c>
      <c r="F203" s="36">
        <f>IFERROR(INDEX($P$8:$P$207,MATCH(LARGE($T$8:$T$207,ROWS($A$8:A203)),$T$8:$T$207,0)),"")</f>
        <v/>
      </c>
      <c r="G203" s="37">
        <f>IFERROR(INDEX($Q$8:$Q$207,MATCH(LARGE($T$8:$T$207,ROWS($A$8:A203)),$T$8:$T$207,0)),"")</f>
        <v/>
      </c>
      <c r="H203" s="37">
        <f>IFERROR(INDEX($R$8:$R$207,MATCH(LARGE($T$8:$T$207,ROWS($A$8:A203)),$T$8:$T$207,0)),"")</f>
        <v/>
      </c>
      <c r="I203" s="37">
        <f>IFERROR(INDEX($S$8:$S$207,MATCH(LARGE($T$8:$T$207,ROWS($A$8:A203)),$T$8:$T$207,0)),"")</f>
        <v/>
      </c>
      <c r="K203">
        <f>IF(Trabajadores!B200="","",Trabajadores!B200)</f>
        <v/>
      </c>
      <c r="L203">
        <f>IF(K203="","",COUNTIFS(Detalle_Pagos!$E$5:$E$2004,K203,Detalle_Pagos!$B$5:$B$2004,"&gt;="&amp;$B$3,Detalle_Pagos!$B$5:$B$2004,"&lt;="&amp;$B$4))</f>
        <v/>
      </c>
      <c r="M203" s="43">
        <f>IF(K203="","",SUMIFS(Detalle_Pagos!$I$5:$I$2004,Detalle_Pagos!$E$5:$E$2004,K203,Detalle_Pagos!$J$5:$J$2004,"Si",Detalle_Pagos!$B$5:$B$2004,"&gt;="&amp;$B$3,Detalle_Pagos!$B$5:$B$2004,"&lt;="&amp;$B$4))</f>
        <v/>
      </c>
      <c r="N203" s="43">
        <f>IF(K203="","",SUMIFS(Detalle_Pagos!$I$5:$I$2004,Detalle_Pagos!$E$5:$E$2004,K203,Detalle_Pagos!$J$5:$J$2004,"No",Detalle_Pagos!$B$5:$B$2004,"&gt;="&amp;$B$3,Detalle_Pagos!$B$5:$B$2004,"&lt;="&amp;$B$4))</f>
        <v/>
      </c>
      <c r="O203">
        <f>IF(K203="","",COUNTIFS(Detalle_Pagos!$E$5:$E$2004,K203,Detalle_Pagos!$J$5:$J$2004,"No",Detalle_Pagos!$B$5:$B$2004,"&gt;="&amp;$B$3,Detalle_Pagos!$B$5:$B$2004,"&lt;="&amp;$B$4))</f>
        <v/>
      </c>
      <c r="P203">
        <f>IF(K203="","",COUNTIFS(Detalle_Pagos!$E$5:$E$2004,K203,Detalle_Pagos!$J$5:$J$2004,"Si",Detalle_Pagos!$B$5:$B$2004,"&gt;="&amp;$B$3,Detalle_Pagos!$B$5:$B$2004,"&lt;="&amp;$B$4))</f>
        <v/>
      </c>
      <c r="Q203" s="43">
        <f>IF(K203="","",O203*IFERROR(INDEX(Trabajadores!$D$5:$D$204,MATCH(K203,Trabajadores!$B$5:$B$204,0)),0))</f>
        <v/>
      </c>
      <c r="R203" s="43">
        <f>IF(K203="","",N203+Q203)</f>
        <v/>
      </c>
      <c r="S203" s="43">
        <f>IF(K203="","",M203+N203)</f>
        <v/>
      </c>
      <c r="T203">
        <f>IF(K203="","",S203+R203/100000+L203/100000000+(100000-ROW())/1000000000)</f>
        <v/>
      </c>
    </row>
    <row r="204">
      <c r="A204" s="38">
        <f>IFERROR(INDEX($K$8:$K$207,MATCH(LARGE($T$8:$T$207,ROWS($A$8:A204)),$T$8:$T$207,0)),"")</f>
        <v/>
      </c>
      <c r="B204" s="38">
        <f>IFERROR(INDEX($L$8:$L$207,MATCH(LARGE($T$8:$T$207,ROWS($A$8:A204)),$T$8:$T$207,0)),"")</f>
        <v/>
      </c>
      <c r="C204" s="39">
        <f>IFERROR(INDEX($M$8:$M$207,MATCH(LARGE($T$8:$T$207,ROWS($A$8:A204)),$T$8:$T$207,0)),"")</f>
        <v/>
      </c>
      <c r="D204" s="39">
        <f>IFERROR(INDEX($N$8:$N$207,MATCH(LARGE($T$8:$T$207,ROWS($A$8:A204)),$T$8:$T$207,0)),"")</f>
        <v/>
      </c>
      <c r="E204" s="38">
        <f>IFERROR(INDEX($O$8:$O$207,MATCH(LARGE($T$8:$T$207,ROWS($A$8:A204)),$T$8:$T$207,0)),"")</f>
        <v/>
      </c>
      <c r="F204" s="38">
        <f>IFERROR(INDEX($P$8:$P$207,MATCH(LARGE($T$8:$T$207,ROWS($A$8:A204)),$T$8:$T$207,0)),"")</f>
        <v/>
      </c>
      <c r="G204" s="39">
        <f>IFERROR(INDEX($Q$8:$Q$207,MATCH(LARGE($T$8:$T$207,ROWS($A$8:A204)),$T$8:$T$207,0)),"")</f>
        <v/>
      </c>
      <c r="H204" s="39">
        <f>IFERROR(INDEX($R$8:$R$207,MATCH(LARGE($T$8:$T$207,ROWS($A$8:A204)),$T$8:$T$207,0)),"")</f>
        <v/>
      </c>
      <c r="I204" s="39">
        <f>IFERROR(INDEX($S$8:$S$207,MATCH(LARGE($T$8:$T$207,ROWS($A$8:A204)),$T$8:$T$207,0)),"")</f>
        <v/>
      </c>
      <c r="K204">
        <f>IF(Trabajadores!B201="","",Trabajadores!B201)</f>
        <v/>
      </c>
      <c r="L204">
        <f>IF(K204="","",COUNTIFS(Detalle_Pagos!$E$5:$E$2004,K204,Detalle_Pagos!$B$5:$B$2004,"&gt;="&amp;$B$3,Detalle_Pagos!$B$5:$B$2004,"&lt;="&amp;$B$4))</f>
        <v/>
      </c>
      <c r="M204" s="43">
        <f>IF(K204="","",SUMIFS(Detalle_Pagos!$I$5:$I$2004,Detalle_Pagos!$E$5:$E$2004,K204,Detalle_Pagos!$J$5:$J$2004,"Si",Detalle_Pagos!$B$5:$B$2004,"&gt;="&amp;$B$3,Detalle_Pagos!$B$5:$B$2004,"&lt;="&amp;$B$4))</f>
        <v/>
      </c>
      <c r="N204" s="43">
        <f>IF(K204="","",SUMIFS(Detalle_Pagos!$I$5:$I$2004,Detalle_Pagos!$E$5:$E$2004,K204,Detalle_Pagos!$J$5:$J$2004,"No",Detalle_Pagos!$B$5:$B$2004,"&gt;="&amp;$B$3,Detalle_Pagos!$B$5:$B$2004,"&lt;="&amp;$B$4))</f>
        <v/>
      </c>
      <c r="O204">
        <f>IF(K204="","",COUNTIFS(Detalle_Pagos!$E$5:$E$2004,K204,Detalle_Pagos!$J$5:$J$2004,"No",Detalle_Pagos!$B$5:$B$2004,"&gt;="&amp;$B$3,Detalle_Pagos!$B$5:$B$2004,"&lt;="&amp;$B$4))</f>
        <v/>
      </c>
      <c r="P204">
        <f>IF(K204="","",COUNTIFS(Detalle_Pagos!$E$5:$E$2004,K204,Detalle_Pagos!$J$5:$J$2004,"Si",Detalle_Pagos!$B$5:$B$2004,"&gt;="&amp;$B$3,Detalle_Pagos!$B$5:$B$2004,"&lt;="&amp;$B$4))</f>
        <v/>
      </c>
      <c r="Q204" s="43">
        <f>IF(K204="","",O204*IFERROR(INDEX(Trabajadores!$D$5:$D$204,MATCH(K204,Trabajadores!$B$5:$B$204,0)),0))</f>
        <v/>
      </c>
      <c r="R204" s="43">
        <f>IF(K204="","",N204+Q204)</f>
        <v/>
      </c>
      <c r="S204" s="43">
        <f>IF(K204="","",M204+N204)</f>
        <v/>
      </c>
      <c r="T204">
        <f>IF(K204="","",S204+R204/100000+L204/100000000+(100000-ROW())/1000000000)</f>
        <v/>
      </c>
    </row>
    <row r="205">
      <c r="A205" s="36">
        <f>IFERROR(INDEX($K$8:$K$207,MATCH(LARGE($T$8:$T$207,ROWS($A$8:A205)),$T$8:$T$207,0)),"")</f>
        <v/>
      </c>
      <c r="B205" s="36">
        <f>IFERROR(INDEX($L$8:$L$207,MATCH(LARGE($T$8:$T$207,ROWS($A$8:A205)),$T$8:$T$207,0)),"")</f>
        <v/>
      </c>
      <c r="C205" s="37">
        <f>IFERROR(INDEX($M$8:$M$207,MATCH(LARGE($T$8:$T$207,ROWS($A$8:A205)),$T$8:$T$207,0)),"")</f>
        <v/>
      </c>
      <c r="D205" s="37">
        <f>IFERROR(INDEX($N$8:$N$207,MATCH(LARGE($T$8:$T$207,ROWS($A$8:A205)),$T$8:$T$207,0)),"")</f>
        <v/>
      </c>
      <c r="E205" s="36">
        <f>IFERROR(INDEX($O$8:$O$207,MATCH(LARGE($T$8:$T$207,ROWS($A$8:A205)),$T$8:$T$207,0)),"")</f>
        <v/>
      </c>
      <c r="F205" s="36">
        <f>IFERROR(INDEX($P$8:$P$207,MATCH(LARGE($T$8:$T$207,ROWS($A$8:A205)),$T$8:$T$207,0)),"")</f>
        <v/>
      </c>
      <c r="G205" s="37">
        <f>IFERROR(INDEX($Q$8:$Q$207,MATCH(LARGE($T$8:$T$207,ROWS($A$8:A205)),$T$8:$T$207,0)),"")</f>
        <v/>
      </c>
      <c r="H205" s="37">
        <f>IFERROR(INDEX($R$8:$R$207,MATCH(LARGE($T$8:$T$207,ROWS($A$8:A205)),$T$8:$T$207,0)),"")</f>
        <v/>
      </c>
      <c r="I205" s="37">
        <f>IFERROR(INDEX($S$8:$S$207,MATCH(LARGE($T$8:$T$207,ROWS($A$8:A205)),$T$8:$T$207,0)),"")</f>
        <v/>
      </c>
      <c r="K205">
        <f>IF(Trabajadores!B202="","",Trabajadores!B202)</f>
        <v/>
      </c>
      <c r="L205">
        <f>IF(K205="","",COUNTIFS(Detalle_Pagos!$E$5:$E$2004,K205,Detalle_Pagos!$B$5:$B$2004,"&gt;="&amp;$B$3,Detalle_Pagos!$B$5:$B$2004,"&lt;="&amp;$B$4))</f>
        <v/>
      </c>
      <c r="M205" s="43">
        <f>IF(K205="","",SUMIFS(Detalle_Pagos!$I$5:$I$2004,Detalle_Pagos!$E$5:$E$2004,K205,Detalle_Pagos!$J$5:$J$2004,"Si",Detalle_Pagos!$B$5:$B$2004,"&gt;="&amp;$B$3,Detalle_Pagos!$B$5:$B$2004,"&lt;="&amp;$B$4))</f>
        <v/>
      </c>
      <c r="N205" s="43">
        <f>IF(K205="","",SUMIFS(Detalle_Pagos!$I$5:$I$2004,Detalle_Pagos!$E$5:$E$2004,K205,Detalle_Pagos!$J$5:$J$2004,"No",Detalle_Pagos!$B$5:$B$2004,"&gt;="&amp;$B$3,Detalle_Pagos!$B$5:$B$2004,"&lt;="&amp;$B$4))</f>
        <v/>
      </c>
      <c r="O205">
        <f>IF(K205="","",COUNTIFS(Detalle_Pagos!$E$5:$E$2004,K205,Detalle_Pagos!$J$5:$J$2004,"No",Detalle_Pagos!$B$5:$B$2004,"&gt;="&amp;$B$3,Detalle_Pagos!$B$5:$B$2004,"&lt;="&amp;$B$4))</f>
        <v/>
      </c>
      <c r="P205">
        <f>IF(K205="","",COUNTIFS(Detalle_Pagos!$E$5:$E$2004,K205,Detalle_Pagos!$J$5:$J$2004,"Si",Detalle_Pagos!$B$5:$B$2004,"&gt;="&amp;$B$3,Detalle_Pagos!$B$5:$B$2004,"&lt;="&amp;$B$4))</f>
        <v/>
      </c>
      <c r="Q205" s="43">
        <f>IF(K205="","",O205*IFERROR(INDEX(Trabajadores!$D$5:$D$204,MATCH(K205,Trabajadores!$B$5:$B$204,0)),0))</f>
        <v/>
      </c>
      <c r="R205" s="43">
        <f>IF(K205="","",N205+Q205)</f>
        <v/>
      </c>
      <c r="S205" s="43">
        <f>IF(K205="","",M205+N205)</f>
        <v/>
      </c>
      <c r="T205">
        <f>IF(K205="","",S205+R205/100000+L205/100000000+(100000-ROW())/1000000000)</f>
        <v/>
      </c>
    </row>
    <row r="206">
      <c r="A206" s="38">
        <f>IFERROR(INDEX($K$8:$K$207,MATCH(LARGE($T$8:$T$207,ROWS($A$8:A206)),$T$8:$T$207,0)),"")</f>
        <v/>
      </c>
      <c r="B206" s="38">
        <f>IFERROR(INDEX($L$8:$L$207,MATCH(LARGE($T$8:$T$207,ROWS($A$8:A206)),$T$8:$T$207,0)),"")</f>
        <v/>
      </c>
      <c r="C206" s="39">
        <f>IFERROR(INDEX($M$8:$M$207,MATCH(LARGE($T$8:$T$207,ROWS($A$8:A206)),$T$8:$T$207,0)),"")</f>
        <v/>
      </c>
      <c r="D206" s="39">
        <f>IFERROR(INDEX($N$8:$N$207,MATCH(LARGE($T$8:$T$207,ROWS($A$8:A206)),$T$8:$T$207,0)),"")</f>
        <v/>
      </c>
      <c r="E206" s="38">
        <f>IFERROR(INDEX($O$8:$O$207,MATCH(LARGE($T$8:$T$207,ROWS($A$8:A206)),$T$8:$T$207,0)),"")</f>
        <v/>
      </c>
      <c r="F206" s="38">
        <f>IFERROR(INDEX($P$8:$P$207,MATCH(LARGE($T$8:$T$207,ROWS($A$8:A206)),$T$8:$T$207,0)),"")</f>
        <v/>
      </c>
      <c r="G206" s="39">
        <f>IFERROR(INDEX($Q$8:$Q$207,MATCH(LARGE($T$8:$T$207,ROWS($A$8:A206)),$T$8:$T$207,0)),"")</f>
        <v/>
      </c>
      <c r="H206" s="39">
        <f>IFERROR(INDEX($R$8:$R$207,MATCH(LARGE($T$8:$T$207,ROWS($A$8:A206)),$T$8:$T$207,0)),"")</f>
        <v/>
      </c>
      <c r="I206" s="39">
        <f>IFERROR(INDEX($S$8:$S$207,MATCH(LARGE($T$8:$T$207,ROWS($A$8:A206)),$T$8:$T$207,0)),"")</f>
        <v/>
      </c>
      <c r="K206">
        <f>IF(Trabajadores!B203="","",Trabajadores!B203)</f>
        <v/>
      </c>
      <c r="L206">
        <f>IF(K206="","",COUNTIFS(Detalle_Pagos!$E$5:$E$2004,K206,Detalle_Pagos!$B$5:$B$2004,"&gt;="&amp;$B$3,Detalle_Pagos!$B$5:$B$2004,"&lt;="&amp;$B$4))</f>
        <v/>
      </c>
      <c r="M206" s="43">
        <f>IF(K206="","",SUMIFS(Detalle_Pagos!$I$5:$I$2004,Detalle_Pagos!$E$5:$E$2004,K206,Detalle_Pagos!$J$5:$J$2004,"Si",Detalle_Pagos!$B$5:$B$2004,"&gt;="&amp;$B$3,Detalle_Pagos!$B$5:$B$2004,"&lt;="&amp;$B$4))</f>
        <v/>
      </c>
      <c r="N206" s="43">
        <f>IF(K206="","",SUMIFS(Detalle_Pagos!$I$5:$I$2004,Detalle_Pagos!$E$5:$E$2004,K206,Detalle_Pagos!$J$5:$J$2004,"No",Detalle_Pagos!$B$5:$B$2004,"&gt;="&amp;$B$3,Detalle_Pagos!$B$5:$B$2004,"&lt;="&amp;$B$4))</f>
        <v/>
      </c>
      <c r="O206">
        <f>IF(K206="","",COUNTIFS(Detalle_Pagos!$E$5:$E$2004,K206,Detalle_Pagos!$J$5:$J$2004,"No",Detalle_Pagos!$B$5:$B$2004,"&gt;="&amp;$B$3,Detalle_Pagos!$B$5:$B$2004,"&lt;="&amp;$B$4))</f>
        <v/>
      </c>
      <c r="P206">
        <f>IF(K206="","",COUNTIFS(Detalle_Pagos!$E$5:$E$2004,K206,Detalle_Pagos!$J$5:$J$2004,"Si",Detalle_Pagos!$B$5:$B$2004,"&gt;="&amp;$B$3,Detalle_Pagos!$B$5:$B$2004,"&lt;="&amp;$B$4))</f>
        <v/>
      </c>
      <c r="Q206" s="43">
        <f>IF(K206="","",O206*IFERROR(INDEX(Trabajadores!$D$5:$D$204,MATCH(K206,Trabajadores!$B$5:$B$204,0)),0))</f>
        <v/>
      </c>
      <c r="R206" s="43">
        <f>IF(K206="","",N206+Q206)</f>
        <v/>
      </c>
      <c r="S206" s="43">
        <f>IF(K206="","",M206+N206)</f>
        <v/>
      </c>
      <c r="T206">
        <f>IF(K206="","",S206+R206/100000+L206/100000000+(100000-ROW())/1000000000)</f>
        <v/>
      </c>
    </row>
    <row r="207">
      <c r="A207" s="36">
        <f>IFERROR(INDEX($K$8:$K$207,MATCH(LARGE($T$8:$T$207,ROWS($A$8:A207)),$T$8:$T$207,0)),"")</f>
        <v/>
      </c>
      <c r="B207" s="36">
        <f>IFERROR(INDEX($L$8:$L$207,MATCH(LARGE($T$8:$T$207,ROWS($A$8:A207)),$T$8:$T$207,0)),"")</f>
        <v/>
      </c>
      <c r="C207" s="37">
        <f>IFERROR(INDEX($M$8:$M$207,MATCH(LARGE($T$8:$T$207,ROWS($A$8:A207)),$T$8:$T$207,0)),"")</f>
        <v/>
      </c>
      <c r="D207" s="37">
        <f>IFERROR(INDEX($N$8:$N$207,MATCH(LARGE($T$8:$T$207,ROWS($A$8:A207)),$T$8:$T$207,0)),"")</f>
        <v/>
      </c>
      <c r="E207" s="36">
        <f>IFERROR(INDEX($O$8:$O$207,MATCH(LARGE($T$8:$T$207,ROWS($A$8:A207)),$T$8:$T$207,0)),"")</f>
        <v/>
      </c>
      <c r="F207" s="36">
        <f>IFERROR(INDEX($P$8:$P$207,MATCH(LARGE($T$8:$T$207,ROWS($A$8:A207)),$T$8:$T$207,0)),"")</f>
        <v/>
      </c>
      <c r="G207" s="37">
        <f>IFERROR(INDEX($Q$8:$Q$207,MATCH(LARGE($T$8:$T$207,ROWS($A$8:A207)),$T$8:$T$207,0)),"")</f>
        <v/>
      </c>
      <c r="H207" s="37">
        <f>IFERROR(INDEX($R$8:$R$207,MATCH(LARGE($T$8:$T$207,ROWS($A$8:A207)),$T$8:$T$207,0)),"")</f>
        <v/>
      </c>
      <c r="I207" s="37">
        <f>IFERROR(INDEX($S$8:$S$207,MATCH(LARGE($T$8:$T$207,ROWS($A$8:A207)),$T$8:$T$207,0)),"")</f>
        <v/>
      </c>
      <c r="K207">
        <f>IF(Trabajadores!B204="","",Trabajadores!B204)</f>
        <v/>
      </c>
      <c r="L207">
        <f>IF(K207="","",COUNTIFS(Detalle_Pagos!$E$5:$E$2004,K207,Detalle_Pagos!$B$5:$B$2004,"&gt;="&amp;$B$3,Detalle_Pagos!$B$5:$B$2004,"&lt;="&amp;$B$4))</f>
        <v/>
      </c>
      <c r="M207" s="43">
        <f>IF(K207="","",SUMIFS(Detalle_Pagos!$I$5:$I$2004,Detalle_Pagos!$E$5:$E$2004,K207,Detalle_Pagos!$J$5:$J$2004,"Si",Detalle_Pagos!$B$5:$B$2004,"&gt;="&amp;$B$3,Detalle_Pagos!$B$5:$B$2004,"&lt;="&amp;$B$4))</f>
        <v/>
      </c>
      <c r="N207" s="43">
        <f>IF(K207="","",SUMIFS(Detalle_Pagos!$I$5:$I$2004,Detalle_Pagos!$E$5:$E$2004,K207,Detalle_Pagos!$J$5:$J$2004,"No",Detalle_Pagos!$B$5:$B$2004,"&gt;="&amp;$B$3,Detalle_Pagos!$B$5:$B$2004,"&lt;="&amp;$B$4))</f>
        <v/>
      </c>
      <c r="O207">
        <f>IF(K207="","",COUNTIFS(Detalle_Pagos!$E$5:$E$2004,K207,Detalle_Pagos!$J$5:$J$2004,"No",Detalle_Pagos!$B$5:$B$2004,"&gt;="&amp;$B$3,Detalle_Pagos!$B$5:$B$2004,"&lt;="&amp;$B$4))</f>
        <v/>
      </c>
      <c r="P207">
        <f>IF(K207="","",COUNTIFS(Detalle_Pagos!$E$5:$E$2004,K207,Detalle_Pagos!$J$5:$J$2004,"Si",Detalle_Pagos!$B$5:$B$2004,"&gt;="&amp;$B$3,Detalle_Pagos!$B$5:$B$2004,"&lt;="&amp;$B$4))</f>
        <v/>
      </c>
      <c r="Q207" s="43">
        <f>IF(K207="","",O207*IFERROR(INDEX(Trabajadores!$D$5:$D$204,MATCH(K207,Trabajadores!$B$5:$B$204,0)),0))</f>
        <v/>
      </c>
      <c r="R207" s="43">
        <f>IF(K207="","",N207+Q207)</f>
        <v/>
      </c>
      <c r="S207" s="43">
        <f>IF(K207="","",M207+N207)</f>
        <v/>
      </c>
      <c r="T207">
        <f>IF(K207="","",S207+R207/100000+L207/100000000+(100000-ROW())/1000000000)</f>
        <v/>
      </c>
    </row>
  </sheetData>
  <autoFilter ref="A7:I207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8" customWidth="1" min="4" max="4"/>
    <col width="24" customWidth="1" min="5" max="5"/>
    <col width="8" customWidth="1" min="8" max="8"/>
  </cols>
  <sheetData>
    <row r="1">
      <c r="A1" s="46" t="inlineStr">
        <is>
          <t>MANIOBRA DE DESCARGA</t>
        </is>
      </c>
      <c r="B1" s="47" t="n"/>
      <c r="C1" s="47" t="n"/>
      <c r="D1" s="47" t="n"/>
      <c r="E1" s="47" t="n"/>
    </row>
    <row r="2">
      <c r="A2" s="47" t="n"/>
      <c r="B2" s="47" t="n"/>
      <c r="C2" s="47" t="n"/>
      <c r="D2" s="47" t="n"/>
      <c r="E2" s="47" t="n"/>
    </row>
    <row r="3">
      <c r="A3" s="48" t="inlineStr">
        <is>
          <t>No. de maniobra:</t>
        </is>
      </c>
      <c r="B3" s="47" t="n">
        <v>41</v>
      </c>
      <c r="C3" s="47" t="n"/>
      <c r="D3" s="47" t="n"/>
      <c r="E3" s="47" t="n"/>
    </row>
    <row r="4">
      <c r="A4" s="48" t="inlineStr">
        <is>
          <t>Fecha:</t>
        </is>
      </c>
      <c r="B4" s="49">
        <f>IFERROR(INDEX(Maniobras!$B$5:$B$504,MATCH($B$3,Maniobras!$A$5:$A$504,0)),"")</f>
        <v/>
      </c>
      <c r="C4" s="47" t="n"/>
      <c r="D4" s="47" t="n"/>
      <c r="E4" s="47" t="n"/>
    </row>
    <row r="5">
      <c r="A5" s="48" t="inlineStr">
        <is>
          <t>Horario de descarga:</t>
        </is>
      </c>
      <c r="B5" s="47">
        <f>IFERROR(INDEX(Maniobras!$C$5:$C$504,MATCH($B$3,Maniobras!$A$5:$A$504,0)),"")</f>
        <v/>
      </c>
      <c r="C5" s="47" t="n"/>
      <c r="D5" s="47" t="n"/>
      <c r="E5" s="47" t="n"/>
    </row>
    <row r="6">
      <c r="A6" s="47" t="n"/>
      <c r="B6" s="47" t="n"/>
      <c r="C6" s="47" t="n"/>
      <c r="D6" s="47" t="n"/>
      <c r="E6" s="47" t="n"/>
    </row>
    <row r="7">
      <c r="A7" s="48" t="inlineStr">
        <is>
          <t>Materia prima:</t>
        </is>
      </c>
      <c r="B7" s="47">
        <f>IFERROR(INDEX(Maniobras!$D$5:$D$504,MATCH($B$3,Maniobras!$A$5:$A$504,0)),"")</f>
        <v/>
      </c>
      <c r="C7" s="47" t="n"/>
      <c r="D7" s="47" t="n"/>
      <c r="E7" s="47" t="n"/>
    </row>
    <row r="8">
      <c r="A8" s="48" t="inlineStr">
        <is>
          <t>Toneladas descargadas:</t>
        </is>
      </c>
      <c r="B8" s="47">
        <f>IFERROR(INDEX(Maniobras!$F$5:$F$504,MATCH($B$3,Maniobras!$A$5:$A$504,0)),"")</f>
        <v/>
      </c>
      <c r="C8" s="47" t="n"/>
      <c r="D8" s="47" t="n"/>
      <c r="E8" s="47" t="n"/>
    </row>
    <row r="9">
      <c r="A9" s="47" t="n"/>
      <c r="B9" s="47" t="n"/>
      <c r="C9" s="47" t="n"/>
      <c r="D9" s="47" t="n"/>
      <c r="E9" s="47" t="n"/>
    </row>
    <row r="10">
      <c r="A10" s="47" t="n"/>
      <c r="B10" s="47" t="n"/>
      <c r="C10" s="47" t="n"/>
      <c r="D10" s="47" t="n"/>
      <c r="E10" s="47" t="n"/>
    </row>
    <row r="11">
      <c r="A11" s="50" t="inlineStr">
        <is>
          <t>CÁLCULO DE LA MANIOBRA</t>
        </is>
      </c>
      <c r="B11" s="47" t="n"/>
      <c r="C11" s="47" t="n"/>
      <c r="D11" s="47" t="n"/>
      <c r="E11" s="47" t="n"/>
    </row>
    <row r="12">
      <c r="A12" s="47" t="n"/>
      <c r="B12" s="47" t="n"/>
      <c r="C12" s="47" t="n"/>
      <c r="D12" s="47" t="n"/>
      <c r="E12" s="47" t="n"/>
    </row>
    <row r="13">
      <c r="A13" s="48" t="inlineStr">
        <is>
          <t>Tarifa aplicada:</t>
        </is>
      </c>
      <c r="B13" s="51">
        <f>IFERROR(INDEX(Maniobras!$G$5:$G$504,MATCH($B$3,Maniobras!$A$5:$A$504,0)),"")</f>
        <v/>
      </c>
      <c r="C13" s="47" t="n"/>
      <c r="D13" s="47" t="n"/>
      <c r="E13" s="47" t="n"/>
    </row>
    <row r="14">
      <c r="A14" s="48" t="inlineStr">
        <is>
          <t>Total:</t>
        </is>
      </c>
      <c r="B14" s="51">
        <f>IFERROR(INDEX(Maniobras!$I$5:$I$504,MATCH($B$3,Maniobras!$A$5:$A$504,0)),"")</f>
        <v/>
      </c>
      <c r="C14" s="47" t="n"/>
      <c r="D14" s="47" t="n"/>
      <c r="E14" s="47" t="n"/>
    </row>
    <row r="15">
      <c r="A15" s="48" t="inlineStr">
        <is>
          <t># colaboradores</t>
        </is>
      </c>
      <c r="B15" s="47">
        <f>IFERROR(INDEX(Maniobras!$J$5:$J$504,MATCH($B$3,Maniobras!$A$5:$A$504,0)),"")</f>
        <v/>
      </c>
      <c r="C15" s="47" t="n"/>
      <c r="D15" s="47" t="n"/>
      <c r="E15" s="47" t="n"/>
    </row>
    <row r="16">
      <c r="A16" s="48" t="inlineStr">
        <is>
          <t>Importe sugerido</t>
        </is>
      </c>
      <c r="B16" s="51">
        <f>IFERROR(INDEX(Maniobras!$K$5:$K$504,MATCH($B$3,Maniobras!$A$5:$A$504,0)),"")</f>
        <v/>
      </c>
      <c r="C16" s="47" t="n"/>
      <c r="D16" s="47" t="n"/>
      <c r="E16" s="47" t="n"/>
    </row>
    <row r="17">
      <c r="A17" s="47" t="n"/>
      <c r="B17" s="47" t="n"/>
      <c r="C17" s="47" t="n"/>
      <c r="D17" s="47" t="n"/>
      <c r="E17" s="47" t="n"/>
    </row>
    <row r="18">
      <c r="A18" s="47" t="n"/>
      <c r="B18" s="47" t="n"/>
      <c r="C18" s="47" t="n"/>
      <c r="D18" s="47" t="n"/>
      <c r="E18" s="47" t="n"/>
    </row>
    <row r="19">
      <c r="A19" s="50" t="inlineStr">
        <is>
          <t>PERSONAL QUE PARTICIPÓ</t>
        </is>
      </c>
      <c r="B19" s="47" t="n"/>
      <c r="C19" s="47" t="n"/>
      <c r="D19" s="47" t="n"/>
      <c r="E19" s="47" t="n"/>
    </row>
    <row r="20">
      <c r="A20" s="52" t="inlineStr">
        <is>
          <t>No.</t>
        </is>
      </c>
      <c r="B20" s="52" t="inlineStr">
        <is>
          <t>Nombre</t>
        </is>
      </c>
      <c r="C20" s="52" t="inlineStr">
        <is>
          <t>Importe recibido</t>
        </is>
      </c>
      <c r="D20" s="52" t="inlineStr">
        <is>
          <t>Estado de pago</t>
        </is>
      </c>
      <c r="E20" s="52" t="inlineStr">
        <is>
          <t>Firma</t>
        </is>
      </c>
    </row>
    <row r="21" ht="30" customHeight="1">
      <c r="A21" s="53">
        <f>IF(B21="","",ROWS($A$21:A21))</f>
        <v/>
      </c>
      <c r="B21" s="53">
        <f>IFERROR(INDEX(Detalle_Pagos!$E$5:$E$2004,MATCH(ROWS($A$21:A21),Detalle_Pagos!$M$5:$M$2004,0)),"")</f>
        <v/>
      </c>
      <c r="C21" s="54">
        <f>IF(B21="","",IFERROR(INDEX(Detalle_Pagos!$I$5:$I$2004,MATCH(ROWS($A$21:A21),Detalle_Pagos!$M$5:$M$2004,0)),""))</f>
        <v/>
      </c>
      <c r="D21" s="53">
        <f>IF(B21="","",IF(IFERROR(INDEX(Detalle_Pagos!$J$5:$J$2004,MATCH(ROWS($A$21:A21),Detalle_Pagos!$M$5:$M$2004,0)),"")="Si","Pagado","Pendiente"))</f>
        <v/>
      </c>
      <c r="E21" s="53" t="n"/>
    </row>
    <row r="22" ht="30" customHeight="1">
      <c r="A22" s="53">
        <f>IF(B22="","",ROWS($A$21:A22))</f>
        <v/>
      </c>
      <c r="B22" s="53">
        <f>IFERROR(INDEX(Detalle_Pagos!$E$5:$E$2004,MATCH(ROWS($A$21:A22),Detalle_Pagos!$M$5:$M$2004,0)),"")</f>
        <v/>
      </c>
      <c r="C22" s="54">
        <f>IF(B22="","",IFERROR(INDEX(Detalle_Pagos!$I$5:$I$2004,MATCH(ROWS($A$21:A22),Detalle_Pagos!$M$5:$M$2004,0)),""))</f>
        <v/>
      </c>
      <c r="D22" s="53">
        <f>IF(B22="","",IF(IFERROR(INDEX(Detalle_Pagos!$J$5:$J$2004,MATCH(ROWS($A$21:A22),Detalle_Pagos!$M$5:$M$2004,0)),"")="Si","Pagado","Pendiente"))</f>
        <v/>
      </c>
      <c r="E22" s="53" t="n"/>
    </row>
    <row r="23" ht="30" customHeight="1">
      <c r="A23" s="53">
        <f>IF(B23="","",ROWS($A$21:A23))</f>
        <v/>
      </c>
      <c r="B23" s="53">
        <f>IFERROR(INDEX(Detalle_Pagos!$E$5:$E$2004,MATCH(ROWS($A$21:A23),Detalle_Pagos!$M$5:$M$2004,0)),"")</f>
        <v/>
      </c>
      <c r="C23" s="54">
        <f>IF(B23="","",IFERROR(INDEX(Detalle_Pagos!$I$5:$I$2004,MATCH(ROWS($A$21:A23),Detalle_Pagos!$M$5:$M$2004,0)),""))</f>
        <v/>
      </c>
      <c r="D23" s="53">
        <f>IF(B23="","",IF(IFERROR(INDEX(Detalle_Pagos!$J$5:$J$2004,MATCH(ROWS($A$21:A23),Detalle_Pagos!$M$5:$M$2004,0)),"")="Si","Pagado","Pendiente"))</f>
        <v/>
      </c>
      <c r="E23" s="53" t="n"/>
    </row>
    <row r="24" ht="30" customHeight="1">
      <c r="A24" s="53">
        <f>IF(B24="","",ROWS($A$21:A24))</f>
        <v/>
      </c>
      <c r="B24" s="53">
        <f>IFERROR(INDEX(Detalle_Pagos!$E$5:$E$2004,MATCH(ROWS($A$21:A24),Detalle_Pagos!$M$5:$M$2004,0)),"")</f>
        <v/>
      </c>
      <c r="C24" s="54">
        <f>IF(B24="","",IFERROR(INDEX(Detalle_Pagos!$I$5:$I$2004,MATCH(ROWS($A$21:A24),Detalle_Pagos!$M$5:$M$2004,0)),""))</f>
        <v/>
      </c>
      <c r="D24" s="53">
        <f>IF(B24="","",IF(IFERROR(INDEX(Detalle_Pagos!$J$5:$J$2004,MATCH(ROWS($A$21:A24),Detalle_Pagos!$M$5:$M$2004,0)),"")="Si","Pagado","Pendiente"))</f>
        <v/>
      </c>
      <c r="E24" s="53" t="n"/>
    </row>
    <row r="25" ht="30" customHeight="1">
      <c r="A25" s="53">
        <f>IF(B25="","",ROWS($A$21:A25))</f>
        <v/>
      </c>
      <c r="B25" s="53">
        <f>IFERROR(INDEX(Detalle_Pagos!$E$5:$E$2004,MATCH(ROWS($A$21:A25),Detalle_Pagos!$M$5:$M$2004,0)),"")</f>
        <v/>
      </c>
      <c r="C25" s="54">
        <f>IF(B25="","",IFERROR(INDEX(Detalle_Pagos!$I$5:$I$2004,MATCH(ROWS($A$21:A25),Detalle_Pagos!$M$5:$M$2004,0)),""))</f>
        <v/>
      </c>
      <c r="D25" s="53">
        <f>IF(B25="","",IF(IFERROR(INDEX(Detalle_Pagos!$J$5:$J$2004,MATCH(ROWS($A$21:A25),Detalle_Pagos!$M$5:$M$2004,0)),"")="Si","Pagado","Pendiente"))</f>
        <v/>
      </c>
      <c r="E25" s="53" t="n"/>
    </row>
    <row r="26" ht="30" customHeight="1">
      <c r="A26" s="53">
        <f>IF(B26="","",ROWS($A$21:A26))</f>
        <v/>
      </c>
      <c r="B26" s="53">
        <f>IFERROR(INDEX(Detalle_Pagos!$E$5:$E$2004,MATCH(ROWS($A$21:A26),Detalle_Pagos!$M$5:$M$2004,0)),"")</f>
        <v/>
      </c>
      <c r="C26" s="54">
        <f>IF(B26="","",IFERROR(INDEX(Detalle_Pagos!$I$5:$I$2004,MATCH(ROWS($A$21:A26),Detalle_Pagos!$M$5:$M$2004,0)),""))</f>
        <v/>
      </c>
      <c r="D26" s="53">
        <f>IF(B26="","",IF(IFERROR(INDEX(Detalle_Pagos!$J$5:$J$2004,MATCH(ROWS($A$21:A26),Detalle_Pagos!$M$5:$M$2004,0)),"")="Si","Pagado","Pendiente"))</f>
        <v/>
      </c>
      <c r="E26" s="53" t="n"/>
    </row>
    <row r="27" ht="30" customHeight="1">
      <c r="A27" s="53">
        <f>IF(B27="","",ROWS($A$21:A27))</f>
        <v/>
      </c>
      <c r="B27" s="53">
        <f>IFERROR(INDEX(Detalle_Pagos!$E$5:$E$2004,MATCH(ROWS($A$21:A27),Detalle_Pagos!$M$5:$M$2004,0)),"")</f>
        <v/>
      </c>
      <c r="C27" s="54">
        <f>IF(B27="","",IFERROR(INDEX(Detalle_Pagos!$I$5:$I$2004,MATCH(ROWS($A$21:A27),Detalle_Pagos!$M$5:$M$2004,0)),""))</f>
        <v/>
      </c>
      <c r="D27" s="53">
        <f>IF(B27="","",IF(IFERROR(INDEX(Detalle_Pagos!$J$5:$J$2004,MATCH(ROWS($A$21:A27),Detalle_Pagos!$M$5:$M$2004,0)),"")="Si","Pagado","Pendiente"))</f>
        <v/>
      </c>
      <c r="E27" s="53" t="n"/>
    </row>
    <row r="28" ht="30" customHeight="1">
      <c r="A28" s="53">
        <f>IF(B28="","",ROWS($A$21:A28))</f>
        <v/>
      </c>
      <c r="B28" s="53">
        <f>IFERROR(INDEX(Detalle_Pagos!$E$5:$E$2004,MATCH(ROWS($A$21:A28),Detalle_Pagos!$M$5:$M$2004,0)),"")</f>
        <v/>
      </c>
      <c r="C28" s="54">
        <f>IF(B28="","",IFERROR(INDEX(Detalle_Pagos!$I$5:$I$2004,MATCH(ROWS($A$21:A28),Detalle_Pagos!$M$5:$M$2004,0)),""))</f>
        <v/>
      </c>
      <c r="D28" s="53">
        <f>IF(B28="","",IF(IFERROR(INDEX(Detalle_Pagos!$J$5:$J$2004,MATCH(ROWS($A$21:A28),Detalle_Pagos!$M$5:$M$2004,0)),"")="Si","Pagado","Pendiente"))</f>
        <v/>
      </c>
      <c r="E28" s="53" t="n"/>
    </row>
    <row r="29" ht="30" customHeight="1">
      <c r="A29" s="53">
        <f>IF(B29="","",ROWS($A$21:A29))</f>
        <v/>
      </c>
      <c r="B29" s="53">
        <f>IFERROR(INDEX(Detalle_Pagos!$E$5:$E$2004,MATCH(ROWS($A$21:A29),Detalle_Pagos!$M$5:$M$2004,0)),"")</f>
        <v/>
      </c>
      <c r="C29" s="54">
        <f>IF(B29="","",IFERROR(INDEX(Detalle_Pagos!$I$5:$I$2004,MATCH(ROWS($A$21:A29),Detalle_Pagos!$M$5:$M$2004,0)),""))</f>
        <v/>
      </c>
      <c r="D29" s="53">
        <f>IF(B29="","",IF(IFERROR(INDEX(Detalle_Pagos!$J$5:$J$2004,MATCH(ROWS($A$21:A29),Detalle_Pagos!$M$5:$M$2004,0)),"")="Si","Pagado","Pendiente"))</f>
        <v/>
      </c>
      <c r="E29" s="53" t="n"/>
    </row>
    <row r="30" ht="30" customHeight="1">
      <c r="A30" s="53">
        <f>IF(B30="","",ROWS($A$21:A30))</f>
        <v/>
      </c>
      <c r="B30" s="53">
        <f>IFERROR(INDEX(Detalle_Pagos!$E$5:$E$2004,MATCH(ROWS($A$21:A30),Detalle_Pagos!$M$5:$M$2004,0)),"")</f>
        <v/>
      </c>
      <c r="C30" s="54">
        <f>IF(B30="","",IFERROR(INDEX(Detalle_Pagos!$I$5:$I$2004,MATCH(ROWS($A$21:A30),Detalle_Pagos!$M$5:$M$2004,0)),""))</f>
        <v/>
      </c>
      <c r="D30" s="53">
        <f>IF(B30="","",IF(IFERROR(INDEX(Detalle_Pagos!$J$5:$J$2004,MATCH(ROWS($A$21:A30),Detalle_Pagos!$M$5:$M$2004,0)),"")="Si","Pagado","Pendiente"))</f>
        <v/>
      </c>
      <c r="E30" s="53" t="n"/>
    </row>
    <row r="31" ht="30" customHeight="1">
      <c r="A31" s="53">
        <f>IF(B31="","",ROWS($A$21:A31))</f>
        <v/>
      </c>
      <c r="B31" s="53">
        <f>IFERROR(INDEX(Detalle_Pagos!$E$5:$E$2004,MATCH(ROWS($A$21:A31),Detalle_Pagos!$M$5:$M$2004,0)),"")</f>
        <v/>
      </c>
      <c r="C31" s="54">
        <f>IF(B31="","",IFERROR(INDEX(Detalle_Pagos!$I$5:$I$2004,MATCH(ROWS($A$21:A31),Detalle_Pagos!$M$5:$M$2004,0)),""))</f>
        <v/>
      </c>
      <c r="D31" s="53">
        <f>IF(B31="","",IF(IFERROR(INDEX(Detalle_Pagos!$J$5:$J$2004,MATCH(ROWS($A$21:A31),Detalle_Pagos!$M$5:$M$2004,0)),"")="Si","Pagado","Pendiente"))</f>
        <v/>
      </c>
      <c r="E31" s="53" t="n"/>
    </row>
    <row r="32" ht="30" customHeight="1">
      <c r="A32" s="53">
        <f>IF(B32="","",ROWS($A$21:A32))</f>
        <v/>
      </c>
      <c r="B32" s="53">
        <f>IFERROR(INDEX(Detalle_Pagos!$E$5:$E$2004,MATCH(ROWS($A$21:A32),Detalle_Pagos!$M$5:$M$2004,0)),"")</f>
        <v/>
      </c>
      <c r="C32" s="54">
        <f>IF(B32="","",IFERROR(INDEX(Detalle_Pagos!$I$5:$I$2004,MATCH(ROWS($A$21:A32),Detalle_Pagos!$M$5:$M$2004,0)),""))</f>
        <v/>
      </c>
      <c r="D32" s="53">
        <f>IF(B32="","",IF(IFERROR(INDEX(Detalle_Pagos!$J$5:$J$2004,MATCH(ROWS($A$21:A32),Detalle_Pagos!$M$5:$M$2004,0)),"")="Si","Pagado","Pendiente"))</f>
        <v/>
      </c>
      <c r="E32" s="53" t="n"/>
    </row>
    <row r="33" ht="30" customHeight="1">
      <c r="A33" s="53">
        <f>IF(B33="","",ROWS($A$21:A33))</f>
        <v/>
      </c>
      <c r="B33" s="53">
        <f>IFERROR(INDEX(Detalle_Pagos!$E$5:$E$2004,MATCH(ROWS($A$21:A33),Detalle_Pagos!$M$5:$M$2004,0)),"")</f>
        <v/>
      </c>
      <c r="C33" s="54">
        <f>IF(B33="","",IFERROR(INDEX(Detalle_Pagos!$I$5:$I$2004,MATCH(ROWS($A$21:A33),Detalle_Pagos!$M$5:$M$2004,0)),""))</f>
        <v/>
      </c>
      <c r="D33" s="53">
        <f>IF(B33="","",IF(IFERROR(INDEX(Detalle_Pagos!$J$5:$J$2004,MATCH(ROWS($A$21:A33),Detalle_Pagos!$M$5:$M$2004,0)),"")="Si","Pagado","Pendiente"))</f>
        <v/>
      </c>
      <c r="E33" s="53" t="n"/>
    </row>
    <row r="34" ht="30" customHeight="1">
      <c r="A34" s="53">
        <f>IF(B34="","",ROWS($A$21:A34))</f>
        <v/>
      </c>
      <c r="B34" s="53">
        <f>IFERROR(INDEX(Detalle_Pagos!$E$5:$E$2004,MATCH(ROWS($A$21:A34),Detalle_Pagos!$M$5:$M$2004,0)),"")</f>
        <v/>
      </c>
      <c r="C34" s="54">
        <f>IF(B34="","",IFERROR(INDEX(Detalle_Pagos!$I$5:$I$2004,MATCH(ROWS($A$21:A34),Detalle_Pagos!$M$5:$M$2004,0)),""))</f>
        <v/>
      </c>
      <c r="D34" s="53">
        <f>IF(B34="","",IF(IFERROR(INDEX(Detalle_Pagos!$J$5:$J$2004,MATCH(ROWS($A$21:A34),Detalle_Pagos!$M$5:$M$2004,0)),"")="Si","Pagado","Pendiente"))</f>
        <v/>
      </c>
      <c r="E34" s="53" t="n"/>
    </row>
    <row r="35" ht="30" customHeight="1">
      <c r="A35" s="53">
        <f>IF(B35="","",ROWS($A$21:A35))</f>
        <v/>
      </c>
      <c r="B35" s="53">
        <f>IFERROR(INDEX(Detalle_Pagos!$E$5:$E$2004,MATCH(ROWS($A$21:A35),Detalle_Pagos!$M$5:$M$2004,0)),"")</f>
        <v/>
      </c>
      <c r="C35" s="54">
        <f>IF(B35="","",IFERROR(INDEX(Detalle_Pagos!$I$5:$I$2004,MATCH(ROWS($A$21:A35),Detalle_Pagos!$M$5:$M$2004,0)),""))</f>
        <v/>
      </c>
      <c r="D35" s="53">
        <f>IF(B35="","",IF(IFERROR(INDEX(Detalle_Pagos!$J$5:$J$2004,MATCH(ROWS($A$21:A35),Detalle_Pagos!$M$5:$M$2004,0)),"")="Si","Pagado","Pendiente"))</f>
        <v/>
      </c>
      <c r="E35" s="53" t="n"/>
    </row>
  </sheetData>
  <mergeCells count="3">
    <mergeCell ref="A11:E11"/>
    <mergeCell ref="A1:E1"/>
    <mergeCell ref="A19:E19"/>
  </mergeCells>
  <dataValidations count="1">
    <dataValidation sqref="B3" showDropDown="0" showInputMessage="0" showErrorMessage="0" allowBlank="0" type="list">
      <formula1>=Maniobras!$A$5:$A$504</formula1>
    </dataValidation>
  </dataValidations>
  <pageMargins left="0.75" right="0.75" top="1" bottom="1" header="0.5" footer="0.5"/>
  <pageSetup orientation="portrait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tabSelected="1" topLeftCell="A25" workbookViewId="0">
      <selection activeCell="G51" sqref="G51"/>
    </sheetView>
  </sheetViews>
  <sheetFormatPr baseColWidth="10" defaultRowHeight="16"/>
  <cols>
    <col width="25" bestFit="1" customWidth="1" min="1" max="1"/>
    <col width="11.6640625" bestFit="1" customWidth="1" min="2" max="2"/>
    <col width="22.33203125" bestFit="1" customWidth="1" min="3" max="3"/>
    <col width="20.1640625" customWidth="1" min="4" max="4"/>
    <col width="19.1640625" customWidth="1" min="5" max="5"/>
  </cols>
  <sheetData>
    <row r="1" ht="18" customHeight="1">
      <c r="A1" s="2" t="inlineStr">
        <is>
          <t>MANIOBRA DE DESCARGA</t>
        </is>
      </c>
    </row>
    <row r="2">
      <c r="A2" s="3" t="n"/>
      <c r="B2" s="3" t="n"/>
      <c r="C2" s="3" t="n"/>
      <c r="D2" s="3" t="n"/>
      <c r="E2" s="3" t="n"/>
    </row>
    <row r="3" ht="18" customHeight="1">
      <c r="A3" s="4" t="inlineStr">
        <is>
          <t xml:space="preserve">No. de maniobra: </t>
        </is>
      </c>
      <c r="B3" s="5" t="n">
        <v>41</v>
      </c>
      <c r="C3" s="3" t="n"/>
      <c r="D3" s="3" t="n"/>
      <c r="E3" s="3" t="n"/>
    </row>
    <row r="4">
      <c r="A4" s="4" t="inlineStr">
        <is>
          <t xml:space="preserve">Fecha: </t>
        </is>
      </c>
      <c r="B4" s="6" t="n">
        <v>46147</v>
      </c>
      <c r="C4" s="3" t="n"/>
      <c r="D4" s="3" t="n"/>
      <c r="E4" s="3" t="n"/>
    </row>
    <row r="5">
      <c r="A5" s="4" t="inlineStr">
        <is>
          <t xml:space="preserve">Horario de descarga: </t>
        </is>
      </c>
      <c r="B5" s="7" t="inlineStr">
        <is>
          <t>5:30-6:30</t>
        </is>
      </c>
      <c r="C5" s="8" t="n"/>
      <c r="D5" s="3" t="n"/>
      <c r="E5" s="3" t="n"/>
    </row>
    <row r="6">
      <c r="A6" s="4" t="n"/>
      <c r="B6" s="7" t="n"/>
      <c r="C6" s="8" t="n"/>
      <c r="D6" s="3" t="n"/>
      <c r="E6" s="3" t="n"/>
    </row>
    <row r="7" ht="18" customHeight="1">
      <c r="A7" s="4" t="inlineStr">
        <is>
          <t>Materia prima:</t>
        </is>
      </c>
      <c r="B7" s="9" t="inlineStr">
        <is>
          <t>sorgo</t>
        </is>
      </c>
      <c r="C7" s="3" t="n"/>
      <c r="D7" s="3" t="n"/>
      <c r="E7" s="3" t="n"/>
    </row>
    <row r="8" ht="18" customHeight="1">
      <c r="A8" s="4" t="inlineStr">
        <is>
          <t xml:space="preserve">Toneladas descargadas:  </t>
        </is>
      </c>
      <c r="B8" s="10" t="n">
        <v>19.5</v>
      </c>
      <c r="C8" s="3" t="n"/>
      <c r="D8" s="3" t="n"/>
      <c r="E8" s="3" t="n"/>
    </row>
    <row r="9">
      <c r="A9" s="4" t="n"/>
      <c r="B9" s="3" t="n"/>
      <c r="C9" s="3" t="n"/>
      <c r="D9" s="3" t="n"/>
      <c r="E9" s="3" t="n"/>
    </row>
    <row r="10">
      <c r="A10" s="4" t="n"/>
      <c r="B10" s="3" t="n"/>
      <c r="C10" s="3" t="n"/>
      <c r="D10" s="3" t="n"/>
      <c r="E10" s="3" t="n"/>
    </row>
    <row r="11" ht="18" customHeight="1">
      <c r="A11" s="11" t="inlineStr">
        <is>
          <t>CÁLCULO DE LA MANIOBRA</t>
        </is>
      </c>
    </row>
    <row r="12">
      <c r="A12" s="12" t="n"/>
      <c r="B12" s="12" t="n"/>
      <c r="C12" s="12" t="n"/>
      <c r="D12" s="12" t="n"/>
      <c r="E12" s="12" t="n"/>
    </row>
    <row r="13">
      <c r="A13" s="13" t="n"/>
      <c r="B13" s="14" t="n">
        <v>60</v>
      </c>
      <c r="C13" s="12" t="n"/>
      <c r="D13" s="12" t="n"/>
      <c r="E13" s="12" t="n"/>
    </row>
    <row r="14">
      <c r="A14" s="13" t="inlineStr">
        <is>
          <t>Total:</t>
        </is>
      </c>
      <c r="B14" s="14">
        <f>B13*B8-100</f>
        <v/>
      </c>
      <c r="C14" s="55" t="n"/>
      <c r="D14" s="12" t="n"/>
      <c r="E14" s="12" t="n"/>
    </row>
    <row r="15">
      <c r="A15" s="13" t="inlineStr">
        <is>
          <t># colaboradores</t>
        </is>
      </c>
      <c r="B15" s="13" t="n">
        <v>7</v>
      </c>
      <c r="D15" s="12" t="n"/>
      <c r="E15" s="12" t="n"/>
    </row>
    <row r="16">
      <c r="A16" s="13" t="inlineStr">
        <is>
          <t>Importe por colaborador</t>
        </is>
      </c>
      <c r="B16" s="14">
        <f>B14/B15</f>
        <v/>
      </c>
      <c r="C16" s="12" t="n"/>
      <c r="D16" s="12" t="n"/>
      <c r="E16" s="12" t="n"/>
    </row>
    <row r="17">
      <c r="A17" s="13" t="n"/>
      <c r="B17" s="16" t="n"/>
      <c r="C17" s="12" t="n"/>
      <c r="D17" s="12" t="n"/>
      <c r="E17" s="12" t="n"/>
    </row>
    <row r="18">
      <c r="A18" s="13" t="n"/>
      <c r="B18" s="12" t="n"/>
      <c r="C18" s="12" t="n"/>
      <c r="D18" s="12" t="n"/>
      <c r="E18" s="12" t="n"/>
    </row>
    <row r="19" ht="19" customHeight="1" thickBot="1">
      <c r="A19" s="17" t="inlineStr">
        <is>
          <t>PERSONAL QUE PARTICIPÓ</t>
        </is>
      </c>
      <c r="B19" s="56" t="n"/>
      <c r="C19" s="56" t="n"/>
      <c r="D19" s="56" t="n"/>
      <c r="E19" s="56" t="n"/>
    </row>
    <row r="20" ht="18" customHeight="1" thickBot="1" thickTop="1">
      <c r="A20" s="18" t="inlineStr">
        <is>
          <t>No.</t>
        </is>
      </c>
      <c r="B20" s="19" t="inlineStr">
        <is>
          <t>Nombre</t>
        </is>
      </c>
      <c r="C20" s="20" t="inlineStr">
        <is>
          <t xml:space="preserve">    Importe recibido    </t>
        </is>
      </c>
      <c r="D20" s="19" t="inlineStr">
        <is>
          <t>Fecha de cobro</t>
        </is>
      </c>
      <c r="E20" s="19" t="inlineStr">
        <is>
          <t>Firma</t>
        </is>
      </c>
    </row>
    <row r="21" ht="42" customHeight="1" thickBot="1" thickTop="1">
      <c r="A21" s="21" t="n">
        <v>1</v>
      </c>
      <c r="B21" s="22" t="inlineStr">
        <is>
          <t>Carlos Salas</t>
        </is>
      </c>
      <c r="C21" s="23" t="n">
        <v>150</v>
      </c>
      <c r="D21" s="24" t="n"/>
      <c r="E21" s="24" t="n"/>
    </row>
    <row r="22" ht="42" customHeight="1" thickBot="1" thickTop="1">
      <c r="A22" s="21" t="n">
        <v>2</v>
      </c>
      <c r="B22" s="22" t="inlineStr">
        <is>
          <t>Juan</t>
        </is>
      </c>
      <c r="C22" s="23" t="n">
        <v>150</v>
      </c>
      <c r="D22" s="24" t="n"/>
      <c r="E22" s="24" t="n"/>
    </row>
    <row r="23" ht="42" customHeight="1" thickBot="1" thickTop="1">
      <c r="A23" s="21" t="n">
        <v>3</v>
      </c>
      <c r="B23" s="22" t="inlineStr">
        <is>
          <t>Uriel</t>
        </is>
      </c>
      <c r="C23" s="23" t="n">
        <v>150</v>
      </c>
      <c r="D23" s="24" t="n"/>
      <c r="E23" s="24" t="n"/>
    </row>
    <row r="24" ht="42" customHeight="1" thickBot="1" thickTop="1">
      <c r="A24" s="21" t="n">
        <v>4</v>
      </c>
      <c r="B24" s="22" t="inlineStr">
        <is>
          <t>Eliseo</t>
        </is>
      </c>
      <c r="C24" s="23" t="n">
        <v>150</v>
      </c>
      <c r="D24" s="24" t="n"/>
      <c r="E24" s="24" t="n"/>
    </row>
    <row r="25" ht="42" customHeight="1" thickBot="1" thickTop="1">
      <c r="A25" s="21" t="n">
        <v>5</v>
      </c>
      <c r="B25" s="25" t="inlineStr">
        <is>
          <t>Marcos</t>
        </is>
      </c>
      <c r="C25" s="23" t="n">
        <v>150</v>
      </c>
      <c r="D25" s="24" t="n"/>
      <c r="E25" s="24" t="n"/>
    </row>
    <row r="26" ht="42" customHeight="1" thickBot="1" thickTop="1">
      <c r="A26" s="26" t="n">
        <v>6</v>
      </c>
      <c r="B26" s="27" t="inlineStr">
        <is>
          <t>Fabián</t>
        </is>
      </c>
      <c r="C26" s="23" t="n">
        <v>150</v>
      </c>
      <c r="D26" s="24" t="n"/>
      <c r="E26" s="24" t="n"/>
    </row>
    <row r="27" ht="42" customHeight="1" thickBot="1" thickTop="1">
      <c r="A27" s="26" t="n">
        <v>7</v>
      </c>
      <c r="B27" s="27" t="inlineStr">
        <is>
          <t>Ramses</t>
        </is>
      </c>
      <c r="C27" s="23" t="n">
        <v>150</v>
      </c>
      <c r="D27" s="24" t="n"/>
      <c r="E27" s="24" t="n"/>
    </row>
    <row r="28" ht="17" customHeight="1" thickTop="1"/>
    <row r="29"/>
    <row r="30" ht="18" customHeight="1">
      <c r="A30" s="2" t="inlineStr">
        <is>
          <t>MANIOBRA DE DESCARGA</t>
        </is>
      </c>
    </row>
    <row r="31">
      <c r="A31" s="3" t="n"/>
      <c r="B31" s="3" t="n"/>
      <c r="C31" s="3" t="n"/>
      <c r="D31" s="3" t="n"/>
      <c r="E31" s="3" t="n"/>
    </row>
    <row r="32" ht="18" customHeight="1">
      <c r="A32" s="4" t="inlineStr">
        <is>
          <t xml:space="preserve">No. de maniobra: </t>
        </is>
      </c>
      <c r="B32" s="5" t="n">
        <v>42</v>
      </c>
      <c r="C32" s="3" t="n"/>
      <c r="D32" s="3" t="n"/>
      <c r="E32" s="3" t="n"/>
    </row>
    <row r="33">
      <c r="A33" s="4" t="inlineStr">
        <is>
          <t xml:space="preserve">Fecha: </t>
        </is>
      </c>
      <c r="B33" s="6" t="n">
        <v>46148</v>
      </c>
      <c r="C33" s="3" t="n"/>
      <c r="D33" s="3" t="n"/>
      <c r="E33" s="3" t="n"/>
    </row>
    <row r="34">
      <c r="A34" s="4" t="inlineStr">
        <is>
          <t xml:space="preserve">Horario de descarga: </t>
        </is>
      </c>
      <c r="B34" s="7" t="inlineStr">
        <is>
          <t>5:30-19:00</t>
        </is>
      </c>
      <c r="C34" s="8" t="n"/>
      <c r="D34" s="3" t="n"/>
      <c r="E34" s="3" t="n"/>
    </row>
    <row r="35">
      <c r="A35" s="4" t="n"/>
      <c r="B35" s="7" t="n"/>
      <c r="C35" s="8" t="n"/>
      <c r="D35" s="3" t="n"/>
      <c r="E35" s="3" t="n"/>
    </row>
    <row r="36" ht="18" customHeight="1">
      <c r="A36" s="4" t="inlineStr">
        <is>
          <t>Materia prima:</t>
        </is>
      </c>
      <c r="B36" s="9" t="inlineStr">
        <is>
          <t>MAIZ</t>
        </is>
      </c>
      <c r="C36" s="3" t="n"/>
      <c r="D36" s="3" t="n"/>
      <c r="E36" s="3" t="n"/>
    </row>
    <row r="37" ht="18" customHeight="1">
      <c r="A37" s="4" t="inlineStr">
        <is>
          <t xml:space="preserve">Toneladas descargadas:  </t>
        </is>
      </c>
      <c r="B37" s="10" t="n">
        <v>37</v>
      </c>
      <c r="C37" s="3" t="n"/>
      <c r="D37" s="3" t="n"/>
      <c r="E37" s="3" t="n"/>
    </row>
    <row r="38">
      <c r="A38" s="4" t="n"/>
      <c r="B38" s="3" t="n"/>
      <c r="C38" s="3" t="n"/>
      <c r="D38" s="3" t="n"/>
      <c r="E38" s="3" t="n"/>
    </row>
    <row r="39">
      <c r="A39" s="4" t="n"/>
      <c r="B39" s="3" t="n"/>
      <c r="C39" s="3" t="n"/>
      <c r="D39" s="3" t="n"/>
      <c r="E39" s="3" t="n"/>
    </row>
    <row r="40" hidden="1" ht="18" customHeight="1">
      <c r="A40" s="11" t="inlineStr">
        <is>
          <t>CÁLCULO DE LA MANIOBRA</t>
        </is>
      </c>
    </row>
    <row r="41" hidden="1">
      <c r="A41" s="12" t="n"/>
      <c r="B41" s="12" t="n"/>
      <c r="C41" s="12" t="n"/>
      <c r="D41" s="12" t="n"/>
      <c r="E41" s="12" t="n"/>
    </row>
    <row r="42" hidden="1">
      <c r="A42" s="13" t="n"/>
      <c r="B42" s="14" t="n">
        <v>60</v>
      </c>
      <c r="C42" s="12" t="n"/>
      <c r="D42" s="12" t="n"/>
      <c r="E42" s="12" t="n"/>
    </row>
    <row r="43" hidden="1">
      <c r="A43" s="13" t="inlineStr">
        <is>
          <t>Total:</t>
        </is>
      </c>
      <c r="B43" s="14">
        <f>B42*B37-100</f>
        <v/>
      </c>
      <c r="C43" s="55" t="n"/>
      <c r="D43" s="12" t="n"/>
      <c r="E43" s="12" t="n"/>
    </row>
    <row r="44" hidden="1">
      <c r="A44" s="13" t="inlineStr">
        <is>
          <t># colaboradores</t>
        </is>
      </c>
      <c r="B44" s="13" t="n">
        <v>7</v>
      </c>
      <c r="D44" s="12" t="n"/>
      <c r="E44" s="12" t="n"/>
    </row>
    <row r="45" hidden="1">
      <c r="A45" s="13" t="inlineStr">
        <is>
          <t>Importe por colaborador</t>
        </is>
      </c>
      <c r="B45" s="14">
        <f>B43/B44</f>
        <v/>
      </c>
      <c r="C45" s="12" t="n"/>
      <c r="D45" s="12" t="n"/>
      <c r="E45" s="12" t="n"/>
    </row>
    <row r="46">
      <c r="A46" s="13" t="n"/>
      <c r="B46" s="16" t="n"/>
      <c r="C46" s="12" t="n"/>
      <c r="D46" s="12" t="n"/>
      <c r="E46" s="12" t="n"/>
    </row>
    <row r="47">
      <c r="A47" s="13" t="n"/>
      <c r="B47" s="12" t="n"/>
      <c r="C47" s="12" t="n"/>
      <c r="D47" s="12" t="n"/>
      <c r="E47" s="12" t="n"/>
    </row>
    <row r="48" ht="19" customHeight="1" thickBot="1">
      <c r="A48" s="17" t="inlineStr">
        <is>
          <t>PERSONAL QUE PARTICIPÓ</t>
        </is>
      </c>
      <c r="B48" s="56" t="n"/>
      <c r="C48" s="56" t="n"/>
      <c r="D48" s="56" t="n"/>
      <c r="E48" s="56" t="n"/>
    </row>
    <row r="49" ht="18" customHeight="1" thickBot="1" thickTop="1">
      <c r="A49" s="18" t="inlineStr">
        <is>
          <t>No.</t>
        </is>
      </c>
      <c r="B49" s="19" t="inlineStr">
        <is>
          <t>Nombre</t>
        </is>
      </c>
      <c r="C49" s="20" t="inlineStr">
        <is>
          <t xml:space="preserve">    Importe recibido    </t>
        </is>
      </c>
      <c r="D49" s="19" t="inlineStr">
        <is>
          <t>Fecha de cobro</t>
        </is>
      </c>
      <c r="E49" s="19" t="inlineStr">
        <is>
          <t>Firma</t>
        </is>
      </c>
    </row>
    <row r="50" ht="32" customHeight="1" thickBot="1" thickTop="1">
      <c r="A50" s="21" t="n">
        <v>1</v>
      </c>
      <c r="B50" s="22" t="inlineStr">
        <is>
          <t>EMANUEL</t>
        </is>
      </c>
      <c r="C50" s="23" t="n">
        <v>300</v>
      </c>
      <c r="D50" s="24" t="n"/>
      <c r="E50" s="24" t="n"/>
    </row>
    <row r="51" ht="32" customHeight="1" thickBot="1" thickTop="1">
      <c r="A51" s="21" t="n">
        <v>2</v>
      </c>
      <c r="B51" s="22" t="inlineStr">
        <is>
          <t>URIEL</t>
        </is>
      </c>
      <c r="C51" s="23" t="n">
        <v>300</v>
      </c>
      <c r="D51" s="24" t="n"/>
      <c r="E51" s="24" t="n"/>
    </row>
    <row r="52" ht="32" customHeight="1" thickBot="1" thickTop="1">
      <c r="A52" s="21" t="n">
        <v>3</v>
      </c>
      <c r="B52" s="22" t="inlineStr">
        <is>
          <t>AHMED</t>
        </is>
      </c>
      <c r="C52" s="23" t="n">
        <v>300</v>
      </c>
      <c r="D52" s="24" t="n"/>
      <c r="E52" s="24" t="n"/>
    </row>
    <row r="53" ht="32" customHeight="1" thickBot="1" thickTop="1">
      <c r="A53" s="21" t="n">
        <v>4</v>
      </c>
      <c r="B53" s="22" t="inlineStr">
        <is>
          <t>JUAN</t>
        </is>
      </c>
      <c r="C53" s="23" t="n">
        <v>300</v>
      </c>
      <c r="D53" s="24" t="n"/>
      <c r="E53" s="24" t="n"/>
    </row>
    <row r="54" ht="32" customHeight="1" thickBot="1" thickTop="1">
      <c r="A54" s="21" t="n">
        <v>5</v>
      </c>
      <c r="B54" s="25" t="inlineStr">
        <is>
          <t>ELISEO</t>
        </is>
      </c>
      <c r="C54" s="23" t="n">
        <v>300</v>
      </c>
      <c r="D54" s="24" t="n"/>
      <c r="E54" s="24" t="n"/>
    </row>
    <row r="55" ht="32" customHeight="1" thickBot="1" thickTop="1">
      <c r="A55" s="26" t="n">
        <v>6</v>
      </c>
      <c r="B55" s="27" t="inlineStr">
        <is>
          <t>RAMSES</t>
        </is>
      </c>
      <c r="C55" s="23" t="n">
        <v>300</v>
      </c>
      <c r="D55" s="24" t="n"/>
      <c r="E55" s="24" t="n"/>
    </row>
    <row r="56" ht="32" customHeight="1" thickBot="1" thickTop="1">
      <c r="A56" s="26" t="n">
        <v>7</v>
      </c>
      <c r="B56" s="27" t="inlineStr">
        <is>
          <t>JUAN CARLOS</t>
        </is>
      </c>
      <c r="C56" s="23" t="n">
        <v>300</v>
      </c>
      <c r="D56" s="24" t="n"/>
      <c r="E56" s="24" t="n"/>
    </row>
    <row r="57" ht="17" customHeight="1" thickTop="1"/>
  </sheetData>
  <mergeCells count="6">
    <mergeCell ref="A30:E30"/>
    <mergeCell ref="A48:E48"/>
    <mergeCell ref="A19:E19"/>
    <mergeCell ref="A11:E11"/>
    <mergeCell ref="A1:E1"/>
    <mergeCell ref="A40:E40"/>
  </mergeCells>
  <pageMargins left="0.7" right="0.7" top="0.75" bottom="0.75" header="0.3" footer="0.3"/>
  <pageSetup orientation="portrait" scale="65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Aragón</dc:creator>
  <dcterms:created xmlns:dcterms="http://purl.org/dc/terms/" xmlns:xsi="http://www.w3.org/2001/XMLSchema-instance" xsi:type="dcterms:W3CDTF">2026-05-15T00:27:12Z</dcterms:created>
  <dcterms:modified xmlns:dcterms="http://purl.org/dc/terms/" xmlns:xsi="http://www.w3.org/2001/XMLSchema-instance" xsi:type="dcterms:W3CDTF">2026-05-18T19:23:31Z</dcterms:modified>
  <cp:lastModifiedBy>David Aragón</cp:lastModifiedBy>
</cp:coreProperties>
</file>